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336543/PycharmProjects/lixinren/"/>
    </mc:Choice>
  </mc:AlternateContent>
  <xr:revisionPtr revIDLastSave="0" documentId="13_ncr:1_{3AC80A58-EF11-1F47-8536-65D08D0E20C1}" xr6:coauthVersionLast="45" xr6:coauthVersionMax="45" xr10:uidLastSave="{00000000-0000-0000-0000-000000000000}"/>
  <bookViews>
    <workbookView xWindow="0" yWindow="460" windowWidth="28800" windowHeight="16240" xr2:uid="{00000000-000D-0000-FFFF-FFFF00000000}"/>
  </bookViews>
  <sheets>
    <sheet name="marked" sheetId="1" r:id="rId1"/>
    <sheet name="港股指数" sheetId="2" r:id="rId2"/>
    <sheet name="国证C1" sheetId="3" r:id="rId3"/>
    <sheet name="国证C2" sheetId="4" r:id="rId4"/>
    <sheet name="国证C3" sheetId="5" r:id="rId5"/>
    <sheet name="申万一级" sheetId="6" r:id="rId6"/>
    <sheet name="申万二级" sheetId="7" r:id="rId7"/>
    <sheet name="个股预期" sheetId="8" r:id="rId8"/>
    <sheet name="指数净资产增幅" sheetId="9" r:id="rId9"/>
    <sheet name="全指数估值" sheetId="10" r:id="rId10"/>
    <sheet name="portfolio" sheetId="11" r:id="rId11"/>
    <sheet name="可转债" sheetId="12" r:id="rId12"/>
    <sheet name="可转债轮动" sheetId="13" r:id="rId13"/>
    <sheet name="各指数涨势" sheetId="14" r:id="rId14"/>
    <sheet name="指数年度表现" sheetId="15" r:id="rId15"/>
    <sheet name="Sheet3" sheetId="16" r:id="rId16"/>
    <sheet name="基金公司列表" sheetId="17" r:id="rId17"/>
    <sheet name="盈利预测" sheetId="18" r:id="rId18"/>
    <sheet name="指数配置" sheetId="19" r:id="rId19"/>
    <sheet name="IRR" sheetId="20" r:id="rId20"/>
  </sheets>
  <definedNames>
    <definedName name="_xlnm._FilterDatabase" localSheetId="9" hidden="1">全指数估值!$A$1:$L$358</definedName>
    <definedName name="_xlnm._FilterDatabase" localSheetId="11" hidden="1">可转债!$A$2:$AA$2</definedName>
    <definedName name="_xlnm._FilterDatabase" localSheetId="13" hidden="1">各指数涨势!$A$1:$L$358</definedName>
    <definedName name="_xlnm._FilterDatabase" localSheetId="2" hidden="1">国证C1!$Q$1:$Q$313</definedName>
    <definedName name="_xlnm._FilterDatabase" localSheetId="5" hidden="1">申万一级!$B$2:$Q$30</definedName>
    <definedName name="_xlnm._FilterDatabase" localSheetId="6" hidden="1">申万二级!$J$1:$J$105</definedName>
    <definedName name="_xlnm._FilterDatabase" localSheetId="17" hidden="1">盈利预测!$A$2:$T$2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287" i="1" l="1"/>
  <c r="X287" i="1"/>
  <c r="W287" i="1"/>
  <c r="D32" i="20"/>
  <c r="A14" i="20"/>
  <c r="T1002" i="18"/>
  <c r="S1002" i="18"/>
  <c r="Q1002" i="18"/>
  <c r="P1002" i="18"/>
  <c r="O1002" i="18"/>
  <c r="T1001" i="18"/>
  <c r="S1001" i="18"/>
  <c r="Q1001" i="18"/>
  <c r="P1001" i="18"/>
  <c r="O1001" i="18"/>
  <c r="T1000" i="18"/>
  <c r="S1000" i="18"/>
  <c r="Q1000" i="18"/>
  <c r="P1000" i="18"/>
  <c r="O1000" i="18"/>
  <c r="T999" i="18"/>
  <c r="S999" i="18"/>
  <c r="Q999" i="18"/>
  <c r="P999" i="18"/>
  <c r="O999" i="18"/>
  <c r="T998" i="18"/>
  <c r="S998" i="18"/>
  <c r="Q998" i="18"/>
  <c r="P998" i="18"/>
  <c r="O998" i="18"/>
  <c r="T997" i="18"/>
  <c r="S997" i="18"/>
  <c r="Q997" i="18"/>
  <c r="P997" i="18"/>
  <c r="O997" i="18"/>
  <c r="T996" i="18"/>
  <c r="S996" i="18"/>
  <c r="Q996" i="18"/>
  <c r="P996" i="18"/>
  <c r="O996" i="18"/>
  <c r="T995" i="18"/>
  <c r="S995" i="18"/>
  <c r="Q995" i="18"/>
  <c r="P995" i="18"/>
  <c r="O995" i="18"/>
  <c r="T994" i="18"/>
  <c r="S994" i="18"/>
  <c r="Q994" i="18"/>
  <c r="P994" i="18"/>
  <c r="O994" i="18"/>
  <c r="T993" i="18"/>
  <c r="S993" i="18"/>
  <c r="Q993" i="18"/>
  <c r="P993" i="18"/>
  <c r="O993" i="18"/>
  <c r="T992" i="18"/>
  <c r="S992" i="18"/>
  <c r="Q992" i="18"/>
  <c r="P992" i="18"/>
  <c r="O992" i="18"/>
  <c r="T991" i="18"/>
  <c r="S991" i="18"/>
  <c r="Q991" i="18"/>
  <c r="P991" i="18"/>
  <c r="O991" i="18"/>
  <c r="T990" i="18"/>
  <c r="S990" i="18"/>
  <c r="Q990" i="18"/>
  <c r="P990" i="18"/>
  <c r="O990" i="18"/>
  <c r="T989" i="18"/>
  <c r="S989" i="18"/>
  <c r="Q989" i="18"/>
  <c r="P989" i="18"/>
  <c r="O989" i="18"/>
  <c r="T988" i="18"/>
  <c r="S988" i="18"/>
  <c r="Q988" i="18"/>
  <c r="P988" i="18"/>
  <c r="O988" i="18"/>
  <c r="T987" i="18"/>
  <c r="S987" i="18"/>
  <c r="Q987" i="18"/>
  <c r="P987" i="18"/>
  <c r="O987" i="18"/>
  <c r="T986" i="18"/>
  <c r="S986" i="18"/>
  <c r="Q986" i="18"/>
  <c r="P986" i="18"/>
  <c r="O986" i="18"/>
  <c r="T985" i="18"/>
  <c r="S985" i="18"/>
  <c r="Q985" i="18"/>
  <c r="P985" i="18"/>
  <c r="O985" i="18"/>
  <c r="T984" i="18"/>
  <c r="S984" i="18"/>
  <c r="Q984" i="18"/>
  <c r="P984" i="18"/>
  <c r="O984" i="18"/>
  <c r="T983" i="18"/>
  <c r="S983" i="18"/>
  <c r="Q983" i="18"/>
  <c r="P983" i="18"/>
  <c r="O983" i="18"/>
  <c r="T982" i="18"/>
  <c r="S982" i="18"/>
  <c r="Q982" i="18"/>
  <c r="P982" i="18"/>
  <c r="O982" i="18"/>
  <c r="T981" i="18"/>
  <c r="S981" i="18"/>
  <c r="Q981" i="18"/>
  <c r="P981" i="18"/>
  <c r="O981" i="18"/>
  <c r="T980" i="18"/>
  <c r="S980" i="18"/>
  <c r="Q980" i="18"/>
  <c r="P980" i="18"/>
  <c r="O980" i="18"/>
  <c r="T979" i="18"/>
  <c r="S979" i="18"/>
  <c r="Q979" i="18"/>
  <c r="P979" i="18"/>
  <c r="O979" i="18"/>
  <c r="T978" i="18"/>
  <c r="S978" i="18"/>
  <c r="Q978" i="18"/>
  <c r="P978" i="18"/>
  <c r="O978" i="18"/>
  <c r="T977" i="18"/>
  <c r="S977" i="18"/>
  <c r="Q977" i="18"/>
  <c r="P977" i="18"/>
  <c r="O977" i="18"/>
  <c r="T976" i="18"/>
  <c r="S976" i="18"/>
  <c r="Q976" i="18"/>
  <c r="P976" i="18"/>
  <c r="O976" i="18"/>
  <c r="T975" i="18"/>
  <c r="S975" i="18"/>
  <c r="Q975" i="18"/>
  <c r="P975" i="18"/>
  <c r="O975" i="18"/>
  <c r="T974" i="18"/>
  <c r="S974" i="18"/>
  <c r="Q974" i="18"/>
  <c r="P974" i="18"/>
  <c r="O974" i="18"/>
  <c r="T973" i="18"/>
  <c r="S973" i="18"/>
  <c r="Q973" i="18"/>
  <c r="P973" i="18"/>
  <c r="O973" i="18"/>
  <c r="T972" i="18"/>
  <c r="S972" i="18"/>
  <c r="Q972" i="18"/>
  <c r="P972" i="18"/>
  <c r="O972" i="18"/>
  <c r="T971" i="18"/>
  <c r="S971" i="18"/>
  <c r="Q971" i="18"/>
  <c r="P971" i="18"/>
  <c r="O971" i="18"/>
  <c r="T970" i="18"/>
  <c r="S970" i="18"/>
  <c r="Q970" i="18"/>
  <c r="P970" i="18"/>
  <c r="O970" i="18"/>
  <c r="T969" i="18"/>
  <c r="S969" i="18"/>
  <c r="Q969" i="18"/>
  <c r="P969" i="18"/>
  <c r="O969" i="18"/>
  <c r="T968" i="18"/>
  <c r="S968" i="18"/>
  <c r="Q968" i="18"/>
  <c r="P968" i="18"/>
  <c r="O968" i="18"/>
  <c r="T967" i="18"/>
  <c r="S967" i="18"/>
  <c r="Q967" i="18"/>
  <c r="P967" i="18"/>
  <c r="O967" i="18"/>
  <c r="T966" i="18"/>
  <c r="S966" i="18"/>
  <c r="Q966" i="18"/>
  <c r="P966" i="18"/>
  <c r="O966" i="18"/>
  <c r="T965" i="18"/>
  <c r="S965" i="18"/>
  <c r="Q965" i="18"/>
  <c r="P965" i="18"/>
  <c r="O965" i="18"/>
  <c r="T964" i="18"/>
  <c r="S964" i="18"/>
  <c r="Q964" i="18"/>
  <c r="P964" i="18"/>
  <c r="O964" i="18"/>
  <c r="T963" i="18"/>
  <c r="S963" i="18"/>
  <c r="Q963" i="18"/>
  <c r="P963" i="18"/>
  <c r="O963" i="18"/>
  <c r="T962" i="18"/>
  <c r="S962" i="18"/>
  <c r="Q962" i="18"/>
  <c r="P962" i="18"/>
  <c r="O962" i="18"/>
  <c r="T961" i="18"/>
  <c r="S961" i="18"/>
  <c r="Q961" i="18"/>
  <c r="P961" i="18"/>
  <c r="O961" i="18"/>
  <c r="T960" i="18"/>
  <c r="S960" i="18"/>
  <c r="Q960" i="18"/>
  <c r="P960" i="18"/>
  <c r="O960" i="18"/>
  <c r="T959" i="18"/>
  <c r="S959" i="18"/>
  <c r="Q959" i="18"/>
  <c r="P959" i="18"/>
  <c r="O959" i="18"/>
  <c r="T958" i="18"/>
  <c r="S958" i="18"/>
  <c r="Q958" i="18"/>
  <c r="P958" i="18"/>
  <c r="O958" i="18"/>
  <c r="T957" i="18"/>
  <c r="S957" i="18"/>
  <c r="Q957" i="18"/>
  <c r="P957" i="18"/>
  <c r="O957" i="18"/>
  <c r="T956" i="18"/>
  <c r="S956" i="18"/>
  <c r="Q956" i="18"/>
  <c r="P956" i="18"/>
  <c r="O956" i="18"/>
  <c r="T955" i="18"/>
  <c r="S955" i="18"/>
  <c r="Q955" i="18"/>
  <c r="P955" i="18"/>
  <c r="O955" i="18"/>
  <c r="T954" i="18"/>
  <c r="S954" i="18"/>
  <c r="Q954" i="18"/>
  <c r="P954" i="18"/>
  <c r="O954" i="18"/>
  <c r="T953" i="18"/>
  <c r="S953" i="18"/>
  <c r="Q953" i="18"/>
  <c r="P953" i="18"/>
  <c r="O953" i="18"/>
  <c r="T952" i="18"/>
  <c r="S952" i="18"/>
  <c r="Q952" i="18"/>
  <c r="P952" i="18"/>
  <c r="O952" i="18"/>
  <c r="T951" i="18"/>
  <c r="S951" i="18"/>
  <c r="Q951" i="18"/>
  <c r="P951" i="18"/>
  <c r="O951" i="18"/>
  <c r="T950" i="18"/>
  <c r="S950" i="18"/>
  <c r="Q950" i="18"/>
  <c r="P950" i="18"/>
  <c r="O950" i="18"/>
  <c r="T949" i="18"/>
  <c r="S949" i="18"/>
  <c r="Q949" i="18"/>
  <c r="P949" i="18"/>
  <c r="O949" i="18"/>
  <c r="T948" i="18"/>
  <c r="S948" i="18"/>
  <c r="Q948" i="18"/>
  <c r="P948" i="18"/>
  <c r="O948" i="18"/>
  <c r="T947" i="18"/>
  <c r="S947" i="18"/>
  <c r="Q947" i="18"/>
  <c r="P947" i="18"/>
  <c r="O947" i="18"/>
  <c r="T946" i="18"/>
  <c r="S946" i="18"/>
  <c r="Q946" i="18"/>
  <c r="P946" i="18"/>
  <c r="O946" i="18"/>
  <c r="T945" i="18"/>
  <c r="S945" i="18"/>
  <c r="Q945" i="18"/>
  <c r="P945" i="18"/>
  <c r="O945" i="18"/>
  <c r="T944" i="18"/>
  <c r="S944" i="18"/>
  <c r="Q944" i="18"/>
  <c r="P944" i="18"/>
  <c r="O944" i="18"/>
  <c r="T943" i="18"/>
  <c r="S943" i="18"/>
  <c r="Q943" i="18"/>
  <c r="P943" i="18"/>
  <c r="O943" i="18"/>
  <c r="T942" i="18"/>
  <c r="S942" i="18"/>
  <c r="Q942" i="18"/>
  <c r="P942" i="18"/>
  <c r="O942" i="18"/>
  <c r="T941" i="18"/>
  <c r="S941" i="18"/>
  <c r="Q941" i="18"/>
  <c r="P941" i="18"/>
  <c r="O941" i="18"/>
  <c r="T940" i="18"/>
  <c r="S940" i="18"/>
  <c r="Q940" i="18"/>
  <c r="P940" i="18"/>
  <c r="O940" i="18"/>
  <c r="T939" i="18"/>
  <c r="S939" i="18"/>
  <c r="Q939" i="18"/>
  <c r="P939" i="18"/>
  <c r="O939" i="18"/>
  <c r="T938" i="18"/>
  <c r="S938" i="18"/>
  <c r="Q938" i="18"/>
  <c r="P938" i="18"/>
  <c r="O938" i="18"/>
  <c r="T937" i="18"/>
  <c r="S937" i="18"/>
  <c r="Q937" i="18"/>
  <c r="P937" i="18"/>
  <c r="O937" i="18"/>
  <c r="T936" i="18"/>
  <c r="S936" i="18"/>
  <c r="Q936" i="18"/>
  <c r="P936" i="18"/>
  <c r="O936" i="18"/>
  <c r="T935" i="18"/>
  <c r="S935" i="18"/>
  <c r="Q935" i="18"/>
  <c r="P935" i="18"/>
  <c r="O935" i="18"/>
  <c r="T934" i="18"/>
  <c r="S934" i="18"/>
  <c r="Q934" i="18"/>
  <c r="P934" i="18"/>
  <c r="O934" i="18"/>
  <c r="T933" i="18"/>
  <c r="S933" i="18"/>
  <c r="Q933" i="18"/>
  <c r="P933" i="18"/>
  <c r="O933" i="18"/>
  <c r="T932" i="18"/>
  <c r="S932" i="18"/>
  <c r="Q932" i="18"/>
  <c r="P932" i="18"/>
  <c r="O932" i="18"/>
  <c r="T931" i="18"/>
  <c r="S931" i="18"/>
  <c r="Q931" i="18"/>
  <c r="P931" i="18"/>
  <c r="O931" i="18"/>
  <c r="T930" i="18"/>
  <c r="S930" i="18"/>
  <c r="Q930" i="18"/>
  <c r="P930" i="18"/>
  <c r="O930" i="18"/>
  <c r="T929" i="18"/>
  <c r="S929" i="18"/>
  <c r="Q929" i="18"/>
  <c r="P929" i="18"/>
  <c r="O929" i="18"/>
  <c r="T928" i="18"/>
  <c r="S928" i="18"/>
  <c r="Q928" i="18"/>
  <c r="P928" i="18"/>
  <c r="O928" i="18"/>
  <c r="T927" i="18"/>
  <c r="S927" i="18"/>
  <c r="Q927" i="18"/>
  <c r="P927" i="18"/>
  <c r="O927" i="18"/>
  <c r="T926" i="18"/>
  <c r="S926" i="18"/>
  <c r="Q926" i="18"/>
  <c r="P926" i="18"/>
  <c r="O926" i="18"/>
  <c r="T925" i="18"/>
  <c r="S925" i="18"/>
  <c r="Q925" i="18"/>
  <c r="P925" i="18"/>
  <c r="O925" i="18"/>
  <c r="T924" i="18"/>
  <c r="S924" i="18"/>
  <c r="Q924" i="18"/>
  <c r="P924" i="18"/>
  <c r="O924" i="18"/>
  <c r="T923" i="18"/>
  <c r="S923" i="18"/>
  <c r="Q923" i="18"/>
  <c r="P923" i="18"/>
  <c r="O923" i="18"/>
  <c r="T922" i="18"/>
  <c r="S922" i="18"/>
  <c r="Q922" i="18"/>
  <c r="P922" i="18"/>
  <c r="O922" i="18"/>
  <c r="T921" i="18"/>
  <c r="S921" i="18"/>
  <c r="Q921" i="18"/>
  <c r="P921" i="18"/>
  <c r="O921" i="18"/>
  <c r="T920" i="18"/>
  <c r="S920" i="18"/>
  <c r="Q920" i="18"/>
  <c r="P920" i="18"/>
  <c r="O920" i="18"/>
  <c r="T919" i="18"/>
  <c r="S919" i="18"/>
  <c r="Q919" i="18"/>
  <c r="P919" i="18"/>
  <c r="O919" i="18"/>
  <c r="T918" i="18"/>
  <c r="S918" i="18"/>
  <c r="Q918" i="18"/>
  <c r="P918" i="18"/>
  <c r="O918" i="18"/>
  <c r="T917" i="18"/>
  <c r="S917" i="18"/>
  <c r="Q917" i="18"/>
  <c r="P917" i="18"/>
  <c r="O917" i="18"/>
  <c r="T916" i="18"/>
  <c r="S916" i="18"/>
  <c r="Q916" i="18"/>
  <c r="P916" i="18"/>
  <c r="O916" i="18"/>
  <c r="T915" i="18"/>
  <c r="S915" i="18"/>
  <c r="Q915" i="18"/>
  <c r="P915" i="18"/>
  <c r="O915" i="18"/>
  <c r="T914" i="18"/>
  <c r="S914" i="18"/>
  <c r="Q914" i="18"/>
  <c r="P914" i="18"/>
  <c r="O914" i="18"/>
  <c r="T913" i="18"/>
  <c r="S913" i="18"/>
  <c r="Q913" i="18"/>
  <c r="P913" i="18"/>
  <c r="O913" i="18"/>
  <c r="T912" i="18"/>
  <c r="S912" i="18"/>
  <c r="Q912" i="18"/>
  <c r="P912" i="18"/>
  <c r="O912" i="18"/>
  <c r="T911" i="18"/>
  <c r="S911" i="18"/>
  <c r="Q911" i="18"/>
  <c r="P911" i="18"/>
  <c r="O911" i="18"/>
  <c r="T910" i="18"/>
  <c r="S910" i="18"/>
  <c r="Q910" i="18"/>
  <c r="P910" i="18"/>
  <c r="O910" i="18"/>
  <c r="T909" i="18"/>
  <c r="S909" i="18"/>
  <c r="Q909" i="18"/>
  <c r="P909" i="18"/>
  <c r="O909" i="18"/>
  <c r="T908" i="18"/>
  <c r="S908" i="18"/>
  <c r="Q908" i="18"/>
  <c r="P908" i="18"/>
  <c r="O908" i="18"/>
  <c r="T907" i="18"/>
  <c r="S907" i="18"/>
  <c r="Q907" i="18"/>
  <c r="P907" i="18"/>
  <c r="O907" i="18"/>
  <c r="T906" i="18"/>
  <c r="S906" i="18"/>
  <c r="Q906" i="18"/>
  <c r="P906" i="18"/>
  <c r="O906" i="18"/>
  <c r="T905" i="18"/>
  <c r="S905" i="18"/>
  <c r="Q905" i="18"/>
  <c r="P905" i="18"/>
  <c r="O905" i="18"/>
  <c r="T904" i="18"/>
  <c r="S904" i="18"/>
  <c r="Q904" i="18"/>
  <c r="P904" i="18"/>
  <c r="O904" i="18"/>
  <c r="T903" i="18"/>
  <c r="S903" i="18"/>
  <c r="Q903" i="18"/>
  <c r="P903" i="18"/>
  <c r="O903" i="18"/>
  <c r="T902" i="18"/>
  <c r="S902" i="18"/>
  <c r="Q902" i="18"/>
  <c r="P902" i="18"/>
  <c r="O902" i="18"/>
  <c r="T901" i="18"/>
  <c r="S901" i="18"/>
  <c r="Q901" i="18"/>
  <c r="P901" i="18"/>
  <c r="O901" i="18"/>
  <c r="T900" i="18"/>
  <c r="S900" i="18"/>
  <c r="Q900" i="18"/>
  <c r="P900" i="18"/>
  <c r="O900" i="18"/>
  <c r="T899" i="18"/>
  <c r="S899" i="18"/>
  <c r="Q899" i="18"/>
  <c r="P899" i="18"/>
  <c r="O899" i="18"/>
  <c r="T898" i="18"/>
  <c r="S898" i="18"/>
  <c r="Q898" i="18"/>
  <c r="P898" i="18"/>
  <c r="O898" i="18"/>
  <c r="T897" i="18"/>
  <c r="S897" i="18"/>
  <c r="Q897" i="18"/>
  <c r="P897" i="18"/>
  <c r="O897" i="18"/>
  <c r="T896" i="18"/>
  <c r="S896" i="18"/>
  <c r="Q896" i="18"/>
  <c r="P896" i="18"/>
  <c r="O896" i="18"/>
  <c r="T895" i="18"/>
  <c r="S895" i="18"/>
  <c r="Q895" i="18"/>
  <c r="P895" i="18"/>
  <c r="O895" i="18"/>
  <c r="T894" i="18"/>
  <c r="S894" i="18"/>
  <c r="Q894" i="18"/>
  <c r="P894" i="18"/>
  <c r="O894" i="18"/>
  <c r="T893" i="18"/>
  <c r="S893" i="18"/>
  <c r="Q893" i="18"/>
  <c r="P893" i="18"/>
  <c r="O893" i="18"/>
  <c r="T892" i="18"/>
  <c r="S892" i="18"/>
  <c r="Q892" i="18"/>
  <c r="P892" i="18"/>
  <c r="O892" i="18"/>
  <c r="T891" i="18"/>
  <c r="S891" i="18"/>
  <c r="Q891" i="18"/>
  <c r="P891" i="18"/>
  <c r="O891" i="18"/>
  <c r="T890" i="18"/>
  <c r="S890" i="18"/>
  <c r="Q890" i="18"/>
  <c r="P890" i="18"/>
  <c r="O890" i="18"/>
  <c r="T889" i="18"/>
  <c r="S889" i="18"/>
  <c r="Q889" i="18"/>
  <c r="P889" i="18"/>
  <c r="O889" i="18"/>
  <c r="T888" i="18"/>
  <c r="S888" i="18"/>
  <c r="Q888" i="18"/>
  <c r="P888" i="18"/>
  <c r="O888" i="18"/>
  <c r="T887" i="18"/>
  <c r="S887" i="18"/>
  <c r="Q887" i="18"/>
  <c r="P887" i="18"/>
  <c r="O887" i="18"/>
  <c r="T886" i="18"/>
  <c r="S886" i="18"/>
  <c r="Q886" i="18"/>
  <c r="P886" i="18"/>
  <c r="O886" i="18"/>
  <c r="T885" i="18"/>
  <c r="S885" i="18"/>
  <c r="Q885" i="18"/>
  <c r="P885" i="18"/>
  <c r="O885" i="18"/>
  <c r="T884" i="18"/>
  <c r="S884" i="18"/>
  <c r="Q884" i="18"/>
  <c r="P884" i="18"/>
  <c r="O884" i="18"/>
  <c r="T883" i="18"/>
  <c r="S883" i="18"/>
  <c r="Q883" i="18"/>
  <c r="P883" i="18"/>
  <c r="O883" i="18"/>
  <c r="T882" i="18"/>
  <c r="S882" i="18"/>
  <c r="Q882" i="18"/>
  <c r="P882" i="18"/>
  <c r="O882" i="18"/>
  <c r="T881" i="18"/>
  <c r="S881" i="18"/>
  <c r="Q881" i="18"/>
  <c r="P881" i="18"/>
  <c r="O881" i="18"/>
  <c r="T880" i="18"/>
  <c r="S880" i="18"/>
  <c r="Q880" i="18"/>
  <c r="P880" i="18"/>
  <c r="O880" i="18"/>
  <c r="T879" i="18"/>
  <c r="S879" i="18"/>
  <c r="Q879" i="18"/>
  <c r="P879" i="18"/>
  <c r="O879" i="18"/>
  <c r="T878" i="18"/>
  <c r="S878" i="18"/>
  <c r="Q878" i="18"/>
  <c r="P878" i="18"/>
  <c r="O878" i="18"/>
  <c r="T877" i="18"/>
  <c r="S877" i="18"/>
  <c r="Q877" i="18"/>
  <c r="P877" i="18"/>
  <c r="O877" i="18"/>
  <c r="T876" i="18"/>
  <c r="S876" i="18"/>
  <c r="Q876" i="18"/>
  <c r="P876" i="18"/>
  <c r="O876" i="18"/>
  <c r="T875" i="18"/>
  <c r="S875" i="18"/>
  <c r="Q875" i="18"/>
  <c r="P875" i="18"/>
  <c r="O875" i="18"/>
  <c r="T874" i="18"/>
  <c r="S874" i="18"/>
  <c r="Q874" i="18"/>
  <c r="P874" i="18"/>
  <c r="O874" i="18"/>
  <c r="T873" i="18"/>
  <c r="S873" i="18"/>
  <c r="Q873" i="18"/>
  <c r="P873" i="18"/>
  <c r="O873" i="18"/>
  <c r="T872" i="18"/>
  <c r="S872" i="18"/>
  <c r="Q872" i="18"/>
  <c r="P872" i="18"/>
  <c r="O872" i="18"/>
  <c r="T871" i="18"/>
  <c r="S871" i="18"/>
  <c r="Q871" i="18"/>
  <c r="P871" i="18"/>
  <c r="O871" i="18"/>
  <c r="T870" i="18"/>
  <c r="S870" i="18"/>
  <c r="Q870" i="18"/>
  <c r="P870" i="18"/>
  <c r="O870" i="18"/>
  <c r="T869" i="18"/>
  <c r="S869" i="18"/>
  <c r="Q869" i="18"/>
  <c r="P869" i="18"/>
  <c r="O869" i="18"/>
  <c r="T868" i="18"/>
  <c r="S868" i="18"/>
  <c r="Q868" i="18"/>
  <c r="P868" i="18"/>
  <c r="O868" i="18"/>
  <c r="T867" i="18"/>
  <c r="S867" i="18"/>
  <c r="Q867" i="18"/>
  <c r="P867" i="18"/>
  <c r="O867" i="18"/>
  <c r="T866" i="18"/>
  <c r="S866" i="18"/>
  <c r="Q866" i="18"/>
  <c r="P866" i="18"/>
  <c r="O866" i="18"/>
  <c r="T865" i="18"/>
  <c r="S865" i="18"/>
  <c r="Q865" i="18"/>
  <c r="P865" i="18"/>
  <c r="O865" i="18"/>
  <c r="T864" i="18"/>
  <c r="S864" i="18"/>
  <c r="Q864" i="18"/>
  <c r="P864" i="18"/>
  <c r="O864" i="18"/>
  <c r="T863" i="18"/>
  <c r="S863" i="18"/>
  <c r="Q863" i="18"/>
  <c r="P863" i="18"/>
  <c r="O863" i="18"/>
  <c r="T862" i="18"/>
  <c r="S862" i="18"/>
  <c r="Q862" i="18"/>
  <c r="P862" i="18"/>
  <c r="O862" i="18"/>
  <c r="T861" i="18"/>
  <c r="S861" i="18"/>
  <c r="Q861" i="18"/>
  <c r="P861" i="18"/>
  <c r="O861" i="18"/>
  <c r="T860" i="18"/>
  <c r="S860" i="18"/>
  <c r="Q860" i="18"/>
  <c r="P860" i="18"/>
  <c r="O860" i="18"/>
  <c r="T859" i="18"/>
  <c r="S859" i="18"/>
  <c r="Q859" i="18"/>
  <c r="P859" i="18"/>
  <c r="O859" i="18"/>
  <c r="T858" i="18"/>
  <c r="S858" i="18"/>
  <c r="Q858" i="18"/>
  <c r="P858" i="18"/>
  <c r="O858" i="18"/>
  <c r="T857" i="18"/>
  <c r="S857" i="18"/>
  <c r="Q857" i="18"/>
  <c r="P857" i="18"/>
  <c r="O857" i="18"/>
  <c r="T856" i="18"/>
  <c r="S856" i="18"/>
  <c r="Q856" i="18"/>
  <c r="P856" i="18"/>
  <c r="O856" i="18"/>
  <c r="T855" i="18"/>
  <c r="S855" i="18"/>
  <c r="Q855" i="18"/>
  <c r="P855" i="18"/>
  <c r="O855" i="18"/>
  <c r="T854" i="18"/>
  <c r="S854" i="18"/>
  <c r="Q854" i="18"/>
  <c r="P854" i="18"/>
  <c r="O854" i="18"/>
  <c r="T853" i="18"/>
  <c r="S853" i="18"/>
  <c r="Q853" i="18"/>
  <c r="P853" i="18"/>
  <c r="O853" i="18"/>
  <c r="T852" i="18"/>
  <c r="S852" i="18"/>
  <c r="Q852" i="18"/>
  <c r="P852" i="18"/>
  <c r="O852" i="18"/>
  <c r="T851" i="18"/>
  <c r="S851" i="18"/>
  <c r="Q851" i="18"/>
  <c r="P851" i="18"/>
  <c r="O851" i="18"/>
  <c r="T850" i="18"/>
  <c r="S850" i="18"/>
  <c r="Q850" i="18"/>
  <c r="P850" i="18"/>
  <c r="O850" i="18"/>
  <c r="T849" i="18"/>
  <c r="S849" i="18"/>
  <c r="Q849" i="18"/>
  <c r="P849" i="18"/>
  <c r="O849" i="18"/>
  <c r="T848" i="18"/>
  <c r="S848" i="18"/>
  <c r="Q848" i="18"/>
  <c r="P848" i="18"/>
  <c r="O848" i="18"/>
  <c r="T847" i="18"/>
  <c r="S847" i="18"/>
  <c r="Q847" i="18"/>
  <c r="P847" i="18"/>
  <c r="O847" i="18"/>
  <c r="T846" i="18"/>
  <c r="S846" i="18"/>
  <c r="Q846" i="18"/>
  <c r="P846" i="18"/>
  <c r="O846" i="18"/>
  <c r="T845" i="18"/>
  <c r="S845" i="18"/>
  <c r="Q845" i="18"/>
  <c r="P845" i="18"/>
  <c r="O845" i="18"/>
  <c r="T844" i="18"/>
  <c r="S844" i="18"/>
  <c r="Q844" i="18"/>
  <c r="P844" i="18"/>
  <c r="O844" i="18"/>
  <c r="T843" i="18"/>
  <c r="S843" i="18"/>
  <c r="Q843" i="18"/>
  <c r="P843" i="18"/>
  <c r="O843" i="18"/>
  <c r="T842" i="18"/>
  <c r="S842" i="18"/>
  <c r="Q842" i="18"/>
  <c r="P842" i="18"/>
  <c r="O842" i="18"/>
  <c r="T841" i="18"/>
  <c r="S841" i="18"/>
  <c r="Q841" i="18"/>
  <c r="P841" i="18"/>
  <c r="O841" i="18"/>
  <c r="T840" i="18"/>
  <c r="S840" i="18"/>
  <c r="Q840" i="18"/>
  <c r="P840" i="18"/>
  <c r="O840" i="18"/>
  <c r="T839" i="18"/>
  <c r="S839" i="18"/>
  <c r="Q839" i="18"/>
  <c r="P839" i="18"/>
  <c r="O839" i="18"/>
  <c r="T838" i="18"/>
  <c r="S838" i="18"/>
  <c r="Q838" i="18"/>
  <c r="P838" i="18"/>
  <c r="O838" i="18"/>
  <c r="T837" i="18"/>
  <c r="S837" i="18"/>
  <c r="Q837" i="18"/>
  <c r="P837" i="18"/>
  <c r="O837" i="18"/>
  <c r="T836" i="18"/>
  <c r="S836" i="18"/>
  <c r="Q836" i="18"/>
  <c r="P836" i="18"/>
  <c r="O836" i="18"/>
  <c r="T835" i="18"/>
  <c r="S835" i="18"/>
  <c r="Q835" i="18"/>
  <c r="P835" i="18"/>
  <c r="O835" i="18"/>
  <c r="T834" i="18"/>
  <c r="S834" i="18"/>
  <c r="Q834" i="18"/>
  <c r="P834" i="18"/>
  <c r="O834" i="18"/>
  <c r="T833" i="18"/>
  <c r="S833" i="18"/>
  <c r="Q833" i="18"/>
  <c r="P833" i="18"/>
  <c r="O833" i="18"/>
  <c r="T832" i="18"/>
  <c r="S832" i="18"/>
  <c r="Q832" i="18"/>
  <c r="P832" i="18"/>
  <c r="O832" i="18"/>
  <c r="T831" i="18"/>
  <c r="S831" i="18"/>
  <c r="Q831" i="18"/>
  <c r="P831" i="18"/>
  <c r="O831" i="18"/>
  <c r="T830" i="18"/>
  <c r="S830" i="18"/>
  <c r="Q830" i="18"/>
  <c r="P830" i="18"/>
  <c r="O830" i="18"/>
  <c r="T829" i="18"/>
  <c r="S829" i="18"/>
  <c r="Q829" i="18"/>
  <c r="P829" i="18"/>
  <c r="O829" i="18"/>
  <c r="T828" i="18"/>
  <c r="S828" i="18"/>
  <c r="Q828" i="18"/>
  <c r="P828" i="18"/>
  <c r="O828" i="18"/>
  <c r="T827" i="18"/>
  <c r="S827" i="18"/>
  <c r="Q827" i="18"/>
  <c r="P827" i="18"/>
  <c r="O827" i="18"/>
  <c r="T826" i="18"/>
  <c r="S826" i="18"/>
  <c r="Q826" i="18"/>
  <c r="P826" i="18"/>
  <c r="O826" i="18"/>
  <c r="T825" i="18"/>
  <c r="S825" i="18"/>
  <c r="Q825" i="18"/>
  <c r="P825" i="18"/>
  <c r="O825" i="18"/>
  <c r="T824" i="18"/>
  <c r="S824" i="18"/>
  <c r="Q824" i="18"/>
  <c r="P824" i="18"/>
  <c r="O824" i="18"/>
  <c r="T823" i="18"/>
  <c r="S823" i="18"/>
  <c r="Q823" i="18"/>
  <c r="P823" i="18"/>
  <c r="O823" i="18"/>
  <c r="T822" i="18"/>
  <c r="S822" i="18"/>
  <c r="Q822" i="18"/>
  <c r="P822" i="18"/>
  <c r="O822" i="18"/>
  <c r="T821" i="18"/>
  <c r="S821" i="18"/>
  <c r="Q821" i="18"/>
  <c r="P821" i="18"/>
  <c r="O821" i="18"/>
  <c r="T820" i="18"/>
  <c r="S820" i="18"/>
  <c r="Q820" i="18"/>
  <c r="P820" i="18"/>
  <c r="O820" i="18"/>
  <c r="T819" i="18"/>
  <c r="S819" i="18"/>
  <c r="Q819" i="18"/>
  <c r="P819" i="18"/>
  <c r="O819" i="18"/>
  <c r="T818" i="18"/>
  <c r="S818" i="18"/>
  <c r="Q818" i="18"/>
  <c r="P818" i="18"/>
  <c r="O818" i="18"/>
  <c r="T817" i="18"/>
  <c r="S817" i="18"/>
  <c r="Q817" i="18"/>
  <c r="P817" i="18"/>
  <c r="O817" i="18"/>
  <c r="T816" i="18"/>
  <c r="S816" i="18"/>
  <c r="Q816" i="18"/>
  <c r="P816" i="18"/>
  <c r="O816" i="18"/>
  <c r="T815" i="18"/>
  <c r="S815" i="18"/>
  <c r="Q815" i="18"/>
  <c r="P815" i="18"/>
  <c r="O815" i="18"/>
  <c r="T814" i="18"/>
  <c r="S814" i="18"/>
  <c r="Q814" i="18"/>
  <c r="P814" i="18"/>
  <c r="O814" i="18"/>
  <c r="T813" i="18"/>
  <c r="S813" i="18"/>
  <c r="Q813" i="18"/>
  <c r="P813" i="18"/>
  <c r="O813" i="18"/>
  <c r="T812" i="18"/>
  <c r="S812" i="18"/>
  <c r="Q812" i="18"/>
  <c r="P812" i="18"/>
  <c r="O812" i="18"/>
  <c r="T811" i="18"/>
  <c r="S811" i="18"/>
  <c r="Q811" i="18"/>
  <c r="P811" i="18"/>
  <c r="O811" i="18"/>
  <c r="T810" i="18"/>
  <c r="S810" i="18"/>
  <c r="Q810" i="18"/>
  <c r="P810" i="18"/>
  <c r="O810" i="18"/>
  <c r="T809" i="18"/>
  <c r="S809" i="18"/>
  <c r="Q809" i="18"/>
  <c r="P809" i="18"/>
  <c r="O809" i="18"/>
  <c r="T808" i="18"/>
  <c r="S808" i="18"/>
  <c r="Q808" i="18"/>
  <c r="P808" i="18"/>
  <c r="O808" i="18"/>
  <c r="T807" i="18"/>
  <c r="S807" i="18"/>
  <c r="Q807" i="18"/>
  <c r="P807" i="18"/>
  <c r="O807" i="18"/>
  <c r="T806" i="18"/>
  <c r="S806" i="18"/>
  <c r="Q806" i="18"/>
  <c r="P806" i="18"/>
  <c r="O806" i="18"/>
  <c r="T805" i="18"/>
  <c r="S805" i="18"/>
  <c r="Q805" i="18"/>
  <c r="P805" i="18"/>
  <c r="O805" i="18"/>
  <c r="T804" i="18"/>
  <c r="S804" i="18"/>
  <c r="Q804" i="18"/>
  <c r="P804" i="18"/>
  <c r="O804" i="18"/>
  <c r="T803" i="18"/>
  <c r="S803" i="18"/>
  <c r="Q803" i="18"/>
  <c r="P803" i="18"/>
  <c r="O803" i="18"/>
  <c r="T802" i="18"/>
  <c r="S802" i="18"/>
  <c r="Q802" i="18"/>
  <c r="P802" i="18"/>
  <c r="O802" i="18"/>
  <c r="T801" i="18"/>
  <c r="S801" i="18"/>
  <c r="Q801" i="18"/>
  <c r="P801" i="18"/>
  <c r="O801" i="18"/>
  <c r="T800" i="18"/>
  <c r="S800" i="18"/>
  <c r="Q800" i="18"/>
  <c r="P800" i="18"/>
  <c r="O800" i="18"/>
  <c r="T799" i="18"/>
  <c r="S799" i="18"/>
  <c r="Q799" i="18"/>
  <c r="P799" i="18"/>
  <c r="O799" i="18"/>
  <c r="T798" i="18"/>
  <c r="S798" i="18"/>
  <c r="Q798" i="18"/>
  <c r="P798" i="18"/>
  <c r="O798" i="18"/>
  <c r="T797" i="18"/>
  <c r="S797" i="18"/>
  <c r="Q797" i="18"/>
  <c r="P797" i="18"/>
  <c r="O797" i="18"/>
  <c r="T796" i="18"/>
  <c r="S796" i="18"/>
  <c r="Q796" i="18"/>
  <c r="P796" i="18"/>
  <c r="O796" i="18"/>
  <c r="T795" i="18"/>
  <c r="S795" i="18"/>
  <c r="Q795" i="18"/>
  <c r="P795" i="18"/>
  <c r="O795" i="18"/>
  <c r="T794" i="18"/>
  <c r="S794" i="18"/>
  <c r="Q794" i="18"/>
  <c r="P794" i="18"/>
  <c r="O794" i="18"/>
  <c r="T793" i="18"/>
  <c r="S793" i="18"/>
  <c r="Q793" i="18"/>
  <c r="P793" i="18"/>
  <c r="O793" i="18"/>
  <c r="T792" i="18"/>
  <c r="S792" i="18"/>
  <c r="Q792" i="18"/>
  <c r="P792" i="18"/>
  <c r="O792" i="18"/>
  <c r="T791" i="18"/>
  <c r="S791" i="18"/>
  <c r="Q791" i="18"/>
  <c r="P791" i="18"/>
  <c r="O791" i="18"/>
  <c r="T790" i="18"/>
  <c r="S790" i="18"/>
  <c r="Q790" i="18"/>
  <c r="P790" i="18"/>
  <c r="O790" i="18"/>
  <c r="T789" i="18"/>
  <c r="S789" i="18"/>
  <c r="Q789" i="18"/>
  <c r="P789" i="18"/>
  <c r="O789" i="18"/>
  <c r="T788" i="18"/>
  <c r="S788" i="18"/>
  <c r="Q788" i="18"/>
  <c r="P788" i="18"/>
  <c r="O788" i="18"/>
  <c r="T787" i="18"/>
  <c r="S787" i="18"/>
  <c r="Q787" i="18"/>
  <c r="P787" i="18"/>
  <c r="O787" i="18"/>
  <c r="T786" i="18"/>
  <c r="S786" i="18"/>
  <c r="Q786" i="18"/>
  <c r="P786" i="18"/>
  <c r="O786" i="18"/>
  <c r="T785" i="18"/>
  <c r="S785" i="18"/>
  <c r="Q785" i="18"/>
  <c r="P785" i="18"/>
  <c r="O785" i="18"/>
  <c r="T784" i="18"/>
  <c r="S784" i="18"/>
  <c r="Q784" i="18"/>
  <c r="P784" i="18"/>
  <c r="O784" i="18"/>
  <c r="T783" i="18"/>
  <c r="S783" i="18"/>
  <c r="Q783" i="18"/>
  <c r="P783" i="18"/>
  <c r="O783" i="18"/>
  <c r="T782" i="18"/>
  <c r="S782" i="18"/>
  <c r="Q782" i="18"/>
  <c r="P782" i="18"/>
  <c r="O782" i="18"/>
  <c r="T781" i="18"/>
  <c r="S781" i="18"/>
  <c r="Q781" i="18"/>
  <c r="P781" i="18"/>
  <c r="O781" i="18"/>
  <c r="T780" i="18"/>
  <c r="S780" i="18"/>
  <c r="Q780" i="18"/>
  <c r="P780" i="18"/>
  <c r="O780" i="18"/>
  <c r="T779" i="18"/>
  <c r="S779" i="18"/>
  <c r="Q779" i="18"/>
  <c r="P779" i="18"/>
  <c r="O779" i="18"/>
  <c r="T778" i="18"/>
  <c r="S778" i="18"/>
  <c r="Q778" i="18"/>
  <c r="P778" i="18"/>
  <c r="O778" i="18"/>
  <c r="T777" i="18"/>
  <c r="S777" i="18"/>
  <c r="Q777" i="18"/>
  <c r="P777" i="18"/>
  <c r="O777" i="18"/>
  <c r="T776" i="18"/>
  <c r="S776" i="18"/>
  <c r="Q776" i="18"/>
  <c r="P776" i="18"/>
  <c r="O776" i="18"/>
  <c r="T775" i="18"/>
  <c r="S775" i="18"/>
  <c r="Q775" i="18"/>
  <c r="P775" i="18"/>
  <c r="O775" i="18"/>
  <c r="T774" i="18"/>
  <c r="S774" i="18"/>
  <c r="Q774" i="18"/>
  <c r="P774" i="18"/>
  <c r="O774" i="18"/>
  <c r="T773" i="18"/>
  <c r="S773" i="18"/>
  <c r="Q773" i="18"/>
  <c r="P773" i="18"/>
  <c r="O773" i="18"/>
  <c r="T772" i="18"/>
  <c r="S772" i="18"/>
  <c r="Q772" i="18"/>
  <c r="P772" i="18"/>
  <c r="O772" i="18"/>
  <c r="T771" i="18"/>
  <c r="S771" i="18"/>
  <c r="Q771" i="18"/>
  <c r="P771" i="18"/>
  <c r="O771" i="18"/>
  <c r="T770" i="18"/>
  <c r="S770" i="18"/>
  <c r="Q770" i="18"/>
  <c r="P770" i="18"/>
  <c r="O770" i="18"/>
  <c r="T769" i="18"/>
  <c r="S769" i="18"/>
  <c r="Q769" i="18"/>
  <c r="P769" i="18"/>
  <c r="O769" i="18"/>
  <c r="T768" i="18"/>
  <c r="S768" i="18"/>
  <c r="Q768" i="18"/>
  <c r="P768" i="18"/>
  <c r="O768" i="18"/>
  <c r="T767" i="18"/>
  <c r="S767" i="18"/>
  <c r="Q767" i="18"/>
  <c r="P767" i="18"/>
  <c r="O767" i="18"/>
  <c r="T766" i="18"/>
  <c r="S766" i="18"/>
  <c r="Q766" i="18"/>
  <c r="P766" i="18"/>
  <c r="O766" i="18"/>
  <c r="T765" i="18"/>
  <c r="S765" i="18"/>
  <c r="Q765" i="18"/>
  <c r="P765" i="18"/>
  <c r="O765" i="18"/>
  <c r="T764" i="18"/>
  <c r="S764" i="18"/>
  <c r="Q764" i="18"/>
  <c r="P764" i="18"/>
  <c r="O764" i="18"/>
  <c r="T763" i="18"/>
  <c r="S763" i="18"/>
  <c r="Q763" i="18"/>
  <c r="P763" i="18"/>
  <c r="O763" i="18"/>
  <c r="T762" i="18"/>
  <c r="S762" i="18"/>
  <c r="Q762" i="18"/>
  <c r="P762" i="18"/>
  <c r="O762" i="18"/>
  <c r="T761" i="18"/>
  <c r="S761" i="18"/>
  <c r="Q761" i="18"/>
  <c r="P761" i="18"/>
  <c r="O761" i="18"/>
  <c r="T760" i="18"/>
  <c r="S760" i="18"/>
  <c r="Q760" i="18"/>
  <c r="P760" i="18"/>
  <c r="O760" i="18"/>
  <c r="T759" i="18"/>
  <c r="S759" i="18"/>
  <c r="Q759" i="18"/>
  <c r="P759" i="18"/>
  <c r="O759" i="18"/>
  <c r="T758" i="18"/>
  <c r="S758" i="18"/>
  <c r="Q758" i="18"/>
  <c r="P758" i="18"/>
  <c r="O758" i="18"/>
  <c r="T757" i="18"/>
  <c r="S757" i="18"/>
  <c r="Q757" i="18"/>
  <c r="P757" i="18"/>
  <c r="O757" i="18"/>
  <c r="T756" i="18"/>
  <c r="S756" i="18"/>
  <c r="Q756" i="18"/>
  <c r="P756" i="18"/>
  <c r="O756" i="18"/>
  <c r="T755" i="18"/>
  <c r="S755" i="18"/>
  <c r="Q755" i="18"/>
  <c r="P755" i="18"/>
  <c r="O755" i="18"/>
  <c r="T754" i="18"/>
  <c r="S754" i="18"/>
  <c r="Q754" i="18"/>
  <c r="P754" i="18"/>
  <c r="O754" i="18"/>
  <c r="T753" i="18"/>
  <c r="S753" i="18"/>
  <c r="Q753" i="18"/>
  <c r="P753" i="18"/>
  <c r="O753" i="18"/>
  <c r="T752" i="18"/>
  <c r="S752" i="18"/>
  <c r="Q752" i="18"/>
  <c r="P752" i="18"/>
  <c r="O752" i="18"/>
  <c r="T751" i="18"/>
  <c r="S751" i="18"/>
  <c r="Q751" i="18"/>
  <c r="P751" i="18"/>
  <c r="O751" i="18"/>
  <c r="T750" i="18"/>
  <c r="S750" i="18"/>
  <c r="Q750" i="18"/>
  <c r="P750" i="18"/>
  <c r="O750" i="18"/>
  <c r="T749" i="18"/>
  <c r="S749" i="18"/>
  <c r="Q749" i="18"/>
  <c r="P749" i="18"/>
  <c r="O749" i="18"/>
  <c r="T748" i="18"/>
  <c r="S748" i="18"/>
  <c r="Q748" i="18"/>
  <c r="P748" i="18"/>
  <c r="O748" i="18"/>
  <c r="T747" i="18"/>
  <c r="S747" i="18"/>
  <c r="Q747" i="18"/>
  <c r="P747" i="18"/>
  <c r="O747" i="18"/>
  <c r="T746" i="18"/>
  <c r="S746" i="18"/>
  <c r="Q746" i="18"/>
  <c r="P746" i="18"/>
  <c r="O746" i="18"/>
  <c r="T745" i="18"/>
  <c r="S745" i="18"/>
  <c r="Q745" i="18"/>
  <c r="P745" i="18"/>
  <c r="O745" i="18"/>
  <c r="T744" i="18"/>
  <c r="S744" i="18"/>
  <c r="Q744" i="18"/>
  <c r="P744" i="18"/>
  <c r="O744" i="18"/>
  <c r="T743" i="18"/>
  <c r="S743" i="18"/>
  <c r="Q743" i="18"/>
  <c r="P743" i="18"/>
  <c r="O743" i="18"/>
  <c r="T742" i="18"/>
  <c r="S742" i="18"/>
  <c r="Q742" i="18"/>
  <c r="P742" i="18"/>
  <c r="O742" i="18"/>
  <c r="T741" i="18"/>
  <c r="S741" i="18"/>
  <c r="Q741" i="18"/>
  <c r="P741" i="18"/>
  <c r="O741" i="18"/>
  <c r="T740" i="18"/>
  <c r="S740" i="18"/>
  <c r="Q740" i="18"/>
  <c r="P740" i="18"/>
  <c r="O740" i="18"/>
  <c r="T739" i="18"/>
  <c r="S739" i="18"/>
  <c r="Q739" i="18"/>
  <c r="P739" i="18"/>
  <c r="O739" i="18"/>
  <c r="T738" i="18"/>
  <c r="S738" i="18"/>
  <c r="Q738" i="18"/>
  <c r="P738" i="18"/>
  <c r="O738" i="18"/>
  <c r="T737" i="18"/>
  <c r="S737" i="18"/>
  <c r="Q737" i="18"/>
  <c r="P737" i="18"/>
  <c r="O737" i="18"/>
  <c r="T736" i="18"/>
  <c r="S736" i="18"/>
  <c r="Q736" i="18"/>
  <c r="P736" i="18"/>
  <c r="O736" i="18"/>
  <c r="T735" i="18"/>
  <c r="S735" i="18"/>
  <c r="Q735" i="18"/>
  <c r="P735" i="18"/>
  <c r="O735" i="18"/>
  <c r="T734" i="18"/>
  <c r="S734" i="18"/>
  <c r="Q734" i="18"/>
  <c r="P734" i="18"/>
  <c r="O734" i="18"/>
  <c r="T733" i="18"/>
  <c r="S733" i="18"/>
  <c r="Q733" i="18"/>
  <c r="P733" i="18"/>
  <c r="O733" i="18"/>
  <c r="T732" i="18"/>
  <c r="S732" i="18"/>
  <c r="Q732" i="18"/>
  <c r="P732" i="18"/>
  <c r="O732" i="18"/>
  <c r="T731" i="18"/>
  <c r="S731" i="18"/>
  <c r="Q731" i="18"/>
  <c r="P731" i="18"/>
  <c r="O731" i="18"/>
  <c r="T730" i="18"/>
  <c r="S730" i="18"/>
  <c r="Q730" i="18"/>
  <c r="P730" i="18"/>
  <c r="O730" i="18"/>
  <c r="T729" i="18"/>
  <c r="S729" i="18"/>
  <c r="Q729" i="18"/>
  <c r="P729" i="18"/>
  <c r="O729" i="18"/>
  <c r="T728" i="18"/>
  <c r="S728" i="18"/>
  <c r="Q728" i="18"/>
  <c r="P728" i="18"/>
  <c r="O728" i="18"/>
  <c r="T727" i="18"/>
  <c r="S727" i="18"/>
  <c r="Q727" i="18"/>
  <c r="P727" i="18"/>
  <c r="O727" i="18"/>
  <c r="T726" i="18"/>
  <c r="S726" i="18"/>
  <c r="Q726" i="18"/>
  <c r="P726" i="18"/>
  <c r="O726" i="18"/>
  <c r="T725" i="18"/>
  <c r="S725" i="18"/>
  <c r="Q725" i="18"/>
  <c r="P725" i="18"/>
  <c r="O725" i="18"/>
  <c r="T724" i="18"/>
  <c r="S724" i="18"/>
  <c r="Q724" i="18"/>
  <c r="P724" i="18"/>
  <c r="O724" i="18"/>
  <c r="T723" i="18"/>
  <c r="S723" i="18"/>
  <c r="Q723" i="18"/>
  <c r="P723" i="18"/>
  <c r="O723" i="18"/>
  <c r="T722" i="18"/>
  <c r="S722" i="18"/>
  <c r="Q722" i="18"/>
  <c r="P722" i="18"/>
  <c r="O722" i="18"/>
  <c r="T721" i="18"/>
  <c r="S721" i="18"/>
  <c r="Q721" i="18"/>
  <c r="P721" i="18"/>
  <c r="O721" i="18"/>
  <c r="T720" i="18"/>
  <c r="S720" i="18"/>
  <c r="Q720" i="18"/>
  <c r="P720" i="18"/>
  <c r="O720" i="18"/>
  <c r="T719" i="18"/>
  <c r="S719" i="18"/>
  <c r="Q719" i="18"/>
  <c r="P719" i="18"/>
  <c r="O719" i="18"/>
  <c r="T718" i="18"/>
  <c r="S718" i="18"/>
  <c r="Q718" i="18"/>
  <c r="P718" i="18"/>
  <c r="O718" i="18"/>
  <c r="T717" i="18"/>
  <c r="S717" i="18"/>
  <c r="Q717" i="18"/>
  <c r="P717" i="18"/>
  <c r="O717" i="18"/>
  <c r="T716" i="18"/>
  <c r="S716" i="18"/>
  <c r="Q716" i="18"/>
  <c r="P716" i="18"/>
  <c r="O716" i="18"/>
  <c r="T715" i="18"/>
  <c r="S715" i="18"/>
  <c r="Q715" i="18"/>
  <c r="P715" i="18"/>
  <c r="O715" i="18"/>
  <c r="T714" i="18"/>
  <c r="S714" i="18"/>
  <c r="Q714" i="18"/>
  <c r="P714" i="18"/>
  <c r="O714" i="18"/>
  <c r="T713" i="18"/>
  <c r="S713" i="18"/>
  <c r="Q713" i="18"/>
  <c r="P713" i="18"/>
  <c r="O713" i="18"/>
  <c r="T712" i="18"/>
  <c r="S712" i="18"/>
  <c r="Q712" i="18"/>
  <c r="P712" i="18"/>
  <c r="O712" i="18"/>
  <c r="T711" i="18"/>
  <c r="S711" i="18"/>
  <c r="Q711" i="18"/>
  <c r="P711" i="18"/>
  <c r="O711" i="18"/>
  <c r="T710" i="18"/>
  <c r="S710" i="18"/>
  <c r="Q710" i="18"/>
  <c r="P710" i="18"/>
  <c r="O710" i="18"/>
  <c r="T709" i="18"/>
  <c r="S709" i="18"/>
  <c r="Q709" i="18"/>
  <c r="P709" i="18"/>
  <c r="O709" i="18"/>
  <c r="T708" i="18"/>
  <c r="S708" i="18"/>
  <c r="Q708" i="18"/>
  <c r="P708" i="18"/>
  <c r="O708" i="18"/>
  <c r="T707" i="18"/>
  <c r="S707" i="18"/>
  <c r="Q707" i="18"/>
  <c r="P707" i="18"/>
  <c r="O707" i="18"/>
  <c r="T706" i="18"/>
  <c r="S706" i="18"/>
  <c r="Q706" i="18"/>
  <c r="P706" i="18"/>
  <c r="O706" i="18"/>
  <c r="T705" i="18"/>
  <c r="S705" i="18"/>
  <c r="Q705" i="18"/>
  <c r="P705" i="18"/>
  <c r="O705" i="18"/>
  <c r="T704" i="18"/>
  <c r="S704" i="18"/>
  <c r="Q704" i="18"/>
  <c r="P704" i="18"/>
  <c r="O704" i="18"/>
  <c r="T703" i="18"/>
  <c r="S703" i="18"/>
  <c r="Q703" i="18"/>
  <c r="P703" i="18"/>
  <c r="O703" i="18"/>
  <c r="T702" i="18"/>
  <c r="S702" i="18"/>
  <c r="Q702" i="18"/>
  <c r="P702" i="18"/>
  <c r="O702" i="18"/>
  <c r="T701" i="18"/>
  <c r="S701" i="18"/>
  <c r="Q701" i="18"/>
  <c r="P701" i="18"/>
  <c r="O701" i="18"/>
  <c r="T700" i="18"/>
  <c r="S700" i="18"/>
  <c r="Q700" i="18"/>
  <c r="P700" i="18"/>
  <c r="O700" i="18"/>
  <c r="T699" i="18"/>
  <c r="S699" i="18"/>
  <c r="Q699" i="18"/>
  <c r="P699" i="18"/>
  <c r="O699" i="18"/>
  <c r="T698" i="18"/>
  <c r="S698" i="18"/>
  <c r="Q698" i="18"/>
  <c r="P698" i="18"/>
  <c r="O698" i="18"/>
  <c r="T697" i="18"/>
  <c r="S697" i="18"/>
  <c r="Q697" i="18"/>
  <c r="P697" i="18"/>
  <c r="O697" i="18"/>
  <c r="T696" i="18"/>
  <c r="S696" i="18"/>
  <c r="Q696" i="18"/>
  <c r="P696" i="18"/>
  <c r="O696" i="18"/>
  <c r="T695" i="18"/>
  <c r="S695" i="18"/>
  <c r="Q695" i="18"/>
  <c r="P695" i="18"/>
  <c r="O695" i="18"/>
  <c r="T694" i="18"/>
  <c r="S694" i="18"/>
  <c r="Q694" i="18"/>
  <c r="P694" i="18"/>
  <c r="O694" i="18"/>
  <c r="T693" i="18"/>
  <c r="S693" i="18"/>
  <c r="Q693" i="18"/>
  <c r="P693" i="18"/>
  <c r="O693" i="18"/>
  <c r="T692" i="18"/>
  <c r="S692" i="18"/>
  <c r="Q692" i="18"/>
  <c r="P692" i="18"/>
  <c r="O692" i="18"/>
  <c r="T691" i="18"/>
  <c r="S691" i="18"/>
  <c r="Q691" i="18"/>
  <c r="P691" i="18"/>
  <c r="O691" i="18"/>
  <c r="T690" i="18"/>
  <c r="S690" i="18"/>
  <c r="Q690" i="18"/>
  <c r="P690" i="18"/>
  <c r="O690" i="18"/>
  <c r="T689" i="18"/>
  <c r="S689" i="18"/>
  <c r="Q689" i="18"/>
  <c r="P689" i="18"/>
  <c r="O689" i="18"/>
  <c r="T688" i="18"/>
  <c r="S688" i="18"/>
  <c r="Q688" i="18"/>
  <c r="P688" i="18"/>
  <c r="O688" i="18"/>
  <c r="T687" i="18"/>
  <c r="S687" i="18"/>
  <c r="Q687" i="18"/>
  <c r="P687" i="18"/>
  <c r="O687" i="18"/>
  <c r="T686" i="18"/>
  <c r="S686" i="18"/>
  <c r="Q686" i="18"/>
  <c r="P686" i="18"/>
  <c r="O686" i="18"/>
  <c r="T685" i="18"/>
  <c r="S685" i="18"/>
  <c r="Q685" i="18"/>
  <c r="P685" i="18"/>
  <c r="O685" i="18"/>
  <c r="T684" i="18"/>
  <c r="S684" i="18"/>
  <c r="Q684" i="18"/>
  <c r="P684" i="18"/>
  <c r="O684" i="18"/>
  <c r="T683" i="18"/>
  <c r="S683" i="18"/>
  <c r="Q683" i="18"/>
  <c r="P683" i="18"/>
  <c r="O683" i="18"/>
  <c r="T682" i="18"/>
  <c r="S682" i="18"/>
  <c r="Q682" i="18"/>
  <c r="P682" i="18"/>
  <c r="O682" i="18"/>
  <c r="T681" i="18"/>
  <c r="S681" i="18"/>
  <c r="Q681" i="18"/>
  <c r="P681" i="18"/>
  <c r="O681" i="18"/>
  <c r="T680" i="18"/>
  <c r="S680" i="18"/>
  <c r="Q680" i="18"/>
  <c r="P680" i="18"/>
  <c r="O680" i="18"/>
  <c r="T679" i="18"/>
  <c r="S679" i="18"/>
  <c r="Q679" i="18"/>
  <c r="P679" i="18"/>
  <c r="O679" i="18"/>
  <c r="T678" i="18"/>
  <c r="S678" i="18"/>
  <c r="Q678" i="18"/>
  <c r="P678" i="18"/>
  <c r="O678" i="18"/>
  <c r="T677" i="18"/>
  <c r="S677" i="18"/>
  <c r="Q677" i="18"/>
  <c r="P677" i="18"/>
  <c r="O677" i="18"/>
  <c r="T676" i="18"/>
  <c r="S676" i="18"/>
  <c r="Q676" i="18"/>
  <c r="P676" i="18"/>
  <c r="O676" i="18"/>
  <c r="T675" i="18"/>
  <c r="S675" i="18"/>
  <c r="Q675" i="18"/>
  <c r="P675" i="18"/>
  <c r="O675" i="18"/>
  <c r="T674" i="18"/>
  <c r="S674" i="18"/>
  <c r="Q674" i="18"/>
  <c r="P674" i="18"/>
  <c r="O674" i="18"/>
  <c r="T673" i="18"/>
  <c r="S673" i="18"/>
  <c r="Q673" i="18"/>
  <c r="P673" i="18"/>
  <c r="O673" i="18"/>
  <c r="T672" i="18"/>
  <c r="S672" i="18"/>
  <c r="Q672" i="18"/>
  <c r="P672" i="18"/>
  <c r="O672" i="18"/>
  <c r="T671" i="18"/>
  <c r="S671" i="18"/>
  <c r="Q671" i="18"/>
  <c r="P671" i="18"/>
  <c r="O671" i="18"/>
  <c r="T670" i="18"/>
  <c r="S670" i="18"/>
  <c r="Q670" i="18"/>
  <c r="P670" i="18"/>
  <c r="O670" i="18"/>
  <c r="T669" i="18"/>
  <c r="S669" i="18"/>
  <c r="Q669" i="18"/>
  <c r="P669" i="18"/>
  <c r="O669" i="18"/>
  <c r="T668" i="18"/>
  <c r="S668" i="18"/>
  <c r="Q668" i="18"/>
  <c r="P668" i="18"/>
  <c r="O668" i="18"/>
  <c r="T667" i="18"/>
  <c r="S667" i="18"/>
  <c r="Q667" i="18"/>
  <c r="P667" i="18"/>
  <c r="O667" i="18"/>
  <c r="T666" i="18"/>
  <c r="S666" i="18"/>
  <c r="Q666" i="18"/>
  <c r="P666" i="18"/>
  <c r="O666" i="18"/>
  <c r="T665" i="18"/>
  <c r="S665" i="18"/>
  <c r="Q665" i="18"/>
  <c r="P665" i="18"/>
  <c r="O665" i="18"/>
  <c r="T664" i="18"/>
  <c r="S664" i="18"/>
  <c r="Q664" i="18"/>
  <c r="P664" i="18"/>
  <c r="O664" i="18"/>
  <c r="T663" i="18"/>
  <c r="S663" i="18"/>
  <c r="Q663" i="18"/>
  <c r="P663" i="18"/>
  <c r="O663" i="18"/>
  <c r="T662" i="18"/>
  <c r="S662" i="18"/>
  <c r="Q662" i="18"/>
  <c r="P662" i="18"/>
  <c r="O662" i="18"/>
  <c r="T661" i="18"/>
  <c r="S661" i="18"/>
  <c r="Q661" i="18"/>
  <c r="P661" i="18"/>
  <c r="O661" i="18"/>
  <c r="T660" i="18"/>
  <c r="S660" i="18"/>
  <c r="Q660" i="18"/>
  <c r="P660" i="18"/>
  <c r="O660" i="18"/>
  <c r="T659" i="18"/>
  <c r="S659" i="18"/>
  <c r="Q659" i="18"/>
  <c r="P659" i="18"/>
  <c r="O659" i="18"/>
  <c r="T658" i="18"/>
  <c r="S658" i="18"/>
  <c r="Q658" i="18"/>
  <c r="P658" i="18"/>
  <c r="O658" i="18"/>
  <c r="T657" i="18"/>
  <c r="S657" i="18"/>
  <c r="Q657" i="18"/>
  <c r="P657" i="18"/>
  <c r="O657" i="18"/>
  <c r="T656" i="18"/>
  <c r="S656" i="18"/>
  <c r="Q656" i="18"/>
  <c r="P656" i="18"/>
  <c r="O656" i="18"/>
  <c r="T655" i="18"/>
  <c r="S655" i="18"/>
  <c r="Q655" i="18"/>
  <c r="P655" i="18"/>
  <c r="O655" i="18"/>
  <c r="T654" i="18"/>
  <c r="S654" i="18"/>
  <c r="Q654" i="18"/>
  <c r="P654" i="18"/>
  <c r="O654" i="18"/>
  <c r="T653" i="18"/>
  <c r="S653" i="18"/>
  <c r="Q653" i="18"/>
  <c r="P653" i="18"/>
  <c r="O653" i="18"/>
  <c r="T652" i="18"/>
  <c r="S652" i="18"/>
  <c r="Q652" i="18"/>
  <c r="P652" i="18"/>
  <c r="O652" i="18"/>
  <c r="T651" i="18"/>
  <c r="S651" i="18"/>
  <c r="Q651" i="18"/>
  <c r="P651" i="18"/>
  <c r="O651" i="18"/>
  <c r="T650" i="18"/>
  <c r="S650" i="18"/>
  <c r="Q650" i="18"/>
  <c r="P650" i="18"/>
  <c r="O650" i="18"/>
  <c r="T649" i="18"/>
  <c r="S649" i="18"/>
  <c r="Q649" i="18"/>
  <c r="P649" i="18"/>
  <c r="O649" i="18"/>
  <c r="T648" i="18"/>
  <c r="S648" i="18"/>
  <c r="Q648" i="18"/>
  <c r="P648" i="18"/>
  <c r="O648" i="18"/>
  <c r="T647" i="18"/>
  <c r="S647" i="18"/>
  <c r="Q647" i="18"/>
  <c r="P647" i="18"/>
  <c r="O647" i="18"/>
  <c r="T646" i="18"/>
  <c r="S646" i="18"/>
  <c r="Q646" i="18"/>
  <c r="P646" i="18"/>
  <c r="O646" i="18"/>
  <c r="T645" i="18"/>
  <c r="S645" i="18"/>
  <c r="Q645" i="18"/>
  <c r="P645" i="18"/>
  <c r="O645" i="18"/>
  <c r="T644" i="18"/>
  <c r="S644" i="18"/>
  <c r="Q644" i="18"/>
  <c r="P644" i="18"/>
  <c r="O644" i="18"/>
  <c r="T643" i="18"/>
  <c r="S643" i="18"/>
  <c r="Q643" i="18"/>
  <c r="P643" i="18"/>
  <c r="O643" i="18"/>
  <c r="T642" i="18"/>
  <c r="S642" i="18"/>
  <c r="Q642" i="18"/>
  <c r="P642" i="18"/>
  <c r="O642" i="18"/>
  <c r="T641" i="18"/>
  <c r="S641" i="18"/>
  <c r="Q641" i="18"/>
  <c r="P641" i="18"/>
  <c r="O641" i="18"/>
  <c r="T640" i="18"/>
  <c r="S640" i="18"/>
  <c r="Q640" i="18"/>
  <c r="P640" i="18"/>
  <c r="O640" i="18"/>
  <c r="T639" i="18"/>
  <c r="S639" i="18"/>
  <c r="Q639" i="18"/>
  <c r="P639" i="18"/>
  <c r="O639" i="18"/>
  <c r="T638" i="18"/>
  <c r="S638" i="18"/>
  <c r="Q638" i="18"/>
  <c r="P638" i="18"/>
  <c r="O638" i="18"/>
  <c r="T637" i="18"/>
  <c r="S637" i="18"/>
  <c r="Q637" i="18"/>
  <c r="P637" i="18"/>
  <c r="O637" i="18"/>
  <c r="T636" i="18"/>
  <c r="S636" i="18"/>
  <c r="Q636" i="18"/>
  <c r="P636" i="18"/>
  <c r="O636" i="18"/>
  <c r="T635" i="18"/>
  <c r="S635" i="18"/>
  <c r="Q635" i="18"/>
  <c r="P635" i="18"/>
  <c r="O635" i="18"/>
  <c r="T634" i="18"/>
  <c r="S634" i="18"/>
  <c r="Q634" i="18"/>
  <c r="P634" i="18"/>
  <c r="O634" i="18"/>
  <c r="T633" i="18"/>
  <c r="S633" i="18"/>
  <c r="Q633" i="18"/>
  <c r="P633" i="18"/>
  <c r="O633" i="18"/>
  <c r="T632" i="18"/>
  <c r="S632" i="18"/>
  <c r="Q632" i="18"/>
  <c r="P632" i="18"/>
  <c r="O632" i="18"/>
  <c r="T631" i="18"/>
  <c r="S631" i="18"/>
  <c r="Q631" i="18"/>
  <c r="P631" i="18"/>
  <c r="O631" i="18"/>
  <c r="T630" i="18"/>
  <c r="S630" i="18"/>
  <c r="Q630" i="18"/>
  <c r="P630" i="18"/>
  <c r="O630" i="18"/>
  <c r="T629" i="18"/>
  <c r="S629" i="18"/>
  <c r="Q629" i="18"/>
  <c r="P629" i="18"/>
  <c r="O629" i="18"/>
  <c r="T628" i="18"/>
  <c r="S628" i="18"/>
  <c r="Q628" i="18"/>
  <c r="P628" i="18"/>
  <c r="O628" i="18"/>
  <c r="T627" i="18"/>
  <c r="S627" i="18"/>
  <c r="Q627" i="18"/>
  <c r="P627" i="18"/>
  <c r="O627" i="18"/>
  <c r="T626" i="18"/>
  <c r="S626" i="18"/>
  <c r="Q626" i="18"/>
  <c r="P626" i="18"/>
  <c r="O626" i="18"/>
  <c r="T625" i="18"/>
  <c r="S625" i="18"/>
  <c r="Q625" i="18"/>
  <c r="P625" i="18"/>
  <c r="O625" i="18"/>
  <c r="T624" i="18"/>
  <c r="S624" i="18"/>
  <c r="Q624" i="18"/>
  <c r="P624" i="18"/>
  <c r="O624" i="18"/>
  <c r="T623" i="18"/>
  <c r="S623" i="18"/>
  <c r="Q623" i="18"/>
  <c r="P623" i="18"/>
  <c r="O623" i="18"/>
  <c r="T622" i="18"/>
  <c r="S622" i="18"/>
  <c r="Q622" i="18"/>
  <c r="P622" i="18"/>
  <c r="O622" i="18"/>
  <c r="T621" i="18"/>
  <c r="S621" i="18"/>
  <c r="Q621" i="18"/>
  <c r="P621" i="18"/>
  <c r="O621" i="18"/>
  <c r="T620" i="18"/>
  <c r="S620" i="18"/>
  <c r="Q620" i="18"/>
  <c r="P620" i="18"/>
  <c r="O620" i="18"/>
  <c r="T619" i="18"/>
  <c r="S619" i="18"/>
  <c r="Q619" i="18"/>
  <c r="P619" i="18"/>
  <c r="O619" i="18"/>
  <c r="T618" i="18"/>
  <c r="S618" i="18"/>
  <c r="Q618" i="18"/>
  <c r="P618" i="18"/>
  <c r="O618" i="18"/>
  <c r="T617" i="18"/>
  <c r="S617" i="18"/>
  <c r="Q617" i="18"/>
  <c r="P617" i="18"/>
  <c r="O617" i="18"/>
  <c r="T616" i="18"/>
  <c r="S616" i="18"/>
  <c r="Q616" i="18"/>
  <c r="P616" i="18"/>
  <c r="O616" i="18"/>
  <c r="T615" i="18"/>
  <c r="S615" i="18"/>
  <c r="Q615" i="18"/>
  <c r="P615" i="18"/>
  <c r="O615" i="18"/>
  <c r="T614" i="18"/>
  <c r="S614" i="18"/>
  <c r="Q614" i="18"/>
  <c r="P614" i="18"/>
  <c r="O614" i="18"/>
  <c r="T613" i="18"/>
  <c r="S613" i="18"/>
  <c r="Q613" i="18"/>
  <c r="P613" i="18"/>
  <c r="O613" i="18"/>
  <c r="T612" i="18"/>
  <c r="S612" i="18"/>
  <c r="Q612" i="18"/>
  <c r="P612" i="18"/>
  <c r="O612" i="18"/>
  <c r="T611" i="18"/>
  <c r="S611" i="18"/>
  <c r="Q611" i="18"/>
  <c r="P611" i="18"/>
  <c r="O611" i="18"/>
  <c r="T610" i="18"/>
  <c r="S610" i="18"/>
  <c r="Q610" i="18"/>
  <c r="P610" i="18"/>
  <c r="O610" i="18"/>
  <c r="T609" i="18"/>
  <c r="S609" i="18"/>
  <c r="Q609" i="18"/>
  <c r="P609" i="18"/>
  <c r="O609" i="18"/>
  <c r="T608" i="18"/>
  <c r="S608" i="18"/>
  <c r="Q608" i="18"/>
  <c r="P608" i="18"/>
  <c r="O608" i="18"/>
  <c r="T607" i="18"/>
  <c r="S607" i="18"/>
  <c r="Q607" i="18"/>
  <c r="P607" i="18"/>
  <c r="O607" i="18"/>
  <c r="T606" i="18"/>
  <c r="S606" i="18"/>
  <c r="Q606" i="18"/>
  <c r="P606" i="18"/>
  <c r="O606" i="18"/>
  <c r="T605" i="18"/>
  <c r="S605" i="18"/>
  <c r="Q605" i="18"/>
  <c r="P605" i="18"/>
  <c r="O605" i="18"/>
  <c r="T604" i="18"/>
  <c r="S604" i="18"/>
  <c r="Q604" i="18"/>
  <c r="P604" i="18"/>
  <c r="O604" i="18"/>
  <c r="T603" i="18"/>
  <c r="S603" i="18"/>
  <c r="Q603" i="18"/>
  <c r="P603" i="18"/>
  <c r="O603" i="18"/>
  <c r="T602" i="18"/>
  <c r="S602" i="18"/>
  <c r="Q602" i="18"/>
  <c r="P602" i="18"/>
  <c r="O602" i="18"/>
  <c r="T601" i="18"/>
  <c r="S601" i="18"/>
  <c r="Q601" i="18"/>
  <c r="P601" i="18"/>
  <c r="O601" i="18"/>
  <c r="T600" i="18"/>
  <c r="S600" i="18"/>
  <c r="Q600" i="18"/>
  <c r="P600" i="18"/>
  <c r="O600" i="18"/>
  <c r="T599" i="18"/>
  <c r="S599" i="18"/>
  <c r="Q599" i="18"/>
  <c r="P599" i="18"/>
  <c r="O599" i="18"/>
  <c r="T598" i="18"/>
  <c r="S598" i="18"/>
  <c r="Q598" i="18"/>
  <c r="P598" i="18"/>
  <c r="O598" i="18"/>
  <c r="T597" i="18"/>
  <c r="S597" i="18"/>
  <c r="Q597" i="18"/>
  <c r="P597" i="18"/>
  <c r="O597" i="18"/>
  <c r="T596" i="18"/>
  <c r="S596" i="18"/>
  <c r="Q596" i="18"/>
  <c r="P596" i="18"/>
  <c r="O596" i="18"/>
  <c r="T595" i="18"/>
  <c r="S595" i="18"/>
  <c r="Q595" i="18"/>
  <c r="P595" i="18"/>
  <c r="O595" i="18"/>
  <c r="T594" i="18"/>
  <c r="S594" i="18"/>
  <c r="Q594" i="18"/>
  <c r="P594" i="18"/>
  <c r="O594" i="18"/>
  <c r="T593" i="18"/>
  <c r="S593" i="18"/>
  <c r="Q593" i="18"/>
  <c r="P593" i="18"/>
  <c r="O593" i="18"/>
  <c r="T592" i="18"/>
  <c r="S592" i="18"/>
  <c r="Q592" i="18"/>
  <c r="P592" i="18"/>
  <c r="O592" i="18"/>
  <c r="T591" i="18"/>
  <c r="S591" i="18"/>
  <c r="Q591" i="18"/>
  <c r="P591" i="18"/>
  <c r="O591" i="18"/>
  <c r="T590" i="18"/>
  <c r="S590" i="18"/>
  <c r="Q590" i="18"/>
  <c r="P590" i="18"/>
  <c r="O590" i="18"/>
  <c r="T589" i="18"/>
  <c r="S589" i="18"/>
  <c r="Q589" i="18"/>
  <c r="P589" i="18"/>
  <c r="O589" i="18"/>
  <c r="T588" i="18"/>
  <c r="S588" i="18"/>
  <c r="Q588" i="18"/>
  <c r="P588" i="18"/>
  <c r="O588" i="18"/>
  <c r="T587" i="18"/>
  <c r="S587" i="18"/>
  <c r="Q587" i="18"/>
  <c r="P587" i="18"/>
  <c r="O587" i="18"/>
  <c r="T586" i="18"/>
  <c r="S586" i="18"/>
  <c r="Q586" i="18"/>
  <c r="P586" i="18"/>
  <c r="O586" i="18"/>
  <c r="T585" i="18"/>
  <c r="S585" i="18"/>
  <c r="Q585" i="18"/>
  <c r="P585" i="18"/>
  <c r="O585" i="18"/>
  <c r="T584" i="18"/>
  <c r="S584" i="18"/>
  <c r="Q584" i="18"/>
  <c r="P584" i="18"/>
  <c r="O584" i="18"/>
  <c r="T583" i="18"/>
  <c r="S583" i="18"/>
  <c r="Q583" i="18"/>
  <c r="P583" i="18"/>
  <c r="O583" i="18"/>
  <c r="T582" i="18"/>
  <c r="S582" i="18"/>
  <c r="Q582" i="18"/>
  <c r="P582" i="18"/>
  <c r="O582" i="18"/>
  <c r="T581" i="18"/>
  <c r="S581" i="18"/>
  <c r="Q581" i="18"/>
  <c r="P581" i="18"/>
  <c r="O581" i="18"/>
  <c r="T580" i="18"/>
  <c r="S580" i="18"/>
  <c r="Q580" i="18"/>
  <c r="P580" i="18"/>
  <c r="O580" i="18"/>
  <c r="T579" i="18"/>
  <c r="S579" i="18"/>
  <c r="Q579" i="18"/>
  <c r="P579" i="18"/>
  <c r="O579" i="18"/>
  <c r="T578" i="18"/>
  <c r="S578" i="18"/>
  <c r="Q578" i="18"/>
  <c r="P578" i="18"/>
  <c r="O578" i="18"/>
  <c r="T577" i="18"/>
  <c r="S577" i="18"/>
  <c r="Q577" i="18"/>
  <c r="P577" i="18"/>
  <c r="O577" i="18"/>
  <c r="T576" i="18"/>
  <c r="S576" i="18"/>
  <c r="Q576" i="18"/>
  <c r="P576" i="18"/>
  <c r="O576" i="18"/>
  <c r="T575" i="18"/>
  <c r="S575" i="18"/>
  <c r="Q575" i="18"/>
  <c r="P575" i="18"/>
  <c r="O575" i="18"/>
  <c r="T574" i="18"/>
  <c r="S574" i="18"/>
  <c r="Q574" i="18"/>
  <c r="P574" i="18"/>
  <c r="O574" i="18"/>
  <c r="T573" i="18"/>
  <c r="S573" i="18"/>
  <c r="Q573" i="18"/>
  <c r="P573" i="18"/>
  <c r="O573" i="18"/>
  <c r="T572" i="18"/>
  <c r="S572" i="18"/>
  <c r="Q572" i="18"/>
  <c r="P572" i="18"/>
  <c r="O572" i="18"/>
  <c r="T571" i="18"/>
  <c r="S571" i="18"/>
  <c r="Q571" i="18"/>
  <c r="P571" i="18"/>
  <c r="O571" i="18"/>
  <c r="T570" i="18"/>
  <c r="S570" i="18"/>
  <c r="Q570" i="18"/>
  <c r="P570" i="18"/>
  <c r="O570" i="18"/>
  <c r="T569" i="18"/>
  <c r="S569" i="18"/>
  <c r="Q569" i="18"/>
  <c r="P569" i="18"/>
  <c r="O569" i="18"/>
  <c r="T568" i="18"/>
  <c r="S568" i="18"/>
  <c r="Q568" i="18"/>
  <c r="P568" i="18"/>
  <c r="O568" i="18"/>
  <c r="T567" i="18"/>
  <c r="S567" i="18"/>
  <c r="Q567" i="18"/>
  <c r="P567" i="18"/>
  <c r="O567" i="18"/>
  <c r="T566" i="18"/>
  <c r="S566" i="18"/>
  <c r="Q566" i="18"/>
  <c r="P566" i="18"/>
  <c r="O566" i="18"/>
  <c r="T565" i="18"/>
  <c r="S565" i="18"/>
  <c r="Q565" i="18"/>
  <c r="P565" i="18"/>
  <c r="O565" i="18"/>
  <c r="T564" i="18"/>
  <c r="S564" i="18"/>
  <c r="Q564" i="18"/>
  <c r="P564" i="18"/>
  <c r="O564" i="18"/>
  <c r="T563" i="18"/>
  <c r="S563" i="18"/>
  <c r="Q563" i="18"/>
  <c r="P563" i="18"/>
  <c r="O563" i="18"/>
  <c r="T562" i="18"/>
  <c r="S562" i="18"/>
  <c r="Q562" i="18"/>
  <c r="P562" i="18"/>
  <c r="O562" i="18"/>
  <c r="T561" i="18"/>
  <c r="S561" i="18"/>
  <c r="Q561" i="18"/>
  <c r="P561" i="18"/>
  <c r="O561" i="18"/>
  <c r="T560" i="18"/>
  <c r="S560" i="18"/>
  <c r="Q560" i="18"/>
  <c r="P560" i="18"/>
  <c r="O560" i="18"/>
  <c r="T559" i="18"/>
  <c r="S559" i="18"/>
  <c r="Q559" i="18"/>
  <c r="P559" i="18"/>
  <c r="O559" i="18"/>
  <c r="T558" i="18"/>
  <c r="S558" i="18"/>
  <c r="Q558" i="18"/>
  <c r="P558" i="18"/>
  <c r="O558" i="18"/>
  <c r="T557" i="18"/>
  <c r="S557" i="18"/>
  <c r="Q557" i="18"/>
  <c r="P557" i="18"/>
  <c r="O557" i="18"/>
  <c r="T556" i="18"/>
  <c r="S556" i="18"/>
  <c r="Q556" i="18"/>
  <c r="P556" i="18"/>
  <c r="O556" i="18"/>
  <c r="T555" i="18"/>
  <c r="S555" i="18"/>
  <c r="Q555" i="18"/>
  <c r="P555" i="18"/>
  <c r="O555" i="18"/>
  <c r="T554" i="18"/>
  <c r="S554" i="18"/>
  <c r="Q554" i="18"/>
  <c r="P554" i="18"/>
  <c r="O554" i="18"/>
  <c r="T553" i="18"/>
  <c r="S553" i="18"/>
  <c r="Q553" i="18"/>
  <c r="P553" i="18"/>
  <c r="O553" i="18"/>
  <c r="T552" i="18"/>
  <c r="S552" i="18"/>
  <c r="Q552" i="18"/>
  <c r="P552" i="18"/>
  <c r="O552" i="18"/>
  <c r="T551" i="18"/>
  <c r="S551" i="18"/>
  <c r="Q551" i="18"/>
  <c r="P551" i="18"/>
  <c r="O551" i="18"/>
  <c r="T550" i="18"/>
  <c r="S550" i="18"/>
  <c r="Q550" i="18"/>
  <c r="P550" i="18"/>
  <c r="O550" i="18"/>
  <c r="T549" i="18"/>
  <c r="S549" i="18"/>
  <c r="Q549" i="18"/>
  <c r="P549" i="18"/>
  <c r="O549" i="18"/>
  <c r="T548" i="18"/>
  <c r="S548" i="18"/>
  <c r="Q548" i="18"/>
  <c r="P548" i="18"/>
  <c r="O548" i="18"/>
  <c r="T547" i="18"/>
  <c r="S547" i="18"/>
  <c r="Q547" i="18"/>
  <c r="P547" i="18"/>
  <c r="O547" i="18"/>
  <c r="T546" i="18"/>
  <c r="S546" i="18"/>
  <c r="Q546" i="18"/>
  <c r="P546" i="18"/>
  <c r="O546" i="18"/>
  <c r="T545" i="18"/>
  <c r="S545" i="18"/>
  <c r="Q545" i="18"/>
  <c r="P545" i="18"/>
  <c r="O545" i="18"/>
  <c r="T544" i="18"/>
  <c r="S544" i="18"/>
  <c r="Q544" i="18"/>
  <c r="P544" i="18"/>
  <c r="O544" i="18"/>
  <c r="T543" i="18"/>
  <c r="S543" i="18"/>
  <c r="Q543" i="18"/>
  <c r="P543" i="18"/>
  <c r="O543" i="18"/>
  <c r="T542" i="18"/>
  <c r="S542" i="18"/>
  <c r="Q542" i="18"/>
  <c r="P542" i="18"/>
  <c r="O542" i="18"/>
  <c r="T541" i="18"/>
  <c r="S541" i="18"/>
  <c r="Q541" i="18"/>
  <c r="P541" i="18"/>
  <c r="O541" i="18"/>
  <c r="T540" i="18"/>
  <c r="S540" i="18"/>
  <c r="Q540" i="18"/>
  <c r="P540" i="18"/>
  <c r="O540" i="18"/>
  <c r="T539" i="18"/>
  <c r="S539" i="18"/>
  <c r="Q539" i="18"/>
  <c r="P539" i="18"/>
  <c r="O539" i="18"/>
  <c r="T538" i="18"/>
  <c r="S538" i="18"/>
  <c r="Q538" i="18"/>
  <c r="P538" i="18"/>
  <c r="O538" i="18"/>
  <c r="T537" i="18"/>
  <c r="S537" i="18"/>
  <c r="Q537" i="18"/>
  <c r="P537" i="18"/>
  <c r="O537" i="18"/>
  <c r="T536" i="18"/>
  <c r="S536" i="18"/>
  <c r="Q536" i="18"/>
  <c r="P536" i="18"/>
  <c r="O536" i="18"/>
  <c r="T535" i="18"/>
  <c r="S535" i="18"/>
  <c r="Q535" i="18"/>
  <c r="P535" i="18"/>
  <c r="O535" i="18"/>
  <c r="T534" i="18"/>
  <c r="S534" i="18"/>
  <c r="Q534" i="18"/>
  <c r="P534" i="18"/>
  <c r="O534" i="18"/>
  <c r="T533" i="18"/>
  <c r="S533" i="18"/>
  <c r="Q533" i="18"/>
  <c r="P533" i="18"/>
  <c r="O533" i="18"/>
  <c r="T532" i="18"/>
  <c r="S532" i="18"/>
  <c r="Q532" i="18"/>
  <c r="P532" i="18"/>
  <c r="O532" i="18"/>
  <c r="T531" i="18"/>
  <c r="S531" i="18"/>
  <c r="Q531" i="18"/>
  <c r="P531" i="18"/>
  <c r="O531" i="18"/>
  <c r="T530" i="18"/>
  <c r="S530" i="18"/>
  <c r="Q530" i="18"/>
  <c r="P530" i="18"/>
  <c r="O530" i="18"/>
  <c r="T529" i="18"/>
  <c r="S529" i="18"/>
  <c r="Q529" i="18"/>
  <c r="P529" i="18"/>
  <c r="O529" i="18"/>
  <c r="T528" i="18"/>
  <c r="S528" i="18"/>
  <c r="Q528" i="18"/>
  <c r="P528" i="18"/>
  <c r="O528" i="18"/>
  <c r="T527" i="18"/>
  <c r="S527" i="18"/>
  <c r="Q527" i="18"/>
  <c r="P527" i="18"/>
  <c r="O527" i="18"/>
  <c r="T526" i="18"/>
  <c r="S526" i="18"/>
  <c r="Q526" i="18"/>
  <c r="P526" i="18"/>
  <c r="O526" i="18"/>
  <c r="T525" i="18"/>
  <c r="S525" i="18"/>
  <c r="Q525" i="18"/>
  <c r="P525" i="18"/>
  <c r="O525" i="18"/>
  <c r="T524" i="18"/>
  <c r="S524" i="18"/>
  <c r="Q524" i="18"/>
  <c r="P524" i="18"/>
  <c r="O524" i="18"/>
  <c r="T523" i="18"/>
  <c r="S523" i="18"/>
  <c r="Q523" i="18"/>
  <c r="P523" i="18"/>
  <c r="O523" i="18"/>
  <c r="T522" i="18"/>
  <c r="S522" i="18"/>
  <c r="Q522" i="18"/>
  <c r="P522" i="18"/>
  <c r="O522" i="18"/>
  <c r="T521" i="18"/>
  <c r="S521" i="18"/>
  <c r="Q521" i="18"/>
  <c r="P521" i="18"/>
  <c r="O521" i="18"/>
  <c r="T520" i="18"/>
  <c r="S520" i="18"/>
  <c r="Q520" i="18"/>
  <c r="P520" i="18"/>
  <c r="O520" i="18"/>
  <c r="T519" i="18"/>
  <c r="S519" i="18"/>
  <c r="Q519" i="18"/>
  <c r="P519" i="18"/>
  <c r="O519" i="18"/>
  <c r="T518" i="18"/>
  <c r="S518" i="18"/>
  <c r="Q518" i="18"/>
  <c r="P518" i="18"/>
  <c r="O518" i="18"/>
  <c r="T517" i="18"/>
  <c r="S517" i="18"/>
  <c r="Q517" i="18"/>
  <c r="P517" i="18"/>
  <c r="O517" i="18"/>
  <c r="T516" i="18"/>
  <c r="S516" i="18"/>
  <c r="Q516" i="18"/>
  <c r="P516" i="18"/>
  <c r="O516" i="18"/>
  <c r="T515" i="18"/>
  <c r="S515" i="18"/>
  <c r="Q515" i="18"/>
  <c r="P515" i="18"/>
  <c r="O515" i="18"/>
  <c r="T514" i="18"/>
  <c r="S514" i="18"/>
  <c r="Q514" i="18"/>
  <c r="P514" i="18"/>
  <c r="O514" i="18"/>
  <c r="T513" i="18"/>
  <c r="S513" i="18"/>
  <c r="Q513" i="18"/>
  <c r="P513" i="18"/>
  <c r="O513" i="18"/>
  <c r="T512" i="18"/>
  <c r="S512" i="18"/>
  <c r="Q512" i="18"/>
  <c r="P512" i="18"/>
  <c r="O512" i="18"/>
  <c r="T511" i="18"/>
  <c r="S511" i="18"/>
  <c r="Q511" i="18"/>
  <c r="P511" i="18"/>
  <c r="O511" i="18"/>
  <c r="T510" i="18"/>
  <c r="S510" i="18"/>
  <c r="Q510" i="18"/>
  <c r="P510" i="18"/>
  <c r="O510" i="18"/>
  <c r="T509" i="18"/>
  <c r="S509" i="18"/>
  <c r="Q509" i="18"/>
  <c r="P509" i="18"/>
  <c r="O509" i="18"/>
  <c r="T508" i="18"/>
  <c r="S508" i="18"/>
  <c r="Q508" i="18"/>
  <c r="P508" i="18"/>
  <c r="O508" i="18"/>
  <c r="T507" i="18"/>
  <c r="S507" i="18"/>
  <c r="Q507" i="18"/>
  <c r="P507" i="18"/>
  <c r="O507" i="18"/>
  <c r="T506" i="18"/>
  <c r="S506" i="18"/>
  <c r="Q506" i="18"/>
  <c r="P506" i="18"/>
  <c r="O506" i="18"/>
  <c r="T505" i="18"/>
  <c r="S505" i="18"/>
  <c r="Q505" i="18"/>
  <c r="P505" i="18"/>
  <c r="O505" i="18"/>
  <c r="T504" i="18"/>
  <c r="S504" i="18"/>
  <c r="Q504" i="18"/>
  <c r="P504" i="18"/>
  <c r="O504" i="18"/>
  <c r="T503" i="18"/>
  <c r="S503" i="18"/>
  <c r="Q503" i="18"/>
  <c r="P503" i="18"/>
  <c r="O503" i="18"/>
  <c r="T502" i="18"/>
  <c r="S502" i="18"/>
  <c r="Q502" i="18"/>
  <c r="P502" i="18"/>
  <c r="O502" i="18"/>
  <c r="T501" i="18"/>
  <c r="S501" i="18"/>
  <c r="Q501" i="18"/>
  <c r="P501" i="18"/>
  <c r="O501" i="18"/>
  <c r="T500" i="18"/>
  <c r="S500" i="18"/>
  <c r="Q500" i="18"/>
  <c r="P500" i="18"/>
  <c r="O500" i="18"/>
  <c r="T499" i="18"/>
  <c r="S499" i="18"/>
  <c r="Q499" i="18"/>
  <c r="P499" i="18"/>
  <c r="O499" i="18"/>
  <c r="T498" i="18"/>
  <c r="S498" i="18"/>
  <c r="Q498" i="18"/>
  <c r="P498" i="18"/>
  <c r="O498" i="18"/>
  <c r="T497" i="18"/>
  <c r="S497" i="18"/>
  <c r="Q497" i="18"/>
  <c r="P497" i="18"/>
  <c r="O497" i="18"/>
  <c r="T496" i="18"/>
  <c r="S496" i="18"/>
  <c r="Q496" i="18"/>
  <c r="P496" i="18"/>
  <c r="O496" i="18"/>
  <c r="T495" i="18"/>
  <c r="S495" i="18"/>
  <c r="Q495" i="18"/>
  <c r="P495" i="18"/>
  <c r="O495" i="18"/>
  <c r="T494" i="18"/>
  <c r="S494" i="18"/>
  <c r="Q494" i="18"/>
  <c r="P494" i="18"/>
  <c r="O494" i="18"/>
  <c r="T493" i="18"/>
  <c r="S493" i="18"/>
  <c r="Q493" i="18"/>
  <c r="P493" i="18"/>
  <c r="O493" i="18"/>
  <c r="T492" i="18"/>
  <c r="S492" i="18"/>
  <c r="Q492" i="18"/>
  <c r="P492" i="18"/>
  <c r="O492" i="18"/>
  <c r="T491" i="18"/>
  <c r="S491" i="18"/>
  <c r="Q491" i="18"/>
  <c r="P491" i="18"/>
  <c r="O491" i="18"/>
  <c r="T490" i="18"/>
  <c r="S490" i="18"/>
  <c r="Q490" i="18"/>
  <c r="P490" i="18"/>
  <c r="O490" i="18"/>
  <c r="T489" i="18"/>
  <c r="S489" i="18"/>
  <c r="Q489" i="18"/>
  <c r="P489" i="18"/>
  <c r="O489" i="18"/>
  <c r="T488" i="18"/>
  <c r="S488" i="18"/>
  <c r="Q488" i="18"/>
  <c r="P488" i="18"/>
  <c r="O488" i="18"/>
  <c r="T487" i="18"/>
  <c r="S487" i="18"/>
  <c r="Q487" i="18"/>
  <c r="P487" i="18"/>
  <c r="O487" i="18"/>
  <c r="T486" i="18"/>
  <c r="S486" i="18"/>
  <c r="Q486" i="18"/>
  <c r="P486" i="18"/>
  <c r="O486" i="18"/>
  <c r="T485" i="18"/>
  <c r="S485" i="18"/>
  <c r="Q485" i="18"/>
  <c r="P485" i="18"/>
  <c r="O485" i="18"/>
  <c r="T484" i="18"/>
  <c r="S484" i="18"/>
  <c r="Q484" i="18"/>
  <c r="P484" i="18"/>
  <c r="O484" i="18"/>
  <c r="T483" i="18"/>
  <c r="S483" i="18"/>
  <c r="Q483" i="18"/>
  <c r="P483" i="18"/>
  <c r="O483" i="18"/>
  <c r="T482" i="18"/>
  <c r="S482" i="18"/>
  <c r="Q482" i="18"/>
  <c r="P482" i="18"/>
  <c r="O482" i="18"/>
  <c r="T481" i="18"/>
  <c r="S481" i="18"/>
  <c r="Q481" i="18"/>
  <c r="P481" i="18"/>
  <c r="O481" i="18"/>
  <c r="T480" i="18"/>
  <c r="S480" i="18"/>
  <c r="Q480" i="18"/>
  <c r="P480" i="18"/>
  <c r="O480" i="18"/>
  <c r="T479" i="18"/>
  <c r="S479" i="18"/>
  <c r="Q479" i="18"/>
  <c r="P479" i="18"/>
  <c r="O479" i="18"/>
  <c r="T478" i="18"/>
  <c r="S478" i="18"/>
  <c r="Q478" i="18"/>
  <c r="P478" i="18"/>
  <c r="O478" i="18"/>
  <c r="T477" i="18"/>
  <c r="S477" i="18"/>
  <c r="Q477" i="18"/>
  <c r="P477" i="18"/>
  <c r="O477" i="18"/>
  <c r="T476" i="18"/>
  <c r="S476" i="18"/>
  <c r="Q476" i="18"/>
  <c r="P476" i="18"/>
  <c r="O476" i="18"/>
  <c r="T475" i="18"/>
  <c r="S475" i="18"/>
  <c r="Q475" i="18"/>
  <c r="P475" i="18"/>
  <c r="O475" i="18"/>
  <c r="T474" i="18"/>
  <c r="S474" i="18"/>
  <c r="Q474" i="18"/>
  <c r="P474" i="18"/>
  <c r="O474" i="18"/>
  <c r="T473" i="18"/>
  <c r="S473" i="18"/>
  <c r="Q473" i="18"/>
  <c r="P473" i="18"/>
  <c r="O473" i="18"/>
  <c r="T472" i="18"/>
  <c r="S472" i="18"/>
  <c r="Q472" i="18"/>
  <c r="P472" i="18"/>
  <c r="O472" i="18"/>
  <c r="T471" i="18"/>
  <c r="S471" i="18"/>
  <c r="Q471" i="18"/>
  <c r="P471" i="18"/>
  <c r="O471" i="18"/>
  <c r="T470" i="18"/>
  <c r="S470" i="18"/>
  <c r="Q470" i="18"/>
  <c r="P470" i="18"/>
  <c r="O470" i="18"/>
  <c r="T469" i="18"/>
  <c r="S469" i="18"/>
  <c r="Q469" i="18"/>
  <c r="P469" i="18"/>
  <c r="O469" i="18"/>
  <c r="T468" i="18"/>
  <c r="S468" i="18"/>
  <c r="Q468" i="18"/>
  <c r="P468" i="18"/>
  <c r="O468" i="18"/>
  <c r="T467" i="18"/>
  <c r="S467" i="18"/>
  <c r="Q467" i="18"/>
  <c r="P467" i="18"/>
  <c r="O467" i="18"/>
  <c r="T466" i="18"/>
  <c r="S466" i="18"/>
  <c r="Q466" i="18"/>
  <c r="P466" i="18"/>
  <c r="O466" i="18"/>
  <c r="T465" i="18"/>
  <c r="S465" i="18"/>
  <c r="Q465" i="18"/>
  <c r="P465" i="18"/>
  <c r="O465" i="18"/>
  <c r="T464" i="18"/>
  <c r="S464" i="18"/>
  <c r="Q464" i="18"/>
  <c r="P464" i="18"/>
  <c r="O464" i="18"/>
  <c r="T463" i="18"/>
  <c r="S463" i="18"/>
  <c r="Q463" i="18"/>
  <c r="P463" i="18"/>
  <c r="O463" i="18"/>
  <c r="T462" i="18"/>
  <c r="S462" i="18"/>
  <c r="Q462" i="18"/>
  <c r="P462" i="18"/>
  <c r="O462" i="18"/>
  <c r="T461" i="18"/>
  <c r="S461" i="18"/>
  <c r="Q461" i="18"/>
  <c r="P461" i="18"/>
  <c r="O461" i="18"/>
  <c r="T460" i="18"/>
  <c r="S460" i="18"/>
  <c r="Q460" i="18"/>
  <c r="P460" i="18"/>
  <c r="O460" i="18"/>
  <c r="T459" i="18"/>
  <c r="S459" i="18"/>
  <c r="Q459" i="18"/>
  <c r="P459" i="18"/>
  <c r="O459" i="18"/>
  <c r="T458" i="18"/>
  <c r="S458" i="18"/>
  <c r="Q458" i="18"/>
  <c r="P458" i="18"/>
  <c r="O458" i="18"/>
  <c r="T457" i="18"/>
  <c r="S457" i="18"/>
  <c r="Q457" i="18"/>
  <c r="P457" i="18"/>
  <c r="O457" i="18"/>
  <c r="T456" i="18"/>
  <c r="S456" i="18"/>
  <c r="Q456" i="18"/>
  <c r="P456" i="18"/>
  <c r="O456" i="18"/>
  <c r="T455" i="18"/>
  <c r="S455" i="18"/>
  <c r="Q455" i="18"/>
  <c r="P455" i="18"/>
  <c r="O455" i="18"/>
  <c r="T454" i="18"/>
  <c r="S454" i="18"/>
  <c r="Q454" i="18"/>
  <c r="P454" i="18"/>
  <c r="O454" i="18"/>
  <c r="T453" i="18"/>
  <c r="S453" i="18"/>
  <c r="Q453" i="18"/>
  <c r="P453" i="18"/>
  <c r="O453" i="18"/>
  <c r="T452" i="18"/>
  <c r="S452" i="18"/>
  <c r="Q452" i="18"/>
  <c r="P452" i="18"/>
  <c r="O452" i="18"/>
  <c r="T451" i="18"/>
  <c r="S451" i="18"/>
  <c r="Q451" i="18"/>
  <c r="P451" i="18"/>
  <c r="O451" i="18"/>
  <c r="T450" i="18"/>
  <c r="S450" i="18"/>
  <c r="Q450" i="18"/>
  <c r="P450" i="18"/>
  <c r="O450" i="18"/>
  <c r="T449" i="18"/>
  <c r="S449" i="18"/>
  <c r="Q449" i="18"/>
  <c r="P449" i="18"/>
  <c r="O449" i="18"/>
  <c r="T448" i="18"/>
  <c r="S448" i="18"/>
  <c r="Q448" i="18"/>
  <c r="P448" i="18"/>
  <c r="O448" i="18"/>
  <c r="T447" i="18"/>
  <c r="S447" i="18"/>
  <c r="Q447" i="18"/>
  <c r="P447" i="18"/>
  <c r="O447" i="18"/>
  <c r="T446" i="18"/>
  <c r="S446" i="18"/>
  <c r="Q446" i="18"/>
  <c r="P446" i="18"/>
  <c r="O446" i="18"/>
  <c r="T445" i="18"/>
  <c r="S445" i="18"/>
  <c r="Q445" i="18"/>
  <c r="P445" i="18"/>
  <c r="O445" i="18"/>
  <c r="T444" i="18"/>
  <c r="S444" i="18"/>
  <c r="Q444" i="18"/>
  <c r="P444" i="18"/>
  <c r="O444" i="18"/>
  <c r="T443" i="18"/>
  <c r="S443" i="18"/>
  <c r="Q443" i="18"/>
  <c r="P443" i="18"/>
  <c r="O443" i="18"/>
  <c r="T442" i="18"/>
  <c r="S442" i="18"/>
  <c r="Q442" i="18"/>
  <c r="P442" i="18"/>
  <c r="O442" i="18"/>
  <c r="T441" i="18"/>
  <c r="S441" i="18"/>
  <c r="Q441" i="18"/>
  <c r="P441" i="18"/>
  <c r="O441" i="18"/>
  <c r="T440" i="18"/>
  <c r="S440" i="18"/>
  <c r="Q440" i="18"/>
  <c r="P440" i="18"/>
  <c r="O440" i="18"/>
  <c r="T439" i="18"/>
  <c r="S439" i="18"/>
  <c r="Q439" i="18"/>
  <c r="P439" i="18"/>
  <c r="O439" i="18"/>
  <c r="T438" i="18"/>
  <c r="S438" i="18"/>
  <c r="Q438" i="18"/>
  <c r="P438" i="18"/>
  <c r="O438" i="18"/>
  <c r="T437" i="18"/>
  <c r="S437" i="18"/>
  <c r="Q437" i="18"/>
  <c r="P437" i="18"/>
  <c r="O437" i="18"/>
  <c r="T436" i="18"/>
  <c r="S436" i="18"/>
  <c r="Q436" i="18"/>
  <c r="P436" i="18"/>
  <c r="O436" i="18"/>
  <c r="T435" i="18"/>
  <c r="S435" i="18"/>
  <c r="Q435" i="18"/>
  <c r="P435" i="18"/>
  <c r="O435" i="18"/>
  <c r="T434" i="18"/>
  <c r="S434" i="18"/>
  <c r="Q434" i="18"/>
  <c r="P434" i="18"/>
  <c r="O434" i="18"/>
  <c r="T433" i="18"/>
  <c r="S433" i="18"/>
  <c r="Q433" i="18"/>
  <c r="P433" i="18"/>
  <c r="O433" i="18"/>
  <c r="T432" i="18"/>
  <c r="S432" i="18"/>
  <c r="Q432" i="18"/>
  <c r="P432" i="18"/>
  <c r="O432" i="18"/>
  <c r="T431" i="18"/>
  <c r="S431" i="18"/>
  <c r="Q431" i="18"/>
  <c r="P431" i="18"/>
  <c r="O431" i="18"/>
  <c r="T430" i="18"/>
  <c r="S430" i="18"/>
  <c r="Q430" i="18"/>
  <c r="P430" i="18"/>
  <c r="O430" i="18"/>
  <c r="T429" i="18"/>
  <c r="S429" i="18"/>
  <c r="Q429" i="18"/>
  <c r="P429" i="18"/>
  <c r="O429" i="18"/>
  <c r="T428" i="18"/>
  <c r="S428" i="18"/>
  <c r="Q428" i="18"/>
  <c r="P428" i="18"/>
  <c r="O428" i="18"/>
  <c r="T427" i="18"/>
  <c r="S427" i="18"/>
  <c r="Q427" i="18"/>
  <c r="P427" i="18"/>
  <c r="O427" i="18"/>
  <c r="T426" i="18"/>
  <c r="S426" i="18"/>
  <c r="Q426" i="18"/>
  <c r="P426" i="18"/>
  <c r="O426" i="18"/>
  <c r="T425" i="18"/>
  <c r="S425" i="18"/>
  <c r="Q425" i="18"/>
  <c r="P425" i="18"/>
  <c r="O425" i="18"/>
  <c r="T424" i="18"/>
  <c r="S424" i="18"/>
  <c r="Q424" i="18"/>
  <c r="P424" i="18"/>
  <c r="O424" i="18"/>
  <c r="T423" i="18"/>
  <c r="S423" i="18"/>
  <c r="Q423" i="18"/>
  <c r="P423" i="18"/>
  <c r="O423" i="18"/>
  <c r="T422" i="18"/>
  <c r="S422" i="18"/>
  <c r="Q422" i="18"/>
  <c r="P422" i="18"/>
  <c r="O422" i="18"/>
  <c r="T421" i="18"/>
  <c r="S421" i="18"/>
  <c r="Q421" i="18"/>
  <c r="P421" i="18"/>
  <c r="O421" i="18"/>
  <c r="T420" i="18"/>
  <c r="S420" i="18"/>
  <c r="Q420" i="18"/>
  <c r="P420" i="18"/>
  <c r="O420" i="18"/>
  <c r="T419" i="18"/>
  <c r="S419" i="18"/>
  <c r="Q419" i="18"/>
  <c r="P419" i="18"/>
  <c r="O419" i="18"/>
  <c r="T418" i="18"/>
  <c r="S418" i="18"/>
  <c r="Q418" i="18"/>
  <c r="P418" i="18"/>
  <c r="O418" i="18"/>
  <c r="T417" i="18"/>
  <c r="S417" i="18"/>
  <c r="Q417" i="18"/>
  <c r="P417" i="18"/>
  <c r="O417" i="18"/>
  <c r="T416" i="18"/>
  <c r="S416" i="18"/>
  <c r="Q416" i="18"/>
  <c r="P416" i="18"/>
  <c r="O416" i="18"/>
  <c r="T415" i="18"/>
  <c r="S415" i="18"/>
  <c r="Q415" i="18"/>
  <c r="P415" i="18"/>
  <c r="O415" i="18"/>
  <c r="T414" i="18"/>
  <c r="S414" i="18"/>
  <c r="Q414" i="18"/>
  <c r="P414" i="18"/>
  <c r="O414" i="18"/>
  <c r="T413" i="18"/>
  <c r="S413" i="18"/>
  <c r="Q413" i="18"/>
  <c r="P413" i="18"/>
  <c r="O413" i="18"/>
  <c r="T412" i="18"/>
  <c r="S412" i="18"/>
  <c r="Q412" i="18"/>
  <c r="P412" i="18"/>
  <c r="O412" i="18"/>
  <c r="T411" i="18"/>
  <c r="S411" i="18"/>
  <c r="Q411" i="18"/>
  <c r="P411" i="18"/>
  <c r="O411" i="18"/>
  <c r="T410" i="18"/>
  <c r="S410" i="18"/>
  <c r="Q410" i="18"/>
  <c r="P410" i="18"/>
  <c r="O410" i="18"/>
  <c r="T409" i="18"/>
  <c r="S409" i="18"/>
  <c r="Q409" i="18"/>
  <c r="P409" i="18"/>
  <c r="O409" i="18"/>
  <c r="T408" i="18"/>
  <c r="S408" i="18"/>
  <c r="Q408" i="18"/>
  <c r="P408" i="18"/>
  <c r="O408" i="18"/>
  <c r="T407" i="18"/>
  <c r="S407" i="18"/>
  <c r="Q407" i="18"/>
  <c r="P407" i="18"/>
  <c r="O407" i="18"/>
  <c r="T406" i="18"/>
  <c r="S406" i="18"/>
  <c r="Q406" i="18"/>
  <c r="P406" i="18"/>
  <c r="O406" i="18"/>
  <c r="T405" i="18"/>
  <c r="S405" i="18"/>
  <c r="Q405" i="18"/>
  <c r="P405" i="18"/>
  <c r="O405" i="18"/>
  <c r="T404" i="18"/>
  <c r="S404" i="18"/>
  <c r="Q404" i="18"/>
  <c r="P404" i="18"/>
  <c r="O404" i="18"/>
  <c r="T403" i="18"/>
  <c r="S403" i="18"/>
  <c r="Q403" i="18"/>
  <c r="P403" i="18"/>
  <c r="O403" i="18"/>
  <c r="T402" i="18"/>
  <c r="S402" i="18"/>
  <c r="Q402" i="18"/>
  <c r="P402" i="18"/>
  <c r="O402" i="18"/>
  <c r="T401" i="18"/>
  <c r="S401" i="18"/>
  <c r="Q401" i="18"/>
  <c r="P401" i="18"/>
  <c r="O401" i="18"/>
  <c r="T400" i="18"/>
  <c r="S400" i="18"/>
  <c r="Q400" i="18"/>
  <c r="P400" i="18"/>
  <c r="O400" i="18"/>
  <c r="T399" i="18"/>
  <c r="S399" i="18"/>
  <c r="Q399" i="18"/>
  <c r="P399" i="18"/>
  <c r="O399" i="18"/>
  <c r="T398" i="18"/>
  <c r="S398" i="18"/>
  <c r="Q398" i="18"/>
  <c r="P398" i="18"/>
  <c r="O398" i="18"/>
  <c r="T397" i="18"/>
  <c r="S397" i="18"/>
  <c r="Q397" i="18"/>
  <c r="P397" i="18"/>
  <c r="O397" i="18"/>
  <c r="T396" i="18"/>
  <c r="S396" i="18"/>
  <c r="Q396" i="18"/>
  <c r="P396" i="18"/>
  <c r="O396" i="18"/>
  <c r="T395" i="18"/>
  <c r="S395" i="18"/>
  <c r="Q395" i="18"/>
  <c r="P395" i="18"/>
  <c r="O395" i="18"/>
  <c r="T394" i="18"/>
  <c r="S394" i="18"/>
  <c r="Q394" i="18"/>
  <c r="P394" i="18"/>
  <c r="O394" i="18"/>
  <c r="T393" i="18"/>
  <c r="S393" i="18"/>
  <c r="Q393" i="18"/>
  <c r="P393" i="18"/>
  <c r="O393" i="18"/>
  <c r="T392" i="18"/>
  <c r="S392" i="18"/>
  <c r="Q392" i="18"/>
  <c r="P392" i="18"/>
  <c r="O392" i="18"/>
  <c r="T391" i="18"/>
  <c r="S391" i="18"/>
  <c r="Q391" i="18"/>
  <c r="P391" i="18"/>
  <c r="O391" i="18"/>
  <c r="T390" i="18"/>
  <c r="S390" i="18"/>
  <c r="Q390" i="18"/>
  <c r="P390" i="18"/>
  <c r="O390" i="18"/>
  <c r="T389" i="18"/>
  <c r="S389" i="18"/>
  <c r="Q389" i="18"/>
  <c r="P389" i="18"/>
  <c r="O389" i="18"/>
  <c r="T388" i="18"/>
  <c r="S388" i="18"/>
  <c r="Q388" i="18"/>
  <c r="P388" i="18"/>
  <c r="O388" i="18"/>
  <c r="T387" i="18"/>
  <c r="S387" i="18"/>
  <c r="Q387" i="18"/>
  <c r="P387" i="18"/>
  <c r="O387" i="18"/>
  <c r="T386" i="18"/>
  <c r="S386" i="18"/>
  <c r="Q386" i="18"/>
  <c r="P386" i="18"/>
  <c r="O386" i="18"/>
  <c r="T385" i="18"/>
  <c r="S385" i="18"/>
  <c r="Q385" i="18"/>
  <c r="P385" i="18"/>
  <c r="O385" i="18"/>
  <c r="T384" i="18"/>
  <c r="S384" i="18"/>
  <c r="Q384" i="18"/>
  <c r="P384" i="18"/>
  <c r="O384" i="18"/>
  <c r="T383" i="18"/>
  <c r="S383" i="18"/>
  <c r="Q383" i="18"/>
  <c r="P383" i="18"/>
  <c r="O383" i="18"/>
  <c r="T382" i="18"/>
  <c r="S382" i="18"/>
  <c r="Q382" i="18"/>
  <c r="P382" i="18"/>
  <c r="O382" i="18"/>
  <c r="T381" i="18"/>
  <c r="S381" i="18"/>
  <c r="Q381" i="18"/>
  <c r="P381" i="18"/>
  <c r="O381" i="18"/>
  <c r="T380" i="18"/>
  <c r="S380" i="18"/>
  <c r="Q380" i="18"/>
  <c r="P380" i="18"/>
  <c r="O380" i="18"/>
  <c r="T379" i="18"/>
  <c r="S379" i="18"/>
  <c r="Q379" i="18"/>
  <c r="P379" i="18"/>
  <c r="O379" i="18"/>
  <c r="T378" i="18"/>
  <c r="S378" i="18"/>
  <c r="Q378" i="18"/>
  <c r="P378" i="18"/>
  <c r="O378" i="18"/>
  <c r="T377" i="18"/>
  <c r="S377" i="18"/>
  <c r="Q377" i="18"/>
  <c r="P377" i="18"/>
  <c r="O377" i="18"/>
  <c r="T376" i="18"/>
  <c r="S376" i="18"/>
  <c r="Q376" i="18"/>
  <c r="P376" i="18"/>
  <c r="O376" i="18"/>
  <c r="T375" i="18"/>
  <c r="S375" i="18"/>
  <c r="Q375" i="18"/>
  <c r="P375" i="18"/>
  <c r="O375" i="18"/>
  <c r="T374" i="18"/>
  <c r="S374" i="18"/>
  <c r="Q374" i="18"/>
  <c r="P374" i="18"/>
  <c r="O374" i="18"/>
  <c r="T373" i="18"/>
  <c r="S373" i="18"/>
  <c r="Q373" i="18"/>
  <c r="P373" i="18"/>
  <c r="O373" i="18"/>
  <c r="T372" i="18"/>
  <c r="S372" i="18"/>
  <c r="Q372" i="18"/>
  <c r="P372" i="18"/>
  <c r="O372" i="18"/>
  <c r="T371" i="18"/>
  <c r="S371" i="18"/>
  <c r="Q371" i="18"/>
  <c r="P371" i="18"/>
  <c r="O371" i="18"/>
  <c r="T370" i="18"/>
  <c r="S370" i="18"/>
  <c r="Q370" i="18"/>
  <c r="P370" i="18"/>
  <c r="O370" i="18"/>
  <c r="T369" i="18"/>
  <c r="S369" i="18"/>
  <c r="Q369" i="18"/>
  <c r="P369" i="18"/>
  <c r="O369" i="18"/>
  <c r="T368" i="18"/>
  <c r="S368" i="18"/>
  <c r="Q368" i="18"/>
  <c r="P368" i="18"/>
  <c r="O368" i="18"/>
  <c r="T367" i="18"/>
  <c r="S367" i="18"/>
  <c r="Q367" i="18"/>
  <c r="P367" i="18"/>
  <c r="O367" i="18"/>
  <c r="T366" i="18"/>
  <c r="S366" i="18"/>
  <c r="Q366" i="18"/>
  <c r="P366" i="18"/>
  <c r="O366" i="18"/>
  <c r="T365" i="18"/>
  <c r="S365" i="18"/>
  <c r="Q365" i="18"/>
  <c r="P365" i="18"/>
  <c r="O365" i="18"/>
  <c r="T364" i="18"/>
  <c r="S364" i="18"/>
  <c r="Q364" i="18"/>
  <c r="P364" i="18"/>
  <c r="O364" i="18"/>
  <c r="T363" i="18"/>
  <c r="S363" i="18"/>
  <c r="Q363" i="18"/>
  <c r="P363" i="18"/>
  <c r="O363" i="18"/>
  <c r="T362" i="18"/>
  <c r="S362" i="18"/>
  <c r="Q362" i="18"/>
  <c r="P362" i="18"/>
  <c r="O362" i="18"/>
  <c r="T361" i="18"/>
  <c r="S361" i="18"/>
  <c r="Q361" i="18"/>
  <c r="P361" i="18"/>
  <c r="O361" i="18"/>
  <c r="T360" i="18"/>
  <c r="S360" i="18"/>
  <c r="Q360" i="18"/>
  <c r="P360" i="18"/>
  <c r="O360" i="18"/>
  <c r="T359" i="18"/>
  <c r="S359" i="18"/>
  <c r="Q359" i="18"/>
  <c r="P359" i="18"/>
  <c r="O359" i="18"/>
  <c r="T358" i="18"/>
  <c r="S358" i="18"/>
  <c r="Q358" i="18"/>
  <c r="P358" i="18"/>
  <c r="O358" i="18"/>
  <c r="T357" i="18"/>
  <c r="S357" i="18"/>
  <c r="Q357" i="18"/>
  <c r="P357" i="18"/>
  <c r="O357" i="18"/>
  <c r="T356" i="18"/>
  <c r="S356" i="18"/>
  <c r="Q356" i="18"/>
  <c r="P356" i="18"/>
  <c r="O356" i="18"/>
  <c r="T355" i="18"/>
  <c r="S355" i="18"/>
  <c r="Q355" i="18"/>
  <c r="P355" i="18"/>
  <c r="O355" i="18"/>
  <c r="T354" i="18"/>
  <c r="S354" i="18"/>
  <c r="Q354" i="18"/>
  <c r="P354" i="18"/>
  <c r="O354" i="18"/>
  <c r="T353" i="18"/>
  <c r="S353" i="18"/>
  <c r="Q353" i="18"/>
  <c r="P353" i="18"/>
  <c r="O353" i="18"/>
  <c r="T352" i="18"/>
  <c r="S352" i="18"/>
  <c r="Q352" i="18"/>
  <c r="P352" i="18"/>
  <c r="O352" i="18"/>
  <c r="T351" i="18"/>
  <c r="S351" i="18"/>
  <c r="Q351" i="18"/>
  <c r="P351" i="18"/>
  <c r="O351" i="18"/>
  <c r="T350" i="18"/>
  <c r="S350" i="18"/>
  <c r="Q350" i="18"/>
  <c r="P350" i="18"/>
  <c r="O350" i="18"/>
  <c r="T349" i="18"/>
  <c r="S349" i="18"/>
  <c r="Q349" i="18"/>
  <c r="P349" i="18"/>
  <c r="O349" i="18"/>
  <c r="T348" i="18"/>
  <c r="S348" i="18"/>
  <c r="Q348" i="18"/>
  <c r="P348" i="18"/>
  <c r="O348" i="18"/>
  <c r="T347" i="18"/>
  <c r="S347" i="18"/>
  <c r="Q347" i="18"/>
  <c r="P347" i="18"/>
  <c r="O347" i="18"/>
  <c r="T346" i="18"/>
  <c r="S346" i="18"/>
  <c r="Q346" i="18"/>
  <c r="P346" i="18"/>
  <c r="O346" i="18"/>
  <c r="T345" i="18"/>
  <c r="S345" i="18"/>
  <c r="Q345" i="18"/>
  <c r="P345" i="18"/>
  <c r="O345" i="18"/>
  <c r="T344" i="18"/>
  <c r="S344" i="18"/>
  <c r="Q344" i="18"/>
  <c r="P344" i="18"/>
  <c r="O344" i="18"/>
  <c r="T343" i="18"/>
  <c r="S343" i="18"/>
  <c r="Q343" i="18"/>
  <c r="P343" i="18"/>
  <c r="O343" i="18"/>
  <c r="T342" i="18"/>
  <c r="S342" i="18"/>
  <c r="Q342" i="18"/>
  <c r="P342" i="18"/>
  <c r="O342" i="18"/>
  <c r="T341" i="18"/>
  <c r="S341" i="18"/>
  <c r="Q341" i="18"/>
  <c r="P341" i="18"/>
  <c r="O341" i="18"/>
  <c r="T340" i="18"/>
  <c r="S340" i="18"/>
  <c r="Q340" i="18"/>
  <c r="P340" i="18"/>
  <c r="O340" i="18"/>
  <c r="T339" i="18"/>
  <c r="S339" i="18"/>
  <c r="Q339" i="18"/>
  <c r="P339" i="18"/>
  <c r="O339" i="18"/>
  <c r="T338" i="18"/>
  <c r="S338" i="18"/>
  <c r="Q338" i="18"/>
  <c r="P338" i="18"/>
  <c r="O338" i="18"/>
  <c r="T337" i="18"/>
  <c r="S337" i="18"/>
  <c r="Q337" i="18"/>
  <c r="P337" i="18"/>
  <c r="O337" i="18"/>
  <c r="T336" i="18"/>
  <c r="S336" i="18"/>
  <c r="Q336" i="18"/>
  <c r="P336" i="18"/>
  <c r="O336" i="18"/>
  <c r="T335" i="18"/>
  <c r="S335" i="18"/>
  <c r="Q335" i="18"/>
  <c r="P335" i="18"/>
  <c r="O335" i="18"/>
  <c r="T334" i="18"/>
  <c r="S334" i="18"/>
  <c r="Q334" i="18"/>
  <c r="P334" i="18"/>
  <c r="O334" i="18"/>
  <c r="T333" i="18"/>
  <c r="S333" i="18"/>
  <c r="Q333" i="18"/>
  <c r="P333" i="18"/>
  <c r="O333" i="18"/>
  <c r="T332" i="18"/>
  <c r="S332" i="18"/>
  <c r="Q332" i="18"/>
  <c r="P332" i="18"/>
  <c r="O332" i="18"/>
  <c r="T331" i="18"/>
  <c r="S331" i="18"/>
  <c r="Q331" i="18"/>
  <c r="P331" i="18"/>
  <c r="O331" i="18"/>
  <c r="T330" i="18"/>
  <c r="S330" i="18"/>
  <c r="Q330" i="18"/>
  <c r="P330" i="18"/>
  <c r="O330" i="18"/>
  <c r="T329" i="18"/>
  <c r="S329" i="18"/>
  <c r="Q329" i="18"/>
  <c r="P329" i="18"/>
  <c r="O329" i="18"/>
  <c r="T328" i="18"/>
  <c r="S328" i="18"/>
  <c r="Q328" i="18"/>
  <c r="P328" i="18"/>
  <c r="O328" i="18"/>
  <c r="T327" i="18"/>
  <c r="S327" i="18"/>
  <c r="Q327" i="18"/>
  <c r="P327" i="18"/>
  <c r="O327" i="18"/>
  <c r="T326" i="18"/>
  <c r="S326" i="18"/>
  <c r="Q326" i="18"/>
  <c r="P326" i="18"/>
  <c r="O326" i="18"/>
  <c r="T325" i="18"/>
  <c r="S325" i="18"/>
  <c r="Q325" i="18"/>
  <c r="P325" i="18"/>
  <c r="O325" i="18"/>
  <c r="T324" i="18"/>
  <c r="S324" i="18"/>
  <c r="Q324" i="18"/>
  <c r="P324" i="18"/>
  <c r="O324" i="18"/>
  <c r="T323" i="18"/>
  <c r="S323" i="18"/>
  <c r="Q323" i="18"/>
  <c r="P323" i="18"/>
  <c r="O323" i="18"/>
  <c r="T322" i="18"/>
  <c r="S322" i="18"/>
  <c r="Q322" i="18"/>
  <c r="P322" i="18"/>
  <c r="O322" i="18"/>
  <c r="T321" i="18"/>
  <c r="S321" i="18"/>
  <c r="Q321" i="18"/>
  <c r="P321" i="18"/>
  <c r="O321" i="18"/>
  <c r="T320" i="18"/>
  <c r="S320" i="18"/>
  <c r="Q320" i="18"/>
  <c r="P320" i="18"/>
  <c r="O320" i="18"/>
  <c r="T319" i="18"/>
  <c r="S319" i="18"/>
  <c r="Q319" i="18"/>
  <c r="P319" i="18"/>
  <c r="O319" i="18"/>
  <c r="T318" i="18"/>
  <c r="S318" i="18"/>
  <c r="Q318" i="18"/>
  <c r="P318" i="18"/>
  <c r="O318" i="18"/>
  <c r="T317" i="18"/>
  <c r="S317" i="18"/>
  <c r="Q317" i="18"/>
  <c r="P317" i="18"/>
  <c r="O317" i="18"/>
  <c r="T316" i="18"/>
  <c r="S316" i="18"/>
  <c r="Q316" i="18"/>
  <c r="P316" i="18"/>
  <c r="O316" i="18"/>
  <c r="T315" i="18"/>
  <c r="S315" i="18"/>
  <c r="Q315" i="18"/>
  <c r="P315" i="18"/>
  <c r="O315" i="18"/>
  <c r="T314" i="18"/>
  <c r="S314" i="18"/>
  <c r="Q314" i="18"/>
  <c r="P314" i="18"/>
  <c r="O314" i="18"/>
  <c r="T313" i="18"/>
  <c r="S313" i="18"/>
  <c r="Q313" i="18"/>
  <c r="P313" i="18"/>
  <c r="O313" i="18"/>
  <c r="T312" i="18"/>
  <c r="S312" i="18"/>
  <c r="Q312" i="18"/>
  <c r="P312" i="18"/>
  <c r="O312" i="18"/>
  <c r="T311" i="18"/>
  <c r="S311" i="18"/>
  <c r="Q311" i="18"/>
  <c r="P311" i="18"/>
  <c r="O311" i="18"/>
  <c r="T310" i="18"/>
  <c r="S310" i="18"/>
  <c r="Q310" i="18"/>
  <c r="P310" i="18"/>
  <c r="O310" i="18"/>
  <c r="T309" i="18"/>
  <c r="S309" i="18"/>
  <c r="Q309" i="18"/>
  <c r="P309" i="18"/>
  <c r="O309" i="18"/>
  <c r="T308" i="18"/>
  <c r="S308" i="18"/>
  <c r="Q308" i="18"/>
  <c r="P308" i="18"/>
  <c r="O308" i="18"/>
  <c r="T307" i="18"/>
  <c r="S307" i="18"/>
  <c r="Q307" i="18"/>
  <c r="P307" i="18"/>
  <c r="O307" i="18"/>
  <c r="T306" i="18"/>
  <c r="S306" i="18"/>
  <c r="Q306" i="18"/>
  <c r="P306" i="18"/>
  <c r="O306" i="18"/>
  <c r="T305" i="18"/>
  <c r="S305" i="18"/>
  <c r="Q305" i="18"/>
  <c r="P305" i="18"/>
  <c r="O305" i="18"/>
  <c r="T304" i="18"/>
  <c r="S304" i="18"/>
  <c r="Q304" i="18"/>
  <c r="P304" i="18"/>
  <c r="O304" i="18"/>
  <c r="T303" i="18"/>
  <c r="S303" i="18"/>
  <c r="Q303" i="18"/>
  <c r="P303" i="18"/>
  <c r="O303" i="18"/>
  <c r="T302" i="18"/>
  <c r="S302" i="18"/>
  <c r="Q302" i="18"/>
  <c r="P302" i="18"/>
  <c r="O302" i="18"/>
  <c r="T301" i="18"/>
  <c r="S301" i="18"/>
  <c r="Q301" i="18"/>
  <c r="P301" i="18"/>
  <c r="O301" i="18"/>
  <c r="T300" i="18"/>
  <c r="S300" i="18"/>
  <c r="Q300" i="18"/>
  <c r="P300" i="18"/>
  <c r="O300" i="18"/>
  <c r="T299" i="18"/>
  <c r="S299" i="18"/>
  <c r="Q299" i="18"/>
  <c r="P299" i="18"/>
  <c r="O299" i="18"/>
  <c r="T298" i="18"/>
  <c r="S298" i="18"/>
  <c r="Q298" i="18"/>
  <c r="P298" i="18"/>
  <c r="O298" i="18"/>
  <c r="T297" i="18"/>
  <c r="S297" i="18"/>
  <c r="Q297" i="18"/>
  <c r="P297" i="18"/>
  <c r="O297" i="18"/>
  <c r="T296" i="18"/>
  <c r="S296" i="18"/>
  <c r="Q296" i="18"/>
  <c r="P296" i="18"/>
  <c r="O296" i="18"/>
  <c r="T295" i="18"/>
  <c r="S295" i="18"/>
  <c r="Q295" i="18"/>
  <c r="P295" i="18"/>
  <c r="O295" i="18"/>
  <c r="T294" i="18"/>
  <c r="S294" i="18"/>
  <c r="Q294" i="18"/>
  <c r="P294" i="18"/>
  <c r="O294" i="18"/>
  <c r="T293" i="18"/>
  <c r="S293" i="18"/>
  <c r="Q293" i="18"/>
  <c r="P293" i="18"/>
  <c r="O293" i="18"/>
  <c r="T292" i="18"/>
  <c r="S292" i="18"/>
  <c r="Q292" i="18"/>
  <c r="P292" i="18"/>
  <c r="O292" i="18"/>
  <c r="T291" i="18"/>
  <c r="S291" i="18"/>
  <c r="Q291" i="18"/>
  <c r="P291" i="18"/>
  <c r="O291" i="18"/>
  <c r="T290" i="18"/>
  <c r="S290" i="18"/>
  <c r="Q290" i="18"/>
  <c r="P290" i="18"/>
  <c r="O290" i="18"/>
  <c r="T289" i="18"/>
  <c r="S289" i="18"/>
  <c r="Q289" i="18"/>
  <c r="P289" i="18"/>
  <c r="O289" i="18"/>
  <c r="T288" i="18"/>
  <c r="S288" i="18"/>
  <c r="Q288" i="18"/>
  <c r="P288" i="18"/>
  <c r="O288" i="18"/>
  <c r="T287" i="18"/>
  <c r="S287" i="18"/>
  <c r="Q287" i="18"/>
  <c r="P287" i="18"/>
  <c r="O287" i="18"/>
  <c r="T286" i="18"/>
  <c r="S286" i="18"/>
  <c r="Q286" i="18"/>
  <c r="P286" i="18"/>
  <c r="O286" i="18"/>
  <c r="T285" i="18"/>
  <c r="S285" i="18"/>
  <c r="Q285" i="18"/>
  <c r="P285" i="18"/>
  <c r="O285" i="18"/>
  <c r="T284" i="18"/>
  <c r="S284" i="18"/>
  <c r="Q284" i="18"/>
  <c r="P284" i="18"/>
  <c r="O284" i="18"/>
  <c r="T283" i="18"/>
  <c r="S283" i="18"/>
  <c r="Q283" i="18"/>
  <c r="P283" i="18"/>
  <c r="O283" i="18"/>
  <c r="T282" i="18"/>
  <c r="S282" i="18"/>
  <c r="Q282" i="18"/>
  <c r="P282" i="18"/>
  <c r="O282" i="18"/>
  <c r="T281" i="18"/>
  <c r="S281" i="18"/>
  <c r="Q281" i="18"/>
  <c r="P281" i="18"/>
  <c r="O281" i="18"/>
  <c r="T280" i="18"/>
  <c r="S280" i="18"/>
  <c r="Q280" i="18"/>
  <c r="P280" i="18"/>
  <c r="O280" i="18"/>
  <c r="T279" i="18"/>
  <c r="S279" i="18"/>
  <c r="Q279" i="18"/>
  <c r="P279" i="18"/>
  <c r="O279" i="18"/>
  <c r="T278" i="18"/>
  <c r="S278" i="18"/>
  <c r="Q278" i="18"/>
  <c r="P278" i="18"/>
  <c r="O278" i="18"/>
  <c r="T277" i="18"/>
  <c r="S277" i="18"/>
  <c r="Q277" i="18"/>
  <c r="P277" i="18"/>
  <c r="O277" i="18"/>
  <c r="T276" i="18"/>
  <c r="S276" i="18"/>
  <c r="Q276" i="18"/>
  <c r="P276" i="18"/>
  <c r="O276" i="18"/>
  <c r="T275" i="18"/>
  <c r="S275" i="18"/>
  <c r="Q275" i="18"/>
  <c r="P275" i="18"/>
  <c r="O275" i="18"/>
  <c r="T274" i="18"/>
  <c r="S274" i="18"/>
  <c r="Q274" i="18"/>
  <c r="P274" i="18"/>
  <c r="O274" i="18"/>
  <c r="T273" i="18"/>
  <c r="S273" i="18"/>
  <c r="Q273" i="18"/>
  <c r="P273" i="18"/>
  <c r="O273" i="18"/>
  <c r="T272" i="18"/>
  <c r="S272" i="18"/>
  <c r="Q272" i="18"/>
  <c r="P272" i="18"/>
  <c r="O272" i="18"/>
  <c r="T271" i="18"/>
  <c r="S271" i="18"/>
  <c r="Q271" i="18"/>
  <c r="P271" i="18"/>
  <c r="O271" i="18"/>
  <c r="T270" i="18"/>
  <c r="S270" i="18"/>
  <c r="Q270" i="18"/>
  <c r="P270" i="18"/>
  <c r="O270" i="18"/>
  <c r="T269" i="18"/>
  <c r="S269" i="18"/>
  <c r="Q269" i="18"/>
  <c r="P269" i="18"/>
  <c r="O269" i="18"/>
  <c r="T268" i="18"/>
  <c r="S268" i="18"/>
  <c r="Q268" i="18"/>
  <c r="P268" i="18"/>
  <c r="O268" i="18"/>
  <c r="T267" i="18"/>
  <c r="S267" i="18"/>
  <c r="Q267" i="18"/>
  <c r="P267" i="18"/>
  <c r="O267" i="18"/>
  <c r="T266" i="18"/>
  <c r="S266" i="18"/>
  <c r="Q266" i="18"/>
  <c r="P266" i="18"/>
  <c r="O266" i="18"/>
  <c r="T265" i="18"/>
  <c r="S265" i="18"/>
  <c r="Q265" i="18"/>
  <c r="P265" i="18"/>
  <c r="O265" i="18"/>
  <c r="T264" i="18"/>
  <c r="S264" i="18"/>
  <c r="Q264" i="18"/>
  <c r="P264" i="18"/>
  <c r="O264" i="18"/>
  <c r="T263" i="18"/>
  <c r="S263" i="18"/>
  <c r="Q263" i="18"/>
  <c r="P263" i="18"/>
  <c r="O263" i="18"/>
  <c r="T262" i="18"/>
  <c r="S262" i="18"/>
  <c r="Q262" i="18"/>
  <c r="P262" i="18"/>
  <c r="O262" i="18"/>
  <c r="T261" i="18"/>
  <c r="S261" i="18"/>
  <c r="Q261" i="18"/>
  <c r="P261" i="18"/>
  <c r="O261" i="18"/>
  <c r="T260" i="18"/>
  <c r="S260" i="18"/>
  <c r="Q260" i="18"/>
  <c r="P260" i="18"/>
  <c r="O260" i="18"/>
  <c r="T259" i="18"/>
  <c r="S259" i="18"/>
  <c r="Q259" i="18"/>
  <c r="P259" i="18"/>
  <c r="O259" i="18"/>
  <c r="T258" i="18"/>
  <c r="S258" i="18"/>
  <c r="Q258" i="18"/>
  <c r="P258" i="18"/>
  <c r="O258" i="18"/>
  <c r="T257" i="18"/>
  <c r="S257" i="18"/>
  <c r="Q257" i="18"/>
  <c r="P257" i="18"/>
  <c r="O257" i="18"/>
  <c r="T256" i="18"/>
  <c r="S256" i="18"/>
  <c r="Q256" i="18"/>
  <c r="P256" i="18"/>
  <c r="O256" i="18"/>
  <c r="T255" i="18"/>
  <c r="S255" i="18"/>
  <c r="Q255" i="18"/>
  <c r="P255" i="18"/>
  <c r="O255" i="18"/>
  <c r="T254" i="18"/>
  <c r="S254" i="18"/>
  <c r="Q254" i="18"/>
  <c r="P254" i="18"/>
  <c r="O254" i="18"/>
  <c r="T253" i="18"/>
  <c r="S253" i="18"/>
  <c r="Q253" i="18"/>
  <c r="P253" i="18"/>
  <c r="O253" i="18"/>
  <c r="T252" i="18"/>
  <c r="S252" i="18"/>
  <c r="Q252" i="18"/>
  <c r="P252" i="18"/>
  <c r="O252" i="18"/>
  <c r="T251" i="18"/>
  <c r="S251" i="18"/>
  <c r="Q251" i="18"/>
  <c r="P251" i="18"/>
  <c r="O251" i="18"/>
  <c r="T250" i="18"/>
  <c r="S250" i="18"/>
  <c r="Q250" i="18"/>
  <c r="P250" i="18"/>
  <c r="O250" i="18"/>
  <c r="T249" i="18"/>
  <c r="S249" i="18"/>
  <c r="Q249" i="18"/>
  <c r="P249" i="18"/>
  <c r="O249" i="18"/>
  <c r="T248" i="18"/>
  <c r="S248" i="18"/>
  <c r="Q248" i="18"/>
  <c r="P248" i="18"/>
  <c r="O248" i="18"/>
  <c r="T247" i="18"/>
  <c r="S247" i="18"/>
  <c r="Q247" i="18"/>
  <c r="P247" i="18"/>
  <c r="O247" i="18"/>
  <c r="T246" i="18"/>
  <c r="S246" i="18"/>
  <c r="Q246" i="18"/>
  <c r="P246" i="18"/>
  <c r="O246" i="18"/>
  <c r="T245" i="18"/>
  <c r="S245" i="18"/>
  <c r="Q245" i="18"/>
  <c r="P245" i="18"/>
  <c r="O245" i="18"/>
  <c r="T244" i="18"/>
  <c r="S244" i="18"/>
  <c r="Q244" i="18"/>
  <c r="P244" i="18"/>
  <c r="O244" i="18"/>
  <c r="T243" i="18"/>
  <c r="S243" i="18"/>
  <c r="Q243" i="18"/>
  <c r="P243" i="18"/>
  <c r="O243" i="18"/>
  <c r="T242" i="18"/>
  <c r="S242" i="18"/>
  <c r="Q242" i="18"/>
  <c r="P242" i="18"/>
  <c r="O242" i="18"/>
  <c r="T241" i="18"/>
  <c r="S241" i="18"/>
  <c r="Q241" i="18"/>
  <c r="P241" i="18"/>
  <c r="O241" i="18"/>
  <c r="T240" i="18"/>
  <c r="S240" i="18"/>
  <c r="Q240" i="18"/>
  <c r="P240" i="18"/>
  <c r="O240" i="18"/>
  <c r="T239" i="18"/>
  <c r="S239" i="18"/>
  <c r="Q239" i="18"/>
  <c r="P239" i="18"/>
  <c r="O239" i="18"/>
  <c r="T238" i="18"/>
  <c r="S238" i="18"/>
  <c r="Q238" i="18"/>
  <c r="P238" i="18"/>
  <c r="O238" i="18"/>
  <c r="T237" i="18"/>
  <c r="S237" i="18"/>
  <c r="Q237" i="18"/>
  <c r="P237" i="18"/>
  <c r="O237" i="18"/>
  <c r="T236" i="18"/>
  <c r="S236" i="18"/>
  <c r="Q236" i="18"/>
  <c r="P236" i="18"/>
  <c r="O236" i="18"/>
  <c r="T235" i="18"/>
  <c r="S235" i="18"/>
  <c r="Q235" i="18"/>
  <c r="P235" i="18"/>
  <c r="O235" i="18"/>
  <c r="T234" i="18"/>
  <c r="S234" i="18"/>
  <c r="Q234" i="18"/>
  <c r="P234" i="18"/>
  <c r="O234" i="18"/>
  <c r="T233" i="18"/>
  <c r="S233" i="18"/>
  <c r="Q233" i="18"/>
  <c r="P233" i="18"/>
  <c r="O233" i="18"/>
  <c r="T232" i="18"/>
  <c r="S232" i="18"/>
  <c r="Q232" i="18"/>
  <c r="P232" i="18"/>
  <c r="O232" i="18"/>
  <c r="T231" i="18"/>
  <c r="S231" i="18"/>
  <c r="Q231" i="18"/>
  <c r="P231" i="18"/>
  <c r="O231" i="18"/>
  <c r="T230" i="18"/>
  <c r="S230" i="18"/>
  <c r="Q230" i="18"/>
  <c r="P230" i="18"/>
  <c r="O230" i="18"/>
  <c r="T229" i="18"/>
  <c r="S229" i="18"/>
  <c r="Q229" i="18"/>
  <c r="P229" i="18"/>
  <c r="O229" i="18"/>
  <c r="T228" i="18"/>
  <c r="S228" i="18"/>
  <c r="Q228" i="18"/>
  <c r="P228" i="18"/>
  <c r="O228" i="18"/>
  <c r="T227" i="18"/>
  <c r="S227" i="18"/>
  <c r="Q227" i="18"/>
  <c r="P227" i="18"/>
  <c r="O227" i="18"/>
  <c r="T226" i="18"/>
  <c r="S226" i="18"/>
  <c r="Q226" i="18"/>
  <c r="P226" i="18"/>
  <c r="O226" i="18"/>
  <c r="T225" i="18"/>
  <c r="S225" i="18"/>
  <c r="Q225" i="18"/>
  <c r="P225" i="18"/>
  <c r="O225" i="18"/>
  <c r="T224" i="18"/>
  <c r="S224" i="18"/>
  <c r="Q224" i="18"/>
  <c r="P224" i="18"/>
  <c r="O224" i="18"/>
  <c r="T223" i="18"/>
  <c r="S223" i="18"/>
  <c r="Q223" i="18"/>
  <c r="P223" i="18"/>
  <c r="O223" i="18"/>
  <c r="T222" i="18"/>
  <c r="S222" i="18"/>
  <c r="Q222" i="18"/>
  <c r="P222" i="18"/>
  <c r="O222" i="18"/>
  <c r="T221" i="18"/>
  <c r="S221" i="18"/>
  <c r="Q221" i="18"/>
  <c r="P221" i="18"/>
  <c r="O221" i="18"/>
  <c r="T220" i="18"/>
  <c r="S220" i="18"/>
  <c r="Q220" i="18"/>
  <c r="P220" i="18"/>
  <c r="O220" i="18"/>
  <c r="T219" i="18"/>
  <c r="S219" i="18"/>
  <c r="Q219" i="18"/>
  <c r="P219" i="18"/>
  <c r="O219" i="18"/>
  <c r="T218" i="18"/>
  <c r="S218" i="18"/>
  <c r="Q218" i="18"/>
  <c r="P218" i="18"/>
  <c r="O218" i="18"/>
  <c r="T217" i="18"/>
  <c r="S217" i="18"/>
  <c r="Q217" i="18"/>
  <c r="P217" i="18"/>
  <c r="O217" i="18"/>
  <c r="T216" i="18"/>
  <c r="S216" i="18"/>
  <c r="Q216" i="18"/>
  <c r="P216" i="18"/>
  <c r="O216" i="18"/>
  <c r="T215" i="18"/>
  <c r="S215" i="18"/>
  <c r="Q215" i="18"/>
  <c r="P215" i="18"/>
  <c r="O215" i="18"/>
  <c r="T214" i="18"/>
  <c r="S214" i="18"/>
  <c r="Q214" i="18"/>
  <c r="P214" i="18"/>
  <c r="O214" i="18"/>
  <c r="T213" i="18"/>
  <c r="S213" i="18"/>
  <c r="Q213" i="18"/>
  <c r="P213" i="18"/>
  <c r="O213" i="18"/>
  <c r="T212" i="18"/>
  <c r="S212" i="18"/>
  <c r="Q212" i="18"/>
  <c r="P212" i="18"/>
  <c r="O212" i="18"/>
  <c r="T211" i="18"/>
  <c r="S211" i="18"/>
  <c r="Q211" i="18"/>
  <c r="P211" i="18"/>
  <c r="O211" i="18"/>
  <c r="T210" i="18"/>
  <c r="S210" i="18"/>
  <c r="Q210" i="18"/>
  <c r="P210" i="18"/>
  <c r="O210" i="18"/>
  <c r="T209" i="18"/>
  <c r="S209" i="18"/>
  <c r="Q209" i="18"/>
  <c r="P209" i="18"/>
  <c r="O209" i="18"/>
  <c r="T208" i="18"/>
  <c r="S208" i="18"/>
  <c r="Q208" i="18"/>
  <c r="P208" i="18"/>
  <c r="O208" i="18"/>
  <c r="T207" i="18"/>
  <c r="S207" i="18"/>
  <c r="Q207" i="18"/>
  <c r="P207" i="18"/>
  <c r="O207" i="18"/>
  <c r="T206" i="18"/>
  <c r="S206" i="18"/>
  <c r="Q206" i="18"/>
  <c r="P206" i="18"/>
  <c r="O206" i="18"/>
  <c r="T205" i="18"/>
  <c r="S205" i="18"/>
  <c r="Q205" i="18"/>
  <c r="P205" i="18"/>
  <c r="O205" i="18"/>
  <c r="T204" i="18"/>
  <c r="S204" i="18"/>
  <c r="Q204" i="18"/>
  <c r="P204" i="18"/>
  <c r="O204" i="18"/>
  <c r="T203" i="18"/>
  <c r="S203" i="18"/>
  <c r="Q203" i="18"/>
  <c r="P203" i="18"/>
  <c r="O203" i="18"/>
  <c r="T202" i="18"/>
  <c r="S202" i="18"/>
  <c r="Q202" i="18"/>
  <c r="P202" i="18"/>
  <c r="O202" i="18"/>
  <c r="T201" i="18"/>
  <c r="S201" i="18"/>
  <c r="Q201" i="18"/>
  <c r="P201" i="18"/>
  <c r="O201" i="18"/>
  <c r="T200" i="18"/>
  <c r="S200" i="18"/>
  <c r="Q200" i="18"/>
  <c r="P200" i="18"/>
  <c r="O200" i="18"/>
  <c r="T199" i="18"/>
  <c r="S199" i="18"/>
  <c r="Q199" i="18"/>
  <c r="P199" i="18"/>
  <c r="O199" i="18"/>
  <c r="T198" i="18"/>
  <c r="S198" i="18"/>
  <c r="Q198" i="18"/>
  <c r="P198" i="18"/>
  <c r="O198" i="18"/>
  <c r="T197" i="18"/>
  <c r="S197" i="18"/>
  <c r="Q197" i="18"/>
  <c r="P197" i="18"/>
  <c r="O197" i="18"/>
  <c r="T196" i="18"/>
  <c r="S196" i="18"/>
  <c r="Q196" i="18"/>
  <c r="P196" i="18"/>
  <c r="O196" i="18"/>
  <c r="T195" i="18"/>
  <c r="S195" i="18"/>
  <c r="Q195" i="18"/>
  <c r="P195" i="18"/>
  <c r="O195" i="18"/>
  <c r="T194" i="18"/>
  <c r="S194" i="18"/>
  <c r="Q194" i="18"/>
  <c r="P194" i="18"/>
  <c r="O194" i="18"/>
  <c r="T193" i="18"/>
  <c r="S193" i="18"/>
  <c r="Q193" i="18"/>
  <c r="P193" i="18"/>
  <c r="O193" i="18"/>
  <c r="T192" i="18"/>
  <c r="S192" i="18"/>
  <c r="Q192" i="18"/>
  <c r="P192" i="18"/>
  <c r="O192" i="18"/>
  <c r="T191" i="18"/>
  <c r="S191" i="18"/>
  <c r="Q191" i="18"/>
  <c r="P191" i="18"/>
  <c r="O191" i="18"/>
  <c r="T190" i="18"/>
  <c r="S190" i="18"/>
  <c r="Q190" i="18"/>
  <c r="P190" i="18"/>
  <c r="O190" i="18"/>
  <c r="T189" i="18"/>
  <c r="S189" i="18"/>
  <c r="Q189" i="18"/>
  <c r="P189" i="18"/>
  <c r="O189" i="18"/>
  <c r="T188" i="18"/>
  <c r="S188" i="18"/>
  <c r="Q188" i="18"/>
  <c r="P188" i="18"/>
  <c r="O188" i="18"/>
  <c r="T187" i="18"/>
  <c r="S187" i="18"/>
  <c r="Q187" i="18"/>
  <c r="P187" i="18"/>
  <c r="O187" i="18"/>
  <c r="T186" i="18"/>
  <c r="S186" i="18"/>
  <c r="Q186" i="18"/>
  <c r="P186" i="18"/>
  <c r="O186" i="18"/>
  <c r="T185" i="18"/>
  <c r="S185" i="18"/>
  <c r="Q185" i="18"/>
  <c r="P185" i="18"/>
  <c r="O185" i="18"/>
  <c r="T184" i="18"/>
  <c r="S184" i="18"/>
  <c r="Q184" i="18"/>
  <c r="P184" i="18"/>
  <c r="O184" i="18"/>
  <c r="T183" i="18"/>
  <c r="S183" i="18"/>
  <c r="Q183" i="18"/>
  <c r="P183" i="18"/>
  <c r="O183" i="18"/>
  <c r="T182" i="18"/>
  <c r="S182" i="18"/>
  <c r="Q182" i="18"/>
  <c r="P182" i="18"/>
  <c r="O182" i="18"/>
  <c r="T181" i="18"/>
  <c r="S181" i="18"/>
  <c r="Q181" i="18"/>
  <c r="P181" i="18"/>
  <c r="O181" i="18"/>
  <c r="T180" i="18"/>
  <c r="S180" i="18"/>
  <c r="Q180" i="18"/>
  <c r="P180" i="18"/>
  <c r="O180" i="18"/>
  <c r="T179" i="18"/>
  <c r="S179" i="18"/>
  <c r="Q179" i="18"/>
  <c r="P179" i="18"/>
  <c r="O179" i="18"/>
  <c r="T178" i="18"/>
  <c r="S178" i="18"/>
  <c r="Q178" i="18"/>
  <c r="P178" i="18"/>
  <c r="O178" i="18"/>
  <c r="T177" i="18"/>
  <c r="S177" i="18"/>
  <c r="Q177" i="18"/>
  <c r="P177" i="18"/>
  <c r="O177" i="18"/>
  <c r="T176" i="18"/>
  <c r="S176" i="18"/>
  <c r="Q176" i="18"/>
  <c r="P176" i="18"/>
  <c r="O176" i="18"/>
  <c r="T175" i="18"/>
  <c r="S175" i="18"/>
  <c r="Q175" i="18"/>
  <c r="P175" i="18"/>
  <c r="O175" i="18"/>
  <c r="T174" i="18"/>
  <c r="S174" i="18"/>
  <c r="Q174" i="18"/>
  <c r="P174" i="18"/>
  <c r="O174" i="18"/>
  <c r="T173" i="18"/>
  <c r="S173" i="18"/>
  <c r="Q173" i="18"/>
  <c r="P173" i="18"/>
  <c r="O173" i="18"/>
  <c r="T172" i="18"/>
  <c r="S172" i="18"/>
  <c r="Q172" i="18"/>
  <c r="P172" i="18"/>
  <c r="O172" i="18"/>
  <c r="T171" i="18"/>
  <c r="S171" i="18"/>
  <c r="Q171" i="18"/>
  <c r="P171" i="18"/>
  <c r="O171" i="18"/>
  <c r="T170" i="18"/>
  <c r="S170" i="18"/>
  <c r="Q170" i="18"/>
  <c r="P170" i="18"/>
  <c r="O170" i="18"/>
  <c r="T169" i="18"/>
  <c r="S169" i="18"/>
  <c r="Q169" i="18"/>
  <c r="P169" i="18"/>
  <c r="O169" i="18"/>
  <c r="T168" i="18"/>
  <c r="S168" i="18"/>
  <c r="Q168" i="18"/>
  <c r="P168" i="18"/>
  <c r="O168" i="18"/>
  <c r="T167" i="18"/>
  <c r="S167" i="18"/>
  <c r="Q167" i="18"/>
  <c r="P167" i="18"/>
  <c r="O167" i="18"/>
  <c r="T166" i="18"/>
  <c r="S166" i="18"/>
  <c r="Q166" i="18"/>
  <c r="P166" i="18"/>
  <c r="O166" i="18"/>
  <c r="T165" i="18"/>
  <c r="S165" i="18"/>
  <c r="Q165" i="18"/>
  <c r="P165" i="18"/>
  <c r="O165" i="18"/>
  <c r="T164" i="18"/>
  <c r="S164" i="18"/>
  <c r="Q164" i="18"/>
  <c r="P164" i="18"/>
  <c r="O164" i="18"/>
  <c r="T163" i="18"/>
  <c r="S163" i="18"/>
  <c r="Q163" i="18"/>
  <c r="P163" i="18"/>
  <c r="O163" i="18"/>
  <c r="T162" i="18"/>
  <c r="S162" i="18"/>
  <c r="Q162" i="18"/>
  <c r="P162" i="18"/>
  <c r="O162" i="18"/>
  <c r="T161" i="18"/>
  <c r="S161" i="18"/>
  <c r="Q161" i="18"/>
  <c r="P161" i="18"/>
  <c r="O161" i="18"/>
  <c r="T160" i="18"/>
  <c r="S160" i="18"/>
  <c r="Q160" i="18"/>
  <c r="P160" i="18"/>
  <c r="O160" i="18"/>
  <c r="T159" i="18"/>
  <c r="S159" i="18"/>
  <c r="Q159" i="18"/>
  <c r="P159" i="18"/>
  <c r="O159" i="18"/>
  <c r="T158" i="18"/>
  <c r="S158" i="18"/>
  <c r="Q158" i="18"/>
  <c r="P158" i="18"/>
  <c r="O158" i="18"/>
  <c r="T157" i="18"/>
  <c r="S157" i="18"/>
  <c r="Q157" i="18"/>
  <c r="P157" i="18"/>
  <c r="O157" i="18"/>
  <c r="T156" i="18"/>
  <c r="S156" i="18"/>
  <c r="Q156" i="18"/>
  <c r="P156" i="18"/>
  <c r="O156" i="18"/>
  <c r="T155" i="18"/>
  <c r="S155" i="18"/>
  <c r="Q155" i="18"/>
  <c r="P155" i="18"/>
  <c r="O155" i="18"/>
  <c r="T154" i="18"/>
  <c r="S154" i="18"/>
  <c r="Q154" i="18"/>
  <c r="P154" i="18"/>
  <c r="O154" i="18"/>
  <c r="T153" i="18"/>
  <c r="S153" i="18"/>
  <c r="Q153" i="18"/>
  <c r="P153" i="18"/>
  <c r="O153" i="18"/>
  <c r="T152" i="18"/>
  <c r="S152" i="18"/>
  <c r="Q152" i="18"/>
  <c r="P152" i="18"/>
  <c r="O152" i="18"/>
  <c r="T151" i="18"/>
  <c r="S151" i="18"/>
  <c r="Q151" i="18"/>
  <c r="P151" i="18"/>
  <c r="O151" i="18"/>
  <c r="T150" i="18"/>
  <c r="S150" i="18"/>
  <c r="Q150" i="18"/>
  <c r="P150" i="18"/>
  <c r="O150" i="18"/>
  <c r="T149" i="18"/>
  <c r="S149" i="18"/>
  <c r="Q149" i="18"/>
  <c r="P149" i="18"/>
  <c r="O149" i="18"/>
  <c r="T148" i="18"/>
  <c r="S148" i="18"/>
  <c r="Q148" i="18"/>
  <c r="P148" i="18"/>
  <c r="O148" i="18"/>
  <c r="T147" i="18"/>
  <c r="S147" i="18"/>
  <c r="Q147" i="18"/>
  <c r="P147" i="18"/>
  <c r="O147" i="18"/>
  <c r="T146" i="18"/>
  <c r="S146" i="18"/>
  <c r="Q146" i="18"/>
  <c r="P146" i="18"/>
  <c r="O146" i="18"/>
  <c r="T145" i="18"/>
  <c r="S145" i="18"/>
  <c r="Q145" i="18"/>
  <c r="P145" i="18"/>
  <c r="O145" i="18"/>
  <c r="T144" i="18"/>
  <c r="S144" i="18"/>
  <c r="Q144" i="18"/>
  <c r="P144" i="18"/>
  <c r="O144" i="18"/>
  <c r="T143" i="18"/>
  <c r="S143" i="18"/>
  <c r="Q143" i="18"/>
  <c r="P143" i="18"/>
  <c r="O143" i="18"/>
  <c r="T142" i="18"/>
  <c r="S142" i="18"/>
  <c r="Q142" i="18"/>
  <c r="P142" i="18"/>
  <c r="O142" i="18"/>
  <c r="T141" i="18"/>
  <c r="S141" i="18"/>
  <c r="Q141" i="18"/>
  <c r="P141" i="18"/>
  <c r="O141" i="18"/>
  <c r="T140" i="18"/>
  <c r="S140" i="18"/>
  <c r="Q140" i="18"/>
  <c r="P140" i="18"/>
  <c r="O140" i="18"/>
  <c r="T139" i="18"/>
  <c r="S139" i="18"/>
  <c r="Q139" i="18"/>
  <c r="P139" i="18"/>
  <c r="O139" i="18"/>
  <c r="T138" i="18"/>
  <c r="S138" i="18"/>
  <c r="Q138" i="18"/>
  <c r="P138" i="18"/>
  <c r="O138" i="18"/>
  <c r="T137" i="18"/>
  <c r="S137" i="18"/>
  <c r="Q137" i="18"/>
  <c r="P137" i="18"/>
  <c r="O137" i="18"/>
  <c r="T136" i="18"/>
  <c r="S136" i="18"/>
  <c r="Q136" i="18"/>
  <c r="P136" i="18"/>
  <c r="O136" i="18"/>
  <c r="T135" i="18"/>
  <c r="S135" i="18"/>
  <c r="Q135" i="18"/>
  <c r="P135" i="18"/>
  <c r="O135" i="18"/>
  <c r="T134" i="18"/>
  <c r="S134" i="18"/>
  <c r="Q134" i="18"/>
  <c r="P134" i="18"/>
  <c r="O134" i="18"/>
  <c r="T133" i="18"/>
  <c r="S133" i="18"/>
  <c r="Q133" i="18"/>
  <c r="P133" i="18"/>
  <c r="O133" i="18"/>
  <c r="T132" i="18"/>
  <c r="S132" i="18"/>
  <c r="Q132" i="18"/>
  <c r="P132" i="18"/>
  <c r="O132" i="18"/>
  <c r="T131" i="18"/>
  <c r="S131" i="18"/>
  <c r="Q131" i="18"/>
  <c r="P131" i="18"/>
  <c r="O131" i="18"/>
  <c r="T130" i="18"/>
  <c r="S130" i="18"/>
  <c r="Q130" i="18"/>
  <c r="P130" i="18"/>
  <c r="O130" i="18"/>
  <c r="T129" i="18"/>
  <c r="S129" i="18"/>
  <c r="Q129" i="18"/>
  <c r="P129" i="18"/>
  <c r="O129" i="18"/>
  <c r="T128" i="18"/>
  <c r="S128" i="18"/>
  <c r="Q128" i="18"/>
  <c r="P128" i="18"/>
  <c r="O128" i="18"/>
  <c r="T127" i="18"/>
  <c r="S127" i="18"/>
  <c r="Q127" i="18"/>
  <c r="P127" i="18"/>
  <c r="O127" i="18"/>
  <c r="T126" i="18"/>
  <c r="S126" i="18"/>
  <c r="Q126" i="18"/>
  <c r="P126" i="18"/>
  <c r="O126" i="18"/>
  <c r="T125" i="18"/>
  <c r="S125" i="18"/>
  <c r="Q125" i="18"/>
  <c r="P125" i="18"/>
  <c r="O125" i="18"/>
  <c r="T124" i="18"/>
  <c r="S124" i="18"/>
  <c r="Q124" i="18"/>
  <c r="P124" i="18"/>
  <c r="O124" i="18"/>
  <c r="T123" i="18"/>
  <c r="S123" i="18"/>
  <c r="Q123" i="18"/>
  <c r="P123" i="18"/>
  <c r="O123" i="18"/>
  <c r="T122" i="18"/>
  <c r="S122" i="18"/>
  <c r="Q122" i="18"/>
  <c r="P122" i="18"/>
  <c r="O122" i="18"/>
  <c r="T121" i="18"/>
  <c r="S121" i="18"/>
  <c r="Q121" i="18"/>
  <c r="P121" i="18"/>
  <c r="O121" i="18"/>
  <c r="T120" i="18"/>
  <c r="S120" i="18"/>
  <c r="Q120" i="18"/>
  <c r="P120" i="18"/>
  <c r="O120" i="18"/>
  <c r="T119" i="18"/>
  <c r="S119" i="18"/>
  <c r="Q119" i="18"/>
  <c r="P119" i="18"/>
  <c r="O119" i="18"/>
  <c r="T118" i="18"/>
  <c r="S118" i="18"/>
  <c r="Q118" i="18"/>
  <c r="P118" i="18"/>
  <c r="O118" i="18"/>
  <c r="T117" i="18"/>
  <c r="S117" i="18"/>
  <c r="Q117" i="18"/>
  <c r="P117" i="18"/>
  <c r="O117" i="18"/>
  <c r="T116" i="18"/>
  <c r="S116" i="18"/>
  <c r="Q116" i="18"/>
  <c r="P116" i="18"/>
  <c r="O116" i="18"/>
  <c r="T115" i="18"/>
  <c r="S115" i="18"/>
  <c r="Q115" i="18"/>
  <c r="P115" i="18"/>
  <c r="O115" i="18"/>
  <c r="T114" i="18"/>
  <c r="S114" i="18"/>
  <c r="Q114" i="18"/>
  <c r="P114" i="18"/>
  <c r="O114" i="18"/>
  <c r="T113" i="18"/>
  <c r="S113" i="18"/>
  <c r="Q113" i="18"/>
  <c r="P113" i="18"/>
  <c r="O113" i="18"/>
  <c r="T112" i="18"/>
  <c r="S112" i="18"/>
  <c r="Q112" i="18"/>
  <c r="P112" i="18"/>
  <c r="O112" i="18"/>
  <c r="T111" i="18"/>
  <c r="S111" i="18"/>
  <c r="Q111" i="18"/>
  <c r="P111" i="18"/>
  <c r="O111" i="18"/>
  <c r="T110" i="18"/>
  <c r="S110" i="18"/>
  <c r="Q110" i="18"/>
  <c r="P110" i="18"/>
  <c r="O110" i="18"/>
  <c r="T109" i="18"/>
  <c r="S109" i="18"/>
  <c r="Q109" i="18"/>
  <c r="P109" i="18"/>
  <c r="O109" i="18"/>
  <c r="T108" i="18"/>
  <c r="S108" i="18"/>
  <c r="Q108" i="18"/>
  <c r="P108" i="18"/>
  <c r="O108" i="18"/>
  <c r="T107" i="18"/>
  <c r="S107" i="18"/>
  <c r="Q107" i="18"/>
  <c r="P107" i="18"/>
  <c r="O107" i="18"/>
  <c r="T106" i="18"/>
  <c r="S106" i="18"/>
  <c r="Q106" i="18"/>
  <c r="P106" i="18"/>
  <c r="O106" i="18"/>
  <c r="T105" i="18"/>
  <c r="S105" i="18"/>
  <c r="Q105" i="18"/>
  <c r="P105" i="18"/>
  <c r="O105" i="18"/>
  <c r="T104" i="18"/>
  <c r="S104" i="18"/>
  <c r="Q104" i="18"/>
  <c r="P104" i="18"/>
  <c r="O104" i="18"/>
  <c r="T103" i="18"/>
  <c r="S103" i="18"/>
  <c r="Q103" i="18"/>
  <c r="P103" i="18"/>
  <c r="O103" i="18"/>
  <c r="T102" i="18"/>
  <c r="S102" i="18"/>
  <c r="Q102" i="18"/>
  <c r="P102" i="18"/>
  <c r="O102" i="18"/>
  <c r="T101" i="18"/>
  <c r="S101" i="18"/>
  <c r="Q101" i="18"/>
  <c r="P101" i="18"/>
  <c r="O101" i="18"/>
  <c r="T100" i="18"/>
  <c r="S100" i="18"/>
  <c r="Q100" i="18"/>
  <c r="P100" i="18"/>
  <c r="O100" i="18"/>
  <c r="T99" i="18"/>
  <c r="S99" i="18"/>
  <c r="Q99" i="18"/>
  <c r="P99" i="18"/>
  <c r="O99" i="18"/>
  <c r="T98" i="18"/>
  <c r="S98" i="18"/>
  <c r="Q98" i="18"/>
  <c r="P98" i="18"/>
  <c r="O98" i="18"/>
  <c r="T97" i="18"/>
  <c r="S97" i="18"/>
  <c r="Q97" i="18"/>
  <c r="P97" i="18"/>
  <c r="O97" i="18"/>
  <c r="T96" i="18"/>
  <c r="S96" i="18"/>
  <c r="Q96" i="18"/>
  <c r="P96" i="18"/>
  <c r="O96" i="18"/>
  <c r="T95" i="18"/>
  <c r="S95" i="18"/>
  <c r="Q95" i="18"/>
  <c r="P95" i="18"/>
  <c r="O95" i="18"/>
  <c r="T94" i="18"/>
  <c r="S94" i="18"/>
  <c r="Q94" i="18"/>
  <c r="P94" i="18"/>
  <c r="O94" i="18"/>
  <c r="T93" i="18"/>
  <c r="S93" i="18"/>
  <c r="Q93" i="18"/>
  <c r="P93" i="18"/>
  <c r="O93" i="18"/>
  <c r="T92" i="18"/>
  <c r="S92" i="18"/>
  <c r="Q92" i="18"/>
  <c r="P92" i="18"/>
  <c r="O92" i="18"/>
  <c r="T91" i="18"/>
  <c r="S91" i="18"/>
  <c r="Q91" i="18"/>
  <c r="P91" i="18"/>
  <c r="O91" i="18"/>
  <c r="T90" i="18"/>
  <c r="S90" i="18"/>
  <c r="Q90" i="18"/>
  <c r="P90" i="18"/>
  <c r="O90" i="18"/>
  <c r="T89" i="18"/>
  <c r="S89" i="18"/>
  <c r="Q89" i="18"/>
  <c r="P89" i="18"/>
  <c r="O89" i="18"/>
  <c r="T88" i="18"/>
  <c r="S88" i="18"/>
  <c r="Q88" i="18"/>
  <c r="P88" i="18"/>
  <c r="O88" i="18"/>
  <c r="T87" i="18"/>
  <c r="S87" i="18"/>
  <c r="Q87" i="18"/>
  <c r="P87" i="18"/>
  <c r="O87" i="18"/>
  <c r="T86" i="18"/>
  <c r="S86" i="18"/>
  <c r="Q86" i="18"/>
  <c r="P86" i="18"/>
  <c r="O86" i="18"/>
  <c r="T85" i="18"/>
  <c r="S85" i="18"/>
  <c r="Q85" i="18"/>
  <c r="P85" i="18"/>
  <c r="O85" i="18"/>
  <c r="T84" i="18"/>
  <c r="S84" i="18"/>
  <c r="Q84" i="18"/>
  <c r="P84" i="18"/>
  <c r="O84" i="18"/>
  <c r="T83" i="18"/>
  <c r="S83" i="18"/>
  <c r="Q83" i="18"/>
  <c r="P83" i="18"/>
  <c r="O83" i="18"/>
  <c r="T82" i="18"/>
  <c r="S82" i="18"/>
  <c r="Q82" i="18"/>
  <c r="P82" i="18"/>
  <c r="O82" i="18"/>
  <c r="T81" i="18"/>
  <c r="S81" i="18"/>
  <c r="Q81" i="18"/>
  <c r="P81" i="18"/>
  <c r="O81" i="18"/>
  <c r="T80" i="18"/>
  <c r="S80" i="18"/>
  <c r="Q80" i="18"/>
  <c r="P80" i="18"/>
  <c r="O80" i="18"/>
  <c r="T79" i="18"/>
  <c r="S79" i="18"/>
  <c r="Q79" i="18"/>
  <c r="P79" i="18"/>
  <c r="O79" i="18"/>
  <c r="T78" i="18"/>
  <c r="S78" i="18"/>
  <c r="Q78" i="18"/>
  <c r="P78" i="18"/>
  <c r="O78" i="18"/>
  <c r="T77" i="18"/>
  <c r="S77" i="18"/>
  <c r="Q77" i="18"/>
  <c r="P77" i="18"/>
  <c r="O77" i="18"/>
  <c r="T76" i="18"/>
  <c r="S76" i="18"/>
  <c r="Q76" i="18"/>
  <c r="P76" i="18"/>
  <c r="O76" i="18"/>
  <c r="T75" i="18"/>
  <c r="S75" i="18"/>
  <c r="Q75" i="18"/>
  <c r="P75" i="18"/>
  <c r="O75" i="18"/>
  <c r="T74" i="18"/>
  <c r="S74" i="18"/>
  <c r="Q74" i="18"/>
  <c r="P74" i="18"/>
  <c r="O74" i="18"/>
  <c r="T73" i="18"/>
  <c r="S73" i="18"/>
  <c r="Q73" i="18"/>
  <c r="P73" i="18"/>
  <c r="O73" i="18"/>
  <c r="T72" i="18"/>
  <c r="S72" i="18"/>
  <c r="Q72" i="18"/>
  <c r="P72" i="18"/>
  <c r="O72" i="18"/>
  <c r="T71" i="18"/>
  <c r="S71" i="18"/>
  <c r="Q71" i="18"/>
  <c r="P71" i="18"/>
  <c r="O71" i="18"/>
  <c r="T70" i="18"/>
  <c r="S70" i="18"/>
  <c r="Q70" i="18"/>
  <c r="P70" i="18"/>
  <c r="O70" i="18"/>
  <c r="T69" i="18"/>
  <c r="S69" i="18"/>
  <c r="Q69" i="18"/>
  <c r="P69" i="18"/>
  <c r="O69" i="18"/>
  <c r="T68" i="18"/>
  <c r="S68" i="18"/>
  <c r="Q68" i="18"/>
  <c r="P68" i="18"/>
  <c r="O68" i="18"/>
  <c r="T67" i="18"/>
  <c r="S67" i="18"/>
  <c r="Q67" i="18"/>
  <c r="P67" i="18"/>
  <c r="O67" i="18"/>
  <c r="T66" i="18"/>
  <c r="S66" i="18"/>
  <c r="Q66" i="18"/>
  <c r="P66" i="18"/>
  <c r="O66" i="18"/>
  <c r="T65" i="18"/>
  <c r="S65" i="18"/>
  <c r="Q65" i="18"/>
  <c r="P65" i="18"/>
  <c r="O65" i="18"/>
  <c r="T64" i="18"/>
  <c r="S64" i="18"/>
  <c r="Q64" i="18"/>
  <c r="P64" i="18"/>
  <c r="O64" i="18"/>
  <c r="T63" i="18"/>
  <c r="S63" i="18"/>
  <c r="Q63" i="18"/>
  <c r="P63" i="18"/>
  <c r="O63" i="18"/>
  <c r="T62" i="18"/>
  <c r="S62" i="18"/>
  <c r="Q62" i="18"/>
  <c r="P62" i="18"/>
  <c r="O62" i="18"/>
  <c r="T61" i="18"/>
  <c r="S61" i="18"/>
  <c r="Q61" i="18"/>
  <c r="P61" i="18"/>
  <c r="O61" i="18"/>
  <c r="T60" i="18"/>
  <c r="S60" i="18"/>
  <c r="Q60" i="18"/>
  <c r="P60" i="18"/>
  <c r="O60" i="18"/>
  <c r="T59" i="18"/>
  <c r="S59" i="18"/>
  <c r="Q59" i="18"/>
  <c r="P59" i="18"/>
  <c r="O59" i="18"/>
  <c r="T58" i="18"/>
  <c r="S58" i="18"/>
  <c r="Q58" i="18"/>
  <c r="P58" i="18"/>
  <c r="O58" i="18"/>
  <c r="T57" i="18"/>
  <c r="S57" i="18"/>
  <c r="Q57" i="18"/>
  <c r="P57" i="18"/>
  <c r="O57" i="18"/>
  <c r="T56" i="18"/>
  <c r="S56" i="18"/>
  <c r="Q56" i="18"/>
  <c r="P56" i="18"/>
  <c r="O56" i="18"/>
  <c r="T55" i="18"/>
  <c r="S55" i="18"/>
  <c r="Q55" i="18"/>
  <c r="P55" i="18"/>
  <c r="O55" i="18"/>
  <c r="T54" i="18"/>
  <c r="S54" i="18"/>
  <c r="Q54" i="18"/>
  <c r="P54" i="18"/>
  <c r="O54" i="18"/>
  <c r="T53" i="18"/>
  <c r="S53" i="18"/>
  <c r="Q53" i="18"/>
  <c r="P53" i="18"/>
  <c r="O53" i="18"/>
  <c r="T52" i="18"/>
  <c r="S52" i="18"/>
  <c r="Q52" i="18"/>
  <c r="P52" i="18"/>
  <c r="O52" i="18"/>
  <c r="T51" i="18"/>
  <c r="S51" i="18"/>
  <c r="Q51" i="18"/>
  <c r="P51" i="18"/>
  <c r="O51" i="18"/>
  <c r="T50" i="18"/>
  <c r="S50" i="18"/>
  <c r="Q50" i="18"/>
  <c r="P50" i="18"/>
  <c r="O50" i="18"/>
  <c r="T49" i="18"/>
  <c r="S49" i="18"/>
  <c r="Q49" i="18"/>
  <c r="P49" i="18"/>
  <c r="O49" i="18"/>
  <c r="T48" i="18"/>
  <c r="S48" i="18"/>
  <c r="Q48" i="18"/>
  <c r="P48" i="18"/>
  <c r="O48" i="18"/>
  <c r="T47" i="18"/>
  <c r="S47" i="18"/>
  <c r="Q47" i="18"/>
  <c r="P47" i="18"/>
  <c r="O47" i="18"/>
  <c r="T46" i="18"/>
  <c r="S46" i="18"/>
  <c r="Q46" i="18"/>
  <c r="P46" i="18"/>
  <c r="O46" i="18"/>
  <c r="T45" i="18"/>
  <c r="S45" i="18"/>
  <c r="Q45" i="18"/>
  <c r="P45" i="18"/>
  <c r="O45" i="18"/>
  <c r="T44" i="18"/>
  <c r="S44" i="18"/>
  <c r="Q44" i="18"/>
  <c r="P44" i="18"/>
  <c r="O44" i="18"/>
  <c r="T43" i="18"/>
  <c r="S43" i="18"/>
  <c r="Q43" i="18"/>
  <c r="P43" i="18"/>
  <c r="O43" i="18"/>
  <c r="T42" i="18"/>
  <c r="S42" i="18"/>
  <c r="Q42" i="18"/>
  <c r="P42" i="18"/>
  <c r="O42" i="18"/>
  <c r="T41" i="18"/>
  <c r="S41" i="18"/>
  <c r="Q41" i="18"/>
  <c r="P41" i="18"/>
  <c r="O41" i="18"/>
  <c r="T40" i="18"/>
  <c r="S40" i="18"/>
  <c r="Q40" i="18"/>
  <c r="P40" i="18"/>
  <c r="O40" i="18"/>
  <c r="T39" i="18"/>
  <c r="S39" i="18"/>
  <c r="Q39" i="18"/>
  <c r="P39" i="18"/>
  <c r="O39" i="18"/>
  <c r="T38" i="18"/>
  <c r="S38" i="18"/>
  <c r="Q38" i="18"/>
  <c r="P38" i="18"/>
  <c r="O38" i="18"/>
  <c r="T37" i="18"/>
  <c r="S37" i="18"/>
  <c r="Q37" i="18"/>
  <c r="P37" i="18"/>
  <c r="O37" i="18"/>
  <c r="T36" i="18"/>
  <c r="S36" i="18"/>
  <c r="Q36" i="18"/>
  <c r="P36" i="18"/>
  <c r="O36" i="18"/>
  <c r="T35" i="18"/>
  <c r="S35" i="18"/>
  <c r="Q35" i="18"/>
  <c r="P35" i="18"/>
  <c r="O35" i="18"/>
  <c r="T34" i="18"/>
  <c r="S34" i="18"/>
  <c r="Q34" i="18"/>
  <c r="P34" i="18"/>
  <c r="O34" i="18"/>
  <c r="T33" i="18"/>
  <c r="S33" i="18"/>
  <c r="Q33" i="18"/>
  <c r="P33" i="18"/>
  <c r="O33" i="18"/>
  <c r="T32" i="18"/>
  <c r="S32" i="18"/>
  <c r="Q32" i="18"/>
  <c r="P32" i="18"/>
  <c r="O32" i="18"/>
  <c r="T31" i="18"/>
  <c r="S31" i="18"/>
  <c r="Q31" i="18"/>
  <c r="P31" i="18"/>
  <c r="O31" i="18"/>
  <c r="T30" i="18"/>
  <c r="S30" i="18"/>
  <c r="Q30" i="18"/>
  <c r="P30" i="18"/>
  <c r="O30" i="18"/>
  <c r="T29" i="18"/>
  <c r="S29" i="18"/>
  <c r="Q29" i="18"/>
  <c r="P29" i="18"/>
  <c r="O29" i="18"/>
  <c r="T28" i="18"/>
  <c r="S28" i="18"/>
  <c r="Q28" i="18"/>
  <c r="P28" i="18"/>
  <c r="O28" i="18"/>
  <c r="T27" i="18"/>
  <c r="S27" i="18"/>
  <c r="Q27" i="18"/>
  <c r="P27" i="18"/>
  <c r="O27" i="18"/>
  <c r="T26" i="18"/>
  <c r="S26" i="18"/>
  <c r="Q26" i="18"/>
  <c r="P26" i="18"/>
  <c r="O26" i="18"/>
  <c r="T25" i="18"/>
  <c r="S25" i="18"/>
  <c r="Q25" i="18"/>
  <c r="P25" i="18"/>
  <c r="O25" i="18"/>
  <c r="T24" i="18"/>
  <c r="S24" i="18"/>
  <c r="Q24" i="18"/>
  <c r="P24" i="18"/>
  <c r="O24" i="18"/>
  <c r="T23" i="18"/>
  <c r="S23" i="18"/>
  <c r="Q23" i="18"/>
  <c r="P23" i="18"/>
  <c r="O23" i="18"/>
  <c r="T22" i="18"/>
  <c r="S22" i="18"/>
  <c r="Q22" i="18"/>
  <c r="P22" i="18"/>
  <c r="O22" i="18"/>
  <c r="T21" i="18"/>
  <c r="S21" i="18"/>
  <c r="Q21" i="18"/>
  <c r="P21" i="18"/>
  <c r="O21" i="18"/>
  <c r="T20" i="18"/>
  <c r="S20" i="18"/>
  <c r="Q20" i="18"/>
  <c r="P20" i="18"/>
  <c r="O20" i="18"/>
  <c r="T19" i="18"/>
  <c r="S19" i="18"/>
  <c r="Q19" i="18"/>
  <c r="P19" i="18"/>
  <c r="O19" i="18"/>
  <c r="T18" i="18"/>
  <c r="S18" i="18"/>
  <c r="Q18" i="18"/>
  <c r="P18" i="18"/>
  <c r="O18" i="18"/>
  <c r="T17" i="18"/>
  <c r="S17" i="18"/>
  <c r="Q17" i="18"/>
  <c r="P17" i="18"/>
  <c r="O17" i="18"/>
  <c r="T16" i="18"/>
  <c r="S16" i="18"/>
  <c r="Q16" i="18"/>
  <c r="P16" i="18"/>
  <c r="O16" i="18"/>
  <c r="T15" i="18"/>
  <c r="S15" i="18"/>
  <c r="Q15" i="18"/>
  <c r="P15" i="18"/>
  <c r="O15" i="18"/>
  <c r="T14" i="18"/>
  <c r="S14" i="18"/>
  <c r="Q14" i="18"/>
  <c r="P14" i="18"/>
  <c r="O14" i="18"/>
  <c r="T13" i="18"/>
  <c r="S13" i="18"/>
  <c r="Q13" i="18"/>
  <c r="P13" i="18"/>
  <c r="O13" i="18"/>
  <c r="T12" i="18"/>
  <c r="S12" i="18"/>
  <c r="Q12" i="18"/>
  <c r="P12" i="18"/>
  <c r="O12" i="18"/>
  <c r="T11" i="18"/>
  <c r="S11" i="18"/>
  <c r="Q11" i="18"/>
  <c r="P11" i="18"/>
  <c r="O11" i="18"/>
  <c r="T10" i="18"/>
  <c r="S10" i="18"/>
  <c r="Q10" i="18"/>
  <c r="P10" i="18"/>
  <c r="O10" i="18"/>
  <c r="T9" i="18"/>
  <c r="S9" i="18"/>
  <c r="Q9" i="18"/>
  <c r="P9" i="18"/>
  <c r="O9" i="18"/>
  <c r="T8" i="18"/>
  <c r="S8" i="18"/>
  <c r="Q8" i="18"/>
  <c r="P8" i="18"/>
  <c r="O8" i="18"/>
  <c r="T7" i="18"/>
  <c r="S7" i="18"/>
  <c r="Q7" i="18"/>
  <c r="P7" i="18"/>
  <c r="O7" i="18"/>
  <c r="T6" i="18"/>
  <c r="S6" i="18"/>
  <c r="Q6" i="18"/>
  <c r="P6" i="18"/>
  <c r="O6" i="18"/>
  <c r="T5" i="18"/>
  <c r="S5" i="18"/>
  <c r="Q5" i="18"/>
  <c r="P5" i="18"/>
  <c r="O5" i="18"/>
  <c r="T4" i="18"/>
  <c r="S4" i="18"/>
  <c r="Q4" i="18"/>
  <c r="P4" i="18"/>
  <c r="O4" i="18"/>
  <c r="T3" i="18"/>
  <c r="S3" i="18"/>
  <c r="Q3" i="18"/>
  <c r="P3" i="18"/>
  <c r="O3" i="18"/>
  <c r="H1048576" i="17"/>
  <c r="G59" i="16"/>
  <c r="G58" i="16"/>
  <c r="G57" i="16"/>
  <c r="G56" i="16"/>
  <c r="G55" i="16"/>
  <c r="G54" i="16"/>
  <c r="G53" i="16"/>
  <c r="G52" i="16"/>
  <c r="G51" i="16"/>
  <c r="G50" i="16"/>
  <c r="G49" i="16"/>
  <c r="G48" i="16"/>
  <c r="G47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G3" i="16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Z210" i="12"/>
  <c r="Z209" i="12"/>
  <c r="Z208" i="12"/>
  <c r="Z207" i="12"/>
  <c r="Z206" i="12"/>
  <c r="Z205" i="12"/>
  <c r="Z204" i="12"/>
  <c r="Z203" i="12"/>
  <c r="Z202" i="12"/>
  <c r="Z201" i="12"/>
  <c r="Z200" i="12"/>
  <c r="Z199" i="12"/>
  <c r="Z198" i="12"/>
  <c r="Z197" i="12"/>
  <c r="Z196" i="12"/>
  <c r="Z195" i="12"/>
  <c r="Z194" i="12"/>
  <c r="Z193" i="12"/>
  <c r="Z192" i="12"/>
  <c r="Z191" i="12"/>
  <c r="Z190" i="12"/>
  <c r="Z189" i="12"/>
  <c r="Z188" i="12"/>
  <c r="Z187" i="12"/>
  <c r="Z186" i="12"/>
  <c r="Z185" i="12"/>
  <c r="Z184" i="12"/>
  <c r="Z183" i="12"/>
  <c r="Z182" i="12"/>
  <c r="Z181" i="12"/>
  <c r="Z180" i="12"/>
  <c r="Z179" i="12"/>
  <c r="Z178" i="12"/>
  <c r="Z177" i="12"/>
  <c r="Z176" i="12"/>
  <c r="Z175" i="12"/>
  <c r="Z174" i="12"/>
  <c r="Z173" i="12"/>
  <c r="Z172" i="12"/>
  <c r="Z171" i="12"/>
  <c r="Z170" i="12"/>
  <c r="Z169" i="12"/>
  <c r="Z168" i="12"/>
  <c r="Z167" i="12"/>
  <c r="Z166" i="12"/>
  <c r="Z165" i="12"/>
  <c r="Z164" i="12"/>
  <c r="Z163" i="12"/>
  <c r="Z162" i="12"/>
  <c r="Z161" i="12"/>
  <c r="Z160" i="12"/>
  <c r="Z159" i="12"/>
  <c r="Z158" i="12"/>
  <c r="Z157" i="12"/>
  <c r="Z156" i="12"/>
  <c r="Z155" i="12"/>
  <c r="Z154" i="12"/>
  <c r="Z153" i="12"/>
  <c r="Z152" i="12"/>
  <c r="Z151" i="12"/>
  <c r="Z150" i="12"/>
  <c r="Z149" i="12"/>
  <c r="Z148" i="12"/>
  <c r="Z147" i="12"/>
  <c r="Z146" i="12"/>
  <c r="Z145" i="12"/>
  <c r="Z144" i="12"/>
  <c r="Z143" i="12"/>
  <c r="Z142" i="12"/>
  <c r="Z141" i="12"/>
  <c r="Z140" i="12"/>
  <c r="Z139" i="12"/>
  <c r="Z138" i="12"/>
  <c r="Z137" i="12"/>
  <c r="Z136" i="12"/>
  <c r="Z135" i="12"/>
  <c r="Z134" i="12"/>
  <c r="Z133" i="12"/>
  <c r="Z132" i="12"/>
  <c r="Z131" i="12"/>
  <c r="Z130" i="12"/>
  <c r="Z129" i="12"/>
  <c r="Z128" i="12"/>
  <c r="Z127" i="12"/>
  <c r="Z126" i="12"/>
  <c r="Z125" i="12"/>
  <c r="Z124" i="12"/>
  <c r="Z123" i="12"/>
  <c r="Z122" i="12"/>
  <c r="Z121" i="12"/>
  <c r="Z120" i="12"/>
  <c r="Z119" i="12"/>
  <c r="Z118" i="12"/>
  <c r="Z117" i="12"/>
  <c r="Z116" i="12"/>
  <c r="Z115" i="12"/>
  <c r="Z114" i="12"/>
  <c r="Z113" i="12"/>
  <c r="Z112" i="12"/>
  <c r="Z111" i="12"/>
  <c r="Z110" i="12"/>
  <c r="Z109" i="12"/>
  <c r="Z108" i="12"/>
  <c r="Z107" i="12"/>
  <c r="Z106" i="12"/>
  <c r="Z105" i="12"/>
  <c r="Z104" i="12"/>
  <c r="Z103" i="12"/>
  <c r="Z102" i="12"/>
  <c r="Z101" i="12"/>
  <c r="Z100" i="12"/>
  <c r="Z99" i="12"/>
  <c r="Z98" i="12"/>
  <c r="Z97" i="12"/>
  <c r="Z96" i="12"/>
  <c r="Z95" i="12"/>
  <c r="Z94" i="12"/>
  <c r="Z93" i="12"/>
  <c r="Z92" i="12"/>
  <c r="Z91" i="12"/>
  <c r="Z90" i="12"/>
  <c r="Z89" i="12"/>
  <c r="Z88" i="12"/>
  <c r="Z87" i="12"/>
  <c r="Z86" i="12"/>
  <c r="Z85" i="12"/>
  <c r="Z84" i="12"/>
  <c r="Z83" i="12"/>
  <c r="Z82" i="12"/>
  <c r="Z81" i="12"/>
  <c r="Z80" i="12"/>
  <c r="Z79" i="12"/>
  <c r="Z78" i="12"/>
  <c r="Z77" i="12"/>
  <c r="Z76" i="12"/>
  <c r="Z75" i="12"/>
  <c r="Z74" i="12"/>
  <c r="Z73" i="12"/>
  <c r="Z72" i="12"/>
  <c r="Z71" i="12"/>
  <c r="Z70" i="12"/>
  <c r="Z69" i="12"/>
  <c r="Z68" i="12"/>
  <c r="Z67" i="12"/>
  <c r="Z66" i="12"/>
  <c r="Z65" i="12"/>
  <c r="Z64" i="12"/>
  <c r="Z63" i="12"/>
  <c r="Z62" i="12"/>
  <c r="Z61" i="12"/>
  <c r="Z60" i="12"/>
  <c r="Z59" i="12"/>
  <c r="Z58" i="12"/>
  <c r="Z57" i="12"/>
  <c r="Z56" i="12"/>
  <c r="Z55" i="12"/>
  <c r="Z54" i="12"/>
  <c r="Z53" i="12"/>
  <c r="Z52" i="12"/>
  <c r="Z51" i="12"/>
  <c r="Z50" i="12"/>
  <c r="Z49" i="12"/>
  <c r="Z48" i="12"/>
  <c r="Z47" i="12"/>
  <c r="Z46" i="12"/>
  <c r="Z45" i="12"/>
  <c r="Z44" i="12"/>
  <c r="Z43" i="12"/>
  <c r="Z42" i="12"/>
  <c r="Z41" i="12"/>
  <c r="Z40" i="12"/>
  <c r="Z39" i="12"/>
  <c r="Z38" i="12"/>
  <c r="Z37" i="12"/>
  <c r="Z36" i="12"/>
  <c r="Z35" i="12"/>
  <c r="Z34" i="12"/>
  <c r="Z33" i="12"/>
  <c r="Z32" i="12"/>
  <c r="Z31" i="12"/>
  <c r="Z30" i="12"/>
  <c r="Z29" i="12"/>
  <c r="Z28" i="12"/>
  <c r="Z27" i="12"/>
  <c r="Z26" i="12"/>
  <c r="Z25" i="12"/>
  <c r="Z24" i="12"/>
  <c r="Z23" i="12"/>
  <c r="Z22" i="12"/>
  <c r="Z21" i="12"/>
  <c r="Z20" i="12"/>
  <c r="Z19" i="12"/>
  <c r="Z18" i="12"/>
  <c r="Z17" i="12"/>
  <c r="Z16" i="12"/>
  <c r="Z15" i="12"/>
  <c r="Z14" i="12"/>
  <c r="Z13" i="12"/>
  <c r="Z12" i="12"/>
  <c r="Z11" i="12"/>
  <c r="Z10" i="12"/>
  <c r="Z9" i="12"/>
  <c r="Z8" i="12"/>
  <c r="Z7" i="12"/>
  <c r="Z6" i="12"/>
  <c r="Z5" i="12"/>
  <c r="Z4" i="12"/>
  <c r="Z3" i="12"/>
  <c r="D71" i="11"/>
  <c r="D70" i="11"/>
  <c r="D69" i="11"/>
  <c r="D68" i="11"/>
  <c r="D67" i="11"/>
  <c r="D66" i="11"/>
  <c r="D65" i="11"/>
  <c r="D64" i="11"/>
  <c r="D63" i="11"/>
  <c r="D62" i="11"/>
  <c r="D61" i="11"/>
  <c r="D60" i="11"/>
  <c r="F59" i="11"/>
  <c r="D59" i="11"/>
  <c r="D55" i="11"/>
  <c r="C55" i="11"/>
  <c r="H53" i="11"/>
  <c r="G53" i="11"/>
  <c r="D53" i="11"/>
  <c r="C53" i="11"/>
  <c r="D51" i="11"/>
  <c r="C51" i="11"/>
  <c r="D49" i="11"/>
  <c r="H49" i="11" s="1"/>
  <c r="C49" i="11"/>
  <c r="G49" i="11" s="1"/>
  <c r="D47" i="11"/>
  <c r="H45" i="11" s="1"/>
  <c r="C47" i="11"/>
  <c r="G45" i="11" s="1"/>
  <c r="D45" i="11"/>
  <c r="C45" i="11"/>
  <c r="D38" i="11"/>
  <c r="E35" i="11"/>
  <c r="E34" i="11"/>
  <c r="D33" i="11"/>
  <c r="E38" i="11" s="1"/>
  <c r="C33" i="11"/>
  <c r="D29" i="11"/>
  <c r="C29" i="11"/>
  <c r="C30" i="11" s="1"/>
  <c r="C25" i="11"/>
  <c r="D25" i="11" s="1"/>
  <c r="E25" i="11" s="1"/>
  <c r="F25" i="11" s="1"/>
  <c r="G25" i="11" s="1"/>
  <c r="H25" i="11" s="1"/>
  <c r="I25" i="11" s="1"/>
  <c r="J25" i="11" s="1"/>
  <c r="K25" i="11" s="1"/>
  <c r="L25" i="11" s="1"/>
  <c r="M25" i="11" s="1"/>
  <c r="N25" i="11" s="1"/>
  <c r="N24" i="11"/>
  <c r="M24" i="11"/>
  <c r="L24" i="11"/>
  <c r="K24" i="11"/>
  <c r="J24" i="11"/>
  <c r="I24" i="11"/>
  <c r="H24" i="11"/>
  <c r="G24" i="11"/>
  <c r="F24" i="11"/>
  <c r="E24" i="11"/>
  <c r="D24" i="11"/>
  <c r="C24" i="11"/>
  <c r="C20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5" i="11"/>
  <c r="C13" i="11"/>
  <c r="C15" i="11" s="1"/>
  <c r="B13" i="11"/>
  <c r="B14" i="11" s="1"/>
  <c r="F12" i="11"/>
  <c r="E12" i="11"/>
  <c r="D12" i="11"/>
  <c r="C12" i="11"/>
  <c r="B12" i="11"/>
  <c r="F11" i="11"/>
  <c r="F13" i="11" s="1"/>
  <c r="F14" i="11" s="1"/>
  <c r="E11" i="11"/>
  <c r="E13" i="11" s="1"/>
  <c r="D11" i="11"/>
  <c r="D13" i="11" s="1"/>
  <c r="C11" i="11"/>
  <c r="B11" i="11"/>
  <c r="G6" i="11"/>
  <c r="F5" i="11"/>
  <c r="E5" i="11"/>
  <c r="D5" i="11"/>
  <c r="C5" i="11"/>
  <c r="B5" i="11"/>
  <c r="L358" i="10"/>
  <c r="L357" i="10"/>
  <c r="L356" i="10"/>
  <c r="L355" i="10"/>
  <c r="L354" i="10"/>
  <c r="L353" i="10"/>
  <c r="L352" i="10"/>
  <c r="L351" i="10"/>
  <c r="L350" i="10"/>
  <c r="L349" i="10"/>
  <c r="L348" i="10"/>
  <c r="L347" i="10"/>
  <c r="L346" i="10"/>
  <c r="L345" i="10"/>
  <c r="L344" i="10"/>
  <c r="L343" i="10"/>
  <c r="L342" i="10"/>
  <c r="L341" i="10"/>
  <c r="L340" i="10"/>
  <c r="L339" i="10"/>
  <c r="L338" i="10"/>
  <c r="L337" i="10"/>
  <c r="L336" i="10"/>
  <c r="L335" i="10"/>
  <c r="L334" i="10"/>
  <c r="L333" i="10"/>
  <c r="L332" i="10"/>
  <c r="L331" i="10"/>
  <c r="L330" i="10"/>
  <c r="L329" i="10"/>
  <c r="L328" i="10"/>
  <c r="L327" i="10"/>
  <c r="L326" i="10"/>
  <c r="L325" i="10"/>
  <c r="L324" i="10"/>
  <c r="L323" i="10"/>
  <c r="L322" i="10"/>
  <c r="L321" i="10"/>
  <c r="L320" i="10"/>
  <c r="L319" i="10"/>
  <c r="L318" i="10"/>
  <c r="L317" i="10"/>
  <c r="L316" i="10"/>
  <c r="L315" i="10"/>
  <c r="L314" i="10"/>
  <c r="L313" i="10"/>
  <c r="L312" i="10"/>
  <c r="L311" i="10"/>
  <c r="L310" i="10"/>
  <c r="L309" i="10"/>
  <c r="L308" i="10"/>
  <c r="L307" i="10"/>
  <c r="L306" i="10"/>
  <c r="L305" i="10"/>
  <c r="L304" i="10"/>
  <c r="L303" i="10"/>
  <c r="L302" i="10"/>
  <c r="L301" i="10"/>
  <c r="L300" i="10"/>
  <c r="L299" i="10"/>
  <c r="L298" i="10"/>
  <c r="L297" i="10"/>
  <c r="L296" i="10"/>
  <c r="L295" i="10"/>
  <c r="L294" i="10"/>
  <c r="L293" i="10"/>
  <c r="L292" i="10"/>
  <c r="L291" i="10"/>
  <c r="L290" i="10"/>
  <c r="L289" i="10"/>
  <c r="L288" i="10"/>
  <c r="L287" i="10"/>
  <c r="L286" i="10"/>
  <c r="L285" i="10"/>
  <c r="L284" i="10"/>
  <c r="L283" i="10"/>
  <c r="L282" i="10"/>
  <c r="L281" i="10"/>
  <c r="L280" i="10"/>
  <c r="L279" i="10"/>
  <c r="L278" i="10"/>
  <c r="L277" i="10"/>
  <c r="L276" i="10"/>
  <c r="L275" i="10"/>
  <c r="L274" i="10"/>
  <c r="L273" i="10"/>
  <c r="L272" i="10"/>
  <c r="L271" i="10"/>
  <c r="L270" i="10"/>
  <c r="L269" i="10"/>
  <c r="L268" i="10"/>
  <c r="L267" i="10"/>
  <c r="L266" i="10"/>
  <c r="L265" i="10"/>
  <c r="L264" i="10"/>
  <c r="L263" i="10"/>
  <c r="L262" i="10"/>
  <c r="L261" i="10"/>
  <c r="L260" i="10"/>
  <c r="L259" i="10"/>
  <c r="L258" i="10"/>
  <c r="L257" i="10"/>
  <c r="L256" i="10"/>
  <c r="L255" i="10"/>
  <c r="L254" i="10"/>
  <c r="L253" i="10"/>
  <c r="L252" i="10"/>
  <c r="L251" i="10"/>
  <c r="L250" i="10"/>
  <c r="L249" i="10"/>
  <c r="L248" i="10"/>
  <c r="L247" i="10"/>
  <c r="L246" i="10"/>
  <c r="L245" i="10"/>
  <c r="L244" i="10"/>
  <c r="L243" i="10"/>
  <c r="L242" i="10"/>
  <c r="L241" i="10"/>
  <c r="L240" i="10"/>
  <c r="L239" i="10"/>
  <c r="L238" i="10"/>
  <c r="L237" i="10"/>
  <c r="L236" i="10"/>
  <c r="L235" i="10"/>
  <c r="L234" i="10"/>
  <c r="L233" i="10"/>
  <c r="L232" i="10"/>
  <c r="L231" i="10"/>
  <c r="L230" i="10"/>
  <c r="L229" i="10"/>
  <c r="L228" i="10"/>
  <c r="L227" i="10"/>
  <c r="L226" i="10"/>
  <c r="L225" i="10"/>
  <c r="L224" i="10"/>
  <c r="L223" i="10"/>
  <c r="L222" i="10"/>
  <c r="L221" i="10"/>
  <c r="L220" i="10"/>
  <c r="L219" i="10"/>
  <c r="L218" i="10"/>
  <c r="L217" i="10"/>
  <c r="L216" i="10"/>
  <c r="L215" i="10"/>
  <c r="L214" i="10"/>
  <c r="L213" i="10"/>
  <c r="L212" i="10"/>
  <c r="L211" i="10"/>
  <c r="L210" i="10"/>
  <c r="L209" i="10"/>
  <c r="L208" i="10"/>
  <c r="L207" i="10"/>
  <c r="L206" i="10"/>
  <c r="L205" i="10"/>
  <c r="L204" i="10"/>
  <c r="L203" i="10"/>
  <c r="L202" i="10"/>
  <c r="L201" i="10"/>
  <c r="L200" i="10"/>
  <c r="L199" i="10"/>
  <c r="L198" i="10"/>
  <c r="L197" i="10"/>
  <c r="L196" i="10"/>
  <c r="L195" i="10"/>
  <c r="L194" i="10"/>
  <c r="L193" i="10"/>
  <c r="L192" i="10"/>
  <c r="L191" i="10"/>
  <c r="L190" i="10"/>
  <c r="L189" i="10"/>
  <c r="L188" i="10"/>
  <c r="L187" i="10"/>
  <c r="L186" i="10"/>
  <c r="L185" i="10"/>
  <c r="L184" i="10"/>
  <c r="L183" i="10"/>
  <c r="L182" i="10"/>
  <c r="L181" i="10"/>
  <c r="L180" i="10"/>
  <c r="L179" i="10"/>
  <c r="L178" i="10"/>
  <c r="L177" i="10"/>
  <c r="L176" i="10"/>
  <c r="L175" i="10"/>
  <c r="L174" i="10"/>
  <c r="L173" i="10"/>
  <c r="L172" i="10"/>
  <c r="L171" i="10"/>
  <c r="L170" i="10"/>
  <c r="L169" i="10"/>
  <c r="L168" i="10"/>
  <c r="L167" i="10"/>
  <c r="L166" i="10"/>
  <c r="L165" i="10"/>
  <c r="L164" i="10"/>
  <c r="L163" i="10"/>
  <c r="L162" i="10"/>
  <c r="L161" i="10"/>
  <c r="L160" i="10"/>
  <c r="L159" i="10"/>
  <c r="L158" i="10"/>
  <c r="L157" i="10"/>
  <c r="L156" i="10"/>
  <c r="L155" i="10"/>
  <c r="L154" i="10"/>
  <c r="L153" i="10"/>
  <c r="L152" i="10"/>
  <c r="L151" i="10"/>
  <c r="L150" i="10"/>
  <c r="L149" i="10"/>
  <c r="L148" i="10"/>
  <c r="L147" i="10"/>
  <c r="L146" i="10"/>
  <c r="L145" i="10"/>
  <c r="L144" i="10"/>
  <c r="L143" i="10"/>
  <c r="L142" i="10"/>
  <c r="L141" i="10"/>
  <c r="L140" i="10"/>
  <c r="L139" i="10"/>
  <c r="L138" i="10"/>
  <c r="L137" i="10"/>
  <c r="L136" i="10"/>
  <c r="L135" i="10"/>
  <c r="L134" i="10"/>
  <c r="L133" i="10"/>
  <c r="L132" i="10"/>
  <c r="L131" i="10"/>
  <c r="L130" i="10"/>
  <c r="L129" i="10"/>
  <c r="L128" i="10"/>
  <c r="L127" i="10"/>
  <c r="L126" i="10"/>
  <c r="L125" i="10"/>
  <c r="L124" i="10"/>
  <c r="L123" i="10"/>
  <c r="L122" i="10"/>
  <c r="L121" i="10"/>
  <c r="L120" i="10"/>
  <c r="L119" i="10"/>
  <c r="L118" i="10"/>
  <c r="L117" i="10"/>
  <c r="L116" i="10"/>
  <c r="L115" i="10"/>
  <c r="L114" i="10"/>
  <c r="L113" i="10"/>
  <c r="L112" i="10"/>
  <c r="L111" i="10"/>
  <c r="L110" i="10"/>
  <c r="L109" i="10"/>
  <c r="L108" i="10"/>
  <c r="L107" i="10"/>
  <c r="L106" i="10"/>
  <c r="L105" i="10"/>
  <c r="L104" i="10"/>
  <c r="L103" i="10"/>
  <c r="L102" i="10"/>
  <c r="L101" i="10"/>
  <c r="L100" i="10"/>
  <c r="L99" i="10"/>
  <c r="L98" i="10"/>
  <c r="L97" i="10"/>
  <c r="L96" i="10"/>
  <c r="L95" i="10"/>
  <c r="L94" i="10"/>
  <c r="L93" i="10"/>
  <c r="L92" i="10"/>
  <c r="L91" i="10"/>
  <c r="L90" i="10"/>
  <c r="L89" i="10"/>
  <c r="L88" i="10"/>
  <c r="L87" i="10"/>
  <c r="L86" i="10"/>
  <c r="L85" i="10"/>
  <c r="L84" i="10"/>
  <c r="L83" i="10"/>
  <c r="L82" i="10"/>
  <c r="L81" i="10"/>
  <c r="L80" i="10"/>
  <c r="L79" i="10"/>
  <c r="L78" i="10"/>
  <c r="L77" i="10"/>
  <c r="L76" i="10"/>
  <c r="L75" i="10"/>
  <c r="L74" i="10"/>
  <c r="L73" i="10"/>
  <c r="L72" i="10"/>
  <c r="L71" i="10"/>
  <c r="L70" i="10"/>
  <c r="L69" i="10"/>
  <c r="L68" i="10"/>
  <c r="L67" i="10"/>
  <c r="L66" i="10"/>
  <c r="L65" i="10"/>
  <c r="L64" i="10"/>
  <c r="L63" i="10"/>
  <c r="L62" i="10"/>
  <c r="L61" i="10"/>
  <c r="L60" i="10"/>
  <c r="L59" i="10"/>
  <c r="L58" i="10"/>
  <c r="L57" i="10"/>
  <c r="L56" i="10"/>
  <c r="L55" i="10"/>
  <c r="L54" i="10"/>
  <c r="L53" i="10"/>
  <c r="L52" i="10"/>
  <c r="L51" i="10"/>
  <c r="L50" i="10"/>
  <c r="L49" i="10"/>
  <c r="L48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L31" i="10"/>
  <c r="L30" i="10"/>
  <c r="L29" i="10"/>
  <c r="L28" i="10"/>
  <c r="L27" i="10"/>
  <c r="L26" i="10"/>
  <c r="L25" i="10"/>
  <c r="L24" i="10"/>
  <c r="L23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  <c r="L2" i="10"/>
  <c r="K346" i="9"/>
  <c r="H346" i="9"/>
  <c r="E343" i="9"/>
  <c r="B342" i="9" s="1"/>
  <c r="D343" i="9"/>
  <c r="E342" i="9"/>
  <c r="D342" i="9"/>
  <c r="C342" i="9" s="1"/>
  <c r="K340" i="9"/>
  <c r="H340" i="9"/>
  <c r="E337" i="9"/>
  <c r="B336" i="9" s="1"/>
  <c r="D337" i="9"/>
  <c r="E336" i="9"/>
  <c r="C336" i="9" s="1"/>
  <c r="D336" i="9"/>
  <c r="K334" i="9"/>
  <c r="H334" i="9"/>
  <c r="E331" i="9"/>
  <c r="B330" i="9" s="1"/>
  <c r="D331" i="9"/>
  <c r="E330" i="9"/>
  <c r="C330" i="9" s="1"/>
  <c r="D330" i="9"/>
  <c r="K327" i="9"/>
  <c r="H327" i="9"/>
  <c r="E324" i="9"/>
  <c r="B323" i="9" s="1"/>
  <c r="D324" i="9"/>
  <c r="E323" i="9"/>
  <c r="C323" i="9" s="1"/>
  <c r="D323" i="9"/>
  <c r="K321" i="9"/>
  <c r="H321" i="9"/>
  <c r="E318" i="9"/>
  <c r="B317" i="9" s="1"/>
  <c r="D318" i="9"/>
  <c r="E317" i="9"/>
  <c r="C317" i="9" s="1"/>
  <c r="D317" i="9"/>
  <c r="K314" i="9"/>
  <c r="H314" i="9"/>
  <c r="E311" i="9"/>
  <c r="B310" i="9" s="1"/>
  <c r="D311" i="9"/>
  <c r="E310" i="9"/>
  <c r="C310" i="9" s="1"/>
  <c r="D310" i="9"/>
  <c r="K306" i="9"/>
  <c r="H306" i="9"/>
  <c r="E303" i="9"/>
  <c r="D303" i="9"/>
  <c r="E302" i="9"/>
  <c r="D302" i="9"/>
  <c r="C302" i="9" s="1"/>
  <c r="B302" i="9"/>
  <c r="K300" i="9"/>
  <c r="H300" i="9"/>
  <c r="E297" i="9"/>
  <c r="B296" i="9" s="1"/>
  <c r="D297" i="9"/>
  <c r="E296" i="9"/>
  <c r="C296" i="9" s="1"/>
  <c r="D296" i="9"/>
  <c r="K294" i="9"/>
  <c r="H294" i="9"/>
  <c r="E291" i="9"/>
  <c r="D291" i="9"/>
  <c r="E290" i="9"/>
  <c r="D290" i="9"/>
  <c r="C290" i="9"/>
  <c r="B290" i="9"/>
  <c r="K288" i="9"/>
  <c r="H288" i="9"/>
  <c r="E285" i="9"/>
  <c r="B284" i="9" s="1"/>
  <c r="D285" i="9"/>
  <c r="E284" i="9"/>
  <c r="C284" i="9" s="1"/>
  <c r="D284" i="9"/>
  <c r="K282" i="9"/>
  <c r="H282" i="9"/>
  <c r="E279" i="9"/>
  <c r="B278" i="9" s="1"/>
  <c r="D279" i="9"/>
  <c r="E278" i="9"/>
  <c r="C278" i="9" s="1"/>
  <c r="D278" i="9"/>
  <c r="K276" i="9"/>
  <c r="H276" i="9"/>
  <c r="E273" i="9"/>
  <c r="B272" i="9" s="1"/>
  <c r="D273" i="9"/>
  <c r="E272" i="9"/>
  <c r="C272" i="9" s="1"/>
  <c r="D272" i="9"/>
  <c r="K271" i="9"/>
  <c r="H271" i="9"/>
  <c r="E268" i="9"/>
  <c r="B267" i="9" s="1"/>
  <c r="D268" i="9"/>
  <c r="E267" i="9"/>
  <c r="C267" i="9" s="1"/>
  <c r="D267" i="9"/>
  <c r="K266" i="9"/>
  <c r="H266" i="9"/>
  <c r="E263" i="9"/>
  <c r="B262" i="9" s="1"/>
  <c r="D263" i="9"/>
  <c r="E262" i="9"/>
  <c r="C262" i="9" s="1"/>
  <c r="D262" i="9"/>
  <c r="K261" i="9"/>
  <c r="H261" i="9"/>
  <c r="E258" i="9"/>
  <c r="B257" i="9" s="1"/>
  <c r="D258" i="9"/>
  <c r="E257" i="9"/>
  <c r="D257" i="9"/>
  <c r="C257" i="9"/>
  <c r="K256" i="9"/>
  <c r="H256" i="9"/>
  <c r="E253" i="9"/>
  <c r="B252" i="9" s="1"/>
  <c r="D253" i="9"/>
  <c r="E252" i="9"/>
  <c r="C252" i="9" s="1"/>
  <c r="D252" i="9"/>
  <c r="K251" i="9"/>
  <c r="H251" i="9"/>
  <c r="E248" i="9"/>
  <c r="B247" i="9" s="1"/>
  <c r="D248" i="9"/>
  <c r="E247" i="9"/>
  <c r="D247" i="9"/>
  <c r="C247" i="9"/>
  <c r="K241" i="9"/>
  <c r="H241" i="9"/>
  <c r="E238" i="9"/>
  <c r="B237" i="9" s="1"/>
  <c r="D238" i="9"/>
  <c r="E237" i="9"/>
  <c r="C237" i="9" s="1"/>
  <c r="D237" i="9"/>
  <c r="K236" i="9"/>
  <c r="H236" i="9"/>
  <c r="E233" i="9"/>
  <c r="B232" i="9" s="1"/>
  <c r="D233" i="9"/>
  <c r="E232" i="9"/>
  <c r="C232" i="9" s="1"/>
  <c r="D232" i="9"/>
  <c r="E227" i="9"/>
  <c r="K226" i="9"/>
  <c r="H226" i="9"/>
  <c r="E223" i="9"/>
  <c r="D223" i="9"/>
  <c r="B222" i="9" s="1"/>
  <c r="E222" i="9"/>
  <c r="C222" i="9" s="1"/>
  <c r="D222" i="9"/>
  <c r="E218" i="9"/>
  <c r="E217" i="9"/>
  <c r="C217" i="9" s="1"/>
  <c r="D217" i="9"/>
  <c r="K216" i="9"/>
  <c r="H216" i="9"/>
  <c r="E213" i="9"/>
  <c r="D213" i="9"/>
  <c r="E212" i="9"/>
  <c r="C212" i="9" s="1"/>
  <c r="D212" i="9"/>
  <c r="B212" i="9"/>
  <c r="K211" i="9"/>
  <c r="H211" i="9"/>
  <c r="E208" i="9"/>
  <c r="D208" i="9"/>
  <c r="E207" i="9"/>
  <c r="D207" i="9"/>
  <c r="B207" i="9"/>
  <c r="K206" i="9"/>
  <c r="H206" i="9"/>
  <c r="E203" i="9"/>
  <c r="D203" i="9"/>
  <c r="E202" i="9"/>
  <c r="C202" i="9" s="1"/>
  <c r="D202" i="9"/>
  <c r="B202" i="9"/>
  <c r="K201" i="9"/>
  <c r="H201" i="9"/>
  <c r="E198" i="9"/>
  <c r="D198" i="9"/>
  <c r="B197" i="9" s="1"/>
  <c r="E197" i="9"/>
  <c r="D197" i="9"/>
  <c r="K196" i="9"/>
  <c r="H196" i="9"/>
  <c r="E193" i="9"/>
  <c r="D193" i="9"/>
  <c r="E192" i="9"/>
  <c r="C192" i="9" s="1"/>
  <c r="D192" i="9"/>
  <c r="K191" i="9"/>
  <c r="H191" i="9"/>
  <c r="E188" i="9"/>
  <c r="D188" i="9"/>
  <c r="B187" i="9" s="1"/>
  <c r="E187" i="9"/>
  <c r="D187" i="9"/>
  <c r="K186" i="9"/>
  <c r="H186" i="9"/>
  <c r="E183" i="9"/>
  <c r="B182" i="9" s="1"/>
  <c r="D183" i="9"/>
  <c r="E182" i="9"/>
  <c r="D182" i="9"/>
  <c r="K181" i="9"/>
  <c r="H181" i="9"/>
  <c r="E178" i="9"/>
  <c r="D178" i="9"/>
  <c r="B177" i="9" s="1"/>
  <c r="E177" i="9"/>
  <c r="D177" i="9"/>
  <c r="K176" i="9"/>
  <c r="H176" i="9"/>
  <c r="E173" i="9"/>
  <c r="D173" i="9"/>
  <c r="E172" i="9"/>
  <c r="C172" i="9" s="1"/>
  <c r="D172" i="9"/>
  <c r="B172" i="9"/>
  <c r="K171" i="9"/>
  <c r="H171" i="9"/>
  <c r="E168" i="9"/>
  <c r="D168" i="9"/>
  <c r="B167" i="9" s="1"/>
  <c r="E167" i="9"/>
  <c r="D167" i="9"/>
  <c r="K166" i="9"/>
  <c r="H166" i="9"/>
  <c r="E163" i="9"/>
  <c r="D163" i="9"/>
  <c r="E162" i="9"/>
  <c r="C162" i="9" s="1"/>
  <c r="D162" i="9"/>
  <c r="B162" i="9"/>
  <c r="K161" i="9"/>
  <c r="H161" i="9"/>
  <c r="E158" i="9"/>
  <c r="D158" i="9"/>
  <c r="B157" i="9" s="1"/>
  <c r="E157" i="9"/>
  <c r="D157" i="9"/>
  <c r="K156" i="9"/>
  <c r="H156" i="9"/>
  <c r="E153" i="9"/>
  <c r="B152" i="9" s="1"/>
  <c r="D153" i="9"/>
  <c r="E152" i="9"/>
  <c r="C152" i="9" s="1"/>
  <c r="D152" i="9"/>
  <c r="K151" i="9"/>
  <c r="H151" i="9"/>
  <c r="E148" i="9"/>
  <c r="D148" i="9"/>
  <c r="B147" i="9" s="1"/>
  <c r="E147" i="9"/>
  <c r="C147" i="9" s="1"/>
  <c r="D147" i="9"/>
  <c r="K146" i="9"/>
  <c r="H146" i="9"/>
  <c r="E143" i="9"/>
  <c r="D143" i="9"/>
  <c r="E142" i="9"/>
  <c r="C142" i="9" s="1"/>
  <c r="D142" i="9"/>
  <c r="B142" i="9"/>
  <c r="K141" i="9"/>
  <c r="H141" i="9"/>
  <c r="E138" i="9"/>
  <c r="D138" i="9"/>
  <c r="E137" i="9"/>
  <c r="D137" i="9"/>
  <c r="B137" i="9"/>
  <c r="K136" i="9"/>
  <c r="H136" i="9"/>
  <c r="E133" i="9"/>
  <c r="D133" i="9"/>
  <c r="E132" i="9"/>
  <c r="C132" i="9" s="1"/>
  <c r="D132" i="9"/>
  <c r="B132" i="9"/>
  <c r="K131" i="9"/>
  <c r="H131" i="9"/>
  <c r="E128" i="9"/>
  <c r="D128" i="9"/>
  <c r="E127" i="9"/>
  <c r="D127" i="9"/>
  <c r="B127" i="9"/>
  <c r="K126" i="9"/>
  <c r="H126" i="9"/>
  <c r="E123" i="9"/>
  <c r="D123" i="9"/>
  <c r="E122" i="9"/>
  <c r="C122" i="9" s="1"/>
  <c r="D122" i="9"/>
  <c r="B122" i="9"/>
  <c r="K121" i="9"/>
  <c r="H121" i="9"/>
  <c r="E118" i="9"/>
  <c r="D118" i="9"/>
  <c r="B117" i="9" s="1"/>
  <c r="E117" i="9"/>
  <c r="D117" i="9"/>
  <c r="K116" i="9"/>
  <c r="H116" i="9"/>
  <c r="E113" i="9"/>
  <c r="D113" i="9"/>
  <c r="E112" i="9"/>
  <c r="C112" i="9" s="1"/>
  <c r="D112" i="9"/>
  <c r="K111" i="9"/>
  <c r="H111" i="9"/>
  <c r="E108" i="9"/>
  <c r="D108" i="9"/>
  <c r="B107" i="9" s="1"/>
  <c r="E107" i="9"/>
  <c r="D107" i="9"/>
  <c r="K106" i="9"/>
  <c r="H106" i="9"/>
  <c r="E103" i="9"/>
  <c r="B102" i="9" s="1"/>
  <c r="D103" i="9"/>
  <c r="E102" i="9"/>
  <c r="C102" i="9" s="1"/>
  <c r="D102" i="9"/>
  <c r="K101" i="9"/>
  <c r="H101" i="9"/>
  <c r="E98" i="9"/>
  <c r="D98" i="9"/>
  <c r="B97" i="9" s="1"/>
  <c r="E97" i="9"/>
  <c r="D97" i="9"/>
  <c r="K96" i="9"/>
  <c r="H96" i="9"/>
  <c r="E93" i="9"/>
  <c r="D93" i="9"/>
  <c r="E92" i="9"/>
  <c r="C92" i="9" s="1"/>
  <c r="D92" i="9"/>
  <c r="B92" i="9"/>
  <c r="K91" i="9"/>
  <c r="H91" i="9"/>
  <c r="E88" i="9"/>
  <c r="D88" i="9"/>
  <c r="B87" i="9" s="1"/>
  <c r="E87" i="9"/>
  <c r="D87" i="9"/>
  <c r="K86" i="9"/>
  <c r="H86" i="9"/>
  <c r="E83" i="9"/>
  <c r="D83" i="9"/>
  <c r="E82" i="9"/>
  <c r="C82" i="9" s="1"/>
  <c r="D82" i="9"/>
  <c r="B82" i="9"/>
  <c r="K81" i="9"/>
  <c r="H81" i="9"/>
  <c r="E78" i="9"/>
  <c r="D78" i="9"/>
  <c r="B77" i="9" s="1"/>
  <c r="E77" i="9"/>
  <c r="D77" i="9"/>
  <c r="K76" i="9"/>
  <c r="H76" i="9"/>
  <c r="E73" i="9"/>
  <c r="B72" i="9" s="1"/>
  <c r="D73" i="9"/>
  <c r="E72" i="9"/>
  <c r="C72" i="9" s="1"/>
  <c r="D72" i="9"/>
  <c r="K71" i="9"/>
  <c r="H71" i="9"/>
  <c r="E68" i="9"/>
  <c r="D68" i="9"/>
  <c r="B67" i="9" s="1"/>
  <c r="E67" i="9"/>
  <c r="C67" i="9" s="1"/>
  <c r="D67" i="9"/>
  <c r="K66" i="9"/>
  <c r="H66" i="9"/>
  <c r="E63" i="9"/>
  <c r="D63" i="9"/>
  <c r="E62" i="9"/>
  <c r="C62" i="9" s="1"/>
  <c r="D62" i="9"/>
  <c r="B62" i="9"/>
  <c r="K61" i="9"/>
  <c r="H61" i="9"/>
  <c r="E58" i="9"/>
  <c r="D58" i="9"/>
  <c r="E57" i="9"/>
  <c r="C57" i="9" s="1"/>
  <c r="D57" i="9"/>
  <c r="B57" i="9"/>
  <c r="K56" i="9"/>
  <c r="H56" i="9"/>
  <c r="E53" i="9"/>
  <c r="D53" i="9"/>
  <c r="E52" i="9"/>
  <c r="C52" i="9" s="1"/>
  <c r="D52" i="9"/>
  <c r="B52" i="9"/>
  <c r="K51" i="9"/>
  <c r="H51" i="9"/>
  <c r="E48" i="9"/>
  <c r="D48" i="9"/>
  <c r="E47" i="9"/>
  <c r="D47" i="9"/>
  <c r="B47" i="9"/>
  <c r="K46" i="9"/>
  <c r="H46" i="9"/>
  <c r="E43" i="9"/>
  <c r="D43" i="9"/>
  <c r="E42" i="9"/>
  <c r="C42" i="9" s="1"/>
  <c r="D42" i="9"/>
  <c r="B42" i="9"/>
  <c r="K41" i="9"/>
  <c r="H41" i="9"/>
  <c r="E38" i="9"/>
  <c r="D38" i="9"/>
  <c r="B37" i="9" s="1"/>
  <c r="E37" i="9"/>
  <c r="D37" i="9"/>
  <c r="K36" i="9"/>
  <c r="H36" i="9"/>
  <c r="Q33" i="9"/>
  <c r="P33" i="9"/>
  <c r="O33" i="9"/>
  <c r="N33" i="9"/>
  <c r="M33" i="9"/>
  <c r="E33" i="9"/>
  <c r="D33" i="9"/>
  <c r="E32" i="9"/>
  <c r="D32" i="9"/>
  <c r="C32" i="9"/>
  <c r="B32" i="9"/>
  <c r="K31" i="9"/>
  <c r="H31" i="9"/>
  <c r="E28" i="9"/>
  <c r="D28" i="9"/>
  <c r="B27" i="9" s="1"/>
  <c r="E27" i="9"/>
  <c r="D27" i="9"/>
  <c r="C27" i="9" s="1"/>
  <c r="K26" i="9"/>
  <c r="H26" i="9"/>
  <c r="E23" i="9"/>
  <c r="D23" i="9"/>
  <c r="E22" i="9"/>
  <c r="D22" i="9"/>
  <c r="C22" i="9"/>
  <c r="B22" i="9"/>
  <c r="K21" i="9"/>
  <c r="H21" i="9"/>
  <c r="E18" i="9"/>
  <c r="D18" i="9"/>
  <c r="B17" i="9" s="1"/>
  <c r="E17" i="9"/>
  <c r="D17" i="9"/>
  <c r="C17" i="9"/>
  <c r="K16" i="9"/>
  <c r="H16" i="9"/>
  <c r="E13" i="9"/>
  <c r="D13" i="9"/>
  <c r="E12" i="9"/>
  <c r="D12" i="9"/>
  <c r="C12" i="9"/>
  <c r="B12" i="9"/>
  <c r="K11" i="9"/>
  <c r="H11" i="9"/>
  <c r="E8" i="9"/>
  <c r="D8" i="9"/>
  <c r="B7" i="9" s="1"/>
  <c r="E7" i="9"/>
  <c r="C7" i="9" s="1"/>
  <c r="D7" i="9"/>
  <c r="K6" i="9"/>
  <c r="H6" i="9"/>
  <c r="E3" i="9"/>
  <c r="D3" i="9"/>
  <c r="E2" i="9"/>
  <c r="D2" i="9"/>
  <c r="C2" i="9"/>
  <c r="B2" i="9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M2" i="7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X390" i="5"/>
  <c r="W390" i="5"/>
  <c r="X389" i="5"/>
  <c r="W389" i="5"/>
  <c r="V388" i="5"/>
  <c r="W388" i="5" s="1"/>
  <c r="U388" i="5"/>
  <c r="V387" i="5"/>
  <c r="U387" i="5"/>
  <c r="U383" i="5"/>
  <c r="V383" i="5" s="1"/>
  <c r="V382" i="5"/>
  <c r="U382" i="5"/>
  <c r="U378" i="5"/>
  <c r="V378" i="5" s="1"/>
  <c r="U377" i="5"/>
  <c r="V377" i="5" s="1"/>
  <c r="U373" i="5"/>
  <c r="V373" i="5" s="1"/>
  <c r="U372" i="5"/>
  <c r="V372" i="5" s="1"/>
  <c r="X370" i="5"/>
  <c r="X368" i="5"/>
  <c r="V368" i="5"/>
  <c r="W368" i="5" s="1"/>
  <c r="U368" i="5"/>
  <c r="U367" i="5"/>
  <c r="V367" i="5" s="1"/>
  <c r="X364" i="5"/>
  <c r="V363" i="5"/>
  <c r="U363" i="5"/>
  <c r="X362" i="5"/>
  <c r="V362" i="5"/>
  <c r="W362" i="5" s="1"/>
  <c r="U362" i="5"/>
  <c r="W359" i="5"/>
  <c r="V358" i="5"/>
  <c r="U358" i="5"/>
  <c r="X357" i="5"/>
  <c r="V357" i="5"/>
  <c r="X359" i="5" s="1"/>
  <c r="U357" i="5"/>
  <c r="X354" i="5"/>
  <c r="U353" i="5"/>
  <c r="V353" i="5" s="1"/>
  <c r="U352" i="5"/>
  <c r="V352" i="5" s="1"/>
  <c r="W349" i="5"/>
  <c r="V348" i="5"/>
  <c r="U348" i="5"/>
  <c r="V347" i="5"/>
  <c r="U347" i="5"/>
  <c r="X344" i="5"/>
  <c r="W344" i="5"/>
  <c r="U343" i="5"/>
  <c r="V343" i="5" s="1"/>
  <c r="V342" i="5"/>
  <c r="W342" i="5" s="1"/>
  <c r="U342" i="5"/>
  <c r="X338" i="5"/>
  <c r="U338" i="5"/>
  <c r="V338" i="5" s="1"/>
  <c r="U337" i="5"/>
  <c r="V337" i="5" s="1"/>
  <c r="X334" i="5"/>
  <c r="U333" i="5"/>
  <c r="V333" i="5" s="1"/>
  <c r="V332" i="5"/>
  <c r="U332" i="5"/>
  <c r="X330" i="5"/>
  <c r="W330" i="5"/>
  <c r="X328" i="5"/>
  <c r="V328" i="5"/>
  <c r="W328" i="5" s="1"/>
  <c r="U328" i="5"/>
  <c r="V327" i="5"/>
  <c r="U327" i="5"/>
  <c r="X325" i="5"/>
  <c r="X324" i="5"/>
  <c r="V323" i="5"/>
  <c r="W325" i="5" s="1"/>
  <c r="U323" i="5"/>
  <c r="X322" i="5"/>
  <c r="V322" i="5"/>
  <c r="W322" i="5" s="1"/>
  <c r="U322" i="5"/>
  <c r="V318" i="5"/>
  <c r="U318" i="5"/>
  <c r="V317" i="5"/>
  <c r="U317" i="5"/>
  <c r="V313" i="5"/>
  <c r="U313" i="5"/>
  <c r="U312" i="5"/>
  <c r="V312" i="5" s="1"/>
  <c r="W309" i="5"/>
  <c r="V308" i="5"/>
  <c r="U308" i="5"/>
  <c r="V307" i="5"/>
  <c r="U307" i="5"/>
  <c r="W304" i="5"/>
  <c r="U303" i="5"/>
  <c r="V303" i="5" s="1"/>
  <c r="V302" i="5"/>
  <c r="W302" i="5" s="1"/>
  <c r="U302" i="5"/>
  <c r="W299" i="5"/>
  <c r="V298" i="5"/>
  <c r="U298" i="5"/>
  <c r="U297" i="5"/>
  <c r="V297" i="5" s="1"/>
  <c r="X294" i="5"/>
  <c r="U293" i="5"/>
  <c r="V293" i="5" s="1"/>
  <c r="V292" i="5"/>
  <c r="U292" i="5"/>
  <c r="X290" i="5"/>
  <c r="W290" i="5"/>
  <c r="X288" i="5"/>
  <c r="V288" i="5"/>
  <c r="W288" i="5" s="1"/>
  <c r="U288" i="5"/>
  <c r="U287" i="5"/>
  <c r="V287" i="5" s="1"/>
  <c r="X283" i="5"/>
  <c r="V283" i="5"/>
  <c r="W285" i="5" s="1"/>
  <c r="U283" i="5"/>
  <c r="V282" i="5"/>
  <c r="U282" i="5"/>
  <c r="D281" i="5"/>
  <c r="C281" i="5"/>
  <c r="B281" i="5"/>
  <c r="A281" i="5"/>
  <c r="X279" i="5"/>
  <c r="W279" i="5"/>
  <c r="V278" i="5"/>
  <c r="U278" i="5"/>
  <c r="X277" i="5"/>
  <c r="V277" i="5"/>
  <c r="W277" i="5" s="1"/>
  <c r="U277" i="5"/>
  <c r="X274" i="5"/>
  <c r="W274" i="5"/>
  <c r="V273" i="5"/>
  <c r="U273" i="5"/>
  <c r="V272" i="5"/>
  <c r="U272" i="5"/>
  <c r="V268" i="5"/>
  <c r="U268" i="5"/>
  <c r="U267" i="5"/>
  <c r="V267" i="5" s="1"/>
  <c r="X265" i="5"/>
  <c r="W265" i="5"/>
  <c r="V263" i="5"/>
  <c r="W263" i="5" s="1"/>
  <c r="U263" i="5"/>
  <c r="V262" i="5"/>
  <c r="U262" i="5"/>
  <c r="U258" i="5"/>
  <c r="V258" i="5" s="1"/>
  <c r="V257" i="5"/>
  <c r="U257" i="5"/>
  <c r="U253" i="5"/>
  <c r="V253" i="5" s="1"/>
  <c r="U252" i="5"/>
  <c r="V252" i="5" s="1"/>
  <c r="U248" i="5"/>
  <c r="V248" i="5" s="1"/>
  <c r="V247" i="5"/>
  <c r="U247" i="5"/>
  <c r="X245" i="5"/>
  <c r="X243" i="5"/>
  <c r="V243" i="5"/>
  <c r="W243" i="5" s="1"/>
  <c r="U243" i="5"/>
  <c r="U242" i="5"/>
  <c r="V242" i="5" s="1"/>
  <c r="X239" i="5"/>
  <c r="U238" i="5"/>
  <c r="V238" i="5" s="1"/>
  <c r="X237" i="5"/>
  <c r="V237" i="5"/>
  <c r="W237" i="5" s="1"/>
  <c r="U237" i="5"/>
  <c r="W234" i="5"/>
  <c r="V233" i="5"/>
  <c r="U233" i="5"/>
  <c r="X232" i="5"/>
  <c r="V232" i="5"/>
  <c r="X234" i="5" s="1"/>
  <c r="U232" i="5"/>
  <c r="X230" i="5"/>
  <c r="X229" i="5"/>
  <c r="V228" i="5"/>
  <c r="U228" i="5"/>
  <c r="X227" i="5"/>
  <c r="U227" i="5"/>
  <c r="V227" i="5" s="1"/>
  <c r="W224" i="5"/>
  <c r="V223" i="5"/>
  <c r="U223" i="5"/>
  <c r="V222" i="5"/>
  <c r="U222" i="5"/>
  <c r="X219" i="5"/>
  <c r="W219" i="5"/>
  <c r="X218" i="5"/>
  <c r="W218" i="5"/>
  <c r="U218" i="5"/>
  <c r="V218" i="5" s="1"/>
  <c r="W220" i="5" s="1"/>
  <c r="V217" i="5"/>
  <c r="U217" i="5"/>
  <c r="U213" i="5"/>
  <c r="V213" i="5" s="1"/>
  <c r="V212" i="5"/>
  <c r="U212" i="5"/>
  <c r="X210" i="5"/>
  <c r="U208" i="5"/>
  <c r="V208" i="5" s="1"/>
  <c r="V207" i="5"/>
  <c r="U207" i="5"/>
  <c r="X205" i="5"/>
  <c r="W205" i="5"/>
  <c r="X203" i="5"/>
  <c r="V203" i="5"/>
  <c r="W203" i="5" s="1"/>
  <c r="U203" i="5"/>
  <c r="U202" i="5"/>
  <c r="V202" i="5" s="1"/>
  <c r="X199" i="5"/>
  <c r="X198" i="5"/>
  <c r="V198" i="5"/>
  <c r="U198" i="5"/>
  <c r="X197" i="5"/>
  <c r="V197" i="5"/>
  <c r="W197" i="5" s="1"/>
  <c r="U197" i="5"/>
  <c r="U193" i="5"/>
  <c r="V193" i="5" s="1"/>
  <c r="X192" i="5"/>
  <c r="W192" i="5"/>
  <c r="V192" i="5"/>
  <c r="U192" i="5"/>
  <c r="V188" i="5"/>
  <c r="U188" i="5"/>
  <c r="X187" i="5"/>
  <c r="U187" i="5"/>
  <c r="V187" i="5" s="1"/>
  <c r="V183" i="5"/>
  <c r="U183" i="5"/>
  <c r="V182" i="5"/>
  <c r="U182" i="5"/>
  <c r="W179" i="5"/>
  <c r="U178" i="5"/>
  <c r="V178" i="5" s="1"/>
  <c r="V177" i="5"/>
  <c r="U177" i="5"/>
  <c r="X173" i="5"/>
  <c r="V173" i="5"/>
  <c r="U173" i="5"/>
  <c r="U172" i="5"/>
  <c r="V172" i="5" s="1"/>
  <c r="X169" i="5"/>
  <c r="U168" i="5"/>
  <c r="V168" i="5" s="1"/>
  <c r="V167" i="5"/>
  <c r="U167" i="5"/>
  <c r="X165" i="5"/>
  <c r="W165" i="5"/>
  <c r="X163" i="5"/>
  <c r="V163" i="5"/>
  <c r="W163" i="5" s="1"/>
  <c r="U163" i="5"/>
  <c r="U162" i="5"/>
  <c r="V162" i="5" s="1"/>
  <c r="X158" i="5"/>
  <c r="V158" i="5"/>
  <c r="U158" i="5"/>
  <c r="V157" i="5"/>
  <c r="U157" i="5"/>
  <c r="X154" i="5"/>
  <c r="W154" i="5"/>
  <c r="V153" i="5"/>
  <c r="U153" i="5"/>
  <c r="V152" i="5"/>
  <c r="W152" i="5" s="1"/>
  <c r="U152" i="5"/>
  <c r="X150" i="5"/>
  <c r="V148" i="5"/>
  <c r="U148" i="5"/>
  <c r="U147" i="5"/>
  <c r="V147" i="5" s="1"/>
  <c r="X145" i="5"/>
  <c r="W145" i="5"/>
  <c r="W144" i="5"/>
  <c r="V143" i="5"/>
  <c r="U143" i="5"/>
  <c r="V142" i="5"/>
  <c r="U142" i="5"/>
  <c r="V138" i="5"/>
  <c r="U138" i="5"/>
  <c r="V137" i="5"/>
  <c r="U137" i="5"/>
  <c r="X134" i="5"/>
  <c r="U133" i="5"/>
  <c r="V133" i="5" s="1"/>
  <c r="W132" i="5"/>
  <c r="U132" i="5"/>
  <c r="V132" i="5" s="1"/>
  <c r="X129" i="5"/>
  <c r="U128" i="5"/>
  <c r="V128" i="5" s="1"/>
  <c r="V127" i="5"/>
  <c r="U127" i="5"/>
  <c r="X125" i="5"/>
  <c r="X123" i="5"/>
  <c r="V123" i="5"/>
  <c r="W123" i="5" s="1"/>
  <c r="U123" i="5"/>
  <c r="U122" i="5"/>
  <c r="V122" i="5" s="1"/>
  <c r="X119" i="5"/>
  <c r="W119" i="5"/>
  <c r="X118" i="5"/>
  <c r="V118" i="5"/>
  <c r="U118" i="5"/>
  <c r="X117" i="5"/>
  <c r="V117" i="5"/>
  <c r="W117" i="5" s="1"/>
  <c r="U117" i="5"/>
  <c r="V113" i="5"/>
  <c r="U113" i="5"/>
  <c r="V112" i="5"/>
  <c r="U112" i="5"/>
  <c r="X109" i="5"/>
  <c r="V108" i="5"/>
  <c r="U108" i="5"/>
  <c r="U107" i="5"/>
  <c r="V107" i="5" s="1"/>
  <c r="W105" i="5"/>
  <c r="V103" i="5"/>
  <c r="U103" i="5"/>
  <c r="U102" i="5"/>
  <c r="V102" i="5" s="1"/>
  <c r="U98" i="5"/>
  <c r="V98" i="5" s="1"/>
  <c r="V97" i="5"/>
  <c r="U97" i="5"/>
  <c r="U93" i="5"/>
  <c r="V93" i="5" s="1"/>
  <c r="U92" i="5"/>
  <c r="V92" i="5" s="1"/>
  <c r="U88" i="5"/>
  <c r="V88" i="5" s="1"/>
  <c r="V87" i="5"/>
  <c r="U87" i="5"/>
  <c r="V83" i="5"/>
  <c r="U83" i="5"/>
  <c r="V82" i="5"/>
  <c r="U82" i="5"/>
  <c r="X79" i="5"/>
  <c r="V78" i="5"/>
  <c r="U78" i="5"/>
  <c r="X77" i="5"/>
  <c r="V77" i="5"/>
  <c r="W77" i="5" s="1"/>
  <c r="U77" i="5"/>
  <c r="V73" i="5"/>
  <c r="U73" i="5"/>
  <c r="V72" i="5"/>
  <c r="U72" i="5"/>
  <c r="U68" i="5"/>
  <c r="V68" i="5" s="1"/>
  <c r="V67" i="5"/>
  <c r="U67" i="5"/>
  <c r="X64" i="5"/>
  <c r="W64" i="5"/>
  <c r="X63" i="5"/>
  <c r="V63" i="5"/>
  <c r="U63" i="5"/>
  <c r="V62" i="5"/>
  <c r="U62" i="5"/>
  <c r="X60" i="5"/>
  <c r="W59" i="5"/>
  <c r="X58" i="5"/>
  <c r="V58" i="5"/>
  <c r="W60" i="5" s="1"/>
  <c r="U58" i="5"/>
  <c r="V57" i="5"/>
  <c r="U57" i="5"/>
  <c r="X53" i="5"/>
  <c r="U53" i="5"/>
  <c r="V53" i="5" s="1"/>
  <c r="U52" i="5"/>
  <c r="V52" i="5" s="1"/>
  <c r="X52" i="5" s="1"/>
  <c r="U48" i="5"/>
  <c r="V48" i="5" s="1"/>
  <c r="V47" i="5"/>
  <c r="U47" i="5"/>
  <c r="X45" i="5"/>
  <c r="W45" i="5"/>
  <c r="X43" i="5"/>
  <c r="V43" i="5"/>
  <c r="W43" i="5" s="1"/>
  <c r="U43" i="5"/>
  <c r="U42" i="5"/>
  <c r="V42" i="5" s="1"/>
  <c r="U38" i="5"/>
  <c r="V38" i="5" s="1"/>
  <c r="V37" i="5"/>
  <c r="U37" i="5"/>
  <c r="V33" i="5"/>
  <c r="U33" i="5"/>
  <c r="U32" i="5"/>
  <c r="V32" i="5" s="1"/>
  <c r="U28" i="5"/>
  <c r="V28" i="5" s="1"/>
  <c r="U27" i="5"/>
  <c r="V27" i="5" s="1"/>
  <c r="W25" i="5"/>
  <c r="V23" i="5"/>
  <c r="U23" i="5"/>
  <c r="U22" i="5"/>
  <c r="V22" i="5" s="1"/>
  <c r="W18" i="5"/>
  <c r="V18" i="5"/>
  <c r="W20" i="5" s="1"/>
  <c r="U18" i="5"/>
  <c r="V17" i="5"/>
  <c r="U17" i="5"/>
  <c r="X14" i="5"/>
  <c r="V13" i="5"/>
  <c r="U13" i="5"/>
  <c r="W12" i="5"/>
  <c r="U12" i="5"/>
  <c r="V12" i="5" s="1"/>
  <c r="W14" i="5" s="1"/>
  <c r="U8" i="5"/>
  <c r="V8" i="5" s="1"/>
  <c r="V7" i="5"/>
  <c r="U7" i="5"/>
  <c r="V3" i="5"/>
  <c r="U3" i="5"/>
  <c r="U2" i="5"/>
  <c r="V2" i="5" s="1"/>
  <c r="X140" i="4"/>
  <c r="X139" i="4"/>
  <c r="W139" i="4"/>
  <c r="X138" i="4"/>
  <c r="V138" i="4"/>
  <c r="U138" i="4"/>
  <c r="X137" i="4"/>
  <c r="V137" i="4"/>
  <c r="W137" i="4" s="1"/>
  <c r="U137" i="4"/>
  <c r="V133" i="4"/>
  <c r="U133" i="4"/>
  <c r="U132" i="4"/>
  <c r="V132" i="4" s="1"/>
  <c r="V128" i="4"/>
  <c r="U128" i="4"/>
  <c r="U127" i="4"/>
  <c r="V127" i="4" s="1"/>
  <c r="U123" i="4"/>
  <c r="V123" i="4" s="1"/>
  <c r="U122" i="4"/>
  <c r="V122" i="4" s="1"/>
  <c r="X120" i="4"/>
  <c r="W118" i="4"/>
  <c r="U118" i="4"/>
  <c r="V118" i="4" s="1"/>
  <c r="U117" i="4"/>
  <c r="V117" i="4" s="1"/>
  <c r="X113" i="4"/>
  <c r="V113" i="4"/>
  <c r="U113" i="4"/>
  <c r="U112" i="4"/>
  <c r="V112" i="4" s="1"/>
  <c r="W110" i="4"/>
  <c r="W109" i="4"/>
  <c r="V108" i="4"/>
  <c r="U108" i="4"/>
  <c r="X107" i="4"/>
  <c r="U107" i="4"/>
  <c r="V107" i="4" s="1"/>
  <c r="X109" i="4" s="1"/>
  <c r="W103" i="4"/>
  <c r="U103" i="4"/>
  <c r="V103" i="4" s="1"/>
  <c r="X103" i="4" s="1"/>
  <c r="U102" i="4"/>
  <c r="V102" i="4" s="1"/>
  <c r="W99" i="4"/>
  <c r="U98" i="4"/>
  <c r="V98" i="4" s="1"/>
  <c r="U97" i="4"/>
  <c r="V97" i="4" s="1"/>
  <c r="W95" i="4"/>
  <c r="X93" i="4"/>
  <c r="W93" i="4"/>
  <c r="U93" i="4"/>
  <c r="V93" i="4" s="1"/>
  <c r="X95" i="4" s="1"/>
  <c r="U92" i="4"/>
  <c r="V92" i="4" s="1"/>
  <c r="V88" i="4"/>
  <c r="U88" i="4"/>
  <c r="U87" i="4"/>
  <c r="V87" i="4" s="1"/>
  <c r="U83" i="4"/>
  <c r="V83" i="4" s="1"/>
  <c r="W82" i="4"/>
  <c r="V82" i="4"/>
  <c r="U82" i="4"/>
  <c r="U78" i="4"/>
  <c r="V78" i="4" s="1"/>
  <c r="U77" i="4"/>
  <c r="V77" i="4" s="1"/>
  <c r="W74" i="4"/>
  <c r="U73" i="4"/>
  <c r="V73" i="4" s="1"/>
  <c r="U72" i="4"/>
  <c r="V72" i="4" s="1"/>
  <c r="U68" i="4"/>
  <c r="V68" i="4" s="1"/>
  <c r="U67" i="4"/>
  <c r="V67" i="4" s="1"/>
  <c r="X64" i="4"/>
  <c r="U63" i="4"/>
  <c r="V63" i="4" s="1"/>
  <c r="U62" i="4"/>
  <c r="V62" i="4" s="1"/>
  <c r="V58" i="4"/>
  <c r="U58" i="4"/>
  <c r="W57" i="4"/>
  <c r="V57" i="4"/>
  <c r="U57" i="4"/>
  <c r="W55" i="4"/>
  <c r="U53" i="4"/>
  <c r="V53" i="4" s="1"/>
  <c r="X55" i="4" s="1"/>
  <c r="X52" i="4"/>
  <c r="V52" i="4"/>
  <c r="X54" i="4" s="1"/>
  <c r="U52" i="4"/>
  <c r="X49" i="4"/>
  <c r="W49" i="4"/>
  <c r="V48" i="4"/>
  <c r="U48" i="4"/>
  <c r="X47" i="4"/>
  <c r="U47" i="4"/>
  <c r="V47" i="4" s="1"/>
  <c r="W47" i="4" s="1"/>
  <c r="V43" i="4"/>
  <c r="X43" i="4" s="1"/>
  <c r="U43" i="4"/>
  <c r="U42" i="4"/>
  <c r="V42" i="4" s="1"/>
  <c r="X40" i="4"/>
  <c r="W40" i="4"/>
  <c r="X38" i="4"/>
  <c r="V38" i="4"/>
  <c r="W38" i="4" s="1"/>
  <c r="U38" i="4"/>
  <c r="U37" i="4"/>
  <c r="V37" i="4" s="1"/>
  <c r="U33" i="4"/>
  <c r="V33" i="4" s="1"/>
  <c r="U32" i="4"/>
  <c r="V32" i="4" s="1"/>
  <c r="U28" i="4"/>
  <c r="V28" i="4" s="1"/>
  <c r="W27" i="4"/>
  <c r="U27" i="4"/>
  <c r="V27" i="4" s="1"/>
  <c r="X29" i="4" s="1"/>
  <c r="X24" i="4"/>
  <c r="W24" i="4"/>
  <c r="U23" i="4"/>
  <c r="V23" i="4" s="1"/>
  <c r="W25" i="4" s="1"/>
  <c r="V22" i="4"/>
  <c r="X22" i="4" s="1"/>
  <c r="U22" i="4"/>
  <c r="W18" i="4"/>
  <c r="V18" i="4"/>
  <c r="X20" i="4" s="1"/>
  <c r="U18" i="4"/>
  <c r="V17" i="4"/>
  <c r="U17" i="4"/>
  <c r="W15" i="4"/>
  <c r="X13" i="4"/>
  <c r="W13" i="4"/>
  <c r="U13" i="4"/>
  <c r="V13" i="4" s="1"/>
  <c r="X15" i="4" s="1"/>
  <c r="V12" i="4"/>
  <c r="U12" i="4"/>
  <c r="X9" i="4"/>
  <c r="U8" i="4"/>
  <c r="V8" i="4" s="1"/>
  <c r="X7" i="4"/>
  <c r="U7" i="4"/>
  <c r="V7" i="4" s="1"/>
  <c r="W9" i="4" s="1"/>
  <c r="V3" i="4"/>
  <c r="U3" i="4"/>
  <c r="W2" i="4"/>
  <c r="V2" i="4"/>
  <c r="X2" i="4" s="1"/>
  <c r="U2" i="4"/>
  <c r="X50" i="3"/>
  <c r="W50" i="3"/>
  <c r="W49" i="3"/>
  <c r="X48" i="3"/>
  <c r="V48" i="3"/>
  <c r="W48" i="3" s="1"/>
  <c r="U48" i="3"/>
  <c r="W47" i="3"/>
  <c r="V47" i="3"/>
  <c r="U47" i="3"/>
  <c r="W45" i="3"/>
  <c r="X43" i="3"/>
  <c r="W43" i="3"/>
  <c r="U43" i="3"/>
  <c r="V43" i="3" s="1"/>
  <c r="X45" i="3" s="1"/>
  <c r="U42" i="3"/>
  <c r="V42" i="3" s="1"/>
  <c r="W38" i="3"/>
  <c r="V38" i="3"/>
  <c r="U38" i="3"/>
  <c r="W37" i="3"/>
  <c r="U37" i="3"/>
  <c r="V37" i="3" s="1"/>
  <c r="X39" i="3" s="1"/>
  <c r="W34" i="3"/>
  <c r="U33" i="3"/>
  <c r="V33" i="3" s="1"/>
  <c r="V32" i="3"/>
  <c r="X32" i="3" s="1"/>
  <c r="U32" i="3"/>
  <c r="W28" i="3"/>
  <c r="U28" i="3"/>
  <c r="V28" i="3" s="1"/>
  <c r="U27" i="3"/>
  <c r="V27" i="3" s="1"/>
  <c r="W25" i="3"/>
  <c r="W23" i="3"/>
  <c r="U23" i="3"/>
  <c r="V23" i="3" s="1"/>
  <c r="X25" i="3" s="1"/>
  <c r="U22" i="3"/>
  <c r="V22" i="3" s="1"/>
  <c r="X24" i="3" s="1"/>
  <c r="W20" i="3"/>
  <c r="U18" i="3"/>
  <c r="V18" i="3" s="1"/>
  <c r="U17" i="3"/>
  <c r="V17" i="3" s="1"/>
  <c r="U13" i="3"/>
  <c r="V13" i="3" s="1"/>
  <c r="U12" i="3"/>
  <c r="V12" i="3" s="1"/>
  <c r="X8" i="3"/>
  <c r="V8" i="3"/>
  <c r="U8" i="3"/>
  <c r="U7" i="3"/>
  <c r="V7" i="3" s="1"/>
  <c r="W9" i="3" s="1"/>
  <c r="X3" i="3"/>
  <c r="U3" i="3"/>
  <c r="V3" i="3" s="1"/>
  <c r="X5" i="3" s="1"/>
  <c r="V2" i="3"/>
  <c r="U2" i="3"/>
  <c r="W40" i="2"/>
  <c r="I39" i="2"/>
  <c r="E39" i="2"/>
  <c r="X38" i="2"/>
  <c r="W38" i="2"/>
  <c r="V38" i="2"/>
  <c r="X40" i="2" s="1"/>
  <c r="V37" i="2"/>
  <c r="U37" i="2"/>
  <c r="Q37" i="2"/>
  <c r="I37" i="2"/>
  <c r="E37" i="2"/>
  <c r="X35" i="2"/>
  <c r="W35" i="2"/>
  <c r="X34" i="2"/>
  <c r="J34" i="2"/>
  <c r="I34" i="2"/>
  <c r="H34" i="2"/>
  <c r="E34" i="2"/>
  <c r="X33" i="2"/>
  <c r="W33" i="2"/>
  <c r="V33" i="2"/>
  <c r="X32" i="2"/>
  <c r="U32" i="2"/>
  <c r="V32" i="2" s="1"/>
  <c r="Q32" i="2"/>
  <c r="J32" i="2"/>
  <c r="I32" i="2"/>
  <c r="H32" i="2"/>
  <c r="E32" i="2"/>
  <c r="J29" i="2"/>
  <c r="I29" i="2"/>
  <c r="H29" i="2"/>
  <c r="E29" i="2"/>
  <c r="V28" i="2"/>
  <c r="X30" i="2" s="1"/>
  <c r="U28" i="2"/>
  <c r="V27" i="2"/>
  <c r="U27" i="2"/>
  <c r="Q27" i="2"/>
  <c r="J27" i="2"/>
  <c r="I27" i="2"/>
  <c r="H27" i="2"/>
  <c r="E27" i="2"/>
  <c r="X23" i="2"/>
  <c r="V23" i="2"/>
  <c r="W25" i="2" s="1"/>
  <c r="U23" i="2"/>
  <c r="U22" i="2"/>
  <c r="Q22" i="2"/>
  <c r="V22" i="2" s="1"/>
  <c r="J19" i="2"/>
  <c r="I19" i="2"/>
  <c r="H19" i="2"/>
  <c r="G19" i="2"/>
  <c r="E19" i="2"/>
  <c r="V18" i="2"/>
  <c r="W18" i="2" s="1"/>
  <c r="U18" i="2"/>
  <c r="U17" i="2"/>
  <c r="V17" i="2" s="1"/>
  <c r="Q17" i="2"/>
  <c r="J17" i="2"/>
  <c r="I17" i="2"/>
  <c r="H17" i="2"/>
  <c r="G17" i="2"/>
  <c r="E17" i="2"/>
  <c r="J14" i="2"/>
  <c r="I14" i="2"/>
  <c r="X14" i="2" s="1"/>
  <c r="H14" i="2"/>
  <c r="G14" i="2"/>
  <c r="E14" i="2"/>
  <c r="X13" i="2"/>
  <c r="U13" i="2"/>
  <c r="V13" i="2" s="1"/>
  <c r="X15" i="2" s="1"/>
  <c r="V12" i="2"/>
  <c r="U12" i="2"/>
  <c r="Q12" i="2"/>
  <c r="J12" i="2"/>
  <c r="I12" i="2"/>
  <c r="H12" i="2"/>
  <c r="G12" i="2"/>
  <c r="E12" i="2"/>
  <c r="W10" i="2"/>
  <c r="X9" i="2"/>
  <c r="W9" i="2"/>
  <c r="X8" i="2"/>
  <c r="U8" i="2"/>
  <c r="V8" i="2" s="1"/>
  <c r="X10" i="2" s="1"/>
  <c r="W7" i="2"/>
  <c r="V7" i="2"/>
  <c r="X7" i="2" s="1"/>
  <c r="U7" i="2"/>
  <c r="X4" i="2"/>
  <c r="U3" i="2"/>
  <c r="V3" i="2" s="1"/>
  <c r="U2" i="2"/>
  <c r="V2" i="2" s="1"/>
  <c r="W4" i="2" s="1"/>
  <c r="I327" i="1"/>
  <c r="E327" i="1"/>
  <c r="V326" i="1"/>
  <c r="X325" i="1"/>
  <c r="W325" i="1"/>
  <c r="V325" i="1"/>
  <c r="U325" i="1"/>
  <c r="Q325" i="1"/>
  <c r="I325" i="1"/>
  <c r="E325" i="1"/>
  <c r="Y322" i="1"/>
  <c r="J322" i="1"/>
  <c r="I322" i="1"/>
  <c r="H322" i="1"/>
  <c r="E322" i="1"/>
  <c r="Y321" i="1"/>
  <c r="X321" i="1"/>
  <c r="V321" i="1"/>
  <c r="W321" i="1" s="1"/>
  <c r="U320" i="1"/>
  <c r="Q320" i="1"/>
  <c r="V320" i="1" s="1"/>
  <c r="J320" i="1"/>
  <c r="I320" i="1"/>
  <c r="H320" i="1"/>
  <c r="E320" i="1"/>
  <c r="X318" i="1"/>
  <c r="W318" i="1"/>
  <c r="Y317" i="1"/>
  <c r="J317" i="1"/>
  <c r="I317" i="1"/>
  <c r="H317" i="1"/>
  <c r="E317" i="1"/>
  <c r="W316" i="1"/>
  <c r="V316" i="1"/>
  <c r="Y318" i="1" s="1"/>
  <c r="U315" i="1"/>
  <c r="Q315" i="1"/>
  <c r="V315" i="1" s="1"/>
  <c r="J315" i="1"/>
  <c r="I315" i="1"/>
  <c r="H315" i="1"/>
  <c r="E315" i="1"/>
  <c r="W312" i="1"/>
  <c r="J312" i="1"/>
  <c r="I312" i="1"/>
  <c r="H312" i="1"/>
  <c r="E312" i="1"/>
  <c r="Y311" i="1"/>
  <c r="X311" i="1"/>
  <c r="V311" i="1"/>
  <c r="V310" i="1"/>
  <c r="Y310" i="1" s="1"/>
  <c r="U310" i="1"/>
  <c r="Q310" i="1"/>
  <c r="J310" i="1"/>
  <c r="I310" i="1"/>
  <c r="X310" i="1" s="1"/>
  <c r="H310" i="1"/>
  <c r="E310" i="1"/>
  <c r="X308" i="1"/>
  <c r="Y307" i="1"/>
  <c r="X307" i="1"/>
  <c r="J307" i="1"/>
  <c r="I307" i="1"/>
  <c r="H307" i="1"/>
  <c r="E307" i="1"/>
  <c r="V306" i="1"/>
  <c r="Y308" i="1" s="1"/>
  <c r="Y305" i="1"/>
  <c r="U305" i="1"/>
  <c r="V305" i="1" s="1"/>
  <c r="Q305" i="1"/>
  <c r="J305" i="1"/>
  <c r="I305" i="1"/>
  <c r="H305" i="1"/>
  <c r="E305" i="1"/>
  <c r="J302" i="1"/>
  <c r="I302" i="1"/>
  <c r="H302" i="1"/>
  <c r="E302" i="1"/>
  <c r="V301" i="1"/>
  <c r="X300" i="1"/>
  <c r="V300" i="1"/>
  <c r="W300" i="1" s="1"/>
  <c r="U300" i="1"/>
  <c r="Q300" i="1"/>
  <c r="J300" i="1"/>
  <c r="I300" i="1"/>
  <c r="H300" i="1"/>
  <c r="E300" i="1"/>
  <c r="Y300" i="1" s="1"/>
  <c r="X298" i="1"/>
  <c r="W298" i="1"/>
  <c r="W297" i="1"/>
  <c r="J297" i="1"/>
  <c r="I297" i="1"/>
  <c r="H297" i="1"/>
  <c r="E297" i="1"/>
  <c r="Y296" i="1"/>
  <c r="X296" i="1"/>
  <c r="W296" i="1"/>
  <c r="V296" i="1"/>
  <c r="Y298" i="1" s="1"/>
  <c r="AA295" i="1"/>
  <c r="X295" i="1"/>
  <c r="U295" i="1"/>
  <c r="V295" i="1" s="1"/>
  <c r="Q295" i="1"/>
  <c r="J295" i="1"/>
  <c r="I295" i="1"/>
  <c r="H295" i="1"/>
  <c r="E295" i="1"/>
  <c r="Y293" i="1"/>
  <c r="X293" i="1"/>
  <c r="W293" i="1"/>
  <c r="V270" i="1"/>
  <c r="T270" i="1"/>
  <c r="V268" i="1"/>
  <c r="U267" i="1"/>
  <c r="V267" i="1" s="1"/>
  <c r="V263" i="1"/>
  <c r="U262" i="1"/>
  <c r="V262" i="1" s="1"/>
  <c r="X264" i="1" s="1"/>
  <c r="V260" i="1"/>
  <c r="T260" i="1"/>
  <c r="Y259" i="1"/>
  <c r="V258" i="1"/>
  <c r="Y257" i="1"/>
  <c r="X257" i="1"/>
  <c r="V257" i="1"/>
  <c r="W257" i="1" s="1"/>
  <c r="U257" i="1"/>
  <c r="W254" i="1"/>
  <c r="U253" i="1"/>
  <c r="V253" i="1" s="1"/>
  <c r="X252" i="1"/>
  <c r="U252" i="1"/>
  <c r="V252" i="1" s="1"/>
  <c r="Y252" i="1" s="1"/>
  <c r="V250" i="1"/>
  <c r="T250" i="1"/>
  <c r="X249" i="1"/>
  <c r="U248" i="1"/>
  <c r="V248" i="1" s="1"/>
  <c r="Y247" i="1"/>
  <c r="X247" i="1"/>
  <c r="V247" i="1"/>
  <c r="W247" i="1" s="1"/>
  <c r="U247" i="1"/>
  <c r="U243" i="1"/>
  <c r="V243" i="1" s="1"/>
  <c r="W242" i="1"/>
  <c r="U242" i="1"/>
  <c r="V242" i="1" s="1"/>
  <c r="W244" i="1" s="1"/>
  <c r="C241" i="1"/>
  <c r="V240" i="1"/>
  <c r="T240" i="1"/>
  <c r="U238" i="1"/>
  <c r="V238" i="1" s="1"/>
  <c r="U237" i="1"/>
  <c r="V237" i="1" s="1"/>
  <c r="Y234" i="1"/>
  <c r="Y233" i="1"/>
  <c r="V233" i="1"/>
  <c r="U233" i="1"/>
  <c r="Y232" i="1"/>
  <c r="V232" i="1"/>
  <c r="W232" i="1" s="1"/>
  <c r="U232" i="1"/>
  <c r="C231" i="1"/>
  <c r="Y229" i="1"/>
  <c r="U228" i="1"/>
  <c r="V228" i="1" s="1"/>
  <c r="Y227" i="1"/>
  <c r="V227" i="1"/>
  <c r="X227" i="1" s="1"/>
  <c r="U227" i="1"/>
  <c r="X224" i="1"/>
  <c r="V223" i="1"/>
  <c r="U223" i="1"/>
  <c r="W222" i="1"/>
  <c r="U222" i="1"/>
  <c r="V222" i="1" s="1"/>
  <c r="Y222" i="1" s="1"/>
  <c r="W219" i="1"/>
  <c r="W218" i="1"/>
  <c r="U218" i="1"/>
  <c r="V218" i="1" s="1"/>
  <c r="V217" i="1"/>
  <c r="U217" i="1"/>
  <c r="V213" i="1"/>
  <c r="U213" i="1"/>
  <c r="X212" i="1"/>
  <c r="V212" i="1"/>
  <c r="U212" i="1"/>
  <c r="V208" i="1"/>
  <c r="U208" i="1"/>
  <c r="Y207" i="1"/>
  <c r="V207" i="1"/>
  <c r="U207" i="1"/>
  <c r="V203" i="1"/>
  <c r="U203" i="1"/>
  <c r="X202" i="1"/>
  <c r="V202" i="1"/>
  <c r="U202" i="1"/>
  <c r="V198" i="1"/>
  <c r="U198" i="1"/>
  <c r="Y197" i="1"/>
  <c r="V197" i="1"/>
  <c r="U197" i="1"/>
  <c r="V193" i="1"/>
  <c r="U193" i="1"/>
  <c r="X192" i="1"/>
  <c r="V192" i="1"/>
  <c r="U192" i="1"/>
  <c r="V188" i="1"/>
  <c r="U188" i="1"/>
  <c r="Y187" i="1"/>
  <c r="V187" i="1"/>
  <c r="U187" i="1"/>
  <c r="V183" i="1"/>
  <c r="U183" i="1"/>
  <c r="V182" i="1"/>
  <c r="U182" i="1"/>
  <c r="Y178" i="1"/>
  <c r="V178" i="1"/>
  <c r="U178" i="1"/>
  <c r="X177" i="1"/>
  <c r="W177" i="1"/>
  <c r="V177" i="1"/>
  <c r="U177" i="1"/>
  <c r="Y175" i="1"/>
  <c r="V173" i="1"/>
  <c r="U173" i="1"/>
  <c r="X172" i="1"/>
  <c r="V172" i="1"/>
  <c r="Y172" i="1" s="1"/>
  <c r="U172" i="1"/>
  <c r="Y170" i="1"/>
  <c r="V168" i="1"/>
  <c r="U168" i="1"/>
  <c r="V167" i="1"/>
  <c r="U167" i="1"/>
  <c r="Y165" i="1"/>
  <c r="V163" i="1"/>
  <c r="U163" i="1"/>
  <c r="V162" i="1"/>
  <c r="U162" i="1"/>
  <c r="Y158" i="1"/>
  <c r="V158" i="1"/>
  <c r="U158" i="1"/>
  <c r="X157" i="1"/>
  <c r="V157" i="1"/>
  <c r="U157" i="1"/>
  <c r="Y155" i="1"/>
  <c r="Y153" i="1"/>
  <c r="V153" i="1"/>
  <c r="U153" i="1"/>
  <c r="Y152" i="1"/>
  <c r="X152" i="1"/>
  <c r="V152" i="1"/>
  <c r="U152" i="1"/>
  <c r="Y150" i="1"/>
  <c r="V148" i="1"/>
  <c r="U148" i="1"/>
  <c r="X147" i="1"/>
  <c r="V147" i="1"/>
  <c r="U147" i="1"/>
  <c r="V143" i="1"/>
  <c r="U143" i="1"/>
  <c r="V142" i="1"/>
  <c r="U142" i="1"/>
  <c r="Y138" i="1"/>
  <c r="V138" i="1"/>
  <c r="U138" i="1"/>
  <c r="X137" i="1"/>
  <c r="W137" i="1"/>
  <c r="V137" i="1"/>
  <c r="Y137" i="1" s="1"/>
  <c r="U137" i="1"/>
  <c r="Y135" i="1"/>
  <c r="Y133" i="1"/>
  <c r="V133" i="1"/>
  <c r="U133" i="1"/>
  <c r="Y132" i="1"/>
  <c r="X132" i="1"/>
  <c r="V132" i="1"/>
  <c r="U132" i="1"/>
  <c r="Y128" i="1"/>
  <c r="V128" i="1"/>
  <c r="U128" i="1"/>
  <c r="V127" i="1"/>
  <c r="Y127" i="1" s="1"/>
  <c r="U127" i="1"/>
  <c r="V123" i="1"/>
  <c r="U123" i="1"/>
  <c r="W122" i="1"/>
  <c r="V122" i="1"/>
  <c r="U122" i="1"/>
  <c r="V118" i="1"/>
  <c r="U118" i="1"/>
  <c r="X117" i="1"/>
  <c r="W117" i="1"/>
  <c r="V117" i="1"/>
  <c r="U117" i="1"/>
  <c r="Y115" i="1"/>
  <c r="Y113" i="1"/>
  <c r="V113" i="1"/>
  <c r="U113" i="1"/>
  <c r="Y112" i="1"/>
  <c r="W112" i="1"/>
  <c r="V112" i="1"/>
  <c r="U112" i="1"/>
  <c r="V110" i="1"/>
  <c r="T110" i="1"/>
  <c r="X109" i="1"/>
  <c r="X108" i="1"/>
  <c r="V108" i="1"/>
  <c r="Y110" i="1" s="1"/>
  <c r="U108" i="1"/>
  <c r="Y107" i="1"/>
  <c r="X107" i="1"/>
  <c r="V107" i="1"/>
  <c r="U107" i="1"/>
  <c r="V105" i="1"/>
  <c r="T105" i="1"/>
  <c r="X103" i="1"/>
  <c r="V103" i="1"/>
  <c r="Y103" i="1" s="1"/>
  <c r="U103" i="1"/>
  <c r="AA102" i="1"/>
  <c r="U102" i="1"/>
  <c r="V102" i="1" s="1"/>
  <c r="X104" i="1" s="1"/>
  <c r="D101" i="1"/>
  <c r="C101" i="1"/>
  <c r="B101" i="1"/>
  <c r="A101" i="1"/>
  <c r="W100" i="1"/>
  <c r="U98" i="1"/>
  <c r="V98" i="1" s="1"/>
  <c r="U97" i="1"/>
  <c r="V97" i="1" s="1"/>
  <c r="X95" i="1"/>
  <c r="W95" i="1"/>
  <c r="V95" i="1"/>
  <c r="T95" i="1"/>
  <c r="U93" i="1"/>
  <c r="V93" i="1" s="1"/>
  <c r="U92" i="1"/>
  <c r="V92" i="1" s="1"/>
  <c r="U88" i="1"/>
  <c r="V88" i="1" s="1"/>
  <c r="U87" i="1"/>
  <c r="V87" i="1" s="1"/>
  <c r="X89" i="1" s="1"/>
  <c r="Y85" i="1"/>
  <c r="X85" i="1"/>
  <c r="X84" i="1"/>
  <c r="U83" i="1"/>
  <c r="V83" i="1" s="1"/>
  <c r="W82" i="1"/>
  <c r="U82" i="1"/>
  <c r="V82" i="1" s="1"/>
  <c r="Y80" i="1"/>
  <c r="U78" i="1"/>
  <c r="V78" i="1" s="1"/>
  <c r="X80" i="1" s="1"/>
  <c r="X77" i="1"/>
  <c r="W77" i="1"/>
  <c r="U77" i="1"/>
  <c r="V77" i="1" s="1"/>
  <c r="X79" i="1" s="1"/>
  <c r="V75" i="1"/>
  <c r="T75" i="1"/>
  <c r="X73" i="1"/>
  <c r="V73" i="1"/>
  <c r="Y73" i="1" s="1"/>
  <c r="U73" i="1"/>
  <c r="AA72" i="1"/>
  <c r="V72" i="1"/>
  <c r="Y72" i="1" s="1"/>
  <c r="U72" i="1"/>
  <c r="Y70" i="1"/>
  <c r="X68" i="1"/>
  <c r="W68" i="1"/>
  <c r="V68" i="1"/>
  <c r="U68" i="1"/>
  <c r="Y67" i="1"/>
  <c r="W67" i="1"/>
  <c r="V67" i="1"/>
  <c r="U67" i="1"/>
  <c r="V65" i="1"/>
  <c r="T65" i="1"/>
  <c r="X64" i="1"/>
  <c r="W64" i="1"/>
  <c r="U63" i="1"/>
  <c r="V63" i="1" s="1"/>
  <c r="V62" i="1"/>
  <c r="U62" i="1"/>
  <c r="D61" i="1"/>
  <c r="C61" i="1"/>
  <c r="B61" i="1"/>
  <c r="A61" i="1"/>
  <c r="Y60" i="1"/>
  <c r="X60" i="1"/>
  <c r="W60" i="1"/>
  <c r="Y59" i="1"/>
  <c r="W59" i="1"/>
  <c r="X58" i="1"/>
  <c r="W58" i="1"/>
  <c r="U58" i="1"/>
  <c r="V58" i="1" s="1"/>
  <c r="Y58" i="1" s="1"/>
  <c r="U57" i="1"/>
  <c r="V57" i="1" s="1"/>
  <c r="U53" i="1"/>
  <c r="V53" i="1" s="1"/>
  <c r="X53" i="1" s="1"/>
  <c r="U52" i="1"/>
  <c r="V52" i="1" s="1"/>
  <c r="Y54" i="1" s="1"/>
  <c r="Y50" i="1"/>
  <c r="V50" i="1"/>
  <c r="T50" i="1"/>
  <c r="X49" i="1"/>
  <c r="Y48" i="1"/>
  <c r="U48" i="1"/>
  <c r="V48" i="1" s="1"/>
  <c r="X48" i="1" s="1"/>
  <c r="V47" i="1"/>
  <c r="U47" i="1"/>
  <c r="Y45" i="1"/>
  <c r="X45" i="1"/>
  <c r="V45" i="1"/>
  <c r="T45" i="1"/>
  <c r="U43" i="1"/>
  <c r="V43" i="1" s="1"/>
  <c r="AA42" i="1"/>
  <c r="Y42" i="1"/>
  <c r="W42" i="1"/>
  <c r="U42" i="1"/>
  <c r="V42" i="1" s="1"/>
  <c r="W44" i="1" s="1"/>
  <c r="V40" i="1"/>
  <c r="T40" i="1"/>
  <c r="U38" i="1"/>
  <c r="V38" i="1" s="1"/>
  <c r="AA37" i="1"/>
  <c r="W37" i="1"/>
  <c r="V37" i="1"/>
  <c r="U37" i="1"/>
  <c r="X33" i="1"/>
  <c r="V33" i="1"/>
  <c r="Y35" i="1" s="1"/>
  <c r="U33" i="1"/>
  <c r="Y32" i="1"/>
  <c r="X32" i="1"/>
  <c r="V32" i="1"/>
  <c r="U32" i="1"/>
  <c r="X28" i="1"/>
  <c r="V28" i="1"/>
  <c r="U28" i="1"/>
  <c r="X27" i="1"/>
  <c r="V27" i="1"/>
  <c r="Y27" i="1" s="1"/>
  <c r="U27" i="1"/>
  <c r="Y25" i="1"/>
  <c r="V25" i="1"/>
  <c r="T25" i="1"/>
  <c r="X23" i="1"/>
  <c r="V23" i="1"/>
  <c r="U23" i="1"/>
  <c r="AA22" i="1"/>
  <c r="X22" i="1"/>
  <c r="U22" i="1"/>
  <c r="V22" i="1" s="1"/>
  <c r="X24" i="1" s="1"/>
  <c r="V20" i="1"/>
  <c r="T20" i="1"/>
  <c r="V18" i="1"/>
  <c r="U18" i="1"/>
  <c r="AA17" i="1"/>
  <c r="U17" i="1"/>
  <c r="V17" i="1" s="1"/>
  <c r="Y15" i="1"/>
  <c r="X15" i="1"/>
  <c r="W15" i="1"/>
  <c r="Y14" i="1"/>
  <c r="X14" i="1"/>
  <c r="Y13" i="1"/>
  <c r="X13" i="1"/>
  <c r="U13" i="1"/>
  <c r="V13" i="1" s="1"/>
  <c r="W13" i="1" s="1"/>
  <c r="Y12" i="1"/>
  <c r="V12" i="1"/>
  <c r="W12" i="1" s="1"/>
  <c r="U12" i="1"/>
  <c r="X10" i="1"/>
  <c r="W10" i="1"/>
  <c r="X9" i="1"/>
  <c r="W9" i="1"/>
  <c r="Y8" i="1"/>
  <c r="V8" i="1"/>
  <c r="X8" i="1" s="1"/>
  <c r="U8" i="1"/>
  <c r="V7" i="1"/>
  <c r="Y9" i="1" s="1"/>
  <c r="U7" i="1"/>
  <c r="X5" i="1"/>
  <c r="W5" i="1"/>
  <c r="X4" i="1"/>
  <c r="W4" i="1"/>
  <c r="Y3" i="1"/>
  <c r="V3" i="1"/>
  <c r="X3" i="1" s="1"/>
  <c r="U3" i="1"/>
  <c r="AB2" i="1"/>
  <c r="AA296" i="1" s="1"/>
  <c r="Y2" i="1"/>
  <c r="V2" i="1"/>
  <c r="Y4" i="1" s="1"/>
  <c r="U2" i="1"/>
  <c r="AA103" i="1" l="1"/>
  <c r="AA23" i="1"/>
  <c r="W99" i="1"/>
  <c r="Y97" i="1"/>
  <c r="W97" i="1"/>
  <c r="Y99" i="1"/>
  <c r="X99" i="1"/>
  <c r="X97" i="1"/>
  <c r="W40" i="5"/>
  <c r="W38" i="5"/>
  <c r="X38" i="5"/>
  <c r="X40" i="5"/>
  <c r="Y38" i="1"/>
  <c r="W40" i="1"/>
  <c r="X38" i="1"/>
  <c r="W38" i="1"/>
  <c r="Y40" i="1"/>
  <c r="X40" i="1"/>
  <c r="X19" i="2"/>
  <c r="W19" i="2"/>
  <c r="W17" i="2"/>
  <c r="X17" i="2"/>
  <c r="W250" i="1"/>
  <c r="W248" i="1"/>
  <c r="Y250" i="1"/>
  <c r="X250" i="1"/>
  <c r="Y248" i="1"/>
  <c r="X248" i="1"/>
  <c r="X122" i="4"/>
  <c r="W122" i="4"/>
  <c r="X124" i="4"/>
  <c r="W124" i="4"/>
  <c r="W44" i="3"/>
  <c r="X44" i="3"/>
  <c r="X42" i="3"/>
  <c r="W42" i="3"/>
  <c r="W63" i="1"/>
  <c r="X65" i="1"/>
  <c r="W65" i="1"/>
  <c r="Y63" i="1"/>
  <c r="X63" i="1"/>
  <c r="Y65" i="1"/>
  <c r="Y238" i="1"/>
  <c r="Y240" i="1"/>
  <c r="X240" i="1"/>
  <c r="W240" i="1"/>
  <c r="X238" i="1"/>
  <c r="W238" i="1"/>
  <c r="X42" i="4"/>
  <c r="W42" i="4"/>
  <c r="X44" i="4"/>
  <c r="W44" i="4"/>
  <c r="W29" i="5"/>
  <c r="W27" i="5"/>
  <c r="X29" i="5"/>
  <c r="X27" i="5"/>
  <c r="W50" i="5"/>
  <c r="X48" i="5"/>
  <c r="W48" i="5"/>
  <c r="X50" i="5"/>
  <c r="X22" i="2"/>
  <c r="X24" i="2"/>
  <c r="W24" i="2"/>
  <c r="W22" i="2"/>
  <c r="X10" i="4"/>
  <c r="X8" i="4"/>
  <c r="W10" i="4"/>
  <c r="W8" i="4"/>
  <c r="W94" i="4"/>
  <c r="X94" i="4"/>
  <c r="X92" i="4"/>
  <c r="W92" i="4"/>
  <c r="Y17" i="1"/>
  <c r="W17" i="1"/>
  <c r="Y19" i="1"/>
  <c r="X19" i="1"/>
  <c r="W19" i="1"/>
  <c r="X17" i="1"/>
  <c r="X228" i="1"/>
  <c r="Y230" i="1"/>
  <c r="X230" i="1"/>
  <c r="W230" i="1"/>
  <c r="Y228" i="1"/>
  <c r="W228" i="1"/>
  <c r="X195" i="5"/>
  <c r="W195" i="5"/>
  <c r="W193" i="5"/>
  <c r="X193" i="5"/>
  <c r="X33" i="3"/>
  <c r="X35" i="3"/>
  <c r="W35" i="3"/>
  <c r="W33" i="3"/>
  <c r="Y47" i="1"/>
  <c r="X47" i="1"/>
  <c r="W47" i="1"/>
  <c r="Y53" i="1"/>
  <c r="Y88" i="1"/>
  <c r="X88" i="1"/>
  <c r="W88" i="1"/>
  <c r="X120" i="1"/>
  <c r="W120" i="1"/>
  <c r="X118" i="1"/>
  <c r="W118" i="1"/>
  <c r="Y184" i="1"/>
  <c r="X184" i="1"/>
  <c r="W184" i="1"/>
  <c r="Y262" i="1"/>
  <c r="W24" i="3"/>
  <c r="X75" i="4"/>
  <c r="W75" i="4"/>
  <c r="W123" i="4"/>
  <c r="X123" i="4"/>
  <c r="W125" i="4"/>
  <c r="X327" i="5"/>
  <c r="W327" i="5"/>
  <c r="W329" i="5"/>
  <c r="X329" i="5"/>
  <c r="W2" i="1"/>
  <c r="Y5" i="1"/>
  <c r="Y10" i="1"/>
  <c r="Y33" i="1"/>
  <c r="W54" i="1"/>
  <c r="AA73" i="1"/>
  <c r="W80" i="1"/>
  <c r="Y100" i="1"/>
  <c r="X98" i="1"/>
  <c r="W98" i="1"/>
  <c r="Y118" i="1"/>
  <c r="Y149" i="1"/>
  <c r="X149" i="1"/>
  <c r="W149" i="1"/>
  <c r="X165" i="1"/>
  <c r="W165" i="1"/>
  <c r="X163" i="1"/>
  <c r="W163" i="1"/>
  <c r="W182" i="1"/>
  <c r="Y194" i="1"/>
  <c r="X194" i="1"/>
  <c r="W194" i="1"/>
  <c r="Y204" i="1"/>
  <c r="X204" i="1"/>
  <c r="W204" i="1"/>
  <c r="Y214" i="1"/>
  <c r="X214" i="1"/>
  <c r="W214" i="1"/>
  <c r="X242" i="1"/>
  <c r="W265" i="1"/>
  <c r="W263" i="1"/>
  <c r="Y265" i="1"/>
  <c r="X265" i="1"/>
  <c r="Y263" i="1"/>
  <c r="X263" i="1"/>
  <c r="Y325" i="1"/>
  <c r="Y327" i="1"/>
  <c r="X327" i="1"/>
  <c r="W327" i="1"/>
  <c r="W10" i="3"/>
  <c r="X10" i="3"/>
  <c r="W73" i="4"/>
  <c r="X125" i="4"/>
  <c r="W37" i="5"/>
  <c r="X39" i="5"/>
  <c r="W39" i="5"/>
  <c r="X82" i="5"/>
  <c r="W82" i="5"/>
  <c r="W84" i="5"/>
  <c r="X84" i="5"/>
  <c r="W183" i="5"/>
  <c r="X185" i="5"/>
  <c r="X183" i="5"/>
  <c r="W185" i="5"/>
  <c r="Y74" i="1"/>
  <c r="X74" i="1"/>
  <c r="W74" i="1"/>
  <c r="X2" i="1"/>
  <c r="W48" i="1"/>
  <c r="Y69" i="1"/>
  <c r="X69" i="1"/>
  <c r="W69" i="1"/>
  <c r="W90" i="1"/>
  <c r="Y98" i="1"/>
  <c r="W104" i="1"/>
  <c r="Y114" i="1"/>
  <c r="X114" i="1"/>
  <c r="W114" i="1"/>
  <c r="Y120" i="1"/>
  <c r="X130" i="1"/>
  <c r="W130" i="1"/>
  <c r="X128" i="1"/>
  <c r="W128" i="1"/>
  <c r="W147" i="1"/>
  <c r="Y163" i="1"/>
  <c r="X182" i="1"/>
  <c r="W192" i="1"/>
  <c r="W202" i="1"/>
  <c r="W212" i="1"/>
  <c r="Y242" i="1"/>
  <c r="W255" i="1"/>
  <c r="Y255" i="1"/>
  <c r="X255" i="1"/>
  <c r="Y253" i="1"/>
  <c r="X253" i="1"/>
  <c r="W253" i="1"/>
  <c r="Y295" i="1"/>
  <c r="X297" i="1"/>
  <c r="W295" i="1"/>
  <c r="Y297" i="1"/>
  <c r="W32" i="2"/>
  <c r="W8" i="3"/>
  <c r="X59" i="4"/>
  <c r="X57" i="4"/>
  <c r="W59" i="4"/>
  <c r="X73" i="4"/>
  <c r="X37" i="5"/>
  <c r="X25" i="1"/>
  <c r="W25" i="1"/>
  <c r="X30" i="1"/>
  <c r="W30" i="1"/>
  <c r="W55" i="1"/>
  <c r="X90" i="1"/>
  <c r="Y159" i="1"/>
  <c r="X159" i="1"/>
  <c r="W159" i="1"/>
  <c r="X175" i="1"/>
  <c r="W175" i="1"/>
  <c r="X173" i="1"/>
  <c r="W173" i="1"/>
  <c r="Y182" i="1"/>
  <c r="W223" i="1"/>
  <c r="Y225" i="1"/>
  <c r="X225" i="1"/>
  <c r="W225" i="1"/>
  <c r="Y223" i="1"/>
  <c r="X233" i="1"/>
  <c r="Y235" i="1"/>
  <c r="X235" i="1"/>
  <c r="W235" i="1"/>
  <c r="Y245" i="1"/>
  <c r="X245" i="1"/>
  <c r="W245" i="1"/>
  <c r="Y243" i="1"/>
  <c r="X243" i="1"/>
  <c r="W243" i="1"/>
  <c r="X267" i="1"/>
  <c r="W267" i="1"/>
  <c r="Y269" i="1"/>
  <c r="X269" i="1"/>
  <c r="W269" i="1"/>
  <c r="W315" i="1"/>
  <c r="W317" i="1"/>
  <c r="Y315" i="1"/>
  <c r="X315" i="1"/>
  <c r="Y320" i="1"/>
  <c r="X320" i="1"/>
  <c r="W320" i="1"/>
  <c r="X322" i="1"/>
  <c r="W322" i="1"/>
  <c r="W37" i="2"/>
  <c r="W39" i="2"/>
  <c r="X37" i="2"/>
  <c r="X29" i="3"/>
  <c r="X27" i="3"/>
  <c r="W29" i="3"/>
  <c r="W27" i="3"/>
  <c r="X108" i="4"/>
  <c r="W108" i="4"/>
  <c r="X110" i="4"/>
  <c r="X2" i="5"/>
  <c r="W2" i="5"/>
  <c r="W4" i="5"/>
  <c r="X4" i="5"/>
  <c r="W70" i="5"/>
  <c r="X68" i="5"/>
  <c r="W68" i="5"/>
  <c r="W83" i="5"/>
  <c r="W85" i="5"/>
  <c r="X85" i="5"/>
  <c r="X122" i="5"/>
  <c r="W122" i="5"/>
  <c r="W124" i="5"/>
  <c r="X124" i="5"/>
  <c r="W169" i="5"/>
  <c r="W167" i="5"/>
  <c r="X167" i="5"/>
  <c r="X202" i="5"/>
  <c r="W202" i="5"/>
  <c r="W204" i="5"/>
  <c r="X204" i="5"/>
  <c r="B192" i="9"/>
  <c r="W7" i="1"/>
  <c r="X12" i="1"/>
  <c r="W23" i="1"/>
  <c r="W28" i="1"/>
  <c r="Y39" i="1"/>
  <c r="X39" i="1"/>
  <c r="W39" i="1"/>
  <c r="X42" i="1"/>
  <c r="W49" i="1"/>
  <c r="X55" i="1"/>
  <c r="X67" i="1"/>
  <c r="W73" i="1"/>
  <c r="Y84" i="1"/>
  <c r="W84" i="1"/>
  <c r="Y90" i="1"/>
  <c r="X112" i="1"/>
  <c r="Y124" i="1"/>
  <c r="X124" i="1"/>
  <c r="W124" i="1"/>
  <c r="Y130" i="1"/>
  <c r="X140" i="1"/>
  <c r="W140" i="1"/>
  <c r="X138" i="1"/>
  <c r="W138" i="1"/>
  <c r="Y147" i="1"/>
  <c r="W157" i="1"/>
  <c r="Y173" i="1"/>
  <c r="Y192" i="1"/>
  <c r="Y202" i="1"/>
  <c r="Y212" i="1"/>
  <c r="X223" i="1"/>
  <c r="W233" i="1"/>
  <c r="Y267" i="1"/>
  <c r="W305" i="1"/>
  <c r="X305" i="1"/>
  <c r="W328" i="1"/>
  <c r="W326" i="1"/>
  <c r="Y328" i="1"/>
  <c r="X328" i="1"/>
  <c r="Y326" i="1"/>
  <c r="X326" i="1"/>
  <c r="X30" i="3"/>
  <c r="W30" i="3"/>
  <c r="X28" i="3"/>
  <c r="X30" i="4"/>
  <c r="X28" i="4"/>
  <c r="W30" i="4"/>
  <c r="W28" i="4"/>
  <c r="X70" i="5"/>
  <c r="X83" i="5"/>
  <c r="W110" i="5"/>
  <c r="X108" i="5"/>
  <c r="W108" i="5"/>
  <c r="W170" i="5"/>
  <c r="X168" i="5"/>
  <c r="W168" i="5"/>
  <c r="X170" i="5"/>
  <c r="X54" i="1"/>
  <c r="Y52" i="1"/>
  <c r="X52" i="1"/>
  <c r="W52" i="1"/>
  <c r="W18" i="1"/>
  <c r="Y20" i="1"/>
  <c r="X20" i="1"/>
  <c r="W62" i="1"/>
  <c r="Y64" i="1"/>
  <c r="Y169" i="1"/>
  <c r="X169" i="1"/>
  <c r="W169" i="1"/>
  <c r="X185" i="1"/>
  <c r="W185" i="1"/>
  <c r="X183" i="1"/>
  <c r="W183" i="1"/>
  <c r="Y268" i="1"/>
  <c r="Y270" i="1"/>
  <c r="X270" i="1"/>
  <c r="W270" i="1"/>
  <c r="X27" i="2"/>
  <c r="X29" i="2"/>
  <c r="W29" i="2"/>
  <c r="X12" i="3"/>
  <c r="X14" i="3"/>
  <c r="W14" i="3"/>
  <c r="X19" i="4"/>
  <c r="X17" i="4"/>
  <c r="X34" i="4"/>
  <c r="W34" i="4"/>
  <c r="W58" i="4"/>
  <c r="W60" i="4"/>
  <c r="X58" i="4"/>
  <c r="X80" i="4"/>
  <c r="W80" i="4"/>
  <c r="X78" i="4"/>
  <c r="W78" i="4"/>
  <c r="X134" i="4"/>
  <c r="W134" i="4"/>
  <c r="W3" i="5"/>
  <c r="W5" i="5"/>
  <c r="X5" i="5"/>
  <c r="X22" i="5"/>
  <c r="W22" i="5"/>
  <c r="X24" i="5"/>
  <c r="X300" i="5"/>
  <c r="W300" i="5"/>
  <c r="W298" i="5"/>
  <c r="X319" i="5"/>
  <c r="W319" i="5"/>
  <c r="W317" i="5"/>
  <c r="X317" i="5"/>
  <c r="Y94" i="1"/>
  <c r="W94" i="1"/>
  <c r="Y92" i="1"/>
  <c r="Y7" i="1"/>
  <c r="X18" i="1"/>
  <c r="Y23" i="1"/>
  <c r="Y28" i="1"/>
  <c r="X37" i="1"/>
  <c r="Y49" i="1"/>
  <c r="X59" i="1"/>
  <c r="Y57" i="1"/>
  <c r="X57" i="1"/>
  <c r="W57" i="1"/>
  <c r="X62" i="1"/>
  <c r="X82" i="1"/>
  <c r="W92" i="1"/>
  <c r="X100" i="1"/>
  <c r="X122" i="1"/>
  <c r="Y134" i="1"/>
  <c r="X134" i="1"/>
  <c r="W134" i="1"/>
  <c r="Y140" i="1"/>
  <c r="X150" i="1"/>
  <c r="W150" i="1"/>
  <c r="X148" i="1"/>
  <c r="W148" i="1"/>
  <c r="Y157" i="1"/>
  <c r="W167" i="1"/>
  <c r="Y183" i="1"/>
  <c r="Y195" i="1"/>
  <c r="X195" i="1"/>
  <c r="W195" i="1"/>
  <c r="X193" i="1"/>
  <c r="W193" i="1"/>
  <c r="Y205" i="1"/>
  <c r="X205" i="1"/>
  <c r="W205" i="1"/>
  <c r="X203" i="1"/>
  <c r="W203" i="1"/>
  <c r="Y215" i="1"/>
  <c r="X215" i="1"/>
  <c r="W215" i="1"/>
  <c r="X213" i="1"/>
  <c r="W213" i="1"/>
  <c r="W268" i="1"/>
  <c r="Y313" i="1"/>
  <c r="X313" i="1"/>
  <c r="W313" i="1"/>
  <c r="W15" i="2"/>
  <c r="W27" i="2"/>
  <c r="W12" i="3"/>
  <c r="W17" i="4"/>
  <c r="W32" i="4"/>
  <c r="X60" i="4"/>
  <c r="W114" i="4"/>
  <c r="W112" i="4"/>
  <c r="X114" i="4"/>
  <c r="X112" i="4"/>
  <c r="W132" i="4"/>
  <c r="X3" i="5"/>
  <c r="X74" i="5"/>
  <c r="W72" i="5"/>
  <c r="W74" i="5"/>
  <c r="X110" i="5"/>
  <c r="X172" i="5"/>
  <c r="W172" i="5"/>
  <c r="X174" i="5"/>
  <c r="W174" i="5"/>
  <c r="X298" i="5"/>
  <c r="X7" i="1"/>
  <c r="Y18" i="1"/>
  <c r="Y30" i="1"/>
  <c r="Y37" i="1"/>
  <c r="W45" i="1"/>
  <c r="Y43" i="1"/>
  <c r="X43" i="1"/>
  <c r="W43" i="1"/>
  <c r="Y62" i="1"/>
  <c r="X70" i="1"/>
  <c r="W70" i="1"/>
  <c r="Y82" i="1"/>
  <c r="X92" i="1"/>
  <c r="W107" i="1"/>
  <c r="Y109" i="1"/>
  <c r="W109" i="1"/>
  <c r="X115" i="1"/>
  <c r="W115" i="1"/>
  <c r="X113" i="1"/>
  <c r="W113" i="1"/>
  <c r="Y122" i="1"/>
  <c r="W132" i="1"/>
  <c r="Y148" i="1"/>
  <c r="X167" i="1"/>
  <c r="Y179" i="1"/>
  <c r="X179" i="1"/>
  <c r="W179" i="1"/>
  <c r="Y185" i="1"/>
  <c r="Y193" i="1"/>
  <c r="Y203" i="1"/>
  <c r="Y213" i="1"/>
  <c r="W237" i="1"/>
  <c r="Y237" i="1"/>
  <c r="X237" i="1"/>
  <c r="Y239" i="1"/>
  <c r="X239" i="1"/>
  <c r="W239" i="1"/>
  <c r="X268" i="1"/>
  <c r="W311" i="1"/>
  <c r="X13" i="3"/>
  <c r="X15" i="3"/>
  <c r="W15" i="3"/>
  <c r="W13" i="3"/>
  <c r="X3" i="4"/>
  <c r="X5" i="4"/>
  <c r="W5" i="4"/>
  <c r="W3" i="4"/>
  <c r="X32" i="4"/>
  <c r="X62" i="4"/>
  <c r="W64" i="4"/>
  <c r="W62" i="4"/>
  <c r="X82" i="4"/>
  <c r="W84" i="4"/>
  <c r="X84" i="4"/>
  <c r="X132" i="4"/>
  <c r="X72" i="5"/>
  <c r="W157" i="5"/>
  <c r="W159" i="5"/>
  <c r="X159" i="5"/>
  <c r="X367" i="5"/>
  <c r="W367" i="5"/>
  <c r="X369" i="5"/>
  <c r="W369" i="5"/>
  <c r="Y55" i="1"/>
  <c r="W24" i="1"/>
  <c r="AA38" i="1"/>
  <c r="AA43" i="1"/>
  <c r="W75" i="1"/>
  <c r="Y83" i="1"/>
  <c r="X83" i="1"/>
  <c r="W83" i="1"/>
  <c r="Y95" i="1"/>
  <c r="Y93" i="1"/>
  <c r="X93" i="1"/>
  <c r="W93" i="1"/>
  <c r="Y144" i="1"/>
  <c r="X144" i="1"/>
  <c r="W144" i="1"/>
  <c r="X160" i="1"/>
  <c r="W160" i="1"/>
  <c r="X158" i="1"/>
  <c r="W158" i="1"/>
  <c r="Y167" i="1"/>
  <c r="X258" i="1"/>
  <c r="Y260" i="1"/>
  <c r="X260" i="1"/>
  <c r="W260" i="1"/>
  <c r="Y258" i="1"/>
  <c r="X19" i="3"/>
  <c r="W19" i="3"/>
  <c r="X35" i="4"/>
  <c r="X33" i="4"/>
  <c r="W35" i="4"/>
  <c r="X50" i="4"/>
  <c r="X48" i="4"/>
  <c r="W50" i="4"/>
  <c r="X63" i="4"/>
  <c r="W63" i="4"/>
  <c r="X98" i="4"/>
  <c r="W98" i="4"/>
  <c r="W9" i="5"/>
  <c r="W7" i="5"/>
  <c r="X7" i="5"/>
  <c r="X9" i="5"/>
  <c r="W24" i="5"/>
  <c r="W94" i="5"/>
  <c r="X92" i="5"/>
  <c r="W92" i="5"/>
  <c r="X157" i="5"/>
  <c r="W355" i="5"/>
  <c r="X353" i="5"/>
  <c r="W353" i="5"/>
  <c r="W3" i="1"/>
  <c r="W8" i="1"/>
  <c r="X44" i="1"/>
  <c r="X75" i="1"/>
  <c r="X94" i="1"/>
  <c r="X125" i="1"/>
  <c r="W125" i="1"/>
  <c r="X123" i="1"/>
  <c r="W123" i="1"/>
  <c r="W142" i="1"/>
  <c r="Y189" i="1"/>
  <c r="X189" i="1"/>
  <c r="W189" i="1"/>
  <c r="Y199" i="1"/>
  <c r="X199" i="1"/>
  <c r="W199" i="1"/>
  <c r="Y209" i="1"/>
  <c r="X209" i="1"/>
  <c r="W209" i="1"/>
  <c r="X217" i="1"/>
  <c r="Y219" i="1"/>
  <c r="X219" i="1"/>
  <c r="W258" i="1"/>
  <c r="X301" i="1"/>
  <c r="Y303" i="1"/>
  <c r="X303" i="1"/>
  <c r="W303" i="1"/>
  <c r="Y301" i="1"/>
  <c r="X39" i="2"/>
  <c r="W17" i="3"/>
  <c r="W33" i="4"/>
  <c r="W48" i="4"/>
  <c r="X83" i="4"/>
  <c r="X85" i="4"/>
  <c r="W85" i="4"/>
  <c r="X135" i="4"/>
  <c r="W135" i="4"/>
  <c r="W133" i="4"/>
  <c r="X133" i="4"/>
  <c r="W10" i="5"/>
  <c r="X8" i="5"/>
  <c r="W8" i="5"/>
  <c r="X10" i="5"/>
  <c r="X287" i="5"/>
  <c r="W287" i="5"/>
  <c r="X289" i="5"/>
  <c r="W289" i="5"/>
  <c r="AA18" i="1"/>
  <c r="Y34" i="1"/>
  <c r="X34" i="1"/>
  <c r="W34" i="1"/>
  <c r="W50" i="1"/>
  <c r="W14" i="1"/>
  <c r="W32" i="1"/>
  <c r="Y44" i="1"/>
  <c r="X50" i="1"/>
  <c r="Y68" i="1"/>
  <c r="Y75" i="1"/>
  <c r="W85" i="1"/>
  <c r="Y123" i="1"/>
  <c r="X142" i="1"/>
  <c r="Y154" i="1"/>
  <c r="X154" i="1"/>
  <c r="W154" i="1"/>
  <c r="Y160" i="1"/>
  <c r="X170" i="1"/>
  <c r="W170" i="1"/>
  <c r="X168" i="1"/>
  <c r="W168" i="1"/>
  <c r="Y177" i="1"/>
  <c r="W187" i="1"/>
  <c r="W197" i="1"/>
  <c r="W207" i="1"/>
  <c r="W217" i="1"/>
  <c r="W301" i="1"/>
  <c r="W2" i="2"/>
  <c r="X17" i="3"/>
  <c r="W19" i="4"/>
  <c r="X39" i="4"/>
  <c r="X37" i="4"/>
  <c r="W39" i="4"/>
  <c r="W37" i="4"/>
  <c r="W65" i="4"/>
  <c r="W83" i="4"/>
  <c r="W100" i="4"/>
  <c r="W117" i="4"/>
  <c r="X119" i="4"/>
  <c r="W119" i="4"/>
  <c r="X117" i="4"/>
  <c r="X94" i="5"/>
  <c r="W130" i="5"/>
  <c r="X128" i="5"/>
  <c r="W128" i="5"/>
  <c r="X130" i="5"/>
  <c r="W209" i="5"/>
  <c r="W207" i="5"/>
  <c r="X207" i="5"/>
  <c r="X209" i="5"/>
  <c r="X337" i="5"/>
  <c r="X339" i="5"/>
  <c r="W339" i="5"/>
  <c r="W337" i="5"/>
  <c r="X355" i="5"/>
  <c r="Y79" i="1"/>
  <c r="W79" i="1"/>
  <c r="Y102" i="1"/>
  <c r="X102" i="1"/>
  <c r="W102" i="1"/>
  <c r="Y104" i="1"/>
  <c r="W108" i="1"/>
  <c r="X110" i="1"/>
  <c r="W110" i="1"/>
  <c r="Y108" i="1"/>
  <c r="Y119" i="1"/>
  <c r="X119" i="1"/>
  <c r="W119" i="1"/>
  <c r="Y125" i="1"/>
  <c r="X135" i="1"/>
  <c r="W135" i="1"/>
  <c r="X133" i="1"/>
  <c r="W133" i="1"/>
  <c r="Y142" i="1"/>
  <c r="W152" i="1"/>
  <c r="Y168" i="1"/>
  <c r="X187" i="1"/>
  <c r="X197" i="1"/>
  <c r="X207" i="1"/>
  <c r="Y217" i="1"/>
  <c r="W307" i="1"/>
  <c r="X317" i="1"/>
  <c r="X2" i="2"/>
  <c r="W34" i="2"/>
  <c r="X20" i="3"/>
  <c r="X18" i="3"/>
  <c r="W18" i="3"/>
  <c r="X65" i="4"/>
  <c r="X89" i="4"/>
  <c r="W89" i="4"/>
  <c r="X87" i="4"/>
  <c r="W87" i="4"/>
  <c r="X100" i="4"/>
  <c r="W240" i="5"/>
  <c r="X240" i="5"/>
  <c r="X238" i="5"/>
  <c r="W238" i="5"/>
  <c r="X262" i="5"/>
  <c r="W262" i="5"/>
  <c r="W264" i="5"/>
  <c r="X264" i="5"/>
  <c r="Y164" i="1"/>
  <c r="X164" i="1"/>
  <c r="W164" i="1"/>
  <c r="X180" i="1"/>
  <c r="W180" i="1"/>
  <c r="X178" i="1"/>
  <c r="W178" i="1"/>
  <c r="Y220" i="1"/>
  <c r="X220" i="1"/>
  <c r="W220" i="1"/>
  <c r="Y218" i="1"/>
  <c r="X218" i="1"/>
  <c r="X5" i="2"/>
  <c r="W5" i="2"/>
  <c r="X3" i="2"/>
  <c r="W3" i="2"/>
  <c r="W2" i="3"/>
  <c r="X4" i="3"/>
  <c r="W4" i="3"/>
  <c r="X2" i="3"/>
  <c r="W67" i="4"/>
  <c r="X69" i="4"/>
  <c r="W69" i="4"/>
  <c r="X67" i="4"/>
  <c r="X102" i="4"/>
  <c r="X104" i="4"/>
  <c r="W102" i="4"/>
  <c r="W30" i="5"/>
  <c r="X28" i="5"/>
  <c r="W28" i="5"/>
  <c r="X30" i="5"/>
  <c r="W49" i="5"/>
  <c r="W47" i="5"/>
  <c r="X47" i="5"/>
  <c r="W97" i="5"/>
  <c r="X97" i="5"/>
  <c r="X99" i="5"/>
  <c r="W99" i="5"/>
  <c r="W149" i="5"/>
  <c r="W147" i="5"/>
  <c r="X149" i="5"/>
  <c r="X147" i="5"/>
  <c r="W374" i="5"/>
  <c r="W372" i="5"/>
  <c r="X374" i="5"/>
  <c r="X372" i="5"/>
  <c r="Y89" i="1"/>
  <c r="W89" i="1"/>
  <c r="Y87" i="1"/>
  <c r="Y129" i="1"/>
  <c r="X129" i="1"/>
  <c r="W129" i="1"/>
  <c r="X145" i="1"/>
  <c r="W145" i="1"/>
  <c r="X143" i="1"/>
  <c r="W143" i="1"/>
  <c r="W162" i="1"/>
  <c r="Y264" i="1"/>
  <c r="W264" i="1"/>
  <c r="X22" i="3"/>
  <c r="W22" i="3"/>
  <c r="X23" i="4"/>
  <c r="X25" i="4"/>
  <c r="X70" i="4"/>
  <c r="X68" i="4"/>
  <c r="W70" i="4"/>
  <c r="X15" i="5"/>
  <c r="W15" i="5"/>
  <c r="W13" i="5"/>
  <c r="X34" i="5"/>
  <c r="W34" i="5"/>
  <c r="X32" i="5"/>
  <c r="W32" i="5"/>
  <c r="W100" i="5"/>
  <c r="X98" i="5"/>
  <c r="W98" i="5"/>
  <c r="X100" i="5"/>
  <c r="W20" i="1"/>
  <c r="Y29" i="1"/>
  <c r="X29" i="1"/>
  <c r="W29" i="1"/>
  <c r="X35" i="1"/>
  <c r="W35" i="1"/>
  <c r="W53" i="1"/>
  <c r="W72" i="1"/>
  <c r="Y77" i="1"/>
  <c r="W87" i="1"/>
  <c r="Y105" i="1"/>
  <c r="X105" i="1"/>
  <c r="W105" i="1"/>
  <c r="Y117" i="1"/>
  <c r="W127" i="1"/>
  <c r="Y143" i="1"/>
  <c r="X162" i="1"/>
  <c r="Y174" i="1"/>
  <c r="X174" i="1"/>
  <c r="W174" i="1"/>
  <c r="Y180" i="1"/>
  <c r="Y190" i="1"/>
  <c r="X190" i="1"/>
  <c r="W190" i="1"/>
  <c r="X188" i="1"/>
  <c r="W188" i="1"/>
  <c r="Y200" i="1"/>
  <c r="X200" i="1"/>
  <c r="W200" i="1"/>
  <c r="X198" i="1"/>
  <c r="W198" i="1"/>
  <c r="Y210" i="1"/>
  <c r="X210" i="1"/>
  <c r="W210" i="1"/>
  <c r="X208" i="1"/>
  <c r="W208" i="1"/>
  <c r="Y254" i="1"/>
  <c r="X254" i="1"/>
  <c r="W262" i="1"/>
  <c r="W23" i="4"/>
  <c r="W68" i="4"/>
  <c r="X13" i="5"/>
  <c r="X102" i="5"/>
  <c r="W102" i="5"/>
  <c r="X104" i="5"/>
  <c r="W104" i="5"/>
  <c r="X135" i="5"/>
  <c r="W135" i="5"/>
  <c r="W133" i="5"/>
  <c r="Y22" i="1"/>
  <c r="W22" i="1"/>
  <c r="Y24" i="1"/>
  <c r="W27" i="1"/>
  <c r="W33" i="1"/>
  <c r="X72" i="1"/>
  <c r="Y78" i="1"/>
  <c r="X78" i="1"/>
  <c r="W78" i="1"/>
  <c r="X87" i="1"/>
  <c r="W103" i="1"/>
  <c r="X127" i="1"/>
  <c r="Y139" i="1"/>
  <c r="X139" i="1"/>
  <c r="W139" i="1"/>
  <c r="Y145" i="1"/>
  <c r="X155" i="1"/>
  <c r="W155" i="1"/>
  <c r="X153" i="1"/>
  <c r="W153" i="1"/>
  <c r="Y162" i="1"/>
  <c r="W172" i="1"/>
  <c r="Y188" i="1"/>
  <c r="Y198" i="1"/>
  <c r="Y208" i="1"/>
  <c r="X222" i="1"/>
  <c r="Y224" i="1"/>
  <c r="W224" i="1"/>
  <c r="Y244" i="1"/>
  <c r="X244" i="1"/>
  <c r="W252" i="1"/>
  <c r="X262" i="1"/>
  <c r="W13" i="2"/>
  <c r="X9" i="3"/>
  <c r="X7" i="3"/>
  <c r="W7" i="3"/>
  <c r="X14" i="4"/>
  <c r="W14" i="4"/>
  <c r="X12" i="4"/>
  <c r="W12" i="4"/>
  <c r="X74" i="4"/>
  <c r="X72" i="4"/>
  <c r="W72" i="4"/>
  <c r="W104" i="4"/>
  <c r="X49" i="5"/>
  <c r="X133" i="5"/>
  <c r="X182" i="5"/>
  <c r="W182" i="5"/>
  <c r="X184" i="5"/>
  <c r="W184" i="5"/>
  <c r="W345" i="5"/>
  <c r="W343" i="5"/>
  <c r="X343" i="5"/>
  <c r="X345" i="5"/>
  <c r="W17" i="5"/>
  <c r="X19" i="5"/>
  <c r="X17" i="5"/>
  <c r="X75" i="5"/>
  <c r="W75" i="5"/>
  <c r="W73" i="5"/>
  <c r="W112" i="5"/>
  <c r="X114" i="5"/>
  <c r="W137" i="5"/>
  <c r="X139" i="5"/>
  <c r="W249" i="5"/>
  <c r="W247" i="5"/>
  <c r="X249" i="5"/>
  <c r="W229" i="1"/>
  <c r="W234" i="1"/>
  <c r="W259" i="1"/>
  <c r="X18" i="2"/>
  <c r="W28" i="2"/>
  <c r="X79" i="4"/>
  <c r="X77" i="4"/>
  <c r="W52" i="5"/>
  <c r="W63" i="5"/>
  <c r="X65" i="5"/>
  <c r="X73" i="5"/>
  <c r="X112" i="5"/>
  <c r="X137" i="5"/>
  <c r="X175" i="5"/>
  <c r="W175" i="5"/>
  <c r="W173" i="5"/>
  <c r="W200" i="5"/>
  <c r="W198" i="5"/>
  <c r="X247" i="5"/>
  <c r="W280" i="5"/>
  <c r="X280" i="5"/>
  <c r="X278" i="5"/>
  <c r="W278" i="5"/>
  <c r="X229" i="1"/>
  <c r="X234" i="1"/>
  <c r="W249" i="1"/>
  <c r="X259" i="1"/>
  <c r="W23" i="2"/>
  <c r="X28" i="2"/>
  <c r="W3" i="3"/>
  <c r="X18" i="4"/>
  <c r="X27" i="4"/>
  <c r="W43" i="4"/>
  <c r="W52" i="4"/>
  <c r="W77" i="4"/>
  <c r="X115" i="4"/>
  <c r="W115" i="4"/>
  <c r="W113" i="4"/>
  <c r="X55" i="5"/>
  <c r="W55" i="5"/>
  <c r="W53" i="5"/>
  <c r="W89" i="5"/>
  <c r="W87" i="5"/>
  <c r="X87" i="5"/>
  <c r="W150" i="5"/>
  <c r="X148" i="5"/>
  <c r="W148" i="5"/>
  <c r="X162" i="5"/>
  <c r="W162" i="5"/>
  <c r="W189" i="5"/>
  <c r="W187" i="5"/>
  <c r="X189" i="5"/>
  <c r="W250" i="5"/>
  <c r="X248" i="5"/>
  <c r="W248" i="5"/>
  <c r="X250" i="5"/>
  <c r="W305" i="5"/>
  <c r="X305" i="5"/>
  <c r="X303" i="5"/>
  <c r="W303" i="5"/>
  <c r="X320" i="5"/>
  <c r="W320" i="5"/>
  <c r="W318" i="5"/>
  <c r="X318" i="5"/>
  <c r="X42" i="5"/>
  <c r="W42" i="5"/>
  <c r="W44" i="5"/>
  <c r="W90" i="5"/>
  <c r="X88" i="5"/>
  <c r="W88" i="5"/>
  <c r="X90" i="5"/>
  <c r="X115" i="5"/>
  <c r="W115" i="5"/>
  <c r="W113" i="5"/>
  <c r="X113" i="5"/>
  <c r="W140" i="5"/>
  <c r="X138" i="5"/>
  <c r="X212" i="5"/>
  <c r="W214" i="5"/>
  <c r="W223" i="5"/>
  <c r="X225" i="5"/>
  <c r="X223" i="5"/>
  <c r="W254" i="5"/>
  <c r="X252" i="5"/>
  <c r="W252" i="5"/>
  <c r="W269" i="5"/>
  <c r="W267" i="5"/>
  <c r="X269" i="5"/>
  <c r="X267" i="5"/>
  <c r="W375" i="5"/>
  <c r="X373" i="5"/>
  <c r="W373" i="5"/>
  <c r="X375" i="5"/>
  <c r="Y249" i="1"/>
  <c r="X312" i="1"/>
  <c r="X316" i="1"/>
  <c r="W323" i="1"/>
  <c r="X37" i="3"/>
  <c r="W20" i="4"/>
  <c r="W129" i="4"/>
  <c r="W127" i="4"/>
  <c r="X129" i="4"/>
  <c r="X18" i="5"/>
  <c r="W54" i="5"/>
  <c r="X89" i="5"/>
  <c r="W114" i="5"/>
  <c r="W138" i="5"/>
  <c r="X200" i="5"/>
  <c r="W212" i="5"/>
  <c r="X255" i="5"/>
  <c r="W255" i="5"/>
  <c r="W253" i="5"/>
  <c r="X253" i="5"/>
  <c r="W335" i="5"/>
  <c r="X333" i="5"/>
  <c r="W333" i="5"/>
  <c r="X379" i="5"/>
  <c r="W379" i="5"/>
  <c r="X377" i="5"/>
  <c r="W377" i="5"/>
  <c r="W302" i="1"/>
  <c r="W306" i="1"/>
  <c r="Y312" i="1"/>
  <c r="Y316" i="1"/>
  <c r="X323" i="1"/>
  <c r="W4" i="4"/>
  <c r="W45" i="4"/>
  <c r="W53" i="4"/>
  <c r="X99" i="4"/>
  <c r="X97" i="4"/>
  <c r="W105" i="4"/>
  <c r="X127" i="4"/>
  <c r="W19" i="5"/>
  <c r="X54" i="5"/>
  <c r="W65" i="5"/>
  <c r="W129" i="5"/>
  <c r="W127" i="5"/>
  <c r="W139" i="5"/>
  <c r="W190" i="5"/>
  <c r="X188" i="5"/>
  <c r="W188" i="5"/>
  <c r="X215" i="5"/>
  <c r="W215" i="5"/>
  <c r="W213" i="5"/>
  <c r="W225" i="5"/>
  <c r="X254" i="5"/>
  <c r="W270" i="5"/>
  <c r="X268" i="5"/>
  <c r="W268" i="5"/>
  <c r="X270" i="5"/>
  <c r="X307" i="5"/>
  <c r="W307" i="5"/>
  <c r="X309" i="5"/>
  <c r="X380" i="5"/>
  <c r="W380" i="5"/>
  <c r="W378" i="5"/>
  <c r="X378" i="5"/>
  <c r="B112" i="9"/>
  <c r="C137" i="9"/>
  <c r="F15" i="11"/>
  <c r="X302" i="1"/>
  <c r="X306" i="1"/>
  <c r="Y323" i="1"/>
  <c r="X25" i="2"/>
  <c r="W5" i="3"/>
  <c r="X40" i="3"/>
  <c r="X38" i="3"/>
  <c r="X49" i="3"/>
  <c r="X47" i="3"/>
  <c r="X4" i="4"/>
  <c r="W29" i="4"/>
  <c r="X45" i="4"/>
  <c r="X53" i="4"/>
  <c r="W97" i="4"/>
  <c r="X105" i="4"/>
  <c r="W140" i="4"/>
  <c r="W138" i="4"/>
  <c r="X20" i="5"/>
  <c r="W103" i="5"/>
  <c r="X105" i="5"/>
  <c r="X103" i="5"/>
  <c r="X127" i="5"/>
  <c r="X140" i="5"/>
  <c r="X152" i="5"/>
  <c r="W164" i="5"/>
  <c r="W177" i="5"/>
  <c r="X179" i="5"/>
  <c r="X177" i="5"/>
  <c r="X190" i="5"/>
  <c r="X213" i="5"/>
  <c r="W229" i="5"/>
  <c r="W227" i="5"/>
  <c r="X335" i="5"/>
  <c r="W348" i="5"/>
  <c r="X350" i="5"/>
  <c r="W350" i="5"/>
  <c r="X348" i="5"/>
  <c r="Y302" i="1"/>
  <c r="Y306" i="1"/>
  <c r="X12" i="2"/>
  <c r="W14" i="2"/>
  <c r="W54" i="4"/>
  <c r="W79" i="4"/>
  <c r="X90" i="4"/>
  <c r="X88" i="4"/>
  <c r="W130" i="4"/>
  <c r="X128" i="4"/>
  <c r="W128" i="4"/>
  <c r="X44" i="5"/>
  <c r="W57" i="5"/>
  <c r="X57" i="5"/>
  <c r="X59" i="5"/>
  <c r="W69" i="5"/>
  <c r="W67" i="5"/>
  <c r="X69" i="5"/>
  <c r="W80" i="5"/>
  <c r="X80" i="5"/>
  <c r="W78" i="5"/>
  <c r="X164" i="5"/>
  <c r="W180" i="5"/>
  <c r="X178" i="5"/>
  <c r="X214" i="5"/>
  <c r="W257" i="5"/>
  <c r="X259" i="5"/>
  <c r="X272" i="5"/>
  <c r="W272" i="5"/>
  <c r="W308" i="5"/>
  <c r="X310" i="5"/>
  <c r="W310" i="5"/>
  <c r="W365" i="5"/>
  <c r="X365" i="5"/>
  <c r="W382" i="5"/>
  <c r="X384" i="5"/>
  <c r="W310" i="1"/>
  <c r="W12" i="2"/>
  <c r="W39" i="3"/>
  <c r="W22" i="4"/>
  <c r="W88" i="4"/>
  <c r="W107" i="4"/>
  <c r="W120" i="4"/>
  <c r="X118" i="4"/>
  <c r="X130" i="4"/>
  <c r="X35" i="5"/>
  <c r="W35" i="5"/>
  <c r="W33" i="5"/>
  <c r="X33" i="5"/>
  <c r="X67" i="5"/>
  <c r="X78" i="5"/>
  <c r="X142" i="5"/>
  <c r="W142" i="5"/>
  <c r="X144" i="5"/>
  <c r="X155" i="5"/>
  <c r="W155" i="5"/>
  <c r="W153" i="5"/>
  <c r="X153" i="5"/>
  <c r="W178" i="5"/>
  <c r="X194" i="5"/>
  <c r="W194" i="5"/>
  <c r="X257" i="5"/>
  <c r="W295" i="5"/>
  <c r="X293" i="5"/>
  <c r="W293" i="5"/>
  <c r="X295" i="5"/>
  <c r="X308" i="5"/>
  <c r="W354" i="5"/>
  <c r="W352" i="5"/>
  <c r="X352" i="5"/>
  <c r="W363" i="5"/>
  <c r="X382" i="5"/>
  <c r="W20" i="2"/>
  <c r="W30" i="2"/>
  <c r="X95" i="5"/>
  <c r="W95" i="5"/>
  <c r="W93" i="5"/>
  <c r="W109" i="5"/>
  <c r="W107" i="5"/>
  <c r="W120" i="5"/>
  <c r="X120" i="5"/>
  <c r="W217" i="5"/>
  <c r="X217" i="5"/>
  <c r="W230" i="5"/>
  <c r="X228" i="5"/>
  <c r="W228" i="5"/>
  <c r="W260" i="5"/>
  <c r="X260" i="5"/>
  <c r="X258" i="5"/>
  <c r="W258" i="5"/>
  <c r="X275" i="5"/>
  <c r="W275" i="5"/>
  <c r="W273" i="5"/>
  <c r="W282" i="5"/>
  <c r="X284" i="5"/>
  <c r="W284" i="5"/>
  <c r="X363" i="5"/>
  <c r="W385" i="5"/>
  <c r="X385" i="5"/>
  <c r="X383" i="5"/>
  <c r="W383" i="5"/>
  <c r="W227" i="1"/>
  <c r="X232" i="1"/>
  <c r="W8" i="2"/>
  <c r="X20" i="2"/>
  <c r="X23" i="3"/>
  <c r="W32" i="3"/>
  <c r="W40" i="3"/>
  <c r="W7" i="4"/>
  <c r="W90" i="4"/>
  <c r="X12" i="5"/>
  <c r="W23" i="5"/>
  <c r="X25" i="5"/>
  <c r="X23" i="5"/>
  <c r="W58" i="5"/>
  <c r="X93" i="5"/>
  <c r="X107" i="5"/>
  <c r="W118" i="5"/>
  <c r="W134" i="5"/>
  <c r="X132" i="5"/>
  <c r="W143" i="5"/>
  <c r="X143" i="5"/>
  <c r="X180" i="5"/>
  <c r="X242" i="5"/>
  <c r="W242" i="5"/>
  <c r="X244" i="5"/>
  <c r="W244" i="5"/>
  <c r="W259" i="5"/>
  <c r="X273" i="5"/>
  <c r="X282" i="5"/>
  <c r="X297" i="5"/>
  <c r="W297" i="5"/>
  <c r="W314" i="5"/>
  <c r="W312" i="5"/>
  <c r="X314" i="5"/>
  <c r="X312" i="5"/>
  <c r="X340" i="5"/>
  <c r="W340" i="5"/>
  <c r="W338" i="5"/>
  <c r="W384" i="5"/>
  <c r="D15" i="11"/>
  <c r="D14" i="11"/>
  <c r="E15" i="11"/>
  <c r="E14" i="11"/>
  <c r="C182" i="9"/>
  <c r="W308" i="1"/>
  <c r="X34" i="3"/>
  <c r="X62" i="5"/>
  <c r="W62" i="5"/>
  <c r="W160" i="5"/>
  <c r="X160" i="5"/>
  <c r="W158" i="5"/>
  <c r="W210" i="5"/>
  <c r="X208" i="5"/>
  <c r="W208" i="5"/>
  <c r="X220" i="5"/>
  <c r="X299" i="5"/>
  <c r="X222" i="5"/>
  <c r="W222" i="5"/>
  <c r="W294" i="5"/>
  <c r="W292" i="5"/>
  <c r="X347" i="5"/>
  <c r="W347" i="5"/>
  <c r="W232" i="5"/>
  <c r="W283" i="5"/>
  <c r="X292" i="5"/>
  <c r="X302" i="5"/>
  <c r="W357" i="5"/>
  <c r="C37" i="9"/>
  <c r="C117" i="9"/>
  <c r="C197" i="9"/>
  <c r="C107" i="9"/>
  <c r="C187" i="9"/>
  <c r="X235" i="5"/>
  <c r="W235" i="5"/>
  <c r="W233" i="5"/>
  <c r="X360" i="5"/>
  <c r="W360" i="5"/>
  <c r="W358" i="5"/>
  <c r="X224" i="5"/>
  <c r="X233" i="5"/>
  <c r="X285" i="5"/>
  <c r="X349" i="5"/>
  <c r="X358" i="5"/>
  <c r="C97" i="9"/>
  <c r="C177" i="9"/>
  <c r="W315" i="5"/>
  <c r="X313" i="5"/>
  <c r="W313" i="5"/>
  <c r="W334" i="5"/>
  <c r="W332" i="5"/>
  <c r="X387" i="5"/>
  <c r="W387" i="5"/>
  <c r="W79" i="5"/>
  <c r="W125" i="5"/>
  <c r="X304" i="5"/>
  <c r="W323" i="5"/>
  <c r="X332" i="5"/>
  <c r="X342" i="5"/>
  <c r="C87" i="9"/>
  <c r="C167" i="9"/>
  <c r="X315" i="5"/>
  <c r="X323" i="5"/>
  <c r="C14" i="11"/>
  <c r="W199" i="5"/>
  <c r="W245" i="5"/>
  <c r="X263" i="5"/>
  <c r="W324" i="5"/>
  <c r="W370" i="5"/>
  <c r="X388" i="5"/>
  <c r="C77" i="9"/>
  <c r="C157" i="9"/>
  <c r="D20" i="11"/>
  <c r="E20" i="11" s="1"/>
  <c r="F20" i="11" s="1"/>
  <c r="G20" i="11" s="1"/>
  <c r="H20" i="11" s="1"/>
  <c r="I20" i="11" s="1"/>
  <c r="J20" i="11" s="1"/>
  <c r="K20" i="11" s="1"/>
  <c r="L20" i="11" s="1"/>
  <c r="M20" i="11" s="1"/>
  <c r="N20" i="11" s="1"/>
  <c r="O20" i="11" s="1"/>
  <c r="O25" i="11" s="1"/>
  <c r="O30" i="11" s="1"/>
  <c r="W239" i="5"/>
  <c r="W364" i="5"/>
  <c r="C47" i="9"/>
  <c r="C127" i="9"/>
  <c r="C207" i="9"/>
  <c r="E33" i="11"/>
  <c r="AC2" i="1" l="1"/>
  <c r="AD2" i="1" s="1"/>
</calcChain>
</file>

<file path=xl/sharedStrings.xml><?xml version="1.0" encoding="utf-8"?>
<sst xmlns="http://schemas.openxmlformats.org/spreadsheetml/2006/main" count="8439" uniqueCount="3284">
  <si>
    <t>2020-04-10T00:00:00+08:00</t>
  </si>
  <si>
    <t>current</t>
  </si>
  <si>
    <t>lowest_y_10</t>
  </si>
  <si>
    <t>falling_to_lowest_y_10</t>
  </si>
  <si>
    <t>highest_y_10</t>
  </si>
  <si>
    <t>rising_to_highest_y_10</t>
  </si>
  <si>
    <t>rising_to_chance_y_10_col</t>
  </si>
  <si>
    <t>rising_to_median_y_10_col</t>
  </si>
  <si>
    <t>rising_to_risk_y_10_col</t>
  </si>
  <si>
    <t>highest_to_lowest_y_10</t>
  </si>
  <si>
    <t>lowest_y_5</t>
  </si>
  <si>
    <t>falling_to_lowest_y_5</t>
  </si>
  <si>
    <t>highest_y_5</t>
  </si>
  <si>
    <t>rising_to_highest_y_5</t>
  </si>
  <si>
    <t>highest_to_lowest_y_5</t>
  </si>
  <si>
    <t>roe_weighted</t>
  </si>
  <si>
    <t>roe_equal</t>
  </si>
  <si>
    <t>dividend(weighted/equal)</t>
  </si>
  <si>
    <t>close_point</t>
  </si>
  <si>
    <t>dividend ratio</t>
  </si>
  <si>
    <t>return</t>
  </si>
  <si>
    <t>3 yrs average return</t>
  </si>
  <si>
    <t>5yrs average return</t>
  </si>
  <si>
    <t>1yrs worst return</t>
  </si>
  <si>
    <t>position</t>
  </si>
  <si>
    <t>worst loss</t>
  </si>
  <si>
    <t>SUM</t>
  </si>
  <si>
    <t>risk point</t>
  </si>
  <si>
    <t>total worst loss</t>
  </si>
  <si>
    <t>上证50</t>
  </si>
  <si>
    <t>pe weighted</t>
  </si>
  <si>
    <t>000016</t>
  </si>
  <si>
    <t>pe equal</t>
  </si>
  <si>
    <t>2004-01-01T16:00:00.000Z</t>
  </si>
  <si>
    <t>pb weighted</t>
  </si>
  <si>
    <t>pb equal</t>
  </si>
  <si>
    <t>沪深300</t>
  </si>
  <si>
    <t>000300</t>
  </si>
  <si>
    <t>2005-04-07T16:00:00.000Z</t>
  </si>
  <si>
    <t>中证200</t>
  </si>
  <si>
    <t>000904</t>
  </si>
  <si>
    <t>2007-01-14T16:00:00.000Z</t>
  </si>
  <si>
    <t>中证500</t>
  </si>
  <si>
    <t>000905</t>
  </si>
  <si>
    <t>300地产</t>
  </si>
  <si>
    <t>000952</t>
  </si>
  <si>
    <t>2009-10-27T16:00:00.000Z</t>
  </si>
  <si>
    <t>创业成长</t>
  </si>
  <si>
    <t>000958</t>
  </si>
  <si>
    <t>2010-03-23T16:00:00.000Z</t>
  </si>
  <si>
    <t>沪深A股</t>
  </si>
  <si>
    <t>1000002</t>
  </si>
  <si>
    <t>1993-12-31T16:00:00.000Z</t>
  </si>
  <si>
    <t>全指医药</t>
  </si>
  <si>
    <t>000991</t>
  </si>
  <si>
    <t>2011-08-01T16:00:00.000Z</t>
  </si>
  <si>
    <t>中证红利</t>
  </si>
  <si>
    <t>000922</t>
  </si>
  <si>
    <t>2008-05-25T16:00:00.000Z</t>
  </si>
  <si>
    <t>中证环保</t>
  </si>
  <si>
    <t>000827</t>
  </si>
  <si>
    <t>2012-09-24T16:00:00.000Z</t>
  </si>
  <si>
    <t>中证1000</t>
  </si>
  <si>
    <t>000852</t>
  </si>
  <si>
    <t>2014-10-16T16:00:00.000Z</t>
  </si>
  <si>
    <t>中证消费</t>
  </si>
  <si>
    <t>000932</t>
  </si>
  <si>
    <t>2009-07-02T16:00:00.000Z</t>
  </si>
  <si>
    <t>全指金融</t>
  </si>
  <si>
    <t>000992</t>
  </si>
  <si>
    <t>全指信息</t>
  </si>
  <si>
    <t>000993</t>
  </si>
  <si>
    <t>证券公司</t>
  </si>
  <si>
    <t>399975</t>
  </si>
  <si>
    <t>2013-07-14T16:00:00.000Z</t>
  </si>
  <si>
    <t>中小板指</t>
  </si>
  <si>
    <t>399005</t>
  </si>
  <si>
    <t>2006-01-23T16:00:00.000Z</t>
  </si>
  <si>
    <t>创业板指</t>
  </si>
  <si>
    <t>399006</t>
  </si>
  <si>
    <t>2010-05-31T16:00:00.000Z</t>
  </si>
  <si>
    <t>创业板50</t>
  </si>
  <si>
    <t>399673</t>
  </si>
  <si>
    <t>2014-06-17T16:00:00.000Z</t>
  </si>
  <si>
    <t>养老产业</t>
  </si>
  <si>
    <t>399812</t>
  </si>
  <si>
    <t>2014-06-05T16:00:00.000Z</t>
  </si>
  <si>
    <t>中证军工</t>
  </si>
  <si>
    <t>399967</t>
  </si>
  <si>
    <t>2013-12-25T16:00:00.000Z</t>
  </si>
  <si>
    <t>中证银行</t>
  </si>
  <si>
    <t>399986</t>
  </si>
  <si>
    <t>中证传媒</t>
  </si>
  <si>
    <t>399971</t>
  </si>
  <si>
    <t>2014-04-14T16:00:00.000Z</t>
  </si>
  <si>
    <t>中证医药</t>
  </si>
  <si>
    <t>000933</t>
  </si>
  <si>
    <t>中证医疗</t>
  </si>
  <si>
    <t>399989</t>
  </si>
  <si>
    <t>2014-10-30T16:00:00.000Z</t>
  </si>
  <si>
    <t>食品饮料</t>
  </si>
  <si>
    <t>000807</t>
  </si>
  <si>
    <t>2012-02-16T16:00:00.000Z</t>
  </si>
  <si>
    <t>环境治理</t>
  </si>
  <si>
    <t>399806</t>
  </si>
  <si>
    <t>2014-07-20T16:00:00.000Z</t>
  </si>
  <si>
    <t>中证信息</t>
  </si>
  <si>
    <t>000935</t>
  </si>
  <si>
    <t>全指可选</t>
  </si>
  <si>
    <t>000989</t>
  </si>
  <si>
    <t>中证白酒</t>
  </si>
  <si>
    <t>399997</t>
  </si>
  <si>
    <t>2015-01-20T16:00:00.000Z</t>
  </si>
  <si>
    <t>中证可选</t>
  </si>
  <si>
    <t>000931</t>
  </si>
  <si>
    <t>中证金融</t>
  </si>
  <si>
    <t>000934</t>
  </si>
  <si>
    <t>中证煤炭</t>
  </si>
  <si>
    <t>399998</t>
  </si>
  <si>
    <t>2015-02-12T16:00:00.000Z</t>
  </si>
  <si>
    <t>移动互联</t>
  </si>
  <si>
    <t>399970</t>
  </si>
  <si>
    <t>2014-05-04T16:00:00.000Z</t>
  </si>
  <si>
    <t>全指能源</t>
  </si>
  <si>
    <t>000986</t>
  </si>
  <si>
    <t>中证材料</t>
  </si>
  <si>
    <t>000929</t>
  </si>
  <si>
    <t>全指材料</t>
  </si>
  <si>
    <t>000987</t>
  </si>
  <si>
    <t>中证能源</t>
  </si>
  <si>
    <t>000928</t>
  </si>
  <si>
    <t>全指工业</t>
  </si>
  <si>
    <t>000988</t>
  </si>
  <si>
    <t>中证工业</t>
  </si>
  <si>
    <t>000930</t>
  </si>
  <si>
    <t>中证公用</t>
  </si>
  <si>
    <t>000937</t>
  </si>
  <si>
    <t>全指公用</t>
  </si>
  <si>
    <t>000995</t>
  </si>
  <si>
    <t>全指电信</t>
  </si>
  <si>
    <t>000994</t>
  </si>
  <si>
    <t>中证电信</t>
  </si>
  <si>
    <t>000936</t>
  </si>
  <si>
    <t>医药生物</t>
  </si>
  <si>
    <t>000808</t>
  </si>
  <si>
    <t>全指消费</t>
  </si>
  <si>
    <t>000990</t>
  </si>
  <si>
    <t>CS新能车</t>
  </si>
  <si>
    <t>399976</t>
  </si>
  <si>
    <t>2014-11-27T16:00:00.000Z</t>
  </si>
  <si>
    <t>红利指数</t>
  </si>
  <si>
    <t>000015</t>
  </si>
  <si>
    <t>2005-01-03T16:00:00.000Z</t>
  </si>
  <si>
    <t>医药100</t>
  </si>
  <si>
    <t>000978</t>
  </si>
  <si>
    <t>2011-03-17T16:00:00.000Z</t>
  </si>
  <si>
    <t>国企改革</t>
  </si>
  <si>
    <t>399974</t>
  </si>
  <si>
    <t>2014-08-06T16:00:00.000Z</t>
  </si>
  <si>
    <t>保险主题</t>
  </si>
  <si>
    <t>399809</t>
  </si>
  <si>
    <t>大宗商品</t>
  </si>
  <si>
    <t>000979</t>
  </si>
  <si>
    <t>2011-08-21T16:00:00.000Z</t>
  </si>
  <si>
    <t>国证医药</t>
  </si>
  <si>
    <t>399394</t>
  </si>
  <si>
    <t>2012-10-28T16:00:00.000Z</t>
  </si>
  <si>
    <t>深证红利</t>
  </si>
  <si>
    <t>399324</t>
  </si>
  <si>
    <t>300价值</t>
  </si>
  <si>
    <t>000919</t>
  </si>
  <si>
    <t>2008-01-20T16:00:00.000Z</t>
  </si>
  <si>
    <t>500SNLV</t>
  </si>
  <si>
    <t>930782</t>
  </si>
  <si>
    <t>2016-02-03T16:00:00.000Z</t>
  </si>
  <si>
    <t>中国互联（max 10%）</t>
  </si>
  <si>
    <t>价值指数（等权）</t>
  </si>
  <si>
    <t>.</t>
  </si>
  <si>
    <t>2008-12-11T</t>
  </si>
  <si>
    <t>标普红利</t>
  </si>
  <si>
    <t>CSPSAPRP</t>
  </si>
  <si>
    <t>2009-01-06T</t>
  </si>
  <si>
    <t>标普价值</t>
  </si>
  <si>
    <t>SPACEVCP</t>
  </si>
  <si>
    <t>2012-11-30T</t>
  </si>
  <si>
    <t>HKC非银</t>
  </si>
  <si>
    <t>SHS红利成长LV</t>
  </si>
  <si>
    <t>中证中药（max 10%）</t>
  </si>
  <si>
    <t>医药，红利，地产，500snlv，互联网</t>
  </si>
  <si>
    <t>2020-04-03T00:00:00+08:00</t>
  </si>
  <si>
    <t>3 yrs return</t>
  </si>
  <si>
    <t>5yrs return</t>
  </si>
  <si>
    <t>恒生指数</t>
  </si>
  <si>
    <t>HSI</t>
  </si>
  <si>
    <t>1969-11-23T16:00:00.000Z</t>
  </si>
  <si>
    <t>国企指数</t>
  </si>
  <si>
    <t>HSCEI</t>
  </si>
  <si>
    <t>1994-07-10T16:00:00.000Z</t>
  </si>
  <si>
    <t>香港中小</t>
  </si>
  <si>
    <t>2011-06-01T16:00:00.000Z</t>
  </si>
  <si>
    <t>香港大盘</t>
  </si>
  <si>
    <t>2008-09-10T16:00:00.000Z</t>
  </si>
  <si>
    <t>标普生物</t>
  </si>
  <si>
    <t>IBB</t>
  </si>
  <si>
    <t>标普500</t>
  </si>
  <si>
    <t>DAX</t>
  </si>
  <si>
    <t>SAP</t>
  </si>
  <si>
    <t>能源</t>
  </si>
  <si>
    <t>C01</t>
  </si>
  <si>
    <t>原材料</t>
  </si>
  <si>
    <t>C02</t>
  </si>
  <si>
    <t>工业</t>
  </si>
  <si>
    <t>C03</t>
  </si>
  <si>
    <t>可选消费</t>
  </si>
  <si>
    <t>C04</t>
  </si>
  <si>
    <t>主要消费</t>
  </si>
  <si>
    <t>C05</t>
  </si>
  <si>
    <t>医药卫生</t>
  </si>
  <si>
    <t>C06</t>
  </si>
  <si>
    <t>金融</t>
  </si>
  <si>
    <t>C07</t>
  </si>
  <si>
    <t>信息技术</t>
  </si>
  <si>
    <t>C08</t>
  </si>
  <si>
    <t>电信业务</t>
  </si>
  <si>
    <t>C09</t>
  </si>
  <si>
    <t>公用事业</t>
  </si>
  <si>
    <t>C10</t>
  </si>
  <si>
    <t>房地产 </t>
  </si>
  <si>
    <t>C11</t>
  </si>
  <si>
    <t>C0101</t>
  </si>
  <si>
    <t>基础化工</t>
  </si>
  <si>
    <t>C0201</t>
  </si>
  <si>
    <t>基础材料</t>
  </si>
  <si>
    <t>C0202</t>
  </si>
  <si>
    <t>工业品</t>
  </si>
  <si>
    <t>C0301</t>
  </si>
  <si>
    <t>工业服务</t>
  </si>
  <si>
    <t>C0302</t>
  </si>
  <si>
    <t>运输</t>
  </si>
  <si>
    <t>C0303</t>
  </si>
  <si>
    <t>汽车与汽车零配件</t>
  </si>
  <si>
    <t>C0401</t>
  </si>
  <si>
    <t>耐用消费品</t>
  </si>
  <si>
    <t>C0402</t>
  </si>
  <si>
    <t>纺织服装与奢侈品</t>
  </si>
  <si>
    <t>C0403</t>
  </si>
  <si>
    <t>消费者服务</t>
  </si>
  <si>
    <t>C0404</t>
  </si>
  <si>
    <t>传媒</t>
  </si>
  <si>
    <t>C0405</t>
  </si>
  <si>
    <t>零售业</t>
  </si>
  <si>
    <t>C0406</t>
  </si>
  <si>
    <t>食品与主要用品零售</t>
  </si>
  <si>
    <t>C0501</t>
  </si>
  <si>
    <t>农牧渔产品</t>
  </si>
  <si>
    <t>C0502</t>
  </si>
  <si>
    <t>食品饮料与烟草</t>
  </si>
  <si>
    <t>C0503</t>
  </si>
  <si>
    <t>家庭与个人用品</t>
  </si>
  <si>
    <t>C0504</t>
  </si>
  <si>
    <t>医疗保健设备与服务</t>
  </si>
  <si>
    <t>C0601</t>
  </si>
  <si>
    <t>制药</t>
  </si>
  <si>
    <t>C0602</t>
  </si>
  <si>
    <t>生物科技</t>
  </si>
  <si>
    <t>C0603</t>
  </si>
  <si>
    <t>银行</t>
  </si>
  <si>
    <t>C0701</t>
  </si>
  <si>
    <t>综合金融</t>
  </si>
  <si>
    <t>C0702</t>
  </si>
  <si>
    <t>房地产</t>
  </si>
  <si>
    <t>C0703</t>
  </si>
  <si>
    <t>软件与互联网</t>
  </si>
  <si>
    <t>C0801</t>
  </si>
  <si>
    <t>技术硬件与设备</t>
  </si>
  <si>
    <t>C0802</t>
  </si>
  <si>
    <t>半导体</t>
  </si>
  <si>
    <t>C0803</t>
  </si>
  <si>
    <t>电信服务</t>
  </si>
  <si>
    <t>C0901</t>
  </si>
  <si>
    <t>通信设备及技术服务</t>
  </si>
  <si>
    <t>C0902</t>
  </si>
  <si>
    <t>C1001</t>
  </si>
  <si>
    <t>房地产开发和管理</t>
  </si>
  <si>
    <t>C1101</t>
  </si>
  <si>
    <t>房地产服务</t>
  </si>
  <si>
    <t>C1102</t>
  </si>
  <si>
    <t>能源设备与服务</t>
  </si>
  <si>
    <t>C010101</t>
  </si>
  <si>
    <t>石油天然气</t>
  </si>
  <si>
    <t>C010102</t>
  </si>
  <si>
    <t>煤炭</t>
  </si>
  <si>
    <t>C010103</t>
  </si>
  <si>
    <t>可替代能源</t>
  </si>
  <si>
    <t>C010104</t>
  </si>
  <si>
    <t>化学原料</t>
  </si>
  <si>
    <t>C020101</t>
  </si>
  <si>
    <t>化学制品</t>
  </si>
  <si>
    <t>C020102</t>
  </si>
  <si>
    <t>农用化工</t>
  </si>
  <si>
    <t>C020103</t>
  </si>
  <si>
    <t>合成纤维</t>
  </si>
  <si>
    <t>C020104</t>
  </si>
  <si>
    <t>建筑材料</t>
  </si>
  <si>
    <t>C020201</t>
  </si>
  <si>
    <t>容器与包装</t>
  </si>
  <si>
    <t>C020202</t>
  </si>
  <si>
    <t>黑色金属</t>
  </si>
  <si>
    <t>C020203</t>
  </si>
  <si>
    <t>有色金属</t>
  </si>
  <si>
    <t>C020204</t>
  </si>
  <si>
    <t>非金属材料与制品</t>
  </si>
  <si>
    <t>C020205</t>
  </si>
  <si>
    <t>纸类与林业产品</t>
  </si>
  <si>
    <t>C020206</t>
  </si>
  <si>
    <t>航天航空</t>
  </si>
  <si>
    <t>C020207</t>
  </si>
  <si>
    <t>建筑产品</t>
  </si>
  <si>
    <t>C030101</t>
  </si>
  <si>
    <t>电气部件与设备</t>
  </si>
  <si>
    <t>C030102</t>
  </si>
  <si>
    <t>重型电气设备</t>
  </si>
  <si>
    <t>C030103</t>
  </si>
  <si>
    <t>通用机械</t>
  </si>
  <si>
    <t>C030104</t>
  </si>
  <si>
    <t>专用设备</t>
  </si>
  <si>
    <t>C030105</t>
  </si>
  <si>
    <t>工业集团企业</t>
  </si>
  <si>
    <t>C030106</t>
  </si>
  <si>
    <t>建筑与工程</t>
  </si>
  <si>
    <t>C030107</t>
  </si>
  <si>
    <t>工业贸易经销商</t>
  </si>
  <si>
    <t>C030201</t>
  </si>
  <si>
    <t>商业用品与服务</t>
  </si>
  <si>
    <t>C030202</t>
  </si>
  <si>
    <t>物流</t>
  </si>
  <si>
    <t>C030203</t>
  </si>
  <si>
    <t>航空运输</t>
  </si>
  <si>
    <t>C030301</t>
  </si>
  <si>
    <t>水上运输</t>
  </si>
  <si>
    <t>C030302</t>
  </si>
  <si>
    <t>陆运</t>
  </si>
  <si>
    <t>C030303</t>
  </si>
  <si>
    <t>交通基本设施</t>
  </si>
  <si>
    <t>C030304</t>
  </si>
  <si>
    <t>汽车零配件与设备</t>
  </si>
  <si>
    <t>C030305</t>
  </si>
  <si>
    <t>汽车</t>
  </si>
  <si>
    <t>C040101</t>
  </si>
  <si>
    <t>家用电器</t>
  </si>
  <si>
    <t>C040102</t>
  </si>
  <si>
    <t>耐用家居用品</t>
  </si>
  <si>
    <t>C040201</t>
  </si>
  <si>
    <t>休闲设备与用品</t>
  </si>
  <si>
    <t>C040202</t>
  </si>
  <si>
    <t>服装与配饰</t>
  </si>
  <si>
    <t>C040203</t>
  </si>
  <si>
    <t>纺织品</t>
  </si>
  <si>
    <t>C040301</t>
  </si>
  <si>
    <t>酒店餐饮与休闲</t>
  </si>
  <si>
    <t>C040302</t>
  </si>
  <si>
    <t>其他消费者服务</t>
  </si>
  <si>
    <t>C040401</t>
  </si>
  <si>
    <t>C040402</t>
  </si>
  <si>
    <t>消费品经销商</t>
  </si>
  <si>
    <t>C040501</t>
  </si>
  <si>
    <t>网络零售</t>
  </si>
  <si>
    <t>C040601</t>
  </si>
  <si>
    <t>百货商店</t>
  </si>
  <si>
    <t>C040603</t>
  </si>
  <si>
    <t>专营零售</t>
  </si>
  <si>
    <t>C040604</t>
  </si>
  <si>
    <t>C050101</t>
  </si>
  <si>
    <t>C050201</t>
  </si>
  <si>
    <t>食品</t>
  </si>
  <si>
    <t>C050301</t>
  </si>
  <si>
    <t>饮料</t>
  </si>
  <si>
    <t>C050302</t>
  </si>
  <si>
    <t>家常用品</t>
  </si>
  <si>
    <t>C050401</t>
  </si>
  <si>
    <t>个人用品</t>
  </si>
  <si>
    <t>C050402</t>
  </si>
  <si>
    <t>医疗保健设备与用品</t>
  </si>
  <si>
    <t>C060101</t>
  </si>
  <si>
    <t>医疗保健提供商与服务</t>
  </si>
  <si>
    <t>C060102</t>
  </si>
  <si>
    <t>化学原料药</t>
  </si>
  <si>
    <t>C060201</t>
  </si>
  <si>
    <t>化学制剂</t>
  </si>
  <si>
    <t>C060202</t>
  </si>
  <si>
    <t>中药</t>
  </si>
  <si>
    <t>C060203</t>
  </si>
  <si>
    <t>C060204</t>
  </si>
  <si>
    <t>C060301</t>
  </si>
  <si>
    <t>证券</t>
  </si>
  <si>
    <t>C070101</t>
  </si>
  <si>
    <t>保险</t>
  </si>
  <si>
    <t>C070201</t>
  </si>
  <si>
    <t>投资信托</t>
  </si>
  <si>
    <t>C070202</t>
  </si>
  <si>
    <t>其他金融服务</t>
  </si>
  <si>
    <t>C070203</t>
  </si>
  <si>
    <t>C070204</t>
  </si>
  <si>
    <t>C070205</t>
  </si>
  <si>
    <t>互联网软件与服务</t>
  </si>
  <si>
    <t>C070301</t>
  </si>
  <si>
    <t>信息技术服务</t>
  </si>
  <si>
    <t>C080101</t>
  </si>
  <si>
    <t>计算机软件</t>
  </si>
  <si>
    <t>C080102</t>
  </si>
  <si>
    <t>电脑与外围设备</t>
  </si>
  <si>
    <t>C080103</t>
  </si>
  <si>
    <t>电子设备及服务</t>
  </si>
  <si>
    <t>C080201</t>
  </si>
  <si>
    <t>电子元器件</t>
  </si>
  <si>
    <t>C080202</t>
  </si>
  <si>
    <t>光电子器件</t>
  </si>
  <si>
    <t>C080203</t>
  </si>
  <si>
    <t>C080204</t>
  </si>
  <si>
    <t>电信运营</t>
  </si>
  <si>
    <t>C080301</t>
  </si>
  <si>
    <t>电信增值服务</t>
  </si>
  <si>
    <t>C090101</t>
  </si>
  <si>
    <t>通信设备</t>
  </si>
  <si>
    <t>C090102</t>
  </si>
  <si>
    <t>通信技术服务</t>
  </si>
  <si>
    <t>C090201</t>
  </si>
  <si>
    <t>电力公用事业</t>
  </si>
  <si>
    <t>C090202</t>
  </si>
  <si>
    <t>燃气公用事业</t>
  </si>
  <si>
    <t>C100101</t>
  </si>
  <si>
    <t>水公用事业</t>
  </si>
  <si>
    <t>C100102</t>
  </si>
  <si>
    <t>复合型公用事业</t>
  </si>
  <si>
    <t>C100103</t>
  </si>
  <si>
    <t>药品流通</t>
  </si>
  <si>
    <t>C100104</t>
  </si>
  <si>
    <t>消费金融</t>
  </si>
  <si>
    <t>C110101</t>
  </si>
  <si>
    <t>住宅地产开发和管理</t>
  </si>
  <si>
    <t>C110102</t>
  </si>
  <si>
    <t>商业地产开发和管理</t>
  </si>
  <si>
    <t>C110103</t>
  </si>
  <si>
    <t>工业地产开发和管理</t>
  </si>
  <si>
    <t>C110202</t>
  </si>
  <si>
    <t>房地产租赁</t>
  </si>
  <si>
    <t>C110203</t>
  </si>
  <si>
    <t>其他房地产服务</t>
  </si>
  <si>
    <t>指数代码</t>
  </si>
  <si>
    <t>指数名称</t>
  </si>
  <si>
    <t>点位</t>
  </si>
  <si>
    <t>涨跌幅(%)</t>
  </si>
  <si>
    <t>今年收益(%)</t>
  </si>
  <si>
    <t>最新PE</t>
  </si>
  <si>
    <t>pe分位</t>
  </si>
  <si>
    <t>最新PB</t>
  </si>
  <si>
    <t>PB分位</t>
  </si>
  <si>
    <t>基期</t>
  </si>
  <si>
    <t>查看基金</t>
  </si>
  <si>
    <t>roe</t>
  </si>
  <si>
    <t>si801760</t>
  </si>
  <si>
    <t>传媒(申万)</t>
  </si>
  <si>
    <t>si801080</t>
  </si>
  <si>
    <t>电子(申万)</t>
  </si>
  <si>
    <t>si801750</t>
  </si>
  <si>
    <t>计算机(申万)</t>
  </si>
  <si>
    <t>si801770</t>
  </si>
  <si>
    <t>通信(申万)</t>
  </si>
  <si>
    <t>si801170</t>
  </si>
  <si>
    <t>交通运输(申万)</t>
  </si>
  <si>
    <t>si801740</t>
  </si>
  <si>
    <t>国防军工(申万)</t>
  </si>
  <si>
    <t>si801150</t>
  </si>
  <si>
    <t>医药生物(申万)</t>
  </si>
  <si>
    <t>si801180</t>
  </si>
  <si>
    <t>房地产(申万)</t>
  </si>
  <si>
    <t>si801010</t>
  </si>
  <si>
    <t>农林牧渔(申万)</t>
  </si>
  <si>
    <t>si801200</t>
  </si>
  <si>
    <t>商业贸易(申万)</t>
  </si>
  <si>
    <t>si801110</t>
  </si>
  <si>
    <t>家用电器(申万)</t>
  </si>
  <si>
    <t>si801880</t>
  </si>
  <si>
    <t>汽车(申万)</t>
  </si>
  <si>
    <t>si801130</t>
  </si>
  <si>
    <t>纺织服装(申万)</t>
  </si>
  <si>
    <t>si801120</t>
  </si>
  <si>
    <t>食品饮料(申万)</t>
  </si>
  <si>
    <t>si801710</t>
  </si>
  <si>
    <t>建筑材料(申万)</t>
  </si>
  <si>
    <t>si801720</t>
  </si>
  <si>
    <t>建筑装饰(申万)</t>
  </si>
  <si>
    <t>si801890</t>
  </si>
  <si>
    <t>机械设备(申万)</t>
  </si>
  <si>
    <t>si801210</t>
  </si>
  <si>
    <t>休闲服务(申万)</t>
  </si>
  <si>
    <t>si801160</t>
  </si>
  <si>
    <t>公用事业(申万)</t>
  </si>
  <si>
    <t>si801730</t>
  </si>
  <si>
    <t>电气设备(申万)</t>
  </si>
  <si>
    <t>si801230</t>
  </si>
  <si>
    <t>综合(申万)</t>
  </si>
  <si>
    <t>si801030</t>
  </si>
  <si>
    <t>化工(申万)</t>
  </si>
  <si>
    <t>si801050</t>
  </si>
  <si>
    <t>有色金属(申万)</t>
  </si>
  <si>
    <t>si801020</t>
  </si>
  <si>
    <t>采掘(申万)</t>
  </si>
  <si>
    <t>si801040</t>
  </si>
  <si>
    <t>钢铁(申万)</t>
  </si>
  <si>
    <t>si801140</t>
  </si>
  <si>
    <t>轻工制造(申万)</t>
  </si>
  <si>
    <t>si801790</t>
  </si>
  <si>
    <t>非银金融(申万)</t>
  </si>
  <si>
    <t>si801780</t>
  </si>
  <si>
    <t>银行(申万)</t>
  </si>
  <si>
    <t>si801761</t>
  </si>
  <si>
    <t>文化传媒(申万)</t>
  </si>
  <si>
    <t>si801752</t>
  </si>
  <si>
    <t>互联网传媒(申万)</t>
  </si>
  <si>
    <t>si801751</t>
  </si>
  <si>
    <t>营销传播(申万)</t>
  </si>
  <si>
    <t>si801085</t>
  </si>
  <si>
    <t>电子制造Ⅱ(申万)</t>
  </si>
  <si>
    <t>si801084</t>
  </si>
  <si>
    <t>光学光电子(申万)</t>
  </si>
  <si>
    <t>si801083</t>
  </si>
  <si>
    <t>元件Ⅱ(申万)</t>
  </si>
  <si>
    <t>si801082</t>
  </si>
  <si>
    <t>其他电子Ⅱ(申万)</t>
  </si>
  <si>
    <t>si801081</t>
  </si>
  <si>
    <t>半导体(申万)</t>
  </si>
  <si>
    <t>si801222</t>
  </si>
  <si>
    <t>计算机应用(申万)</t>
  </si>
  <si>
    <t>si801101</t>
  </si>
  <si>
    <t>计算机设备Ⅱ(申万)</t>
  </si>
  <si>
    <t>si801223</t>
  </si>
  <si>
    <t>通信运营Ⅱ(申万)</t>
  </si>
  <si>
    <t>si801102</t>
  </si>
  <si>
    <t>通信设备(申万)</t>
  </si>
  <si>
    <t>si801881</t>
  </si>
  <si>
    <t>其他交运设备Ⅱ(申万)</t>
  </si>
  <si>
    <t>si801172</t>
  </si>
  <si>
    <t>公交Ⅱ(申万)</t>
  </si>
  <si>
    <t>si801174</t>
  </si>
  <si>
    <t>机场Ⅱ(申万)</t>
  </si>
  <si>
    <t>si801171</t>
  </si>
  <si>
    <t>港口Ⅱ(申万)</t>
  </si>
  <si>
    <t>si801178</t>
  </si>
  <si>
    <t>物流Ⅱ(申万)</t>
  </si>
  <si>
    <t>si801173</t>
  </si>
  <si>
    <t>航空运输Ⅱ(申万)</t>
  </si>
  <si>
    <t>si801176</t>
  </si>
  <si>
    <t>航运Ⅱ(申万)</t>
  </si>
  <si>
    <t>si801076</t>
  </si>
  <si>
    <t>运输设备Ⅱ(申万)</t>
  </si>
  <si>
    <t>si801177</t>
  </si>
  <si>
    <t>铁路运输Ⅱ(申万)</t>
  </si>
  <si>
    <t>si801175</t>
  </si>
  <si>
    <t>高速公路Ⅱ(申万)</t>
  </si>
  <si>
    <t>si801743</t>
  </si>
  <si>
    <t>地面兵装Ⅱ(申万)</t>
  </si>
  <si>
    <t>si801742</t>
  </si>
  <si>
    <t>航空装备Ⅱ(申万)</t>
  </si>
  <si>
    <t>si801741</t>
  </si>
  <si>
    <t>航天装备Ⅱ(申万)</t>
  </si>
  <si>
    <t>si801744</t>
  </si>
  <si>
    <t>船舶制造Ⅱ(申万)</t>
  </si>
  <si>
    <t>si801155</t>
  </si>
  <si>
    <t>中药Ⅱ(申万)</t>
  </si>
  <si>
    <t>si801156</t>
  </si>
  <si>
    <t>医疗服务Ⅱ(申万)</t>
  </si>
  <si>
    <t>si801153</t>
  </si>
  <si>
    <t>医疗器械Ⅱ(申万)</t>
  </si>
  <si>
    <t>si801154</t>
  </si>
  <si>
    <t>医药商业Ⅱ(申万)</t>
  </si>
  <si>
    <t>si801152</t>
  </si>
  <si>
    <t>生物制品Ⅱ(申万)</t>
  </si>
  <si>
    <t>si801151</t>
  </si>
  <si>
    <t>化学制药(申万)</t>
  </si>
  <si>
    <t>si801182</t>
  </si>
  <si>
    <t>园区开发Ⅱ(申万)</t>
  </si>
  <si>
    <t>si801181</t>
  </si>
  <si>
    <t>房地产开发Ⅱ(申万)</t>
  </si>
  <si>
    <t>si801013</t>
  </si>
  <si>
    <t>农业综合Ⅱ(申万)</t>
  </si>
  <si>
    <t>si801012</t>
  </si>
  <si>
    <t>农产品加工(申万)</t>
  </si>
  <si>
    <t>si801018</t>
  </si>
  <si>
    <t>动物保健Ⅱ(申万)</t>
  </si>
  <si>
    <t>si801011</t>
  </si>
  <si>
    <t>林业Ⅱ(申万)</t>
  </si>
  <si>
    <t>si801015</t>
  </si>
  <si>
    <t>渔业(申万)</t>
  </si>
  <si>
    <t>si801017</t>
  </si>
  <si>
    <t>畜禽养殖Ⅱ(申万)</t>
  </si>
  <si>
    <t>si801016</t>
  </si>
  <si>
    <t>种植业(申万)</t>
  </si>
  <si>
    <t>si801014</t>
  </si>
  <si>
    <t>饲料Ⅱ(申万)</t>
  </si>
  <si>
    <t>si801205</t>
  </si>
  <si>
    <t>商业物业经营(申万)</t>
  </si>
  <si>
    <t>si801202</t>
  </si>
  <si>
    <t>贸易Ⅱ(申万)</t>
  </si>
  <si>
    <t>si801112</t>
  </si>
  <si>
    <t>视听器材(申万)</t>
  </si>
  <si>
    <t>si801111</t>
  </si>
  <si>
    <t>白色家电(申万)</t>
  </si>
  <si>
    <t>si801094</t>
  </si>
  <si>
    <t>汽车整车(申万)</t>
  </si>
  <si>
    <t>si801093</t>
  </si>
  <si>
    <t>汽车零部件Ⅱ(申万)</t>
  </si>
  <si>
    <t>si801092</t>
  </si>
  <si>
    <t>汽车服务Ⅱ(申万)</t>
  </si>
  <si>
    <t>si801132</t>
  </si>
  <si>
    <t>服装家纺(申万)</t>
  </si>
  <si>
    <t>si801131</t>
  </si>
  <si>
    <t>纺织制造(申万)</t>
  </si>
  <si>
    <t>si801123</t>
  </si>
  <si>
    <t>饮料制造(申万)</t>
  </si>
  <si>
    <t>si801204</t>
  </si>
  <si>
    <t>专业零售(申万)</t>
  </si>
  <si>
    <t>---</t>
  </si>
  <si>
    <t>si801203</t>
  </si>
  <si>
    <t>一般零售(申万)</t>
  </si>
  <si>
    <t>si801124</t>
  </si>
  <si>
    <t>食品加工(申万)</t>
  </si>
  <si>
    <t>si801725</t>
  </si>
  <si>
    <t>园林工程Ⅱ(申万)</t>
  </si>
  <si>
    <t>si801724</t>
  </si>
  <si>
    <t>专业工程(申万)</t>
  </si>
  <si>
    <t>si801723</t>
  </si>
  <si>
    <t>基础建设(申万)</t>
  </si>
  <si>
    <t>si801711</t>
  </si>
  <si>
    <t>水泥制造Ⅱ(申万)</t>
  </si>
  <si>
    <t>si801712</t>
  </si>
  <si>
    <t>玻璃制造Ⅱ(申万)</t>
  </si>
  <si>
    <t>si801713</t>
  </si>
  <si>
    <t>其他建材Ⅱ(申万)</t>
  </si>
  <si>
    <t>si801721</t>
  </si>
  <si>
    <t>房屋建设Ⅱ(申万)</t>
  </si>
  <si>
    <t>si801074</t>
  </si>
  <si>
    <t>专用设备(申万)</t>
  </si>
  <si>
    <t>si801072</t>
  </si>
  <si>
    <t>通用机械(申万)</t>
  </si>
  <si>
    <t>si801722</t>
  </si>
  <si>
    <t>装修装饰Ⅱ(申万)</t>
  </si>
  <si>
    <t>si801215</t>
  </si>
  <si>
    <t>其他休闲服务Ⅱ(申万)</t>
  </si>
  <si>
    <t>si801214</t>
  </si>
  <si>
    <t>旅游综合Ⅱ(申万)</t>
  </si>
  <si>
    <t>si801212</t>
  </si>
  <si>
    <t>景点(申万)</t>
  </si>
  <si>
    <t>si801213</t>
  </si>
  <si>
    <t>酒店Ⅱ(申万)</t>
  </si>
  <si>
    <t>si801211</t>
  </si>
  <si>
    <t>餐饮Ⅱ(申万)</t>
  </si>
  <si>
    <t>si801162</t>
  </si>
  <si>
    <t>环保工程及服务Ⅱ(申万)</t>
  </si>
  <si>
    <t>si801164</t>
  </si>
  <si>
    <t>水务Ⅱ(申万)</t>
  </si>
  <si>
    <t>si801163</t>
  </si>
  <si>
    <t>燃气Ⅱ(申万)</t>
  </si>
  <si>
    <t>si801161</t>
  </si>
  <si>
    <t>电力(申万)</t>
  </si>
  <si>
    <t>si801734</t>
  </si>
  <si>
    <t>高低压设备(申万)</t>
  </si>
  <si>
    <t>si801733</t>
  </si>
  <si>
    <t>电源设备(申万)</t>
  </si>
  <si>
    <t>si801731</t>
  </si>
  <si>
    <t>电机Ⅱ(申万)</t>
  </si>
  <si>
    <t>si801732</t>
  </si>
  <si>
    <t>电气自动化设备(申万)</t>
  </si>
  <si>
    <t>si801231</t>
  </si>
  <si>
    <t>综合Ⅱ(申万)</t>
  </si>
  <si>
    <t>si801037</t>
  </si>
  <si>
    <t>橡胶(申万)</t>
  </si>
  <si>
    <t>si801036</t>
  </si>
  <si>
    <t>塑料Ⅱ(申万)</t>
  </si>
  <si>
    <t>si801035</t>
  </si>
  <si>
    <t>石油化工(申万)</t>
  </si>
  <si>
    <t>si801034</t>
  </si>
  <si>
    <t>化学制品(申万)</t>
  </si>
  <si>
    <t>si801033</t>
  </si>
  <si>
    <t>化学原料(申万)</t>
  </si>
  <si>
    <t>si801032</t>
  </si>
  <si>
    <t>化学纤维(申万)</t>
  </si>
  <si>
    <t>si801055</t>
  </si>
  <si>
    <t>工业金属(申万)</t>
  </si>
  <si>
    <t>si801054</t>
  </si>
  <si>
    <t>稀有金属(申万)</t>
  </si>
  <si>
    <t>si801053</t>
  </si>
  <si>
    <t>黄金Ⅱ(申万)</t>
  </si>
  <si>
    <t>si801051</t>
  </si>
  <si>
    <t>金属非金属新材料(申万)</t>
  </si>
  <si>
    <t>si801021</t>
  </si>
  <si>
    <t>煤炭开采Ⅱ(申万)</t>
  </si>
  <si>
    <t>si801023</t>
  </si>
  <si>
    <t>石油开采Ⅱ(申万)</t>
  </si>
  <si>
    <t>si801024</t>
  </si>
  <si>
    <t>采掘服务Ⅱ(申万)</t>
  </si>
  <si>
    <t>si801075</t>
  </si>
  <si>
    <t>金属制品Ⅱ(申万)</t>
  </si>
  <si>
    <t>si801041</t>
  </si>
  <si>
    <t>钢铁Ⅱ(申万)</t>
  </si>
  <si>
    <t>si801022</t>
  </si>
  <si>
    <t>其他采掘Ⅱ(申万)</t>
  </si>
  <si>
    <t>si801144</t>
  </si>
  <si>
    <t>其他轻工制造Ⅱ(申万)</t>
  </si>
  <si>
    <t>si801141</t>
  </si>
  <si>
    <t>包装印刷Ⅱ(申万)</t>
  </si>
  <si>
    <t>si801142</t>
  </si>
  <si>
    <t>家用轻工(申万)</t>
  </si>
  <si>
    <t>si801143</t>
  </si>
  <si>
    <t>造纸Ⅱ(申万)</t>
  </si>
  <si>
    <t>si801194</t>
  </si>
  <si>
    <t>保险Ⅱ(申万)</t>
  </si>
  <si>
    <t>si801193</t>
  </si>
  <si>
    <t>券商Ⅱ(申万)</t>
  </si>
  <si>
    <t>si801192</t>
  </si>
  <si>
    <t>银行Ⅱ(申万)</t>
  </si>
  <si>
    <t>si801191</t>
  </si>
  <si>
    <t>多元金融Ⅱ(申万)</t>
  </si>
  <si>
    <t>si801073</t>
  </si>
  <si>
    <t>仪器仪表Ⅱ(申万)</t>
  </si>
  <si>
    <t>平安</t>
  </si>
  <si>
    <t>茅台</t>
  </si>
  <si>
    <t>招商银行</t>
  </si>
  <si>
    <t>五粮液</t>
  </si>
  <si>
    <t>长江电力</t>
  </si>
  <si>
    <t>恒瑞</t>
  </si>
  <si>
    <t>美的</t>
  </si>
  <si>
    <t>格力</t>
  </si>
  <si>
    <t>工业富联</t>
  </si>
  <si>
    <t>海康</t>
  </si>
  <si>
    <t>迈瑞</t>
  </si>
  <si>
    <t>海天味业</t>
  </si>
  <si>
    <t>伊利</t>
  </si>
  <si>
    <t>药明康德</t>
  </si>
  <si>
    <t>洋河</t>
  </si>
  <si>
    <t>上汽</t>
  </si>
  <si>
    <t>中国建筑</t>
  </si>
  <si>
    <t>万华化学</t>
  </si>
  <si>
    <t>中国国旅</t>
  </si>
  <si>
    <t>宁波银行</t>
  </si>
  <si>
    <t>汇顶</t>
  </si>
  <si>
    <t>爱尔眼科</t>
  </si>
  <si>
    <t>双汇</t>
  </si>
  <si>
    <t>金山</t>
  </si>
  <si>
    <t>海尔</t>
  </si>
  <si>
    <t>南京银行</t>
  </si>
  <si>
    <t>earning icrease ytoy</t>
  </si>
  <si>
    <t>book icrease ytoy</t>
  </si>
  <si>
    <t>中证500 SNLV</t>
  </si>
  <si>
    <t>地产等权</t>
  </si>
  <si>
    <t>399904</t>
  </si>
  <si>
    <t>399958</t>
  </si>
  <si>
    <t>军工指数</t>
  </si>
  <si>
    <t>中国互联</t>
  </si>
  <si>
    <t>价值指数</t>
  </si>
  <si>
    <t>中证中药</t>
  </si>
  <si>
    <t>2015-02-13T</t>
  </si>
  <si>
    <t>500信息</t>
  </si>
  <si>
    <t>XBI</t>
  </si>
  <si>
    <t>基建工程</t>
  </si>
  <si>
    <t>消费红利</t>
  </si>
  <si>
    <t>信息红利</t>
  </si>
  <si>
    <t>500质量</t>
  </si>
  <si>
    <t>cs生物</t>
  </si>
  <si>
    <t>纳指100</t>
  </si>
  <si>
    <t>ROE</t>
  </si>
  <si>
    <t>sh000066</t>
  </si>
  <si>
    <t>上证商品</t>
  </si>
  <si>
    <t>sh000986</t>
  </si>
  <si>
    <t>sh000944</t>
  </si>
  <si>
    <t>内地资源</t>
  </si>
  <si>
    <t>cicspsadrp</t>
  </si>
  <si>
    <t>标普A股红利</t>
  </si>
  <si>
    <t>sh000068</t>
  </si>
  <si>
    <t>上证资源</t>
  </si>
  <si>
    <t>sh000928</t>
  </si>
  <si>
    <t>sz399806</t>
  </si>
  <si>
    <t>sh000979</t>
  </si>
  <si>
    <t>sz399998</t>
  </si>
  <si>
    <t>sz399990</t>
  </si>
  <si>
    <t>煤炭等权</t>
  </si>
  <si>
    <t>sh950090</t>
  </si>
  <si>
    <t>50AH优选</t>
  </si>
  <si>
    <t>sh000805</t>
  </si>
  <si>
    <t>A股资源</t>
  </si>
  <si>
    <t>sh000042</t>
  </si>
  <si>
    <t>上证央企</t>
  </si>
  <si>
    <t>sh000015</t>
  </si>
  <si>
    <t>csih30263</t>
  </si>
  <si>
    <t>中证腾安</t>
  </si>
  <si>
    <t>sh000919</t>
  </si>
  <si>
    <t>sh000961</t>
  </si>
  <si>
    <t>中证上游</t>
  </si>
  <si>
    <t>sh000964</t>
  </si>
  <si>
    <t>中证新兴</t>
  </si>
  <si>
    <t>csi930620</t>
  </si>
  <si>
    <t>CSSW丝路</t>
  </si>
  <si>
    <t>sz399991</t>
  </si>
  <si>
    <t>一带一路</t>
  </si>
  <si>
    <t>csi931008</t>
  </si>
  <si>
    <t>中证全指汽车指数</t>
  </si>
  <si>
    <t>sz399986</t>
  </si>
  <si>
    <t>sh000940</t>
  </si>
  <si>
    <t>财富大盘</t>
  </si>
  <si>
    <t>sz399995</t>
  </si>
  <si>
    <t>sz399992</t>
  </si>
  <si>
    <t>CSWD并购</t>
  </si>
  <si>
    <t>sh000806</t>
  </si>
  <si>
    <t>消费服务</t>
  </si>
  <si>
    <t>sh000032</t>
  </si>
  <si>
    <t>上证能源</t>
  </si>
  <si>
    <t>sz399416</t>
  </si>
  <si>
    <t>I300</t>
  </si>
  <si>
    <t>sh000029</t>
  </si>
  <si>
    <t>180价值</t>
  </si>
  <si>
    <t>sh000021</t>
  </si>
  <si>
    <t>180治理</t>
  </si>
  <si>
    <t>sh000905</t>
  </si>
  <si>
    <t>sz399807</t>
  </si>
  <si>
    <t>高铁产业</t>
  </si>
  <si>
    <t>hihsml25</t>
  </si>
  <si>
    <t>恒生中国(香港上市)25</t>
  </si>
  <si>
    <t>sh000854</t>
  </si>
  <si>
    <t>中证500原料</t>
  </si>
  <si>
    <t>sh000001</t>
  </si>
  <si>
    <t>上证指数</t>
  </si>
  <si>
    <t>hihsi</t>
  </si>
  <si>
    <t>sh000984</t>
  </si>
  <si>
    <t>300等权</t>
  </si>
  <si>
    <t>sz399802</t>
  </si>
  <si>
    <t>500深市</t>
  </si>
  <si>
    <t>sh000982</t>
  </si>
  <si>
    <t>500等权</t>
  </si>
  <si>
    <t>sz399440</t>
  </si>
  <si>
    <t>国证钢铁</t>
  </si>
  <si>
    <t>csi000922</t>
  </si>
  <si>
    <t>sz399429</t>
  </si>
  <si>
    <t>新丝路</t>
  </si>
  <si>
    <t>sh000904</t>
  </si>
  <si>
    <t>sh000989</t>
  </si>
  <si>
    <t>csih30165</t>
  </si>
  <si>
    <t>中证全指房地产</t>
  </si>
  <si>
    <t>csi950096</t>
  </si>
  <si>
    <t>上海国企</t>
  </si>
  <si>
    <t>sh000067</t>
  </si>
  <si>
    <t>上证新兴</t>
  </si>
  <si>
    <t>sh000901</t>
  </si>
  <si>
    <t>小康指数</t>
  </si>
  <si>
    <t>sh000063</t>
  </si>
  <si>
    <t>上证周期</t>
  </si>
  <si>
    <t>wi881001</t>
  </si>
  <si>
    <t>万得全A</t>
  </si>
  <si>
    <t>csi930875</t>
  </si>
  <si>
    <t>空天一体</t>
  </si>
  <si>
    <t>sh000016</t>
  </si>
  <si>
    <t>sz399101</t>
  </si>
  <si>
    <t>中小板综</t>
  </si>
  <si>
    <t>sz399008</t>
  </si>
  <si>
    <t>中小300</t>
  </si>
  <si>
    <t>sh000802</t>
  </si>
  <si>
    <t>500沪市</t>
  </si>
  <si>
    <t>sz399965</t>
  </si>
  <si>
    <t>800地产</t>
  </si>
  <si>
    <t>sz399393</t>
  </si>
  <si>
    <t>国证地产</t>
  </si>
  <si>
    <t>sh000819</t>
  </si>
  <si>
    <t>csi930782</t>
  </si>
  <si>
    <t>sh000056</t>
  </si>
  <si>
    <t>上证国企</t>
  </si>
  <si>
    <t>sh000966</t>
  </si>
  <si>
    <t>基本400</t>
  </si>
  <si>
    <t>sh000925</t>
  </si>
  <si>
    <t>基本面50</t>
  </si>
  <si>
    <t>csi000985</t>
  </si>
  <si>
    <t>中证全指</t>
  </si>
  <si>
    <t>hihshkmi</t>
  </si>
  <si>
    <t>恒生中型股</t>
  </si>
  <si>
    <t>sz399624</t>
  </si>
  <si>
    <t>中创400</t>
  </si>
  <si>
    <t>sh000852</t>
  </si>
  <si>
    <t>sz399412</t>
  </si>
  <si>
    <t>国证新能</t>
  </si>
  <si>
    <t>sz399005</t>
  </si>
  <si>
    <t>sh000010</t>
  </si>
  <si>
    <t>上证180</t>
  </si>
  <si>
    <t>sz399634</t>
  </si>
  <si>
    <t>中小板EW</t>
  </si>
  <si>
    <t>sh000934</t>
  </si>
  <si>
    <t>sh000038</t>
  </si>
  <si>
    <t>上证金融</t>
  </si>
  <si>
    <t>sh000018</t>
  </si>
  <si>
    <t>180金融</t>
  </si>
  <si>
    <t>sz399967</t>
  </si>
  <si>
    <t>sh000987</t>
  </si>
  <si>
    <t>sh000846</t>
  </si>
  <si>
    <t>ESG 100</t>
  </si>
  <si>
    <t>hihshksi</t>
  </si>
  <si>
    <t>恒生小型股</t>
  </si>
  <si>
    <t>sh000914</t>
  </si>
  <si>
    <t>300金融</t>
  </si>
  <si>
    <t>sh000963</t>
  </si>
  <si>
    <t>中证下游</t>
  </si>
  <si>
    <t>csi930641</t>
  </si>
  <si>
    <t>sh000906</t>
  </si>
  <si>
    <t>中证800</t>
  </si>
  <si>
    <t>sh000842</t>
  </si>
  <si>
    <t>800等权</t>
  </si>
  <si>
    <t>sh000992</t>
  </si>
  <si>
    <t>sh000977</t>
  </si>
  <si>
    <t>内地低碳</t>
  </si>
  <si>
    <t>sh000823</t>
  </si>
  <si>
    <t>800有色</t>
  </si>
  <si>
    <t>sz399415</t>
  </si>
  <si>
    <t>I100</t>
  </si>
  <si>
    <t>sz399971</t>
  </si>
  <si>
    <t>csi930793</t>
  </si>
  <si>
    <t>HK银行(CNY)</t>
  </si>
  <si>
    <t>sh000050</t>
  </si>
  <si>
    <t>50等权</t>
  </si>
  <si>
    <t>csih30531</t>
  </si>
  <si>
    <t>精工制造</t>
  </si>
  <si>
    <t>sz399368</t>
  </si>
  <si>
    <t>国证军工</t>
  </si>
  <si>
    <t>sh000827</t>
  </si>
  <si>
    <t>sz399417</t>
  </si>
  <si>
    <t>新能源车</t>
  </si>
  <si>
    <t>sh000841</t>
  </si>
  <si>
    <t>800医药</t>
  </si>
  <si>
    <t>sz399808</t>
  </si>
  <si>
    <t>中证新能</t>
  </si>
  <si>
    <t>sz399395</t>
  </si>
  <si>
    <t>国证有色</t>
  </si>
  <si>
    <t>csih30372</t>
  </si>
  <si>
    <t>中证安全</t>
  </si>
  <si>
    <t>sh000300</t>
  </si>
  <si>
    <t>sh000958</t>
  </si>
  <si>
    <t>sz399973</t>
  </si>
  <si>
    <t>中证国防</t>
  </si>
  <si>
    <t>sz399975</t>
  </si>
  <si>
    <t>sz399805</t>
  </si>
  <si>
    <t>互联金融</t>
  </si>
  <si>
    <t>sz399959</t>
  </si>
  <si>
    <t>csi930720</t>
  </si>
  <si>
    <t>CS互医疗</t>
  </si>
  <si>
    <t>hihscei</t>
  </si>
  <si>
    <t>恒生国企指数</t>
  </si>
  <si>
    <t>sz399983</t>
  </si>
  <si>
    <t>sh000051</t>
  </si>
  <si>
    <t>180等权</t>
  </si>
  <si>
    <t>sh000933</t>
  </si>
  <si>
    <t>sh000903</t>
  </si>
  <si>
    <t>中证100</t>
  </si>
  <si>
    <t>gidjsoep</t>
  </si>
  <si>
    <t>道琼斯美国石油开发与生产</t>
  </si>
  <si>
    <t>sh000974</t>
  </si>
  <si>
    <t>800金融</t>
  </si>
  <si>
    <t>csi930648</t>
  </si>
  <si>
    <t>CS智消费</t>
  </si>
  <si>
    <t>csi930659</t>
  </si>
  <si>
    <t>CS能源互</t>
  </si>
  <si>
    <t>sz399422</t>
  </si>
  <si>
    <t>中关村A</t>
  </si>
  <si>
    <t>sh000048</t>
  </si>
  <si>
    <t>责任指数</t>
  </si>
  <si>
    <t>sz399996</t>
  </si>
  <si>
    <t>智能家居</t>
  </si>
  <si>
    <t>sz399810</t>
  </si>
  <si>
    <t>CSSW传媒</t>
  </si>
  <si>
    <t>csi930790</t>
  </si>
  <si>
    <t>CS娱乐TI</t>
  </si>
  <si>
    <t>csi930654</t>
  </si>
  <si>
    <t>CS休闲娱</t>
  </si>
  <si>
    <t>sh000033</t>
  </si>
  <si>
    <t>上证材料</t>
  </si>
  <si>
    <t>csi930713</t>
  </si>
  <si>
    <t>CS人工智</t>
  </si>
  <si>
    <t>sz399313</t>
  </si>
  <si>
    <t>巨潮100</t>
  </si>
  <si>
    <t>sh000009</t>
  </si>
  <si>
    <t>上证380</t>
  </si>
  <si>
    <t>sh000991</t>
  </si>
  <si>
    <t>csi930734</t>
  </si>
  <si>
    <t>360互联+</t>
  </si>
  <si>
    <t>csi930599</t>
  </si>
  <si>
    <t>中证高装</t>
  </si>
  <si>
    <t>sz399974</t>
  </si>
  <si>
    <t>sz399707</t>
  </si>
  <si>
    <t>CSSW证券</t>
  </si>
  <si>
    <t>sh000816</t>
  </si>
  <si>
    <t>细分地产</t>
  </si>
  <si>
    <t>csih30171</t>
  </si>
  <si>
    <t>中证全指运输指数</t>
  </si>
  <si>
    <t>csih30588</t>
  </si>
  <si>
    <t>中证证保</t>
  </si>
  <si>
    <t>hihsmsi</t>
  </si>
  <si>
    <t>恒生中小型股</t>
  </si>
  <si>
    <t>sh000043</t>
  </si>
  <si>
    <t>超大盘</t>
  </si>
  <si>
    <t>sh000046</t>
  </si>
  <si>
    <t>上证中小</t>
  </si>
  <si>
    <t>sh000969</t>
  </si>
  <si>
    <t>300非周</t>
  </si>
  <si>
    <t>csih30318</t>
  </si>
  <si>
    <t>TMT150</t>
  </si>
  <si>
    <t>csi930820</t>
  </si>
  <si>
    <t>CS高端制</t>
  </si>
  <si>
    <t>sh000971</t>
  </si>
  <si>
    <t>等权90</t>
  </si>
  <si>
    <t>sz399637</t>
  </si>
  <si>
    <t>深证地产</t>
  </si>
  <si>
    <t>csi930777</t>
  </si>
  <si>
    <t>CS定增</t>
  </si>
  <si>
    <t>csih20839</t>
  </si>
  <si>
    <t>HK高股息(全)HKD</t>
  </si>
  <si>
    <t>sz399612</t>
  </si>
  <si>
    <t>中创100</t>
  </si>
  <si>
    <t>csi930836</t>
  </si>
  <si>
    <t>沪港深高股息(CNY)</t>
  </si>
  <si>
    <t>csi930791</t>
  </si>
  <si>
    <t>CS医药TI</t>
  </si>
  <si>
    <t>sz399001</t>
  </si>
  <si>
    <t>深证成指</t>
  </si>
  <si>
    <t>sz399102</t>
  </si>
  <si>
    <t>创业板综</t>
  </si>
  <si>
    <t>sz399348</t>
  </si>
  <si>
    <t>深证价值</t>
  </si>
  <si>
    <t>sz399007</t>
  </si>
  <si>
    <t>深证300</t>
  </si>
  <si>
    <t>csi930652</t>
  </si>
  <si>
    <t>CS电子</t>
  </si>
  <si>
    <t>sz399966</t>
  </si>
  <si>
    <t>800非银</t>
  </si>
  <si>
    <t>sh000814</t>
  </si>
  <si>
    <t>细分医药</t>
  </si>
  <si>
    <t>sh000044</t>
  </si>
  <si>
    <t>上证中盘</t>
  </si>
  <si>
    <t>sh000993</t>
  </si>
  <si>
    <t>sz399809</t>
  </si>
  <si>
    <t>csih30124</t>
  </si>
  <si>
    <t>安中动态</t>
  </si>
  <si>
    <t>csi930697</t>
  </si>
  <si>
    <t>csih30035</t>
  </si>
  <si>
    <t>300非银</t>
  </si>
  <si>
    <t>sz399703</t>
  </si>
  <si>
    <t>深证F200</t>
  </si>
  <si>
    <t>sh000065</t>
  </si>
  <si>
    <t>上证龙头</t>
  </si>
  <si>
    <t>sz399994</t>
  </si>
  <si>
    <t>信息安全</t>
  </si>
  <si>
    <t>sh000037</t>
  </si>
  <si>
    <t>上证医药</t>
  </si>
  <si>
    <t>sh000998</t>
  </si>
  <si>
    <t>中证TMT</t>
  </si>
  <si>
    <t>csi930651</t>
  </si>
  <si>
    <t>CS计算机</t>
  </si>
  <si>
    <t>sh000952</t>
  </si>
  <si>
    <t>gigdaxi</t>
  </si>
  <si>
    <t>德国DAX</t>
  </si>
  <si>
    <t>sz399337</t>
  </si>
  <si>
    <t>深证民营</t>
  </si>
  <si>
    <t>sz399702</t>
  </si>
  <si>
    <t>深证F120</t>
  </si>
  <si>
    <t>sh000935</t>
  </si>
  <si>
    <t>csi931009</t>
  </si>
  <si>
    <t>中证全指建筑材料</t>
  </si>
  <si>
    <t>csih11136</t>
  </si>
  <si>
    <t>中国互联网</t>
  </si>
  <si>
    <t>sz399673</t>
  </si>
  <si>
    <t>sz399804</t>
  </si>
  <si>
    <t>中证体育</t>
  </si>
  <si>
    <t>sz399006</t>
  </si>
  <si>
    <t>sz399812</t>
  </si>
  <si>
    <t>sz399610</t>
  </si>
  <si>
    <t>TMT50</t>
  </si>
  <si>
    <t>sz399441</t>
  </si>
  <si>
    <t>生物医药</t>
  </si>
  <si>
    <t>csi930729</t>
  </si>
  <si>
    <t>银智100</t>
  </si>
  <si>
    <t>sz399813</t>
  </si>
  <si>
    <t>中证国安</t>
  </si>
  <si>
    <t>sz399326</t>
  </si>
  <si>
    <t>成长40</t>
  </si>
  <si>
    <t>sz399701</t>
  </si>
  <si>
    <t>深证F60</t>
  </si>
  <si>
    <t>sz399811</t>
  </si>
  <si>
    <t>CSSW电子</t>
  </si>
  <si>
    <t>sz399976</t>
  </si>
  <si>
    <t>sz399550</t>
  </si>
  <si>
    <t>央视50</t>
  </si>
  <si>
    <t>sz399989</t>
  </si>
  <si>
    <t>sh000913</t>
  </si>
  <si>
    <t>300医药</t>
  </si>
  <si>
    <t>sh000064</t>
  </si>
  <si>
    <t>非周期</t>
  </si>
  <si>
    <t>csi930723</t>
  </si>
  <si>
    <t>沪港深F100</t>
  </si>
  <si>
    <t>sz399993</t>
  </si>
  <si>
    <t>CSWD生科</t>
  </si>
  <si>
    <t>sz399330</t>
  </si>
  <si>
    <t>深证100</t>
  </si>
  <si>
    <t>sz399004</t>
  </si>
  <si>
    <t>深证100R</t>
  </si>
  <si>
    <t>sz399324</t>
  </si>
  <si>
    <t>csih30344</t>
  </si>
  <si>
    <t>健康产业</t>
  </si>
  <si>
    <t>sz399394</t>
  </si>
  <si>
    <t>sh000808</t>
  </si>
  <si>
    <t>csi930629</t>
  </si>
  <si>
    <t>CSSW健康</t>
  </si>
  <si>
    <t>csih30535</t>
  </si>
  <si>
    <t>互联网</t>
  </si>
  <si>
    <t>sh000049</t>
  </si>
  <si>
    <t>上证民企</t>
  </si>
  <si>
    <t>sz399814</t>
  </si>
  <si>
    <t>大农业</t>
  </si>
  <si>
    <t>sh000069</t>
  </si>
  <si>
    <t>消费80</t>
  </si>
  <si>
    <t>sh000028</t>
  </si>
  <si>
    <t>180成长</t>
  </si>
  <si>
    <t>csi930743</t>
  </si>
  <si>
    <t>中证生科</t>
  </si>
  <si>
    <t>sz399632</t>
  </si>
  <si>
    <t>深100EW</t>
  </si>
  <si>
    <t>sz399970</t>
  </si>
  <si>
    <t>csi000978</t>
  </si>
  <si>
    <t>spisphcmshp</t>
  </si>
  <si>
    <t>标普香港上市中国中小盘精选指数</t>
  </si>
  <si>
    <t>sh000918</t>
  </si>
  <si>
    <t>300成长</t>
  </si>
  <si>
    <t>sh000828</t>
  </si>
  <si>
    <t>300高贝</t>
  </si>
  <si>
    <t>sz399803</t>
  </si>
  <si>
    <t>工业4.0</t>
  </si>
  <si>
    <t>csi930721</t>
  </si>
  <si>
    <t>CS智汽车</t>
  </si>
  <si>
    <t>sh000932</t>
  </si>
  <si>
    <t>csi930719</t>
  </si>
  <si>
    <t>CS精准医</t>
  </si>
  <si>
    <t>sh000990</t>
  </si>
  <si>
    <t>sz399997</t>
  </si>
  <si>
    <t>giixic</t>
  </si>
  <si>
    <t>纳斯达克指数</t>
  </si>
  <si>
    <t>csi930653</t>
  </si>
  <si>
    <t>CS食品饮</t>
  </si>
  <si>
    <t>sz399987</t>
  </si>
  <si>
    <t>中证酒</t>
  </si>
  <si>
    <t>csih30021</t>
  </si>
  <si>
    <t>中证800食品</t>
  </si>
  <si>
    <t>sz399396</t>
  </si>
  <si>
    <t>国证食品</t>
  </si>
  <si>
    <t>spisp500</t>
  </si>
  <si>
    <t>S&amp;P 500</t>
  </si>
  <si>
    <t>spispxewtr</t>
  </si>
  <si>
    <t>标普500等权重指数</t>
  </si>
  <si>
    <t>gispx</t>
  </si>
  <si>
    <t>csi133333</t>
  </si>
  <si>
    <t>MSCI中国A股指数</t>
  </si>
  <si>
    <t>sh000036</t>
  </si>
  <si>
    <t>上证消费</t>
  </si>
  <si>
    <t>gidji</t>
  </si>
  <si>
    <t>道琼斯工业指数</t>
  </si>
  <si>
    <t>gindx</t>
  </si>
  <si>
    <t>纳斯达克100</t>
  </si>
  <si>
    <t>标普沪港深</t>
  </si>
  <si>
    <t>500snlv</t>
  </si>
  <si>
    <t>地产</t>
  </si>
  <si>
    <t>互联</t>
  </si>
  <si>
    <t>15-20 + 4</t>
  </si>
  <si>
    <t>8-12+ 4</t>
  </si>
  <si>
    <t>15-17 + 2</t>
  </si>
  <si>
    <t>13-18</t>
  </si>
  <si>
    <t>19-24</t>
  </si>
  <si>
    <t>12-16</t>
  </si>
  <si>
    <t>17-19</t>
  </si>
  <si>
    <t>b</t>
  </si>
  <si>
    <t>c</t>
  </si>
  <si>
    <t>growth</t>
  </si>
  <si>
    <t>b+growth</t>
  </si>
  <si>
    <t>c-growth</t>
  </si>
  <si>
    <t>p</t>
  </si>
  <si>
    <t>pw/c-pl/b</t>
  </si>
  <si>
    <t>pw*b-pl*c</t>
  </si>
  <si>
    <t>总和</t>
  </si>
  <si>
    <t>东财</t>
  </si>
  <si>
    <t>魔方</t>
  </si>
  <si>
    <t>2016.10</t>
  </si>
  <si>
    <t>2019.12</t>
  </si>
  <si>
    <t>to 50%</t>
  </si>
  <si>
    <t>to 70%</t>
  </si>
  <si>
    <t xml:space="preserve">divident </t>
  </si>
  <si>
    <t>pb</t>
  </si>
  <si>
    <t>pe</t>
  </si>
  <si>
    <t>原油</t>
  </si>
  <si>
    <t>代 码</t>
  </si>
  <si>
    <t>转债名称</t>
  </si>
  <si>
    <t>现 价</t>
  </si>
  <si>
    <t>涨跌幅</t>
  </si>
  <si>
    <t>正股名称</t>
  </si>
  <si>
    <t>正股价</t>
  </si>
  <si>
    <t>正股</t>
  </si>
  <si>
    <t>PB</t>
  </si>
  <si>
    <t>转股价</t>
  </si>
  <si>
    <t>转股</t>
  </si>
  <si>
    <t>溢价率</t>
  </si>
  <si>
    <t>纯债</t>
  </si>
  <si>
    <t>评级</t>
  </si>
  <si>
    <t>期权</t>
  </si>
  <si>
    <t>回售</t>
  </si>
  <si>
    <t>强赎</t>
  </si>
  <si>
    <t>转债</t>
  </si>
  <si>
    <t>机构</t>
  </si>
  <si>
    <t>到期时间</t>
  </si>
  <si>
    <t>剩余</t>
  </si>
  <si>
    <t>到期</t>
  </si>
  <si>
    <t>成交额</t>
  </si>
  <si>
    <t>操作</t>
  </si>
  <si>
    <t>涨跌</t>
  </si>
  <si>
    <t>价值</t>
  </si>
  <si>
    <t>触发价</t>
  </si>
  <si>
    <t>占比</t>
  </si>
  <si>
    <t>持仓</t>
  </si>
  <si>
    <t>年限</t>
  </si>
  <si>
    <t>税前收益</t>
  </si>
  <si>
    <t>税后收益</t>
  </si>
  <si>
    <t>收益</t>
  </si>
  <si>
    <t>(万元)</t>
  </si>
  <si>
    <t>price+overrate</t>
  </si>
  <si>
    <t>鼎胜转债</t>
  </si>
  <si>
    <t>鼎胜新材</t>
  </si>
  <si>
    <t>15.280*</t>
  </si>
  <si>
    <t>购买</t>
  </si>
  <si>
    <t>AA</t>
  </si>
  <si>
    <t></t>
  </si>
  <si>
    <t>通光转债</t>
  </si>
  <si>
    <t>通光线缆</t>
  </si>
  <si>
    <t>A+</t>
  </si>
  <si>
    <t>-</t>
  </si>
  <si>
    <t></t>
  </si>
  <si>
    <t>迪贝转债</t>
  </si>
  <si>
    <t>迪贝电气</t>
  </si>
  <si>
    <t>金轮转债</t>
  </si>
  <si>
    <t>金轮股份</t>
  </si>
  <si>
    <t>AA-</t>
  </si>
  <si>
    <t>华源转债</t>
  </si>
  <si>
    <t>华源控股</t>
  </si>
  <si>
    <t>白电转债</t>
  </si>
  <si>
    <t>白云电器</t>
  </si>
  <si>
    <t>三星转债</t>
  </si>
  <si>
    <t>三星新材</t>
  </si>
  <si>
    <t>亚泰转债</t>
  </si>
  <si>
    <t>亚泰国际</t>
  </si>
  <si>
    <t>14.800*</t>
  </si>
  <si>
    <t>特一转债</t>
  </si>
  <si>
    <t>特一药业</t>
  </si>
  <si>
    <t>15.450*</t>
  </si>
  <si>
    <t>九洲转债</t>
  </si>
  <si>
    <t>九洲电气</t>
  </si>
  <si>
    <t>尚荣转债</t>
  </si>
  <si>
    <t>尚荣医疗</t>
  </si>
  <si>
    <t>中环转债</t>
  </si>
  <si>
    <t>中环环保</t>
  </si>
  <si>
    <t>永鼎转债</t>
  </si>
  <si>
    <t>永鼎股份 R</t>
  </si>
  <si>
    <t>5.100*</t>
  </si>
  <si>
    <t>英联转债</t>
  </si>
  <si>
    <t>英联股份</t>
  </si>
  <si>
    <t>威帝转债</t>
  </si>
  <si>
    <t>威帝股份</t>
  </si>
  <si>
    <t>海亮转债</t>
  </si>
  <si>
    <t>海亮股份 R</t>
  </si>
  <si>
    <t>荣晟转债</t>
  </si>
  <si>
    <t>荣晟环保</t>
  </si>
  <si>
    <t>智能转债</t>
  </si>
  <si>
    <t>智能自控</t>
  </si>
  <si>
    <t>未来转债</t>
  </si>
  <si>
    <t>德尔未来 R</t>
  </si>
  <si>
    <t>三力转债</t>
  </si>
  <si>
    <t>三力士</t>
  </si>
  <si>
    <t>5.830*</t>
  </si>
  <si>
    <t>中来转债</t>
  </si>
  <si>
    <t>中来股份</t>
  </si>
  <si>
    <t>哈尔转债</t>
  </si>
  <si>
    <t>哈尔斯</t>
  </si>
  <si>
    <t>常汽转债</t>
  </si>
  <si>
    <t>常熟汽饰</t>
  </si>
  <si>
    <t>G三峡EB1</t>
  </si>
  <si>
    <t>长江电力 R</t>
  </si>
  <si>
    <t>AAA</t>
  </si>
  <si>
    <t>今飞转债</t>
  </si>
  <si>
    <t>今飞凯达</t>
  </si>
  <si>
    <t>光华转债</t>
  </si>
  <si>
    <t>光华科技</t>
  </si>
  <si>
    <t>12.720*</t>
  </si>
  <si>
    <t>华钰转债</t>
  </si>
  <si>
    <t>华钰矿业 R</t>
  </si>
  <si>
    <t>博彦转债</t>
  </si>
  <si>
    <t>博彦科技</t>
  </si>
  <si>
    <t>华森转债</t>
  </si>
  <si>
    <t>华森制药</t>
  </si>
  <si>
    <t>奇精转债</t>
  </si>
  <si>
    <t>奇精机械</t>
  </si>
  <si>
    <t>凯发转债</t>
  </si>
  <si>
    <t>凯发电气</t>
  </si>
  <si>
    <t>华夏转债</t>
  </si>
  <si>
    <t>华夏航空</t>
  </si>
  <si>
    <t>溢利转债</t>
  </si>
  <si>
    <t>溢多利</t>
  </si>
  <si>
    <t>文灿转债</t>
  </si>
  <si>
    <t>文灿股份</t>
  </si>
  <si>
    <t>清水转债</t>
  </si>
  <si>
    <t>清水源</t>
  </si>
  <si>
    <t>远东转债</t>
  </si>
  <si>
    <t>远东传动</t>
  </si>
  <si>
    <t>科森转债</t>
  </si>
  <si>
    <t>科森科技</t>
  </si>
  <si>
    <t>圣达转债</t>
  </si>
  <si>
    <t>圣达生物</t>
  </si>
  <si>
    <t>万信转2</t>
  </si>
  <si>
    <t>万达信息 R</t>
  </si>
  <si>
    <t>蓝晓转债</t>
  </si>
  <si>
    <t>蓝晓科技</t>
  </si>
  <si>
    <t>万里转债</t>
  </si>
  <si>
    <t>万里马</t>
  </si>
  <si>
    <t>江银转债</t>
  </si>
  <si>
    <t>江阴银行</t>
  </si>
  <si>
    <t>4.680**</t>
  </si>
  <si>
    <t>AA+</t>
  </si>
  <si>
    <t>迪森转债</t>
  </si>
  <si>
    <t>迪森股份</t>
  </si>
  <si>
    <t>华通转债</t>
  </si>
  <si>
    <t>华通医药</t>
  </si>
  <si>
    <t>长青转2</t>
  </si>
  <si>
    <t>长青股份</t>
  </si>
  <si>
    <t>大丰转债</t>
  </si>
  <si>
    <t>大丰实业</t>
  </si>
  <si>
    <t>岱勒转债</t>
  </si>
  <si>
    <t>岱勒新材</t>
  </si>
  <si>
    <t>海印转债</t>
  </si>
  <si>
    <t>海印股份 R</t>
  </si>
  <si>
    <t>3.010**</t>
  </si>
  <si>
    <t>克来转债</t>
  </si>
  <si>
    <t>克来机电</t>
  </si>
  <si>
    <t>金力转债</t>
  </si>
  <si>
    <t>金力永磁</t>
  </si>
  <si>
    <t>中宠转债</t>
  </si>
  <si>
    <t>中宠股份</t>
  </si>
  <si>
    <t>明泰转债</t>
  </si>
  <si>
    <t>明泰铝业</t>
  </si>
  <si>
    <t>万顺转债</t>
  </si>
  <si>
    <t>万顺新材</t>
  </si>
  <si>
    <t>千禾转债</t>
  </si>
  <si>
    <t>千禾味业</t>
  </si>
  <si>
    <t>合兴转债</t>
  </si>
  <si>
    <t>合兴包装</t>
  </si>
  <si>
    <t>博世转债</t>
  </si>
  <si>
    <t>博世科</t>
  </si>
  <si>
    <t>12.380*</t>
  </si>
  <si>
    <t>金能转债</t>
  </si>
  <si>
    <t>金能科技 R</t>
  </si>
  <si>
    <t>蓝盾转债</t>
  </si>
  <si>
    <t>蓝盾股份 R</t>
  </si>
  <si>
    <t>5.790*</t>
  </si>
  <si>
    <t>岭南转债</t>
  </si>
  <si>
    <t>岭南股份</t>
  </si>
  <si>
    <t>5.920*</t>
  </si>
  <si>
    <t>金农转债</t>
  </si>
  <si>
    <t>金新农 R</t>
  </si>
  <si>
    <t>伟明转债</t>
  </si>
  <si>
    <t>伟明环保 R</t>
  </si>
  <si>
    <t>招路转债</t>
  </si>
  <si>
    <t>招商公路</t>
  </si>
  <si>
    <t>南威转债</t>
  </si>
  <si>
    <t>南威软件 R</t>
  </si>
  <si>
    <t>高能转债</t>
  </si>
  <si>
    <t>高能环境 R</t>
  </si>
  <si>
    <t>司尔转债</t>
  </si>
  <si>
    <t>司尔特 R</t>
  </si>
  <si>
    <t>18中化EBQ</t>
  </si>
  <si>
    <t>中国化学 R</t>
  </si>
  <si>
    <t>山鹰转债</t>
  </si>
  <si>
    <t>山鹰纸业 R</t>
  </si>
  <si>
    <t>好客转债</t>
  </si>
  <si>
    <t>好莱客</t>
  </si>
  <si>
    <t>德尔转债</t>
  </si>
  <si>
    <t>德尔股份</t>
  </si>
  <si>
    <t>艾华转债</t>
  </si>
  <si>
    <t>艾华集团 R</t>
  </si>
  <si>
    <t>21.430*</t>
  </si>
  <si>
    <t>19蓝星EBQ</t>
  </si>
  <si>
    <t>安迪苏 R</t>
  </si>
  <si>
    <t>湖广转债</t>
  </si>
  <si>
    <t>湖北广电 R</t>
  </si>
  <si>
    <t>5.610*</t>
  </si>
  <si>
    <t>佳都转债</t>
  </si>
  <si>
    <t>佳都科技 R</t>
  </si>
  <si>
    <t>索发转债</t>
  </si>
  <si>
    <t>索通发展</t>
  </si>
  <si>
    <t>国贸转债</t>
  </si>
  <si>
    <t>厦门国贸 R</t>
  </si>
  <si>
    <t>7.420*</t>
  </si>
  <si>
    <t>铁汉转债</t>
  </si>
  <si>
    <t>铁汉生态 R</t>
  </si>
  <si>
    <t>3.980*</t>
  </si>
  <si>
    <t>亨通转债</t>
  </si>
  <si>
    <t>亨通光电 R</t>
  </si>
  <si>
    <t>15.680*</t>
  </si>
  <si>
    <t>富祥转债</t>
  </si>
  <si>
    <t>富祥股份</t>
  </si>
  <si>
    <t>圆通转债</t>
  </si>
  <si>
    <t>圆通速递 R</t>
  </si>
  <si>
    <t>久立转2</t>
  </si>
  <si>
    <t>久立特材 R</t>
  </si>
  <si>
    <t>横河转债</t>
  </si>
  <si>
    <t>横河模具</t>
  </si>
  <si>
    <t>苏农转债</t>
  </si>
  <si>
    <t>苏农银行 R</t>
  </si>
  <si>
    <t>创维转债</t>
  </si>
  <si>
    <t>创维数字 R</t>
  </si>
  <si>
    <t>台华转债</t>
  </si>
  <si>
    <t>台华新材</t>
  </si>
  <si>
    <t>旭升转债</t>
  </si>
  <si>
    <t>旭升股份</t>
  </si>
  <si>
    <t>石英转债</t>
  </si>
  <si>
    <t>石英股份 R</t>
  </si>
  <si>
    <t>电气转债</t>
  </si>
  <si>
    <t>上海电气 R</t>
  </si>
  <si>
    <t>5.130*</t>
  </si>
  <si>
    <t>迪龙转债</t>
  </si>
  <si>
    <t>雪迪龙</t>
  </si>
  <si>
    <t>8.930*</t>
  </si>
  <si>
    <t>长城转债</t>
  </si>
  <si>
    <t>长城科技</t>
  </si>
  <si>
    <t>北方转债</t>
  </si>
  <si>
    <t>北方国际</t>
  </si>
  <si>
    <t>桐昆转债</t>
  </si>
  <si>
    <t>桐昆股份 R</t>
  </si>
  <si>
    <t>国祯转债</t>
  </si>
  <si>
    <t>国祯环保</t>
  </si>
  <si>
    <t>8.600*</t>
  </si>
  <si>
    <t>维格转债</t>
  </si>
  <si>
    <t>锦泓集团</t>
  </si>
  <si>
    <t>福能转债</t>
  </si>
  <si>
    <t>福能股份 R</t>
  </si>
  <si>
    <t>长久转债</t>
  </si>
  <si>
    <t>长久物流</t>
  </si>
  <si>
    <t>张行转债</t>
  </si>
  <si>
    <t>张家港行 R</t>
  </si>
  <si>
    <t>钧达转债</t>
  </si>
  <si>
    <t>钧达股份</t>
  </si>
  <si>
    <t>星源转债</t>
  </si>
  <si>
    <t>星源材质</t>
  </si>
  <si>
    <t>天路转债</t>
  </si>
  <si>
    <t>西藏天路 R</t>
  </si>
  <si>
    <t>英科转债</t>
  </si>
  <si>
    <t>英科医疗</t>
  </si>
  <si>
    <t>环境转债</t>
  </si>
  <si>
    <t>上海环境</t>
  </si>
  <si>
    <t>兄弟转债</t>
  </si>
  <si>
    <t>兄弟科技</t>
  </si>
  <si>
    <t>5.250*</t>
  </si>
  <si>
    <t>海环转债</t>
  </si>
  <si>
    <t>海峡环保</t>
  </si>
  <si>
    <t>雅化转债</t>
  </si>
  <si>
    <t>雅化集团 R</t>
  </si>
  <si>
    <t>19华菱EBQ</t>
  </si>
  <si>
    <t>华菱钢铁 R</t>
  </si>
  <si>
    <t>杭电转债</t>
  </si>
  <si>
    <t>杭电股份 R</t>
  </si>
  <si>
    <t>洲明转债</t>
  </si>
  <si>
    <t>洲明科技 R</t>
  </si>
  <si>
    <t>无锡转债</t>
  </si>
  <si>
    <t>无锡银行</t>
  </si>
  <si>
    <t>6.520*</t>
  </si>
  <si>
    <t>拓邦转债</t>
  </si>
  <si>
    <t>拓邦股份</t>
  </si>
  <si>
    <t>泰晶转债</t>
  </si>
  <si>
    <t>泰晶科技</t>
  </si>
  <si>
    <t>苏银转债</t>
  </si>
  <si>
    <t>江苏银行 R</t>
  </si>
  <si>
    <t>现代转债</t>
  </si>
  <si>
    <t>现代制药</t>
  </si>
  <si>
    <t>贵广转债</t>
  </si>
  <si>
    <t>贵广网络 R</t>
  </si>
  <si>
    <t>15国资EB</t>
  </si>
  <si>
    <t>中国太保 R</t>
  </si>
  <si>
    <t>伊力转债</t>
  </si>
  <si>
    <t>伊力特 R</t>
  </si>
  <si>
    <t>再升转债</t>
  </si>
  <si>
    <t>再升科技 R</t>
  </si>
  <si>
    <t>玲珑转债</t>
  </si>
  <si>
    <t>玲珑轮胎 R</t>
  </si>
  <si>
    <t>联泰转债</t>
  </si>
  <si>
    <t>联泰环保</t>
  </si>
  <si>
    <t>视源转债</t>
  </si>
  <si>
    <t>视源股份</t>
  </si>
  <si>
    <t>蓝思转债</t>
  </si>
  <si>
    <t>蓝思科技 R</t>
  </si>
  <si>
    <t>10.440**</t>
  </si>
  <si>
    <t>福特转债</t>
  </si>
  <si>
    <t>福斯特 R</t>
  </si>
  <si>
    <t>新泉转债</t>
  </si>
  <si>
    <t>新泉股份</t>
  </si>
  <si>
    <t>18.890*</t>
  </si>
  <si>
    <t>光大转债</t>
  </si>
  <si>
    <t>光大银行 R</t>
  </si>
  <si>
    <t>启明转债</t>
  </si>
  <si>
    <t>启明星辰 R</t>
  </si>
  <si>
    <t>大业转债</t>
  </si>
  <si>
    <t>大业股份</t>
  </si>
  <si>
    <t>游族转债</t>
  </si>
  <si>
    <t>游族网络 R</t>
  </si>
  <si>
    <t>顾家转债</t>
  </si>
  <si>
    <t>顾家家居 R</t>
  </si>
  <si>
    <t>航电转债</t>
  </si>
  <si>
    <t>中航电子 R</t>
  </si>
  <si>
    <t>时达转债</t>
  </si>
  <si>
    <t>新时达</t>
  </si>
  <si>
    <t>7.450*</t>
  </si>
  <si>
    <t>吉视转债</t>
  </si>
  <si>
    <t>吉视传媒 R</t>
  </si>
  <si>
    <t>通威转债</t>
  </si>
  <si>
    <t>通威股份 R</t>
  </si>
  <si>
    <t>众信转债</t>
  </si>
  <si>
    <t>众信旅游</t>
  </si>
  <si>
    <t>7.910*</t>
  </si>
  <si>
    <t>欧派转债</t>
  </si>
  <si>
    <t>欧派家居 R</t>
  </si>
  <si>
    <t>蒙电转债</t>
  </si>
  <si>
    <t>内蒙华电 R</t>
  </si>
  <si>
    <t>百姓转债</t>
  </si>
  <si>
    <t>老百姓 R</t>
  </si>
  <si>
    <t>利德转债</t>
  </si>
  <si>
    <t>利亚德 R</t>
  </si>
  <si>
    <t>中天转债</t>
  </si>
  <si>
    <t>中天科技 R</t>
  </si>
  <si>
    <t>寒锐转债</t>
  </si>
  <si>
    <t>寒锐钴业 R</t>
  </si>
  <si>
    <t>核能转债</t>
  </si>
  <si>
    <t>中国核电 R</t>
  </si>
  <si>
    <t>雨虹转债</t>
  </si>
  <si>
    <t>东方雨虹 R</t>
  </si>
  <si>
    <t>浦发转债</t>
  </si>
  <si>
    <t>浦发银行 R</t>
  </si>
  <si>
    <t>精测转债</t>
  </si>
  <si>
    <t>精测电子 R</t>
  </si>
  <si>
    <t>太极转债</t>
  </si>
  <si>
    <t>太极股份 R</t>
  </si>
  <si>
    <t>参林转债 !</t>
  </si>
  <si>
    <t>大参林 R</t>
  </si>
  <si>
    <t>盛路转债</t>
  </si>
  <si>
    <t>盛路通信 R</t>
  </si>
  <si>
    <t>道氏转债</t>
  </si>
  <si>
    <t>道氏技术</t>
  </si>
  <si>
    <t>15.050*</t>
  </si>
  <si>
    <t>曙光转债</t>
  </si>
  <si>
    <t>中科曙光 R</t>
  </si>
  <si>
    <t>水晶转债</t>
  </si>
  <si>
    <t>水晶光电 R</t>
  </si>
  <si>
    <t>12.230*</t>
  </si>
  <si>
    <t>太阳转债</t>
  </si>
  <si>
    <t>太阳纸业 R</t>
  </si>
  <si>
    <t>小康转债</t>
  </si>
  <si>
    <t>小康股份 R</t>
  </si>
  <si>
    <t>17.120*</t>
  </si>
  <si>
    <t>顺丰转债</t>
  </si>
  <si>
    <t>顺丰控股 R</t>
  </si>
  <si>
    <t>川投转债</t>
  </si>
  <si>
    <t>川投能源 R</t>
  </si>
  <si>
    <t>中信转债</t>
  </si>
  <si>
    <t>中信银行 R</t>
  </si>
  <si>
    <t>浙商转债</t>
  </si>
  <si>
    <t>浙商证券 R</t>
  </si>
  <si>
    <t>烽火转债</t>
  </si>
  <si>
    <t>烽火通信 R</t>
  </si>
  <si>
    <t>19中电EB</t>
  </si>
  <si>
    <t>中国软件 R</t>
  </si>
  <si>
    <t>和而转债</t>
  </si>
  <si>
    <t>和而泰 R</t>
  </si>
  <si>
    <t>安图转债</t>
  </si>
  <si>
    <t>安图生物 R</t>
  </si>
  <si>
    <t>金禾转债</t>
  </si>
  <si>
    <t>金禾实业 R</t>
  </si>
  <si>
    <t>敖东转债</t>
  </si>
  <si>
    <t>吉林敖东 R</t>
  </si>
  <si>
    <t>百合转债 !</t>
  </si>
  <si>
    <t>梦百合</t>
  </si>
  <si>
    <t>机电转债</t>
  </si>
  <si>
    <t>中航机电 R</t>
  </si>
  <si>
    <t>凯中转债</t>
  </si>
  <si>
    <t>凯中精密</t>
  </si>
  <si>
    <t>翔鹭转债</t>
  </si>
  <si>
    <t>翔鹭钨业</t>
  </si>
  <si>
    <t>一心转债</t>
  </si>
  <si>
    <t>一心堂 R</t>
  </si>
  <si>
    <t>长证转债</t>
  </si>
  <si>
    <t>长江证券 R</t>
  </si>
  <si>
    <t>17中油EB</t>
  </si>
  <si>
    <t>中国石油 R</t>
  </si>
  <si>
    <t>桃李转债</t>
  </si>
  <si>
    <t>桃李面包 R</t>
  </si>
  <si>
    <t>中装转债</t>
  </si>
  <si>
    <t>中装建设</t>
  </si>
  <si>
    <t>众兴转债</t>
  </si>
  <si>
    <t>众兴菌业</t>
  </si>
  <si>
    <t>新凤转债</t>
  </si>
  <si>
    <t>新凤鸣</t>
  </si>
  <si>
    <t>广电转债 !</t>
  </si>
  <si>
    <t>广电网络 R</t>
  </si>
  <si>
    <t>九州转债</t>
  </si>
  <si>
    <t>九州通 R</t>
  </si>
  <si>
    <t>骆驼转债</t>
  </si>
  <si>
    <t>骆驼股份 R</t>
  </si>
  <si>
    <t>13.290*</t>
  </si>
  <si>
    <t>核建转债</t>
  </si>
  <si>
    <t>中国核建 R</t>
  </si>
  <si>
    <t>海澜转债</t>
  </si>
  <si>
    <t>海澜之家 R</t>
  </si>
  <si>
    <t>18中油EB</t>
  </si>
  <si>
    <t>久其转债</t>
  </si>
  <si>
    <t>久其软件</t>
  </si>
  <si>
    <t>9.480*</t>
  </si>
  <si>
    <t>国君转债</t>
  </si>
  <si>
    <t>国泰君安 R</t>
  </si>
  <si>
    <t>永东转债</t>
  </si>
  <si>
    <t>永东股份</t>
  </si>
  <si>
    <t>天康转债</t>
  </si>
  <si>
    <t>天康生物 R</t>
  </si>
  <si>
    <t>晶瑞转债</t>
  </si>
  <si>
    <t>晶瑞股份</t>
  </si>
  <si>
    <t>中鼎转2</t>
  </si>
  <si>
    <t>中鼎股份 R</t>
  </si>
  <si>
    <t>赣锋转债</t>
  </si>
  <si>
    <t>赣锋锂业 R</t>
  </si>
  <si>
    <t>广汽转债</t>
  </si>
  <si>
    <t>广汽集团 R</t>
  </si>
  <si>
    <t>利尔转债</t>
  </si>
  <si>
    <t>利尔化学 R</t>
  </si>
  <si>
    <t>利欧转债</t>
  </si>
  <si>
    <t>利欧股份 R</t>
  </si>
  <si>
    <t>1.720*</t>
  </si>
  <si>
    <t>15国盛EB</t>
  </si>
  <si>
    <t>上海建工 R</t>
  </si>
  <si>
    <t>5.800*</t>
  </si>
  <si>
    <t>17宝武EBQ</t>
  </si>
  <si>
    <t>宝钢股份 R</t>
  </si>
  <si>
    <t>大族转债</t>
  </si>
  <si>
    <t>大族激光 R</t>
  </si>
  <si>
    <t>长信转债</t>
  </si>
  <si>
    <t>长信科技 R</t>
  </si>
  <si>
    <t>模塑转债</t>
  </si>
  <si>
    <t>模塑科技 R</t>
  </si>
  <si>
    <t>双环转债</t>
  </si>
  <si>
    <t>双环传动</t>
  </si>
  <si>
    <t>亚太转债</t>
  </si>
  <si>
    <t>亚太股份</t>
  </si>
  <si>
    <t>凯龙转债</t>
  </si>
  <si>
    <t>凯龙股份 R</t>
  </si>
  <si>
    <t>林洋转债</t>
  </si>
  <si>
    <t>林洋能源 R</t>
  </si>
  <si>
    <t>济川转债</t>
  </si>
  <si>
    <t>济川药业 R</t>
  </si>
  <si>
    <t>嘉澳转债</t>
  </si>
  <si>
    <t>嘉澳环保</t>
  </si>
  <si>
    <t>特发转债</t>
  </si>
  <si>
    <t>特发信息 R</t>
  </si>
  <si>
    <t>16凤凰EBQ</t>
  </si>
  <si>
    <t>凤凰传媒 R</t>
  </si>
  <si>
    <t>岩土转债</t>
  </si>
  <si>
    <t>中化岩土</t>
  </si>
  <si>
    <t>17山高EB</t>
  </si>
  <si>
    <t>山东高速 R</t>
  </si>
  <si>
    <t>亚药转债</t>
  </si>
  <si>
    <t>亚太药业 R</t>
  </si>
  <si>
    <t>东音转债</t>
  </si>
  <si>
    <t>东音股份</t>
  </si>
  <si>
    <t>6.550*</t>
  </si>
  <si>
    <t>航信转债</t>
  </si>
  <si>
    <t>航天信息 R</t>
  </si>
  <si>
    <t>洪涛转债</t>
  </si>
  <si>
    <t>洪涛股份 R</t>
  </si>
  <si>
    <t>8.000*</t>
  </si>
  <si>
    <t>顺昌转债</t>
  </si>
  <si>
    <t>澳洋顺昌</t>
  </si>
  <si>
    <t>17浙报EBQ</t>
  </si>
  <si>
    <t>浙数文化 R</t>
  </si>
  <si>
    <t>辉丰转债</t>
  </si>
  <si>
    <t>辉丰股份</t>
  </si>
  <si>
    <t>2018/5/15目前前七为：</t>
  </si>
  <si>
    <t>180619排名</t>
  </si>
  <si>
    <t>2018.12.29</t>
  </si>
  <si>
    <t>190307排名</t>
  </si>
  <si>
    <t>利欧98.86 江银100.97</t>
  </si>
  <si>
    <t>排名 可转债 现价 溢价率 得分</t>
  </si>
  <si>
    <t>排名  转债名称   现 价  溢价率 得分</t>
  </si>
  <si>
    <t>名次  转债  现 价  溢价率 得分</t>
  </si>
  <si>
    <t> 代 码   转债名称   现 价  溢价率 估值</t>
  </si>
  <si>
    <t>岩土101.08 众兴103.00</t>
  </si>
  <si>
    <t>1 利欧转债 86.420 10.54% 96.960</t>
  </si>
  <si>
    <t>1 盛路转债 103.6 -9.89% 93.71</t>
  </si>
  <si>
    <t>1 华源转债 110.5 0.05% 110.55</t>
  </si>
  <si>
    <t>1 128060 中装转债 101.1 0.10% 101.2</t>
  </si>
  <si>
    <t>吉视103.18 天马103.73</t>
  </si>
  <si>
    <t>2 金农转债 92.208 4.98% 97.188</t>
  </si>
  <si>
    <t>2 万顺转债 94.647 -0.59% 94.057</t>
  </si>
  <si>
    <t>2 溢利转债 118.48 -6.70% 111.78</t>
  </si>
  <si>
    <t>2 113535 大业转债 101.5 0.82% 102.4</t>
  </si>
  <si>
    <t>鼎信105.87</t>
  </si>
  <si>
    <t>3 岩土转债 87.178 15.05% 102.228</t>
  </si>
  <si>
    <t>3 凯发转债 93.48 1.45% 94.93</t>
  </si>
  <si>
    <t>3 维格转债 111.31 0.61% 111.92</t>
  </si>
  <si>
    <t>3 128057 博彦转债 102.1 3.27% 105.4</t>
  </si>
  <si>
    <t>4 无锡转债 93.190 10.12% 103.310</t>
  </si>
  <si>
    <t>4 利欧转债 90.35 5.72% 96.07</t>
  </si>
  <si>
    <t>4 凯龙转债 117 -4.51% 112.49</t>
  </si>
  <si>
    <t>4 113523 伟明转债 108.6 -2.90% 105.7</t>
  </si>
  <si>
    <t>5 泰晶转债 95.830 7.75% 103.580</t>
  </si>
  <si>
    <t>5 德尔转债 96.3 -0.07% 96.23</t>
  </si>
  <si>
    <t>5 奇精转债 109.98 2.61% 112.59</t>
  </si>
  <si>
    <t>5 113519 长久转债 103.5 2.33% 105.8</t>
  </si>
  <si>
    <t>6 众兴转债 90.300 15.13% 105.430</t>
  </si>
  <si>
    <t>6 小康转债 98.39 -1.27% 97.12</t>
  </si>
  <si>
    <t>6 尚荣转债 118.2 -5.36% 112.84</t>
  </si>
  <si>
    <t>6 113526 联泰转债 107.2 -0.66% 106.5</t>
  </si>
  <si>
    <t>7 天马转债 96.390 9.56% 105.950</t>
  </si>
  <si>
    <t>7 蓝盾转债 91.12 6.06% 97.18</t>
  </si>
  <si>
    <t>7 联泰转债 113.22 -0.31% 112.91</t>
  </si>
  <si>
    <t>7 128034 江银转债 102.7 4.01% 106.7</t>
  </si>
  <si>
    <t>8 鼎信转债 89.500 16.53% 106.030</t>
  </si>
  <si>
    <t>8 华源转债 91.8 5.43% 97.23</t>
  </si>
  <si>
    <t>8 山鹰转债 117.54 -3.78% 113.76</t>
  </si>
  <si>
    <t>8 128039 三力转债 104.2 2.66% 106.9</t>
  </si>
  <si>
    <t>9 杭电转债 94.090 12.26% 106.350</t>
  </si>
  <si>
    <t>9 横河转债 92 5.44% 97.44</t>
  </si>
  <si>
    <t>9 德尔转债 113.1 0.89% 113.99</t>
  </si>
  <si>
    <t>9 113025 明泰转债 97.1 10.42% 107.5</t>
  </si>
  <si>
    <t>10 特一转债 91.990 14.70% 106.690</t>
  </si>
  <si>
    <t>10 三力转债 94.872 2.60% 97.472</t>
  </si>
  <si>
    <t>10 钧达转债 109.11 5.56% 114.67</t>
  </si>
  <si>
    <t>10 113505 杭电转债 100.9 6.61% 107.5</t>
  </si>
  <si>
    <t>11 永东转债 103.990 4.45% 108.440</t>
  </si>
  <si>
    <t>11 广电转债 98.2 0.23% 98.43</t>
  </si>
  <si>
    <t>11 小康转债 110.25 4.42% 114.67</t>
  </si>
  <si>
    <t>11 123014 凯发转债 100.3 7.27% 107.6</t>
  </si>
  <si>
    <t>12 天康转债 90.501 19.84% 110.341</t>
  </si>
  <si>
    <t>12 特发转债 101.59 -2.99% 98.6</t>
  </si>
  <si>
    <t>12 威帝转债 110.96 3.77% 114.73</t>
  </si>
  <si>
    <t>12 110052 贵广转债 115.5 -7.53% 107.9</t>
  </si>
  <si>
    <t>13 宝信转债 114.230 -3.27% 110.960</t>
  </si>
  <si>
    <t>13 钧达转债 93.021 5.77% 98.791</t>
  </si>
  <si>
    <t>13 科森转债 116.48 -1.56% 114.92</t>
  </si>
  <si>
    <t>13 113514 威帝转债 99.9 8.29% 108.2</t>
  </si>
  <si>
    <t>14 小康转债 91.880 19.59% 111.470</t>
  </si>
  <si>
    <t>14 鼎信转债 99.11 0.60% 99.71</t>
  </si>
  <si>
    <t>14 长久转债 111.5 3.47% 114.97</t>
  </si>
  <si>
    <t>14 128053 尚荣转债 104.5 3.87% 108.4</t>
  </si>
  <si>
    <t>15 江银转债 92.703 19.24% 111.943</t>
  </si>
  <si>
    <t>15 东音转债 94.5 5.90% 100.4</t>
  </si>
  <si>
    <t>15 金农转债 108.016 7.01% 115.026</t>
  </si>
  <si>
    <t>15 123018 溢利转债 107.7 0.66% 108.4</t>
  </si>
  <si>
    <t>16 道氏转债 96.500 15.72% 112.220</t>
  </si>
  <si>
    <t>16 科森转债 92.41 8.40% 100.81</t>
  </si>
  <si>
    <t>16 特一转债 109.891 6.20% 116.091</t>
  </si>
  <si>
    <t>16 128050 钧达转债 99.8 8.59% 108.4</t>
  </si>
  <si>
    <t>17 新凤转债 93.830 19.06% 112.890</t>
  </si>
  <si>
    <t>17 百合转债 106.13 -3.87% 102.26</t>
  </si>
  <si>
    <t>17 吉视转债 108.72 8.35% 117.07</t>
  </si>
  <si>
    <t>17 128049 华源转债 101.8 7.04% 108.8</t>
  </si>
  <si>
    <t>18 众信转债 98.800 14.32% 113.120</t>
  </si>
  <si>
    <t>18 洲明转债 102 1.04% 103.04</t>
  </si>
  <si>
    <t>18 伟明转债 110.63 6.53% 117.16</t>
  </si>
  <si>
    <t>18 127007 湖广转债 110.0 -0.89% 109.1</t>
  </si>
  <si>
    <t>19 国祯转债 100.800 12.63% 113.430</t>
  </si>
  <si>
    <t>19 寒锐转债 97.4 7.14% 104.54</t>
  </si>
  <si>
    <t>19 张行转债 121.39 -3.84% 117.55</t>
  </si>
  <si>
    <t>19 110047 山鹰转债 105.1 4.17% 109.3</t>
  </si>
  <si>
    <t>20 双环转债 95.101 18.76% 113.861</t>
  </si>
  <si>
    <t>20 威帝转债 90.53 15.01% 105.54</t>
  </si>
  <si>
    <t>20 东音转债 112.777 5.06% 117.837</t>
  </si>
  <si>
    <t>20 113527 维格转债 97.5 11.85% 109.4</t>
  </si>
  <si>
    <t>21 久立转2 93.000 21.34% 114.340</t>
  </si>
  <si>
    <t>21 旭升转债 104 2.09% 106.09</t>
  </si>
  <si>
    <t>21 凯发转债 113.033 5.17% 118.203</t>
  </si>
  <si>
    <t>21 128048 张行转债 101.3 8.08% 109.4</t>
  </si>
  <si>
    <t>22 吉视转债 90.860 24.20% 115.060</t>
  </si>
  <si>
    <t>22 道氏转债 95.6 10.84% 106.44</t>
  </si>
  <si>
    <t>22 天马转债 118.52 -0.29% 118.23</t>
  </si>
  <si>
    <t>22 128062 亚药转债 99.7 9.93% 109.7</t>
  </si>
  <si>
    <t>23 九州转债 102.640 12.75% 115.390</t>
  </si>
  <si>
    <t>23 伟明转债 100.91 5.64% 106.55</t>
  </si>
  <si>
    <t>23 湖广转债 119.09 -0.82% 118.27</t>
  </si>
  <si>
    <t>23 123012 万顺转债 103.0 7.22% 110.2</t>
  </si>
  <si>
    <t>24 济川转债 115.990 -0.27% 115.720</t>
  </si>
  <si>
    <t>24 山鹰转债 99.8 6.84% 106.64</t>
  </si>
  <si>
    <t>24 海印转债 104.288 14.43% 118.718</t>
  </si>
  <si>
    <t>24 128038 利欧转债 110.3 0.38% 110.7</t>
  </si>
  <si>
    <t>25 光大转债 103.130 13.97% 117.100</t>
  </si>
  <si>
    <t>25 吴银转债 101.81 5.64% 107.45</t>
  </si>
  <si>
    <t>25 台华转债 115.69 3.28% 118.97</t>
  </si>
  <si>
    <t>25 128063 未来转债 103.4 7.44% 110.8</t>
  </si>
  <si>
    <t>26 久其转债 91.000 26.50% 117.500</t>
  </si>
  <si>
    <t>26 江银转债 98.15 9.55% 107.7</t>
  </si>
  <si>
    <t>26 江银转债 120.33 -1.26% 119.07</t>
  </si>
  <si>
    <t>26 128025 特一转债 105.5 5.82% 111.4</t>
  </si>
  <si>
    <t>27 宁行转债 105.100 12.61% 117.710</t>
  </si>
  <si>
    <t>27 特一转债 93.58 14.84% 108.42</t>
  </si>
  <si>
    <t>27 冰轮转债 119.61 -0.42% 119.19</t>
  </si>
  <si>
    <t>27 113516 苏农转债 103.1 8.58% 111.7</t>
  </si>
  <si>
    <t>28 东财转债 113.750 4.29% 118.040</t>
  </si>
  <si>
    <t>28 长久转债 98.85 10.25% 109.1</t>
  </si>
  <si>
    <t>28 迪龙转债 107 12.22% 119.22</t>
  </si>
  <si>
    <t>28 123015 蓝盾转债 106.7 4.94% 111.7</t>
  </si>
  <si>
    <t>29 崇达转债 105.500 12.66% 118.160</t>
  </si>
  <si>
    <t>29 岭南转债 95.4 13.82% 109.22</t>
  </si>
  <si>
    <t>29 兄弟转债 109.3 9.92% 119.22</t>
  </si>
  <si>
    <t>29 123013 横河转债 103.2 8.70% 111.9</t>
  </si>
  <si>
    <t>30 敖东转债 97.550 21.33% 118.880</t>
  </si>
  <si>
    <t>30 福能转债 103.89 6.21% 110.1</t>
  </si>
  <si>
    <t>30 高能转债 115.2 4.10% 119.3</t>
  </si>
  <si>
    <t>30 113525 台华转债 103.5 8.57% 112.1</t>
  </si>
  <si>
    <t>31 星源转债 120.400 -0.15% 120.250</t>
  </si>
  <si>
    <t>31 安井转债 107.36 3.45% 110.81</t>
  </si>
  <si>
    <t>31 圆通转债 120.84 -0.83% 120.01</t>
  </si>
  <si>
    <t>32 蒙电转债 95.820 25.07% 120.890</t>
  </si>
  <si>
    <t>32 国祯转债 106.56 4.99% 111.55</t>
  </si>
  <si>
    <t>32 寒锐转债 110.8 9.48% 120.28</t>
  </si>
  <si>
    <t>33 金禾转债 104.800 17.27% 122.070</t>
  </si>
  <si>
    <t>33 高能转债 96.5 15.31% 111.81</t>
  </si>
  <si>
    <t>33 华通转债 104 16.29% 120.29</t>
  </si>
  <si>
    <t>34 常熟转债 95.680 26.72% 122.400</t>
  </si>
  <si>
    <t>34 常熟转债 109.4 2.63% 112.03</t>
  </si>
  <si>
    <t>34 安井转债 109.83 10.48% 120.31</t>
  </si>
  <si>
    <t>35 玲珑转债 100.020 22.52% 122.540</t>
  </si>
  <si>
    <t>35 张行转债 99.5 12.70% 112.2</t>
  </si>
  <si>
    <t>35 无锡转债 113.41 7.02% 120.43</t>
  </si>
  <si>
    <t>36 骆驼转债 96.450 26.78% 123.230</t>
  </si>
  <si>
    <t>36 蓝标转债 95.9 16.89% 112.79</t>
  </si>
  <si>
    <t>36 百合转债 122.62 -0.70% 121.92</t>
  </si>
  <si>
    <t>37 三一转债 120.020 3.45% 123.470</t>
  </si>
  <si>
    <t>37 新泉转债 96.71 16.20% 112.91</t>
  </si>
  <si>
    <t>37 电气转债 118.87 3.17% 122.04</t>
  </si>
  <si>
    <t>38 雨虹转债 104.400 19.99% 124.390</t>
  </si>
  <si>
    <t>38 圆通转债 102.16 11.25% 113.41</t>
  </si>
  <si>
    <t>38 蒙电转债 114.24 7.96% 122.2</t>
  </si>
  <si>
    <t>39 大族转债 113.400 12.14% 125.540</t>
  </si>
  <si>
    <t>39 迪龙转债 94.001 19.55% 113.551</t>
  </si>
  <si>
    <t>39 泰晶转债 107.23 15.03% 122.26</t>
  </si>
  <si>
    <t>40 太阳转债 118.750 7.02% 125.770</t>
  </si>
  <si>
    <t>40 崇达转债 105.201 8.80% 114.001</t>
  </si>
  <si>
    <t>40 杭电转债 108.25 14.04% 122.29</t>
  </si>
  <si>
    <t>41 万信转债 140.200 -14.01% 126.190</t>
  </si>
  <si>
    <t>41 金农转债 87.899 26.40% 114.299</t>
  </si>
  <si>
    <t>41 万顺转债 123.5 -1.11% 122.39</t>
  </si>
  <si>
    <t>42 艾华转债 101.210 25.20% 126.410</t>
  </si>
  <si>
    <t>42 景旺转债 107.51 7.55% 115.06</t>
  </si>
  <si>
    <t>42 铁汉转债 124.011 -1.04% 122.971</t>
  </si>
  <si>
    <t>43 长证转债 93.000 33.61% 126.610</t>
  </si>
  <si>
    <t>43 杭电转债 90.16 25.91% 116.07</t>
  </si>
  <si>
    <t>43 凯中转债 106.251 16.73% 122.981</t>
  </si>
  <si>
    <t>44 广汽转债 103.790 25.90% 129.690</t>
  </si>
  <si>
    <t>44 兄弟转债 95.9 20.72% 116.62</t>
  </si>
  <si>
    <t>44 道氏转债 124.3 -1.18% 123.12</t>
  </si>
  <si>
    <t>45 国贸转债 102.780 27.35% 130.130</t>
  </si>
  <si>
    <t>45 艾华转债 104.2 12.43% 116.63</t>
  </si>
  <si>
    <t>45 桐昆转债 116.11 7.20% 123.31</t>
  </si>
  <si>
    <t>46 嘉澳转债 85.000 46.27% 131.270</t>
  </si>
  <si>
    <t>46 凯中转债 94.8 21.83% 116.63</t>
  </si>
  <si>
    <t>46 光华转债 108.439 14.99% 123.429</t>
  </si>
  <si>
    <t>47 铁汉转债 91.390 40.06% 131.450</t>
  </si>
  <si>
    <t>47 海印转债 90.827 26.65% 117.477</t>
  </si>
  <si>
    <t>47 新泉转债 110.02 13.60% 123.62</t>
  </si>
  <si>
    <t>48 时达转债 87.100 45.37% 132.470</t>
  </si>
  <si>
    <t>48 电气转债 106.12 11.49% 117.61</t>
  </si>
  <si>
    <t>48 三力转债 123.91 -0.05% 123.86</t>
  </si>
  <si>
    <t>49 航电转债 101.750 30.87% 132.620</t>
  </si>
  <si>
    <t>49 新凤转债 96.5 22.18% 118.68</t>
  </si>
  <si>
    <t>49 旭升转债 119.29 4.82% 124.11</t>
  </si>
  <si>
    <t>50 亚太转债 85.210 51.13% 136.340</t>
  </si>
  <si>
    <t>50 久立转2 95.395 23.68% 119.075</t>
  </si>
  <si>
    <t>50 国贸转债 114.03 10.31% 124.34</t>
  </si>
  <si>
    <t>51 国君转债 101.730 34.66% 136.390</t>
  </si>
  <si>
    <t>51 顾家转债 102 18.73% 120.73</t>
  </si>
  <si>
    <t>51 福能转债 117.57 6.87% 124.44</t>
  </si>
  <si>
    <t>52 隆基转债 94.500 42.68% 137.180</t>
  </si>
  <si>
    <t>52 无锡转债 97.13 24.19% 121.32</t>
  </si>
  <si>
    <t>52 国祯转债 126 -1.37% 124.63</t>
  </si>
  <si>
    <t>53 生益转债 99.000 39.61% 138.610</t>
  </si>
  <si>
    <t>53 生益转债 103 18.97% 121.97</t>
  </si>
  <si>
    <t>53 博世转债 102.5 22.14% 124.64</t>
  </si>
  <si>
    <t>54 顺昌转债 96.782 41.89% 138.672</t>
  </si>
  <si>
    <t>54 光大转债 105.43 17.68% 123.11</t>
  </si>
  <si>
    <t>54 蓝标转债 125 -0.23% 124.77</t>
  </si>
  <si>
    <t>55 赣锋转债 102.500 37.35% 139.850</t>
  </si>
  <si>
    <t>55 博世转债 91.415 31.91% 123.325</t>
  </si>
  <si>
    <t>55 新凤转债 105.82 19.96% 125.78</t>
  </si>
  <si>
    <t>56 林洋转债 89.420 53.09% 142.510</t>
  </si>
  <si>
    <t>56 泰晶转债 92.3 31.26% 123.56</t>
  </si>
  <si>
    <t>56 长证转债 118.42 7.46% 125.88</t>
  </si>
  <si>
    <t>57 江南转债 100.150 42.40% 142.550</t>
  </si>
  <si>
    <t>57 宁行转债 106 17.70% 123.7</t>
  </si>
  <si>
    <t>57 宁行转债 118.71 7.38% 126.09</t>
  </si>
  <si>
    <t>58 蓝标转债 85.390 57.46% 142.850</t>
  </si>
  <si>
    <t>58 航电转债 106.93 17.23% 124.16</t>
  </si>
  <si>
    <t>58 艾华转债 113.01 13.21% 126.22</t>
  </si>
  <si>
    <t>59 水晶转债 92.611 57.45% 150.061</t>
  </si>
  <si>
    <t>59 星源转债 99.756 24.48% 124.236</t>
  </si>
  <si>
    <t>59 航电转债 122.99 3.26% 126.25</t>
  </si>
  <si>
    <t>60 格力转债 104.800 46.76% 151.560</t>
  </si>
  <si>
    <t>60 三一转债 120.01 4.33% 124.34</t>
  </si>
  <si>
    <t>60 平银转债 117.703 8.74% 126.443</t>
  </si>
  <si>
    <t>61 迪龙转债 95.800 61.65% 157.450</t>
  </si>
  <si>
    <t>61 吉视转债 92.01 32.85% 124.86</t>
  </si>
  <si>
    <t>61 久立转2 112.05 14.42% 126.47</t>
  </si>
  <si>
    <t>62 海印转债 82.000 81.65% 163.650</t>
  </si>
  <si>
    <t>62 蒙电转债 99.33 25.56% 124.89</t>
  </si>
  <si>
    <t>62 光大转债 116.31 10.17% 126.48</t>
  </si>
  <si>
    <t>63 电气转债 100.690 64.69% 165.380</t>
  </si>
  <si>
    <t>63 东财转债 116 8.91% 124.91</t>
  </si>
  <si>
    <t>63 隆基转债 120.45 6.46% 126.91</t>
  </si>
  <si>
    <t>64 模塑转债 86.041 85.83% 171.871</t>
  </si>
  <si>
    <t>64 桐昆转债 100 29.41% 129.41</t>
  </si>
  <si>
    <t>64 鼎信转债 125.45 1.80% 127.25</t>
  </si>
  <si>
    <t>65 蓝思转债 96.150 76.26% 172.410</t>
  </si>
  <si>
    <t>65 机电转债 105.5 24.14% 129.64</t>
  </si>
  <si>
    <t>65 顾家转债 116.8 11.46% 128.26</t>
  </si>
  <si>
    <t>66 康泰转债 182.000 -2.84% 179.160</t>
  </si>
  <si>
    <t>66 湖广转债 95 34.80% 129.8</t>
  </si>
  <si>
    <t>66 星源转债 121.296 7.17% 128.466</t>
  </si>
  <si>
    <t>67 兄弟转债 89.802 92.83% 182.632</t>
  </si>
  <si>
    <t>67 九州转债 101.7 28.31% 130.01</t>
  </si>
  <si>
    <t>67 景旺转债 127.91 0.72% 128.63</t>
  </si>
  <si>
    <t>68 航信转债 102.120 91.11% 193.230</t>
  </si>
  <si>
    <t>68 天马转债 91.89 38.21% 130.1</t>
  </si>
  <si>
    <t>68 崇达转债 123.99 5.19% 129.18</t>
  </si>
  <si>
    <t>69 辉丰转债 78.340 139.66% 218.000</t>
  </si>
  <si>
    <t>69 永东转债 92.05 38.07% 130.12</t>
  </si>
  <si>
    <t>69 蓝盾转债 131.6 -1.81% 129.79</t>
  </si>
  <si>
    <t>70 洪涛转债 82.799 135.22% 218.019</t>
  </si>
  <si>
    <t>70 华通转债 89.122 42.32% 131.442</t>
  </si>
  <si>
    <t>70 广电转债 132.24 -1.75% 130.49</t>
  </si>
  <si>
    <t>71 康泰转债 123.7 7.97% 131.67</t>
  </si>
  <si>
    <t>71 海尔转债 123.58 7.67% 131.25</t>
  </si>
  <si>
    <t>72 再升转债 93.4 38.57% 131.97</t>
  </si>
  <si>
    <t>72 敖东转债 110.3 21.00% 131.3</t>
  </si>
  <si>
    <t>73 国贸转债 104 28.29% 132.29</t>
  </si>
  <si>
    <t>73 佳都转债 138.2 -6.74% 131.46</t>
  </si>
  <si>
    <t>74 济川转债 105.9 26.46% 132.36</t>
  </si>
  <si>
    <t>74 洲明转债 133.6 -1.52% 132.08</t>
  </si>
  <si>
    <t>75 光电转债 106.201 26.95% 133.151</t>
  </si>
  <si>
    <t>75 吴银转债 134.08 -1.73% 132.35</t>
  </si>
  <si>
    <t>76 隆基转债 100.85 32.89% 133.74</t>
  </si>
  <si>
    <t>76 生益转债 116.11 16.51% 132.62</t>
  </si>
  <si>
    <t>77 敖东转债 96.053 38.59% 134.643</t>
  </si>
  <si>
    <t>77 机电转债 117.142 15.63% 132.772</t>
  </si>
  <si>
    <t>78 玲珑转债 99.7 37.61% 137.31</t>
  </si>
  <si>
    <t>78 天康转债 111.5 21.82% 133.32</t>
  </si>
  <si>
    <t>79 骆驼转债 94.42 43.72% 138.14</t>
  </si>
  <si>
    <t>79 国君转债 122.32 11.05% 133.37</t>
  </si>
  <si>
    <t>80 长证转债 98.5 42.49% 140.99</t>
  </si>
  <si>
    <t>80 永东转债 103.684 30.37% 134.054</t>
  </si>
  <si>
    <t>81 利尔转债 99.199 42.08% 141.279</t>
  </si>
  <si>
    <t>81 光电转债 119.706 14.42% 134.126</t>
  </si>
  <si>
    <t>82 国君转债 105.27 36.05% 141.32</t>
  </si>
  <si>
    <t>82 曙光转债 123 12.62% 135.62</t>
  </si>
  <si>
    <t>83 海澜转债 98.3 43.74% 142.04</t>
  </si>
  <si>
    <t>83 玲珑转债 110.26 25.37% 135.63</t>
  </si>
  <si>
    <t>84 众兴转债 87.09 56.68% 143.77</t>
  </si>
  <si>
    <t>84 再升转债 103.8 32.03% 135.83</t>
  </si>
  <si>
    <t>85 金禾转债 99 45.29% 144.29</t>
  </si>
  <si>
    <t>85 九州转债 109.41 26.75% 136.16</t>
  </si>
  <si>
    <t>86 水晶转债 91.636 53.37% 145.006</t>
  </si>
  <si>
    <t>86 利尔转债 108.083 28.41% 136.493</t>
  </si>
  <si>
    <t>87 千禾转债 92.29 55.12% 147.41</t>
  </si>
  <si>
    <t>87 海澜转债 106.7 31.13% 137.83</t>
  </si>
  <si>
    <t>88 广汽转债 102.04 46.17% 148.21</t>
  </si>
  <si>
    <t>88 双环转债 103.1 35.34% 138.44</t>
  </si>
  <si>
    <t>89 太阳转债 98 50.44% 148.44</t>
  </si>
  <si>
    <t>89 太阳转债 108 30.70% 138.7</t>
  </si>
  <si>
    <t>90 双环转债 91.231 59.61% 150.841</t>
  </si>
  <si>
    <t>90 岭南转债 110 28.78% 138.78</t>
  </si>
  <si>
    <t>91 岩土转债 87.621 63.63% 151.251</t>
  </si>
  <si>
    <t>91 雨虹转债 110.87 28.40% 139.27</t>
  </si>
  <si>
    <t>92 曙光转债 105.38 50.61% 155.99</t>
  </si>
  <si>
    <t>92 水晶转债 108.5 31.32% 139.82</t>
  </si>
  <si>
    <t>93 众信转债 94.5 64.48% 158.98</t>
  </si>
  <si>
    <t>93 千禾转债 104.25 36.17% 140.42</t>
  </si>
  <si>
    <t>94 久其转债 93.1 68.39% 161.49</t>
  </si>
  <si>
    <t>94 众兴转债 97.302 43.18% 140.482</t>
  </si>
  <si>
    <t>95 嘉澳转债 89.47 73.91% 163.38</t>
  </si>
  <si>
    <t>95 嘉澳转债 99.82 42.34% 142.16</t>
  </si>
  <si>
    <t>96 大族转债 97.803 69.13% 166.933</t>
  </si>
  <si>
    <t>96 康泰转债 142.2 0.77% 142.97</t>
  </si>
  <si>
    <t>97 林洋转债 95 71.94% 166.94</t>
  </si>
  <si>
    <t>97 广汽转债 110.5 32.64% 143.14</t>
  </si>
  <si>
    <t>98 雨虹转债 99.1 73.18% 172.28</t>
  </si>
  <si>
    <t>98 横河转债 138.504 5.38% 143.884</t>
  </si>
  <si>
    <t>99 天康转债 93.4 81.24% 174.64</t>
  </si>
  <si>
    <t>99 久其转债 104.2 40.91% 145.11</t>
  </si>
  <si>
    <t>100 江南转债 102.31 73.01% 175.32</t>
  </si>
  <si>
    <t>100 济川转债 115.3 31.41% 146.71</t>
  </si>
  <si>
    <t>101 格力转债 102.26 75.23% 177.49</t>
  </si>
  <si>
    <t>101 常熟转债 149 -1.69% 147.31</t>
  </si>
  <si>
    <t>102 时达转债 87.16 92.37% 179.53</t>
  </si>
  <si>
    <t>102 盛路转债 148.8 -0.22% 148.58</t>
  </si>
  <si>
    <t>103 赣锋转债 95.66 84.47% 180.13</t>
  </si>
  <si>
    <t>103 大族转债 111.4 37.80% 149.2</t>
  </si>
  <si>
    <t>104 铁汉转债 91.98 99.73% 191.71</t>
  </si>
  <si>
    <t>104 岩土转债 97.611 52.49% 150.101</t>
  </si>
  <si>
    <t>105 亚太转债 87.805 113.62% 201.425</t>
  </si>
  <si>
    <t>105 金禾转债 108.7 42.24% 150.94</t>
  </si>
  <si>
    <t>106 航信转债 106.34 96.88% 203.22</t>
  </si>
  <si>
    <t>106 格力转债 104.5 46.50% 151</t>
  </si>
  <si>
    <t>107 蓝思转债 90.22 122.85% 213.07</t>
  </si>
  <si>
    <t>107 利欧转债 143.999 8.63% 152.629</t>
  </si>
  <si>
    <t>108 模塑转债 87.1 127.94% 215.04</t>
  </si>
  <si>
    <t>108 三一转债 ! 154.13 -0.41% 153.72</t>
  </si>
  <si>
    <t>109 顺昌转债 97.9 134.15% 232.05</t>
  </si>
  <si>
    <t>109 骆驼转债 126.45 27.50% 153.95</t>
  </si>
  <si>
    <t>110 洪涛转债 88.965 205.11% 294.075</t>
  </si>
  <si>
    <t>110 林洋转债 104.31 54.10% 158.41</t>
  </si>
  <si>
    <t>111 辉丰转债 78.988 217.19% 296.178</t>
  </si>
  <si>
    <t>111 众信转债 108 55.35% 163.35</t>
  </si>
  <si>
    <t>112 赣锋转债 105.212 58.48% 163.692</t>
  </si>
  <si>
    <t>113 特发转债 191.6 -25.68% 165.92</t>
  </si>
  <si>
    <t>114 时达转债 100.1 66.78% 166.88</t>
  </si>
  <si>
    <t>115 蓝思转债 99 69.52% 168.52</t>
  </si>
  <si>
    <t>116 航信转债 115.4 59.04% 174.44</t>
  </si>
  <si>
    <t>117 亚太转债 96.798 77.77% 174.568</t>
  </si>
  <si>
    <t>118 模塑转债 95.24 85.22% 180.46</t>
  </si>
  <si>
    <t>119 东财转债 186.4 -0.72% 185.68</t>
  </si>
  <si>
    <t>120 顺昌转债 105.5 84.38% 189.88</t>
  </si>
  <si>
    <t>121 辉丰转债 95.531 133.80% 229.331</t>
  </si>
  <si>
    <t>122 洪涛转债 96.798 140.91% 237.708</t>
  </si>
  <si>
    <t>指数名称(194)</t>
  </si>
  <si>
    <t>发布时间 </t>
  </si>
  <si>
    <t>2010 </t>
  </si>
  <si>
    <t>2011 </t>
  </si>
  <si>
    <t>2012 </t>
  </si>
  <si>
    <t>2013 </t>
  </si>
  <si>
    <t>2014 </t>
  </si>
  <si>
    <t>2015 </t>
  </si>
  <si>
    <t>2016 </t>
  </si>
  <si>
    <t>2017 </t>
  </si>
  <si>
    <t>2018 </t>
  </si>
  <si>
    <t>2019 </t>
  </si>
  <si>
    <t>2020 </t>
  </si>
  <si>
    <t>最新 </t>
  </si>
  <si>
    <t>股息率 (市值加权) </t>
  </si>
  <si>
    <t>年平均涨跌幅 </t>
  </si>
  <si>
    <t>年复合收益率 </t>
  </si>
  <si>
    <t>关注度 </t>
  </si>
  <si>
    <t>中证红利 (100)</t>
  </si>
  <si>
    <t>2.47% (3962.0932)</t>
  </si>
  <si>
    <t>取消</t>
  </si>
  <si>
    <t>000922.sh</t>
  </si>
  <si>
    <t>300地产 (15)</t>
  </si>
  <si>
    <t>2.65% (7747.4707)</t>
  </si>
  <si>
    <t>000952.sh</t>
  </si>
  <si>
    <t>上证50优选 (50)</t>
  </si>
  <si>
    <t>--</t>
  </si>
  <si>
    <t>3.58% (4864.8048)</t>
  </si>
  <si>
    <t>950090.csi</t>
  </si>
  <si>
    <t>基建工程 (50)</t>
  </si>
  <si>
    <t>1.41% (3524.34)</t>
  </si>
  <si>
    <t>399995.sz</t>
  </si>
  <si>
    <t>中国互联网50 (45)</t>
  </si>
  <si>
    <t>-- ()</t>
  </si>
  <si>
    <t>H30533.csi</t>
  </si>
  <si>
    <t>500SNLV (150)</t>
  </si>
  <si>
    <t>1.83% (12316.8364)</t>
  </si>
  <si>
    <t>930782.csi</t>
  </si>
  <si>
    <t>中证500 (500)</t>
  </si>
  <si>
    <t>2.38% (5217.42)</t>
  </si>
  <si>
    <t>000905.sh</t>
  </si>
  <si>
    <t>USA</t>
  </si>
  <si>
    <t>Total</t>
  </si>
  <si>
    <t>New</t>
  </si>
  <si>
    <t>Active</t>
  </si>
  <si>
    <t>State</t>
  </si>
  <si>
    <t>Cases</t>
  </si>
  <si>
    <t>Deaths</t>
  </si>
  <si>
    <t>New York</t>
  </si>
  <si>
    <t>New Jersey</t>
  </si>
  <si>
    <t>California</t>
  </si>
  <si>
    <t>Washington</t>
  </si>
  <si>
    <t>Michigan</t>
  </si>
  <si>
    <t>Massachusetts</t>
  </si>
  <si>
    <t>Florida</t>
  </si>
  <si>
    <t>Illinois</t>
  </si>
  <si>
    <t>Louisiana</t>
  </si>
  <si>
    <t>Pennsylvania</t>
  </si>
  <si>
    <t>Georgia</t>
  </si>
  <si>
    <t>Texas</t>
  </si>
  <si>
    <t>Colorado</t>
  </si>
  <si>
    <t>Connecticut</t>
  </si>
  <si>
    <t>Tennessee</t>
  </si>
  <si>
    <t>Ohio</t>
  </si>
  <si>
    <t>Indiana</t>
  </si>
  <si>
    <t>North Carolina</t>
  </si>
  <si>
    <t>Wisconsin</t>
  </si>
  <si>
    <t>Maryland</t>
  </si>
  <si>
    <t>Missouri</t>
  </si>
  <si>
    <t>Arizona</t>
  </si>
  <si>
    <t>Alabama</t>
  </si>
  <si>
    <t>Virginia</t>
  </si>
  <si>
    <t>Mississippi</t>
  </si>
  <si>
    <t>South Carolina</t>
  </si>
  <si>
    <t>Nevada</t>
  </si>
  <si>
    <t>Utah</t>
  </si>
  <si>
    <t>Oregon</t>
  </si>
  <si>
    <t>Minnesota</t>
  </si>
  <si>
    <t>Arkansas</t>
  </si>
  <si>
    <t>Oklahoma</t>
  </si>
  <si>
    <t>District Of Columbia</t>
  </si>
  <si>
    <t>Kentucky</t>
  </si>
  <si>
    <t>Iowa</t>
  </si>
  <si>
    <t>Idaho</t>
  </si>
  <si>
    <t>Rhode Island</t>
  </si>
  <si>
    <t>Kansas</t>
  </si>
  <si>
    <t>New Mexico</t>
  </si>
  <si>
    <t>New Hampshire</t>
  </si>
  <si>
    <t>Vermont</t>
  </si>
  <si>
    <t>Maine</t>
  </si>
  <si>
    <t>Delaware</t>
  </si>
  <si>
    <t>Montana</t>
  </si>
  <si>
    <t>Hawaii</t>
  </si>
  <si>
    <t>West Virginia</t>
  </si>
  <si>
    <t>Nebraska</t>
  </si>
  <si>
    <t>Wyoming</t>
  </si>
  <si>
    <t>Alaska</t>
  </si>
  <si>
    <t>North Dakota</t>
  </si>
  <si>
    <t>South Dakota</t>
  </si>
  <si>
    <t>Guam</t>
  </si>
  <si>
    <t>Puerto Rico</t>
  </si>
  <si>
    <t>United States Virgin Islands</t>
  </si>
  <si>
    <t>Wuhan Repatriated</t>
  </si>
  <si>
    <t>Diamond Princess Cruise</t>
  </si>
  <si>
    <t>Total:</t>
  </si>
  <si>
    <t>日期</t>
  </si>
  <si>
    <t>基金代码</t>
  </si>
  <si>
    <t>基金简称</t>
  </si>
  <si>
    <t>总份额（万份）</t>
  </si>
  <si>
    <t>央创ETF</t>
  </si>
  <si>
    <t>证券ETF</t>
  </si>
  <si>
    <t>50ETF</t>
  </si>
  <si>
    <t>央调ETF</t>
  </si>
  <si>
    <t>创新央企</t>
  </si>
  <si>
    <t>央企改革</t>
  </si>
  <si>
    <t>300ETF</t>
  </si>
  <si>
    <t>央企创新</t>
  </si>
  <si>
    <t>N国企方</t>
  </si>
  <si>
    <t>500ETF</t>
  </si>
  <si>
    <t>华夏300</t>
  </si>
  <si>
    <t>H股ETF</t>
  </si>
  <si>
    <t>N国企富</t>
  </si>
  <si>
    <t>5GETF</t>
  </si>
  <si>
    <t>券商ETF</t>
  </si>
  <si>
    <t>军工龙头</t>
  </si>
  <si>
    <t>科技ETF</t>
  </si>
  <si>
    <t>180ETF</t>
  </si>
  <si>
    <t>HS300ETF</t>
  </si>
  <si>
    <t>国寿300</t>
  </si>
  <si>
    <t>湾区ETF</t>
  </si>
  <si>
    <t>800ETF</t>
  </si>
  <si>
    <t>天弘300</t>
  </si>
  <si>
    <t>长三角</t>
  </si>
  <si>
    <t>N添富国</t>
  </si>
  <si>
    <t>军工ETF</t>
  </si>
  <si>
    <t>广发500</t>
  </si>
  <si>
    <t>广发300</t>
  </si>
  <si>
    <t>传媒ETF</t>
  </si>
  <si>
    <t>银行ETF</t>
  </si>
  <si>
    <t>证券基金</t>
  </si>
  <si>
    <t>环保ETF</t>
  </si>
  <si>
    <t>半导体50</t>
  </si>
  <si>
    <t>黄金ETF</t>
  </si>
  <si>
    <t>工银上50</t>
  </si>
  <si>
    <t>科技50</t>
  </si>
  <si>
    <t>银华MSCI</t>
  </si>
  <si>
    <t>平安300</t>
  </si>
  <si>
    <t>红利ETF</t>
  </si>
  <si>
    <t>中概互联</t>
  </si>
  <si>
    <t>红利低波</t>
  </si>
  <si>
    <t>工银300</t>
  </si>
  <si>
    <t>小康ETF</t>
  </si>
  <si>
    <t>通信ETF</t>
  </si>
  <si>
    <t>非银ETF</t>
  </si>
  <si>
    <t>金融ETF</t>
  </si>
  <si>
    <t>有色ETF</t>
  </si>
  <si>
    <t>100红利</t>
  </si>
  <si>
    <t>中证科技</t>
  </si>
  <si>
    <t>医药ETF</t>
  </si>
  <si>
    <t>科技100</t>
  </si>
  <si>
    <t>创新100</t>
  </si>
  <si>
    <t>国寿500</t>
  </si>
  <si>
    <t>AI智能</t>
  </si>
  <si>
    <t>MSCI基金</t>
  </si>
  <si>
    <t>军工基金</t>
  </si>
  <si>
    <t>ETF500</t>
  </si>
  <si>
    <t>100ETF</t>
  </si>
  <si>
    <t>沪深300E</t>
  </si>
  <si>
    <t>消费50</t>
  </si>
  <si>
    <t>平安500</t>
  </si>
  <si>
    <t>MSCIA股</t>
  </si>
  <si>
    <t>MSCI易基</t>
  </si>
  <si>
    <t>德国30</t>
  </si>
  <si>
    <t>华夏证券</t>
  </si>
  <si>
    <t>恒生通</t>
  </si>
  <si>
    <t>国信价值</t>
  </si>
  <si>
    <t>价值100</t>
  </si>
  <si>
    <t>建信MSCI</t>
  </si>
  <si>
    <t>计算机</t>
  </si>
  <si>
    <t>医疗ETF</t>
  </si>
  <si>
    <t>MSCIETF</t>
  </si>
  <si>
    <t>HS300</t>
  </si>
  <si>
    <t>治理ETF</t>
  </si>
  <si>
    <t>银行基金</t>
  </si>
  <si>
    <t>300红利</t>
  </si>
  <si>
    <t>景顺MSCI</t>
  </si>
  <si>
    <t>1000ETF</t>
  </si>
  <si>
    <t>纳指ETF</t>
  </si>
  <si>
    <t>红利300</t>
  </si>
  <si>
    <t>ZZ800ETF</t>
  </si>
  <si>
    <t>AIETF</t>
  </si>
  <si>
    <t>地产ETF</t>
  </si>
  <si>
    <t>景顺TMT</t>
  </si>
  <si>
    <t>上50ETF</t>
  </si>
  <si>
    <t>500低波</t>
  </si>
  <si>
    <t>战略新兴</t>
  </si>
  <si>
    <t>MSCI低波</t>
  </si>
  <si>
    <t>之江凤凰</t>
  </si>
  <si>
    <t>SZ50ETF</t>
  </si>
  <si>
    <t>资源ETF</t>
  </si>
  <si>
    <t>酒ETF</t>
  </si>
  <si>
    <t>ZZ500ETF</t>
  </si>
  <si>
    <t>华夏银基</t>
  </si>
  <si>
    <t>MSCI国际</t>
  </si>
  <si>
    <t>黄金基金</t>
  </si>
  <si>
    <t>红利LV</t>
  </si>
  <si>
    <t>380ETF</t>
  </si>
  <si>
    <t>银行股基</t>
  </si>
  <si>
    <t>华夏地产</t>
  </si>
  <si>
    <t>A50ETF</t>
  </si>
  <si>
    <t>工银500</t>
  </si>
  <si>
    <t>富时A50</t>
  </si>
  <si>
    <t>国防ETF</t>
  </si>
  <si>
    <t>225ETF</t>
  </si>
  <si>
    <t>MSCI新华</t>
  </si>
  <si>
    <t>京津冀基</t>
  </si>
  <si>
    <t>军工行业</t>
  </si>
  <si>
    <t>消费行业</t>
  </si>
  <si>
    <t>500工业</t>
  </si>
  <si>
    <t>添富300</t>
  </si>
  <si>
    <t>央企ETF</t>
  </si>
  <si>
    <t>商品ETF</t>
  </si>
  <si>
    <t>方正500</t>
  </si>
  <si>
    <t>万家50</t>
  </si>
  <si>
    <t>5年地债</t>
  </si>
  <si>
    <t>中融500</t>
  </si>
  <si>
    <t>中盘ETF</t>
  </si>
  <si>
    <t>超大ETF</t>
  </si>
  <si>
    <t>医药50</t>
  </si>
  <si>
    <t>医药行业</t>
  </si>
  <si>
    <t>公司债</t>
  </si>
  <si>
    <t>东证ETF</t>
  </si>
  <si>
    <t>日经ETF</t>
  </si>
  <si>
    <t>300低波</t>
  </si>
  <si>
    <t>责任ETF</t>
  </si>
  <si>
    <t>日经225</t>
  </si>
  <si>
    <t>民企ETF</t>
  </si>
  <si>
    <t>综指ETF</t>
  </si>
  <si>
    <t>恒指ETF</t>
  </si>
  <si>
    <t>杭州湾区</t>
  </si>
  <si>
    <t>500原料</t>
  </si>
  <si>
    <t>港股100</t>
  </si>
  <si>
    <t>沪50ETF</t>
  </si>
  <si>
    <t>消费ETF</t>
  </si>
  <si>
    <t>中证证券</t>
  </si>
  <si>
    <t>价值ETF</t>
  </si>
  <si>
    <t>金融地产</t>
  </si>
  <si>
    <t>方正300</t>
  </si>
  <si>
    <t>龙头ETF</t>
  </si>
  <si>
    <t>MSCI中国</t>
  </si>
  <si>
    <t>500医药</t>
  </si>
  <si>
    <t>北京50</t>
  </si>
  <si>
    <t>中小ETF</t>
  </si>
  <si>
    <t>金融行业</t>
  </si>
  <si>
    <t>城投ETF</t>
  </si>
  <si>
    <t>高股息</t>
  </si>
  <si>
    <t>国企ETF</t>
  </si>
  <si>
    <t>民企成长</t>
  </si>
  <si>
    <t>活跃国债</t>
  </si>
  <si>
    <t>周期ETF</t>
  </si>
  <si>
    <t>10年地债</t>
  </si>
  <si>
    <t>非周ETF</t>
  </si>
  <si>
    <t>建信H股</t>
  </si>
  <si>
    <t>国债ETF</t>
  </si>
  <si>
    <t>周期债</t>
  </si>
  <si>
    <t>十年国债</t>
  </si>
  <si>
    <t>中期信用</t>
  </si>
  <si>
    <t>十年债</t>
  </si>
  <si>
    <t>国债十年</t>
  </si>
  <si>
    <t>序号</t>
  </si>
  <si>
    <t>代码</t>
  </si>
  <si>
    <t>名称</t>
  </si>
  <si>
    <t>相关</t>
  </si>
  <si>
    <t>研报数</t>
  </si>
  <si>
    <t>机构投资评级(近六个月)</t>
  </si>
  <si>
    <t>买入</t>
  </si>
  <si>
    <t>增持</t>
  </si>
  <si>
    <t>中性</t>
  </si>
  <si>
    <t>减持</t>
  </si>
  <si>
    <t>卖出</t>
  </si>
  <si>
    <t>2018每股收益</t>
  </si>
  <si>
    <t>2019预测每股收益</t>
  </si>
  <si>
    <t>2020预测每股收益</t>
  </si>
  <si>
    <t>2021预测每股收益</t>
  </si>
  <si>
    <t>3 yr</t>
  </si>
  <si>
    <t>2 yr</t>
  </si>
  <si>
    <t>斯达半导</t>
  </si>
  <si>
    <t>详细  股吧</t>
  </si>
  <si>
    <t>公牛集团</t>
  </si>
  <si>
    <t>招商积余</t>
  </si>
  <si>
    <t>旋极信息</t>
  </si>
  <si>
    <t>万通地产</t>
  </si>
  <si>
    <t>通富微电</t>
  </si>
  <si>
    <t>妙可蓝多</t>
  </si>
  <si>
    <t>凯文教育</t>
  </si>
  <si>
    <t>长电科技</t>
  </si>
  <si>
    <t>贝因美</t>
  </si>
  <si>
    <t>寒锐钴业</t>
  </si>
  <si>
    <t>北新建材</t>
  </si>
  <si>
    <t>博迈科</t>
  </si>
  <si>
    <t>天邦股份</t>
  </si>
  <si>
    <t>沃森生物</t>
  </si>
  <si>
    <t>牧原股份</t>
  </si>
  <si>
    <t>华友钴业</t>
  </si>
  <si>
    <t>运达股份</t>
  </si>
  <si>
    <t>正邦科技</t>
  </si>
  <si>
    <t>三利谱</t>
  </si>
  <si>
    <t>开元股份</t>
  </si>
  <si>
    <t>天齐锂业</t>
  </si>
  <si>
    <t>中国软件</t>
  </si>
  <si>
    <t>韦尔股份</t>
  </si>
  <si>
    <t>欧菲光</t>
  </si>
  <si>
    <t>诚迈科技</t>
  </si>
  <si>
    <t>长川科技</t>
  </si>
  <si>
    <t>通宇通讯</t>
  </si>
  <si>
    <t>天康生物</t>
  </si>
  <si>
    <t>禾望电气</t>
  </si>
  <si>
    <t>天赐材料</t>
  </si>
  <si>
    <t>赤峰黄金</t>
  </si>
  <si>
    <t>东方通</t>
  </si>
  <si>
    <t>华策影视</t>
  </si>
  <si>
    <t>大北农</t>
  </si>
  <si>
    <t>特锐德</t>
  </si>
  <si>
    <t>奥飞娱乐</t>
  </si>
  <si>
    <t>中远海能</t>
  </si>
  <si>
    <t>石化机械</t>
  </si>
  <si>
    <t>三特索道</t>
  </si>
  <si>
    <t>中孚信息</t>
  </si>
  <si>
    <t>云铝股份</t>
  </si>
  <si>
    <t>普利制药</t>
  </si>
  <si>
    <t>荣盛石化</t>
  </si>
  <si>
    <t>闻泰科技</t>
  </si>
  <si>
    <t>康泰生物</t>
  </si>
  <si>
    <t>梦网集团</t>
  </si>
  <si>
    <t>日科化学</t>
  </si>
  <si>
    <t>广电计量</t>
  </si>
  <si>
    <t>日海智能</t>
  </si>
  <si>
    <t>鹏鹞环保</t>
  </si>
  <si>
    <t>上海钢联</t>
  </si>
  <si>
    <t>晶方科技</t>
  </si>
  <si>
    <t>集友股份</t>
  </si>
  <si>
    <t>富邦股份</t>
  </si>
  <si>
    <t>雅本化学</t>
  </si>
  <si>
    <t>中国铝业</t>
  </si>
  <si>
    <t>移远通信</t>
  </si>
  <si>
    <t>京东方A</t>
  </si>
  <si>
    <t>新雷能</t>
  </si>
  <si>
    <t>国联股份</t>
  </si>
  <si>
    <t>意华股份</t>
  </si>
  <si>
    <t>数据港</t>
  </si>
  <si>
    <t>和仁科技</t>
  </si>
  <si>
    <t>卫士通</t>
  </si>
  <si>
    <t>中南建设</t>
  </si>
  <si>
    <t>大族激光</t>
  </si>
  <si>
    <t>德邦股份</t>
  </si>
  <si>
    <t>泰和新材</t>
  </si>
  <si>
    <t>华天科技</t>
  </si>
  <si>
    <t>电连技术</t>
  </si>
  <si>
    <t>长亮科技</t>
  </si>
  <si>
    <t>精研科技</t>
  </si>
  <si>
    <t>北方华创</t>
  </si>
  <si>
    <t>世嘉科技</t>
  </si>
  <si>
    <t>春风动力</t>
  </si>
  <si>
    <t>分众传媒</t>
  </si>
  <si>
    <t>应流股份</t>
  </si>
  <si>
    <t>科大讯飞</t>
  </si>
  <si>
    <t>耐威科技</t>
  </si>
  <si>
    <t>中粮糖业</t>
  </si>
  <si>
    <t>华体科技</t>
  </si>
  <si>
    <t>北信源</t>
  </si>
  <si>
    <t>湖南海利</t>
  </si>
  <si>
    <t>上海沪工</t>
  </si>
  <si>
    <t>明阳智能</t>
  </si>
  <si>
    <t>洁美科技</t>
  </si>
  <si>
    <t>苏州科达</t>
  </si>
  <si>
    <t>卓胜微</t>
  </si>
  <si>
    <t>景嘉微</t>
  </si>
  <si>
    <t>易华录</t>
  </si>
  <si>
    <t>招商轮船</t>
  </si>
  <si>
    <t>生物股份</t>
  </si>
  <si>
    <t>广联达</t>
  </si>
  <si>
    <t>浙江医药</t>
  </si>
  <si>
    <t>浪潮信息</t>
  </si>
  <si>
    <t>能科股份</t>
  </si>
  <si>
    <t>中微公司</t>
  </si>
  <si>
    <t>众合科技</t>
  </si>
  <si>
    <t>盐津铺子</t>
  </si>
  <si>
    <t>奥飞数据</t>
  </si>
  <si>
    <t>弘信电子</t>
  </si>
  <si>
    <t>中金黄金</t>
  </si>
  <si>
    <t>佳禾智能</t>
  </si>
  <si>
    <t>佳发教育</t>
  </si>
  <si>
    <t>赣锋锂业</t>
  </si>
  <si>
    <t>曲美家居</t>
  </si>
  <si>
    <t>中环股份</t>
  </si>
  <si>
    <t>三全食品</t>
  </si>
  <si>
    <t>司太立</t>
  </si>
  <si>
    <t>新希望</t>
  </si>
  <si>
    <t>药石科技</t>
  </si>
  <si>
    <t>世运电路</t>
  </si>
  <si>
    <t>长青集团</t>
  </si>
  <si>
    <t>卫星石化</t>
  </si>
  <si>
    <t>安车检测</t>
  </si>
  <si>
    <t>锐科激光</t>
  </si>
  <si>
    <t>ST爱旭</t>
  </si>
  <si>
    <t>广和通</t>
  </si>
  <si>
    <t>新易盛</t>
  </si>
  <si>
    <t>中际旭创</t>
  </si>
  <si>
    <t>欣旺达</t>
  </si>
  <si>
    <t>博思软件</t>
  </si>
  <si>
    <t>辰安科技</t>
  </si>
  <si>
    <t>和而泰</t>
  </si>
  <si>
    <t>科达利</t>
  </si>
  <si>
    <t>歌尔股份</t>
  </si>
  <si>
    <t>三安光电</t>
  </si>
  <si>
    <t>德赛西威</t>
  </si>
  <si>
    <t>科力尔</t>
  </si>
  <si>
    <t>建设机械</t>
  </si>
  <si>
    <t>华正新材</t>
  </si>
  <si>
    <t>蓝光发展</t>
  </si>
  <si>
    <t>中科曙光</t>
  </si>
  <si>
    <t>昭衍新药</t>
  </si>
  <si>
    <t>艾德生物</t>
  </si>
  <si>
    <t>会畅通讯</t>
  </si>
  <si>
    <t>中石科技</t>
  </si>
  <si>
    <t>汇纳科技</t>
  </si>
  <si>
    <t>中旗股份</t>
  </si>
  <si>
    <t>联得装备</t>
  </si>
  <si>
    <t>圣邦股份</t>
  </si>
  <si>
    <t>迈为股份</t>
  </si>
  <si>
    <t>乐鑫科技</t>
  </si>
  <si>
    <t>联化科技</t>
  </si>
  <si>
    <t>石英股份</t>
  </si>
  <si>
    <t>道恩股份</t>
  </si>
  <si>
    <t>美诺华</t>
  </si>
  <si>
    <t>埃斯顿</t>
  </si>
  <si>
    <t>密尔克卫</t>
  </si>
  <si>
    <t>兆易创新</t>
  </si>
  <si>
    <t>数字认证</t>
  </si>
  <si>
    <t>久远银海</t>
  </si>
  <si>
    <t>坤彩科技</t>
  </si>
  <si>
    <t>联创电子</t>
  </si>
  <si>
    <t>欧普康视</t>
  </si>
  <si>
    <t>捷顺科技</t>
  </si>
  <si>
    <t>航新科技</t>
  </si>
  <si>
    <t>齐心集团</t>
  </si>
  <si>
    <t>海翔药业</t>
  </si>
  <si>
    <t>当升科技</t>
  </si>
  <si>
    <t>中科创达</t>
  </si>
  <si>
    <t>康龙化成</t>
  </si>
  <si>
    <t>卫宁健康</t>
  </si>
  <si>
    <t>中新赛克</t>
  </si>
  <si>
    <t>东方航空</t>
  </si>
  <si>
    <t>山东黄金</t>
  </si>
  <si>
    <t>中公教育</t>
  </si>
  <si>
    <t>南方航空</t>
  </si>
  <si>
    <t>菲利华</t>
  </si>
  <si>
    <t>万里扬</t>
  </si>
  <si>
    <t>中恒电气</t>
  </si>
  <si>
    <t>宏大爆破</t>
  </si>
  <si>
    <t>高德红外</t>
  </si>
  <si>
    <t>容百科技</t>
  </si>
  <si>
    <t>日月股份</t>
  </si>
  <si>
    <t>东山精密</t>
  </si>
  <si>
    <t>煌上煌</t>
  </si>
  <si>
    <t>泰格医药</t>
  </si>
  <si>
    <t>飞荣达</t>
  </si>
  <si>
    <t>温氏股份</t>
  </si>
  <si>
    <t>绿盟科技</t>
  </si>
  <si>
    <t>八方股份</t>
  </si>
  <si>
    <t>科顺股份</t>
  </si>
  <si>
    <t>元隆雅图</t>
  </si>
  <si>
    <t>思创医惠</t>
  </si>
  <si>
    <t>长盈精密</t>
  </si>
  <si>
    <t>新开普</t>
  </si>
  <si>
    <t>博腾股份</t>
  </si>
  <si>
    <t>深圳新星</t>
  </si>
  <si>
    <t>三棵树</t>
  </si>
  <si>
    <t>泰胜风能</t>
  </si>
  <si>
    <t>普莱柯</t>
  </si>
  <si>
    <t>新城控股</t>
  </si>
  <si>
    <t>中海油服</t>
  </si>
  <si>
    <t>合盛硅业</t>
  </si>
  <si>
    <t>金风科技</t>
  </si>
  <si>
    <t>健帆生物</t>
  </si>
  <si>
    <t>浙江鼎力</t>
  </si>
  <si>
    <t>海能达</t>
  </si>
  <si>
    <t>健友股份</t>
  </si>
  <si>
    <t>恒为科技</t>
  </si>
  <si>
    <t>利尔化学</t>
  </si>
  <si>
    <t>佩蒂股份</t>
  </si>
  <si>
    <t>光弘科技</t>
  </si>
  <si>
    <t>云图控股</t>
  </si>
  <si>
    <t>双林生物</t>
  </si>
  <si>
    <t>太极股份</t>
  </si>
  <si>
    <t>普利特</t>
  </si>
  <si>
    <t>福莱特</t>
  </si>
  <si>
    <t>精测电子</t>
  </si>
  <si>
    <t>精工钢构</t>
  </si>
  <si>
    <t>三联虹普</t>
  </si>
  <si>
    <t>虹软科技</t>
  </si>
  <si>
    <t>美亚柏科</t>
  </si>
  <si>
    <t>坚朗五金</t>
  </si>
  <si>
    <t>新乳业</t>
  </si>
  <si>
    <t>七一二</t>
  </si>
  <si>
    <t>白云机场</t>
  </si>
  <si>
    <t>江化微</t>
  </si>
  <si>
    <t>石化油服</t>
  </si>
  <si>
    <t>阳光城</t>
  </si>
  <si>
    <t>光环新网</t>
  </si>
  <si>
    <t>利安隆</t>
  </si>
  <si>
    <t>金智科技</t>
  </si>
  <si>
    <t>淳中科技</t>
  </si>
  <si>
    <t>南微医学</t>
  </si>
  <si>
    <t>三友化工</t>
  </si>
  <si>
    <t>兴森科技</t>
  </si>
  <si>
    <t>苏试试验</t>
  </si>
  <si>
    <t>新坐标</t>
  </si>
  <si>
    <t>华熙生物</t>
  </si>
  <si>
    <t>顺络电子</t>
  </si>
  <si>
    <t>安科生物</t>
  </si>
  <si>
    <t>晶盛机电</t>
  </si>
  <si>
    <t>紫光国微</t>
  </si>
  <si>
    <t>艾迪精密</t>
  </si>
  <si>
    <t>信维通信</t>
  </si>
  <si>
    <t>智飞生物</t>
  </si>
  <si>
    <t>天能重工</t>
  </si>
  <si>
    <t>江苏神通</t>
  </si>
  <si>
    <t>中国联通</t>
  </si>
  <si>
    <t>深信服</t>
  </si>
  <si>
    <t>中国天楹</t>
  </si>
  <si>
    <t>北京君正</t>
  </si>
  <si>
    <t>先导智能</t>
  </si>
  <si>
    <t>我武生物</t>
  </si>
  <si>
    <t>新媒股份</t>
  </si>
  <si>
    <t>鹏辉能源</t>
  </si>
  <si>
    <t>超图软件</t>
  </si>
  <si>
    <t>益丰药房</t>
  </si>
  <si>
    <t>博实股份</t>
  </si>
  <si>
    <t>凯莱英</t>
  </si>
  <si>
    <t>光迅科技</t>
  </si>
  <si>
    <t>深南电路</t>
  </si>
  <si>
    <t>蓝思科技</t>
  </si>
  <si>
    <t>国恩股份</t>
  </si>
  <si>
    <t>海格通信</t>
  </si>
  <si>
    <t>立讯精密</t>
  </si>
  <si>
    <t>凯普生物</t>
  </si>
  <si>
    <t>万孚生物</t>
  </si>
  <si>
    <t>贝达药业</t>
  </si>
  <si>
    <t>永艺股份</t>
  </si>
  <si>
    <t>开润股份</t>
  </si>
  <si>
    <t>尚纬股份</t>
  </si>
  <si>
    <t>大立科技</t>
  </si>
  <si>
    <t>通策医疗</t>
  </si>
  <si>
    <t>长春高新</t>
  </si>
  <si>
    <t>恒逸石化</t>
  </si>
  <si>
    <t>乐普医疗</t>
  </si>
  <si>
    <t>拓斯达</t>
  </si>
  <si>
    <t>兴发集团</t>
  </si>
  <si>
    <t>安图生物</t>
  </si>
  <si>
    <t>中航善达</t>
  </si>
  <si>
    <t>山东赫达</t>
  </si>
  <si>
    <t>亿嘉和</t>
  </si>
  <si>
    <t>普洛药业</t>
  </si>
  <si>
    <t>天源迪科</t>
  </si>
  <si>
    <t>科沃斯</t>
  </si>
  <si>
    <t>移为通信</t>
  </si>
  <si>
    <t>酒鬼酒</t>
  </si>
  <si>
    <t>维尔利</t>
  </si>
  <si>
    <t>蒙娜丽莎</t>
  </si>
  <si>
    <t>美年健康</t>
  </si>
  <si>
    <t>奥拓电子</t>
  </si>
  <si>
    <t>捷佳伟创</t>
  </si>
  <si>
    <t>麦格米特</t>
  </si>
  <si>
    <t>用友网络</t>
  </si>
  <si>
    <t>金域医学</t>
  </si>
  <si>
    <t>珀莱雅</t>
  </si>
  <si>
    <t>高能环境</t>
  </si>
  <si>
    <t>壹网壹创</t>
  </si>
  <si>
    <t>南极电商</t>
  </si>
  <si>
    <t>全筑股份</t>
  </si>
  <si>
    <t>宝钛股份</t>
  </si>
  <si>
    <t>华峰氨纶</t>
  </si>
  <si>
    <t>万兴科技</t>
  </si>
  <si>
    <t>海大集团</t>
  </si>
  <si>
    <t>东方财富</t>
  </si>
  <si>
    <t>东方电缆</t>
  </si>
  <si>
    <t>中百集团</t>
  </si>
  <si>
    <t>顺鑫农业</t>
  </si>
  <si>
    <t>比亚迪</t>
  </si>
  <si>
    <t>永辉超市</t>
  </si>
  <si>
    <t>正海生物</t>
  </si>
  <si>
    <t>五洋停车</t>
  </si>
  <si>
    <t>新大陆</t>
  </si>
  <si>
    <t>凯利泰</t>
  </si>
  <si>
    <t>传化智联</t>
  </si>
  <si>
    <t>中油工程</t>
  </si>
  <si>
    <t>杰瑞股份</t>
  </si>
  <si>
    <t>恒华科技</t>
  </si>
  <si>
    <t>同花顺</t>
  </si>
  <si>
    <t>璞泰来</t>
  </si>
  <si>
    <t>远光软件</t>
  </si>
  <si>
    <t>康达新材</t>
  </si>
  <si>
    <t>东珠生态</t>
  </si>
  <si>
    <t>中科三环</t>
  </si>
  <si>
    <t>建投能源</t>
  </si>
  <si>
    <t>创业慧康</t>
  </si>
  <si>
    <t>恩捷股份</t>
  </si>
  <si>
    <t>华夏幸福</t>
  </si>
  <si>
    <t>杉杉股份</t>
  </si>
  <si>
    <t>沪电股份</t>
  </si>
  <si>
    <t>恒瑞医药</t>
  </si>
  <si>
    <t>航天发展</t>
  </si>
  <si>
    <t>新国都</t>
  </si>
  <si>
    <t>华测检测</t>
  </si>
  <si>
    <t>三只松鼠</t>
  </si>
  <si>
    <t>香飘飘</t>
  </si>
  <si>
    <t>纽威股份</t>
  </si>
  <si>
    <t>中兴通讯</t>
  </si>
  <si>
    <t>神州数码</t>
  </si>
  <si>
    <t>皇马科技</t>
  </si>
  <si>
    <t>景旺电子</t>
  </si>
  <si>
    <t>苏博特</t>
  </si>
  <si>
    <t>亿联网络</t>
  </si>
  <si>
    <t>汇川技术</t>
  </si>
  <si>
    <t>比音勒芬</t>
  </si>
  <si>
    <t>开立医疗</t>
  </si>
  <si>
    <t>启迪环境</t>
  </si>
  <si>
    <t>再升科技</t>
  </si>
  <si>
    <t>四维图新</t>
  </si>
  <si>
    <t>天孚通信</t>
  </si>
  <si>
    <t>东诚药业</t>
  </si>
  <si>
    <t>火炬电子</t>
  </si>
  <si>
    <t>城地股份</t>
  </si>
  <si>
    <t>神州高铁</t>
  </si>
  <si>
    <t>华致酒行</t>
  </si>
  <si>
    <t>保隆科技</t>
  </si>
  <si>
    <t>雅克科技</t>
  </si>
  <si>
    <t>濮阳惠成</t>
  </si>
  <si>
    <t>振华科技</t>
  </si>
  <si>
    <t>新大正</t>
  </si>
  <si>
    <t>鸿远电子</t>
  </si>
  <si>
    <t>洲明科技</t>
  </si>
  <si>
    <t>通威股份</t>
  </si>
  <si>
    <t>吉宏股份</t>
  </si>
  <si>
    <t>瑞普生物</t>
  </si>
  <si>
    <t>泛微网络</t>
  </si>
  <si>
    <t>科锐国际</t>
  </si>
  <si>
    <t>华发股份</t>
  </si>
  <si>
    <t>仙琚制药</t>
  </si>
  <si>
    <t>帝欧家居</t>
  </si>
  <si>
    <t>广信材料</t>
  </si>
  <si>
    <t>格林美</t>
  </si>
  <si>
    <t>盛通股份</t>
  </si>
  <si>
    <t>海信视像</t>
  </si>
  <si>
    <t>江山欧派</t>
  </si>
  <si>
    <t>金洲管道</t>
  </si>
  <si>
    <t>三维通信</t>
  </si>
  <si>
    <t>紫光股份</t>
  </si>
  <si>
    <t>华扬联众</t>
  </si>
  <si>
    <t>长信科技</t>
  </si>
  <si>
    <t>三爱富</t>
  </si>
  <si>
    <t>麦迪科技</t>
  </si>
  <si>
    <t>万东医疗</t>
  </si>
  <si>
    <t>隆基股份</t>
  </si>
  <si>
    <t>宁波水表</t>
  </si>
  <si>
    <t>康力电梯</t>
  </si>
  <si>
    <t>润和软件</t>
  </si>
  <si>
    <t>中密控股</t>
  </si>
  <si>
    <t>大博医疗</t>
  </si>
  <si>
    <t>吉祥航空</t>
  </si>
  <si>
    <t>天顺风能</t>
  </si>
  <si>
    <t>天味食品</t>
  </si>
  <si>
    <t>宝信软件</t>
  </si>
  <si>
    <t>亿纬锂能</t>
  </si>
  <si>
    <t>诺力股份</t>
  </si>
  <si>
    <t>腾龙股份</t>
  </si>
  <si>
    <t>中颖电子</t>
  </si>
  <si>
    <t>南洋股份</t>
  </si>
  <si>
    <t>金科股份</t>
  </si>
  <si>
    <t>环旭电子</t>
  </si>
  <si>
    <t>京能电力</t>
  </si>
  <si>
    <t>片仔癀</t>
  </si>
  <si>
    <t>广誉远</t>
  </si>
  <si>
    <t>东方国信</t>
  </si>
  <si>
    <t>捷昌驱动</t>
  </si>
  <si>
    <t>柳药股份</t>
  </si>
  <si>
    <t>杰克股份</t>
  </si>
  <si>
    <t>长源电力</t>
  </si>
  <si>
    <t>东方雨虹</t>
  </si>
  <si>
    <t>华宇软件</t>
  </si>
  <si>
    <t>克明面业</t>
  </si>
  <si>
    <t>华能国际</t>
  </si>
  <si>
    <t>安井食品</t>
  </si>
  <si>
    <t>金钼股份</t>
  </si>
  <si>
    <t>海洋王</t>
  </si>
  <si>
    <t>值得买</t>
  </si>
  <si>
    <t>山东药玻</t>
  </si>
  <si>
    <t>视觉中国</t>
  </si>
  <si>
    <t>新宙邦</t>
  </si>
  <si>
    <t>中国国航</t>
  </si>
  <si>
    <t>迈克生物</t>
  </si>
  <si>
    <t>生益科技</t>
  </si>
  <si>
    <t>东华软件</t>
  </si>
  <si>
    <t>百润股份</t>
  </si>
  <si>
    <t>法兰泰克</t>
  </si>
  <si>
    <t>星宇股份</t>
  </si>
  <si>
    <t>皖能电力</t>
  </si>
  <si>
    <t>康斯特</t>
  </si>
  <si>
    <t>阳光电源</t>
  </si>
  <si>
    <t>光威复材</t>
  </si>
  <si>
    <t>回天新材</t>
  </si>
  <si>
    <t>芒果超媒</t>
  </si>
  <si>
    <t>均胜电子</t>
  </si>
  <si>
    <t>利亚德</t>
  </si>
  <si>
    <t>晨光文具</t>
  </si>
  <si>
    <t>旺能环境</t>
  </si>
  <si>
    <t>中航电测</t>
  </si>
  <si>
    <t>启明星辰</t>
  </si>
  <si>
    <t>格尔软件</t>
  </si>
  <si>
    <t>绿地控股</t>
  </si>
  <si>
    <t>科伦药业</t>
  </si>
  <si>
    <t>大参林</t>
  </si>
  <si>
    <t>中持股份</t>
  </si>
  <si>
    <t>长城汽车</t>
  </si>
  <si>
    <t>老百姓</t>
  </si>
  <si>
    <t>良信电器</t>
  </si>
  <si>
    <t>国星光电</t>
  </si>
  <si>
    <t>金石资源</t>
  </si>
  <si>
    <t>星网锐捷</t>
  </si>
  <si>
    <t>盈趣科技</t>
  </si>
  <si>
    <t>宏达电子</t>
  </si>
  <si>
    <t>深天马A</t>
  </si>
  <si>
    <t>滨江集团</t>
  </si>
  <si>
    <t>水井坊</t>
  </si>
  <si>
    <t>天坛生物</t>
  </si>
  <si>
    <t>国光股份</t>
  </si>
  <si>
    <t>大华股份</t>
  </si>
  <si>
    <t>透景生命</t>
  </si>
  <si>
    <t>龙蟒佰利</t>
  </si>
  <si>
    <t>拓普集团</t>
  </si>
  <si>
    <t>亨通光电</t>
  </si>
  <si>
    <t>中直股份</t>
  </si>
  <si>
    <t>古井贡酒</t>
  </si>
  <si>
    <t>小熊电器</t>
  </si>
  <si>
    <t>钢研高纳</t>
  </si>
  <si>
    <t>华电国际</t>
  </si>
  <si>
    <t>水晶光电</t>
  </si>
  <si>
    <t>奥佳华</t>
  </si>
  <si>
    <t>中炬高新</t>
  </si>
  <si>
    <t>中航光电</t>
  </si>
  <si>
    <t>伊之密</t>
  </si>
  <si>
    <t>泸州老窖</t>
  </si>
  <si>
    <t>新和成</t>
  </si>
  <si>
    <t>新天科技</t>
  </si>
  <si>
    <t>山西汾酒</t>
  </si>
  <si>
    <t>今世缘</t>
  </si>
  <si>
    <t>康弘药业</t>
  </si>
  <si>
    <t>迪安诊断</t>
  </si>
  <si>
    <t>爱婴室</t>
  </si>
  <si>
    <t>国检集团</t>
  </si>
  <si>
    <t>汤臣倍健</t>
  </si>
  <si>
    <t>宝丰能源</t>
  </si>
  <si>
    <t>烽火通信</t>
  </si>
  <si>
    <t>威海广泰</t>
  </si>
  <si>
    <t>中国化学</t>
  </si>
  <si>
    <t>千方科技</t>
  </si>
  <si>
    <t>国瓷材料</t>
  </si>
  <si>
    <t>海兴电力</t>
  </si>
  <si>
    <t>三环集团</t>
  </si>
  <si>
    <t>先河环保</t>
  </si>
  <si>
    <t>宁德时代</t>
  </si>
  <si>
    <t>羚锐制药</t>
  </si>
  <si>
    <t>皖维高新</t>
  </si>
  <si>
    <t>赢合科技</t>
  </si>
  <si>
    <t>信捷电气</t>
  </si>
  <si>
    <t>宝通科技</t>
  </si>
  <si>
    <t>太极实业</t>
  </si>
  <si>
    <t>海鸥住工</t>
  </si>
  <si>
    <t>快克股份</t>
  </si>
  <si>
    <t>立思辰</t>
  </si>
  <si>
    <t>恒生电子</t>
  </si>
  <si>
    <t>拓尔思</t>
  </si>
  <si>
    <t>安徽建工</t>
  </si>
  <si>
    <t>荣盛发展</t>
  </si>
  <si>
    <t>万达电影</t>
  </si>
  <si>
    <t>恩华药业</t>
  </si>
  <si>
    <t>中设集团</t>
  </si>
  <si>
    <t>鲁阳节能</t>
  </si>
  <si>
    <t>天目湖</t>
  </si>
  <si>
    <t>迈瑞医疗</t>
  </si>
  <si>
    <t>中闽能源</t>
  </si>
  <si>
    <t>健盛集团</t>
  </si>
  <si>
    <t>海利得</t>
  </si>
  <si>
    <t>中顺洁柔</t>
  </si>
  <si>
    <t>海康威视</t>
  </si>
  <si>
    <t>东方证券</t>
  </si>
  <si>
    <t>爱柯迪</t>
  </si>
  <si>
    <t>海亮股份</t>
  </si>
  <si>
    <t>新北洋</t>
  </si>
  <si>
    <t>垒知集团</t>
  </si>
  <si>
    <t>利民股份</t>
  </si>
  <si>
    <t>恒力石化</t>
  </si>
  <si>
    <t>弘亚数控</t>
  </si>
  <si>
    <t>招商蛇口</t>
  </si>
  <si>
    <t>鹏鼎控股</t>
  </si>
  <si>
    <t>山鹰纸业</t>
  </si>
  <si>
    <t>博雅生物</t>
  </si>
  <si>
    <t>凯众股份</t>
  </si>
  <si>
    <t>通化东宝</t>
  </si>
  <si>
    <t>青松股份</t>
  </si>
  <si>
    <t>亿帆医药</t>
  </si>
  <si>
    <t>万润股份</t>
  </si>
  <si>
    <t>东江环保</t>
  </si>
  <si>
    <t>九州通</t>
  </si>
  <si>
    <t>紫金矿业</t>
  </si>
  <si>
    <t>洛阳钼业</t>
  </si>
  <si>
    <t>理工环科</t>
  </si>
  <si>
    <t>韵达股份</t>
  </si>
  <si>
    <t>双良节能</t>
  </si>
  <si>
    <t>鸿路钢构</t>
  </si>
  <si>
    <t>好想你</t>
  </si>
  <si>
    <t>伟明环保</t>
  </si>
  <si>
    <t>贵阳银行</t>
  </si>
  <si>
    <t>航天电器</t>
  </si>
  <si>
    <t>康缘药业</t>
  </si>
  <si>
    <t>石基信息</t>
  </si>
  <si>
    <t>海容冷链</t>
  </si>
  <si>
    <t>中航沈飞</t>
  </si>
  <si>
    <t>科斯伍德</t>
  </si>
  <si>
    <t>广州酒家</t>
  </si>
  <si>
    <t>内蒙一机</t>
  </si>
  <si>
    <t>宏发股份</t>
  </si>
  <si>
    <t>机器人</t>
  </si>
  <si>
    <t>航发动力</t>
  </si>
  <si>
    <t>华东医药</t>
  </si>
  <si>
    <t>汇顶科技</t>
  </si>
  <si>
    <t>华侨城A</t>
  </si>
  <si>
    <t>杭州银行</t>
  </si>
  <si>
    <t>裕同科技</t>
  </si>
  <si>
    <t>苏交科</t>
  </si>
  <si>
    <t>恒立液压</t>
  </si>
  <si>
    <t>保利地产</t>
  </si>
  <si>
    <t>桐昆股份</t>
  </si>
  <si>
    <t>凯撒旅业</t>
  </si>
  <si>
    <t>中鼎股份</t>
  </si>
  <si>
    <t>申通快递</t>
  </si>
  <si>
    <t>一心堂</t>
  </si>
  <si>
    <t>江苏银行</t>
  </si>
  <si>
    <t>巨化股份</t>
  </si>
  <si>
    <t>世纪华通</t>
  </si>
  <si>
    <t>继峰股份</t>
  </si>
  <si>
    <t>国轩高科</t>
  </si>
  <si>
    <t>浙江美大</t>
  </si>
  <si>
    <t>天健集团</t>
  </si>
  <si>
    <t>贝瑞基因</t>
  </si>
  <si>
    <t>京新药业</t>
  </si>
  <si>
    <t>平治信息</t>
  </si>
  <si>
    <t>新洋丰</t>
  </si>
  <si>
    <t>云南铜业</t>
  </si>
  <si>
    <t>复星医药</t>
  </si>
  <si>
    <t>美亚光电</t>
  </si>
  <si>
    <t>银轮股份</t>
  </si>
  <si>
    <t>东方日升</t>
  </si>
  <si>
    <t>中信出版</t>
  </si>
  <si>
    <t>鱼跃医疗</t>
  </si>
  <si>
    <t>惠达卫浴</t>
  </si>
  <si>
    <t>美尚生态</t>
  </si>
  <si>
    <t>飞凯材料</t>
  </si>
  <si>
    <t>北部湾港</t>
  </si>
  <si>
    <t>中再资环</t>
  </si>
  <si>
    <t>金麒麟</t>
  </si>
  <si>
    <t>中航重机</t>
  </si>
  <si>
    <t>常熟银行</t>
  </si>
  <si>
    <t>春秋航空</t>
  </si>
  <si>
    <t>桃李面包</t>
  </si>
  <si>
    <t>国电南瑞</t>
  </si>
  <si>
    <t>横店影视</t>
  </si>
  <si>
    <t>绝味食品</t>
  </si>
  <si>
    <t>华工科技</t>
  </si>
  <si>
    <t>木林森</t>
  </si>
  <si>
    <t>大悦城</t>
  </si>
  <si>
    <t>楚江新材</t>
  </si>
  <si>
    <t>中国长城</t>
  </si>
  <si>
    <t>丰林集团</t>
  </si>
  <si>
    <t>广信股份</t>
  </si>
  <si>
    <t>丸美股份</t>
  </si>
  <si>
    <t>美吉姆</t>
  </si>
  <si>
    <t>航锦科技</t>
  </si>
  <si>
    <t>喜临门</t>
  </si>
  <si>
    <t>精锻科技</t>
  </si>
  <si>
    <t>汉得信息</t>
  </si>
  <si>
    <t>瀚蓝环境</t>
  </si>
  <si>
    <t>科士达</t>
  </si>
  <si>
    <t>九强生物</t>
  </si>
  <si>
    <t>福斯特</t>
  </si>
  <si>
    <t>伯特利</t>
  </si>
  <si>
    <t>盈峰环境</t>
  </si>
  <si>
    <t>厦门象屿</t>
  </si>
  <si>
    <t>瑞茂通</t>
  </si>
  <si>
    <t>贵州茅台</t>
  </si>
  <si>
    <t>蓝焰控股</t>
  </si>
  <si>
    <t>聚光科技</t>
  </si>
  <si>
    <t>安道麦A</t>
  </si>
  <si>
    <t>万科A</t>
  </si>
  <si>
    <t>金禾实业</t>
  </si>
  <si>
    <t>周大生</t>
  </si>
  <si>
    <t>南山铝业</t>
  </si>
  <si>
    <t>领益智造</t>
  </si>
  <si>
    <t>金地集团</t>
  </si>
  <si>
    <t>龙马环卫</t>
  </si>
  <si>
    <t>广汽集团</t>
  </si>
  <si>
    <t>中航飞机</t>
  </si>
  <si>
    <t>青岛啤酒</t>
  </si>
  <si>
    <t>联美控股</t>
  </si>
  <si>
    <t>中国海防</t>
  </si>
  <si>
    <t>顾家家居</t>
  </si>
  <si>
    <t>捷捷微电</t>
  </si>
  <si>
    <t>劲嘉股份</t>
  </si>
  <si>
    <t>中航电子</t>
  </si>
  <si>
    <t>中视传媒</t>
  </si>
  <si>
    <t>中牧股份</t>
  </si>
  <si>
    <t>晨鸣纸业</t>
  </si>
  <si>
    <t>创维数字</t>
  </si>
  <si>
    <t>欧派家居</t>
  </si>
  <si>
    <t>鸿合科技</t>
  </si>
  <si>
    <t>家家悦</t>
  </si>
  <si>
    <t>航天信息</t>
  </si>
  <si>
    <t>江西铜业</t>
  </si>
  <si>
    <t>石大胜华</t>
  </si>
  <si>
    <t>健康元</t>
  </si>
  <si>
    <t>玲珑轮胎</t>
  </si>
  <si>
    <t>游族网络</t>
  </si>
  <si>
    <t>岱美股份</t>
  </si>
  <si>
    <t>圆通速递</t>
  </si>
  <si>
    <t>碧水源</t>
  </si>
  <si>
    <t>百傲化学</t>
  </si>
  <si>
    <t>顺丰控股</t>
  </si>
  <si>
    <t>中材科技</t>
  </si>
  <si>
    <t>正泰电器</t>
  </si>
  <si>
    <t>顺网科技</t>
  </si>
  <si>
    <t>韶能股份</t>
  </si>
  <si>
    <t>上海银行</t>
  </si>
  <si>
    <t>歌力思</t>
  </si>
  <si>
    <t>四通新材</t>
  </si>
  <si>
    <t>成都银行</t>
  </si>
  <si>
    <t>华兰生物</t>
  </si>
  <si>
    <t>金能科技</t>
  </si>
  <si>
    <t>贵研铂业</t>
  </si>
  <si>
    <t>志邦家居</t>
  </si>
  <si>
    <t>徐工机械</t>
  </si>
  <si>
    <t>金财互联</t>
  </si>
  <si>
    <t>宁波高发</t>
  </si>
  <si>
    <t>金卡智能</t>
  </si>
  <si>
    <t>元祖股份</t>
  </si>
  <si>
    <t>尚品宅配</t>
  </si>
  <si>
    <t>杭氧股份</t>
  </si>
  <si>
    <t>滨化股份</t>
  </si>
  <si>
    <t>中航机电</t>
  </si>
  <si>
    <t>中联重科</t>
  </si>
  <si>
    <t>安迪苏</t>
  </si>
  <si>
    <t>安琪酵母</t>
  </si>
  <si>
    <t>龙元建设</t>
  </si>
  <si>
    <t>洽洽食品</t>
  </si>
  <si>
    <t>红旗连锁</t>
  </si>
  <si>
    <t>好太太</t>
  </si>
  <si>
    <t>博威合金</t>
  </si>
  <si>
    <t>太阳纸业</t>
  </si>
  <si>
    <t>深圳燃气</t>
  </si>
  <si>
    <t>星辉娱乐</t>
  </si>
  <si>
    <t>长海股份</t>
  </si>
  <si>
    <t>福能股份</t>
  </si>
  <si>
    <t>中航资本</t>
  </si>
  <si>
    <t>新宝股份</t>
  </si>
  <si>
    <t>百川能源</t>
  </si>
  <si>
    <t>森马服饰</t>
  </si>
  <si>
    <t>丽珠集团</t>
  </si>
  <si>
    <t>郑煤机</t>
  </si>
  <si>
    <t>四创电子</t>
  </si>
  <si>
    <t>新经典</t>
  </si>
  <si>
    <t>广汇汽车</t>
  </si>
  <si>
    <t>林洋能源</t>
  </si>
  <si>
    <t>千红制药</t>
  </si>
  <si>
    <t>中国巨石</t>
  </si>
  <si>
    <t>欧普照明</t>
  </si>
  <si>
    <t>华孚时尚</t>
  </si>
  <si>
    <t>上海机电</t>
  </si>
  <si>
    <t>豪迈科技</t>
  </si>
  <si>
    <t>佳都科技</t>
  </si>
  <si>
    <t>三七互娱</t>
  </si>
  <si>
    <t>金牌厨柜</t>
  </si>
  <si>
    <t>盛达资源</t>
  </si>
  <si>
    <t>东方盛虹</t>
  </si>
  <si>
    <t>苏泊尔</t>
  </si>
  <si>
    <t>吉比特</t>
  </si>
  <si>
    <t>广日股份</t>
  </si>
  <si>
    <t>扬农化工</t>
  </si>
  <si>
    <t>口子窖</t>
  </si>
  <si>
    <t>锡业股份</t>
  </si>
  <si>
    <t>平安银行</t>
  </si>
  <si>
    <t>银泰黄金</t>
  </si>
  <si>
    <t>铜陵有色</t>
  </si>
  <si>
    <t>中航高科</t>
  </si>
  <si>
    <t>中国汽研</t>
  </si>
  <si>
    <t>涪陵榨菜</t>
  </si>
  <si>
    <t>赛轮轮胎</t>
  </si>
  <si>
    <t>华帝股份</t>
  </si>
  <si>
    <t>国药一致</t>
  </si>
  <si>
    <t>安正时尚</t>
  </si>
  <si>
    <t>国泰君安</t>
  </si>
  <si>
    <t>航天电子</t>
  </si>
  <si>
    <t>三花智控</t>
  </si>
  <si>
    <t>东方电气</t>
  </si>
  <si>
    <t>中信建投</t>
  </si>
  <si>
    <t>华泰证券</t>
  </si>
  <si>
    <t>首开股份</t>
  </si>
  <si>
    <t>嘉化能源</t>
  </si>
  <si>
    <t>爱建集团</t>
  </si>
  <si>
    <t>冀东水泥</t>
  </si>
  <si>
    <t>完美世界</t>
  </si>
  <si>
    <t>伟星新材</t>
  </si>
  <si>
    <t>金螳螂</t>
  </si>
  <si>
    <t>杭叉集团</t>
  </si>
  <si>
    <t>中材国际</t>
  </si>
  <si>
    <t>红豆股份</t>
  </si>
  <si>
    <t>我爱我家</t>
  </si>
  <si>
    <t>龙净环保</t>
  </si>
  <si>
    <t>海通证券</t>
  </si>
  <si>
    <t>TCL科技</t>
  </si>
  <si>
    <t>九阳股份</t>
  </si>
  <si>
    <t>水星家纺</t>
  </si>
  <si>
    <t>恒顺醋业</t>
  </si>
  <si>
    <t>光明乳业</t>
  </si>
  <si>
    <t>荣泰健康</t>
  </si>
  <si>
    <t>中国平安</t>
  </si>
  <si>
    <t>东睦股份</t>
  </si>
  <si>
    <t>昆仑万维</t>
  </si>
  <si>
    <t>金发科技</t>
  </si>
  <si>
    <t>内蒙华电</t>
  </si>
  <si>
    <t>首旅酒店</t>
  </si>
  <si>
    <t>昊华科技</t>
  </si>
  <si>
    <t>中国核电</t>
  </si>
  <si>
    <t>地素时尚</t>
  </si>
  <si>
    <t>常宝股份</t>
  </si>
  <si>
    <t>张家港行</t>
  </si>
  <si>
    <t>宋城演艺</t>
  </si>
  <si>
    <t>老凤祥</t>
  </si>
  <si>
    <t>中国重汽</t>
  </si>
  <si>
    <t>永兴材料</t>
  </si>
  <si>
    <t>招商证券</t>
  </si>
  <si>
    <t>洪城水业</t>
  </si>
  <si>
    <t>新华保险</t>
  </si>
  <si>
    <t>宁波华翔</t>
  </si>
  <si>
    <t>福耀玻璃</t>
  </si>
  <si>
    <t>万业企业</t>
  </si>
  <si>
    <t>兆驰股份</t>
  </si>
  <si>
    <t>豫园股份</t>
  </si>
  <si>
    <t>东易日盛</t>
  </si>
  <si>
    <t>三一重工</t>
  </si>
  <si>
    <t>锦江酒店</t>
  </si>
  <si>
    <t>国信证券</t>
  </si>
  <si>
    <t>新华文轩</t>
  </si>
  <si>
    <t>国药股份</t>
  </si>
  <si>
    <t>四川路桥</t>
  </si>
  <si>
    <t>上海建工</t>
  </si>
  <si>
    <t>上海家化</t>
  </si>
  <si>
    <t>物产中大</t>
  </si>
  <si>
    <t>山东路桥</t>
  </si>
  <si>
    <t>金河生物</t>
  </si>
  <si>
    <t>兴蓉环境</t>
  </si>
  <si>
    <t>巨星科技</t>
  </si>
  <si>
    <t>天虹股份</t>
  </si>
  <si>
    <t>中青旅</t>
  </si>
  <si>
    <t>美的集团</t>
  </si>
  <si>
    <t>云南白药</t>
  </si>
  <si>
    <t>洋河股份</t>
  </si>
  <si>
    <t>城发环境</t>
  </si>
  <si>
    <t>中国中车</t>
  </si>
  <si>
    <t>中国太保</t>
  </si>
  <si>
    <t>山煤国际</t>
  </si>
  <si>
    <t>光大银行</t>
  </si>
  <si>
    <t>上海医药</t>
  </si>
  <si>
    <t>航发控制</t>
  </si>
  <si>
    <t>中国中铁</t>
  </si>
  <si>
    <t>索菲亚</t>
  </si>
  <si>
    <t>南方传媒</t>
  </si>
  <si>
    <t>柳工</t>
  </si>
  <si>
    <t>邮储银行</t>
  </si>
  <si>
    <t>浦发银行</t>
  </si>
  <si>
    <t>富安娜</t>
  </si>
  <si>
    <t>兴业证券</t>
  </si>
  <si>
    <t>万集科技</t>
  </si>
  <si>
    <t>伊利股份</t>
  </si>
  <si>
    <t>上海机场</t>
  </si>
  <si>
    <t>海信家电</t>
  </si>
  <si>
    <t>海特高新</t>
  </si>
  <si>
    <t>塔牌集团</t>
  </si>
  <si>
    <t>协鑫能科</t>
  </si>
  <si>
    <t>海普瑞</t>
  </si>
  <si>
    <t>三峡水利</t>
  </si>
  <si>
    <t>佳士科技</t>
  </si>
  <si>
    <t>兴业银行</t>
  </si>
  <si>
    <t>中国卫星</t>
  </si>
  <si>
    <t>华铁股份</t>
  </si>
  <si>
    <t>旗滨集团</t>
  </si>
  <si>
    <t>金城医药</t>
  </si>
  <si>
    <t>葛洲坝</t>
  </si>
  <si>
    <t>格力电器</t>
  </si>
  <si>
    <t>首钢股份</t>
  </si>
  <si>
    <t>中信证券</t>
  </si>
  <si>
    <t>黔源电力</t>
  </si>
  <si>
    <t>罗莱生活</t>
  </si>
  <si>
    <t>建发股份</t>
  </si>
  <si>
    <t>凤凰传媒</t>
  </si>
  <si>
    <t>长沙银行</t>
  </si>
  <si>
    <t>华鲁恒升</t>
  </si>
  <si>
    <t>太平鸟</t>
  </si>
  <si>
    <t>浙江龙盛</t>
  </si>
  <si>
    <t>老板电器</t>
  </si>
  <si>
    <t>广发证券</t>
  </si>
  <si>
    <t>天士力</t>
  </si>
  <si>
    <t>卧龙电驱</t>
  </si>
  <si>
    <t>苏农银行</t>
  </si>
  <si>
    <t>莱克电气</t>
  </si>
  <si>
    <t>中文传媒</t>
  </si>
  <si>
    <t>中国铁建</t>
  </si>
  <si>
    <t>捷成股份</t>
  </si>
  <si>
    <t>中国电影</t>
  </si>
  <si>
    <t>久立特材</t>
  </si>
  <si>
    <t>隧道股份</t>
  </si>
  <si>
    <t>美凯龙</t>
  </si>
  <si>
    <t>王府井</t>
  </si>
  <si>
    <t>西部矿业</t>
  </si>
  <si>
    <t>珠江啤酒</t>
  </si>
  <si>
    <t>金隅集团</t>
  </si>
  <si>
    <t>中国石油</t>
  </si>
  <si>
    <t>中南传媒</t>
  </si>
  <si>
    <t>中国交建</t>
  </si>
  <si>
    <t>中国银河</t>
  </si>
  <si>
    <t>众生药业</t>
  </si>
  <si>
    <t>东方时尚</t>
  </si>
  <si>
    <t>上峰水泥</t>
  </si>
  <si>
    <t>河钢资源</t>
  </si>
  <si>
    <t>奇正藏药</t>
  </si>
  <si>
    <t>上汽集团</t>
  </si>
  <si>
    <t>新奥股份</t>
  </si>
  <si>
    <t>工商银行</t>
  </si>
  <si>
    <t>深圳机场</t>
  </si>
  <si>
    <t>祁连山</t>
  </si>
  <si>
    <t>北京银行</t>
  </si>
  <si>
    <t>中国中冶</t>
  </si>
  <si>
    <t>山西焦化</t>
  </si>
  <si>
    <t>海澜之家</t>
  </si>
  <si>
    <t>宇通客车</t>
  </si>
  <si>
    <t>双汇发展</t>
  </si>
  <si>
    <t>华域汽车</t>
  </si>
  <si>
    <t>潍柴动力</t>
  </si>
  <si>
    <t>航民股份</t>
  </si>
  <si>
    <t>攀钢钒钛</t>
  </si>
  <si>
    <t>大亚圣象</t>
  </si>
  <si>
    <t>中信银行</t>
  </si>
  <si>
    <t>同仁堂</t>
  </si>
  <si>
    <t>海尔智家</t>
  </si>
  <si>
    <t>峨眉山A</t>
  </si>
  <si>
    <t>宝钢股份</t>
  </si>
  <si>
    <t>金岭矿业</t>
  </si>
  <si>
    <t>天山股份</t>
  </si>
  <si>
    <t>养元饮品</t>
  </si>
  <si>
    <t>粤高速A</t>
  </si>
  <si>
    <t>黄山旅游</t>
  </si>
  <si>
    <t>飞科电器</t>
  </si>
  <si>
    <t>中国广核</t>
  </si>
  <si>
    <t>威孚高科</t>
  </si>
  <si>
    <t>八一钢铁</t>
  </si>
  <si>
    <t>重庆水务</t>
  </si>
  <si>
    <t>鞍钢股份</t>
  </si>
  <si>
    <t>华数传媒</t>
  </si>
  <si>
    <t>凌钢股份</t>
  </si>
  <si>
    <t>江苏国信</t>
  </si>
  <si>
    <t>中国人寿</t>
  </si>
  <si>
    <t>潞安环能</t>
  </si>
  <si>
    <t>宁沪高速</t>
  </si>
  <si>
    <t>交通银行</t>
  </si>
  <si>
    <t>方大特钢</t>
  </si>
  <si>
    <t>中信特钢</t>
  </si>
  <si>
    <t>桂冠电力</t>
  </si>
  <si>
    <t>重庆啤酒</t>
  </si>
  <si>
    <t>农业银行</t>
  </si>
  <si>
    <t>三钢闽光</t>
  </si>
  <si>
    <t>平煤股份</t>
  </si>
  <si>
    <t>中国石化</t>
  </si>
  <si>
    <t>新钢股份</t>
  </si>
  <si>
    <t>东方明珠</t>
  </si>
  <si>
    <t>国投电力</t>
  </si>
  <si>
    <t>九牧王</t>
  </si>
  <si>
    <t>建设银行</t>
  </si>
  <si>
    <t>万年青</t>
  </si>
  <si>
    <t>陕西煤业</t>
  </si>
  <si>
    <t>盘江股份</t>
  </si>
  <si>
    <t>中国人保</t>
  </si>
  <si>
    <t>西山煤电</t>
  </si>
  <si>
    <t>光线传媒</t>
  </si>
  <si>
    <t>兖州煤业</t>
  </si>
  <si>
    <t>南钢股份</t>
  </si>
  <si>
    <t>阳泉煤业</t>
  </si>
  <si>
    <t>韶钢松山</t>
  </si>
  <si>
    <t>华能水电</t>
  </si>
  <si>
    <t>三江购物</t>
  </si>
  <si>
    <t>露天煤业</t>
  </si>
  <si>
    <t>华新水泥</t>
  </si>
  <si>
    <t>中国银行</t>
  </si>
  <si>
    <t>大秦铁路</t>
  </si>
  <si>
    <t>河钢股份</t>
  </si>
  <si>
    <t>华菱钢铁</t>
  </si>
  <si>
    <t>海螺水泥</t>
  </si>
  <si>
    <t>中国神华</t>
  </si>
  <si>
    <t>朗新科技</t>
  </si>
  <si>
    <t>上海石化</t>
  </si>
  <si>
    <t>云海金属</t>
  </si>
  <si>
    <t>深高速</t>
  </si>
  <si>
    <t>中远海控</t>
  </si>
  <si>
    <t>当代明诚</t>
  </si>
  <si>
    <t>圣农发展</t>
  </si>
  <si>
    <t>三六零</t>
  </si>
  <si>
    <t>广深铁路</t>
  </si>
  <si>
    <t>海正药业</t>
  </si>
  <si>
    <t>金溢科技</t>
  </si>
  <si>
    <t>神火股份</t>
  </si>
  <si>
    <t>苏宁易购</t>
  </si>
  <si>
    <t>黑猫股份</t>
  </si>
  <si>
    <t>长安汽车</t>
  </si>
  <si>
    <t>海油工程</t>
  </si>
  <si>
    <t>大类资产</t>
  </si>
  <si>
    <t>最大分配</t>
  </si>
  <si>
    <t>时点比例</t>
  </si>
  <si>
    <t>应配比例</t>
  </si>
  <si>
    <t>债券现金</t>
  </si>
  <si>
    <t>医药</t>
  </si>
  <si>
    <t>美股欧股</t>
  </si>
  <si>
    <t>港股</t>
  </si>
  <si>
    <t>黄金</t>
  </si>
  <si>
    <t>创业</t>
  </si>
  <si>
    <t>消费</t>
  </si>
  <si>
    <t>信息</t>
  </si>
  <si>
    <t>1. 最大配比顾名思义就是无论嘛时候的最大可配置比例，所有累加和肯定大于100%，因为是对应的不同时刻</t>
  </si>
  <si>
    <t>2. 时点比例就是当前应该配置的比例，就是最大比例当前时段应该的配比，与最大比例的乘积等于应配比例</t>
  </si>
  <si>
    <t>3. 应配比例就是当前对应项占你资产的比例，简单的话看这个就OK了。当然它的值也等于最大比例与应配比例的乘积。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</si>
</sst>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%"/>
    <numFmt numFmtId="167" formatCode="000000"/>
  </numFmts>
  <fonts count="9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7E7E7E"/>
      <name val="Helvetica"/>
      <family val="2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</font>
    <font>
      <sz val="13"/>
      <color rgb="FF333333"/>
      <name val="Menlo"/>
      <family val="2"/>
    </font>
    <font>
      <sz val="12"/>
      <color theme="1"/>
      <name val="Calibri"/>
      <family val="2"/>
    </font>
    <font>
      <sz val="12"/>
      <color rgb="FF666666"/>
      <name val="Arial"/>
      <family val="2"/>
    </font>
    <font>
      <sz val="12"/>
      <color rgb="FF008000"/>
      <name val="Calibri"/>
      <family val="2"/>
    </font>
    <font>
      <sz val="14"/>
      <color rgb="FF333333"/>
      <name val="Helvetica Neue"/>
      <family val="2"/>
    </font>
    <font>
      <b/>
      <sz val="13"/>
      <color rgb="FF797979"/>
      <name val="Arial"/>
      <family val="2"/>
    </font>
    <font>
      <sz val="13"/>
      <color rgb="FF797979"/>
      <name val="Arial"/>
      <family val="2"/>
    </font>
    <font>
      <u/>
      <sz val="12"/>
      <color theme="10"/>
      <name val="Calibri"/>
      <family val="2"/>
      <scheme val="minor"/>
    </font>
    <font>
      <sz val="12"/>
      <color rgb="FF008000"/>
      <name val="Calibri"/>
      <family val="2"/>
    </font>
    <font>
      <sz val="12"/>
      <color rgb="FF00FF00"/>
      <name val="Calibri"/>
      <family val="2"/>
    </font>
    <font>
      <sz val="12"/>
      <color rgb="FFFF0000"/>
      <name val="Calibri"/>
      <family val="2"/>
    </font>
    <font>
      <sz val="12"/>
      <color rgb="FF800000"/>
      <name val="Calibri"/>
      <family val="2"/>
    </font>
    <font>
      <sz val="12"/>
      <color rgb="FF00FF00"/>
      <name val="Calibri"/>
      <family val="2"/>
    </font>
    <font>
      <sz val="12"/>
      <color rgb="FF008000"/>
      <name val="Calibri"/>
      <family val="2"/>
    </font>
    <font>
      <sz val="12"/>
      <color rgb="FF800000"/>
      <name val="Calibri"/>
      <family val="2"/>
    </font>
    <font>
      <sz val="12"/>
      <color rgb="FFFF0000"/>
      <name val="Calibri"/>
      <family val="2"/>
    </font>
    <font>
      <sz val="12"/>
      <color rgb="FF000000"/>
      <name val="Helvetica"/>
      <family val="2"/>
    </font>
    <font>
      <sz val="12"/>
      <color rgb="FF4A90E2"/>
      <name val="Helvetica"/>
      <family val="2"/>
    </font>
    <font>
      <sz val="12"/>
      <color rgb="FF333333"/>
      <name val="Iconfont"/>
    </font>
    <font>
      <b/>
      <sz val="12"/>
      <color rgb="FF333333"/>
      <name val="Arial"/>
      <family val="2"/>
    </font>
    <font>
      <sz val="12"/>
      <color rgb="FF999999"/>
      <name val="Iconfont"/>
    </font>
    <font>
      <sz val="14"/>
      <color rgb="FF33353C"/>
      <name val="Helvetica Neue"/>
      <family val="2"/>
    </font>
    <font>
      <sz val="15"/>
      <color rgb="FF33353C"/>
      <name val="Helvetica Neue"/>
      <family val="2"/>
    </font>
    <font>
      <sz val="20"/>
      <color rgb="FF222222"/>
      <name val="Helvetica"/>
      <family val="2"/>
    </font>
    <font>
      <sz val="12"/>
      <color rgb="FF00FF00"/>
      <name val="Calibri"/>
      <family val="2"/>
    </font>
    <font>
      <sz val="12"/>
      <color rgb="FF008000"/>
      <name val="Calibri"/>
      <family val="2"/>
    </font>
    <font>
      <sz val="12"/>
      <color rgb="FFFF0000"/>
      <name val="Calibri"/>
      <family val="2"/>
      <scheme val="minor"/>
    </font>
    <font>
      <sz val="14"/>
      <color rgb="FF777777"/>
      <name val="Helvetica Neue"/>
      <family val="2"/>
    </font>
    <font>
      <sz val="16"/>
      <color rgb="FF33353C"/>
      <name val="Helvetica Neue"/>
      <family val="2"/>
    </font>
    <font>
      <sz val="12"/>
      <name val="Calibri"/>
      <family val="2"/>
    </font>
    <font>
      <sz val="12"/>
      <color rgb="FF800000"/>
      <name val="Calibri"/>
      <family val="2"/>
    </font>
    <font>
      <sz val="12"/>
      <color rgb="FF00FF00"/>
      <name val="Calibri"/>
      <family val="2"/>
    </font>
    <font>
      <sz val="12"/>
      <color rgb="FF008000"/>
      <name val="Calibri"/>
      <family val="2"/>
    </font>
    <font>
      <sz val="12"/>
      <color rgb="FF00FF00"/>
      <name val="Calibri"/>
      <family val="2"/>
    </font>
    <font>
      <sz val="12"/>
      <color rgb="FF800000"/>
      <name val="Calibri"/>
      <family val="2"/>
    </font>
    <font>
      <sz val="12"/>
      <color rgb="FF008000"/>
      <name val="Calibri"/>
      <family val="2"/>
    </font>
    <font>
      <sz val="12"/>
      <color rgb="FF00FF00"/>
      <name val="Calibri"/>
      <family val="2"/>
    </font>
    <font>
      <sz val="12"/>
      <color rgb="FF00FF00"/>
      <name val="Calibri"/>
      <family val="2"/>
    </font>
    <font>
      <sz val="12"/>
      <color rgb="FF00FF00"/>
      <name val="Calibri"/>
      <family val="2"/>
    </font>
    <font>
      <sz val="13"/>
      <color rgb="FF3D3D3D"/>
      <name val="Arial"/>
      <family val="2"/>
    </font>
    <font>
      <i/>
      <sz val="13"/>
      <color rgb="FFAAAAAA"/>
      <name val="Arial"/>
      <family val="2"/>
    </font>
    <font>
      <sz val="13"/>
      <color rgb="FF444444"/>
      <name val="Helvetica Neue"/>
      <family val="2"/>
    </font>
    <font>
      <sz val="10.8"/>
      <color rgb="FF333333"/>
      <name val="Arial"/>
      <family val="2"/>
    </font>
    <font>
      <sz val="13"/>
      <color rgb="FF337AB7"/>
      <name val="Arial"/>
      <family val="2"/>
    </font>
    <font>
      <sz val="13"/>
      <color rgb="FF008000"/>
      <name val="Arial"/>
      <family val="2"/>
    </font>
    <font>
      <sz val="13"/>
      <color rgb="FFFF0000"/>
      <name val="Arial"/>
      <family val="2"/>
    </font>
    <font>
      <sz val="12"/>
      <color rgb="FF800000"/>
      <name val="Calibri"/>
      <family val="2"/>
    </font>
    <font>
      <sz val="12"/>
      <color rgb="FF008000"/>
      <name val="Calibri"/>
      <family val="2"/>
    </font>
    <font>
      <sz val="12"/>
      <color rgb="FFFF0000"/>
      <name val="Calibri"/>
      <family val="2"/>
    </font>
    <font>
      <sz val="15"/>
      <color rgb="FF333333"/>
      <name val="微软雅黑"/>
      <family val="2"/>
      <charset val="134"/>
    </font>
    <font>
      <sz val="12"/>
      <color rgb="FF999999"/>
      <name val="微软雅黑"/>
      <family val="2"/>
      <charset val="134"/>
    </font>
    <font>
      <sz val="12"/>
      <color rgb="FF999999"/>
      <name val="Helvetica Neue"/>
      <family val="2"/>
    </font>
    <font>
      <b/>
      <sz val="12"/>
      <color rgb="FF545454"/>
      <name val="Helvetica Neue"/>
      <family val="2"/>
    </font>
    <font>
      <sz val="12"/>
      <color rgb="FF666666"/>
      <name val="Helvetica Neue"/>
      <family val="2"/>
    </font>
    <font>
      <b/>
      <sz val="14"/>
      <color rgb="FF333333"/>
      <name val="宋体"/>
      <charset val="134"/>
    </font>
    <font>
      <sz val="14"/>
      <color rgb="FF333333"/>
      <name val="宋体"/>
      <charset val="134"/>
    </font>
    <font>
      <sz val="12"/>
      <color rgb="FF008000"/>
      <name val="Calibri"/>
      <family val="2"/>
    </font>
    <font>
      <sz val="12"/>
      <color rgb="FF00FF00"/>
      <name val="Calibri"/>
      <family val="2"/>
    </font>
    <font>
      <sz val="12"/>
      <color rgb="FFFF0000"/>
      <name val="Calibri"/>
      <family val="2"/>
    </font>
    <font>
      <sz val="12"/>
      <color rgb="FF333333"/>
      <name val="Arial"/>
      <family val="2"/>
    </font>
    <font>
      <u/>
      <sz val="12"/>
      <color rgb="FFFF0000"/>
      <name val="Arial"/>
      <family val="2"/>
    </font>
    <font>
      <sz val="14"/>
      <color rgb="FF000000"/>
      <name val="Helvetica Neue"/>
      <family val="2"/>
    </font>
    <font>
      <sz val="12"/>
      <color rgb="FF008000"/>
      <name val="Calibri"/>
      <family val="2"/>
    </font>
    <font>
      <sz val="12"/>
      <color rgb="FF00FF00"/>
      <name val="Calibri"/>
      <family val="2"/>
    </font>
    <font>
      <sz val="13"/>
      <color rgb="FF000000"/>
      <name val="Microsoft YaHei"/>
      <family val="2"/>
      <charset val="134"/>
    </font>
    <font>
      <sz val="14"/>
      <color rgb="FFFF0000"/>
      <name val="Helvetica Neue"/>
      <family val="2"/>
    </font>
    <font>
      <sz val="14"/>
      <color rgb="FF212529"/>
      <name val="Helvetica Neue"/>
      <family val="2"/>
    </font>
    <font>
      <sz val="14"/>
      <color rgb="FF6C757D"/>
      <name val="Helvetica Neue"/>
      <family val="2"/>
    </font>
    <font>
      <sz val="14"/>
      <color rgb="FF008000"/>
      <name val="Helvetica Neue"/>
      <family val="2"/>
    </font>
    <font>
      <sz val="14"/>
      <color rgb="FF007BFF"/>
      <name val="Helvetica Neue"/>
      <family val="2"/>
    </font>
    <font>
      <b/>
      <sz val="14"/>
      <color rgb="FF212529"/>
      <name val="Helvetica Neue"/>
      <family val="2"/>
    </font>
    <font>
      <b/>
      <sz val="14"/>
      <color rgb="FF666666"/>
      <name val="Arial"/>
      <family val="2"/>
    </font>
    <font>
      <b/>
      <sz val="15"/>
      <color rgb="FF363945"/>
      <name val="Arial"/>
      <family val="2"/>
    </font>
    <font>
      <b/>
      <sz val="16"/>
      <color rgb="FF363945"/>
      <name val="Arial"/>
      <family val="2"/>
    </font>
    <font>
      <b/>
      <sz val="16"/>
      <color rgb="FFFFFFFF"/>
      <name val="Arial"/>
      <family val="2"/>
    </font>
    <font>
      <sz val="15"/>
      <color rgb="FF00B5F0"/>
      <name val="Arial"/>
      <family val="2"/>
    </font>
    <font>
      <b/>
      <sz val="16"/>
      <color rgb="FF000000"/>
      <name val="Arial"/>
      <family val="2"/>
    </font>
    <font>
      <sz val="12"/>
      <color rgb="FF00FF00"/>
      <name val="Calibri"/>
      <family val="2"/>
    </font>
    <font>
      <sz val="12"/>
      <color rgb="FF008000"/>
      <name val="Calibri"/>
      <family val="2"/>
    </font>
    <font>
      <sz val="12"/>
      <color rgb="FF00FF00"/>
      <name val="Calibri"/>
      <family val="2"/>
    </font>
    <font>
      <sz val="12"/>
      <color rgb="FF008000"/>
      <name val="Calibri"/>
      <family val="2"/>
    </font>
    <font>
      <sz val="12"/>
      <color rgb="FF800000"/>
      <name val="Calibri"/>
      <family val="2"/>
    </font>
    <font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4" fillId="0" borderId="0"/>
    <xf numFmtId="0" fontId="14" fillId="0" borderId="0"/>
  </cellStyleXfs>
  <cellXfs count="208">
    <xf numFmtId="0" fontId="0" fillId="0" borderId="0" xfId="0"/>
    <xf numFmtId="164" fontId="0" fillId="0" borderId="0" xfId="0" applyNumberFormat="1"/>
    <xf numFmtId="0" fontId="2" fillId="0" borderId="0" xfId="0" applyFont="1"/>
    <xf numFmtId="2" fontId="2" fillId="0" borderId="0" xfId="1" applyNumberFormat="1" applyFont="1"/>
    <xf numFmtId="0" fontId="2" fillId="0" borderId="0" xfId="0" applyFont="1" applyAlignment="1">
      <alignment horizontal="right"/>
    </xf>
    <xf numFmtId="9" fontId="2" fillId="0" borderId="0" xfId="1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2" fontId="3" fillId="0" borderId="0" xfId="0" applyNumberFormat="1" applyFont="1"/>
    <xf numFmtId="0" fontId="3" fillId="0" borderId="0" xfId="0" applyFont="1" applyAlignment="1">
      <alignment horizontal="right"/>
    </xf>
    <xf numFmtId="9" fontId="3" fillId="0" borderId="0" xfId="1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4" fillId="0" borderId="0" xfId="0" applyFont="1"/>
    <xf numFmtId="0" fontId="7" fillId="0" borderId="0" xfId="0" applyFont="1"/>
    <xf numFmtId="10" fontId="2" fillId="0" borderId="0" xfId="0" applyNumberFormat="1" applyFont="1"/>
    <xf numFmtId="10" fontId="2" fillId="0" borderId="0" xfId="0" applyNumberFormat="1" applyFont="1" applyAlignment="1">
      <alignment horizontal="right"/>
    </xf>
    <xf numFmtId="10" fontId="3" fillId="0" borderId="0" xfId="0" applyNumberFormat="1" applyFont="1"/>
    <xf numFmtId="10" fontId="3" fillId="0" borderId="0" xfId="0" applyNumberFormat="1" applyFont="1" applyAlignment="1">
      <alignment horizontal="right"/>
    </xf>
    <xf numFmtId="10" fontId="2" fillId="0" borderId="0" xfId="1" applyNumberFormat="1" applyFont="1"/>
    <xf numFmtId="14" fontId="9" fillId="0" borderId="0" xfId="0" applyNumberFormat="1" applyFont="1"/>
    <xf numFmtId="0" fontId="7" fillId="2" borderId="0" xfId="0" applyFont="1" applyFill="1"/>
    <xf numFmtId="164" fontId="2" fillId="2" borderId="0" xfId="0" applyNumberFormat="1" applyFont="1" applyFill="1"/>
    <xf numFmtId="2" fontId="2" fillId="2" borderId="0" xfId="0" applyNumberFormat="1" applyFont="1" applyFill="1"/>
    <xf numFmtId="9" fontId="2" fillId="2" borderId="0" xfId="0" applyNumberFormat="1" applyFont="1" applyFill="1"/>
    <xf numFmtId="164" fontId="3" fillId="2" borderId="0" xfId="0" applyNumberFormat="1" applyFont="1" applyFill="1"/>
    <xf numFmtId="2" fontId="3" fillId="2" borderId="0" xfId="1" applyNumberFormat="1" applyFont="1" applyFill="1"/>
    <xf numFmtId="9" fontId="3" fillId="2" borderId="0" xfId="0" applyNumberFormat="1" applyFont="1" applyFill="1"/>
    <xf numFmtId="165" fontId="3" fillId="2" borderId="0" xfId="0" applyNumberFormat="1" applyFont="1" applyFill="1"/>
    <xf numFmtId="10" fontId="1" fillId="2" borderId="0" xfId="1" applyNumberFormat="1" applyFill="1"/>
    <xf numFmtId="10" fontId="0" fillId="2" borderId="0" xfId="0" applyNumberFormat="1" applyFill="1"/>
    <xf numFmtId="166" fontId="2" fillId="0" borderId="0" xfId="1" applyNumberFormat="1" applyFont="1" applyAlignment="1">
      <alignment horizontal="right"/>
    </xf>
    <xf numFmtId="166" fontId="2" fillId="2" borderId="0" xfId="1" applyNumberFormat="1" applyFont="1" applyFill="1"/>
    <xf numFmtId="166" fontId="3" fillId="0" borderId="0" xfId="0" applyNumberFormat="1" applyFont="1"/>
    <xf numFmtId="166" fontId="3" fillId="0" borderId="0" xfId="1" applyNumberFormat="1" applyFont="1" applyAlignment="1">
      <alignment horizontal="right"/>
    </xf>
    <xf numFmtId="166" fontId="3" fillId="2" borderId="0" xfId="1" applyNumberFormat="1" applyFont="1" applyFill="1"/>
    <xf numFmtId="0" fontId="3" fillId="2" borderId="0" xfId="0" applyFont="1" applyFill="1"/>
    <xf numFmtId="2" fontId="3" fillId="2" borderId="0" xfId="0" applyNumberFormat="1" applyFont="1" applyFill="1"/>
    <xf numFmtId="10" fontId="8" fillId="2" borderId="0" xfId="1" applyNumberFormat="1" applyFont="1" applyFill="1"/>
    <xf numFmtId="10" fontId="8" fillId="2" borderId="0" xfId="0" applyNumberFormat="1" applyFont="1" applyFill="1"/>
    <xf numFmtId="0" fontId="6" fillId="2" borderId="0" xfId="0" applyFont="1" applyFill="1"/>
    <xf numFmtId="0" fontId="11" fillId="0" borderId="0" xfId="0" applyFont="1"/>
    <xf numFmtId="9" fontId="2" fillId="2" borderId="0" xfId="0" applyNumberFormat="1" applyFont="1" applyFill="1" applyAlignment="1">
      <alignment horizontal="right"/>
    </xf>
    <xf numFmtId="164" fontId="15" fillId="2" borderId="0" xfId="0" applyNumberFormat="1" applyFont="1" applyFill="1"/>
    <xf numFmtId="164" fontId="16" fillId="2" borderId="0" xfId="0" applyNumberFormat="1" applyFont="1" applyFill="1"/>
    <xf numFmtId="164" fontId="15" fillId="0" borderId="0" xfId="0" applyNumberFormat="1" applyFont="1"/>
    <xf numFmtId="164" fontId="17" fillId="0" borderId="0" xfId="0" applyNumberFormat="1" applyFont="1"/>
    <xf numFmtId="164" fontId="18" fillId="0" borderId="0" xfId="0" applyNumberFormat="1" applyFont="1"/>
    <xf numFmtId="164" fontId="18" fillId="2" borderId="0" xfId="0" applyNumberFormat="1" applyFont="1" applyFill="1"/>
    <xf numFmtId="164" fontId="17" fillId="2" borderId="0" xfId="0" applyNumberFormat="1" applyFont="1" applyFill="1"/>
    <xf numFmtId="164" fontId="19" fillId="2" borderId="0" xfId="0" applyNumberFormat="1" applyFont="1" applyFill="1"/>
    <xf numFmtId="164" fontId="20" fillId="2" borderId="0" xfId="0" applyNumberFormat="1" applyFont="1" applyFill="1"/>
    <xf numFmtId="164" fontId="21" fillId="0" borderId="0" xfId="0" applyNumberFormat="1" applyFont="1"/>
    <xf numFmtId="164" fontId="22" fillId="0" borderId="0" xfId="0" applyNumberFormat="1" applyFont="1"/>
    <xf numFmtId="164" fontId="19" fillId="0" borderId="0" xfId="0" applyNumberFormat="1" applyFont="1"/>
    <xf numFmtId="164" fontId="22" fillId="2" borderId="0" xfId="0" applyNumberFormat="1" applyFont="1" applyFill="1"/>
    <xf numFmtId="164" fontId="21" fillId="2" borderId="0" xfId="0" applyNumberFormat="1" applyFont="1" applyFill="1"/>
    <xf numFmtId="164" fontId="20" fillId="0" borderId="0" xfId="0" applyNumberFormat="1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1" fillId="0" borderId="0" xfId="1"/>
    <xf numFmtId="0" fontId="28" fillId="0" borderId="0" xfId="0" applyFont="1"/>
    <xf numFmtId="0" fontId="28" fillId="0" borderId="0" xfId="0" applyFont="1" applyAlignment="1">
      <alignment horizontal="left"/>
    </xf>
    <xf numFmtId="0" fontId="29" fillId="0" borderId="0" xfId="0" applyFont="1"/>
    <xf numFmtId="0" fontId="30" fillId="0" borderId="0" xfId="0" applyFont="1"/>
    <xf numFmtId="164" fontId="10" fillId="0" borderId="0" xfId="0" applyNumberFormat="1" applyFont="1"/>
    <xf numFmtId="2" fontId="0" fillId="2" borderId="0" xfId="0" applyNumberFormat="1" applyFill="1"/>
    <xf numFmtId="10" fontId="2" fillId="2" borderId="0" xfId="0" applyNumberFormat="1" applyFont="1" applyFill="1"/>
    <xf numFmtId="164" fontId="31" fillId="2" borderId="0" xfId="0" applyNumberFormat="1" applyFont="1" applyFill="1"/>
    <xf numFmtId="164" fontId="10" fillId="2" borderId="0" xfId="0" applyNumberFormat="1" applyFont="1" applyFill="1"/>
    <xf numFmtId="164" fontId="32" fillId="2" borderId="0" xfId="0" applyNumberFormat="1" applyFont="1" applyFill="1"/>
    <xf numFmtId="164" fontId="32" fillId="0" borderId="0" xfId="0" applyNumberFormat="1" applyFont="1"/>
    <xf numFmtId="0" fontId="33" fillId="0" borderId="0" xfId="0" applyFont="1"/>
    <xf numFmtId="0" fontId="0" fillId="0" borderId="0" xfId="0" applyAlignment="1">
      <alignment horizontal="left"/>
    </xf>
    <xf numFmtId="0" fontId="35" fillId="0" borderId="0" xfId="0" applyFont="1"/>
    <xf numFmtId="0" fontId="2" fillId="0" borderId="0" xfId="1" applyFont="1"/>
    <xf numFmtId="0" fontId="5" fillId="0" borderId="0" xfId="0" applyFont="1"/>
    <xf numFmtId="10" fontId="0" fillId="0" borderId="0" xfId="0" applyNumberFormat="1" applyAlignment="1">
      <alignment horizontal="right"/>
    </xf>
    <xf numFmtId="0" fontId="6" fillId="0" borderId="0" xfId="0" applyFont="1"/>
    <xf numFmtId="2" fontId="0" fillId="0" borderId="0" xfId="0" applyNumberFormat="1" applyAlignment="1">
      <alignment horizontal="right"/>
    </xf>
    <xf numFmtId="10" fontId="17" fillId="2" borderId="0" xfId="0" applyNumberFormat="1" applyFont="1" applyFill="1"/>
    <xf numFmtId="164" fontId="38" fillId="0" borderId="0" xfId="0" applyNumberFormat="1" applyFont="1"/>
    <xf numFmtId="164" fontId="37" fillId="0" borderId="0" xfId="0" applyNumberFormat="1" applyFont="1"/>
    <xf numFmtId="0" fontId="8" fillId="2" borderId="0" xfId="0" applyFont="1" applyFill="1"/>
    <xf numFmtId="2" fontId="8" fillId="0" borderId="0" xfId="0" applyNumberFormat="1" applyFont="1"/>
    <xf numFmtId="0" fontId="0" fillId="0" borderId="0" xfId="0" applyAlignment="1">
      <alignment horizontal="right"/>
    </xf>
    <xf numFmtId="10" fontId="36" fillId="0" borderId="0" xfId="0" applyNumberFormat="1" applyFont="1"/>
    <xf numFmtId="0" fontId="3" fillId="0" borderId="0" xfId="0" applyFont="1"/>
    <xf numFmtId="0" fontId="34" fillId="0" borderId="0" xfId="0" applyFont="1"/>
    <xf numFmtId="0" fontId="0" fillId="3" borderId="0" xfId="0" applyFill="1"/>
    <xf numFmtId="0" fontId="3" fillId="3" borderId="0" xfId="0" applyFont="1" applyFill="1"/>
    <xf numFmtId="164" fontId="39" fillId="0" borderId="0" xfId="0" applyNumberFormat="1" applyFont="1"/>
    <xf numFmtId="164" fontId="40" fillId="0" borderId="0" xfId="0" applyNumberFormat="1" applyFont="1"/>
    <xf numFmtId="164" fontId="41" fillId="0" borderId="0" xfId="0" applyNumberFormat="1" applyFont="1"/>
    <xf numFmtId="164" fontId="42" fillId="0" borderId="0" xfId="0" applyNumberFormat="1" applyFont="1"/>
    <xf numFmtId="164" fontId="16" fillId="0" borderId="0" xfId="0" applyNumberFormat="1" applyFont="1"/>
    <xf numFmtId="164" fontId="43" fillId="0" borderId="0" xfId="0" applyNumberFormat="1" applyFont="1"/>
    <xf numFmtId="164" fontId="2" fillId="0" borderId="0" xfId="0" applyNumberFormat="1" applyFont="1"/>
    <xf numFmtId="166" fontId="2" fillId="0" borderId="0" xfId="1" applyNumberFormat="1" applyFont="1"/>
    <xf numFmtId="2" fontId="2" fillId="0" borderId="0" xfId="0" applyNumberFormat="1" applyFont="1"/>
    <xf numFmtId="9" fontId="2" fillId="0" borderId="0" xfId="0" applyNumberFormat="1" applyFont="1" applyAlignment="1">
      <alignment horizontal="right"/>
    </xf>
    <xf numFmtId="9" fontId="2" fillId="0" borderId="0" xfId="0" applyNumberFormat="1" applyFont="1"/>
    <xf numFmtId="164" fontId="3" fillId="0" borderId="0" xfId="0" applyNumberFormat="1" applyFont="1"/>
    <xf numFmtId="166" fontId="3" fillId="0" borderId="0" xfId="1" applyNumberFormat="1" applyFont="1"/>
    <xf numFmtId="2" fontId="3" fillId="0" borderId="0" xfId="1" applyNumberFormat="1" applyFont="1"/>
    <xf numFmtId="9" fontId="3" fillId="0" borderId="0" xfId="0" applyNumberFormat="1" applyFont="1"/>
    <xf numFmtId="165" fontId="3" fillId="0" borderId="0" xfId="0" applyNumberFormat="1" applyFont="1"/>
    <xf numFmtId="10" fontId="1" fillId="0" borderId="0" xfId="1" applyNumberFormat="1"/>
    <xf numFmtId="10" fontId="0" fillId="0" borderId="0" xfId="0" applyNumberFormat="1"/>
    <xf numFmtId="0" fontId="8" fillId="0" borderId="0" xfId="0" applyFont="1"/>
    <xf numFmtId="2" fontId="0" fillId="0" borderId="0" xfId="0" applyNumberFormat="1"/>
    <xf numFmtId="10" fontId="17" fillId="0" borderId="0" xfId="0" applyNumberFormat="1" applyFont="1"/>
    <xf numFmtId="164" fontId="44" fillId="0" borderId="0" xfId="0" applyNumberFormat="1" applyFont="1"/>
    <xf numFmtId="164" fontId="45" fillId="0" borderId="0" xfId="0" applyNumberFormat="1" applyFont="1"/>
    <xf numFmtId="0" fontId="46" fillId="0" borderId="0" xfId="0" applyFont="1"/>
    <xf numFmtId="10" fontId="46" fillId="0" borderId="0" xfId="0" applyNumberFormat="1" applyFont="1"/>
    <xf numFmtId="14" fontId="46" fillId="0" borderId="0" xfId="0" applyNumberFormat="1" applyFont="1"/>
    <xf numFmtId="10" fontId="47" fillId="0" borderId="0" xfId="0" applyNumberFormat="1" applyFont="1"/>
    <xf numFmtId="14" fontId="47" fillId="0" borderId="0" xfId="0" applyNumberFormat="1" applyFont="1"/>
    <xf numFmtId="0" fontId="47" fillId="0" borderId="0" xfId="0" applyFont="1"/>
    <xf numFmtId="0" fontId="48" fillId="0" borderId="0" xfId="0" applyFont="1"/>
    <xf numFmtId="49" fontId="0" fillId="0" borderId="0" xfId="0" applyNumberFormat="1"/>
    <xf numFmtId="0" fontId="50" fillId="0" borderId="0" xfId="0" applyFont="1"/>
    <xf numFmtId="10" fontId="51" fillId="0" borderId="0" xfId="0" applyNumberFormat="1" applyFont="1"/>
    <xf numFmtId="10" fontId="52" fillId="0" borderId="0" xfId="0" applyNumberFormat="1" applyFont="1"/>
    <xf numFmtId="10" fontId="48" fillId="0" borderId="0" xfId="0" applyNumberFormat="1" applyFont="1"/>
    <xf numFmtId="2" fontId="14" fillId="2" borderId="0" xfId="2" applyNumberFormat="1" applyFill="1"/>
    <xf numFmtId="14" fontId="0" fillId="0" borderId="0" xfId="0" applyNumberFormat="1"/>
    <xf numFmtId="9" fontId="0" fillId="0" borderId="0" xfId="0" applyNumberFormat="1"/>
    <xf numFmtId="0" fontId="12" fillId="0" borderId="0" xfId="0" applyFont="1"/>
    <xf numFmtId="0" fontId="13" fillId="0" borderId="0" xfId="0" applyFont="1"/>
    <xf numFmtId="14" fontId="13" fillId="0" borderId="0" xfId="0" applyNumberFormat="1" applyFont="1"/>
    <xf numFmtId="0" fontId="14" fillId="0" borderId="0" xfId="2"/>
    <xf numFmtId="10" fontId="8" fillId="0" borderId="0" xfId="0" applyNumberFormat="1" applyFont="1"/>
    <xf numFmtId="10" fontId="13" fillId="0" borderId="0" xfId="0" applyNumberFormat="1" applyFont="1"/>
    <xf numFmtId="49" fontId="0" fillId="0" borderId="0" xfId="0" applyNumberFormat="1" applyAlignment="1">
      <alignment horizontal="right"/>
    </xf>
    <xf numFmtId="2" fontId="53" fillId="0" borderId="0" xfId="0" applyNumberFormat="1" applyFont="1"/>
    <xf numFmtId="2" fontId="54" fillId="0" borderId="0" xfId="0" applyNumberFormat="1" applyFont="1"/>
    <xf numFmtId="2" fontId="55" fillId="0" borderId="0" xfId="0" applyNumberFormat="1" applyFont="1"/>
    <xf numFmtId="0" fontId="52" fillId="0" borderId="0" xfId="0" applyFont="1"/>
    <xf numFmtId="0" fontId="56" fillId="0" borderId="0" xfId="0" applyFont="1"/>
    <xf numFmtId="22" fontId="57" fillId="0" borderId="0" xfId="0" applyNumberFormat="1" applyFont="1"/>
    <xf numFmtId="165" fontId="0" fillId="0" borderId="0" xfId="0" applyNumberFormat="1"/>
    <xf numFmtId="0" fontId="59" fillId="0" borderId="0" xfId="0" applyFont="1"/>
    <xf numFmtId="14" fontId="60" fillId="0" borderId="0" xfId="0" applyNumberFormat="1" applyFont="1"/>
    <xf numFmtId="0" fontId="60" fillId="0" borderId="0" xfId="0" applyFont="1"/>
    <xf numFmtId="0" fontId="58" fillId="0" borderId="0" xfId="0" applyFont="1"/>
    <xf numFmtId="0" fontId="61" fillId="0" borderId="0" xfId="0" applyFont="1"/>
    <xf numFmtId="0" fontId="62" fillId="0" borderId="0" xfId="0" applyFont="1"/>
    <xf numFmtId="164" fontId="64" fillId="0" borderId="0" xfId="0" applyNumberFormat="1" applyFont="1"/>
    <xf numFmtId="2" fontId="63" fillId="0" borderId="0" xfId="0" applyNumberFormat="1" applyFont="1"/>
    <xf numFmtId="2" fontId="65" fillId="0" borderId="0" xfId="0" applyNumberFormat="1" applyFont="1"/>
    <xf numFmtId="9" fontId="0" fillId="0" borderId="0" xfId="0" applyNumberFormat="1" applyAlignment="1">
      <alignment horizontal="right"/>
    </xf>
    <xf numFmtId="0" fontId="66" fillId="0" borderId="0" xfId="0" applyFont="1"/>
    <xf numFmtId="0" fontId="67" fillId="0" borderId="0" xfId="0" applyFont="1"/>
    <xf numFmtId="167" fontId="14" fillId="0" borderId="0" xfId="2" applyNumberFormat="1"/>
    <xf numFmtId="167" fontId="0" fillId="0" borderId="0" xfId="0" applyNumberFormat="1"/>
    <xf numFmtId="0" fontId="66" fillId="2" borderId="0" xfId="0" applyFont="1" applyFill="1"/>
    <xf numFmtId="167" fontId="14" fillId="2" borderId="0" xfId="2" applyNumberFormat="1" applyFill="1"/>
    <xf numFmtId="0" fontId="14" fillId="2" borderId="0" xfId="2" applyFill="1"/>
    <xf numFmtId="0" fontId="67" fillId="2" borderId="0" xfId="0" applyFont="1" applyFill="1"/>
    <xf numFmtId="0" fontId="68" fillId="0" borderId="0" xfId="0" applyFont="1"/>
    <xf numFmtId="164" fontId="69" fillId="0" borderId="0" xfId="0" applyNumberFormat="1" applyFont="1"/>
    <xf numFmtId="164" fontId="70" fillId="0" borderId="0" xfId="0" applyNumberFormat="1" applyFont="1"/>
    <xf numFmtId="0" fontId="71" fillId="0" borderId="0" xfId="0" applyFont="1"/>
    <xf numFmtId="166" fontId="0" fillId="0" borderId="0" xfId="1" applyNumberFormat="1" applyFont="1"/>
    <xf numFmtId="0" fontId="14" fillId="0" borderId="0" xfId="3"/>
    <xf numFmtId="0" fontId="74" fillId="0" borderId="0" xfId="0" applyFont="1"/>
    <xf numFmtId="0" fontId="72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3" fontId="80" fillId="0" borderId="0" xfId="0" applyNumberFormat="1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3" fontId="83" fillId="0" borderId="0" xfId="0" applyNumberFormat="1" applyFont="1"/>
    <xf numFmtId="164" fontId="85" fillId="0" borderId="0" xfId="0" applyNumberFormat="1" applyFont="1"/>
    <xf numFmtId="164" fontId="84" fillId="0" borderId="0" xfId="0" applyNumberFormat="1" applyFont="1"/>
    <xf numFmtId="0" fontId="49" fillId="0" borderId="0" xfId="0" applyFont="1"/>
    <xf numFmtId="0" fontId="0" fillId="0" borderId="0" xfId="0"/>
    <xf numFmtId="0" fontId="49" fillId="2" borderId="0" xfId="0" applyFont="1" applyFill="1"/>
    <xf numFmtId="0" fontId="0" fillId="2" borderId="0" xfId="0" applyFill="1"/>
    <xf numFmtId="14" fontId="74" fillId="0" borderId="0" xfId="0" applyNumberFormat="1" applyFont="1"/>
    <xf numFmtId="0" fontId="73" fillId="0" borderId="0" xfId="0" applyFont="1"/>
    <xf numFmtId="164" fontId="86" fillId="2" borderId="0" xfId="0" applyNumberFormat="1" applyFont="1" applyFill="1"/>
    <xf numFmtId="164" fontId="87" fillId="2" borderId="0" xfId="0" applyNumberFormat="1" applyFont="1" applyFill="1"/>
    <xf numFmtId="164" fontId="88" fillId="2" borderId="0" xfId="0" applyNumberFormat="1" applyFont="1" applyFill="1"/>
    <xf numFmtId="164" fontId="89" fillId="2" borderId="0" xfId="0" applyNumberFormat="1" applyFont="1" applyFill="1"/>
    <xf numFmtId="164" fontId="87" fillId="0" borderId="0" xfId="0" applyNumberFormat="1" applyFont="1"/>
    <xf numFmtId="164" fontId="86" fillId="0" borderId="0" xfId="0" applyNumberFormat="1" applyFont="1"/>
    <xf numFmtId="164" fontId="88" fillId="0" borderId="0" xfId="0" applyNumberFormat="1" applyFont="1"/>
    <xf numFmtId="164" fontId="89" fillId="0" borderId="0" xfId="0" applyNumberFormat="1" applyFont="1"/>
    <xf numFmtId="2" fontId="86" fillId="0" borderId="0" xfId="0" applyNumberFormat="1" applyFont="1"/>
    <xf numFmtId="2" fontId="89" fillId="0" borderId="0" xfId="0" applyNumberFormat="1" applyFont="1"/>
    <xf numFmtId="2" fontId="87" fillId="0" borderId="0" xfId="0" applyNumberFormat="1" applyFont="1"/>
    <xf numFmtId="2" fontId="88" fillId="0" borderId="0" xfId="0" applyNumberFormat="1" applyFont="1"/>
    <xf numFmtId="0" fontId="49" fillId="0" borderId="0" xfId="0" applyFont="1"/>
    <xf numFmtId="0" fontId="0" fillId="0" borderId="0" xfId="0"/>
    <xf numFmtId="0" fontId="49" fillId="2" borderId="0" xfId="0" applyFont="1" applyFill="1"/>
    <xf numFmtId="0" fontId="0" fillId="2" borderId="0" xfId="0" applyFill="1"/>
    <xf numFmtId="10" fontId="72" fillId="0" borderId="0" xfId="0" applyNumberFormat="1" applyFont="1"/>
    <xf numFmtId="10" fontId="75" fillId="0" borderId="0" xfId="0" applyNumberFormat="1" applyFont="1"/>
    <xf numFmtId="10" fontId="73" fillId="0" borderId="0" xfId="0" applyNumberFormat="1" applyFont="1"/>
    <xf numFmtId="14" fontId="74" fillId="0" borderId="0" xfId="0" applyNumberFormat="1" applyFont="1"/>
    <xf numFmtId="0" fontId="73" fillId="0" borderId="0" xfId="0" applyFont="1"/>
  </cellXfs>
  <cellStyles count="4">
    <cellStyle name="Hyperlink" xfId="2" builtinId="8"/>
    <cellStyle name="Hyperlink 2" xfId="3" xr:uid="{00000000-0005-0000-0000-000003000000}"/>
    <cellStyle name="Normal" xfId="0" builtinId="0"/>
    <cellStyle name="Percent" xfId="1" builtinId="5"/>
  </cellStyles>
  <dxfs count="7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xinger.com/analytics/industry/sz/C11/11/detai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xinger.com/analytics/industry/sz/C1102/1102/detail" TargetMode="External"/><Relationship Id="rId2" Type="http://schemas.openxmlformats.org/officeDocument/2006/relationships/hyperlink" Target="https://www.lixinger.com/analytics/industry/sz/C1101/1101/detail" TargetMode="External"/><Relationship Id="rId1" Type="http://schemas.openxmlformats.org/officeDocument/2006/relationships/hyperlink" Target="https://www.lixinger.com/analytics/industry/sz/C0503/503/detai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discuss.jiucaishuo.com/?/invest/showData/search_gu-si801180" TargetMode="External"/><Relationship Id="rId13" Type="http://schemas.openxmlformats.org/officeDocument/2006/relationships/hyperlink" Target="http://discuss.jiucaishuo.com/?/invest/showData/search_gu-si801130" TargetMode="External"/><Relationship Id="rId18" Type="http://schemas.openxmlformats.org/officeDocument/2006/relationships/hyperlink" Target="http://discuss.jiucaishuo.com/?/invest/showData/search_gu-si801210" TargetMode="External"/><Relationship Id="rId26" Type="http://schemas.openxmlformats.org/officeDocument/2006/relationships/hyperlink" Target="http://discuss.jiucaishuo.com/?/invest/showData/search_gu-si801140" TargetMode="External"/><Relationship Id="rId3" Type="http://schemas.openxmlformats.org/officeDocument/2006/relationships/hyperlink" Target="http://discuss.jiucaishuo.com/?/invest/showData/search_gu-si801750" TargetMode="External"/><Relationship Id="rId21" Type="http://schemas.openxmlformats.org/officeDocument/2006/relationships/hyperlink" Target="http://discuss.jiucaishuo.com/?/invest/showData/search_gu-si801230" TargetMode="External"/><Relationship Id="rId7" Type="http://schemas.openxmlformats.org/officeDocument/2006/relationships/hyperlink" Target="http://discuss.jiucaishuo.com/?/invest/showData/search_gu-si801150" TargetMode="External"/><Relationship Id="rId12" Type="http://schemas.openxmlformats.org/officeDocument/2006/relationships/hyperlink" Target="http://discuss.jiucaishuo.com/?/invest/showData/search_gu-si801880" TargetMode="External"/><Relationship Id="rId17" Type="http://schemas.openxmlformats.org/officeDocument/2006/relationships/hyperlink" Target="http://discuss.jiucaishuo.com/?/invest/showData/search_gu-si801890" TargetMode="External"/><Relationship Id="rId25" Type="http://schemas.openxmlformats.org/officeDocument/2006/relationships/hyperlink" Target="http://discuss.jiucaishuo.com/?/invest/showData/search_gu-si801040" TargetMode="External"/><Relationship Id="rId2" Type="http://schemas.openxmlformats.org/officeDocument/2006/relationships/hyperlink" Target="http://discuss.jiucaishuo.com/?/invest/showData/search_gu-si801080" TargetMode="External"/><Relationship Id="rId16" Type="http://schemas.openxmlformats.org/officeDocument/2006/relationships/hyperlink" Target="http://discuss.jiucaishuo.com/?/invest/showData/search_gu-si801720" TargetMode="External"/><Relationship Id="rId20" Type="http://schemas.openxmlformats.org/officeDocument/2006/relationships/hyperlink" Target="http://discuss.jiucaishuo.com/?/invest/showData/search_gu-si801730" TargetMode="External"/><Relationship Id="rId1" Type="http://schemas.openxmlformats.org/officeDocument/2006/relationships/hyperlink" Target="http://discuss.jiucaishuo.com/?/invest/showData/search_gu-si801760" TargetMode="External"/><Relationship Id="rId6" Type="http://schemas.openxmlformats.org/officeDocument/2006/relationships/hyperlink" Target="http://discuss.jiucaishuo.com/?/invest/showData/search_gu-si801740" TargetMode="External"/><Relationship Id="rId11" Type="http://schemas.openxmlformats.org/officeDocument/2006/relationships/hyperlink" Target="http://discuss.jiucaishuo.com/?/invest/showData/search_gu-si801110" TargetMode="External"/><Relationship Id="rId24" Type="http://schemas.openxmlformats.org/officeDocument/2006/relationships/hyperlink" Target="http://discuss.jiucaishuo.com/?/invest/showData/search_gu-si801020" TargetMode="External"/><Relationship Id="rId5" Type="http://schemas.openxmlformats.org/officeDocument/2006/relationships/hyperlink" Target="http://discuss.jiucaishuo.com/?/invest/showData/search_gu-si801170" TargetMode="External"/><Relationship Id="rId15" Type="http://schemas.openxmlformats.org/officeDocument/2006/relationships/hyperlink" Target="http://discuss.jiucaishuo.com/?/invest/showData/search_gu-si801710" TargetMode="External"/><Relationship Id="rId23" Type="http://schemas.openxmlformats.org/officeDocument/2006/relationships/hyperlink" Target="http://discuss.jiucaishuo.com/?/invest/showData/search_gu-si801050" TargetMode="External"/><Relationship Id="rId28" Type="http://schemas.openxmlformats.org/officeDocument/2006/relationships/hyperlink" Target="http://discuss.jiucaishuo.com/?/invest/showData/search_gu-si801780" TargetMode="External"/><Relationship Id="rId10" Type="http://schemas.openxmlformats.org/officeDocument/2006/relationships/hyperlink" Target="http://discuss.jiucaishuo.com/?/invest/showData/search_gu-si801200" TargetMode="External"/><Relationship Id="rId19" Type="http://schemas.openxmlformats.org/officeDocument/2006/relationships/hyperlink" Target="http://discuss.jiucaishuo.com/?/invest/showData/search_gu-si801160" TargetMode="External"/><Relationship Id="rId4" Type="http://schemas.openxmlformats.org/officeDocument/2006/relationships/hyperlink" Target="http://discuss.jiucaishuo.com/?/invest/showData/search_gu-si801770" TargetMode="External"/><Relationship Id="rId9" Type="http://schemas.openxmlformats.org/officeDocument/2006/relationships/hyperlink" Target="http://discuss.jiucaishuo.com/?/invest/showData/search_gu-si801010" TargetMode="External"/><Relationship Id="rId14" Type="http://schemas.openxmlformats.org/officeDocument/2006/relationships/hyperlink" Target="http://discuss.jiucaishuo.com/?/invest/showData/search_gu-si801120" TargetMode="External"/><Relationship Id="rId22" Type="http://schemas.openxmlformats.org/officeDocument/2006/relationships/hyperlink" Target="http://discuss.jiucaishuo.com/?/invest/showData/search_gu-si801030" TargetMode="External"/><Relationship Id="rId27" Type="http://schemas.openxmlformats.org/officeDocument/2006/relationships/hyperlink" Target="http://discuss.jiucaishuo.com/?/invest/showData/search_gu-si801790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://discuss.jiucaishuo.com/?/invest/showData/search_gu-si801744" TargetMode="External"/><Relationship Id="rId21" Type="http://schemas.openxmlformats.org/officeDocument/2006/relationships/hyperlink" Target="http://discuss.jiucaishuo.com/?/invest/showData/search_gu-si801177" TargetMode="External"/><Relationship Id="rId42" Type="http://schemas.openxmlformats.org/officeDocument/2006/relationships/hyperlink" Target="http://discuss.jiucaishuo.com/?/invest/showData/search_gu-si801014" TargetMode="External"/><Relationship Id="rId47" Type="http://schemas.openxmlformats.org/officeDocument/2006/relationships/hyperlink" Target="http://discuss.jiucaishuo.com/?/invest/showData/search_gu-si801094" TargetMode="External"/><Relationship Id="rId63" Type="http://schemas.openxmlformats.org/officeDocument/2006/relationships/hyperlink" Target="http://discuss.jiucaishuo.com/?/invest/showData/search_gu-si801074" TargetMode="External"/><Relationship Id="rId68" Type="http://schemas.openxmlformats.org/officeDocument/2006/relationships/hyperlink" Target="http://discuss.jiucaishuo.com/?/invest/showData/search_gu-si801212" TargetMode="External"/><Relationship Id="rId84" Type="http://schemas.openxmlformats.org/officeDocument/2006/relationships/hyperlink" Target="http://discuss.jiucaishuo.com/?/invest/showData/search_gu-si801033" TargetMode="External"/><Relationship Id="rId89" Type="http://schemas.openxmlformats.org/officeDocument/2006/relationships/hyperlink" Target="http://discuss.jiucaishuo.com/?/invest/showData/search_gu-si801051" TargetMode="External"/><Relationship Id="rId16" Type="http://schemas.openxmlformats.org/officeDocument/2006/relationships/hyperlink" Target="http://discuss.jiucaishuo.com/?/invest/showData/search_gu-si801171" TargetMode="External"/><Relationship Id="rId11" Type="http://schemas.openxmlformats.org/officeDocument/2006/relationships/hyperlink" Target="http://discuss.jiucaishuo.com/?/invest/showData/search_gu-si801223" TargetMode="External"/><Relationship Id="rId32" Type="http://schemas.openxmlformats.org/officeDocument/2006/relationships/hyperlink" Target="http://discuss.jiucaishuo.com/?/invest/showData/search_gu-si801151" TargetMode="External"/><Relationship Id="rId37" Type="http://schemas.openxmlformats.org/officeDocument/2006/relationships/hyperlink" Target="http://discuss.jiucaishuo.com/?/invest/showData/search_gu-si801018" TargetMode="External"/><Relationship Id="rId53" Type="http://schemas.openxmlformats.org/officeDocument/2006/relationships/hyperlink" Target="http://discuss.jiucaishuo.com/?/invest/showData/search_gu-si801204" TargetMode="External"/><Relationship Id="rId58" Type="http://schemas.openxmlformats.org/officeDocument/2006/relationships/hyperlink" Target="http://discuss.jiucaishuo.com/?/invest/showData/search_gu-si801723" TargetMode="External"/><Relationship Id="rId74" Type="http://schemas.openxmlformats.org/officeDocument/2006/relationships/hyperlink" Target="http://discuss.jiucaishuo.com/?/invest/showData/search_gu-si801161" TargetMode="External"/><Relationship Id="rId79" Type="http://schemas.openxmlformats.org/officeDocument/2006/relationships/hyperlink" Target="http://discuss.jiucaishuo.com/?/invest/showData/search_gu-si801231" TargetMode="External"/><Relationship Id="rId102" Type="http://schemas.openxmlformats.org/officeDocument/2006/relationships/hyperlink" Target="http://discuss.jiucaishuo.com/?/invest/showData/search_gu-si801192" TargetMode="External"/><Relationship Id="rId5" Type="http://schemas.openxmlformats.org/officeDocument/2006/relationships/hyperlink" Target="http://discuss.jiucaishuo.com/?/invest/showData/search_gu-si801084" TargetMode="External"/><Relationship Id="rId90" Type="http://schemas.openxmlformats.org/officeDocument/2006/relationships/hyperlink" Target="http://discuss.jiucaishuo.com/?/invest/showData/search_gu-si801021" TargetMode="External"/><Relationship Id="rId95" Type="http://schemas.openxmlformats.org/officeDocument/2006/relationships/hyperlink" Target="http://discuss.jiucaishuo.com/?/invest/showData/search_gu-si801022" TargetMode="External"/><Relationship Id="rId22" Type="http://schemas.openxmlformats.org/officeDocument/2006/relationships/hyperlink" Target="http://discuss.jiucaishuo.com/?/invest/showData/search_gu-si801175" TargetMode="External"/><Relationship Id="rId27" Type="http://schemas.openxmlformats.org/officeDocument/2006/relationships/hyperlink" Target="http://discuss.jiucaishuo.com/?/invest/showData/search_gu-si801155" TargetMode="External"/><Relationship Id="rId43" Type="http://schemas.openxmlformats.org/officeDocument/2006/relationships/hyperlink" Target="http://discuss.jiucaishuo.com/?/invest/showData/search_gu-si801205" TargetMode="External"/><Relationship Id="rId48" Type="http://schemas.openxmlformats.org/officeDocument/2006/relationships/hyperlink" Target="http://discuss.jiucaishuo.com/?/invest/showData/search_gu-si801093" TargetMode="External"/><Relationship Id="rId64" Type="http://schemas.openxmlformats.org/officeDocument/2006/relationships/hyperlink" Target="http://discuss.jiucaishuo.com/?/invest/showData/search_gu-si801072" TargetMode="External"/><Relationship Id="rId69" Type="http://schemas.openxmlformats.org/officeDocument/2006/relationships/hyperlink" Target="http://discuss.jiucaishuo.com/?/invest/showData/search_gu-si801213" TargetMode="External"/><Relationship Id="rId80" Type="http://schemas.openxmlformats.org/officeDocument/2006/relationships/hyperlink" Target="http://discuss.jiucaishuo.com/?/invest/showData/search_gu-si801037" TargetMode="External"/><Relationship Id="rId85" Type="http://schemas.openxmlformats.org/officeDocument/2006/relationships/hyperlink" Target="http://discuss.jiucaishuo.com/?/invest/showData/search_gu-si801032" TargetMode="External"/><Relationship Id="rId12" Type="http://schemas.openxmlformats.org/officeDocument/2006/relationships/hyperlink" Target="http://discuss.jiucaishuo.com/?/invest/showData/search_gu-si801102" TargetMode="External"/><Relationship Id="rId17" Type="http://schemas.openxmlformats.org/officeDocument/2006/relationships/hyperlink" Target="http://discuss.jiucaishuo.com/?/invest/showData/search_gu-si801178" TargetMode="External"/><Relationship Id="rId25" Type="http://schemas.openxmlformats.org/officeDocument/2006/relationships/hyperlink" Target="http://discuss.jiucaishuo.com/?/invest/showData/search_gu-si801741" TargetMode="External"/><Relationship Id="rId33" Type="http://schemas.openxmlformats.org/officeDocument/2006/relationships/hyperlink" Target="http://discuss.jiucaishuo.com/?/invest/showData/search_gu-si801182" TargetMode="External"/><Relationship Id="rId38" Type="http://schemas.openxmlformats.org/officeDocument/2006/relationships/hyperlink" Target="http://discuss.jiucaishuo.com/?/invest/showData/search_gu-si801011" TargetMode="External"/><Relationship Id="rId46" Type="http://schemas.openxmlformats.org/officeDocument/2006/relationships/hyperlink" Target="http://discuss.jiucaishuo.com/?/invest/showData/search_gu-si801111" TargetMode="External"/><Relationship Id="rId59" Type="http://schemas.openxmlformats.org/officeDocument/2006/relationships/hyperlink" Target="http://discuss.jiucaishuo.com/?/invest/showData/search_gu-si801711" TargetMode="External"/><Relationship Id="rId67" Type="http://schemas.openxmlformats.org/officeDocument/2006/relationships/hyperlink" Target="http://discuss.jiucaishuo.com/?/invest/showData/search_gu-si801214" TargetMode="External"/><Relationship Id="rId103" Type="http://schemas.openxmlformats.org/officeDocument/2006/relationships/hyperlink" Target="http://discuss.jiucaishuo.com/?/invest/showData/search_gu-si801191" TargetMode="External"/><Relationship Id="rId20" Type="http://schemas.openxmlformats.org/officeDocument/2006/relationships/hyperlink" Target="http://discuss.jiucaishuo.com/?/invest/showData/search_gu-si801076" TargetMode="External"/><Relationship Id="rId41" Type="http://schemas.openxmlformats.org/officeDocument/2006/relationships/hyperlink" Target="http://discuss.jiucaishuo.com/?/invest/showData/search_gu-si801016" TargetMode="External"/><Relationship Id="rId54" Type="http://schemas.openxmlformats.org/officeDocument/2006/relationships/hyperlink" Target="http://discuss.jiucaishuo.com/?/invest/showData/search_gu-si801203" TargetMode="External"/><Relationship Id="rId62" Type="http://schemas.openxmlformats.org/officeDocument/2006/relationships/hyperlink" Target="http://discuss.jiucaishuo.com/?/invest/showData/search_gu-si801721" TargetMode="External"/><Relationship Id="rId70" Type="http://schemas.openxmlformats.org/officeDocument/2006/relationships/hyperlink" Target="http://discuss.jiucaishuo.com/?/invest/showData/search_gu-si801211" TargetMode="External"/><Relationship Id="rId75" Type="http://schemas.openxmlformats.org/officeDocument/2006/relationships/hyperlink" Target="http://discuss.jiucaishuo.com/?/invest/showData/search_gu-si801734" TargetMode="External"/><Relationship Id="rId83" Type="http://schemas.openxmlformats.org/officeDocument/2006/relationships/hyperlink" Target="http://discuss.jiucaishuo.com/?/invest/showData/search_gu-si801034" TargetMode="External"/><Relationship Id="rId88" Type="http://schemas.openxmlformats.org/officeDocument/2006/relationships/hyperlink" Target="http://discuss.jiucaishuo.com/?/invest/showData/search_gu-si801053" TargetMode="External"/><Relationship Id="rId91" Type="http://schemas.openxmlformats.org/officeDocument/2006/relationships/hyperlink" Target="http://discuss.jiucaishuo.com/?/invest/showData/search_gu-si801023" TargetMode="External"/><Relationship Id="rId96" Type="http://schemas.openxmlformats.org/officeDocument/2006/relationships/hyperlink" Target="http://discuss.jiucaishuo.com/?/invest/showData/search_gu-si801144" TargetMode="External"/><Relationship Id="rId1" Type="http://schemas.openxmlformats.org/officeDocument/2006/relationships/hyperlink" Target="http://discuss.jiucaishuo.com/?/invest/showData/search_gu-si801761" TargetMode="External"/><Relationship Id="rId6" Type="http://schemas.openxmlformats.org/officeDocument/2006/relationships/hyperlink" Target="http://discuss.jiucaishuo.com/?/invest/showData/search_gu-si801083" TargetMode="External"/><Relationship Id="rId15" Type="http://schemas.openxmlformats.org/officeDocument/2006/relationships/hyperlink" Target="http://discuss.jiucaishuo.com/?/invest/showData/search_gu-si801174" TargetMode="External"/><Relationship Id="rId23" Type="http://schemas.openxmlformats.org/officeDocument/2006/relationships/hyperlink" Target="http://discuss.jiucaishuo.com/?/invest/showData/search_gu-si801743" TargetMode="External"/><Relationship Id="rId28" Type="http://schemas.openxmlformats.org/officeDocument/2006/relationships/hyperlink" Target="http://discuss.jiucaishuo.com/?/invest/showData/search_gu-si801156" TargetMode="External"/><Relationship Id="rId36" Type="http://schemas.openxmlformats.org/officeDocument/2006/relationships/hyperlink" Target="http://discuss.jiucaishuo.com/?/invest/showData/search_gu-si801012" TargetMode="External"/><Relationship Id="rId49" Type="http://schemas.openxmlformats.org/officeDocument/2006/relationships/hyperlink" Target="http://discuss.jiucaishuo.com/?/invest/showData/search_gu-si801092" TargetMode="External"/><Relationship Id="rId57" Type="http://schemas.openxmlformats.org/officeDocument/2006/relationships/hyperlink" Target="http://discuss.jiucaishuo.com/?/invest/showData/search_gu-si801724" TargetMode="External"/><Relationship Id="rId10" Type="http://schemas.openxmlformats.org/officeDocument/2006/relationships/hyperlink" Target="http://discuss.jiucaishuo.com/?/invest/showData/search_gu-si801101" TargetMode="External"/><Relationship Id="rId31" Type="http://schemas.openxmlformats.org/officeDocument/2006/relationships/hyperlink" Target="http://discuss.jiucaishuo.com/?/invest/showData/search_gu-si801152" TargetMode="External"/><Relationship Id="rId44" Type="http://schemas.openxmlformats.org/officeDocument/2006/relationships/hyperlink" Target="http://discuss.jiucaishuo.com/?/invest/showData/search_gu-si801202" TargetMode="External"/><Relationship Id="rId52" Type="http://schemas.openxmlformats.org/officeDocument/2006/relationships/hyperlink" Target="http://discuss.jiucaishuo.com/?/invest/showData/search_gu-si801123" TargetMode="External"/><Relationship Id="rId60" Type="http://schemas.openxmlformats.org/officeDocument/2006/relationships/hyperlink" Target="http://discuss.jiucaishuo.com/?/invest/showData/search_gu-si801712" TargetMode="External"/><Relationship Id="rId65" Type="http://schemas.openxmlformats.org/officeDocument/2006/relationships/hyperlink" Target="http://discuss.jiucaishuo.com/?/invest/showData/search_gu-si801722" TargetMode="External"/><Relationship Id="rId73" Type="http://schemas.openxmlformats.org/officeDocument/2006/relationships/hyperlink" Target="http://discuss.jiucaishuo.com/?/invest/showData/search_gu-si801163" TargetMode="External"/><Relationship Id="rId78" Type="http://schemas.openxmlformats.org/officeDocument/2006/relationships/hyperlink" Target="http://discuss.jiucaishuo.com/?/invest/showData/search_gu-si801732" TargetMode="External"/><Relationship Id="rId81" Type="http://schemas.openxmlformats.org/officeDocument/2006/relationships/hyperlink" Target="http://discuss.jiucaishuo.com/?/invest/showData/search_gu-si801036" TargetMode="External"/><Relationship Id="rId86" Type="http://schemas.openxmlformats.org/officeDocument/2006/relationships/hyperlink" Target="http://discuss.jiucaishuo.com/?/invest/showData/search_gu-si801055" TargetMode="External"/><Relationship Id="rId94" Type="http://schemas.openxmlformats.org/officeDocument/2006/relationships/hyperlink" Target="http://discuss.jiucaishuo.com/?/invest/showData/search_gu-si801041" TargetMode="External"/><Relationship Id="rId99" Type="http://schemas.openxmlformats.org/officeDocument/2006/relationships/hyperlink" Target="http://discuss.jiucaishuo.com/?/invest/showData/search_gu-si801143" TargetMode="External"/><Relationship Id="rId101" Type="http://schemas.openxmlformats.org/officeDocument/2006/relationships/hyperlink" Target="http://discuss.jiucaishuo.com/?/invest/showData/search_gu-si801193" TargetMode="External"/><Relationship Id="rId4" Type="http://schemas.openxmlformats.org/officeDocument/2006/relationships/hyperlink" Target="http://discuss.jiucaishuo.com/?/invest/showData/search_gu-si801085" TargetMode="External"/><Relationship Id="rId9" Type="http://schemas.openxmlformats.org/officeDocument/2006/relationships/hyperlink" Target="http://discuss.jiucaishuo.com/?/invest/showData/search_gu-si801222" TargetMode="External"/><Relationship Id="rId13" Type="http://schemas.openxmlformats.org/officeDocument/2006/relationships/hyperlink" Target="http://discuss.jiucaishuo.com/?/invest/showData/search_gu-si801881" TargetMode="External"/><Relationship Id="rId18" Type="http://schemas.openxmlformats.org/officeDocument/2006/relationships/hyperlink" Target="http://discuss.jiucaishuo.com/?/invest/showData/search_gu-si801173" TargetMode="External"/><Relationship Id="rId39" Type="http://schemas.openxmlformats.org/officeDocument/2006/relationships/hyperlink" Target="http://discuss.jiucaishuo.com/?/invest/showData/search_gu-si801015" TargetMode="External"/><Relationship Id="rId34" Type="http://schemas.openxmlformats.org/officeDocument/2006/relationships/hyperlink" Target="http://discuss.jiucaishuo.com/?/invest/showData/search_gu-si801181" TargetMode="External"/><Relationship Id="rId50" Type="http://schemas.openxmlformats.org/officeDocument/2006/relationships/hyperlink" Target="http://discuss.jiucaishuo.com/?/invest/showData/search_gu-si801132" TargetMode="External"/><Relationship Id="rId55" Type="http://schemas.openxmlformats.org/officeDocument/2006/relationships/hyperlink" Target="http://discuss.jiucaishuo.com/?/invest/showData/search_gu-si801124" TargetMode="External"/><Relationship Id="rId76" Type="http://schemas.openxmlformats.org/officeDocument/2006/relationships/hyperlink" Target="http://discuss.jiucaishuo.com/?/invest/showData/search_gu-si801733" TargetMode="External"/><Relationship Id="rId97" Type="http://schemas.openxmlformats.org/officeDocument/2006/relationships/hyperlink" Target="http://discuss.jiucaishuo.com/?/invest/showData/search_gu-si801141" TargetMode="External"/><Relationship Id="rId104" Type="http://schemas.openxmlformats.org/officeDocument/2006/relationships/hyperlink" Target="http://discuss.jiucaishuo.com/?/invest/showData/search_gu-si801073" TargetMode="External"/><Relationship Id="rId7" Type="http://schemas.openxmlformats.org/officeDocument/2006/relationships/hyperlink" Target="http://discuss.jiucaishuo.com/?/invest/showData/search_gu-si801082" TargetMode="External"/><Relationship Id="rId71" Type="http://schemas.openxmlformats.org/officeDocument/2006/relationships/hyperlink" Target="http://discuss.jiucaishuo.com/?/invest/showData/search_gu-si801162" TargetMode="External"/><Relationship Id="rId92" Type="http://schemas.openxmlformats.org/officeDocument/2006/relationships/hyperlink" Target="http://discuss.jiucaishuo.com/?/invest/showData/search_gu-si801024" TargetMode="External"/><Relationship Id="rId2" Type="http://schemas.openxmlformats.org/officeDocument/2006/relationships/hyperlink" Target="http://discuss.jiucaishuo.com/?/invest/showData/search_gu-si801752" TargetMode="External"/><Relationship Id="rId29" Type="http://schemas.openxmlformats.org/officeDocument/2006/relationships/hyperlink" Target="http://discuss.jiucaishuo.com/?/invest/showData/search_gu-si801153" TargetMode="External"/><Relationship Id="rId24" Type="http://schemas.openxmlformats.org/officeDocument/2006/relationships/hyperlink" Target="http://discuss.jiucaishuo.com/?/invest/showData/search_gu-si801742" TargetMode="External"/><Relationship Id="rId40" Type="http://schemas.openxmlformats.org/officeDocument/2006/relationships/hyperlink" Target="http://discuss.jiucaishuo.com/?/invest/showData/search_gu-si801017" TargetMode="External"/><Relationship Id="rId45" Type="http://schemas.openxmlformats.org/officeDocument/2006/relationships/hyperlink" Target="http://discuss.jiucaishuo.com/?/invest/showData/search_gu-si801112" TargetMode="External"/><Relationship Id="rId66" Type="http://schemas.openxmlformats.org/officeDocument/2006/relationships/hyperlink" Target="http://discuss.jiucaishuo.com/?/invest/showData/search_gu-si801215" TargetMode="External"/><Relationship Id="rId87" Type="http://schemas.openxmlformats.org/officeDocument/2006/relationships/hyperlink" Target="http://discuss.jiucaishuo.com/?/invest/showData/search_gu-si801054" TargetMode="External"/><Relationship Id="rId61" Type="http://schemas.openxmlformats.org/officeDocument/2006/relationships/hyperlink" Target="http://discuss.jiucaishuo.com/?/invest/showData/search_gu-si801713" TargetMode="External"/><Relationship Id="rId82" Type="http://schemas.openxmlformats.org/officeDocument/2006/relationships/hyperlink" Target="http://discuss.jiucaishuo.com/?/invest/showData/search_gu-si801035" TargetMode="External"/><Relationship Id="rId19" Type="http://schemas.openxmlformats.org/officeDocument/2006/relationships/hyperlink" Target="http://discuss.jiucaishuo.com/?/invest/showData/search_gu-si801176" TargetMode="External"/><Relationship Id="rId14" Type="http://schemas.openxmlformats.org/officeDocument/2006/relationships/hyperlink" Target="http://discuss.jiucaishuo.com/?/invest/showData/search_gu-si801172" TargetMode="External"/><Relationship Id="rId30" Type="http://schemas.openxmlformats.org/officeDocument/2006/relationships/hyperlink" Target="http://discuss.jiucaishuo.com/?/invest/showData/search_gu-si801154" TargetMode="External"/><Relationship Id="rId35" Type="http://schemas.openxmlformats.org/officeDocument/2006/relationships/hyperlink" Target="http://discuss.jiucaishuo.com/?/invest/showData/search_gu-si801013" TargetMode="External"/><Relationship Id="rId56" Type="http://schemas.openxmlformats.org/officeDocument/2006/relationships/hyperlink" Target="http://discuss.jiucaishuo.com/?/invest/showData/search_gu-si801725" TargetMode="External"/><Relationship Id="rId77" Type="http://schemas.openxmlformats.org/officeDocument/2006/relationships/hyperlink" Target="http://discuss.jiucaishuo.com/?/invest/showData/search_gu-si801731" TargetMode="External"/><Relationship Id="rId100" Type="http://schemas.openxmlformats.org/officeDocument/2006/relationships/hyperlink" Target="http://discuss.jiucaishuo.com/?/invest/showData/search_gu-si801194" TargetMode="External"/><Relationship Id="rId8" Type="http://schemas.openxmlformats.org/officeDocument/2006/relationships/hyperlink" Target="http://discuss.jiucaishuo.com/?/invest/showData/search_gu-si801081" TargetMode="External"/><Relationship Id="rId51" Type="http://schemas.openxmlformats.org/officeDocument/2006/relationships/hyperlink" Target="http://discuss.jiucaishuo.com/?/invest/showData/search_gu-si801131" TargetMode="External"/><Relationship Id="rId72" Type="http://schemas.openxmlformats.org/officeDocument/2006/relationships/hyperlink" Target="http://discuss.jiucaishuo.com/?/invest/showData/search_gu-si801164" TargetMode="External"/><Relationship Id="rId93" Type="http://schemas.openxmlformats.org/officeDocument/2006/relationships/hyperlink" Target="http://discuss.jiucaishuo.com/?/invest/showData/search_gu-si801075" TargetMode="External"/><Relationship Id="rId98" Type="http://schemas.openxmlformats.org/officeDocument/2006/relationships/hyperlink" Target="http://discuss.jiucaishuo.com/?/invest/showData/search_gu-si801142" TargetMode="External"/><Relationship Id="rId3" Type="http://schemas.openxmlformats.org/officeDocument/2006/relationships/hyperlink" Target="http://discuss.jiucaishuo.com/?/invest/showData/search_gu-si801751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://discuss.jiucaishuo.com/?/invest/showData/search_gu-hihshkmi" TargetMode="External"/><Relationship Id="rId299" Type="http://schemas.openxmlformats.org/officeDocument/2006/relationships/hyperlink" Target="http://discuss.jiucaishuo.com/?/invest/showData/search_gu-si801156" TargetMode="External"/><Relationship Id="rId21" Type="http://schemas.openxmlformats.org/officeDocument/2006/relationships/hyperlink" Target="http://discuss.jiucaishuo.com/?/invest/showData/search_gu-si801171" TargetMode="External"/><Relationship Id="rId63" Type="http://schemas.openxmlformats.org/officeDocument/2006/relationships/hyperlink" Target="http://discuss.jiucaishuo.com/?/invest/showData/search_gu-sh000021" TargetMode="External"/><Relationship Id="rId159" Type="http://schemas.openxmlformats.org/officeDocument/2006/relationships/hyperlink" Target="http://discuss.jiucaishuo.com/?/invest/showData/search_gu-sz399971" TargetMode="External"/><Relationship Id="rId324" Type="http://schemas.openxmlformats.org/officeDocument/2006/relationships/hyperlink" Target="http://discuss.jiucaishuo.com/?/invest/showData/search_gu-sh000049" TargetMode="External"/><Relationship Id="rId170" Type="http://schemas.openxmlformats.org/officeDocument/2006/relationships/hyperlink" Target="http://discuss.jiucaishuo.com/?/invest/showData/search_gu-sh000841" TargetMode="External"/><Relationship Id="rId226" Type="http://schemas.openxmlformats.org/officeDocument/2006/relationships/hyperlink" Target="http://discuss.jiucaishuo.com/?/invest/showData/search_gu-si801011" TargetMode="External"/><Relationship Id="rId268" Type="http://schemas.openxmlformats.org/officeDocument/2006/relationships/hyperlink" Target="http://discuss.jiucaishuo.com/?/invest/showData/search_gu-si801152" TargetMode="External"/><Relationship Id="rId32" Type="http://schemas.openxmlformats.org/officeDocument/2006/relationships/hyperlink" Target="http://discuss.jiucaishuo.com/?/invest/showData/search_gu-si801021" TargetMode="External"/><Relationship Id="rId74" Type="http://schemas.openxmlformats.org/officeDocument/2006/relationships/hyperlink" Target="http://discuss.jiucaishuo.com/?/invest/showData/search_gu-hihsi" TargetMode="External"/><Relationship Id="rId128" Type="http://schemas.openxmlformats.org/officeDocument/2006/relationships/hyperlink" Target="http://discuss.jiucaishuo.com/?/invest/showData/search_gu-sz399412" TargetMode="External"/><Relationship Id="rId335" Type="http://schemas.openxmlformats.org/officeDocument/2006/relationships/hyperlink" Target="http://discuss.jiucaishuo.com/?/invest/showData/search_gu-sh000918" TargetMode="External"/><Relationship Id="rId5" Type="http://schemas.openxmlformats.org/officeDocument/2006/relationships/hyperlink" Target="http://discuss.jiucaishuo.com/?/invest/showData/search_gu-si801203" TargetMode="External"/><Relationship Id="rId181" Type="http://schemas.openxmlformats.org/officeDocument/2006/relationships/hyperlink" Target="http://discuss.jiucaishuo.com/?/invest/showData/search_gu-sz399973" TargetMode="External"/><Relationship Id="rId237" Type="http://schemas.openxmlformats.org/officeDocument/2006/relationships/hyperlink" Target="http://discuss.jiucaishuo.com/?/invest/showData/search_gu-sh000969" TargetMode="External"/><Relationship Id="rId279" Type="http://schemas.openxmlformats.org/officeDocument/2006/relationships/hyperlink" Target="http://discuss.jiucaishuo.com/?/invest/showData/search_gu-sh000952" TargetMode="External"/><Relationship Id="rId43" Type="http://schemas.openxmlformats.org/officeDocument/2006/relationships/hyperlink" Target="http://discuss.jiucaishuo.com/?/invest/showData/search_gu-sh000919" TargetMode="External"/><Relationship Id="rId139" Type="http://schemas.openxmlformats.org/officeDocument/2006/relationships/hyperlink" Target="http://discuss.jiucaishuo.com/?/invest/showData/search_gu-sz399967" TargetMode="External"/><Relationship Id="rId290" Type="http://schemas.openxmlformats.org/officeDocument/2006/relationships/hyperlink" Target="http://discuss.jiucaishuo.com/?/invest/showData/search_gu-si801881" TargetMode="External"/><Relationship Id="rId304" Type="http://schemas.openxmlformats.org/officeDocument/2006/relationships/hyperlink" Target="http://discuss.jiucaishuo.com/?/invest/showData/search_gu-sz399550" TargetMode="External"/><Relationship Id="rId346" Type="http://schemas.openxmlformats.org/officeDocument/2006/relationships/hyperlink" Target="http://discuss.jiucaishuo.com/?/invest/showData/search_gu-giixic" TargetMode="External"/><Relationship Id="rId85" Type="http://schemas.openxmlformats.org/officeDocument/2006/relationships/hyperlink" Target="http://discuss.jiucaishuo.com/?/invest/showData/search_gu-si801730" TargetMode="External"/><Relationship Id="rId150" Type="http://schemas.openxmlformats.org/officeDocument/2006/relationships/hyperlink" Target="http://discuss.jiucaishuo.com/?/invest/showData/search_gu-sh000906" TargetMode="External"/><Relationship Id="rId192" Type="http://schemas.openxmlformats.org/officeDocument/2006/relationships/hyperlink" Target="http://discuss.jiucaishuo.com/?/invest/showData/search_gu-hihscei" TargetMode="External"/><Relationship Id="rId206" Type="http://schemas.openxmlformats.org/officeDocument/2006/relationships/hyperlink" Target="http://discuss.jiucaishuo.com/?/invest/showData/search_gu-sz399422" TargetMode="External"/><Relationship Id="rId248" Type="http://schemas.openxmlformats.org/officeDocument/2006/relationships/hyperlink" Target="http://discuss.jiucaishuo.com/?/invest/showData/search_gu-si801101" TargetMode="External"/><Relationship Id="rId12" Type="http://schemas.openxmlformats.org/officeDocument/2006/relationships/hyperlink" Target="http://discuss.jiucaishuo.com/?/invest/showData/search_gu-sh000986" TargetMode="External"/><Relationship Id="rId108" Type="http://schemas.openxmlformats.org/officeDocument/2006/relationships/hyperlink" Target="http://discuss.jiucaishuo.com/?/invest/showData/search_gu-si801051" TargetMode="External"/><Relationship Id="rId315" Type="http://schemas.openxmlformats.org/officeDocument/2006/relationships/hyperlink" Target="http://discuss.jiucaishuo.com/?/invest/showData/search_gu-si801124" TargetMode="External"/><Relationship Id="rId357" Type="http://schemas.openxmlformats.org/officeDocument/2006/relationships/hyperlink" Target="http://discuss.jiucaishuo.com/?/invest/showData/search_gu-gindx" TargetMode="External"/><Relationship Id="rId54" Type="http://schemas.openxmlformats.org/officeDocument/2006/relationships/hyperlink" Target="http://discuss.jiucaishuo.com/?/invest/showData/search_gu-si801161" TargetMode="External"/><Relationship Id="rId96" Type="http://schemas.openxmlformats.org/officeDocument/2006/relationships/hyperlink" Target="http://discuss.jiucaishuo.com/?/invest/showData/search_gu-wi881001" TargetMode="External"/><Relationship Id="rId161" Type="http://schemas.openxmlformats.org/officeDocument/2006/relationships/hyperlink" Target="http://discuss.jiucaishuo.com/?/invest/showData/search_gu-si801140" TargetMode="External"/><Relationship Id="rId217" Type="http://schemas.openxmlformats.org/officeDocument/2006/relationships/hyperlink" Target="http://discuss.jiucaishuo.com/?/invest/showData/search_gu-sh000009" TargetMode="External"/><Relationship Id="rId259" Type="http://schemas.openxmlformats.org/officeDocument/2006/relationships/hyperlink" Target="http://discuss.jiucaishuo.com/?/invest/showData/search_gu-sz399966" TargetMode="External"/><Relationship Id="rId23" Type="http://schemas.openxmlformats.org/officeDocument/2006/relationships/hyperlink" Target="http://discuss.jiucaishuo.com/?/invest/showData/search_gu-si801154" TargetMode="External"/><Relationship Id="rId119" Type="http://schemas.openxmlformats.org/officeDocument/2006/relationships/hyperlink" Target="http://discuss.jiucaishuo.com/?/invest/showData/search_gu-si801880" TargetMode="External"/><Relationship Id="rId270" Type="http://schemas.openxmlformats.org/officeDocument/2006/relationships/hyperlink" Target="http://discuss.jiucaishuo.com/?/invest/showData/search_gu-sz399703" TargetMode="External"/><Relationship Id="rId326" Type="http://schemas.openxmlformats.org/officeDocument/2006/relationships/hyperlink" Target="http://discuss.jiucaishuo.com/?/invest/showData/search_gu-sz399814" TargetMode="External"/><Relationship Id="rId65" Type="http://schemas.openxmlformats.org/officeDocument/2006/relationships/hyperlink" Target="http://discuss.jiucaishuo.com/?/invest/showData/search_gu-si801760" TargetMode="External"/><Relationship Id="rId130" Type="http://schemas.openxmlformats.org/officeDocument/2006/relationships/hyperlink" Target="http://discuss.jiucaishuo.com/?/invest/showData/search_gu-sz399005" TargetMode="External"/><Relationship Id="rId172" Type="http://schemas.openxmlformats.org/officeDocument/2006/relationships/hyperlink" Target="http://discuss.jiucaishuo.com/?/invest/showData/search_gu-sz399808" TargetMode="External"/><Relationship Id="rId228" Type="http://schemas.openxmlformats.org/officeDocument/2006/relationships/hyperlink" Target="http://discuss.jiucaishuo.com/?/invest/showData/search_gu-csih30171" TargetMode="External"/><Relationship Id="rId281" Type="http://schemas.openxmlformats.org/officeDocument/2006/relationships/hyperlink" Target="http://discuss.jiucaishuo.com/?/invest/showData/search_gu-gigdaxi" TargetMode="External"/><Relationship Id="rId337" Type="http://schemas.openxmlformats.org/officeDocument/2006/relationships/hyperlink" Target="http://discuss.jiucaishuo.com/?/invest/showData/search_gu-si801123" TargetMode="External"/><Relationship Id="rId34" Type="http://schemas.openxmlformats.org/officeDocument/2006/relationships/hyperlink" Target="http://discuss.jiucaishuo.com/?/invest/showData/search_gu-si801192" TargetMode="External"/><Relationship Id="rId76" Type="http://schemas.openxmlformats.org/officeDocument/2006/relationships/hyperlink" Target="http://discuss.jiucaishuo.com/?/invest/showData/search_gu-si801030" TargetMode="External"/><Relationship Id="rId141" Type="http://schemas.openxmlformats.org/officeDocument/2006/relationships/hyperlink" Target="http://discuss.jiucaishuo.com/?/invest/showData/search_gu-sh000987" TargetMode="External"/><Relationship Id="rId7" Type="http://schemas.openxmlformats.org/officeDocument/2006/relationships/hyperlink" Target="http://discuss.jiucaishuo.com/?/invest/showData/search_gu-si801164" TargetMode="External"/><Relationship Id="rId183" Type="http://schemas.openxmlformats.org/officeDocument/2006/relationships/hyperlink" Target="http://discuss.jiucaishuo.com/?/invest/showData/search_gu-si801084" TargetMode="External"/><Relationship Id="rId239" Type="http://schemas.openxmlformats.org/officeDocument/2006/relationships/hyperlink" Target="http://discuss.jiucaishuo.com/?/invest/showData/search_gu-csih30318" TargetMode="External"/><Relationship Id="rId250" Type="http://schemas.openxmlformats.org/officeDocument/2006/relationships/hyperlink" Target="http://discuss.jiucaishuo.com/?/invest/showData/search_gu-csi930791" TargetMode="External"/><Relationship Id="rId292" Type="http://schemas.openxmlformats.org/officeDocument/2006/relationships/hyperlink" Target="http://discuss.jiucaishuo.com/?/invest/showData/search_gu-sz399812" TargetMode="External"/><Relationship Id="rId306" Type="http://schemas.openxmlformats.org/officeDocument/2006/relationships/hyperlink" Target="http://discuss.jiucaishuo.com/?/invest/showData/search_gu-si801111" TargetMode="External"/><Relationship Id="rId45" Type="http://schemas.openxmlformats.org/officeDocument/2006/relationships/hyperlink" Target="http://discuss.jiucaishuo.com/?/invest/showData/search_gu-sh000964" TargetMode="External"/><Relationship Id="rId87" Type="http://schemas.openxmlformats.org/officeDocument/2006/relationships/hyperlink" Target="http://discuss.jiucaishuo.com/?/invest/showData/search_gu-sh000989" TargetMode="External"/><Relationship Id="rId110" Type="http://schemas.openxmlformats.org/officeDocument/2006/relationships/hyperlink" Target="http://discuss.jiucaishuo.com/?/invest/showData/search_gu-si801142" TargetMode="External"/><Relationship Id="rId348" Type="http://schemas.openxmlformats.org/officeDocument/2006/relationships/hyperlink" Target="http://discuss.jiucaishuo.com/?/invest/showData/search_gu-sz399987" TargetMode="External"/><Relationship Id="rId152" Type="http://schemas.openxmlformats.org/officeDocument/2006/relationships/hyperlink" Target="http://discuss.jiucaishuo.com/?/invest/showData/search_gu-sh000842" TargetMode="External"/><Relationship Id="rId194" Type="http://schemas.openxmlformats.org/officeDocument/2006/relationships/hyperlink" Target="http://discuss.jiucaishuo.com/?/invest/showData/search_gu-si801711" TargetMode="External"/><Relationship Id="rId208" Type="http://schemas.openxmlformats.org/officeDocument/2006/relationships/hyperlink" Target="http://discuss.jiucaishuo.com/?/invest/showData/search_gu-sz399996" TargetMode="External"/><Relationship Id="rId261" Type="http://schemas.openxmlformats.org/officeDocument/2006/relationships/hyperlink" Target="http://discuss.jiucaishuo.com/?/invest/showData/search_gu-sh000044" TargetMode="External"/><Relationship Id="rId14" Type="http://schemas.openxmlformats.org/officeDocument/2006/relationships/hyperlink" Target="http://discuss.jiucaishuo.com/?/invest/showData/search_gu-cicspsadrp" TargetMode="External"/><Relationship Id="rId56" Type="http://schemas.openxmlformats.org/officeDocument/2006/relationships/hyperlink" Target="http://discuss.jiucaishuo.com/?/invest/showData/search_gu-si801075" TargetMode="External"/><Relationship Id="rId317" Type="http://schemas.openxmlformats.org/officeDocument/2006/relationships/hyperlink" Target="http://discuss.jiucaishuo.com/?/invest/showData/search_gu-si801110" TargetMode="External"/><Relationship Id="rId98" Type="http://schemas.openxmlformats.org/officeDocument/2006/relationships/hyperlink" Target="http://discuss.jiucaishuo.com/?/invest/showData/search_gu-sh000016" TargetMode="External"/><Relationship Id="rId121" Type="http://schemas.openxmlformats.org/officeDocument/2006/relationships/hyperlink" Target="http://discuss.jiucaishuo.com/?/invest/showData/search_gu-si801890" TargetMode="External"/><Relationship Id="rId163" Type="http://schemas.openxmlformats.org/officeDocument/2006/relationships/hyperlink" Target="http://discuss.jiucaishuo.com/?/invest/showData/search_gu-si801132" TargetMode="External"/><Relationship Id="rId219" Type="http://schemas.openxmlformats.org/officeDocument/2006/relationships/hyperlink" Target="http://discuss.jiucaishuo.com/?/invest/showData/search_gu-sh000991" TargetMode="External"/><Relationship Id="rId230" Type="http://schemas.openxmlformats.org/officeDocument/2006/relationships/hyperlink" Target="http://discuss.jiucaishuo.com/?/invest/showData/search_gu-hihsmsi" TargetMode="External"/><Relationship Id="rId25" Type="http://schemas.openxmlformats.org/officeDocument/2006/relationships/hyperlink" Target="http://discuss.jiucaishuo.com/?/invest/showData/search_gu-si801092" TargetMode="External"/><Relationship Id="rId46" Type="http://schemas.openxmlformats.org/officeDocument/2006/relationships/hyperlink" Target="http://discuss.jiucaishuo.com/?/invest/showData/search_gu-csi930620" TargetMode="External"/><Relationship Id="rId67" Type="http://schemas.openxmlformats.org/officeDocument/2006/relationships/hyperlink" Target="http://discuss.jiucaishuo.com/?/invest/showData/search_gu-sz399807" TargetMode="External"/><Relationship Id="rId272" Type="http://schemas.openxmlformats.org/officeDocument/2006/relationships/hyperlink" Target="http://discuss.jiucaishuo.com/?/invest/showData/search_gu-si801085" TargetMode="External"/><Relationship Id="rId293" Type="http://schemas.openxmlformats.org/officeDocument/2006/relationships/hyperlink" Target="http://discuss.jiucaishuo.com/?/invest/showData/search_gu-si801081" TargetMode="External"/><Relationship Id="rId307" Type="http://schemas.openxmlformats.org/officeDocument/2006/relationships/hyperlink" Target="http://discuss.jiucaishuo.com/?/invest/showData/search_gu-si801214" TargetMode="External"/><Relationship Id="rId328" Type="http://schemas.openxmlformats.org/officeDocument/2006/relationships/hyperlink" Target="http://discuss.jiucaishuo.com/?/invest/showData/search_gu-sh000028" TargetMode="External"/><Relationship Id="rId349" Type="http://schemas.openxmlformats.org/officeDocument/2006/relationships/hyperlink" Target="http://discuss.jiucaishuo.com/?/invest/showData/search_gu-csih30021" TargetMode="External"/><Relationship Id="rId88" Type="http://schemas.openxmlformats.org/officeDocument/2006/relationships/hyperlink" Target="http://discuss.jiucaishuo.com/?/invest/showData/search_gu-csih30165" TargetMode="External"/><Relationship Id="rId111" Type="http://schemas.openxmlformats.org/officeDocument/2006/relationships/hyperlink" Target="http://discuss.jiucaishuo.com/?/invest/showData/search_gu-sh000819" TargetMode="External"/><Relationship Id="rId132" Type="http://schemas.openxmlformats.org/officeDocument/2006/relationships/hyperlink" Target="http://discuss.jiucaishuo.com/?/invest/showData/search_gu-sh000010" TargetMode="External"/><Relationship Id="rId153" Type="http://schemas.openxmlformats.org/officeDocument/2006/relationships/hyperlink" Target="http://discuss.jiucaishuo.com/?/invest/showData/search_gu-sh000992" TargetMode="External"/><Relationship Id="rId174" Type="http://schemas.openxmlformats.org/officeDocument/2006/relationships/hyperlink" Target="http://discuss.jiucaishuo.com/?/invest/showData/search_gu-si801053" TargetMode="External"/><Relationship Id="rId195" Type="http://schemas.openxmlformats.org/officeDocument/2006/relationships/hyperlink" Target="http://discuss.jiucaishuo.com/?/invest/showData/search_gu-sz399983" TargetMode="External"/><Relationship Id="rId209" Type="http://schemas.openxmlformats.org/officeDocument/2006/relationships/hyperlink" Target="http://discuss.jiucaishuo.com/?/invest/showData/search_gu-sz399810" TargetMode="External"/><Relationship Id="rId220" Type="http://schemas.openxmlformats.org/officeDocument/2006/relationships/hyperlink" Target="http://discuss.jiucaishuo.com/?/invest/showData/search_gu-csi930734" TargetMode="External"/><Relationship Id="rId241" Type="http://schemas.openxmlformats.org/officeDocument/2006/relationships/hyperlink" Target="http://discuss.jiucaishuo.com/?/invest/showData/search_gu-csi930820" TargetMode="External"/><Relationship Id="rId15" Type="http://schemas.openxmlformats.org/officeDocument/2006/relationships/hyperlink" Target="http://discuss.jiucaishuo.com/?/invest/showData/search_gu-sh000068" TargetMode="External"/><Relationship Id="rId36" Type="http://schemas.openxmlformats.org/officeDocument/2006/relationships/hyperlink" Target="http://discuss.jiucaishuo.com/?/invest/showData/search_gu-sz399998" TargetMode="External"/><Relationship Id="rId57" Type="http://schemas.openxmlformats.org/officeDocument/2006/relationships/hyperlink" Target="http://discuss.jiucaishuo.com/?/invest/showData/search_gu-sz399992" TargetMode="External"/><Relationship Id="rId262" Type="http://schemas.openxmlformats.org/officeDocument/2006/relationships/hyperlink" Target="http://discuss.jiucaishuo.com/?/invest/showData/search_gu-sh000993" TargetMode="External"/><Relationship Id="rId283" Type="http://schemas.openxmlformats.org/officeDocument/2006/relationships/hyperlink" Target="http://discuss.jiucaishuo.com/?/invest/showData/search_gu-sz399702" TargetMode="External"/><Relationship Id="rId318" Type="http://schemas.openxmlformats.org/officeDocument/2006/relationships/hyperlink" Target="http://discuss.jiucaishuo.com/?/invest/showData/search_gu-si801083" TargetMode="External"/><Relationship Id="rId339" Type="http://schemas.openxmlformats.org/officeDocument/2006/relationships/hyperlink" Target="http://discuss.jiucaishuo.com/?/invest/showData/search_gu-sz399803" TargetMode="External"/><Relationship Id="rId78" Type="http://schemas.openxmlformats.org/officeDocument/2006/relationships/hyperlink" Target="http://discuss.jiucaishuo.com/?/invest/showData/search_gu-sh000982" TargetMode="External"/><Relationship Id="rId99" Type="http://schemas.openxmlformats.org/officeDocument/2006/relationships/hyperlink" Target="http://discuss.jiucaishuo.com/?/invest/showData/search_gu-si801050" TargetMode="External"/><Relationship Id="rId101" Type="http://schemas.openxmlformats.org/officeDocument/2006/relationships/hyperlink" Target="http://discuss.jiucaishuo.com/?/invest/showData/search_gu-sz399101" TargetMode="External"/><Relationship Id="rId122" Type="http://schemas.openxmlformats.org/officeDocument/2006/relationships/hyperlink" Target="http://discuss.jiucaishuo.com/?/invest/showData/search_gu-si801790" TargetMode="External"/><Relationship Id="rId143" Type="http://schemas.openxmlformats.org/officeDocument/2006/relationships/hyperlink" Target="http://discuss.jiucaishuo.com/?/invest/showData/search_gu-hihshksi" TargetMode="External"/><Relationship Id="rId164" Type="http://schemas.openxmlformats.org/officeDocument/2006/relationships/hyperlink" Target="http://discuss.jiucaishuo.com/?/invest/showData/search_gu-csih30531" TargetMode="External"/><Relationship Id="rId185" Type="http://schemas.openxmlformats.org/officeDocument/2006/relationships/hyperlink" Target="http://discuss.jiucaishuo.com/?/invest/showData/search_gu-sz399805" TargetMode="External"/><Relationship Id="rId350" Type="http://schemas.openxmlformats.org/officeDocument/2006/relationships/hyperlink" Target="http://discuss.jiucaishuo.com/?/invest/showData/search_gu-sz399396" TargetMode="External"/><Relationship Id="rId9" Type="http://schemas.openxmlformats.org/officeDocument/2006/relationships/hyperlink" Target="http://discuss.jiucaishuo.com/?/invest/showData/search_gu-si801035" TargetMode="External"/><Relationship Id="rId210" Type="http://schemas.openxmlformats.org/officeDocument/2006/relationships/hyperlink" Target="http://discuss.jiucaishuo.com/?/invest/showData/search_gu-csi930790" TargetMode="External"/><Relationship Id="rId26" Type="http://schemas.openxmlformats.org/officeDocument/2006/relationships/hyperlink" Target="http://discuss.jiucaishuo.com/?/invest/showData/search_gu-si801724" TargetMode="External"/><Relationship Id="rId231" Type="http://schemas.openxmlformats.org/officeDocument/2006/relationships/hyperlink" Target="http://discuss.jiucaishuo.com/?/invest/showData/search_gu-si801013" TargetMode="External"/><Relationship Id="rId252" Type="http://schemas.openxmlformats.org/officeDocument/2006/relationships/hyperlink" Target="http://discuss.jiucaishuo.com/?/invest/showData/search_gu-sz399102" TargetMode="External"/><Relationship Id="rId273" Type="http://schemas.openxmlformats.org/officeDocument/2006/relationships/hyperlink" Target="http://discuss.jiucaishuo.com/?/invest/showData/search_gu-sz399994" TargetMode="External"/><Relationship Id="rId294" Type="http://schemas.openxmlformats.org/officeDocument/2006/relationships/hyperlink" Target="http://discuss.jiucaishuo.com/?/invest/showData/search_gu-sz399610" TargetMode="External"/><Relationship Id="rId308" Type="http://schemas.openxmlformats.org/officeDocument/2006/relationships/hyperlink" Target="http://discuss.jiucaishuo.com/?/invest/showData/search_gu-sh000913" TargetMode="External"/><Relationship Id="rId329" Type="http://schemas.openxmlformats.org/officeDocument/2006/relationships/hyperlink" Target="http://discuss.jiucaishuo.com/?/invest/showData/search_gu-csi930743" TargetMode="External"/><Relationship Id="rId47" Type="http://schemas.openxmlformats.org/officeDocument/2006/relationships/hyperlink" Target="http://discuss.jiucaishuo.com/?/invest/showData/search_gu-sz399991" TargetMode="External"/><Relationship Id="rId68" Type="http://schemas.openxmlformats.org/officeDocument/2006/relationships/hyperlink" Target="http://discuss.jiucaishuo.com/?/invest/showData/search_gu-si801712" TargetMode="External"/><Relationship Id="rId89" Type="http://schemas.openxmlformats.org/officeDocument/2006/relationships/hyperlink" Target="http://discuss.jiucaishuo.com/?/invest/showData/search_gu-si801131" TargetMode="External"/><Relationship Id="rId112" Type="http://schemas.openxmlformats.org/officeDocument/2006/relationships/hyperlink" Target="http://discuss.jiucaishuo.com/?/invest/showData/search_gu-csi930782" TargetMode="External"/><Relationship Id="rId133" Type="http://schemas.openxmlformats.org/officeDocument/2006/relationships/hyperlink" Target="http://discuss.jiucaishuo.com/?/invest/showData/search_gu-sz399634" TargetMode="External"/><Relationship Id="rId154" Type="http://schemas.openxmlformats.org/officeDocument/2006/relationships/hyperlink" Target="http://discuss.jiucaishuo.com/?/invest/showData/search_gu-si801733" TargetMode="External"/><Relationship Id="rId175" Type="http://schemas.openxmlformats.org/officeDocument/2006/relationships/hyperlink" Target="http://discuss.jiucaishuo.com/?/invest/showData/search_gu-sz399395" TargetMode="External"/><Relationship Id="rId340" Type="http://schemas.openxmlformats.org/officeDocument/2006/relationships/hyperlink" Target="http://discuss.jiucaishuo.com/?/invest/showData/search_gu-si801017" TargetMode="External"/><Relationship Id="rId196" Type="http://schemas.openxmlformats.org/officeDocument/2006/relationships/hyperlink" Target="http://discuss.jiucaishuo.com/?/invest/showData/search_gu-sh000051" TargetMode="External"/><Relationship Id="rId200" Type="http://schemas.openxmlformats.org/officeDocument/2006/relationships/hyperlink" Target="http://discuss.jiucaishuo.com/?/invest/showData/search_gu-sh000903" TargetMode="External"/><Relationship Id="rId16" Type="http://schemas.openxmlformats.org/officeDocument/2006/relationships/hyperlink" Target="http://discuss.jiucaishuo.com/?/invest/showData/search_gu-sh000928" TargetMode="External"/><Relationship Id="rId221" Type="http://schemas.openxmlformats.org/officeDocument/2006/relationships/hyperlink" Target="http://discuss.jiucaishuo.com/?/invest/showData/search_gu-csi930599" TargetMode="External"/><Relationship Id="rId242" Type="http://schemas.openxmlformats.org/officeDocument/2006/relationships/hyperlink" Target="http://discuss.jiucaishuo.com/?/invest/showData/search_gu-sh000971" TargetMode="External"/><Relationship Id="rId263" Type="http://schemas.openxmlformats.org/officeDocument/2006/relationships/hyperlink" Target="http://discuss.jiucaishuo.com/?/invest/showData/search_gu-sz399809" TargetMode="External"/><Relationship Id="rId284" Type="http://schemas.openxmlformats.org/officeDocument/2006/relationships/hyperlink" Target="http://discuss.jiucaishuo.com/?/invest/showData/search_gu-si801018" TargetMode="External"/><Relationship Id="rId319" Type="http://schemas.openxmlformats.org/officeDocument/2006/relationships/hyperlink" Target="http://discuss.jiucaishuo.com/?/invest/showData/search_gu-csih30344" TargetMode="External"/><Relationship Id="rId37" Type="http://schemas.openxmlformats.org/officeDocument/2006/relationships/hyperlink" Target="http://discuss.jiucaishuo.com/?/invest/showData/search_gu-sz399990" TargetMode="External"/><Relationship Id="rId58" Type="http://schemas.openxmlformats.org/officeDocument/2006/relationships/hyperlink" Target="http://discuss.jiucaishuo.com/?/invest/showData/search_gu-sh000806" TargetMode="External"/><Relationship Id="rId79" Type="http://schemas.openxmlformats.org/officeDocument/2006/relationships/hyperlink" Target="http://discuss.jiucaishuo.com/?/invest/showData/search_gu-si801175" TargetMode="External"/><Relationship Id="rId102" Type="http://schemas.openxmlformats.org/officeDocument/2006/relationships/hyperlink" Target="http://discuss.jiucaishuo.com/?/invest/showData/search_gu-sz399008" TargetMode="External"/><Relationship Id="rId123" Type="http://schemas.openxmlformats.org/officeDocument/2006/relationships/hyperlink" Target="http://discuss.jiucaishuo.com/?/invest/showData/search_gu-si801752" TargetMode="External"/><Relationship Id="rId144" Type="http://schemas.openxmlformats.org/officeDocument/2006/relationships/hyperlink" Target="http://discuss.jiucaishuo.com/?/invest/showData/search_gu-si801202" TargetMode="External"/><Relationship Id="rId330" Type="http://schemas.openxmlformats.org/officeDocument/2006/relationships/hyperlink" Target="http://discuss.jiucaishuo.com/?/invest/showData/search_gu-si801120" TargetMode="External"/><Relationship Id="rId90" Type="http://schemas.openxmlformats.org/officeDocument/2006/relationships/hyperlink" Target="http://discuss.jiucaishuo.com/?/invest/showData/search_gu-si801731" TargetMode="External"/><Relationship Id="rId165" Type="http://schemas.openxmlformats.org/officeDocument/2006/relationships/hyperlink" Target="http://discuss.jiucaishuo.com/?/invest/showData/search_gu-sz399368" TargetMode="External"/><Relationship Id="rId186" Type="http://schemas.openxmlformats.org/officeDocument/2006/relationships/hyperlink" Target="http://discuss.jiucaishuo.com/?/invest/showData/search_gu-si801012" TargetMode="External"/><Relationship Id="rId351" Type="http://schemas.openxmlformats.org/officeDocument/2006/relationships/hyperlink" Target="http://discuss.jiucaishuo.com/?/invest/showData/search_gu-spisp500" TargetMode="External"/><Relationship Id="rId211" Type="http://schemas.openxmlformats.org/officeDocument/2006/relationships/hyperlink" Target="http://discuss.jiucaishuo.com/?/invest/showData/search_gu-csi930654" TargetMode="External"/><Relationship Id="rId232" Type="http://schemas.openxmlformats.org/officeDocument/2006/relationships/hyperlink" Target="http://discuss.jiucaishuo.com/?/invest/showData/search_gu-si801032" TargetMode="External"/><Relationship Id="rId253" Type="http://schemas.openxmlformats.org/officeDocument/2006/relationships/hyperlink" Target="http://discuss.jiucaishuo.com/?/invest/showData/search_gu-si801144" TargetMode="External"/><Relationship Id="rId274" Type="http://schemas.openxmlformats.org/officeDocument/2006/relationships/hyperlink" Target="http://discuss.jiucaishuo.com/?/invest/showData/search_gu-si801215" TargetMode="External"/><Relationship Id="rId295" Type="http://schemas.openxmlformats.org/officeDocument/2006/relationships/hyperlink" Target="http://discuss.jiucaishuo.com/?/invest/showData/search_gu-si801010" TargetMode="External"/><Relationship Id="rId309" Type="http://schemas.openxmlformats.org/officeDocument/2006/relationships/hyperlink" Target="http://discuss.jiucaishuo.com/?/invest/showData/search_gu-sh000064" TargetMode="External"/><Relationship Id="rId27" Type="http://schemas.openxmlformats.org/officeDocument/2006/relationships/hyperlink" Target="http://discuss.jiucaishuo.com/?/invest/showData/search_gu-si801723" TargetMode="External"/><Relationship Id="rId48" Type="http://schemas.openxmlformats.org/officeDocument/2006/relationships/hyperlink" Target="http://discuss.jiucaishuo.com/?/invest/showData/search_gu-csi931008" TargetMode="External"/><Relationship Id="rId69" Type="http://schemas.openxmlformats.org/officeDocument/2006/relationships/hyperlink" Target="http://discuss.jiucaishuo.com/?/invest/showData/search_gu-si801022" TargetMode="External"/><Relationship Id="rId113" Type="http://schemas.openxmlformats.org/officeDocument/2006/relationships/hyperlink" Target="http://discuss.jiucaishuo.com/?/invest/showData/search_gu-sh000056" TargetMode="External"/><Relationship Id="rId134" Type="http://schemas.openxmlformats.org/officeDocument/2006/relationships/hyperlink" Target="http://discuss.jiucaishuo.com/?/invest/showData/search_gu-si801173" TargetMode="External"/><Relationship Id="rId320" Type="http://schemas.openxmlformats.org/officeDocument/2006/relationships/hyperlink" Target="http://discuss.jiucaishuo.com/?/invest/showData/search_gu-sz399394" TargetMode="External"/><Relationship Id="rId80" Type="http://schemas.openxmlformats.org/officeDocument/2006/relationships/hyperlink" Target="http://discuss.jiucaishuo.com/?/invest/showData/search_gu-si801015" TargetMode="External"/><Relationship Id="rId155" Type="http://schemas.openxmlformats.org/officeDocument/2006/relationships/hyperlink" Target="http://discuss.jiucaishuo.com/?/invest/showData/search_gu-sh000977" TargetMode="External"/><Relationship Id="rId176" Type="http://schemas.openxmlformats.org/officeDocument/2006/relationships/hyperlink" Target="http://discuss.jiucaishuo.com/?/invest/showData/search_gu-csih30372" TargetMode="External"/><Relationship Id="rId197" Type="http://schemas.openxmlformats.org/officeDocument/2006/relationships/hyperlink" Target="http://discuss.jiucaishuo.com/?/invest/showData/search_gu-si801742" TargetMode="External"/><Relationship Id="rId341" Type="http://schemas.openxmlformats.org/officeDocument/2006/relationships/hyperlink" Target="http://discuss.jiucaishuo.com/?/invest/showData/search_gu-csi930721" TargetMode="External"/><Relationship Id="rId201" Type="http://schemas.openxmlformats.org/officeDocument/2006/relationships/hyperlink" Target="http://discuss.jiucaishuo.com/?/invest/showData/search_gu-gidjsoep" TargetMode="External"/><Relationship Id="rId222" Type="http://schemas.openxmlformats.org/officeDocument/2006/relationships/hyperlink" Target="http://discuss.jiucaishuo.com/?/invest/showData/search_gu-sz399974" TargetMode="External"/><Relationship Id="rId243" Type="http://schemas.openxmlformats.org/officeDocument/2006/relationships/hyperlink" Target="http://discuss.jiucaishuo.com/?/invest/showData/search_gu-sz399637" TargetMode="External"/><Relationship Id="rId264" Type="http://schemas.openxmlformats.org/officeDocument/2006/relationships/hyperlink" Target="http://discuss.jiucaishuo.com/?/invest/showData/search_gu-csih30124" TargetMode="External"/><Relationship Id="rId285" Type="http://schemas.openxmlformats.org/officeDocument/2006/relationships/hyperlink" Target="http://discuss.jiucaishuo.com/?/invest/showData/search_gu-sh000935" TargetMode="External"/><Relationship Id="rId17" Type="http://schemas.openxmlformats.org/officeDocument/2006/relationships/hyperlink" Target="http://discuss.jiucaishuo.com/?/invest/showData/search_gu-si801180" TargetMode="External"/><Relationship Id="rId38" Type="http://schemas.openxmlformats.org/officeDocument/2006/relationships/hyperlink" Target="http://discuss.jiucaishuo.com/?/invest/showData/search_gu-sh950090" TargetMode="External"/><Relationship Id="rId59" Type="http://schemas.openxmlformats.org/officeDocument/2006/relationships/hyperlink" Target="http://discuss.jiucaishuo.com/?/invest/showData/search_gu-si801094" TargetMode="External"/><Relationship Id="rId103" Type="http://schemas.openxmlformats.org/officeDocument/2006/relationships/hyperlink" Target="http://discuss.jiucaishuo.com/?/invest/showData/search_gu-sh000802" TargetMode="External"/><Relationship Id="rId124" Type="http://schemas.openxmlformats.org/officeDocument/2006/relationships/hyperlink" Target="http://discuss.jiucaishuo.com/?/invest/showData/search_gu-si801751" TargetMode="External"/><Relationship Id="rId310" Type="http://schemas.openxmlformats.org/officeDocument/2006/relationships/hyperlink" Target="http://discuss.jiucaishuo.com/?/invest/showData/search_gu-csi930723" TargetMode="External"/><Relationship Id="rId70" Type="http://schemas.openxmlformats.org/officeDocument/2006/relationships/hyperlink" Target="http://discuss.jiucaishuo.com/?/invest/showData/search_gu-si801193" TargetMode="External"/><Relationship Id="rId91" Type="http://schemas.openxmlformats.org/officeDocument/2006/relationships/hyperlink" Target="http://discuss.jiucaishuo.com/?/invest/showData/search_gu-si801024" TargetMode="External"/><Relationship Id="rId145" Type="http://schemas.openxmlformats.org/officeDocument/2006/relationships/hyperlink" Target="http://discuss.jiucaishuo.com/?/invest/showData/search_gu-sh000914" TargetMode="External"/><Relationship Id="rId166" Type="http://schemas.openxmlformats.org/officeDocument/2006/relationships/hyperlink" Target="http://discuss.jiucaishuo.com/?/invest/showData/search_gu-si801744" TargetMode="External"/><Relationship Id="rId187" Type="http://schemas.openxmlformats.org/officeDocument/2006/relationships/hyperlink" Target="http://discuss.jiucaishuo.com/?/invest/showData/search_gu-si801074" TargetMode="External"/><Relationship Id="rId331" Type="http://schemas.openxmlformats.org/officeDocument/2006/relationships/hyperlink" Target="http://discuss.jiucaishuo.com/?/invest/showData/search_gu-sz399632" TargetMode="External"/><Relationship Id="rId352" Type="http://schemas.openxmlformats.org/officeDocument/2006/relationships/hyperlink" Target="http://discuss.jiucaishuo.com/?/invest/showData/search_gu-spispxewtr" TargetMode="External"/><Relationship Id="rId1" Type="http://schemas.openxmlformats.org/officeDocument/2006/relationships/hyperlink" Target="http://discuss.jiucaishuo.com/?/invest/showData/search_gu-si801720" TargetMode="External"/><Relationship Id="rId212" Type="http://schemas.openxmlformats.org/officeDocument/2006/relationships/hyperlink" Target="http://discuss.jiucaishuo.com/?/invest/showData/search_gu-sh000033" TargetMode="External"/><Relationship Id="rId233" Type="http://schemas.openxmlformats.org/officeDocument/2006/relationships/hyperlink" Target="http://discuss.jiucaishuo.com/?/invest/showData/search_gu-sh000043" TargetMode="External"/><Relationship Id="rId254" Type="http://schemas.openxmlformats.org/officeDocument/2006/relationships/hyperlink" Target="http://discuss.jiucaishuo.com/?/invest/showData/search_gu-sz399348" TargetMode="External"/><Relationship Id="rId28" Type="http://schemas.openxmlformats.org/officeDocument/2006/relationships/hyperlink" Target="http://discuss.jiucaishuo.com/?/invest/showData/search_gu-si801722" TargetMode="External"/><Relationship Id="rId49" Type="http://schemas.openxmlformats.org/officeDocument/2006/relationships/hyperlink" Target="http://discuss.jiucaishuo.com/?/invest/showData/search_gu-sz399986" TargetMode="External"/><Relationship Id="rId114" Type="http://schemas.openxmlformats.org/officeDocument/2006/relationships/hyperlink" Target="http://discuss.jiucaishuo.com/?/invest/showData/search_gu-sh000966" TargetMode="External"/><Relationship Id="rId275" Type="http://schemas.openxmlformats.org/officeDocument/2006/relationships/hyperlink" Target="http://discuss.jiucaishuo.com/?/invest/showData/search_gu-sh000037" TargetMode="External"/><Relationship Id="rId296" Type="http://schemas.openxmlformats.org/officeDocument/2006/relationships/hyperlink" Target="http://discuss.jiucaishuo.com/?/invest/showData/search_gu-sz399441" TargetMode="External"/><Relationship Id="rId300" Type="http://schemas.openxmlformats.org/officeDocument/2006/relationships/hyperlink" Target="http://discuss.jiucaishuo.com/?/invest/showData/search_gu-sz399326" TargetMode="External"/><Relationship Id="rId60" Type="http://schemas.openxmlformats.org/officeDocument/2006/relationships/hyperlink" Target="http://discuss.jiucaishuo.com/?/invest/showData/search_gu-sh000032" TargetMode="External"/><Relationship Id="rId81" Type="http://schemas.openxmlformats.org/officeDocument/2006/relationships/hyperlink" Target="http://discuss.jiucaishuo.com/?/invest/showData/search_gu-sz399440" TargetMode="External"/><Relationship Id="rId135" Type="http://schemas.openxmlformats.org/officeDocument/2006/relationships/hyperlink" Target="http://discuss.jiucaishuo.com/?/invest/showData/search_gu-si801093" TargetMode="External"/><Relationship Id="rId156" Type="http://schemas.openxmlformats.org/officeDocument/2006/relationships/hyperlink" Target="http://discuss.jiucaishuo.com/?/invest/showData/search_gu-si801036" TargetMode="External"/><Relationship Id="rId177" Type="http://schemas.openxmlformats.org/officeDocument/2006/relationships/hyperlink" Target="http://discuss.jiucaishuo.com/?/invest/showData/search_gu-sh000300" TargetMode="External"/><Relationship Id="rId198" Type="http://schemas.openxmlformats.org/officeDocument/2006/relationships/hyperlink" Target="http://discuss.jiucaishuo.com/?/invest/showData/search_gu-si801112" TargetMode="External"/><Relationship Id="rId321" Type="http://schemas.openxmlformats.org/officeDocument/2006/relationships/hyperlink" Target="http://discuss.jiucaishuo.com/?/invest/showData/search_gu-sh000808" TargetMode="External"/><Relationship Id="rId342" Type="http://schemas.openxmlformats.org/officeDocument/2006/relationships/hyperlink" Target="http://discuss.jiucaishuo.com/?/invest/showData/search_gu-sh000932" TargetMode="External"/><Relationship Id="rId202" Type="http://schemas.openxmlformats.org/officeDocument/2006/relationships/hyperlink" Target="http://discuss.jiucaishuo.com/?/invest/showData/search_gu-si801182" TargetMode="External"/><Relationship Id="rId223" Type="http://schemas.openxmlformats.org/officeDocument/2006/relationships/hyperlink" Target="http://discuss.jiucaishuo.com/?/invest/showData/search_gu-sz399707" TargetMode="External"/><Relationship Id="rId244" Type="http://schemas.openxmlformats.org/officeDocument/2006/relationships/hyperlink" Target="http://discuss.jiucaishuo.com/?/invest/showData/search_gu-csi930777" TargetMode="External"/><Relationship Id="rId18" Type="http://schemas.openxmlformats.org/officeDocument/2006/relationships/hyperlink" Target="http://discuss.jiucaishuo.com/?/invest/showData/search_gu-si801200" TargetMode="External"/><Relationship Id="rId39" Type="http://schemas.openxmlformats.org/officeDocument/2006/relationships/hyperlink" Target="http://discuss.jiucaishuo.com/?/invest/showData/search_gu-sh000805" TargetMode="External"/><Relationship Id="rId265" Type="http://schemas.openxmlformats.org/officeDocument/2006/relationships/hyperlink" Target="http://discuss.jiucaishuo.com/?/invest/showData/search_gu-csi930697" TargetMode="External"/><Relationship Id="rId286" Type="http://schemas.openxmlformats.org/officeDocument/2006/relationships/hyperlink" Target="http://discuss.jiucaishuo.com/?/invest/showData/search_gu-csi931009" TargetMode="External"/><Relationship Id="rId50" Type="http://schemas.openxmlformats.org/officeDocument/2006/relationships/hyperlink" Target="http://discuss.jiucaishuo.com/?/invest/showData/search_gu-sh000940" TargetMode="External"/><Relationship Id="rId104" Type="http://schemas.openxmlformats.org/officeDocument/2006/relationships/hyperlink" Target="http://discuss.jiucaishuo.com/?/invest/showData/search_gu-sz399965" TargetMode="External"/><Relationship Id="rId125" Type="http://schemas.openxmlformats.org/officeDocument/2006/relationships/hyperlink" Target="http://discuss.jiucaishuo.com/?/invest/showData/search_gu-sh000852" TargetMode="External"/><Relationship Id="rId146" Type="http://schemas.openxmlformats.org/officeDocument/2006/relationships/hyperlink" Target="http://discuss.jiucaishuo.com/?/invest/showData/search_gu-si801072" TargetMode="External"/><Relationship Id="rId167" Type="http://schemas.openxmlformats.org/officeDocument/2006/relationships/hyperlink" Target="http://discuss.jiucaishuo.com/?/invest/showData/search_gu-si801212" TargetMode="External"/><Relationship Id="rId188" Type="http://schemas.openxmlformats.org/officeDocument/2006/relationships/hyperlink" Target="http://discuss.jiucaishuo.com/?/invest/showData/search_gu-sz399959" TargetMode="External"/><Relationship Id="rId311" Type="http://schemas.openxmlformats.org/officeDocument/2006/relationships/hyperlink" Target="http://discuss.jiucaishuo.com/?/invest/showData/search_gu-sz399993" TargetMode="External"/><Relationship Id="rId332" Type="http://schemas.openxmlformats.org/officeDocument/2006/relationships/hyperlink" Target="http://discuss.jiucaishuo.com/?/invest/showData/search_gu-sz399970" TargetMode="External"/><Relationship Id="rId353" Type="http://schemas.openxmlformats.org/officeDocument/2006/relationships/hyperlink" Target="http://discuss.jiucaishuo.com/?/invest/showData/search_gu-gispx" TargetMode="External"/><Relationship Id="rId71" Type="http://schemas.openxmlformats.org/officeDocument/2006/relationships/hyperlink" Target="http://discuss.jiucaishuo.com/?/invest/showData/search_gu-hihsml25" TargetMode="External"/><Relationship Id="rId92" Type="http://schemas.openxmlformats.org/officeDocument/2006/relationships/hyperlink" Target="http://discuss.jiucaishuo.com/?/invest/showData/search_gu-csi950096" TargetMode="External"/><Relationship Id="rId213" Type="http://schemas.openxmlformats.org/officeDocument/2006/relationships/hyperlink" Target="http://discuss.jiucaishuo.com/?/invest/showData/search_gu-si801176" TargetMode="External"/><Relationship Id="rId234" Type="http://schemas.openxmlformats.org/officeDocument/2006/relationships/hyperlink" Target="http://discuss.jiucaishuo.com/?/invest/showData/search_gu-sh000046" TargetMode="External"/><Relationship Id="rId2" Type="http://schemas.openxmlformats.org/officeDocument/2006/relationships/hyperlink" Target="http://discuss.jiucaishuo.com/?/invest/showData/search_gu-si801160" TargetMode="External"/><Relationship Id="rId29" Type="http://schemas.openxmlformats.org/officeDocument/2006/relationships/hyperlink" Target="http://discuss.jiucaishuo.com/?/invest/showData/search_gu-si801162" TargetMode="External"/><Relationship Id="rId255" Type="http://schemas.openxmlformats.org/officeDocument/2006/relationships/hyperlink" Target="http://discuss.jiucaishuo.com/?/invest/showData/search_gu-si801750" TargetMode="External"/><Relationship Id="rId276" Type="http://schemas.openxmlformats.org/officeDocument/2006/relationships/hyperlink" Target="http://discuss.jiucaishuo.com/?/invest/showData/search_gu-sh000998" TargetMode="External"/><Relationship Id="rId297" Type="http://schemas.openxmlformats.org/officeDocument/2006/relationships/hyperlink" Target="http://discuss.jiucaishuo.com/?/invest/showData/search_gu-csi930729" TargetMode="External"/><Relationship Id="rId40" Type="http://schemas.openxmlformats.org/officeDocument/2006/relationships/hyperlink" Target="http://discuss.jiucaishuo.com/?/invest/showData/search_gu-sh000042" TargetMode="External"/><Relationship Id="rId115" Type="http://schemas.openxmlformats.org/officeDocument/2006/relationships/hyperlink" Target="http://discuss.jiucaishuo.com/?/invest/showData/search_gu-sh000925" TargetMode="External"/><Relationship Id="rId136" Type="http://schemas.openxmlformats.org/officeDocument/2006/relationships/hyperlink" Target="http://discuss.jiucaishuo.com/?/invest/showData/search_gu-sh000934" TargetMode="External"/><Relationship Id="rId157" Type="http://schemas.openxmlformats.org/officeDocument/2006/relationships/hyperlink" Target="http://discuss.jiucaishuo.com/?/invest/showData/search_gu-sh000823" TargetMode="External"/><Relationship Id="rId178" Type="http://schemas.openxmlformats.org/officeDocument/2006/relationships/hyperlink" Target="http://discuss.jiucaishuo.com/?/invest/showData/search_gu-sh000958" TargetMode="External"/><Relationship Id="rId301" Type="http://schemas.openxmlformats.org/officeDocument/2006/relationships/hyperlink" Target="http://discuss.jiucaishuo.com/?/invest/showData/search_gu-sz399701" TargetMode="External"/><Relationship Id="rId322" Type="http://schemas.openxmlformats.org/officeDocument/2006/relationships/hyperlink" Target="http://discuss.jiucaishuo.com/?/invest/showData/search_gu-csi930629" TargetMode="External"/><Relationship Id="rId343" Type="http://schemas.openxmlformats.org/officeDocument/2006/relationships/hyperlink" Target="http://discuss.jiucaishuo.com/?/invest/showData/search_gu-csi930719" TargetMode="External"/><Relationship Id="rId61" Type="http://schemas.openxmlformats.org/officeDocument/2006/relationships/hyperlink" Target="http://discuss.jiucaishuo.com/?/invest/showData/search_gu-sz399416" TargetMode="External"/><Relationship Id="rId82" Type="http://schemas.openxmlformats.org/officeDocument/2006/relationships/hyperlink" Target="http://discuss.jiucaishuo.com/?/invest/showData/search_gu-csi000922" TargetMode="External"/><Relationship Id="rId199" Type="http://schemas.openxmlformats.org/officeDocument/2006/relationships/hyperlink" Target="http://discuss.jiucaishuo.com/?/invest/showData/search_gu-sh000933" TargetMode="External"/><Relationship Id="rId203" Type="http://schemas.openxmlformats.org/officeDocument/2006/relationships/hyperlink" Target="http://discuss.jiucaishuo.com/?/invest/showData/search_gu-sh000974" TargetMode="External"/><Relationship Id="rId19" Type="http://schemas.openxmlformats.org/officeDocument/2006/relationships/hyperlink" Target="http://discuss.jiucaishuo.com/?/invest/showData/search_gu-si801780" TargetMode="External"/><Relationship Id="rId224" Type="http://schemas.openxmlformats.org/officeDocument/2006/relationships/hyperlink" Target="http://discuss.jiucaishuo.com/?/invest/showData/search_gu-si801150" TargetMode="External"/><Relationship Id="rId245" Type="http://schemas.openxmlformats.org/officeDocument/2006/relationships/hyperlink" Target="http://discuss.jiucaishuo.com/?/invest/showData/search_gu-csih20839" TargetMode="External"/><Relationship Id="rId266" Type="http://schemas.openxmlformats.org/officeDocument/2006/relationships/hyperlink" Target="http://discuss.jiucaishuo.com/?/invest/showData/search_gu-si801080" TargetMode="External"/><Relationship Id="rId287" Type="http://schemas.openxmlformats.org/officeDocument/2006/relationships/hyperlink" Target="http://discuss.jiucaishuo.com/?/invest/showData/search_gu-csih11136" TargetMode="External"/><Relationship Id="rId30" Type="http://schemas.openxmlformats.org/officeDocument/2006/relationships/hyperlink" Target="http://discuss.jiucaishuo.com/?/invest/showData/search_gu-sz399806" TargetMode="External"/><Relationship Id="rId105" Type="http://schemas.openxmlformats.org/officeDocument/2006/relationships/hyperlink" Target="http://discuss.jiucaishuo.com/?/invest/showData/search_gu-sz399393" TargetMode="External"/><Relationship Id="rId126" Type="http://schemas.openxmlformats.org/officeDocument/2006/relationships/hyperlink" Target="http://discuss.jiucaishuo.com/?/invest/showData/search_gu-si801155" TargetMode="External"/><Relationship Id="rId147" Type="http://schemas.openxmlformats.org/officeDocument/2006/relationships/hyperlink" Target="http://discuss.jiucaishuo.com/?/invest/showData/search_gu-sh000963" TargetMode="External"/><Relationship Id="rId168" Type="http://schemas.openxmlformats.org/officeDocument/2006/relationships/hyperlink" Target="http://discuss.jiucaishuo.com/?/invest/showData/search_gu-sh000827" TargetMode="External"/><Relationship Id="rId312" Type="http://schemas.openxmlformats.org/officeDocument/2006/relationships/hyperlink" Target="http://discuss.jiucaishuo.com/?/invest/showData/search_gu-sz399330" TargetMode="External"/><Relationship Id="rId333" Type="http://schemas.openxmlformats.org/officeDocument/2006/relationships/hyperlink" Target="http://discuss.jiucaishuo.com/?/invest/showData/search_gu-csi000978" TargetMode="External"/><Relationship Id="rId354" Type="http://schemas.openxmlformats.org/officeDocument/2006/relationships/hyperlink" Target="http://discuss.jiucaishuo.com/?/invest/showData/search_gu-csi133333" TargetMode="External"/><Relationship Id="rId51" Type="http://schemas.openxmlformats.org/officeDocument/2006/relationships/hyperlink" Target="http://discuss.jiucaishuo.com/?/invest/showData/search_gu-si801761" TargetMode="External"/><Relationship Id="rId72" Type="http://schemas.openxmlformats.org/officeDocument/2006/relationships/hyperlink" Target="http://discuss.jiucaishuo.com/?/invest/showData/search_gu-sh000854" TargetMode="External"/><Relationship Id="rId93" Type="http://schemas.openxmlformats.org/officeDocument/2006/relationships/hyperlink" Target="http://discuss.jiucaishuo.com/?/invest/showData/search_gu-sh000067" TargetMode="External"/><Relationship Id="rId189" Type="http://schemas.openxmlformats.org/officeDocument/2006/relationships/hyperlink" Target="http://discuss.jiucaishuo.com/?/invest/showData/search_gu-si801732" TargetMode="External"/><Relationship Id="rId3" Type="http://schemas.openxmlformats.org/officeDocument/2006/relationships/hyperlink" Target="http://discuss.jiucaishuo.com/?/invest/showData/search_gu-si801020" TargetMode="External"/><Relationship Id="rId214" Type="http://schemas.openxmlformats.org/officeDocument/2006/relationships/hyperlink" Target="http://discuss.jiucaishuo.com/?/invest/showData/search_gu-si801721" TargetMode="External"/><Relationship Id="rId235" Type="http://schemas.openxmlformats.org/officeDocument/2006/relationships/hyperlink" Target="http://discuss.jiucaishuo.com/?/invest/showData/search_gu-si801204" TargetMode="External"/><Relationship Id="rId256" Type="http://schemas.openxmlformats.org/officeDocument/2006/relationships/hyperlink" Target="http://discuss.jiucaishuo.com/?/invest/showData/search_gu-sz399007" TargetMode="External"/><Relationship Id="rId277" Type="http://schemas.openxmlformats.org/officeDocument/2006/relationships/hyperlink" Target="http://discuss.jiucaishuo.com/?/invest/showData/search_gu-csi930651" TargetMode="External"/><Relationship Id="rId298" Type="http://schemas.openxmlformats.org/officeDocument/2006/relationships/hyperlink" Target="http://discuss.jiucaishuo.com/?/invest/showData/search_gu-sz399813" TargetMode="External"/><Relationship Id="rId116" Type="http://schemas.openxmlformats.org/officeDocument/2006/relationships/hyperlink" Target="http://discuss.jiucaishuo.com/?/invest/showData/search_gu-csi000985" TargetMode="External"/><Relationship Id="rId137" Type="http://schemas.openxmlformats.org/officeDocument/2006/relationships/hyperlink" Target="http://discuss.jiucaishuo.com/?/invest/showData/search_gu-sh000038" TargetMode="External"/><Relationship Id="rId158" Type="http://schemas.openxmlformats.org/officeDocument/2006/relationships/hyperlink" Target="http://discuss.jiucaishuo.com/?/invest/showData/search_gu-sz399415" TargetMode="External"/><Relationship Id="rId302" Type="http://schemas.openxmlformats.org/officeDocument/2006/relationships/hyperlink" Target="http://discuss.jiucaishuo.com/?/invest/showData/search_gu-sz399811" TargetMode="External"/><Relationship Id="rId323" Type="http://schemas.openxmlformats.org/officeDocument/2006/relationships/hyperlink" Target="http://discuss.jiucaishuo.com/?/invest/showData/search_gu-csih30535" TargetMode="External"/><Relationship Id="rId344" Type="http://schemas.openxmlformats.org/officeDocument/2006/relationships/hyperlink" Target="http://discuss.jiucaishuo.com/?/invest/showData/search_gu-sh000990" TargetMode="External"/><Relationship Id="rId20" Type="http://schemas.openxmlformats.org/officeDocument/2006/relationships/hyperlink" Target="http://discuss.jiucaishuo.com/?/invest/showData/search_gu-si801172" TargetMode="External"/><Relationship Id="rId41" Type="http://schemas.openxmlformats.org/officeDocument/2006/relationships/hyperlink" Target="http://discuss.jiucaishuo.com/?/invest/showData/search_gu-sh000015" TargetMode="External"/><Relationship Id="rId62" Type="http://schemas.openxmlformats.org/officeDocument/2006/relationships/hyperlink" Target="http://discuss.jiucaishuo.com/?/invest/showData/search_gu-sh000029" TargetMode="External"/><Relationship Id="rId83" Type="http://schemas.openxmlformats.org/officeDocument/2006/relationships/hyperlink" Target="http://discuss.jiucaishuo.com/?/invest/showData/search_gu-sz399429" TargetMode="External"/><Relationship Id="rId179" Type="http://schemas.openxmlformats.org/officeDocument/2006/relationships/hyperlink" Target="http://discuss.jiucaishuo.com/?/invest/showData/search_gu-si801016" TargetMode="External"/><Relationship Id="rId190" Type="http://schemas.openxmlformats.org/officeDocument/2006/relationships/hyperlink" Target="http://discuss.jiucaishuo.com/?/invest/showData/search_gu-si801141" TargetMode="External"/><Relationship Id="rId204" Type="http://schemas.openxmlformats.org/officeDocument/2006/relationships/hyperlink" Target="http://discuss.jiucaishuo.com/?/invest/showData/search_gu-csi930648" TargetMode="External"/><Relationship Id="rId225" Type="http://schemas.openxmlformats.org/officeDocument/2006/relationships/hyperlink" Target="http://discuss.jiucaishuo.com/?/invest/showData/search_gu-si801102" TargetMode="External"/><Relationship Id="rId246" Type="http://schemas.openxmlformats.org/officeDocument/2006/relationships/hyperlink" Target="http://discuss.jiucaishuo.com/?/invest/showData/search_gu-sz399612" TargetMode="External"/><Relationship Id="rId267" Type="http://schemas.openxmlformats.org/officeDocument/2006/relationships/hyperlink" Target="http://discuss.jiucaishuo.com/?/invest/showData/search_gu-si801222" TargetMode="External"/><Relationship Id="rId288" Type="http://schemas.openxmlformats.org/officeDocument/2006/relationships/hyperlink" Target="http://discuss.jiucaishuo.com/?/invest/showData/search_gu-sz399673" TargetMode="External"/><Relationship Id="rId106" Type="http://schemas.openxmlformats.org/officeDocument/2006/relationships/hyperlink" Target="http://discuss.jiucaishuo.com/?/invest/showData/search_gu-si801034" TargetMode="External"/><Relationship Id="rId127" Type="http://schemas.openxmlformats.org/officeDocument/2006/relationships/hyperlink" Target="http://discuss.jiucaishuo.com/?/invest/showData/search_gu-si801213" TargetMode="External"/><Relationship Id="rId313" Type="http://schemas.openxmlformats.org/officeDocument/2006/relationships/hyperlink" Target="http://discuss.jiucaishuo.com/?/invest/showData/search_gu-sz399004" TargetMode="External"/><Relationship Id="rId10" Type="http://schemas.openxmlformats.org/officeDocument/2006/relationships/hyperlink" Target="http://discuss.jiucaishuo.com/?/invest/showData/search_gu-si801023" TargetMode="External"/><Relationship Id="rId31" Type="http://schemas.openxmlformats.org/officeDocument/2006/relationships/hyperlink" Target="http://discuss.jiucaishuo.com/?/invest/showData/search_gu-si801055" TargetMode="External"/><Relationship Id="rId52" Type="http://schemas.openxmlformats.org/officeDocument/2006/relationships/hyperlink" Target="http://discuss.jiucaishuo.com/?/invest/showData/search_gu-si801205" TargetMode="External"/><Relationship Id="rId73" Type="http://schemas.openxmlformats.org/officeDocument/2006/relationships/hyperlink" Target="http://discuss.jiucaishuo.com/?/invest/showData/search_gu-sh000001" TargetMode="External"/><Relationship Id="rId94" Type="http://schemas.openxmlformats.org/officeDocument/2006/relationships/hyperlink" Target="http://discuss.jiucaishuo.com/?/invest/showData/search_gu-sh000901" TargetMode="External"/><Relationship Id="rId148" Type="http://schemas.openxmlformats.org/officeDocument/2006/relationships/hyperlink" Target="http://discuss.jiucaishuo.com/?/invest/showData/search_gu-csi930641" TargetMode="External"/><Relationship Id="rId169" Type="http://schemas.openxmlformats.org/officeDocument/2006/relationships/hyperlink" Target="http://discuss.jiucaishuo.com/?/invest/showData/search_gu-sz399417" TargetMode="External"/><Relationship Id="rId334" Type="http://schemas.openxmlformats.org/officeDocument/2006/relationships/hyperlink" Target="http://discuss.jiucaishuo.com/?/invest/showData/search_gu-spisphcmshp" TargetMode="External"/><Relationship Id="rId355" Type="http://schemas.openxmlformats.org/officeDocument/2006/relationships/hyperlink" Target="http://discuss.jiucaishuo.com/?/invest/showData/search_gu-sh000036" TargetMode="External"/><Relationship Id="rId4" Type="http://schemas.openxmlformats.org/officeDocument/2006/relationships/hyperlink" Target="http://discuss.jiucaishuo.com/?/invest/showData/search_gu-si801177" TargetMode="External"/><Relationship Id="rId180" Type="http://schemas.openxmlformats.org/officeDocument/2006/relationships/hyperlink" Target="http://discuss.jiucaishuo.com/?/invest/showData/search_gu-si801073" TargetMode="External"/><Relationship Id="rId215" Type="http://schemas.openxmlformats.org/officeDocument/2006/relationships/hyperlink" Target="http://discuss.jiucaishuo.com/?/invest/showData/search_gu-csi930713" TargetMode="External"/><Relationship Id="rId236" Type="http://schemas.openxmlformats.org/officeDocument/2006/relationships/hyperlink" Target="http://discuss.jiucaishuo.com/?/invest/showData/search_gu-si801713" TargetMode="External"/><Relationship Id="rId257" Type="http://schemas.openxmlformats.org/officeDocument/2006/relationships/hyperlink" Target="http://discuss.jiucaishuo.com/?/invest/showData/search_gu-csi930652" TargetMode="External"/><Relationship Id="rId278" Type="http://schemas.openxmlformats.org/officeDocument/2006/relationships/hyperlink" Target="http://discuss.jiucaishuo.com/?/invest/showData/search_gu-si801770" TargetMode="External"/><Relationship Id="rId303" Type="http://schemas.openxmlformats.org/officeDocument/2006/relationships/hyperlink" Target="http://discuss.jiucaishuo.com/?/invest/showData/search_gu-sz399976" TargetMode="External"/><Relationship Id="rId42" Type="http://schemas.openxmlformats.org/officeDocument/2006/relationships/hyperlink" Target="http://discuss.jiucaishuo.com/?/invest/showData/search_gu-csih30263" TargetMode="External"/><Relationship Id="rId84" Type="http://schemas.openxmlformats.org/officeDocument/2006/relationships/hyperlink" Target="http://discuss.jiucaishuo.com/?/invest/showData/search_gu-sh000904" TargetMode="External"/><Relationship Id="rId138" Type="http://schemas.openxmlformats.org/officeDocument/2006/relationships/hyperlink" Target="http://discuss.jiucaishuo.com/?/invest/showData/search_gu-sh000018" TargetMode="External"/><Relationship Id="rId345" Type="http://schemas.openxmlformats.org/officeDocument/2006/relationships/hyperlink" Target="http://discuss.jiucaishuo.com/?/invest/showData/search_gu-sz399997" TargetMode="External"/><Relationship Id="rId191" Type="http://schemas.openxmlformats.org/officeDocument/2006/relationships/hyperlink" Target="http://discuss.jiucaishuo.com/?/invest/showData/search_gu-csi930720" TargetMode="External"/><Relationship Id="rId205" Type="http://schemas.openxmlformats.org/officeDocument/2006/relationships/hyperlink" Target="http://discuss.jiucaishuo.com/?/invest/showData/search_gu-csi930659" TargetMode="External"/><Relationship Id="rId247" Type="http://schemas.openxmlformats.org/officeDocument/2006/relationships/hyperlink" Target="http://discuss.jiucaishuo.com/?/invest/showData/search_gu-si801210" TargetMode="External"/><Relationship Id="rId107" Type="http://schemas.openxmlformats.org/officeDocument/2006/relationships/hyperlink" Target="http://discuss.jiucaishuo.com/?/invest/showData/search_gu-si801033" TargetMode="External"/><Relationship Id="rId289" Type="http://schemas.openxmlformats.org/officeDocument/2006/relationships/hyperlink" Target="http://discuss.jiucaishuo.com/?/invest/showData/search_gu-sz399804" TargetMode="External"/><Relationship Id="rId11" Type="http://schemas.openxmlformats.org/officeDocument/2006/relationships/hyperlink" Target="http://discuss.jiucaishuo.com/?/invest/showData/search_gu-sh000066" TargetMode="External"/><Relationship Id="rId53" Type="http://schemas.openxmlformats.org/officeDocument/2006/relationships/hyperlink" Target="http://discuss.jiucaishuo.com/?/invest/showData/search_gu-sz399995" TargetMode="External"/><Relationship Id="rId149" Type="http://schemas.openxmlformats.org/officeDocument/2006/relationships/hyperlink" Target="http://discuss.jiucaishuo.com/?/invest/showData/search_gu-si801170" TargetMode="External"/><Relationship Id="rId314" Type="http://schemas.openxmlformats.org/officeDocument/2006/relationships/hyperlink" Target="http://discuss.jiucaishuo.com/?/invest/showData/search_gu-si801014" TargetMode="External"/><Relationship Id="rId356" Type="http://schemas.openxmlformats.org/officeDocument/2006/relationships/hyperlink" Target="http://discuss.jiucaishuo.com/?/invest/showData/search_gu-gidji" TargetMode="External"/><Relationship Id="rId95" Type="http://schemas.openxmlformats.org/officeDocument/2006/relationships/hyperlink" Target="http://discuss.jiucaishuo.com/?/invest/showData/search_gu-sh000063" TargetMode="External"/><Relationship Id="rId160" Type="http://schemas.openxmlformats.org/officeDocument/2006/relationships/hyperlink" Target="http://discuss.jiucaishuo.com/?/invest/showData/search_gu-csi930793" TargetMode="External"/><Relationship Id="rId216" Type="http://schemas.openxmlformats.org/officeDocument/2006/relationships/hyperlink" Target="http://discuss.jiucaishuo.com/?/invest/showData/search_gu-sz399313" TargetMode="External"/><Relationship Id="rId258" Type="http://schemas.openxmlformats.org/officeDocument/2006/relationships/hyperlink" Target="http://discuss.jiucaishuo.com/?/invest/showData/search_gu-si801151" TargetMode="External"/><Relationship Id="rId22" Type="http://schemas.openxmlformats.org/officeDocument/2006/relationships/hyperlink" Target="http://discuss.jiucaishuo.com/?/invest/showData/search_gu-si801076" TargetMode="External"/><Relationship Id="rId64" Type="http://schemas.openxmlformats.org/officeDocument/2006/relationships/hyperlink" Target="http://discuss.jiucaishuo.com/?/invest/showData/search_gu-sh000905" TargetMode="External"/><Relationship Id="rId118" Type="http://schemas.openxmlformats.org/officeDocument/2006/relationships/hyperlink" Target="http://discuss.jiucaishuo.com/?/invest/showData/search_gu-sz399624" TargetMode="External"/><Relationship Id="rId325" Type="http://schemas.openxmlformats.org/officeDocument/2006/relationships/hyperlink" Target="http://discuss.jiucaishuo.com/?/invest/showData/search_gu-si801153" TargetMode="External"/><Relationship Id="rId171" Type="http://schemas.openxmlformats.org/officeDocument/2006/relationships/hyperlink" Target="http://discuss.jiucaishuo.com/?/invest/showData/search_gu-si801037" TargetMode="External"/><Relationship Id="rId227" Type="http://schemas.openxmlformats.org/officeDocument/2006/relationships/hyperlink" Target="http://discuss.jiucaishuo.com/?/invest/showData/search_gu-sh000816" TargetMode="External"/><Relationship Id="rId269" Type="http://schemas.openxmlformats.org/officeDocument/2006/relationships/hyperlink" Target="http://discuss.jiucaishuo.com/?/invest/showData/search_gu-csih30035" TargetMode="External"/><Relationship Id="rId33" Type="http://schemas.openxmlformats.org/officeDocument/2006/relationships/hyperlink" Target="http://discuss.jiucaishuo.com/?/invest/showData/search_gu-sh000979" TargetMode="External"/><Relationship Id="rId129" Type="http://schemas.openxmlformats.org/officeDocument/2006/relationships/hyperlink" Target="http://discuss.jiucaishuo.com/?/invest/showData/search_gu-si801143" TargetMode="External"/><Relationship Id="rId280" Type="http://schemas.openxmlformats.org/officeDocument/2006/relationships/hyperlink" Target="http://discuss.jiucaishuo.com/?/invest/showData/search_gu-si801194" TargetMode="External"/><Relationship Id="rId336" Type="http://schemas.openxmlformats.org/officeDocument/2006/relationships/hyperlink" Target="http://discuss.jiucaishuo.com/?/invest/showData/search_gu-si801174" TargetMode="External"/><Relationship Id="rId75" Type="http://schemas.openxmlformats.org/officeDocument/2006/relationships/hyperlink" Target="http://discuss.jiucaishuo.com/?/invest/showData/search_gu-sh000984" TargetMode="External"/><Relationship Id="rId140" Type="http://schemas.openxmlformats.org/officeDocument/2006/relationships/hyperlink" Target="http://discuss.jiucaishuo.com/?/invest/showData/search_gu-si801231" TargetMode="External"/><Relationship Id="rId182" Type="http://schemas.openxmlformats.org/officeDocument/2006/relationships/hyperlink" Target="http://discuss.jiucaishuo.com/?/invest/showData/search_gu-sz399975" TargetMode="External"/><Relationship Id="rId6" Type="http://schemas.openxmlformats.org/officeDocument/2006/relationships/hyperlink" Target="http://discuss.jiucaishuo.com/?/invest/showData/search_gu-si801725" TargetMode="External"/><Relationship Id="rId238" Type="http://schemas.openxmlformats.org/officeDocument/2006/relationships/hyperlink" Target="http://discuss.jiucaishuo.com/?/invest/showData/search_gu-si801223" TargetMode="External"/><Relationship Id="rId291" Type="http://schemas.openxmlformats.org/officeDocument/2006/relationships/hyperlink" Target="http://discuss.jiucaishuo.com/?/invest/showData/search_gu-sz399006" TargetMode="External"/><Relationship Id="rId305" Type="http://schemas.openxmlformats.org/officeDocument/2006/relationships/hyperlink" Target="http://discuss.jiucaishuo.com/?/invest/showData/search_gu-sz399989" TargetMode="External"/><Relationship Id="rId347" Type="http://schemas.openxmlformats.org/officeDocument/2006/relationships/hyperlink" Target="http://discuss.jiucaishuo.com/?/invest/showData/search_gu-csi930653" TargetMode="External"/><Relationship Id="rId44" Type="http://schemas.openxmlformats.org/officeDocument/2006/relationships/hyperlink" Target="http://discuss.jiucaishuo.com/?/invest/showData/search_gu-sh000961" TargetMode="External"/><Relationship Id="rId86" Type="http://schemas.openxmlformats.org/officeDocument/2006/relationships/hyperlink" Target="http://discuss.jiucaishuo.com/?/invest/showData/search_gu-si801741" TargetMode="External"/><Relationship Id="rId151" Type="http://schemas.openxmlformats.org/officeDocument/2006/relationships/hyperlink" Target="http://discuss.jiucaishuo.com/?/invest/showData/search_gu-si801710" TargetMode="External"/><Relationship Id="rId193" Type="http://schemas.openxmlformats.org/officeDocument/2006/relationships/hyperlink" Target="http://discuss.jiucaishuo.com/?/invest/showData/search_gu-si801740" TargetMode="External"/><Relationship Id="rId207" Type="http://schemas.openxmlformats.org/officeDocument/2006/relationships/hyperlink" Target="http://discuss.jiucaishuo.com/?/invest/showData/search_gu-sh000048" TargetMode="External"/><Relationship Id="rId249" Type="http://schemas.openxmlformats.org/officeDocument/2006/relationships/hyperlink" Target="http://discuss.jiucaishuo.com/?/invest/showData/search_gu-csi930836" TargetMode="External"/><Relationship Id="rId13" Type="http://schemas.openxmlformats.org/officeDocument/2006/relationships/hyperlink" Target="http://discuss.jiucaishuo.com/?/invest/showData/search_gu-sh000944" TargetMode="External"/><Relationship Id="rId109" Type="http://schemas.openxmlformats.org/officeDocument/2006/relationships/hyperlink" Target="http://discuss.jiucaishuo.com/?/invest/showData/search_gu-si801041" TargetMode="External"/><Relationship Id="rId260" Type="http://schemas.openxmlformats.org/officeDocument/2006/relationships/hyperlink" Target="http://discuss.jiucaishuo.com/?/invest/showData/search_gu-sh000814" TargetMode="External"/><Relationship Id="rId316" Type="http://schemas.openxmlformats.org/officeDocument/2006/relationships/hyperlink" Target="http://discuss.jiucaishuo.com/?/invest/showData/search_gu-sz399324" TargetMode="External"/><Relationship Id="rId55" Type="http://schemas.openxmlformats.org/officeDocument/2006/relationships/hyperlink" Target="http://discuss.jiucaishuo.com/?/invest/showData/search_gu-si801734" TargetMode="External"/><Relationship Id="rId97" Type="http://schemas.openxmlformats.org/officeDocument/2006/relationships/hyperlink" Target="http://discuss.jiucaishuo.com/?/invest/showData/search_gu-csi930875" TargetMode="External"/><Relationship Id="rId120" Type="http://schemas.openxmlformats.org/officeDocument/2006/relationships/hyperlink" Target="http://discuss.jiucaishuo.com/?/invest/showData/search_gu-si801130" TargetMode="External"/><Relationship Id="rId162" Type="http://schemas.openxmlformats.org/officeDocument/2006/relationships/hyperlink" Target="http://discuss.jiucaishuo.com/?/invest/showData/search_gu-sh000050" TargetMode="External"/><Relationship Id="rId218" Type="http://schemas.openxmlformats.org/officeDocument/2006/relationships/hyperlink" Target="http://discuss.jiucaishuo.com/?/invest/showData/search_gu-si801211" TargetMode="External"/><Relationship Id="rId271" Type="http://schemas.openxmlformats.org/officeDocument/2006/relationships/hyperlink" Target="http://discuss.jiucaishuo.com/?/invest/showData/search_gu-sh000065" TargetMode="External"/><Relationship Id="rId24" Type="http://schemas.openxmlformats.org/officeDocument/2006/relationships/hyperlink" Target="http://discuss.jiucaishuo.com/?/invest/showData/search_gu-si801181" TargetMode="External"/><Relationship Id="rId66" Type="http://schemas.openxmlformats.org/officeDocument/2006/relationships/hyperlink" Target="http://discuss.jiucaishuo.com/?/invest/showData/search_gu-si801178" TargetMode="External"/><Relationship Id="rId131" Type="http://schemas.openxmlformats.org/officeDocument/2006/relationships/hyperlink" Target="http://discuss.jiucaishuo.com/?/invest/showData/search_gu-si801230" TargetMode="External"/><Relationship Id="rId327" Type="http://schemas.openxmlformats.org/officeDocument/2006/relationships/hyperlink" Target="http://discuss.jiucaishuo.com/?/invest/showData/search_gu-sh000069" TargetMode="External"/><Relationship Id="rId173" Type="http://schemas.openxmlformats.org/officeDocument/2006/relationships/hyperlink" Target="http://discuss.jiucaishuo.com/?/invest/showData/search_gu-si801054" TargetMode="External"/><Relationship Id="rId229" Type="http://schemas.openxmlformats.org/officeDocument/2006/relationships/hyperlink" Target="http://discuss.jiucaishuo.com/?/invest/showData/search_gu-csih30588" TargetMode="External"/><Relationship Id="rId240" Type="http://schemas.openxmlformats.org/officeDocument/2006/relationships/hyperlink" Target="http://discuss.jiucaishuo.com/?/invest/showData/search_gu-si801743" TargetMode="External"/><Relationship Id="rId35" Type="http://schemas.openxmlformats.org/officeDocument/2006/relationships/hyperlink" Target="http://discuss.jiucaishuo.com/?/invest/showData/search_gu-si801191" TargetMode="External"/><Relationship Id="rId77" Type="http://schemas.openxmlformats.org/officeDocument/2006/relationships/hyperlink" Target="http://discuss.jiucaishuo.com/?/invest/showData/search_gu-sz399802" TargetMode="External"/><Relationship Id="rId100" Type="http://schemas.openxmlformats.org/officeDocument/2006/relationships/hyperlink" Target="http://discuss.jiucaishuo.com/?/invest/showData/search_gu-si801040" TargetMode="External"/><Relationship Id="rId282" Type="http://schemas.openxmlformats.org/officeDocument/2006/relationships/hyperlink" Target="http://discuss.jiucaishuo.com/?/invest/showData/search_gu-sz399337" TargetMode="External"/><Relationship Id="rId338" Type="http://schemas.openxmlformats.org/officeDocument/2006/relationships/hyperlink" Target="http://discuss.jiucaishuo.com/?/invest/showData/search_gu-sh000828" TargetMode="External"/><Relationship Id="rId8" Type="http://schemas.openxmlformats.org/officeDocument/2006/relationships/hyperlink" Target="http://discuss.jiucaishuo.com/?/invest/showData/search_gu-si801163" TargetMode="External"/><Relationship Id="rId142" Type="http://schemas.openxmlformats.org/officeDocument/2006/relationships/hyperlink" Target="http://discuss.jiucaishuo.com/?/invest/showData/search_gu-sh000846" TargetMode="External"/><Relationship Id="rId184" Type="http://schemas.openxmlformats.org/officeDocument/2006/relationships/hyperlink" Target="http://discuss.jiucaishuo.com/?/invest/showData/search_gu-si801082" TargetMode="External"/><Relationship Id="rId251" Type="http://schemas.openxmlformats.org/officeDocument/2006/relationships/hyperlink" Target="http://discuss.jiucaishuo.com/?/invest/showData/search_gu-sz399001" TargetMode="External"/></Relationships>
</file>

<file path=xl/worksheets/_rels/sheet12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jisilu.cn/question/95518" TargetMode="External"/><Relationship Id="rId170" Type="http://schemas.openxmlformats.org/officeDocument/2006/relationships/hyperlink" Target="https://www.jisilu.cn/data/stock/002907" TargetMode="External"/><Relationship Id="rId268" Type="http://schemas.openxmlformats.org/officeDocument/2006/relationships/hyperlink" Target="https://www.jisilu.cn/question/95518" TargetMode="External"/><Relationship Id="rId475" Type="http://schemas.openxmlformats.org/officeDocument/2006/relationships/hyperlink" Target="https://www.jisilu.cn/data/convert_bond_detail/128019" TargetMode="External"/><Relationship Id="rId682" Type="http://schemas.openxmlformats.org/officeDocument/2006/relationships/hyperlink" Target="https://www.jisilu.cn/question/95518" TargetMode="External"/><Relationship Id="rId128" Type="http://schemas.openxmlformats.org/officeDocument/2006/relationships/hyperlink" Target="https://www.jisilu.cn/data/stock/002615" TargetMode="External"/><Relationship Id="rId335" Type="http://schemas.openxmlformats.org/officeDocument/2006/relationships/hyperlink" Target="https://www.jisilu.cn/question/95518" TargetMode="External"/><Relationship Id="rId542" Type="http://schemas.openxmlformats.org/officeDocument/2006/relationships/hyperlink" Target="https://www.jisilu.cn/data/stock/601233" TargetMode="External"/><Relationship Id="rId987" Type="http://schemas.openxmlformats.org/officeDocument/2006/relationships/hyperlink" Target="https://www.jisilu.cn/question/95518" TargetMode="External"/><Relationship Id="rId1172" Type="http://schemas.openxmlformats.org/officeDocument/2006/relationships/hyperlink" Target="https://www.jisilu.cn/data/stock/601222" TargetMode="External"/><Relationship Id="rId402" Type="http://schemas.openxmlformats.org/officeDocument/2006/relationships/hyperlink" Target="javascript:addOwnedConvertBond('110047');" TargetMode="External"/><Relationship Id="rId847" Type="http://schemas.openxmlformats.org/officeDocument/2006/relationships/hyperlink" Target="https://www.jisilu.cn/data/convert_bond_detail/123025" TargetMode="External"/><Relationship Id="rId1032" Type="http://schemas.openxmlformats.org/officeDocument/2006/relationships/hyperlink" Target="javascript:addOwnedConvertBond('110044');" TargetMode="External"/><Relationship Id="rId707" Type="http://schemas.openxmlformats.org/officeDocument/2006/relationships/hyperlink" Target="https://www.jisilu.cn/question/95518" TargetMode="External"/><Relationship Id="rId914" Type="http://schemas.openxmlformats.org/officeDocument/2006/relationships/hyperlink" Target="https://www.jisilu.cn/data/stock/601998" TargetMode="External"/><Relationship Id="rId43" Type="http://schemas.openxmlformats.org/officeDocument/2006/relationships/hyperlink" Target="https://www.jisilu.cn/data/convert_bond_detail/128066" TargetMode="External"/><Relationship Id="rId192" Type="http://schemas.openxmlformats.org/officeDocument/2006/relationships/hyperlink" Target="javascript:addOwnedConvertBond('128077');" TargetMode="External"/><Relationship Id="rId497" Type="http://schemas.openxmlformats.org/officeDocument/2006/relationships/hyperlink" Target="https://www.jisilu.cn/question/95518" TargetMode="External"/><Relationship Id="rId357" Type="http://schemas.openxmlformats.org/officeDocument/2006/relationships/hyperlink" Target="https://www.jisilu.cn/question/95518" TargetMode="External"/><Relationship Id="rId1194" Type="http://schemas.openxmlformats.org/officeDocument/2006/relationships/hyperlink" Target="javascript:addOwnedConvertBond('127008');" TargetMode="External"/><Relationship Id="rId217" Type="http://schemas.openxmlformats.org/officeDocument/2006/relationships/hyperlink" Target="https://www.jisilu.cn/data/convert_bond_detail/113521" TargetMode="External"/><Relationship Id="rId564" Type="http://schemas.openxmlformats.org/officeDocument/2006/relationships/hyperlink" Target="javascript:addOwnedConvertBond('110048');" TargetMode="External"/><Relationship Id="rId771" Type="http://schemas.openxmlformats.org/officeDocument/2006/relationships/hyperlink" Target="https://www.jisilu.cn/question/95518" TargetMode="External"/><Relationship Id="rId869" Type="http://schemas.openxmlformats.org/officeDocument/2006/relationships/hyperlink" Target="https://www.jisilu.cn/question/95518" TargetMode="External"/><Relationship Id="rId424" Type="http://schemas.openxmlformats.org/officeDocument/2006/relationships/hyperlink" Target="https://www.jisilu.cn/question/95518" TargetMode="External"/><Relationship Id="rId631" Type="http://schemas.openxmlformats.org/officeDocument/2006/relationships/hyperlink" Target="https://www.jisilu.cn/data/convert_bond_detail/113505" TargetMode="External"/><Relationship Id="rId729" Type="http://schemas.openxmlformats.org/officeDocument/2006/relationships/hyperlink" Target="https://www.jisilu.cn/question/95518" TargetMode="External"/><Relationship Id="rId1054" Type="http://schemas.openxmlformats.org/officeDocument/2006/relationships/hyperlink" Target="https://www.jisilu.cn/question/95518" TargetMode="External"/><Relationship Id="rId936" Type="http://schemas.openxmlformats.org/officeDocument/2006/relationships/hyperlink" Target="javascript:addOwnedConvertBond('132021');" TargetMode="External"/><Relationship Id="rId1121" Type="http://schemas.openxmlformats.org/officeDocument/2006/relationships/hyperlink" Target="https://www.jisilu.cn/question/95518" TargetMode="External"/><Relationship Id="rId1219" Type="http://schemas.openxmlformats.org/officeDocument/2006/relationships/hyperlink" Target="https://www.jisilu.cn/data/convert_bond_detail/128043" TargetMode="External"/><Relationship Id="rId65" Type="http://schemas.openxmlformats.org/officeDocument/2006/relationships/hyperlink" Target="https://www.jisilu.cn/question/95518" TargetMode="External"/><Relationship Id="rId281" Type="http://schemas.openxmlformats.org/officeDocument/2006/relationships/hyperlink" Target="https://www.jisilu.cn/question/95518" TargetMode="External"/><Relationship Id="rId141" Type="http://schemas.openxmlformats.org/officeDocument/2006/relationships/hyperlink" Target="https://www.jisilu.cn/question/95518" TargetMode="External"/><Relationship Id="rId379" Type="http://schemas.openxmlformats.org/officeDocument/2006/relationships/hyperlink" Target="https://www.jisilu.cn/data/convert_bond_detail/113515" TargetMode="External"/><Relationship Id="rId586" Type="http://schemas.openxmlformats.org/officeDocument/2006/relationships/hyperlink" Target="https://www.jisilu.cn/question/95518" TargetMode="External"/><Relationship Id="rId793" Type="http://schemas.openxmlformats.org/officeDocument/2006/relationships/hyperlink" Target="https://www.jisilu.cn/data/convert_bond_detail/113543" TargetMode="External"/><Relationship Id="rId7" Type="http://schemas.openxmlformats.org/officeDocument/2006/relationships/hyperlink" Target="https://www.jisilu.cn/data/convert_bond_detail/123034" TargetMode="External"/><Relationship Id="rId239" Type="http://schemas.openxmlformats.org/officeDocument/2006/relationships/hyperlink" Target="https://www.jisilu.cn/question/95518" TargetMode="External"/><Relationship Id="rId446" Type="http://schemas.openxmlformats.org/officeDocument/2006/relationships/hyperlink" Target="https://www.jisilu.cn/data/stock/600755" TargetMode="External"/><Relationship Id="rId653" Type="http://schemas.openxmlformats.org/officeDocument/2006/relationships/hyperlink" Target="https://www.jisilu.cn/question/95518" TargetMode="External"/><Relationship Id="rId1076" Type="http://schemas.openxmlformats.org/officeDocument/2006/relationships/hyperlink" Target="https://www.jisilu.cn/data/stock/002753" TargetMode="External"/><Relationship Id="rId306" Type="http://schemas.openxmlformats.org/officeDocument/2006/relationships/hyperlink" Target="javascript:addOwnedConvertBond('128054');" TargetMode="External"/><Relationship Id="rId860" Type="http://schemas.openxmlformats.org/officeDocument/2006/relationships/hyperlink" Target="https://www.jisilu.cn/data/stock/603233" TargetMode="External"/><Relationship Id="rId958" Type="http://schemas.openxmlformats.org/officeDocument/2006/relationships/hyperlink" Target="https://www.jisilu.cn/question/95518" TargetMode="External"/><Relationship Id="rId1143" Type="http://schemas.openxmlformats.org/officeDocument/2006/relationships/hyperlink" Target="https://www.jisilu.cn/question/95518" TargetMode="External"/><Relationship Id="rId87" Type="http://schemas.openxmlformats.org/officeDocument/2006/relationships/hyperlink" Target="https://www.jisilu.cn/question/95518" TargetMode="External"/><Relationship Id="rId513" Type="http://schemas.openxmlformats.org/officeDocument/2006/relationships/hyperlink" Target="https://www.jisilu.cn/question/95518" TargetMode="External"/><Relationship Id="rId720" Type="http://schemas.openxmlformats.org/officeDocument/2006/relationships/hyperlink" Target="javascript:addOwnedConvertBond('123003');" TargetMode="External"/><Relationship Id="rId818" Type="http://schemas.openxmlformats.org/officeDocument/2006/relationships/hyperlink" Target="https://www.jisilu.cn/data/stock/600522" TargetMode="External"/><Relationship Id="rId1003" Type="http://schemas.openxmlformats.org/officeDocument/2006/relationships/hyperlink" Target="https://www.jisilu.cn/data/convert_bond_detail/113544" TargetMode="External"/><Relationship Id="rId1210" Type="http://schemas.openxmlformats.org/officeDocument/2006/relationships/hyperlink" Target="https://www.jisilu.cn/question/95518" TargetMode="External"/><Relationship Id="rId14" Type="http://schemas.openxmlformats.org/officeDocument/2006/relationships/hyperlink" Target="https://www.jisilu.cn/data/stock/603320" TargetMode="External"/><Relationship Id="rId163" Type="http://schemas.openxmlformats.org/officeDocument/2006/relationships/hyperlink" Target="https://www.jisilu.cn/data/convert_bond_detail/128057" TargetMode="External"/><Relationship Id="rId370" Type="http://schemas.openxmlformats.org/officeDocument/2006/relationships/hyperlink" Target="https://www.jisilu.cn/question/95518" TargetMode="External"/><Relationship Id="rId230" Type="http://schemas.openxmlformats.org/officeDocument/2006/relationships/hyperlink" Target="https://www.jisilu.cn/data/stock/300168" TargetMode="External"/><Relationship Id="rId468" Type="http://schemas.openxmlformats.org/officeDocument/2006/relationships/hyperlink" Target="javascript:addOwnedConvertBond('123020');" TargetMode="External"/><Relationship Id="rId675" Type="http://schemas.openxmlformats.org/officeDocument/2006/relationships/hyperlink" Target="https://www.jisilu.cn/question/95518" TargetMode="External"/><Relationship Id="rId882" Type="http://schemas.openxmlformats.org/officeDocument/2006/relationships/hyperlink" Target="javascript:addOwnedConvertBond('113517');" TargetMode="External"/><Relationship Id="rId1098" Type="http://schemas.openxmlformats.org/officeDocument/2006/relationships/hyperlink" Target="javascript:addOwnedConvertBond('127011');" TargetMode="External"/><Relationship Id="rId328" Type="http://schemas.openxmlformats.org/officeDocument/2006/relationships/hyperlink" Target="https://www.jisilu.cn/question/95518" TargetMode="External"/><Relationship Id="rId535" Type="http://schemas.openxmlformats.org/officeDocument/2006/relationships/hyperlink" Target="https://www.jisilu.cn/data/convert_bond_detail/127014" TargetMode="External"/><Relationship Id="rId742" Type="http://schemas.openxmlformats.org/officeDocument/2006/relationships/hyperlink" Target="https://www.jisilu.cn/question/95518" TargetMode="External"/><Relationship Id="rId1165" Type="http://schemas.openxmlformats.org/officeDocument/2006/relationships/hyperlink" Target="https://www.jisilu.cn/data/convert_bond_detail/128052" TargetMode="External"/><Relationship Id="rId602" Type="http://schemas.openxmlformats.org/officeDocument/2006/relationships/hyperlink" Target="https://www.jisilu.cn/data/stock/601200" TargetMode="External"/><Relationship Id="rId1025" Type="http://schemas.openxmlformats.org/officeDocument/2006/relationships/hyperlink" Target="https://www.jisilu.cn/question/95518" TargetMode="External"/><Relationship Id="rId1232" Type="http://schemas.openxmlformats.org/officeDocument/2006/relationships/hyperlink" Target="https://www.jisilu.cn/data/stock/002325" TargetMode="External"/><Relationship Id="rId907" Type="http://schemas.openxmlformats.org/officeDocument/2006/relationships/hyperlink" Target="https://www.jisilu.cn/data/convert_bond_detail/110061" TargetMode="External"/><Relationship Id="rId36" Type="http://schemas.openxmlformats.org/officeDocument/2006/relationships/hyperlink" Target="javascript:delOwnedConvertBond('113549');" TargetMode="External"/><Relationship Id="rId185" Type="http://schemas.openxmlformats.org/officeDocument/2006/relationships/hyperlink" Target="https://www.jisilu.cn/question/95518" TargetMode="External"/><Relationship Id="rId392" Type="http://schemas.openxmlformats.org/officeDocument/2006/relationships/hyperlink" Target="https://www.jisilu.cn/data/stock/601117" TargetMode="External"/><Relationship Id="rId697" Type="http://schemas.openxmlformats.org/officeDocument/2006/relationships/hyperlink" Target="https://www.jisilu.cn/data/convert_bond_detail/113019" TargetMode="External"/><Relationship Id="rId252" Type="http://schemas.openxmlformats.org/officeDocument/2006/relationships/hyperlink" Target="javascript:addOwnedConvertBond('128034');" TargetMode="External"/><Relationship Id="rId1187" Type="http://schemas.openxmlformats.org/officeDocument/2006/relationships/hyperlink" Target="https://www.jisilu.cn/question/95518" TargetMode="External"/><Relationship Id="rId112" Type="http://schemas.openxmlformats.org/officeDocument/2006/relationships/hyperlink" Target="https://www.jisilu.cn/question/95518" TargetMode="External"/><Relationship Id="rId557" Type="http://schemas.openxmlformats.org/officeDocument/2006/relationships/hyperlink" Target="https://www.jisilu.cn/question/95518" TargetMode="External"/><Relationship Id="rId764" Type="http://schemas.openxmlformats.org/officeDocument/2006/relationships/hyperlink" Target="https://www.jisilu.cn/data/stock/600372" TargetMode="External"/><Relationship Id="rId971" Type="http://schemas.openxmlformats.org/officeDocument/2006/relationships/hyperlink" Target="https://www.jisilu.cn/question/95518" TargetMode="External"/><Relationship Id="rId417" Type="http://schemas.openxmlformats.org/officeDocument/2006/relationships/hyperlink" Target="https://www.jisilu.cn/question/95518" TargetMode="External"/><Relationship Id="rId624" Type="http://schemas.openxmlformats.org/officeDocument/2006/relationships/hyperlink" Target="javascript:addOwnedConvertBond('128065');" TargetMode="External"/><Relationship Id="rId831" Type="http://schemas.openxmlformats.org/officeDocument/2006/relationships/hyperlink" Target="https://www.jisilu.cn/question/95518" TargetMode="External"/><Relationship Id="rId1047" Type="http://schemas.openxmlformats.org/officeDocument/2006/relationships/hyperlink" Target="https://www.jisilu.cn/question/95518" TargetMode="External"/><Relationship Id="rId1254" Type="http://schemas.openxmlformats.org/officeDocument/2006/relationships/hyperlink" Target="javascript:addOwnedConvertBond('128012');" TargetMode="External"/><Relationship Id="rId929" Type="http://schemas.openxmlformats.org/officeDocument/2006/relationships/hyperlink" Target="https://www.jisilu.cn/question/95518" TargetMode="External"/><Relationship Id="rId1114" Type="http://schemas.openxmlformats.org/officeDocument/2006/relationships/hyperlink" Target="https://www.jisilu.cn/question/95518" TargetMode="External"/><Relationship Id="rId58" Type="http://schemas.openxmlformats.org/officeDocument/2006/relationships/hyperlink" Target="https://www.jisilu.cn/question/95518" TargetMode="External"/><Relationship Id="rId274" Type="http://schemas.openxmlformats.org/officeDocument/2006/relationships/hyperlink" Target="https://www.jisilu.cn/question/95518" TargetMode="External"/><Relationship Id="rId481" Type="http://schemas.openxmlformats.org/officeDocument/2006/relationships/hyperlink" Target="https://www.jisilu.cn/data/convert_bond_detail/123013" TargetMode="External"/><Relationship Id="rId134" Type="http://schemas.openxmlformats.org/officeDocument/2006/relationships/hyperlink" Target="https://www.jisilu.cn/data/stock/603035" TargetMode="External"/><Relationship Id="rId579" Type="http://schemas.openxmlformats.org/officeDocument/2006/relationships/hyperlink" Target="https://www.jisilu.cn/question/95518" TargetMode="External"/><Relationship Id="rId786" Type="http://schemas.openxmlformats.org/officeDocument/2006/relationships/hyperlink" Target="javascript:addOwnedConvertBond('110054');" TargetMode="External"/><Relationship Id="rId993" Type="http://schemas.openxmlformats.org/officeDocument/2006/relationships/hyperlink" Target="https://www.jisilu.cn/question/95518" TargetMode="External"/><Relationship Id="rId341" Type="http://schemas.openxmlformats.org/officeDocument/2006/relationships/hyperlink" Target="https://www.jisilu.cn/question/95518" TargetMode="External"/><Relationship Id="rId439" Type="http://schemas.openxmlformats.org/officeDocument/2006/relationships/hyperlink" Target="https://www.jisilu.cn/data/convert_bond_detail/113547" TargetMode="External"/><Relationship Id="rId646" Type="http://schemas.openxmlformats.org/officeDocument/2006/relationships/hyperlink" Target="https://www.jisilu.cn/question/95518" TargetMode="External"/><Relationship Id="rId1069" Type="http://schemas.openxmlformats.org/officeDocument/2006/relationships/hyperlink" Target="https://www.jisilu.cn/data/convert_bond_detail/113013" TargetMode="External"/><Relationship Id="rId201" Type="http://schemas.openxmlformats.org/officeDocument/2006/relationships/hyperlink" Target="https://www.jisilu.cn/question/95518" TargetMode="External"/><Relationship Id="rId506" Type="http://schemas.openxmlformats.org/officeDocument/2006/relationships/hyperlink" Target="https://www.jisilu.cn/data/stock/603305" TargetMode="External"/><Relationship Id="rId853" Type="http://schemas.openxmlformats.org/officeDocument/2006/relationships/hyperlink" Target="https://www.jisilu.cn/data/convert_bond_detail/128078" TargetMode="External"/><Relationship Id="rId1136" Type="http://schemas.openxmlformats.org/officeDocument/2006/relationships/hyperlink" Target="https://www.jisilu.cn/data/stock/002008" TargetMode="External"/><Relationship Id="rId713" Type="http://schemas.openxmlformats.org/officeDocument/2006/relationships/hyperlink" Target="https://www.jisilu.cn/question/95518" TargetMode="External"/><Relationship Id="rId920" Type="http://schemas.openxmlformats.org/officeDocument/2006/relationships/hyperlink" Target="https://www.jisilu.cn/data/stock/601878" TargetMode="External"/><Relationship Id="rId1203" Type="http://schemas.openxmlformats.org/officeDocument/2006/relationships/hyperlink" Target="https://www.jisilu.cn/question/95518" TargetMode="External"/><Relationship Id="rId296" Type="http://schemas.openxmlformats.org/officeDocument/2006/relationships/hyperlink" Target="https://www.jisilu.cn/data/stock/300748" TargetMode="External"/><Relationship Id="rId156" Type="http://schemas.openxmlformats.org/officeDocument/2006/relationships/hyperlink" Target="javascript:addOwnedConvertBond('128051');" TargetMode="External"/><Relationship Id="rId363" Type="http://schemas.openxmlformats.org/officeDocument/2006/relationships/hyperlink" Target="https://www.jisilu.cn/question/95518" TargetMode="External"/><Relationship Id="rId570" Type="http://schemas.openxmlformats.org/officeDocument/2006/relationships/hyperlink" Target="javascript:addOwnedConvertBond('113519');" TargetMode="External"/><Relationship Id="rId223" Type="http://schemas.openxmlformats.org/officeDocument/2006/relationships/hyperlink" Target="https://www.jisilu.cn/data/convert_bond_detail/113539" TargetMode="External"/><Relationship Id="rId430" Type="http://schemas.openxmlformats.org/officeDocument/2006/relationships/hyperlink" Target="https://www.jisilu.cn/question/95518" TargetMode="External"/><Relationship Id="rId668" Type="http://schemas.openxmlformats.org/officeDocument/2006/relationships/hyperlink" Target="https://www.jisilu.cn/data/stock/600420" TargetMode="External"/><Relationship Id="rId875" Type="http://schemas.openxmlformats.org/officeDocument/2006/relationships/hyperlink" Target="https://www.jisilu.cn/question/95518" TargetMode="External"/><Relationship Id="rId1060" Type="http://schemas.openxmlformats.org/officeDocument/2006/relationships/hyperlink" Target="https://www.jisilu.cn/question/95518" TargetMode="External"/><Relationship Id="rId528" Type="http://schemas.openxmlformats.org/officeDocument/2006/relationships/hyperlink" Target="javascript:addOwnedConvertBond('128033');" TargetMode="External"/><Relationship Id="rId735" Type="http://schemas.openxmlformats.org/officeDocument/2006/relationships/hyperlink" Target="https://www.jisilu.cn/question/95518" TargetMode="External"/><Relationship Id="rId942" Type="http://schemas.openxmlformats.org/officeDocument/2006/relationships/hyperlink" Target="javascript:addOwnedConvertBond('128068');" TargetMode="External"/><Relationship Id="rId1158" Type="http://schemas.openxmlformats.org/officeDocument/2006/relationships/hyperlink" Target="javascript:addOwnedConvertBond('128032');" TargetMode="External"/><Relationship Id="rId1018" Type="http://schemas.openxmlformats.org/officeDocument/2006/relationships/hyperlink" Target="https://www.jisilu.cn/question/95518" TargetMode="External"/><Relationship Id="rId1225" Type="http://schemas.openxmlformats.org/officeDocument/2006/relationships/hyperlink" Target="https://www.jisilu.cn/data/convert_bond_detail/110031" TargetMode="External"/><Relationship Id="rId71" Type="http://schemas.openxmlformats.org/officeDocument/2006/relationships/hyperlink" Target="https://www.jisilu.cn/question/95518" TargetMode="External"/><Relationship Id="rId802" Type="http://schemas.openxmlformats.org/officeDocument/2006/relationships/hyperlink" Target="https://www.jisilu.cn/question/95518" TargetMode="External"/><Relationship Id="rId29" Type="http://schemas.openxmlformats.org/officeDocument/2006/relationships/hyperlink" Target="https://www.jisilu.cn/question/95518" TargetMode="External"/><Relationship Id="rId178" Type="http://schemas.openxmlformats.org/officeDocument/2006/relationships/hyperlink" Target="https://www.jisilu.cn/question/95518" TargetMode="External"/><Relationship Id="rId385" Type="http://schemas.openxmlformats.org/officeDocument/2006/relationships/hyperlink" Target="https://www.jisilu.cn/data/convert_bond_detail/128064" TargetMode="External"/><Relationship Id="rId592" Type="http://schemas.openxmlformats.org/officeDocument/2006/relationships/hyperlink" Target="https://www.jisilu.cn/question/95518" TargetMode="External"/><Relationship Id="rId245" Type="http://schemas.openxmlformats.org/officeDocument/2006/relationships/hyperlink" Target="https://www.jisilu.cn/question/95518" TargetMode="External"/><Relationship Id="rId452" Type="http://schemas.openxmlformats.org/officeDocument/2006/relationships/hyperlink" Target="https://www.jisilu.cn/data/stock/300197" TargetMode="External"/><Relationship Id="rId897" Type="http://schemas.openxmlformats.org/officeDocument/2006/relationships/hyperlink" Target="https://www.jisilu.cn/question/95518" TargetMode="External"/><Relationship Id="rId1082" Type="http://schemas.openxmlformats.org/officeDocument/2006/relationships/hyperlink" Target="https://www.jisilu.cn/data/stock/002100" TargetMode="External"/><Relationship Id="rId105" Type="http://schemas.openxmlformats.org/officeDocument/2006/relationships/hyperlink" Target="https://www.jisilu.cn/question/95518" TargetMode="External"/><Relationship Id="rId312" Type="http://schemas.openxmlformats.org/officeDocument/2006/relationships/hyperlink" Target="javascript:addOwnedConvertBond('113025');" TargetMode="External"/><Relationship Id="rId757" Type="http://schemas.openxmlformats.org/officeDocument/2006/relationships/hyperlink" Target="https://www.jisilu.cn/data/convert_bond_detail/113518" TargetMode="External"/><Relationship Id="rId964" Type="http://schemas.openxmlformats.org/officeDocument/2006/relationships/hyperlink" Target="https://www.jisilu.cn/question/95518" TargetMode="External"/><Relationship Id="rId93" Type="http://schemas.openxmlformats.org/officeDocument/2006/relationships/hyperlink" Target="https://www.jisilu.cn/question/95518" TargetMode="External"/><Relationship Id="rId617" Type="http://schemas.openxmlformats.org/officeDocument/2006/relationships/hyperlink" Target="https://www.jisilu.cn/question/95518" TargetMode="External"/><Relationship Id="rId824" Type="http://schemas.openxmlformats.org/officeDocument/2006/relationships/hyperlink" Target="https://www.jisilu.cn/data/stock/300618" TargetMode="External"/><Relationship Id="rId1247" Type="http://schemas.openxmlformats.org/officeDocument/2006/relationships/hyperlink" Target="https://www.jisilu.cn/question/95518" TargetMode="External"/><Relationship Id="rId1107" Type="http://schemas.openxmlformats.org/officeDocument/2006/relationships/hyperlink" Target="https://www.jisilu.cn/question/95518" TargetMode="External"/><Relationship Id="rId116" Type="http://schemas.openxmlformats.org/officeDocument/2006/relationships/hyperlink" Target="https://www.jisilu.cn/data/stock/002224" TargetMode="External"/><Relationship Id="rId323" Type="http://schemas.openxmlformats.org/officeDocument/2006/relationships/hyperlink" Target="https://www.jisilu.cn/question/95518" TargetMode="External"/><Relationship Id="rId530" Type="http://schemas.openxmlformats.org/officeDocument/2006/relationships/hyperlink" Target="https://www.jisilu.cn/data/stock/603897" TargetMode="External"/><Relationship Id="rId768" Type="http://schemas.openxmlformats.org/officeDocument/2006/relationships/hyperlink" Target="javascript:addOwnedConvertBond('110042');" TargetMode="External"/><Relationship Id="rId975" Type="http://schemas.openxmlformats.org/officeDocument/2006/relationships/hyperlink" Target="https://www.jisilu.cn/question/95518" TargetMode="External"/><Relationship Id="rId1160" Type="http://schemas.openxmlformats.org/officeDocument/2006/relationships/hyperlink" Target="https://www.jisilu.cn/data/stock/002284" TargetMode="External"/><Relationship Id="rId20" Type="http://schemas.openxmlformats.org/officeDocument/2006/relationships/hyperlink" Target="https://www.jisilu.cn/data/stock/002722" TargetMode="External"/><Relationship Id="rId628" Type="http://schemas.openxmlformats.org/officeDocument/2006/relationships/hyperlink" Target="https://www.jisilu.cn/question/95518" TargetMode="External"/><Relationship Id="rId835" Type="http://schemas.openxmlformats.org/officeDocument/2006/relationships/hyperlink" Target="https://www.jisilu.cn/data/convert_bond_detail/128016" TargetMode="External"/><Relationship Id="rId267" Type="http://schemas.openxmlformats.org/officeDocument/2006/relationships/hyperlink" Target="https://www.jisilu.cn/question/95518" TargetMode="External"/><Relationship Id="rId474" Type="http://schemas.openxmlformats.org/officeDocument/2006/relationships/hyperlink" Target="javascript:addOwnedConvertBond('110046');" TargetMode="External"/><Relationship Id="rId1020" Type="http://schemas.openxmlformats.org/officeDocument/2006/relationships/hyperlink" Target="javascript:addOwnedConvertBond('128026');" TargetMode="External"/><Relationship Id="rId1118" Type="http://schemas.openxmlformats.org/officeDocument/2006/relationships/hyperlink" Target="https://www.jisilu.cn/data/stock/002131" TargetMode="External"/><Relationship Id="rId127" Type="http://schemas.openxmlformats.org/officeDocument/2006/relationships/hyperlink" Target="https://www.jisilu.cn/data/convert_bond_detail/128073" TargetMode="External"/><Relationship Id="rId681" Type="http://schemas.openxmlformats.org/officeDocument/2006/relationships/hyperlink" Target="https://www.jisilu.cn/question/95518" TargetMode="External"/><Relationship Id="rId779" Type="http://schemas.openxmlformats.org/officeDocument/2006/relationships/hyperlink" Target="https://www.jisilu.cn/question/95518" TargetMode="External"/><Relationship Id="rId902" Type="http://schemas.openxmlformats.org/officeDocument/2006/relationships/hyperlink" Target="https://www.jisilu.cn/data/stock/002352" TargetMode="External"/><Relationship Id="rId986" Type="http://schemas.openxmlformats.org/officeDocument/2006/relationships/hyperlink" Target="https://www.jisilu.cn/data/stock/002727" TargetMode="External"/><Relationship Id="rId31" Type="http://schemas.openxmlformats.org/officeDocument/2006/relationships/hyperlink" Target="https://www.jisilu.cn/data/convert_bond_detail/113549" TargetMode="External"/><Relationship Id="rId334" Type="http://schemas.openxmlformats.org/officeDocument/2006/relationships/hyperlink" Target="https://www.jisilu.cn/question/95518" TargetMode="External"/><Relationship Id="rId541" Type="http://schemas.openxmlformats.org/officeDocument/2006/relationships/hyperlink" Target="https://www.jisilu.cn/data/convert_bond_detail/113020" TargetMode="External"/><Relationship Id="rId639" Type="http://schemas.openxmlformats.org/officeDocument/2006/relationships/hyperlink" Target="https://www.jisilu.cn/question/95518" TargetMode="External"/><Relationship Id="rId1171" Type="http://schemas.openxmlformats.org/officeDocument/2006/relationships/hyperlink" Target="https://www.jisilu.cn/data/convert_bond_detail/113014" TargetMode="External"/><Relationship Id="rId180" Type="http://schemas.openxmlformats.org/officeDocument/2006/relationships/hyperlink" Target="javascript:addOwnedConvertBond('113524');" TargetMode="External"/><Relationship Id="rId278" Type="http://schemas.openxmlformats.org/officeDocument/2006/relationships/hyperlink" Target="https://www.jisilu.cn/data/stock/300700" TargetMode="External"/><Relationship Id="rId401" Type="http://schemas.openxmlformats.org/officeDocument/2006/relationships/hyperlink" Target="https://www.jisilu.cn/question/95518" TargetMode="External"/><Relationship Id="rId846" Type="http://schemas.openxmlformats.org/officeDocument/2006/relationships/hyperlink" Target="javascript:addOwnedConvertBond('110059');" TargetMode="External"/><Relationship Id="rId1031" Type="http://schemas.openxmlformats.org/officeDocument/2006/relationships/hyperlink" Target="https://www.jisilu.cn/question/95518" TargetMode="External"/><Relationship Id="rId1129" Type="http://schemas.openxmlformats.org/officeDocument/2006/relationships/hyperlink" Target="https://www.jisilu.cn/data/convert_bond_detail/132013" TargetMode="External"/><Relationship Id="rId485" Type="http://schemas.openxmlformats.org/officeDocument/2006/relationships/hyperlink" Target="https://www.jisilu.cn/question/95518" TargetMode="External"/><Relationship Id="rId692" Type="http://schemas.openxmlformats.org/officeDocument/2006/relationships/hyperlink" Target="https://www.jisilu.cn/data/stock/603601" TargetMode="External"/><Relationship Id="rId706" Type="http://schemas.openxmlformats.org/officeDocument/2006/relationships/hyperlink" Target="https://www.jisilu.cn/question/95518" TargetMode="External"/><Relationship Id="rId913" Type="http://schemas.openxmlformats.org/officeDocument/2006/relationships/hyperlink" Target="https://www.jisilu.cn/data/convert_bond_detail/113021" TargetMode="External"/><Relationship Id="rId42" Type="http://schemas.openxmlformats.org/officeDocument/2006/relationships/hyperlink" Target="javascript:delOwnedConvertBond('113536');" TargetMode="External"/><Relationship Id="rId138" Type="http://schemas.openxmlformats.org/officeDocument/2006/relationships/hyperlink" Target="javascript:addOwnedConvertBond('113550');" TargetMode="External"/><Relationship Id="rId345" Type="http://schemas.openxmlformats.org/officeDocument/2006/relationships/hyperlink" Target="https://www.jisilu.cn/question/95518" TargetMode="External"/><Relationship Id="rId552" Type="http://schemas.openxmlformats.org/officeDocument/2006/relationships/hyperlink" Target="javascript:addOwnedConvertBond('123002');" TargetMode="External"/><Relationship Id="rId997" Type="http://schemas.openxmlformats.org/officeDocument/2006/relationships/hyperlink" Target="https://www.jisilu.cn/data/convert_bond_detail/132009" TargetMode="External"/><Relationship Id="rId1182" Type="http://schemas.openxmlformats.org/officeDocument/2006/relationships/hyperlink" Target="javascript:addOwnedConvertBond('110038');" TargetMode="External"/><Relationship Id="rId191" Type="http://schemas.openxmlformats.org/officeDocument/2006/relationships/hyperlink" Target="https://www.jisilu.cn/question/95518" TargetMode="External"/><Relationship Id="rId205" Type="http://schemas.openxmlformats.org/officeDocument/2006/relationships/hyperlink" Target="https://www.jisilu.cn/data/convert_bond_detail/123028" TargetMode="External"/><Relationship Id="rId412" Type="http://schemas.openxmlformats.org/officeDocument/2006/relationships/hyperlink" Target="https://www.jisilu.cn/question/95518" TargetMode="External"/><Relationship Id="rId857" Type="http://schemas.openxmlformats.org/officeDocument/2006/relationships/hyperlink" Target="https://www.jisilu.cn/question/95518" TargetMode="External"/><Relationship Id="rId1042" Type="http://schemas.openxmlformats.org/officeDocument/2006/relationships/hyperlink" Target="https://www.jisilu.cn/question/95518" TargetMode="External"/><Relationship Id="rId289" Type="http://schemas.openxmlformats.org/officeDocument/2006/relationships/hyperlink" Target="https://www.jisilu.cn/data/convert_bond_detail/113552" TargetMode="External"/><Relationship Id="rId496" Type="http://schemas.openxmlformats.org/officeDocument/2006/relationships/hyperlink" Target="https://www.jisilu.cn/question/95518" TargetMode="External"/><Relationship Id="rId717" Type="http://schemas.openxmlformats.org/officeDocument/2006/relationships/hyperlink" Target="https://www.jisilu.cn/question/95518" TargetMode="External"/><Relationship Id="rId924" Type="http://schemas.openxmlformats.org/officeDocument/2006/relationships/hyperlink" Target="javascript:addOwnedConvertBond('113022');" TargetMode="External"/><Relationship Id="rId53" Type="http://schemas.openxmlformats.org/officeDocument/2006/relationships/hyperlink" Target="https://www.jisilu.cn/question/95518" TargetMode="External"/><Relationship Id="rId149" Type="http://schemas.openxmlformats.org/officeDocument/2006/relationships/hyperlink" Target="https://www.jisilu.cn/question/95518" TargetMode="External"/><Relationship Id="rId356" Type="http://schemas.openxmlformats.org/officeDocument/2006/relationships/hyperlink" Target="https://www.jisilu.cn/data/stock/002548" TargetMode="External"/><Relationship Id="rId563" Type="http://schemas.openxmlformats.org/officeDocument/2006/relationships/hyperlink" Target="https://www.jisilu.cn/question/95518" TargetMode="External"/><Relationship Id="rId770" Type="http://schemas.openxmlformats.org/officeDocument/2006/relationships/hyperlink" Target="https://www.jisilu.cn/data/stock/002527" TargetMode="External"/><Relationship Id="rId1193" Type="http://schemas.openxmlformats.org/officeDocument/2006/relationships/hyperlink" Target="https://www.jisilu.cn/question/95518" TargetMode="External"/><Relationship Id="rId1207" Type="http://schemas.openxmlformats.org/officeDocument/2006/relationships/hyperlink" Target="https://www.jisilu.cn/data/convert_bond_detail/132008" TargetMode="External"/><Relationship Id="rId216" Type="http://schemas.openxmlformats.org/officeDocument/2006/relationships/hyperlink" Target="javascript:addOwnedConvertBond('128075');" TargetMode="External"/><Relationship Id="rId423" Type="http://schemas.openxmlformats.org/officeDocument/2006/relationships/hyperlink" Target="https://www.jisilu.cn/question/95518" TargetMode="External"/><Relationship Id="rId868" Type="http://schemas.openxmlformats.org/officeDocument/2006/relationships/hyperlink" Target="https://www.jisilu.cn/question/95518" TargetMode="External"/><Relationship Id="rId1053" Type="http://schemas.openxmlformats.org/officeDocument/2006/relationships/hyperlink" Target="https://www.jisilu.cn/question/95518" TargetMode="External"/><Relationship Id="rId630" Type="http://schemas.openxmlformats.org/officeDocument/2006/relationships/hyperlink" Target="javascript:addOwnedConvertBond('120003');" TargetMode="External"/><Relationship Id="rId728" Type="http://schemas.openxmlformats.org/officeDocument/2006/relationships/hyperlink" Target="https://www.jisilu.cn/data/stock/603179" TargetMode="External"/><Relationship Id="rId935" Type="http://schemas.openxmlformats.org/officeDocument/2006/relationships/hyperlink" Target="https://www.jisilu.cn/question/95518" TargetMode="External"/><Relationship Id="rId64" Type="http://schemas.openxmlformats.org/officeDocument/2006/relationships/hyperlink" Target="https://www.jisilu.cn/question/95518" TargetMode="External"/><Relationship Id="rId367" Type="http://schemas.openxmlformats.org/officeDocument/2006/relationships/hyperlink" Target="https://www.jisilu.cn/data/convert_bond_detail/127012" TargetMode="External"/><Relationship Id="rId574" Type="http://schemas.openxmlformats.org/officeDocument/2006/relationships/hyperlink" Target="https://www.jisilu.cn/question/95518" TargetMode="External"/><Relationship Id="rId1120" Type="http://schemas.openxmlformats.org/officeDocument/2006/relationships/hyperlink" Target="https://www.jisilu.cn/question/95518" TargetMode="External"/><Relationship Id="rId1218" Type="http://schemas.openxmlformats.org/officeDocument/2006/relationships/hyperlink" Target="javascript:addOwnedConvertBond('128062');" TargetMode="External"/><Relationship Id="rId227" Type="http://schemas.openxmlformats.org/officeDocument/2006/relationships/hyperlink" Target="https://www.jisilu.cn/question/95518" TargetMode="External"/><Relationship Id="rId781" Type="http://schemas.openxmlformats.org/officeDocument/2006/relationships/hyperlink" Target="https://www.jisilu.cn/data/convert_bond_detail/110054" TargetMode="External"/><Relationship Id="rId879" Type="http://schemas.openxmlformats.org/officeDocument/2006/relationships/hyperlink" Target="https://www.jisilu.cn/question/95518" TargetMode="External"/><Relationship Id="rId434" Type="http://schemas.openxmlformats.org/officeDocument/2006/relationships/hyperlink" Target="https://www.jisilu.cn/data/stock/600728" TargetMode="External"/><Relationship Id="rId641" Type="http://schemas.openxmlformats.org/officeDocument/2006/relationships/hyperlink" Target="https://www.jisilu.cn/question/95518" TargetMode="External"/><Relationship Id="rId739" Type="http://schemas.openxmlformats.org/officeDocument/2006/relationships/hyperlink" Target="https://www.jisilu.cn/data/convert_bond_detail/128061" TargetMode="External"/><Relationship Id="rId1064" Type="http://schemas.openxmlformats.org/officeDocument/2006/relationships/hyperlink" Target="https://www.jisilu.cn/data/stock/002279" TargetMode="External"/><Relationship Id="rId280" Type="http://schemas.openxmlformats.org/officeDocument/2006/relationships/hyperlink" Target="https://www.jisilu.cn/question/95518" TargetMode="External"/><Relationship Id="rId501" Type="http://schemas.openxmlformats.org/officeDocument/2006/relationships/hyperlink" Target="https://www.jisilu.cn/question/95518" TargetMode="External"/><Relationship Id="rId946" Type="http://schemas.openxmlformats.org/officeDocument/2006/relationships/hyperlink" Target="https://www.jisilu.cn/question/95518" TargetMode="External"/><Relationship Id="rId1131" Type="http://schemas.openxmlformats.org/officeDocument/2006/relationships/hyperlink" Target="https://www.jisilu.cn/question/95518" TargetMode="External"/><Relationship Id="rId1229" Type="http://schemas.openxmlformats.org/officeDocument/2006/relationships/hyperlink" Target="https://www.jisilu.cn/question/95518" TargetMode="External"/><Relationship Id="rId75" Type="http://schemas.openxmlformats.org/officeDocument/2006/relationships/hyperlink" Target="https://www.jisilu.cn/question/95518" TargetMode="External"/><Relationship Id="rId140" Type="http://schemas.openxmlformats.org/officeDocument/2006/relationships/hyperlink" Target="https://www.jisilu.cn/data/stock/600900" TargetMode="External"/><Relationship Id="rId378" Type="http://schemas.openxmlformats.org/officeDocument/2006/relationships/hyperlink" Target="javascript:addOwnedConvertBond('113540');" TargetMode="External"/><Relationship Id="rId585" Type="http://schemas.openxmlformats.org/officeDocument/2006/relationships/hyperlink" Target="https://www.jisilu.cn/question/95518" TargetMode="External"/><Relationship Id="rId792" Type="http://schemas.openxmlformats.org/officeDocument/2006/relationships/hyperlink" Target="javascript:addOwnedConvertBond('128022');" TargetMode="External"/><Relationship Id="rId806" Type="http://schemas.openxmlformats.org/officeDocument/2006/relationships/hyperlink" Target="https://www.jisilu.cn/data/stock/603883" TargetMode="External"/><Relationship Id="rId6" Type="http://schemas.openxmlformats.org/officeDocument/2006/relationships/hyperlink" Target="javascript:addOwnedConvertBond('113534');" TargetMode="External"/><Relationship Id="rId238" Type="http://schemas.openxmlformats.org/officeDocument/2006/relationships/hyperlink" Target="https://www.jisilu.cn/question/95518" TargetMode="External"/><Relationship Id="rId445" Type="http://schemas.openxmlformats.org/officeDocument/2006/relationships/hyperlink" Target="https://www.jisilu.cn/data/convert_bond_detail/110033" TargetMode="External"/><Relationship Id="rId652" Type="http://schemas.openxmlformats.org/officeDocument/2006/relationships/hyperlink" Target="https://www.jisilu.cn/question/95518" TargetMode="External"/><Relationship Id="rId1075" Type="http://schemas.openxmlformats.org/officeDocument/2006/relationships/hyperlink" Target="https://www.jisilu.cn/data/convert_bond_detail/128014" TargetMode="External"/><Relationship Id="rId291" Type="http://schemas.openxmlformats.org/officeDocument/2006/relationships/hyperlink" Target="https://www.jisilu.cn/question/95518" TargetMode="External"/><Relationship Id="rId305" Type="http://schemas.openxmlformats.org/officeDocument/2006/relationships/hyperlink" Target="https://www.jisilu.cn/question/95518" TargetMode="External"/><Relationship Id="rId512" Type="http://schemas.openxmlformats.org/officeDocument/2006/relationships/hyperlink" Target="https://www.jisilu.cn/data/stock/603688" TargetMode="External"/><Relationship Id="rId957" Type="http://schemas.openxmlformats.org/officeDocument/2006/relationships/hyperlink" Target="https://www.jisilu.cn/question/95518" TargetMode="External"/><Relationship Id="rId1142" Type="http://schemas.openxmlformats.org/officeDocument/2006/relationships/hyperlink" Target="https://www.jisilu.cn/data/stock/300088" TargetMode="External"/><Relationship Id="rId86" Type="http://schemas.openxmlformats.org/officeDocument/2006/relationships/hyperlink" Target="https://www.jisilu.cn/data/stock/603023" TargetMode="External"/><Relationship Id="rId151" Type="http://schemas.openxmlformats.org/officeDocument/2006/relationships/hyperlink" Target="https://www.jisilu.cn/data/convert_bond_detail/128051" TargetMode="External"/><Relationship Id="rId389" Type="http://schemas.openxmlformats.org/officeDocument/2006/relationships/hyperlink" Target="https://www.jisilu.cn/question/95518" TargetMode="External"/><Relationship Id="rId596" Type="http://schemas.openxmlformats.org/officeDocument/2006/relationships/hyperlink" Target="https://www.jisilu.cn/data/stock/300677" TargetMode="External"/><Relationship Id="rId817" Type="http://schemas.openxmlformats.org/officeDocument/2006/relationships/hyperlink" Target="https://www.jisilu.cn/data/convert_bond_detail/110051" TargetMode="External"/><Relationship Id="rId1002" Type="http://schemas.openxmlformats.org/officeDocument/2006/relationships/hyperlink" Target="javascript:addOwnedConvertBond('132009');" TargetMode="External"/><Relationship Id="rId249" Type="http://schemas.openxmlformats.org/officeDocument/2006/relationships/hyperlink" Target="https://www.jisilu.cn/question/95518" TargetMode="External"/><Relationship Id="rId456" Type="http://schemas.openxmlformats.org/officeDocument/2006/relationships/hyperlink" Target="javascript:addOwnedConvertBond('123004');" TargetMode="External"/><Relationship Id="rId663" Type="http://schemas.openxmlformats.org/officeDocument/2006/relationships/hyperlink" Target="https://www.jisilu.cn/question/95518" TargetMode="External"/><Relationship Id="rId870" Type="http://schemas.openxmlformats.org/officeDocument/2006/relationships/hyperlink" Target="javascript:addOwnedConvertBond('128041');" TargetMode="External"/><Relationship Id="rId1086" Type="http://schemas.openxmlformats.org/officeDocument/2006/relationships/hyperlink" Target="javascript:addOwnedConvertBond('128030');" TargetMode="External"/><Relationship Id="rId13" Type="http://schemas.openxmlformats.org/officeDocument/2006/relationships/hyperlink" Target="https://www.jisilu.cn/data/convert_bond_detail/113546" TargetMode="External"/><Relationship Id="rId109" Type="http://schemas.openxmlformats.org/officeDocument/2006/relationships/hyperlink" Target="https://www.jisilu.cn/data/convert_bond_detail/128063" TargetMode="External"/><Relationship Id="rId316" Type="http://schemas.openxmlformats.org/officeDocument/2006/relationships/hyperlink" Target="https://www.jisilu.cn/question/95518" TargetMode="External"/><Relationship Id="rId523" Type="http://schemas.openxmlformats.org/officeDocument/2006/relationships/hyperlink" Target="https://www.jisilu.cn/data/convert_bond_detail/128033" TargetMode="External"/><Relationship Id="rId968" Type="http://schemas.openxmlformats.org/officeDocument/2006/relationships/hyperlink" Target="https://www.jisilu.cn/data/stock/002013" TargetMode="External"/><Relationship Id="rId1153" Type="http://schemas.openxmlformats.org/officeDocument/2006/relationships/hyperlink" Target="https://www.jisilu.cn/data/convert_bond_detail/128032" TargetMode="External"/><Relationship Id="rId97" Type="http://schemas.openxmlformats.org/officeDocument/2006/relationships/hyperlink" Target="https://www.jisilu.cn/data/convert_bond_detail/113541" TargetMode="External"/><Relationship Id="rId730" Type="http://schemas.openxmlformats.org/officeDocument/2006/relationships/hyperlink" Target="https://www.jisilu.cn/question/95518" TargetMode="External"/><Relationship Id="rId828" Type="http://schemas.openxmlformats.org/officeDocument/2006/relationships/hyperlink" Target="javascript:addOwnedConvertBond('123017');" TargetMode="External"/><Relationship Id="rId1013" Type="http://schemas.openxmlformats.org/officeDocument/2006/relationships/hyperlink" Target="https://www.jisilu.cn/question/95518" TargetMode="External"/><Relationship Id="rId162" Type="http://schemas.openxmlformats.org/officeDocument/2006/relationships/hyperlink" Target="javascript:addOwnedConvertBond('113027');" TargetMode="External"/><Relationship Id="rId467" Type="http://schemas.openxmlformats.org/officeDocument/2006/relationships/hyperlink" Target="https://www.jisilu.cn/question/95518" TargetMode="External"/><Relationship Id="rId1097" Type="http://schemas.openxmlformats.org/officeDocument/2006/relationships/hyperlink" Target="https://www.jisilu.cn/question/95518" TargetMode="External"/><Relationship Id="rId1220" Type="http://schemas.openxmlformats.org/officeDocument/2006/relationships/hyperlink" Target="https://www.jisilu.cn/data/stock/002793" TargetMode="External"/><Relationship Id="rId674" Type="http://schemas.openxmlformats.org/officeDocument/2006/relationships/hyperlink" Target="https://www.jisilu.cn/data/stock/600996" TargetMode="External"/><Relationship Id="rId881" Type="http://schemas.openxmlformats.org/officeDocument/2006/relationships/hyperlink" Target="https://www.jisilu.cn/question/95518" TargetMode="External"/><Relationship Id="rId979" Type="http://schemas.openxmlformats.org/officeDocument/2006/relationships/hyperlink" Target="https://www.jisilu.cn/data/convert_bond_detail/128072" TargetMode="External"/><Relationship Id="rId24" Type="http://schemas.openxmlformats.org/officeDocument/2006/relationships/hyperlink" Target="javascript:delOwnedConvertBond('128076');" TargetMode="External"/><Relationship Id="rId327" Type="http://schemas.openxmlformats.org/officeDocument/2006/relationships/hyperlink" Target="https://www.jisilu.cn/question/95518" TargetMode="External"/><Relationship Id="rId534" Type="http://schemas.openxmlformats.org/officeDocument/2006/relationships/hyperlink" Target="javascript:addOwnedConvertBond('113528');" TargetMode="External"/><Relationship Id="rId741" Type="http://schemas.openxmlformats.org/officeDocument/2006/relationships/hyperlink" Target="https://www.jisilu.cn/question/95518" TargetMode="External"/><Relationship Id="rId839" Type="http://schemas.openxmlformats.org/officeDocument/2006/relationships/hyperlink" Target="https://www.jisilu.cn/question/95518" TargetMode="External"/><Relationship Id="rId1164" Type="http://schemas.openxmlformats.org/officeDocument/2006/relationships/hyperlink" Target="javascript:addOwnedConvertBond('128023');" TargetMode="External"/><Relationship Id="rId173" Type="http://schemas.openxmlformats.org/officeDocument/2006/relationships/hyperlink" Target="https://www.jisilu.cn/question/95518" TargetMode="External"/><Relationship Id="rId380" Type="http://schemas.openxmlformats.org/officeDocument/2006/relationships/hyperlink" Target="https://www.jisilu.cn/data/stock/603588" TargetMode="External"/><Relationship Id="rId601" Type="http://schemas.openxmlformats.org/officeDocument/2006/relationships/hyperlink" Target="https://www.jisilu.cn/data/convert_bond_detail/113028" TargetMode="External"/><Relationship Id="rId1024" Type="http://schemas.openxmlformats.org/officeDocument/2006/relationships/hyperlink" Target="https://www.jisilu.cn/question/95518" TargetMode="External"/><Relationship Id="rId1231" Type="http://schemas.openxmlformats.org/officeDocument/2006/relationships/hyperlink" Target="https://www.jisilu.cn/data/convert_bond_detail/128013" TargetMode="External"/><Relationship Id="rId240" Type="http://schemas.openxmlformats.org/officeDocument/2006/relationships/hyperlink" Target="javascript:addOwnedConvertBond('123027');" TargetMode="External"/><Relationship Id="rId478" Type="http://schemas.openxmlformats.org/officeDocument/2006/relationships/hyperlink" Target="https://www.jisilu.cn/question/95518" TargetMode="External"/><Relationship Id="rId685" Type="http://schemas.openxmlformats.org/officeDocument/2006/relationships/hyperlink" Target="https://www.jisilu.cn/data/convert_bond_detail/110055" TargetMode="External"/><Relationship Id="rId892" Type="http://schemas.openxmlformats.org/officeDocument/2006/relationships/hyperlink" Target="https://www.jisilu.cn/question/95518" TargetMode="External"/><Relationship Id="rId906" Type="http://schemas.openxmlformats.org/officeDocument/2006/relationships/hyperlink" Target="javascript:addOwnedConvertBond('128080');" TargetMode="External"/><Relationship Id="rId35" Type="http://schemas.openxmlformats.org/officeDocument/2006/relationships/hyperlink" Target="https://www.jisilu.cn/question/95518" TargetMode="External"/><Relationship Id="rId100" Type="http://schemas.openxmlformats.org/officeDocument/2006/relationships/hyperlink" Target="https://www.jisilu.cn/question/95518" TargetMode="External"/><Relationship Id="rId338" Type="http://schemas.openxmlformats.org/officeDocument/2006/relationships/hyperlink" Target="https://www.jisilu.cn/data/stock/603113" TargetMode="External"/><Relationship Id="rId545" Type="http://schemas.openxmlformats.org/officeDocument/2006/relationships/hyperlink" Target="https://www.jisilu.cn/question/95518" TargetMode="External"/><Relationship Id="rId752" Type="http://schemas.openxmlformats.org/officeDocument/2006/relationships/hyperlink" Target="https://www.jisilu.cn/data/stock/002174" TargetMode="External"/><Relationship Id="rId1175" Type="http://schemas.openxmlformats.org/officeDocument/2006/relationships/hyperlink" Target="https://www.jisilu.cn/question/95518" TargetMode="External"/><Relationship Id="rId184" Type="http://schemas.openxmlformats.org/officeDocument/2006/relationships/hyperlink" Target="https://www.jisilu.cn/question/95518" TargetMode="External"/><Relationship Id="rId391" Type="http://schemas.openxmlformats.org/officeDocument/2006/relationships/hyperlink" Target="https://www.jisilu.cn/data/convert_bond_detail/132014" TargetMode="External"/><Relationship Id="rId405" Type="http://schemas.openxmlformats.org/officeDocument/2006/relationships/hyperlink" Target="https://www.jisilu.cn/question/95518" TargetMode="External"/><Relationship Id="rId612" Type="http://schemas.openxmlformats.org/officeDocument/2006/relationships/hyperlink" Target="javascript:addOwnedConvertBond('128021');" TargetMode="External"/><Relationship Id="rId1035" Type="http://schemas.openxmlformats.org/officeDocument/2006/relationships/hyperlink" Target="https://www.jisilu.cn/question/95518" TargetMode="External"/><Relationship Id="rId1242" Type="http://schemas.openxmlformats.org/officeDocument/2006/relationships/hyperlink" Target="javascript:addOwnedConvertBond('128010');" TargetMode="External"/><Relationship Id="rId251" Type="http://schemas.openxmlformats.org/officeDocument/2006/relationships/hyperlink" Target="https://www.jisilu.cn/question/95518" TargetMode="External"/><Relationship Id="rId489" Type="http://schemas.openxmlformats.org/officeDocument/2006/relationships/hyperlink" Target="https://www.jisilu.cn/question/95518" TargetMode="External"/><Relationship Id="rId696" Type="http://schemas.openxmlformats.org/officeDocument/2006/relationships/hyperlink" Target="javascript:addOwnedConvertBond('113510');" TargetMode="External"/><Relationship Id="rId917" Type="http://schemas.openxmlformats.org/officeDocument/2006/relationships/hyperlink" Target="https://www.jisilu.cn/question/95518" TargetMode="External"/><Relationship Id="rId1102" Type="http://schemas.openxmlformats.org/officeDocument/2006/relationships/hyperlink" Target="https://www.jisilu.cn/question/95518" TargetMode="External"/><Relationship Id="rId46" Type="http://schemas.openxmlformats.org/officeDocument/2006/relationships/hyperlink" Target="https://www.jisilu.cn/question/95518" TargetMode="External"/><Relationship Id="rId349" Type="http://schemas.openxmlformats.org/officeDocument/2006/relationships/hyperlink" Target="https://www.jisilu.cn/data/convert_bond_detail/128044" TargetMode="External"/><Relationship Id="rId556" Type="http://schemas.openxmlformats.org/officeDocument/2006/relationships/hyperlink" Target="https://www.jisilu.cn/question/95518" TargetMode="External"/><Relationship Id="rId763" Type="http://schemas.openxmlformats.org/officeDocument/2006/relationships/hyperlink" Target="https://www.jisilu.cn/data/convert_bond_detail/110042" TargetMode="External"/><Relationship Id="rId1186" Type="http://schemas.openxmlformats.org/officeDocument/2006/relationships/hyperlink" Target="https://www.jisilu.cn/question/95518" TargetMode="External"/><Relationship Id="rId111" Type="http://schemas.openxmlformats.org/officeDocument/2006/relationships/hyperlink" Target="https://www.jisilu.cn/question/95518" TargetMode="External"/><Relationship Id="rId195" Type="http://schemas.openxmlformats.org/officeDocument/2006/relationships/hyperlink" Target="https://www.jisilu.cn/question/95518" TargetMode="External"/><Relationship Id="rId209" Type="http://schemas.openxmlformats.org/officeDocument/2006/relationships/hyperlink" Target="https://www.jisilu.cn/question/95518" TargetMode="External"/><Relationship Id="rId416" Type="http://schemas.openxmlformats.org/officeDocument/2006/relationships/hyperlink" Target="https://www.jisilu.cn/data/stock/603989" TargetMode="External"/><Relationship Id="rId970" Type="http://schemas.openxmlformats.org/officeDocument/2006/relationships/hyperlink" Target="https://www.jisilu.cn/question/95518" TargetMode="External"/><Relationship Id="rId1046" Type="http://schemas.openxmlformats.org/officeDocument/2006/relationships/hyperlink" Target="https://www.jisilu.cn/data/stock/601611" TargetMode="External"/><Relationship Id="rId1253" Type="http://schemas.openxmlformats.org/officeDocument/2006/relationships/hyperlink" Target="https://www.jisilu.cn/question/95518" TargetMode="External"/><Relationship Id="rId623" Type="http://schemas.openxmlformats.org/officeDocument/2006/relationships/hyperlink" Target="https://www.jisilu.cn/question/95518" TargetMode="External"/><Relationship Id="rId830" Type="http://schemas.openxmlformats.org/officeDocument/2006/relationships/hyperlink" Target="https://www.jisilu.cn/data/stock/601985" TargetMode="External"/><Relationship Id="rId928" Type="http://schemas.openxmlformats.org/officeDocument/2006/relationships/hyperlink" Target="https://www.jisilu.cn/question/95518" TargetMode="External"/><Relationship Id="rId57" Type="http://schemas.openxmlformats.org/officeDocument/2006/relationships/hyperlink" Target="https://www.jisilu.cn/question/95518" TargetMode="External"/><Relationship Id="rId262" Type="http://schemas.openxmlformats.org/officeDocument/2006/relationships/hyperlink" Target="https://www.jisilu.cn/question/95518" TargetMode="External"/><Relationship Id="rId567" Type="http://schemas.openxmlformats.org/officeDocument/2006/relationships/hyperlink" Target="https://www.jisilu.cn/question/95518" TargetMode="External"/><Relationship Id="rId1113" Type="http://schemas.openxmlformats.org/officeDocument/2006/relationships/hyperlink" Target="https://www.jisilu.cn/question/95518" TargetMode="External"/><Relationship Id="rId1197" Type="http://schemas.openxmlformats.org/officeDocument/2006/relationships/hyperlink" Target="https://www.jisilu.cn/question/95518" TargetMode="External"/><Relationship Id="rId122" Type="http://schemas.openxmlformats.org/officeDocument/2006/relationships/hyperlink" Target="https://www.jisilu.cn/data/stock/300393" TargetMode="External"/><Relationship Id="rId774" Type="http://schemas.openxmlformats.org/officeDocument/2006/relationships/hyperlink" Target="javascript:addOwnedConvertBond('128018');" TargetMode="External"/><Relationship Id="rId981" Type="http://schemas.openxmlformats.org/officeDocument/2006/relationships/hyperlink" Target="https://www.jisilu.cn/question/95518" TargetMode="External"/><Relationship Id="rId1057" Type="http://schemas.openxmlformats.org/officeDocument/2006/relationships/hyperlink" Target="https://www.jisilu.cn/data/convert_bond_detail/132015" TargetMode="External"/><Relationship Id="rId427" Type="http://schemas.openxmlformats.org/officeDocument/2006/relationships/hyperlink" Target="https://www.jisilu.cn/data/convert_bond_detail/127007" TargetMode="External"/><Relationship Id="rId634" Type="http://schemas.openxmlformats.org/officeDocument/2006/relationships/hyperlink" Target="https://www.jisilu.cn/question/95518" TargetMode="External"/><Relationship Id="rId841" Type="http://schemas.openxmlformats.org/officeDocument/2006/relationships/hyperlink" Target="https://www.jisilu.cn/data/convert_bond_detail/110059" TargetMode="External"/><Relationship Id="rId273" Type="http://schemas.openxmlformats.org/officeDocument/2006/relationships/hyperlink" Target="https://www.jisilu.cn/question/95518" TargetMode="External"/><Relationship Id="rId480" Type="http://schemas.openxmlformats.org/officeDocument/2006/relationships/hyperlink" Target="javascript:addOwnedConvertBond('128019');" TargetMode="External"/><Relationship Id="rId701" Type="http://schemas.openxmlformats.org/officeDocument/2006/relationships/hyperlink" Target="https://www.jisilu.cn/question/95518" TargetMode="External"/><Relationship Id="rId939" Type="http://schemas.openxmlformats.org/officeDocument/2006/relationships/hyperlink" Target="https://www.jisilu.cn/question/95518" TargetMode="External"/><Relationship Id="rId1124" Type="http://schemas.openxmlformats.org/officeDocument/2006/relationships/hyperlink" Target="https://www.jisilu.cn/data/stock/600170" TargetMode="External"/><Relationship Id="rId68" Type="http://schemas.openxmlformats.org/officeDocument/2006/relationships/hyperlink" Target="https://www.jisilu.cn/data/stock/300692" TargetMode="External"/><Relationship Id="rId133" Type="http://schemas.openxmlformats.org/officeDocument/2006/relationships/hyperlink" Target="https://www.jisilu.cn/data/convert_bond_detail/113550" TargetMode="External"/><Relationship Id="rId340" Type="http://schemas.openxmlformats.org/officeDocument/2006/relationships/hyperlink" Target="https://www.jisilu.cn/question/95518" TargetMode="External"/><Relationship Id="rId578" Type="http://schemas.openxmlformats.org/officeDocument/2006/relationships/hyperlink" Target="https://www.jisilu.cn/data/stock/002865" TargetMode="External"/><Relationship Id="rId785" Type="http://schemas.openxmlformats.org/officeDocument/2006/relationships/hyperlink" Target="https://www.jisilu.cn/question/95518" TargetMode="External"/><Relationship Id="rId992" Type="http://schemas.openxmlformats.org/officeDocument/2006/relationships/hyperlink" Target="https://www.jisilu.cn/data/stock/000783" TargetMode="External"/><Relationship Id="rId200" Type="http://schemas.openxmlformats.org/officeDocument/2006/relationships/hyperlink" Target="https://www.jisilu.cn/data/stock/603348" TargetMode="External"/><Relationship Id="rId438" Type="http://schemas.openxmlformats.org/officeDocument/2006/relationships/hyperlink" Target="javascript:addOwnedConvertBond('110050');" TargetMode="External"/><Relationship Id="rId645" Type="http://schemas.openxmlformats.org/officeDocument/2006/relationships/hyperlink" Target="https://www.jisilu.cn/question/95518" TargetMode="External"/><Relationship Id="rId852" Type="http://schemas.openxmlformats.org/officeDocument/2006/relationships/hyperlink" Target="javascript:addOwnedConvertBond('123025');" TargetMode="External"/><Relationship Id="rId1068" Type="http://schemas.openxmlformats.org/officeDocument/2006/relationships/hyperlink" Target="javascript:addOwnedConvertBond('128015');" TargetMode="External"/><Relationship Id="rId284" Type="http://schemas.openxmlformats.org/officeDocument/2006/relationships/hyperlink" Target="https://www.jisilu.cn/data/stock/000861" TargetMode="External"/><Relationship Id="rId491" Type="http://schemas.openxmlformats.org/officeDocument/2006/relationships/hyperlink" Target="https://www.jisilu.cn/question/95518" TargetMode="External"/><Relationship Id="rId505" Type="http://schemas.openxmlformats.org/officeDocument/2006/relationships/hyperlink" Target="https://www.jisilu.cn/data/convert_bond_detail/113522" TargetMode="External"/><Relationship Id="rId712" Type="http://schemas.openxmlformats.org/officeDocument/2006/relationships/hyperlink" Target="https://www.jisilu.cn/question/95518" TargetMode="External"/><Relationship Id="rId1135" Type="http://schemas.openxmlformats.org/officeDocument/2006/relationships/hyperlink" Target="https://www.jisilu.cn/data/convert_bond_detail/128035" TargetMode="External"/><Relationship Id="rId79" Type="http://schemas.openxmlformats.org/officeDocument/2006/relationships/hyperlink" Target="https://www.jisilu.cn/data/convert_bond_detail/128079" TargetMode="External"/><Relationship Id="rId144" Type="http://schemas.openxmlformats.org/officeDocument/2006/relationships/hyperlink" Target="javascript:addOwnedConvertBond('132018');" TargetMode="External"/><Relationship Id="rId589" Type="http://schemas.openxmlformats.org/officeDocument/2006/relationships/hyperlink" Target="https://www.jisilu.cn/data/convert_bond_detail/110060" TargetMode="External"/><Relationship Id="rId796" Type="http://schemas.openxmlformats.org/officeDocument/2006/relationships/hyperlink" Target="https://www.jisilu.cn/question/95518" TargetMode="External"/><Relationship Id="rId1202" Type="http://schemas.openxmlformats.org/officeDocument/2006/relationships/hyperlink" Target="https://www.jisilu.cn/data/stock/002542" TargetMode="External"/><Relationship Id="rId351" Type="http://schemas.openxmlformats.org/officeDocument/2006/relationships/hyperlink" Target="https://www.jisilu.cn/question/95518" TargetMode="External"/><Relationship Id="rId449" Type="http://schemas.openxmlformats.org/officeDocument/2006/relationships/hyperlink" Target="https://www.jisilu.cn/question/95518" TargetMode="External"/><Relationship Id="rId656" Type="http://schemas.openxmlformats.org/officeDocument/2006/relationships/hyperlink" Target="https://www.jisilu.cn/data/stock/603738" TargetMode="External"/><Relationship Id="rId863" Type="http://schemas.openxmlformats.org/officeDocument/2006/relationships/hyperlink" Target="https://www.jisilu.cn/question/95518" TargetMode="External"/><Relationship Id="rId1079" Type="http://schemas.openxmlformats.org/officeDocument/2006/relationships/hyperlink" Target="https://www.jisilu.cn/question/95518" TargetMode="External"/><Relationship Id="rId211" Type="http://schemas.openxmlformats.org/officeDocument/2006/relationships/hyperlink" Target="https://www.jisilu.cn/data/convert_bond_detail/128075" TargetMode="External"/><Relationship Id="rId295" Type="http://schemas.openxmlformats.org/officeDocument/2006/relationships/hyperlink" Target="https://www.jisilu.cn/data/convert_bond_detail/123033" TargetMode="External"/><Relationship Id="rId309" Type="http://schemas.openxmlformats.org/officeDocument/2006/relationships/hyperlink" Target="https://www.jisilu.cn/question/95518" TargetMode="External"/><Relationship Id="rId516" Type="http://schemas.openxmlformats.org/officeDocument/2006/relationships/hyperlink" Target="javascript:addOwnedConvertBond('113548');" TargetMode="External"/><Relationship Id="rId1146" Type="http://schemas.openxmlformats.org/officeDocument/2006/relationships/hyperlink" Target="javascript:addOwnedConvertBond('123022');" TargetMode="External"/><Relationship Id="rId723" Type="http://schemas.openxmlformats.org/officeDocument/2006/relationships/hyperlink" Target="https://www.jisilu.cn/question/95518" TargetMode="External"/><Relationship Id="rId930" Type="http://schemas.openxmlformats.org/officeDocument/2006/relationships/hyperlink" Target="javascript:addOwnedConvertBond('110062');" TargetMode="External"/><Relationship Id="rId1006" Type="http://schemas.openxmlformats.org/officeDocument/2006/relationships/hyperlink" Target="https://www.jisilu.cn/question/95518" TargetMode="External"/><Relationship Id="rId155" Type="http://schemas.openxmlformats.org/officeDocument/2006/relationships/hyperlink" Target="https://www.jisilu.cn/question/95518" TargetMode="External"/><Relationship Id="rId362" Type="http://schemas.openxmlformats.org/officeDocument/2006/relationships/hyperlink" Target="https://www.jisilu.cn/data/stock/603568" TargetMode="External"/><Relationship Id="rId1213" Type="http://schemas.openxmlformats.org/officeDocument/2006/relationships/hyperlink" Target="https://www.jisilu.cn/data/convert_bond_detail/128062" TargetMode="External"/><Relationship Id="rId222" Type="http://schemas.openxmlformats.org/officeDocument/2006/relationships/hyperlink" Target="javascript:addOwnedConvertBond('113521');" TargetMode="External"/><Relationship Id="rId667" Type="http://schemas.openxmlformats.org/officeDocument/2006/relationships/hyperlink" Target="https://www.jisilu.cn/data/convert_bond_detail/110057" TargetMode="External"/><Relationship Id="rId874" Type="http://schemas.openxmlformats.org/officeDocument/2006/relationships/hyperlink" Target="https://www.jisilu.cn/question/95518" TargetMode="External"/><Relationship Id="rId17" Type="http://schemas.openxmlformats.org/officeDocument/2006/relationships/hyperlink" Target="https://www.jisilu.cn/question/95518" TargetMode="External"/><Relationship Id="rId527" Type="http://schemas.openxmlformats.org/officeDocument/2006/relationships/hyperlink" Target="https://www.jisilu.cn/question/95518" TargetMode="External"/><Relationship Id="rId734" Type="http://schemas.openxmlformats.org/officeDocument/2006/relationships/hyperlink" Target="https://www.jisilu.cn/data/stock/601818" TargetMode="External"/><Relationship Id="rId941" Type="http://schemas.openxmlformats.org/officeDocument/2006/relationships/hyperlink" Target="https://www.jisilu.cn/question/95518" TargetMode="External"/><Relationship Id="rId1157" Type="http://schemas.openxmlformats.org/officeDocument/2006/relationships/hyperlink" Target="https://www.jisilu.cn/question/95518" TargetMode="External"/><Relationship Id="rId70" Type="http://schemas.openxmlformats.org/officeDocument/2006/relationships/hyperlink" Target="https://www.jisilu.cn/question/95518" TargetMode="External"/><Relationship Id="rId166" Type="http://schemas.openxmlformats.org/officeDocument/2006/relationships/hyperlink" Target="https://www.jisilu.cn/question/95518" TargetMode="External"/><Relationship Id="rId373" Type="http://schemas.openxmlformats.org/officeDocument/2006/relationships/hyperlink" Target="https://www.jisilu.cn/data/convert_bond_detail/113540" TargetMode="External"/><Relationship Id="rId580" Type="http://schemas.openxmlformats.org/officeDocument/2006/relationships/hyperlink" Target="https://www.jisilu.cn/question/95518" TargetMode="External"/><Relationship Id="rId801" Type="http://schemas.openxmlformats.org/officeDocument/2006/relationships/hyperlink" Target="https://www.jisilu.cn/question/95518" TargetMode="External"/><Relationship Id="rId1017" Type="http://schemas.openxmlformats.org/officeDocument/2006/relationships/hyperlink" Target="https://www.jisilu.cn/question/95518" TargetMode="External"/><Relationship Id="rId1224" Type="http://schemas.openxmlformats.org/officeDocument/2006/relationships/hyperlink" Target="javascript:addOwnedConvertBond('128043');" TargetMode="External"/><Relationship Id="rId1" Type="http://schemas.openxmlformats.org/officeDocument/2006/relationships/hyperlink" Target="https://www.jisilu.cn/data/convert_bond_detail/113534" TargetMode="External"/><Relationship Id="rId233" Type="http://schemas.openxmlformats.org/officeDocument/2006/relationships/hyperlink" Target="https://www.jisilu.cn/question/95518" TargetMode="External"/><Relationship Id="rId440" Type="http://schemas.openxmlformats.org/officeDocument/2006/relationships/hyperlink" Target="https://www.jisilu.cn/data/stock/603612" TargetMode="External"/><Relationship Id="rId678" Type="http://schemas.openxmlformats.org/officeDocument/2006/relationships/hyperlink" Target="javascript:addOwnedConvertBond('110052');" TargetMode="External"/><Relationship Id="rId885" Type="http://schemas.openxmlformats.org/officeDocument/2006/relationships/hyperlink" Target="https://www.jisilu.cn/question/95518" TargetMode="External"/><Relationship Id="rId1070" Type="http://schemas.openxmlformats.org/officeDocument/2006/relationships/hyperlink" Target="https://www.jisilu.cn/data/stock/601211" TargetMode="External"/><Relationship Id="rId28" Type="http://schemas.openxmlformats.org/officeDocument/2006/relationships/hyperlink" Target="https://www.jisilu.cn/question/95518" TargetMode="External"/><Relationship Id="rId300" Type="http://schemas.openxmlformats.org/officeDocument/2006/relationships/hyperlink" Target="javascript:addOwnedConvertBond('123033');" TargetMode="External"/><Relationship Id="rId538" Type="http://schemas.openxmlformats.org/officeDocument/2006/relationships/hyperlink" Target="https://www.jisilu.cn/question/95518" TargetMode="External"/><Relationship Id="rId745" Type="http://schemas.openxmlformats.org/officeDocument/2006/relationships/hyperlink" Target="https://www.jisilu.cn/data/convert_bond_detail/113535" TargetMode="External"/><Relationship Id="rId952" Type="http://schemas.openxmlformats.org/officeDocument/2006/relationships/hyperlink" Target="https://www.jisilu.cn/question/95518" TargetMode="External"/><Relationship Id="rId1168" Type="http://schemas.openxmlformats.org/officeDocument/2006/relationships/hyperlink" Target="https://www.jisilu.cn/question/95518" TargetMode="External"/><Relationship Id="rId81" Type="http://schemas.openxmlformats.org/officeDocument/2006/relationships/hyperlink" Target="https://www.jisilu.cn/question/95518" TargetMode="External"/><Relationship Id="rId177" Type="http://schemas.openxmlformats.org/officeDocument/2006/relationships/hyperlink" Target="https://www.jisilu.cn/question/95518" TargetMode="External"/><Relationship Id="rId384" Type="http://schemas.openxmlformats.org/officeDocument/2006/relationships/hyperlink" Target="javascript:addOwnedConvertBond('113515');" TargetMode="External"/><Relationship Id="rId591" Type="http://schemas.openxmlformats.org/officeDocument/2006/relationships/hyperlink" Target="https://www.jisilu.cn/question/95518" TargetMode="External"/><Relationship Id="rId605" Type="http://schemas.openxmlformats.org/officeDocument/2006/relationships/hyperlink" Target="https://www.jisilu.cn/question/95518" TargetMode="External"/><Relationship Id="rId812" Type="http://schemas.openxmlformats.org/officeDocument/2006/relationships/hyperlink" Target="https://www.jisilu.cn/data/stock/300296" TargetMode="External"/><Relationship Id="rId1028" Type="http://schemas.openxmlformats.org/officeDocument/2006/relationships/hyperlink" Target="https://www.jisilu.cn/data/stock/600831" TargetMode="External"/><Relationship Id="rId1235" Type="http://schemas.openxmlformats.org/officeDocument/2006/relationships/hyperlink" Target="https://www.jisilu.cn/question/95518" TargetMode="External"/><Relationship Id="rId244" Type="http://schemas.openxmlformats.org/officeDocument/2006/relationships/hyperlink" Target="https://www.jisilu.cn/question/95518" TargetMode="External"/><Relationship Id="rId689" Type="http://schemas.openxmlformats.org/officeDocument/2006/relationships/hyperlink" Target="https://www.jisilu.cn/question/95518" TargetMode="External"/><Relationship Id="rId896" Type="http://schemas.openxmlformats.org/officeDocument/2006/relationships/hyperlink" Target="https://www.jisilu.cn/data/stock/601127" TargetMode="External"/><Relationship Id="rId1081" Type="http://schemas.openxmlformats.org/officeDocument/2006/relationships/hyperlink" Target="https://www.jisilu.cn/data/convert_bond_detail/128030" TargetMode="External"/><Relationship Id="rId39" Type="http://schemas.openxmlformats.org/officeDocument/2006/relationships/hyperlink" Target="https://www.jisilu.cn/question/95518" TargetMode="External"/><Relationship Id="rId451" Type="http://schemas.openxmlformats.org/officeDocument/2006/relationships/hyperlink" Target="https://www.jisilu.cn/data/convert_bond_detail/123004" TargetMode="External"/><Relationship Id="rId549" Type="http://schemas.openxmlformats.org/officeDocument/2006/relationships/hyperlink" Target="https://www.jisilu.cn/question/95518" TargetMode="External"/><Relationship Id="rId756" Type="http://schemas.openxmlformats.org/officeDocument/2006/relationships/hyperlink" Target="javascript:addOwnedConvertBond('128074');" TargetMode="External"/><Relationship Id="rId1179" Type="http://schemas.openxmlformats.org/officeDocument/2006/relationships/hyperlink" Target="https://www.jisilu.cn/question/95518" TargetMode="External"/><Relationship Id="rId104" Type="http://schemas.openxmlformats.org/officeDocument/2006/relationships/hyperlink" Target="https://www.jisilu.cn/data/stock/002877" TargetMode="External"/><Relationship Id="rId188" Type="http://schemas.openxmlformats.org/officeDocument/2006/relationships/hyperlink" Target="https://www.jisilu.cn/data/stock/002928" TargetMode="External"/><Relationship Id="rId311" Type="http://schemas.openxmlformats.org/officeDocument/2006/relationships/hyperlink" Target="https://www.jisilu.cn/question/95518" TargetMode="External"/><Relationship Id="rId395" Type="http://schemas.openxmlformats.org/officeDocument/2006/relationships/hyperlink" Target="https://www.jisilu.cn/question/95518" TargetMode="External"/><Relationship Id="rId409" Type="http://schemas.openxmlformats.org/officeDocument/2006/relationships/hyperlink" Target="https://www.jisilu.cn/data/convert_bond_detail/123011" TargetMode="External"/><Relationship Id="rId963" Type="http://schemas.openxmlformats.org/officeDocument/2006/relationships/hyperlink" Target="https://www.jisilu.cn/question/95518" TargetMode="External"/><Relationship Id="rId1039" Type="http://schemas.openxmlformats.org/officeDocument/2006/relationships/hyperlink" Target="https://www.jisilu.cn/data/convert_bond_detail/113012" TargetMode="External"/><Relationship Id="rId1246" Type="http://schemas.openxmlformats.org/officeDocument/2006/relationships/hyperlink" Target="https://www.jisilu.cn/question/95518" TargetMode="External"/><Relationship Id="rId92" Type="http://schemas.openxmlformats.org/officeDocument/2006/relationships/hyperlink" Target="https://www.jisilu.cn/data/stock/002203" TargetMode="External"/><Relationship Id="rId616" Type="http://schemas.openxmlformats.org/officeDocument/2006/relationships/hyperlink" Target="https://www.jisilu.cn/question/95518" TargetMode="External"/><Relationship Id="rId823" Type="http://schemas.openxmlformats.org/officeDocument/2006/relationships/hyperlink" Target="https://www.jisilu.cn/data/convert_bond_detail/123017" TargetMode="External"/><Relationship Id="rId255" Type="http://schemas.openxmlformats.org/officeDocument/2006/relationships/hyperlink" Target="https://www.jisilu.cn/question/95518" TargetMode="External"/><Relationship Id="rId462" Type="http://schemas.openxmlformats.org/officeDocument/2006/relationships/hyperlink" Target="javascript:addOwnedConvertBond('110056');" TargetMode="External"/><Relationship Id="rId1092" Type="http://schemas.openxmlformats.org/officeDocument/2006/relationships/hyperlink" Target="javascript:addOwnedConvertBond('123031');" TargetMode="External"/><Relationship Id="rId1106" Type="http://schemas.openxmlformats.org/officeDocument/2006/relationships/hyperlink" Target="https://www.jisilu.cn/data/stock/601238" TargetMode="External"/><Relationship Id="rId115" Type="http://schemas.openxmlformats.org/officeDocument/2006/relationships/hyperlink" Target="https://www.jisilu.cn/data/convert_bond_detail/128039" TargetMode="External"/><Relationship Id="rId322" Type="http://schemas.openxmlformats.org/officeDocument/2006/relationships/hyperlink" Target="https://www.jisilu.cn/question/95518" TargetMode="External"/><Relationship Id="rId767" Type="http://schemas.openxmlformats.org/officeDocument/2006/relationships/hyperlink" Target="https://www.jisilu.cn/question/95518" TargetMode="External"/><Relationship Id="rId974" Type="http://schemas.openxmlformats.org/officeDocument/2006/relationships/hyperlink" Target="https://www.jisilu.cn/data/stock/002823" TargetMode="External"/><Relationship Id="rId199" Type="http://schemas.openxmlformats.org/officeDocument/2006/relationships/hyperlink" Target="https://www.jisilu.cn/data/convert_bond_detail/113537" TargetMode="External"/><Relationship Id="rId627" Type="http://schemas.openxmlformats.org/officeDocument/2006/relationships/hyperlink" Target="https://www.jisilu.cn/question/95518" TargetMode="External"/><Relationship Id="rId834" Type="http://schemas.openxmlformats.org/officeDocument/2006/relationships/hyperlink" Target="javascript:addOwnedConvertBond('113026');" TargetMode="External"/><Relationship Id="rId266" Type="http://schemas.openxmlformats.org/officeDocument/2006/relationships/hyperlink" Target="https://www.jisilu.cn/data/stock/002391" TargetMode="External"/><Relationship Id="rId473" Type="http://schemas.openxmlformats.org/officeDocument/2006/relationships/hyperlink" Target="https://www.jisilu.cn/question/95518" TargetMode="External"/><Relationship Id="rId680" Type="http://schemas.openxmlformats.org/officeDocument/2006/relationships/hyperlink" Target="https://www.jisilu.cn/data/stock/601601" TargetMode="External"/><Relationship Id="rId901" Type="http://schemas.openxmlformats.org/officeDocument/2006/relationships/hyperlink" Target="https://www.jisilu.cn/data/convert_bond_detail/128080" TargetMode="External"/><Relationship Id="rId1117" Type="http://schemas.openxmlformats.org/officeDocument/2006/relationships/hyperlink" Target="https://www.jisilu.cn/data/convert_bond_detail/128038" TargetMode="External"/><Relationship Id="rId30" Type="http://schemas.openxmlformats.org/officeDocument/2006/relationships/hyperlink" Target="javascript:delOwnedConvertBond('128049');" TargetMode="External"/><Relationship Id="rId126" Type="http://schemas.openxmlformats.org/officeDocument/2006/relationships/hyperlink" Target="javascript:addOwnedConvertBond('123019');" TargetMode="External"/><Relationship Id="rId333" Type="http://schemas.openxmlformats.org/officeDocument/2006/relationships/hyperlink" Target="https://www.jisilu.cn/question/95518" TargetMode="External"/><Relationship Id="rId540" Type="http://schemas.openxmlformats.org/officeDocument/2006/relationships/hyperlink" Target="javascript:addOwnedConvertBond('127014');" TargetMode="External"/><Relationship Id="rId778" Type="http://schemas.openxmlformats.org/officeDocument/2006/relationships/hyperlink" Target="https://www.jisilu.cn/question/95518" TargetMode="External"/><Relationship Id="rId985" Type="http://schemas.openxmlformats.org/officeDocument/2006/relationships/hyperlink" Target="https://www.jisilu.cn/data/convert_bond_detail/128067" TargetMode="External"/><Relationship Id="rId1170" Type="http://schemas.openxmlformats.org/officeDocument/2006/relationships/hyperlink" Target="javascript:addOwnedConvertBond('128052');" TargetMode="External"/><Relationship Id="rId638" Type="http://schemas.openxmlformats.org/officeDocument/2006/relationships/hyperlink" Target="https://www.jisilu.cn/data/stock/300232" TargetMode="External"/><Relationship Id="rId845" Type="http://schemas.openxmlformats.org/officeDocument/2006/relationships/hyperlink" Target="https://www.jisilu.cn/question/95518" TargetMode="External"/><Relationship Id="rId1030" Type="http://schemas.openxmlformats.org/officeDocument/2006/relationships/hyperlink" Target="https://www.jisilu.cn/question/95518" TargetMode="External"/><Relationship Id="rId277" Type="http://schemas.openxmlformats.org/officeDocument/2006/relationships/hyperlink" Target="https://www.jisilu.cn/data/convert_bond_detail/123024" TargetMode="External"/><Relationship Id="rId400" Type="http://schemas.openxmlformats.org/officeDocument/2006/relationships/hyperlink" Target="https://www.jisilu.cn/question/95518" TargetMode="External"/><Relationship Id="rId484" Type="http://schemas.openxmlformats.org/officeDocument/2006/relationships/hyperlink" Target="https://www.jisilu.cn/question/95518" TargetMode="External"/><Relationship Id="rId705" Type="http://schemas.openxmlformats.org/officeDocument/2006/relationships/hyperlink" Target="https://www.jisilu.cn/question/95518" TargetMode="External"/><Relationship Id="rId1128" Type="http://schemas.openxmlformats.org/officeDocument/2006/relationships/hyperlink" Target="javascript:addOwnedConvertBond('132004');" TargetMode="External"/><Relationship Id="rId137" Type="http://schemas.openxmlformats.org/officeDocument/2006/relationships/hyperlink" Target="https://www.jisilu.cn/question/95518" TargetMode="External"/><Relationship Id="rId344" Type="http://schemas.openxmlformats.org/officeDocument/2006/relationships/hyperlink" Target="https://www.jisilu.cn/data/stock/300297" TargetMode="External"/><Relationship Id="rId691" Type="http://schemas.openxmlformats.org/officeDocument/2006/relationships/hyperlink" Target="https://www.jisilu.cn/data/convert_bond_detail/113510" TargetMode="External"/><Relationship Id="rId789" Type="http://schemas.openxmlformats.org/officeDocument/2006/relationships/hyperlink" Target="https://www.jisilu.cn/question/95518" TargetMode="External"/><Relationship Id="rId912" Type="http://schemas.openxmlformats.org/officeDocument/2006/relationships/hyperlink" Target="javascript:addOwnedConvertBond('110061');" TargetMode="External"/><Relationship Id="rId996" Type="http://schemas.openxmlformats.org/officeDocument/2006/relationships/hyperlink" Target="javascript:addOwnedConvertBond('127005');" TargetMode="External"/><Relationship Id="rId41" Type="http://schemas.openxmlformats.org/officeDocument/2006/relationships/hyperlink" Target="https://www.jisilu.cn/question/95518" TargetMode="External"/><Relationship Id="rId551" Type="http://schemas.openxmlformats.org/officeDocument/2006/relationships/hyperlink" Target="https://www.jisilu.cn/question/95518" TargetMode="External"/><Relationship Id="rId649" Type="http://schemas.openxmlformats.org/officeDocument/2006/relationships/hyperlink" Target="https://www.jisilu.cn/data/convert_bond_detail/128058" TargetMode="External"/><Relationship Id="rId856" Type="http://schemas.openxmlformats.org/officeDocument/2006/relationships/hyperlink" Target="https://www.jisilu.cn/question/95518" TargetMode="External"/><Relationship Id="rId1181" Type="http://schemas.openxmlformats.org/officeDocument/2006/relationships/hyperlink" Target="https://www.jisilu.cn/question/95518" TargetMode="External"/><Relationship Id="rId190" Type="http://schemas.openxmlformats.org/officeDocument/2006/relationships/hyperlink" Target="https://www.jisilu.cn/question/95518" TargetMode="External"/><Relationship Id="rId204" Type="http://schemas.openxmlformats.org/officeDocument/2006/relationships/hyperlink" Target="javascript:addOwnedConvertBond('113537');" TargetMode="External"/><Relationship Id="rId288" Type="http://schemas.openxmlformats.org/officeDocument/2006/relationships/hyperlink" Target="javascript:addOwnedConvertBond('127003');" TargetMode="External"/><Relationship Id="rId411" Type="http://schemas.openxmlformats.org/officeDocument/2006/relationships/hyperlink" Target="https://www.jisilu.cn/question/95518" TargetMode="External"/><Relationship Id="rId509" Type="http://schemas.openxmlformats.org/officeDocument/2006/relationships/hyperlink" Target="https://www.jisilu.cn/question/95518" TargetMode="External"/><Relationship Id="rId1041" Type="http://schemas.openxmlformats.org/officeDocument/2006/relationships/hyperlink" Target="https://www.jisilu.cn/question/95518" TargetMode="External"/><Relationship Id="rId1139" Type="http://schemas.openxmlformats.org/officeDocument/2006/relationships/hyperlink" Target="https://www.jisilu.cn/question/95518" TargetMode="External"/><Relationship Id="rId495" Type="http://schemas.openxmlformats.org/officeDocument/2006/relationships/hyperlink" Target="https://www.jisilu.cn/question/95518" TargetMode="External"/><Relationship Id="rId716" Type="http://schemas.openxmlformats.org/officeDocument/2006/relationships/hyperlink" Target="https://www.jisilu.cn/data/stock/300433" TargetMode="External"/><Relationship Id="rId923" Type="http://schemas.openxmlformats.org/officeDocument/2006/relationships/hyperlink" Target="https://www.jisilu.cn/question/95518" TargetMode="External"/><Relationship Id="rId52" Type="http://schemas.openxmlformats.org/officeDocument/2006/relationships/hyperlink" Target="https://www.jisilu.cn/question/95518" TargetMode="External"/><Relationship Id="rId148" Type="http://schemas.openxmlformats.org/officeDocument/2006/relationships/hyperlink" Target="https://www.jisilu.cn/question/95518" TargetMode="External"/><Relationship Id="rId355" Type="http://schemas.openxmlformats.org/officeDocument/2006/relationships/hyperlink" Target="https://www.jisilu.cn/data/convert_bond_detail/128036" TargetMode="External"/><Relationship Id="rId562" Type="http://schemas.openxmlformats.org/officeDocument/2006/relationships/hyperlink" Target="https://www.jisilu.cn/question/95518" TargetMode="External"/><Relationship Id="rId1192" Type="http://schemas.openxmlformats.org/officeDocument/2006/relationships/hyperlink" Target="https://www.jisilu.cn/question/95518" TargetMode="External"/><Relationship Id="rId1206" Type="http://schemas.openxmlformats.org/officeDocument/2006/relationships/hyperlink" Target="javascript:addOwnedConvertBond('128037');" TargetMode="External"/><Relationship Id="rId215" Type="http://schemas.openxmlformats.org/officeDocument/2006/relationships/hyperlink" Target="https://www.jisilu.cn/question/95518" TargetMode="External"/><Relationship Id="rId422" Type="http://schemas.openxmlformats.org/officeDocument/2006/relationships/hyperlink" Target="https://www.jisilu.cn/data/stock/600299" TargetMode="External"/><Relationship Id="rId867" Type="http://schemas.openxmlformats.org/officeDocument/2006/relationships/hyperlink" Target="https://www.jisilu.cn/question/95518" TargetMode="External"/><Relationship Id="rId1052" Type="http://schemas.openxmlformats.org/officeDocument/2006/relationships/hyperlink" Target="https://www.jisilu.cn/data/stock/600398" TargetMode="External"/><Relationship Id="rId299" Type="http://schemas.openxmlformats.org/officeDocument/2006/relationships/hyperlink" Target="https://www.jisilu.cn/question/95518" TargetMode="External"/><Relationship Id="rId727" Type="http://schemas.openxmlformats.org/officeDocument/2006/relationships/hyperlink" Target="https://www.jisilu.cn/data/convert_bond_detail/113509" TargetMode="External"/><Relationship Id="rId934" Type="http://schemas.openxmlformats.org/officeDocument/2006/relationships/hyperlink" Target="https://www.jisilu.cn/question/95518" TargetMode="External"/><Relationship Id="rId63" Type="http://schemas.openxmlformats.org/officeDocument/2006/relationships/hyperlink" Target="https://www.jisilu.cn/question/95518" TargetMode="External"/><Relationship Id="rId159" Type="http://schemas.openxmlformats.org/officeDocument/2006/relationships/hyperlink" Target="https://www.jisilu.cn/question/95518" TargetMode="External"/><Relationship Id="rId366" Type="http://schemas.openxmlformats.org/officeDocument/2006/relationships/hyperlink" Target="javascript:addOwnedConvertBond('113523');" TargetMode="External"/><Relationship Id="rId573" Type="http://schemas.openxmlformats.org/officeDocument/2006/relationships/hyperlink" Target="https://www.jisilu.cn/question/95518" TargetMode="External"/><Relationship Id="rId780" Type="http://schemas.openxmlformats.org/officeDocument/2006/relationships/hyperlink" Target="javascript:addOwnedConvertBond('113017');" TargetMode="External"/><Relationship Id="rId1217" Type="http://schemas.openxmlformats.org/officeDocument/2006/relationships/hyperlink" Target="https://www.jisilu.cn/question/95518" TargetMode="External"/><Relationship Id="rId226" Type="http://schemas.openxmlformats.org/officeDocument/2006/relationships/hyperlink" Target="https://www.jisilu.cn/question/95518" TargetMode="External"/><Relationship Id="rId433" Type="http://schemas.openxmlformats.org/officeDocument/2006/relationships/hyperlink" Target="https://www.jisilu.cn/data/convert_bond_detail/110050" TargetMode="External"/><Relationship Id="rId878" Type="http://schemas.openxmlformats.org/officeDocument/2006/relationships/hyperlink" Target="https://www.jisilu.cn/data/stock/603019" TargetMode="External"/><Relationship Id="rId1063" Type="http://schemas.openxmlformats.org/officeDocument/2006/relationships/hyperlink" Target="https://www.jisilu.cn/data/convert_bond_detail/128015" TargetMode="External"/><Relationship Id="rId640" Type="http://schemas.openxmlformats.org/officeDocument/2006/relationships/hyperlink" Target="https://www.jisilu.cn/question/95518" TargetMode="External"/><Relationship Id="rId738" Type="http://schemas.openxmlformats.org/officeDocument/2006/relationships/hyperlink" Target="javascript:addOwnedConvertBond('113011');" TargetMode="External"/><Relationship Id="rId945" Type="http://schemas.openxmlformats.org/officeDocument/2006/relationships/hyperlink" Target="https://www.jisilu.cn/question/95518" TargetMode="External"/><Relationship Id="rId74" Type="http://schemas.openxmlformats.org/officeDocument/2006/relationships/hyperlink" Target="https://www.jisilu.cn/data/stock/600105" TargetMode="External"/><Relationship Id="rId377" Type="http://schemas.openxmlformats.org/officeDocument/2006/relationships/hyperlink" Target="https://www.jisilu.cn/question/95518" TargetMode="External"/><Relationship Id="rId500" Type="http://schemas.openxmlformats.org/officeDocument/2006/relationships/hyperlink" Target="https://www.jisilu.cn/data/stock/603055" TargetMode="External"/><Relationship Id="rId584" Type="http://schemas.openxmlformats.org/officeDocument/2006/relationships/hyperlink" Target="https://www.jisilu.cn/data/stock/300568" TargetMode="External"/><Relationship Id="rId805" Type="http://schemas.openxmlformats.org/officeDocument/2006/relationships/hyperlink" Target="https://www.jisilu.cn/data/convert_bond_detail/113531" TargetMode="External"/><Relationship Id="rId1130" Type="http://schemas.openxmlformats.org/officeDocument/2006/relationships/hyperlink" Target="https://www.jisilu.cn/data/stock/600019" TargetMode="External"/><Relationship Id="rId1228" Type="http://schemas.openxmlformats.org/officeDocument/2006/relationships/hyperlink" Target="https://www.jisilu.cn/question/95518" TargetMode="External"/><Relationship Id="rId5" Type="http://schemas.openxmlformats.org/officeDocument/2006/relationships/hyperlink" Target="https://www.jisilu.cn/question/95518" TargetMode="External"/><Relationship Id="rId237" Type="http://schemas.openxmlformats.org/officeDocument/2006/relationships/hyperlink" Target="https://www.jisilu.cn/question/95518" TargetMode="External"/><Relationship Id="rId791" Type="http://schemas.openxmlformats.org/officeDocument/2006/relationships/hyperlink" Target="https://www.jisilu.cn/question/95518" TargetMode="External"/><Relationship Id="rId889" Type="http://schemas.openxmlformats.org/officeDocument/2006/relationships/hyperlink" Target="https://www.jisilu.cn/data/convert_bond_detail/128029" TargetMode="External"/><Relationship Id="rId1074" Type="http://schemas.openxmlformats.org/officeDocument/2006/relationships/hyperlink" Target="javascript:addOwnedConvertBond('113013');" TargetMode="External"/><Relationship Id="rId444" Type="http://schemas.openxmlformats.org/officeDocument/2006/relationships/hyperlink" Target="javascript:addOwnedConvertBond('113547');" TargetMode="External"/><Relationship Id="rId651" Type="http://schemas.openxmlformats.org/officeDocument/2006/relationships/hyperlink" Target="https://www.jisilu.cn/question/95518" TargetMode="External"/><Relationship Id="rId749" Type="http://schemas.openxmlformats.org/officeDocument/2006/relationships/hyperlink" Target="https://www.jisilu.cn/question/95518" TargetMode="External"/><Relationship Id="rId290" Type="http://schemas.openxmlformats.org/officeDocument/2006/relationships/hyperlink" Target="https://www.jisilu.cn/data/stock/603960" TargetMode="External"/><Relationship Id="rId304" Type="http://schemas.openxmlformats.org/officeDocument/2006/relationships/hyperlink" Target="https://www.jisilu.cn/question/95518" TargetMode="External"/><Relationship Id="rId388" Type="http://schemas.openxmlformats.org/officeDocument/2006/relationships/hyperlink" Target="https://www.jisilu.cn/question/95518" TargetMode="External"/><Relationship Id="rId511" Type="http://schemas.openxmlformats.org/officeDocument/2006/relationships/hyperlink" Target="https://www.jisilu.cn/data/convert_bond_detail/113548" TargetMode="External"/><Relationship Id="rId609" Type="http://schemas.openxmlformats.org/officeDocument/2006/relationships/hyperlink" Target="https://www.jisilu.cn/question/95518" TargetMode="External"/><Relationship Id="rId956" Type="http://schemas.openxmlformats.org/officeDocument/2006/relationships/hyperlink" Target="https://www.jisilu.cn/data/stock/000623" TargetMode="External"/><Relationship Id="rId1141" Type="http://schemas.openxmlformats.org/officeDocument/2006/relationships/hyperlink" Target="https://www.jisilu.cn/data/convert_bond_detail/123022" TargetMode="External"/><Relationship Id="rId1239" Type="http://schemas.openxmlformats.org/officeDocument/2006/relationships/hyperlink" Target="https://www.jisilu.cn/question/95518" TargetMode="External"/><Relationship Id="rId85" Type="http://schemas.openxmlformats.org/officeDocument/2006/relationships/hyperlink" Target="https://www.jisilu.cn/data/convert_bond_detail/113514" TargetMode="External"/><Relationship Id="rId150" Type="http://schemas.openxmlformats.org/officeDocument/2006/relationships/hyperlink" Target="javascript:addOwnedConvertBond('128056');" TargetMode="External"/><Relationship Id="rId595" Type="http://schemas.openxmlformats.org/officeDocument/2006/relationships/hyperlink" Target="https://www.jisilu.cn/data/convert_bond_detail/123029" TargetMode="External"/><Relationship Id="rId816" Type="http://schemas.openxmlformats.org/officeDocument/2006/relationships/hyperlink" Target="javascript:addOwnedConvertBond('123035');" TargetMode="External"/><Relationship Id="rId1001" Type="http://schemas.openxmlformats.org/officeDocument/2006/relationships/hyperlink" Target="https://www.jisilu.cn/question/95518" TargetMode="External"/><Relationship Id="rId248" Type="http://schemas.openxmlformats.org/officeDocument/2006/relationships/hyperlink" Target="https://www.jisilu.cn/data/stock/002807" TargetMode="External"/><Relationship Id="rId455" Type="http://schemas.openxmlformats.org/officeDocument/2006/relationships/hyperlink" Target="https://www.jisilu.cn/question/95518" TargetMode="External"/><Relationship Id="rId662" Type="http://schemas.openxmlformats.org/officeDocument/2006/relationships/hyperlink" Target="https://www.jisilu.cn/data/stock/600919" TargetMode="External"/><Relationship Id="rId1085" Type="http://schemas.openxmlformats.org/officeDocument/2006/relationships/hyperlink" Target="https://www.jisilu.cn/question/95518" TargetMode="External"/><Relationship Id="rId12" Type="http://schemas.openxmlformats.org/officeDocument/2006/relationships/hyperlink" Target="javascript:delOwnedConvertBond('123034');" TargetMode="External"/><Relationship Id="rId108" Type="http://schemas.openxmlformats.org/officeDocument/2006/relationships/hyperlink" Target="javascript:addOwnedConvertBond('128070');" TargetMode="External"/><Relationship Id="rId315" Type="http://schemas.openxmlformats.org/officeDocument/2006/relationships/hyperlink" Target="https://www.jisilu.cn/question/95518" TargetMode="External"/><Relationship Id="rId522" Type="http://schemas.openxmlformats.org/officeDocument/2006/relationships/hyperlink" Target="javascript:addOwnedConvertBond('113008');" TargetMode="External"/><Relationship Id="rId967" Type="http://schemas.openxmlformats.org/officeDocument/2006/relationships/hyperlink" Target="https://www.jisilu.cn/data/convert_bond_detail/128045" TargetMode="External"/><Relationship Id="rId1152" Type="http://schemas.openxmlformats.org/officeDocument/2006/relationships/hyperlink" Target="javascript:addOwnedConvertBond('127004');" TargetMode="External"/><Relationship Id="rId96" Type="http://schemas.openxmlformats.org/officeDocument/2006/relationships/hyperlink" Target="javascript:addOwnedConvertBond('128081');" TargetMode="External"/><Relationship Id="rId161" Type="http://schemas.openxmlformats.org/officeDocument/2006/relationships/hyperlink" Target="https://www.jisilu.cn/question/95518" TargetMode="External"/><Relationship Id="rId399" Type="http://schemas.openxmlformats.org/officeDocument/2006/relationships/hyperlink" Target="https://www.jisilu.cn/question/95518" TargetMode="External"/><Relationship Id="rId827" Type="http://schemas.openxmlformats.org/officeDocument/2006/relationships/hyperlink" Target="https://www.jisilu.cn/question/95518" TargetMode="External"/><Relationship Id="rId1012" Type="http://schemas.openxmlformats.org/officeDocument/2006/relationships/hyperlink" Target="https://www.jisilu.cn/question/95518" TargetMode="External"/><Relationship Id="rId259" Type="http://schemas.openxmlformats.org/officeDocument/2006/relationships/hyperlink" Target="https://www.jisilu.cn/data/convert_bond_detail/128040" TargetMode="External"/><Relationship Id="rId466" Type="http://schemas.openxmlformats.org/officeDocument/2006/relationships/hyperlink" Target="https://www.jisilu.cn/question/95518" TargetMode="External"/><Relationship Id="rId673" Type="http://schemas.openxmlformats.org/officeDocument/2006/relationships/hyperlink" Target="https://www.jisilu.cn/data/convert_bond_detail/110052" TargetMode="External"/><Relationship Id="rId880" Type="http://schemas.openxmlformats.org/officeDocument/2006/relationships/hyperlink" Target="https://www.jisilu.cn/question/95518" TargetMode="External"/><Relationship Id="rId1096" Type="http://schemas.openxmlformats.org/officeDocument/2006/relationships/hyperlink" Target="https://www.jisilu.cn/question/95518" TargetMode="External"/><Relationship Id="rId23" Type="http://schemas.openxmlformats.org/officeDocument/2006/relationships/hyperlink" Target="https://www.jisilu.cn/question/95518" TargetMode="External"/><Relationship Id="rId119" Type="http://schemas.openxmlformats.org/officeDocument/2006/relationships/hyperlink" Target="https://www.jisilu.cn/question/95518" TargetMode="External"/><Relationship Id="rId326" Type="http://schemas.openxmlformats.org/officeDocument/2006/relationships/hyperlink" Target="https://www.jisilu.cn/data/stock/002228" TargetMode="External"/><Relationship Id="rId533" Type="http://schemas.openxmlformats.org/officeDocument/2006/relationships/hyperlink" Target="https://www.jisilu.cn/question/95518" TargetMode="External"/><Relationship Id="rId978" Type="http://schemas.openxmlformats.org/officeDocument/2006/relationships/hyperlink" Target="javascript:addOwnedConvertBond('128042');" TargetMode="External"/><Relationship Id="rId1163" Type="http://schemas.openxmlformats.org/officeDocument/2006/relationships/hyperlink" Target="https://www.jisilu.cn/question/95518" TargetMode="External"/><Relationship Id="rId740" Type="http://schemas.openxmlformats.org/officeDocument/2006/relationships/hyperlink" Target="https://www.jisilu.cn/data/stock/002439" TargetMode="External"/><Relationship Id="rId838" Type="http://schemas.openxmlformats.org/officeDocument/2006/relationships/hyperlink" Target="https://www.jisilu.cn/question/95518" TargetMode="External"/><Relationship Id="rId1023" Type="http://schemas.openxmlformats.org/officeDocument/2006/relationships/hyperlink" Target="https://www.jisilu.cn/question/95518" TargetMode="External"/><Relationship Id="rId172" Type="http://schemas.openxmlformats.org/officeDocument/2006/relationships/hyperlink" Target="https://www.jisilu.cn/question/95518" TargetMode="External"/><Relationship Id="rId477" Type="http://schemas.openxmlformats.org/officeDocument/2006/relationships/hyperlink" Target="https://www.jisilu.cn/question/95518" TargetMode="External"/><Relationship Id="rId600" Type="http://schemas.openxmlformats.org/officeDocument/2006/relationships/hyperlink" Target="javascript:addOwnedConvertBond('123029');" TargetMode="External"/><Relationship Id="rId684" Type="http://schemas.openxmlformats.org/officeDocument/2006/relationships/hyperlink" Target="javascript:addOwnedConvertBond('132005');" TargetMode="External"/><Relationship Id="rId1230" Type="http://schemas.openxmlformats.org/officeDocument/2006/relationships/hyperlink" Target="javascript:addOwnedConvertBond('110031');" TargetMode="External"/><Relationship Id="rId337" Type="http://schemas.openxmlformats.org/officeDocument/2006/relationships/hyperlink" Target="https://www.jisilu.cn/data/convert_bond_detail/113545" TargetMode="External"/><Relationship Id="rId891" Type="http://schemas.openxmlformats.org/officeDocument/2006/relationships/hyperlink" Target="https://www.jisilu.cn/question/95518" TargetMode="External"/><Relationship Id="rId905" Type="http://schemas.openxmlformats.org/officeDocument/2006/relationships/hyperlink" Target="https://www.jisilu.cn/question/95518" TargetMode="External"/><Relationship Id="rId989" Type="http://schemas.openxmlformats.org/officeDocument/2006/relationships/hyperlink" Target="https://www.jisilu.cn/question/95518" TargetMode="External"/><Relationship Id="rId34" Type="http://schemas.openxmlformats.org/officeDocument/2006/relationships/hyperlink" Target="https://www.jisilu.cn/question/95518" TargetMode="External"/><Relationship Id="rId544" Type="http://schemas.openxmlformats.org/officeDocument/2006/relationships/hyperlink" Target="https://www.jisilu.cn/question/95518" TargetMode="External"/><Relationship Id="rId751" Type="http://schemas.openxmlformats.org/officeDocument/2006/relationships/hyperlink" Target="https://www.jisilu.cn/data/convert_bond_detail/128074" TargetMode="External"/><Relationship Id="rId849" Type="http://schemas.openxmlformats.org/officeDocument/2006/relationships/hyperlink" Target="https://www.jisilu.cn/question/95518" TargetMode="External"/><Relationship Id="rId1174" Type="http://schemas.openxmlformats.org/officeDocument/2006/relationships/hyperlink" Target="https://www.jisilu.cn/question/95518" TargetMode="External"/><Relationship Id="rId183" Type="http://schemas.openxmlformats.org/officeDocument/2006/relationships/hyperlink" Target="https://www.jisilu.cn/question/95518" TargetMode="External"/><Relationship Id="rId390" Type="http://schemas.openxmlformats.org/officeDocument/2006/relationships/hyperlink" Target="javascript:addOwnedConvertBond('128064');" TargetMode="External"/><Relationship Id="rId404" Type="http://schemas.openxmlformats.org/officeDocument/2006/relationships/hyperlink" Target="https://www.jisilu.cn/data/stock/603898" TargetMode="External"/><Relationship Id="rId611" Type="http://schemas.openxmlformats.org/officeDocument/2006/relationships/hyperlink" Target="https://www.jisilu.cn/question/95518" TargetMode="External"/><Relationship Id="rId1034" Type="http://schemas.openxmlformats.org/officeDocument/2006/relationships/hyperlink" Target="https://www.jisilu.cn/data/stock/600998" TargetMode="External"/><Relationship Id="rId1241" Type="http://schemas.openxmlformats.org/officeDocument/2006/relationships/hyperlink" Target="https://www.jisilu.cn/question/95518" TargetMode="External"/><Relationship Id="rId250" Type="http://schemas.openxmlformats.org/officeDocument/2006/relationships/hyperlink" Target="https://www.jisilu.cn/question/95518" TargetMode="External"/><Relationship Id="rId488" Type="http://schemas.openxmlformats.org/officeDocument/2006/relationships/hyperlink" Target="https://www.jisilu.cn/data/stock/603323" TargetMode="External"/><Relationship Id="rId695" Type="http://schemas.openxmlformats.org/officeDocument/2006/relationships/hyperlink" Target="https://www.jisilu.cn/question/95518" TargetMode="External"/><Relationship Id="rId709" Type="http://schemas.openxmlformats.org/officeDocument/2006/relationships/hyperlink" Target="https://www.jisilu.cn/data/convert_bond_detail/128059" TargetMode="External"/><Relationship Id="rId916" Type="http://schemas.openxmlformats.org/officeDocument/2006/relationships/hyperlink" Target="https://www.jisilu.cn/question/95518" TargetMode="External"/><Relationship Id="rId1101" Type="http://schemas.openxmlformats.org/officeDocument/2006/relationships/hyperlink" Target="https://www.jisilu.cn/question/95518" TargetMode="External"/><Relationship Id="rId45" Type="http://schemas.openxmlformats.org/officeDocument/2006/relationships/hyperlink" Target="https://www.jisilu.cn/question/95518" TargetMode="External"/><Relationship Id="rId110" Type="http://schemas.openxmlformats.org/officeDocument/2006/relationships/hyperlink" Target="https://www.jisilu.cn/data/stock/002631" TargetMode="External"/><Relationship Id="rId348" Type="http://schemas.openxmlformats.org/officeDocument/2006/relationships/hyperlink" Target="javascript:addOwnedConvertBond('123015');" TargetMode="External"/><Relationship Id="rId555" Type="http://schemas.openxmlformats.org/officeDocument/2006/relationships/hyperlink" Target="https://www.jisilu.cn/question/95518" TargetMode="External"/><Relationship Id="rId762" Type="http://schemas.openxmlformats.org/officeDocument/2006/relationships/hyperlink" Target="javascript:addOwnedConvertBond('113518');" TargetMode="External"/><Relationship Id="rId1185" Type="http://schemas.openxmlformats.org/officeDocument/2006/relationships/hyperlink" Target="https://www.jisilu.cn/question/95518" TargetMode="External"/><Relationship Id="rId194" Type="http://schemas.openxmlformats.org/officeDocument/2006/relationships/hyperlink" Target="https://www.jisilu.cn/data/stock/300381" TargetMode="External"/><Relationship Id="rId208" Type="http://schemas.openxmlformats.org/officeDocument/2006/relationships/hyperlink" Target="https://www.jisilu.cn/question/95518" TargetMode="External"/><Relationship Id="rId415" Type="http://schemas.openxmlformats.org/officeDocument/2006/relationships/hyperlink" Target="https://www.jisilu.cn/data/convert_bond_detail/113504" TargetMode="External"/><Relationship Id="rId622" Type="http://schemas.openxmlformats.org/officeDocument/2006/relationships/hyperlink" Target="https://www.jisilu.cn/question/95518" TargetMode="External"/><Relationship Id="rId1045" Type="http://schemas.openxmlformats.org/officeDocument/2006/relationships/hyperlink" Target="https://www.jisilu.cn/data/convert_bond_detail/113024" TargetMode="External"/><Relationship Id="rId1252" Type="http://schemas.openxmlformats.org/officeDocument/2006/relationships/hyperlink" Target="https://www.jisilu.cn/question/95518" TargetMode="External"/><Relationship Id="rId261" Type="http://schemas.openxmlformats.org/officeDocument/2006/relationships/hyperlink" Target="https://www.jisilu.cn/question/95518" TargetMode="External"/><Relationship Id="rId499" Type="http://schemas.openxmlformats.org/officeDocument/2006/relationships/hyperlink" Target="https://www.jisilu.cn/data/convert_bond_detail/113525" TargetMode="External"/><Relationship Id="rId927" Type="http://schemas.openxmlformats.org/officeDocument/2006/relationships/hyperlink" Target="https://www.jisilu.cn/question/95518" TargetMode="External"/><Relationship Id="rId1112" Type="http://schemas.openxmlformats.org/officeDocument/2006/relationships/hyperlink" Target="https://www.jisilu.cn/data/stock/002258" TargetMode="External"/><Relationship Id="rId56" Type="http://schemas.openxmlformats.org/officeDocument/2006/relationships/hyperlink" Target="https://www.jisilu.cn/data/stock/300040" TargetMode="External"/><Relationship Id="rId359" Type="http://schemas.openxmlformats.org/officeDocument/2006/relationships/hyperlink" Target="https://www.jisilu.cn/question/95518" TargetMode="External"/><Relationship Id="rId566" Type="http://schemas.openxmlformats.org/officeDocument/2006/relationships/hyperlink" Target="https://www.jisilu.cn/data/stock/603569" TargetMode="External"/><Relationship Id="rId773" Type="http://schemas.openxmlformats.org/officeDocument/2006/relationships/hyperlink" Target="https://www.jisilu.cn/question/95518" TargetMode="External"/><Relationship Id="rId1196" Type="http://schemas.openxmlformats.org/officeDocument/2006/relationships/hyperlink" Target="https://www.jisilu.cn/data/stock/601928" TargetMode="External"/><Relationship Id="rId121" Type="http://schemas.openxmlformats.org/officeDocument/2006/relationships/hyperlink" Target="https://www.jisilu.cn/data/convert_bond_detail/123019" TargetMode="External"/><Relationship Id="rId219" Type="http://schemas.openxmlformats.org/officeDocument/2006/relationships/hyperlink" Target="https://www.jisilu.cn/question/95518" TargetMode="External"/><Relationship Id="rId426" Type="http://schemas.openxmlformats.org/officeDocument/2006/relationships/hyperlink" Target="javascript:addOwnedConvertBond('132020');" TargetMode="External"/><Relationship Id="rId633" Type="http://schemas.openxmlformats.org/officeDocument/2006/relationships/hyperlink" Target="https://www.jisilu.cn/question/95518" TargetMode="External"/><Relationship Id="rId980" Type="http://schemas.openxmlformats.org/officeDocument/2006/relationships/hyperlink" Target="https://www.jisilu.cn/data/stock/002842" TargetMode="External"/><Relationship Id="rId1056" Type="http://schemas.openxmlformats.org/officeDocument/2006/relationships/hyperlink" Target="javascript:addOwnedConvertBond('110045');" TargetMode="External"/><Relationship Id="rId840" Type="http://schemas.openxmlformats.org/officeDocument/2006/relationships/hyperlink" Target="javascript:addOwnedConvertBond('128016');" TargetMode="External"/><Relationship Id="rId938" Type="http://schemas.openxmlformats.org/officeDocument/2006/relationships/hyperlink" Target="https://www.jisilu.cn/data/stock/002402" TargetMode="External"/><Relationship Id="rId67" Type="http://schemas.openxmlformats.org/officeDocument/2006/relationships/hyperlink" Target="https://www.jisilu.cn/data/convert_bond_detail/123026" TargetMode="External"/><Relationship Id="rId272" Type="http://schemas.openxmlformats.org/officeDocument/2006/relationships/hyperlink" Target="https://www.jisilu.cn/data/stock/603081" TargetMode="External"/><Relationship Id="rId577" Type="http://schemas.openxmlformats.org/officeDocument/2006/relationships/hyperlink" Target="https://www.jisilu.cn/data/convert_bond_detail/128050" TargetMode="External"/><Relationship Id="rId700" Type="http://schemas.openxmlformats.org/officeDocument/2006/relationships/hyperlink" Target="https://www.jisilu.cn/question/95518" TargetMode="External"/><Relationship Id="rId1123" Type="http://schemas.openxmlformats.org/officeDocument/2006/relationships/hyperlink" Target="https://www.jisilu.cn/data/convert_bond_detail/132004" TargetMode="External"/><Relationship Id="rId132" Type="http://schemas.openxmlformats.org/officeDocument/2006/relationships/hyperlink" Target="javascript:addOwnedConvertBond('128073');" TargetMode="External"/><Relationship Id="rId784" Type="http://schemas.openxmlformats.org/officeDocument/2006/relationships/hyperlink" Target="https://www.jisilu.cn/question/95518" TargetMode="External"/><Relationship Id="rId991" Type="http://schemas.openxmlformats.org/officeDocument/2006/relationships/hyperlink" Target="https://www.jisilu.cn/data/convert_bond_detail/127005" TargetMode="External"/><Relationship Id="rId1067" Type="http://schemas.openxmlformats.org/officeDocument/2006/relationships/hyperlink" Target="https://www.jisilu.cn/question/95518" TargetMode="External"/><Relationship Id="rId437" Type="http://schemas.openxmlformats.org/officeDocument/2006/relationships/hyperlink" Target="https://www.jisilu.cn/question/95518" TargetMode="External"/><Relationship Id="rId644" Type="http://schemas.openxmlformats.org/officeDocument/2006/relationships/hyperlink" Target="https://www.jisilu.cn/data/stock/600908" TargetMode="External"/><Relationship Id="rId851" Type="http://schemas.openxmlformats.org/officeDocument/2006/relationships/hyperlink" Target="https://www.jisilu.cn/question/95518" TargetMode="External"/><Relationship Id="rId283" Type="http://schemas.openxmlformats.org/officeDocument/2006/relationships/hyperlink" Target="https://www.jisilu.cn/data/convert_bond_detail/127003" TargetMode="External"/><Relationship Id="rId490" Type="http://schemas.openxmlformats.org/officeDocument/2006/relationships/hyperlink" Target="https://www.jisilu.cn/question/95518" TargetMode="External"/><Relationship Id="rId504" Type="http://schemas.openxmlformats.org/officeDocument/2006/relationships/hyperlink" Target="javascript:addOwnedConvertBond('113525');" TargetMode="External"/><Relationship Id="rId711" Type="http://schemas.openxmlformats.org/officeDocument/2006/relationships/hyperlink" Target="https://www.jisilu.cn/question/95518" TargetMode="External"/><Relationship Id="rId949" Type="http://schemas.openxmlformats.org/officeDocument/2006/relationships/hyperlink" Target="https://www.jisilu.cn/data/convert_bond_detail/128017" TargetMode="External"/><Relationship Id="rId1134" Type="http://schemas.openxmlformats.org/officeDocument/2006/relationships/hyperlink" Target="javascript:addOwnedConvertBond('132013');" TargetMode="External"/><Relationship Id="rId78" Type="http://schemas.openxmlformats.org/officeDocument/2006/relationships/hyperlink" Target="javascript:delOwnedConvertBond('110058');" TargetMode="External"/><Relationship Id="rId143" Type="http://schemas.openxmlformats.org/officeDocument/2006/relationships/hyperlink" Target="https://www.jisilu.cn/question/95518" TargetMode="External"/><Relationship Id="rId350" Type="http://schemas.openxmlformats.org/officeDocument/2006/relationships/hyperlink" Target="https://www.jisilu.cn/data/stock/002717" TargetMode="External"/><Relationship Id="rId588" Type="http://schemas.openxmlformats.org/officeDocument/2006/relationships/hyperlink" Target="javascript:addOwnedConvertBond('123009');" TargetMode="External"/><Relationship Id="rId795" Type="http://schemas.openxmlformats.org/officeDocument/2006/relationships/hyperlink" Target="https://www.jisilu.cn/question/95518" TargetMode="External"/><Relationship Id="rId809" Type="http://schemas.openxmlformats.org/officeDocument/2006/relationships/hyperlink" Target="https://www.jisilu.cn/question/95518" TargetMode="External"/><Relationship Id="rId1201" Type="http://schemas.openxmlformats.org/officeDocument/2006/relationships/hyperlink" Target="https://www.jisilu.cn/data/convert_bond_detail/128037" TargetMode="External"/><Relationship Id="rId9" Type="http://schemas.openxmlformats.org/officeDocument/2006/relationships/hyperlink" Target="https://www.jisilu.cn/question/95518" TargetMode="External"/><Relationship Id="rId210" Type="http://schemas.openxmlformats.org/officeDocument/2006/relationships/hyperlink" Target="javascript:addOwnedConvertBond('123028');" TargetMode="External"/><Relationship Id="rId448" Type="http://schemas.openxmlformats.org/officeDocument/2006/relationships/hyperlink" Target="https://www.jisilu.cn/question/95518" TargetMode="External"/><Relationship Id="rId655" Type="http://schemas.openxmlformats.org/officeDocument/2006/relationships/hyperlink" Target="https://www.jisilu.cn/data/convert_bond_detail/113503" TargetMode="External"/><Relationship Id="rId862" Type="http://schemas.openxmlformats.org/officeDocument/2006/relationships/hyperlink" Target="https://www.jisilu.cn/question/95518" TargetMode="External"/><Relationship Id="rId1078" Type="http://schemas.openxmlformats.org/officeDocument/2006/relationships/hyperlink" Target="https://www.jisilu.cn/question/95518" TargetMode="External"/><Relationship Id="rId294" Type="http://schemas.openxmlformats.org/officeDocument/2006/relationships/hyperlink" Target="javascript:addOwnedConvertBond('113552');" TargetMode="External"/><Relationship Id="rId308" Type="http://schemas.openxmlformats.org/officeDocument/2006/relationships/hyperlink" Target="https://www.jisilu.cn/data/stock/601677" TargetMode="External"/><Relationship Id="rId515" Type="http://schemas.openxmlformats.org/officeDocument/2006/relationships/hyperlink" Target="https://www.jisilu.cn/question/95518" TargetMode="External"/><Relationship Id="rId722" Type="http://schemas.openxmlformats.org/officeDocument/2006/relationships/hyperlink" Target="https://www.jisilu.cn/data/stock/603806" TargetMode="External"/><Relationship Id="rId1145" Type="http://schemas.openxmlformats.org/officeDocument/2006/relationships/hyperlink" Target="https://www.jisilu.cn/question/95518" TargetMode="External"/><Relationship Id="rId89" Type="http://schemas.openxmlformats.org/officeDocument/2006/relationships/hyperlink" Target="https://www.jisilu.cn/question/95518" TargetMode="External"/><Relationship Id="rId154" Type="http://schemas.openxmlformats.org/officeDocument/2006/relationships/hyperlink" Target="https://www.jisilu.cn/question/95518" TargetMode="External"/><Relationship Id="rId361" Type="http://schemas.openxmlformats.org/officeDocument/2006/relationships/hyperlink" Target="https://www.jisilu.cn/data/convert_bond_detail/113523" TargetMode="External"/><Relationship Id="rId599" Type="http://schemas.openxmlformats.org/officeDocument/2006/relationships/hyperlink" Target="https://www.jisilu.cn/question/95518" TargetMode="External"/><Relationship Id="rId1005" Type="http://schemas.openxmlformats.org/officeDocument/2006/relationships/hyperlink" Target="https://www.jisilu.cn/question/95518" TargetMode="External"/><Relationship Id="rId1212" Type="http://schemas.openxmlformats.org/officeDocument/2006/relationships/hyperlink" Target="javascript:addOwnedConvertBond('132008');" TargetMode="External"/><Relationship Id="rId459" Type="http://schemas.openxmlformats.org/officeDocument/2006/relationships/hyperlink" Target="https://www.jisilu.cn/question/95518" TargetMode="External"/><Relationship Id="rId666" Type="http://schemas.openxmlformats.org/officeDocument/2006/relationships/hyperlink" Target="javascript:addOwnedConvertBond('110053');" TargetMode="External"/><Relationship Id="rId873" Type="http://schemas.openxmlformats.org/officeDocument/2006/relationships/hyperlink" Target="https://www.jisilu.cn/question/95518" TargetMode="External"/><Relationship Id="rId1089" Type="http://schemas.openxmlformats.org/officeDocument/2006/relationships/hyperlink" Target="https://www.jisilu.cn/question/95518" TargetMode="External"/><Relationship Id="rId16" Type="http://schemas.openxmlformats.org/officeDocument/2006/relationships/hyperlink" Target="https://www.jisilu.cn/question/95518" TargetMode="External"/><Relationship Id="rId221" Type="http://schemas.openxmlformats.org/officeDocument/2006/relationships/hyperlink" Target="https://www.jisilu.cn/question/95518" TargetMode="External"/><Relationship Id="rId319" Type="http://schemas.openxmlformats.org/officeDocument/2006/relationships/hyperlink" Target="https://www.jisilu.cn/data/convert_bond_detail/113511" TargetMode="External"/><Relationship Id="rId526" Type="http://schemas.openxmlformats.org/officeDocument/2006/relationships/hyperlink" Target="https://www.jisilu.cn/question/95518" TargetMode="External"/><Relationship Id="rId1156" Type="http://schemas.openxmlformats.org/officeDocument/2006/relationships/hyperlink" Target="https://www.jisilu.cn/question/95518" TargetMode="External"/><Relationship Id="rId733" Type="http://schemas.openxmlformats.org/officeDocument/2006/relationships/hyperlink" Target="https://www.jisilu.cn/data/convert_bond_detail/113011" TargetMode="External"/><Relationship Id="rId940" Type="http://schemas.openxmlformats.org/officeDocument/2006/relationships/hyperlink" Target="https://www.jisilu.cn/question/95518" TargetMode="External"/><Relationship Id="rId1016" Type="http://schemas.openxmlformats.org/officeDocument/2006/relationships/hyperlink" Target="https://www.jisilu.cn/data/stock/002772" TargetMode="External"/><Relationship Id="rId165" Type="http://schemas.openxmlformats.org/officeDocument/2006/relationships/hyperlink" Target="https://www.jisilu.cn/question/95518" TargetMode="External"/><Relationship Id="rId372" Type="http://schemas.openxmlformats.org/officeDocument/2006/relationships/hyperlink" Target="javascript:addOwnedConvertBond('127012');" TargetMode="External"/><Relationship Id="rId677" Type="http://schemas.openxmlformats.org/officeDocument/2006/relationships/hyperlink" Target="https://www.jisilu.cn/question/95518" TargetMode="External"/><Relationship Id="rId800" Type="http://schemas.openxmlformats.org/officeDocument/2006/relationships/hyperlink" Target="https://www.jisilu.cn/data/stock/600863" TargetMode="External"/><Relationship Id="rId1223" Type="http://schemas.openxmlformats.org/officeDocument/2006/relationships/hyperlink" Target="https://www.jisilu.cn/question/95518" TargetMode="External"/><Relationship Id="rId232" Type="http://schemas.openxmlformats.org/officeDocument/2006/relationships/hyperlink" Target="https://www.jisilu.cn/question/95518" TargetMode="External"/><Relationship Id="rId884" Type="http://schemas.openxmlformats.org/officeDocument/2006/relationships/hyperlink" Target="https://www.jisilu.cn/data/stock/002273" TargetMode="External"/><Relationship Id="rId27" Type="http://schemas.openxmlformats.org/officeDocument/2006/relationships/hyperlink" Target="https://www.jisilu.cn/question/95518" TargetMode="External"/><Relationship Id="rId537" Type="http://schemas.openxmlformats.org/officeDocument/2006/relationships/hyperlink" Target="https://www.jisilu.cn/question/95518" TargetMode="External"/><Relationship Id="rId744" Type="http://schemas.openxmlformats.org/officeDocument/2006/relationships/hyperlink" Target="javascript:addOwnedConvertBond('128061');" TargetMode="External"/><Relationship Id="rId951" Type="http://schemas.openxmlformats.org/officeDocument/2006/relationships/hyperlink" Target="https://www.jisilu.cn/question/95518" TargetMode="External"/><Relationship Id="rId1167" Type="http://schemas.openxmlformats.org/officeDocument/2006/relationships/hyperlink" Target="https://www.jisilu.cn/question/95518" TargetMode="External"/><Relationship Id="rId80" Type="http://schemas.openxmlformats.org/officeDocument/2006/relationships/hyperlink" Target="https://www.jisilu.cn/data/stock/002846" TargetMode="External"/><Relationship Id="rId176" Type="http://schemas.openxmlformats.org/officeDocument/2006/relationships/hyperlink" Target="https://www.jisilu.cn/data/stock/603677" TargetMode="External"/><Relationship Id="rId383" Type="http://schemas.openxmlformats.org/officeDocument/2006/relationships/hyperlink" Target="https://www.jisilu.cn/question/95518" TargetMode="External"/><Relationship Id="rId590" Type="http://schemas.openxmlformats.org/officeDocument/2006/relationships/hyperlink" Target="https://www.jisilu.cn/data/stock/600326" TargetMode="External"/><Relationship Id="rId604" Type="http://schemas.openxmlformats.org/officeDocument/2006/relationships/hyperlink" Target="https://www.jisilu.cn/question/95518" TargetMode="External"/><Relationship Id="rId811" Type="http://schemas.openxmlformats.org/officeDocument/2006/relationships/hyperlink" Target="https://www.jisilu.cn/data/convert_bond_detail/123035" TargetMode="External"/><Relationship Id="rId1027" Type="http://schemas.openxmlformats.org/officeDocument/2006/relationships/hyperlink" Target="https://www.jisilu.cn/data/convert_bond_detail/110044" TargetMode="External"/><Relationship Id="rId1234" Type="http://schemas.openxmlformats.org/officeDocument/2006/relationships/hyperlink" Target="https://www.jisilu.cn/question/95518" TargetMode="External"/><Relationship Id="rId243" Type="http://schemas.openxmlformats.org/officeDocument/2006/relationships/hyperlink" Target="https://www.jisilu.cn/question/95518" TargetMode="External"/><Relationship Id="rId450" Type="http://schemas.openxmlformats.org/officeDocument/2006/relationships/hyperlink" Target="javascript:addOwnedConvertBond('110033');" TargetMode="External"/><Relationship Id="rId688" Type="http://schemas.openxmlformats.org/officeDocument/2006/relationships/hyperlink" Target="https://www.jisilu.cn/question/95518" TargetMode="External"/><Relationship Id="rId895" Type="http://schemas.openxmlformats.org/officeDocument/2006/relationships/hyperlink" Target="https://www.jisilu.cn/data/convert_bond_detail/113016" TargetMode="External"/><Relationship Id="rId909" Type="http://schemas.openxmlformats.org/officeDocument/2006/relationships/hyperlink" Target="https://www.jisilu.cn/question/95518" TargetMode="External"/><Relationship Id="rId1080" Type="http://schemas.openxmlformats.org/officeDocument/2006/relationships/hyperlink" Target="javascript:addOwnedConvertBond('128014');" TargetMode="External"/><Relationship Id="rId38" Type="http://schemas.openxmlformats.org/officeDocument/2006/relationships/hyperlink" Target="https://www.jisilu.cn/data/stock/603578" TargetMode="External"/><Relationship Id="rId103" Type="http://schemas.openxmlformats.org/officeDocument/2006/relationships/hyperlink" Target="https://www.jisilu.cn/data/convert_bond_detail/128070" TargetMode="External"/><Relationship Id="rId310" Type="http://schemas.openxmlformats.org/officeDocument/2006/relationships/hyperlink" Target="https://www.jisilu.cn/question/95518" TargetMode="External"/><Relationship Id="rId548" Type="http://schemas.openxmlformats.org/officeDocument/2006/relationships/hyperlink" Target="https://www.jisilu.cn/data/stock/300388" TargetMode="External"/><Relationship Id="rId755" Type="http://schemas.openxmlformats.org/officeDocument/2006/relationships/hyperlink" Target="https://www.jisilu.cn/question/95518" TargetMode="External"/><Relationship Id="rId962" Type="http://schemas.openxmlformats.org/officeDocument/2006/relationships/hyperlink" Target="https://www.jisilu.cn/data/stock/603313" TargetMode="External"/><Relationship Id="rId1178" Type="http://schemas.openxmlformats.org/officeDocument/2006/relationships/hyperlink" Target="https://www.jisilu.cn/data/stock/600566" TargetMode="External"/><Relationship Id="rId91" Type="http://schemas.openxmlformats.org/officeDocument/2006/relationships/hyperlink" Target="https://www.jisilu.cn/data/convert_bond_detail/128081" TargetMode="External"/><Relationship Id="rId187" Type="http://schemas.openxmlformats.org/officeDocument/2006/relationships/hyperlink" Target="https://www.jisilu.cn/data/convert_bond_detail/128077" TargetMode="External"/><Relationship Id="rId394" Type="http://schemas.openxmlformats.org/officeDocument/2006/relationships/hyperlink" Target="https://www.jisilu.cn/question/95518" TargetMode="External"/><Relationship Id="rId408" Type="http://schemas.openxmlformats.org/officeDocument/2006/relationships/hyperlink" Target="javascript:addOwnedConvertBond('113542');" TargetMode="External"/><Relationship Id="rId615" Type="http://schemas.openxmlformats.org/officeDocument/2006/relationships/hyperlink" Target="https://www.jisilu.cn/question/95518" TargetMode="External"/><Relationship Id="rId822" Type="http://schemas.openxmlformats.org/officeDocument/2006/relationships/hyperlink" Target="javascript:addOwnedConvertBond('110051');" TargetMode="External"/><Relationship Id="rId1038" Type="http://schemas.openxmlformats.org/officeDocument/2006/relationships/hyperlink" Target="javascript:addOwnedConvertBond('110034');" TargetMode="External"/><Relationship Id="rId1245" Type="http://schemas.openxmlformats.org/officeDocument/2006/relationships/hyperlink" Target="https://www.jisilu.cn/question/95518" TargetMode="External"/><Relationship Id="rId254" Type="http://schemas.openxmlformats.org/officeDocument/2006/relationships/hyperlink" Target="https://www.jisilu.cn/data/stock/300335" TargetMode="External"/><Relationship Id="rId699" Type="http://schemas.openxmlformats.org/officeDocument/2006/relationships/hyperlink" Target="https://www.jisilu.cn/question/95518" TargetMode="External"/><Relationship Id="rId1091" Type="http://schemas.openxmlformats.org/officeDocument/2006/relationships/hyperlink" Target="https://www.jisilu.cn/question/95518" TargetMode="External"/><Relationship Id="rId1105" Type="http://schemas.openxmlformats.org/officeDocument/2006/relationships/hyperlink" Target="https://www.jisilu.cn/data/convert_bond_detail/113009" TargetMode="External"/><Relationship Id="rId49" Type="http://schemas.openxmlformats.org/officeDocument/2006/relationships/hyperlink" Target="https://www.jisilu.cn/data/convert_bond_detail/128025" TargetMode="External"/><Relationship Id="rId114" Type="http://schemas.openxmlformats.org/officeDocument/2006/relationships/hyperlink" Target="javascript:addOwnedConvertBond('128063');" TargetMode="External"/><Relationship Id="rId461" Type="http://schemas.openxmlformats.org/officeDocument/2006/relationships/hyperlink" Target="https://www.jisilu.cn/question/95518" TargetMode="External"/><Relationship Id="rId559" Type="http://schemas.openxmlformats.org/officeDocument/2006/relationships/hyperlink" Target="https://www.jisilu.cn/data/convert_bond_detail/110048" TargetMode="External"/><Relationship Id="rId766" Type="http://schemas.openxmlformats.org/officeDocument/2006/relationships/hyperlink" Target="https://www.jisilu.cn/question/95518" TargetMode="External"/><Relationship Id="rId1189" Type="http://schemas.openxmlformats.org/officeDocument/2006/relationships/hyperlink" Target="https://www.jisilu.cn/data/convert_bond_detail/127008" TargetMode="External"/><Relationship Id="rId198" Type="http://schemas.openxmlformats.org/officeDocument/2006/relationships/hyperlink" Target="javascript:addOwnedConvertBond('123018');" TargetMode="External"/><Relationship Id="rId321" Type="http://schemas.openxmlformats.org/officeDocument/2006/relationships/hyperlink" Target="https://www.jisilu.cn/question/95518" TargetMode="External"/><Relationship Id="rId419" Type="http://schemas.openxmlformats.org/officeDocument/2006/relationships/hyperlink" Target="https://www.jisilu.cn/question/95518" TargetMode="External"/><Relationship Id="rId626" Type="http://schemas.openxmlformats.org/officeDocument/2006/relationships/hyperlink" Target="https://www.jisilu.cn/data/stock/000932" TargetMode="External"/><Relationship Id="rId973" Type="http://schemas.openxmlformats.org/officeDocument/2006/relationships/hyperlink" Target="https://www.jisilu.cn/data/convert_bond_detail/128042" TargetMode="External"/><Relationship Id="rId1049" Type="http://schemas.openxmlformats.org/officeDocument/2006/relationships/hyperlink" Target="https://www.jisilu.cn/question/95518" TargetMode="External"/><Relationship Id="rId833" Type="http://schemas.openxmlformats.org/officeDocument/2006/relationships/hyperlink" Target="https://www.jisilu.cn/question/95518" TargetMode="External"/><Relationship Id="rId1116" Type="http://schemas.openxmlformats.org/officeDocument/2006/relationships/hyperlink" Target="javascript:addOwnedConvertBond('128046');" TargetMode="External"/><Relationship Id="rId265" Type="http://schemas.openxmlformats.org/officeDocument/2006/relationships/hyperlink" Target="https://www.jisilu.cn/data/convert_bond_detail/128055" TargetMode="External"/><Relationship Id="rId472" Type="http://schemas.openxmlformats.org/officeDocument/2006/relationships/hyperlink" Target="https://www.jisilu.cn/question/95518" TargetMode="External"/><Relationship Id="rId900" Type="http://schemas.openxmlformats.org/officeDocument/2006/relationships/hyperlink" Target="javascript:addOwnedConvertBond('113016');" TargetMode="External"/><Relationship Id="rId125" Type="http://schemas.openxmlformats.org/officeDocument/2006/relationships/hyperlink" Target="https://www.jisilu.cn/question/95518" TargetMode="External"/><Relationship Id="rId332" Type="http://schemas.openxmlformats.org/officeDocument/2006/relationships/hyperlink" Target="https://www.jisilu.cn/data/stock/300422" TargetMode="External"/><Relationship Id="rId777" Type="http://schemas.openxmlformats.org/officeDocument/2006/relationships/hyperlink" Target="https://www.jisilu.cn/question/95518" TargetMode="External"/><Relationship Id="rId984" Type="http://schemas.openxmlformats.org/officeDocument/2006/relationships/hyperlink" Target="javascript:addOwnedConvertBond('128072');" TargetMode="External"/><Relationship Id="rId637" Type="http://schemas.openxmlformats.org/officeDocument/2006/relationships/hyperlink" Target="https://www.jisilu.cn/data/convert_bond_detail/123016" TargetMode="External"/><Relationship Id="rId844" Type="http://schemas.openxmlformats.org/officeDocument/2006/relationships/hyperlink" Target="https://www.jisilu.cn/question/95518" TargetMode="External"/><Relationship Id="rId276" Type="http://schemas.openxmlformats.org/officeDocument/2006/relationships/hyperlink" Target="javascript:addOwnedConvertBond('113530');" TargetMode="External"/><Relationship Id="rId483" Type="http://schemas.openxmlformats.org/officeDocument/2006/relationships/hyperlink" Target="https://www.jisilu.cn/question/95518" TargetMode="External"/><Relationship Id="rId690" Type="http://schemas.openxmlformats.org/officeDocument/2006/relationships/hyperlink" Target="javascript:addOwnedConvertBond('110055');" TargetMode="External"/><Relationship Id="rId704" Type="http://schemas.openxmlformats.org/officeDocument/2006/relationships/hyperlink" Target="https://www.jisilu.cn/data/stock/603797" TargetMode="External"/><Relationship Id="rId911" Type="http://schemas.openxmlformats.org/officeDocument/2006/relationships/hyperlink" Target="https://www.jisilu.cn/question/95518" TargetMode="External"/><Relationship Id="rId1127" Type="http://schemas.openxmlformats.org/officeDocument/2006/relationships/hyperlink" Target="https://www.jisilu.cn/question/95518" TargetMode="External"/><Relationship Id="rId40" Type="http://schemas.openxmlformats.org/officeDocument/2006/relationships/hyperlink" Target="https://www.jisilu.cn/question/95518" TargetMode="External"/><Relationship Id="rId136" Type="http://schemas.openxmlformats.org/officeDocument/2006/relationships/hyperlink" Target="https://www.jisilu.cn/question/95518" TargetMode="External"/><Relationship Id="rId343" Type="http://schemas.openxmlformats.org/officeDocument/2006/relationships/hyperlink" Target="https://www.jisilu.cn/data/convert_bond_detail/123015" TargetMode="External"/><Relationship Id="rId550" Type="http://schemas.openxmlformats.org/officeDocument/2006/relationships/hyperlink" Target="https://www.jisilu.cn/question/95518" TargetMode="External"/><Relationship Id="rId788" Type="http://schemas.openxmlformats.org/officeDocument/2006/relationships/hyperlink" Target="https://www.jisilu.cn/data/stock/002707" TargetMode="External"/><Relationship Id="rId995" Type="http://schemas.openxmlformats.org/officeDocument/2006/relationships/hyperlink" Target="https://www.jisilu.cn/question/95518" TargetMode="External"/><Relationship Id="rId1180" Type="http://schemas.openxmlformats.org/officeDocument/2006/relationships/hyperlink" Target="https://www.jisilu.cn/question/95518" TargetMode="External"/><Relationship Id="rId203" Type="http://schemas.openxmlformats.org/officeDocument/2006/relationships/hyperlink" Target="https://www.jisilu.cn/question/95518" TargetMode="External"/><Relationship Id="rId648" Type="http://schemas.openxmlformats.org/officeDocument/2006/relationships/hyperlink" Target="javascript:addOwnedConvertBond('110043');" TargetMode="External"/><Relationship Id="rId855" Type="http://schemas.openxmlformats.org/officeDocument/2006/relationships/hyperlink" Target="https://www.jisilu.cn/question/95518" TargetMode="External"/><Relationship Id="rId1040" Type="http://schemas.openxmlformats.org/officeDocument/2006/relationships/hyperlink" Target="https://www.jisilu.cn/data/stock/601311" TargetMode="External"/><Relationship Id="rId287" Type="http://schemas.openxmlformats.org/officeDocument/2006/relationships/hyperlink" Target="https://www.jisilu.cn/question/95518" TargetMode="External"/><Relationship Id="rId410" Type="http://schemas.openxmlformats.org/officeDocument/2006/relationships/hyperlink" Target="https://www.jisilu.cn/data/stock/300473" TargetMode="External"/><Relationship Id="rId494" Type="http://schemas.openxmlformats.org/officeDocument/2006/relationships/hyperlink" Target="https://www.jisilu.cn/data/stock/000810" TargetMode="External"/><Relationship Id="rId508" Type="http://schemas.openxmlformats.org/officeDocument/2006/relationships/hyperlink" Target="https://www.jisilu.cn/question/95518" TargetMode="External"/><Relationship Id="rId715" Type="http://schemas.openxmlformats.org/officeDocument/2006/relationships/hyperlink" Target="https://www.jisilu.cn/data/convert_bond_detail/123003" TargetMode="External"/><Relationship Id="rId922" Type="http://schemas.openxmlformats.org/officeDocument/2006/relationships/hyperlink" Target="https://www.jisilu.cn/question/95518" TargetMode="External"/><Relationship Id="rId1138" Type="http://schemas.openxmlformats.org/officeDocument/2006/relationships/hyperlink" Target="https://www.jisilu.cn/question/95518" TargetMode="External"/><Relationship Id="rId147" Type="http://schemas.openxmlformats.org/officeDocument/2006/relationships/hyperlink" Target="https://www.jisilu.cn/question/95518" TargetMode="External"/><Relationship Id="rId354" Type="http://schemas.openxmlformats.org/officeDocument/2006/relationships/hyperlink" Target="javascript:addOwnedConvertBond('128044');" TargetMode="External"/><Relationship Id="rId799" Type="http://schemas.openxmlformats.org/officeDocument/2006/relationships/hyperlink" Target="https://www.jisilu.cn/data/convert_bond_detail/110041" TargetMode="External"/><Relationship Id="rId1191" Type="http://schemas.openxmlformats.org/officeDocument/2006/relationships/hyperlink" Target="https://www.jisilu.cn/question/95518" TargetMode="External"/><Relationship Id="rId1205" Type="http://schemas.openxmlformats.org/officeDocument/2006/relationships/hyperlink" Target="https://www.jisilu.cn/question/95518" TargetMode="External"/><Relationship Id="rId51" Type="http://schemas.openxmlformats.org/officeDocument/2006/relationships/hyperlink" Target="https://www.jisilu.cn/question/95518" TargetMode="External"/><Relationship Id="rId561" Type="http://schemas.openxmlformats.org/officeDocument/2006/relationships/hyperlink" Target="https://www.jisilu.cn/question/95518" TargetMode="External"/><Relationship Id="rId659" Type="http://schemas.openxmlformats.org/officeDocument/2006/relationships/hyperlink" Target="https://www.jisilu.cn/question/95518" TargetMode="External"/><Relationship Id="rId866" Type="http://schemas.openxmlformats.org/officeDocument/2006/relationships/hyperlink" Target="https://www.jisilu.cn/data/stock/002446" TargetMode="External"/><Relationship Id="rId214" Type="http://schemas.openxmlformats.org/officeDocument/2006/relationships/hyperlink" Target="https://www.jisilu.cn/question/95518" TargetMode="External"/><Relationship Id="rId298" Type="http://schemas.openxmlformats.org/officeDocument/2006/relationships/hyperlink" Target="https://www.jisilu.cn/question/95518" TargetMode="External"/><Relationship Id="rId421" Type="http://schemas.openxmlformats.org/officeDocument/2006/relationships/hyperlink" Target="https://www.jisilu.cn/data/convert_bond_detail/132020" TargetMode="External"/><Relationship Id="rId519" Type="http://schemas.openxmlformats.org/officeDocument/2006/relationships/hyperlink" Target="https://www.jisilu.cn/question/95518" TargetMode="External"/><Relationship Id="rId1051" Type="http://schemas.openxmlformats.org/officeDocument/2006/relationships/hyperlink" Target="https://www.jisilu.cn/data/convert_bond_detail/110045" TargetMode="External"/><Relationship Id="rId1149" Type="http://schemas.openxmlformats.org/officeDocument/2006/relationships/hyperlink" Target="https://www.jisilu.cn/question/95518" TargetMode="External"/><Relationship Id="rId158" Type="http://schemas.openxmlformats.org/officeDocument/2006/relationships/hyperlink" Target="https://www.jisilu.cn/data/stock/601020" TargetMode="External"/><Relationship Id="rId726" Type="http://schemas.openxmlformats.org/officeDocument/2006/relationships/hyperlink" Target="javascript:addOwnedConvertBond('113551');" TargetMode="External"/><Relationship Id="rId933" Type="http://schemas.openxmlformats.org/officeDocument/2006/relationships/hyperlink" Target="https://www.jisilu.cn/question/95518" TargetMode="External"/><Relationship Id="rId1009" Type="http://schemas.openxmlformats.org/officeDocument/2006/relationships/hyperlink" Target="https://www.jisilu.cn/data/convert_bond_detail/128060" TargetMode="External"/><Relationship Id="rId62" Type="http://schemas.openxmlformats.org/officeDocument/2006/relationships/hyperlink" Target="https://www.jisilu.cn/data/stock/002551" TargetMode="External"/><Relationship Id="rId365" Type="http://schemas.openxmlformats.org/officeDocument/2006/relationships/hyperlink" Target="https://www.jisilu.cn/question/95518" TargetMode="External"/><Relationship Id="rId572" Type="http://schemas.openxmlformats.org/officeDocument/2006/relationships/hyperlink" Target="https://www.jisilu.cn/data/stock/002839" TargetMode="External"/><Relationship Id="rId1216" Type="http://schemas.openxmlformats.org/officeDocument/2006/relationships/hyperlink" Target="https://www.jisilu.cn/question/95518" TargetMode="External"/><Relationship Id="rId225" Type="http://schemas.openxmlformats.org/officeDocument/2006/relationships/hyperlink" Target="https://www.jisilu.cn/question/95518" TargetMode="External"/><Relationship Id="rId432" Type="http://schemas.openxmlformats.org/officeDocument/2006/relationships/hyperlink" Target="javascript:addOwnedConvertBond('127007');" TargetMode="External"/><Relationship Id="rId877" Type="http://schemas.openxmlformats.org/officeDocument/2006/relationships/hyperlink" Target="https://www.jisilu.cn/data/convert_bond_detail/113517" TargetMode="External"/><Relationship Id="rId1062" Type="http://schemas.openxmlformats.org/officeDocument/2006/relationships/hyperlink" Target="javascript:addOwnedConvertBond('132015');" TargetMode="External"/><Relationship Id="rId737" Type="http://schemas.openxmlformats.org/officeDocument/2006/relationships/hyperlink" Target="https://www.jisilu.cn/question/95518" TargetMode="External"/><Relationship Id="rId944" Type="http://schemas.openxmlformats.org/officeDocument/2006/relationships/hyperlink" Target="https://www.jisilu.cn/data/stock/603658" TargetMode="External"/><Relationship Id="rId73" Type="http://schemas.openxmlformats.org/officeDocument/2006/relationships/hyperlink" Target="https://www.jisilu.cn/data/convert_bond_detail/110058" TargetMode="External"/><Relationship Id="rId169" Type="http://schemas.openxmlformats.org/officeDocument/2006/relationships/hyperlink" Target="https://www.jisilu.cn/data/convert_bond_detail/128069" TargetMode="External"/><Relationship Id="rId376" Type="http://schemas.openxmlformats.org/officeDocument/2006/relationships/hyperlink" Target="https://www.jisilu.cn/question/95518" TargetMode="External"/><Relationship Id="rId583" Type="http://schemas.openxmlformats.org/officeDocument/2006/relationships/hyperlink" Target="https://www.jisilu.cn/data/convert_bond_detail/123009" TargetMode="External"/><Relationship Id="rId790" Type="http://schemas.openxmlformats.org/officeDocument/2006/relationships/hyperlink" Target="https://www.jisilu.cn/question/95518" TargetMode="External"/><Relationship Id="rId804" Type="http://schemas.openxmlformats.org/officeDocument/2006/relationships/hyperlink" Target="javascript:addOwnedConvertBond('110041');" TargetMode="External"/><Relationship Id="rId1227" Type="http://schemas.openxmlformats.org/officeDocument/2006/relationships/hyperlink" Target="https://www.jisilu.cn/question/95518" TargetMode="External"/><Relationship Id="rId4" Type="http://schemas.openxmlformats.org/officeDocument/2006/relationships/hyperlink" Target="https://www.jisilu.cn/question/95518" TargetMode="External"/><Relationship Id="rId236" Type="http://schemas.openxmlformats.org/officeDocument/2006/relationships/hyperlink" Target="https://www.jisilu.cn/data/stock/300487" TargetMode="External"/><Relationship Id="rId443" Type="http://schemas.openxmlformats.org/officeDocument/2006/relationships/hyperlink" Target="https://www.jisilu.cn/question/95518" TargetMode="External"/><Relationship Id="rId650" Type="http://schemas.openxmlformats.org/officeDocument/2006/relationships/hyperlink" Target="https://www.jisilu.cn/data/stock/002139" TargetMode="External"/><Relationship Id="rId888" Type="http://schemas.openxmlformats.org/officeDocument/2006/relationships/hyperlink" Target="javascript:addOwnedConvertBond('128020');" TargetMode="External"/><Relationship Id="rId1073" Type="http://schemas.openxmlformats.org/officeDocument/2006/relationships/hyperlink" Target="https://www.jisilu.cn/question/95518" TargetMode="External"/><Relationship Id="rId303" Type="http://schemas.openxmlformats.org/officeDocument/2006/relationships/hyperlink" Target="https://www.jisilu.cn/question/95518" TargetMode="External"/><Relationship Id="rId748" Type="http://schemas.openxmlformats.org/officeDocument/2006/relationships/hyperlink" Target="https://www.jisilu.cn/question/95518" TargetMode="External"/><Relationship Id="rId955" Type="http://schemas.openxmlformats.org/officeDocument/2006/relationships/hyperlink" Target="https://www.jisilu.cn/data/convert_bond_detail/127006" TargetMode="External"/><Relationship Id="rId1140" Type="http://schemas.openxmlformats.org/officeDocument/2006/relationships/hyperlink" Target="javascript:addOwnedConvertBond('128035');" TargetMode="External"/><Relationship Id="rId84" Type="http://schemas.openxmlformats.org/officeDocument/2006/relationships/hyperlink" Target="javascript:delOwnedConvertBond('128079');" TargetMode="External"/><Relationship Id="rId387" Type="http://schemas.openxmlformats.org/officeDocument/2006/relationships/hyperlink" Target="https://www.jisilu.cn/question/95518" TargetMode="External"/><Relationship Id="rId510" Type="http://schemas.openxmlformats.org/officeDocument/2006/relationships/hyperlink" Target="javascript:addOwnedConvertBond('113522');" TargetMode="External"/><Relationship Id="rId594" Type="http://schemas.openxmlformats.org/officeDocument/2006/relationships/hyperlink" Target="javascript:addOwnedConvertBond('110060');" TargetMode="External"/><Relationship Id="rId608" Type="http://schemas.openxmlformats.org/officeDocument/2006/relationships/hyperlink" Target="https://www.jisilu.cn/data/stock/002562" TargetMode="External"/><Relationship Id="rId815" Type="http://schemas.openxmlformats.org/officeDocument/2006/relationships/hyperlink" Target="https://www.jisilu.cn/question/95518" TargetMode="External"/><Relationship Id="rId1238" Type="http://schemas.openxmlformats.org/officeDocument/2006/relationships/hyperlink" Target="https://www.jisilu.cn/data/stock/002245" TargetMode="External"/><Relationship Id="rId247" Type="http://schemas.openxmlformats.org/officeDocument/2006/relationships/hyperlink" Target="https://www.jisilu.cn/data/convert_bond_detail/128034" TargetMode="External"/><Relationship Id="rId899" Type="http://schemas.openxmlformats.org/officeDocument/2006/relationships/hyperlink" Target="https://www.jisilu.cn/question/95518" TargetMode="External"/><Relationship Id="rId1000" Type="http://schemas.openxmlformats.org/officeDocument/2006/relationships/hyperlink" Target="https://www.jisilu.cn/question/95518" TargetMode="External"/><Relationship Id="rId1084" Type="http://schemas.openxmlformats.org/officeDocument/2006/relationships/hyperlink" Target="https://www.jisilu.cn/question/95518" TargetMode="External"/><Relationship Id="rId107" Type="http://schemas.openxmlformats.org/officeDocument/2006/relationships/hyperlink" Target="https://www.jisilu.cn/question/95518" TargetMode="External"/><Relationship Id="rId454" Type="http://schemas.openxmlformats.org/officeDocument/2006/relationships/hyperlink" Target="https://www.jisilu.cn/question/95518" TargetMode="External"/><Relationship Id="rId661" Type="http://schemas.openxmlformats.org/officeDocument/2006/relationships/hyperlink" Target="https://www.jisilu.cn/data/convert_bond_detail/110053" TargetMode="External"/><Relationship Id="rId759" Type="http://schemas.openxmlformats.org/officeDocument/2006/relationships/hyperlink" Target="https://www.jisilu.cn/question/95518" TargetMode="External"/><Relationship Id="rId966" Type="http://schemas.openxmlformats.org/officeDocument/2006/relationships/hyperlink" Target="javascript:addOwnedConvertBond('113520');" TargetMode="External"/><Relationship Id="rId11" Type="http://schemas.openxmlformats.org/officeDocument/2006/relationships/hyperlink" Target="https://www.jisilu.cn/question/95518" TargetMode="External"/><Relationship Id="rId314" Type="http://schemas.openxmlformats.org/officeDocument/2006/relationships/hyperlink" Target="https://www.jisilu.cn/data/stock/300057" TargetMode="External"/><Relationship Id="rId398" Type="http://schemas.openxmlformats.org/officeDocument/2006/relationships/hyperlink" Target="https://www.jisilu.cn/data/stock/600567" TargetMode="External"/><Relationship Id="rId521" Type="http://schemas.openxmlformats.org/officeDocument/2006/relationships/hyperlink" Target="https://www.jisilu.cn/question/95518" TargetMode="External"/><Relationship Id="rId619" Type="http://schemas.openxmlformats.org/officeDocument/2006/relationships/hyperlink" Target="https://www.jisilu.cn/data/convert_bond_detail/128065" TargetMode="External"/><Relationship Id="rId1151" Type="http://schemas.openxmlformats.org/officeDocument/2006/relationships/hyperlink" Target="https://www.jisilu.cn/question/95518" TargetMode="External"/><Relationship Id="rId1249" Type="http://schemas.openxmlformats.org/officeDocument/2006/relationships/hyperlink" Target="https://www.jisilu.cn/data/convert_bond_detail/128012" TargetMode="External"/><Relationship Id="rId95" Type="http://schemas.openxmlformats.org/officeDocument/2006/relationships/hyperlink" Target="https://www.jisilu.cn/question/95518" TargetMode="External"/><Relationship Id="rId160" Type="http://schemas.openxmlformats.org/officeDocument/2006/relationships/hyperlink" Target="https://www.jisilu.cn/question/95518" TargetMode="External"/><Relationship Id="rId826" Type="http://schemas.openxmlformats.org/officeDocument/2006/relationships/hyperlink" Target="https://www.jisilu.cn/question/95518" TargetMode="External"/><Relationship Id="rId1011" Type="http://schemas.openxmlformats.org/officeDocument/2006/relationships/hyperlink" Target="https://www.jisilu.cn/question/95518" TargetMode="External"/><Relationship Id="rId1109" Type="http://schemas.openxmlformats.org/officeDocument/2006/relationships/hyperlink" Target="https://www.jisilu.cn/question/95518" TargetMode="External"/><Relationship Id="rId258" Type="http://schemas.openxmlformats.org/officeDocument/2006/relationships/hyperlink" Target="javascript:addOwnedConvertBond('123023');" TargetMode="External"/><Relationship Id="rId465" Type="http://schemas.openxmlformats.org/officeDocument/2006/relationships/hyperlink" Target="https://www.jisilu.cn/question/95518" TargetMode="External"/><Relationship Id="rId672" Type="http://schemas.openxmlformats.org/officeDocument/2006/relationships/hyperlink" Target="javascript:addOwnedConvertBond('110057');" TargetMode="External"/><Relationship Id="rId1095" Type="http://schemas.openxmlformats.org/officeDocument/2006/relationships/hyperlink" Target="https://www.jisilu.cn/question/95518" TargetMode="External"/><Relationship Id="rId22" Type="http://schemas.openxmlformats.org/officeDocument/2006/relationships/hyperlink" Target="https://www.jisilu.cn/question/95518" TargetMode="External"/><Relationship Id="rId118" Type="http://schemas.openxmlformats.org/officeDocument/2006/relationships/hyperlink" Target="https://www.jisilu.cn/question/95518" TargetMode="External"/><Relationship Id="rId325" Type="http://schemas.openxmlformats.org/officeDocument/2006/relationships/hyperlink" Target="https://www.jisilu.cn/data/convert_bond_detail/128071" TargetMode="External"/><Relationship Id="rId532" Type="http://schemas.openxmlformats.org/officeDocument/2006/relationships/hyperlink" Target="https://www.jisilu.cn/question/95518" TargetMode="External"/><Relationship Id="rId977" Type="http://schemas.openxmlformats.org/officeDocument/2006/relationships/hyperlink" Target="https://www.jisilu.cn/question/95518" TargetMode="External"/><Relationship Id="rId1162" Type="http://schemas.openxmlformats.org/officeDocument/2006/relationships/hyperlink" Target="https://www.jisilu.cn/question/95518" TargetMode="External"/><Relationship Id="rId171" Type="http://schemas.openxmlformats.org/officeDocument/2006/relationships/hyperlink" Target="https://www.jisilu.cn/question/95518" TargetMode="External"/><Relationship Id="rId837" Type="http://schemas.openxmlformats.org/officeDocument/2006/relationships/hyperlink" Target="https://www.jisilu.cn/question/95518" TargetMode="External"/><Relationship Id="rId1022" Type="http://schemas.openxmlformats.org/officeDocument/2006/relationships/hyperlink" Target="https://www.jisilu.cn/data/stock/603225" TargetMode="External"/><Relationship Id="rId269" Type="http://schemas.openxmlformats.org/officeDocument/2006/relationships/hyperlink" Target="https://www.jisilu.cn/question/95518" TargetMode="External"/><Relationship Id="rId476" Type="http://schemas.openxmlformats.org/officeDocument/2006/relationships/hyperlink" Target="https://www.jisilu.cn/data/stock/002318" TargetMode="External"/><Relationship Id="rId683" Type="http://schemas.openxmlformats.org/officeDocument/2006/relationships/hyperlink" Target="https://www.jisilu.cn/question/95518" TargetMode="External"/><Relationship Id="rId890" Type="http://schemas.openxmlformats.org/officeDocument/2006/relationships/hyperlink" Target="https://www.jisilu.cn/data/stock/002078" TargetMode="External"/><Relationship Id="rId904" Type="http://schemas.openxmlformats.org/officeDocument/2006/relationships/hyperlink" Target="https://www.jisilu.cn/question/95518" TargetMode="External"/><Relationship Id="rId33" Type="http://schemas.openxmlformats.org/officeDocument/2006/relationships/hyperlink" Target="https://www.jisilu.cn/question/95518" TargetMode="External"/><Relationship Id="rId129" Type="http://schemas.openxmlformats.org/officeDocument/2006/relationships/hyperlink" Target="https://www.jisilu.cn/question/95518" TargetMode="External"/><Relationship Id="rId336" Type="http://schemas.openxmlformats.org/officeDocument/2006/relationships/hyperlink" Target="javascript:addOwnedConvertBond('123010');" TargetMode="External"/><Relationship Id="rId543" Type="http://schemas.openxmlformats.org/officeDocument/2006/relationships/hyperlink" Target="https://www.jisilu.cn/question/95518" TargetMode="External"/><Relationship Id="rId988" Type="http://schemas.openxmlformats.org/officeDocument/2006/relationships/hyperlink" Target="https://www.jisilu.cn/question/95518" TargetMode="External"/><Relationship Id="rId1173" Type="http://schemas.openxmlformats.org/officeDocument/2006/relationships/hyperlink" Target="https://www.jisilu.cn/question/95518" TargetMode="External"/><Relationship Id="rId182" Type="http://schemas.openxmlformats.org/officeDocument/2006/relationships/hyperlink" Target="https://www.jisilu.cn/data/stock/300407" TargetMode="External"/><Relationship Id="rId403" Type="http://schemas.openxmlformats.org/officeDocument/2006/relationships/hyperlink" Target="https://www.jisilu.cn/data/convert_bond_detail/113542" TargetMode="External"/><Relationship Id="rId750" Type="http://schemas.openxmlformats.org/officeDocument/2006/relationships/hyperlink" Target="javascript:addOwnedConvertBond('113535');" TargetMode="External"/><Relationship Id="rId848" Type="http://schemas.openxmlformats.org/officeDocument/2006/relationships/hyperlink" Target="https://www.jisilu.cn/data/stock/300567" TargetMode="External"/><Relationship Id="rId1033" Type="http://schemas.openxmlformats.org/officeDocument/2006/relationships/hyperlink" Target="https://www.jisilu.cn/data/convert_bond_detail/110034" TargetMode="External"/><Relationship Id="rId487" Type="http://schemas.openxmlformats.org/officeDocument/2006/relationships/hyperlink" Target="https://www.jisilu.cn/data/convert_bond_detail/113516" TargetMode="External"/><Relationship Id="rId610" Type="http://schemas.openxmlformats.org/officeDocument/2006/relationships/hyperlink" Target="https://www.jisilu.cn/question/95518" TargetMode="External"/><Relationship Id="rId694" Type="http://schemas.openxmlformats.org/officeDocument/2006/relationships/hyperlink" Target="https://www.jisilu.cn/question/95518" TargetMode="External"/><Relationship Id="rId708" Type="http://schemas.openxmlformats.org/officeDocument/2006/relationships/hyperlink" Target="javascript:addOwnedConvertBond('113526');" TargetMode="External"/><Relationship Id="rId915" Type="http://schemas.openxmlformats.org/officeDocument/2006/relationships/hyperlink" Target="https://www.jisilu.cn/question/95518" TargetMode="External"/><Relationship Id="rId1240" Type="http://schemas.openxmlformats.org/officeDocument/2006/relationships/hyperlink" Target="https://www.jisilu.cn/question/95518" TargetMode="External"/><Relationship Id="rId347" Type="http://schemas.openxmlformats.org/officeDocument/2006/relationships/hyperlink" Target="https://www.jisilu.cn/question/95518" TargetMode="External"/><Relationship Id="rId999" Type="http://schemas.openxmlformats.org/officeDocument/2006/relationships/hyperlink" Target="https://www.jisilu.cn/question/95518" TargetMode="External"/><Relationship Id="rId1100" Type="http://schemas.openxmlformats.org/officeDocument/2006/relationships/hyperlink" Target="https://www.jisilu.cn/data/stock/002460" TargetMode="External"/><Relationship Id="rId1184" Type="http://schemas.openxmlformats.org/officeDocument/2006/relationships/hyperlink" Target="https://www.jisilu.cn/data/stock/603822" TargetMode="External"/><Relationship Id="rId44" Type="http://schemas.openxmlformats.org/officeDocument/2006/relationships/hyperlink" Target="https://www.jisilu.cn/data/stock/002811" TargetMode="External"/><Relationship Id="rId554" Type="http://schemas.openxmlformats.org/officeDocument/2006/relationships/hyperlink" Target="https://www.jisilu.cn/data/stock/603518" TargetMode="External"/><Relationship Id="rId761" Type="http://schemas.openxmlformats.org/officeDocument/2006/relationships/hyperlink" Target="https://www.jisilu.cn/question/95518" TargetMode="External"/><Relationship Id="rId859" Type="http://schemas.openxmlformats.org/officeDocument/2006/relationships/hyperlink" Target="https://www.jisilu.cn/data/convert_bond_detail/113533" TargetMode="External"/><Relationship Id="rId193" Type="http://schemas.openxmlformats.org/officeDocument/2006/relationships/hyperlink" Target="https://www.jisilu.cn/data/convert_bond_detail/123018" TargetMode="External"/><Relationship Id="rId207" Type="http://schemas.openxmlformats.org/officeDocument/2006/relationships/hyperlink" Target="https://www.jisilu.cn/question/95518" TargetMode="External"/><Relationship Id="rId414" Type="http://schemas.openxmlformats.org/officeDocument/2006/relationships/hyperlink" Target="javascript:addOwnedConvertBond('123011');" TargetMode="External"/><Relationship Id="rId498" Type="http://schemas.openxmlformats.org/officeDocument/2006/relationships/hyperlink" Target="javascript:addOwnedConvertBond('127013');" TargetMode="External"/><Relationship Id="rId621" Type="http://schemas.openxmlformats.org/officeDocument/2006/relationships/hyperlink" Target="https://www.jisilu.cn/question/95518" TargetMode="External"/><Relationship Id="rId1044" Type="http://schemas.openxmlformats.org/officeDocument/2006/relationships/hyperlink" Target="javascript:addOwnedConvertBond('113012');" TargetMode="External"/><Relationship Id="rId1251" Type="http://schemas.openxmlformats.org/officeDocument/2006/relationships/hyperlink" Target="https://www.jisilu.cn/question/95518" TargetMode="External"/><Relationship Id="rId260" Type="http://schemas.openxmlformats.org/officeDocument/2006/relationships/hyperlink" Target="https://www.jisilu.cn/data/stock/002758" TargetMode="External"/><Relationship Id="rId719" Type="http://schemas.openxmlformats.org/officeDocument/2006/relationships/hyperlink" Target="https://www.jisilu.cn/question/95518" TargetMode="External"/><Relationship Id="rId926" Type="http://schemas.openxmlformats.org/officeDocument/2006/relationships/hyperlink" Target="https://www.jisilu.cn/data/stock/600498" TargetMode="External"/><Relationship Id="rId1111" Type="http://schemas.openxmlformats.org/officeDocument/2006/relationships/hyperlink" Target="https://www.jisilu.cn/data/convert_bond_detail/128046" TargetMode="External"/><Relationship Id="rId55" Type="http://schemas.openxmlformats.org/officeDocument/2006/relationships/hyperlink" Target="https://www.jisilu.cn/data/convert_bond_detail/123030" TargetMode="External"/><Relationship Id="rId120" Type="http://schemas.openxmlformats.org/officeDocument/2006/relationships/hyperlink" Target="javascript:addOwnedConvertBond('128039');" TargetMode="External"/><Relationship Id="rId358" Type="http://schemas.openxmlformats.org/officeDocument/2006/relationships/hyperlink" Target="https://www.jisilu.cn/question/95518" TargetMode="External"/><Relationship Id="rId565" Type="http://schemas.openxmlformats.org/officeDocument/2006/relationships/hyperlink" Target="https://www.jisilu.cn/data/convert_bond_detail/113519" TargetMode="External"/><Relationship Id="rId772" Type="http://schemas.openxmlformats.org/officeDocument/2006/relationships/hyperlink" Target="https://www.jisilu.cn/question/95518" TargetMode="External"/><Relationship Id="rId1195" Type="http://schemas.openxmlformats.org/officeDocument/2006/relationships/hyperlink" Target="https://www.jisilu.cn/data/convert_bond_detail/132007" TargetMode="External"/><Relationship Id="rId1209" Type="http://schemas.openxmlformats.org/officeDocument/2006/relationships/hyperlink" Target="https://www.jisilu.cn/question/95518" TargetMode="External"/><Relationship Id="rId218" Type="http://schemas.openxmlformats.org/officeDocument/2006/relationships/hyperlink" Target="https://www.jisilu.cn/data/stock/603626" TargetMode="External"/><Relationship Id="rId425" Type="http://schemas.openxmlformats.org/officeDocument/2006/relationships/hyperlink" Target="https://www.jisilu.cn/question/95518" TargetMode="External"/><Relationship Id="rId632" Type="http://schemas.openxmlformats.org/officeDocument/2006/relationships/hyperlink" Target="https://www.jisilu.cn/data/stock/603618" TargetMode="External"/><Relationship Id="rId1055" Type="http://schemas.openxmlformats.org/officeDocument/2006/relationships/hyperlink" Target="https://www.jisilu.cn/question/95518" TargetMode="External"/><Relationship Id="rId271" Type="http://schemas.openxmlformats.org/officeDocument/2006/relationships/hyperlink" Target="https://www.jisilu.cn/data/convert_bond_detail/113530" TargetMode="External"/><Relationship Id="rId937" Type="http://schemas.openxmlformats.org/officeDocument/2006/relationships/hyperlink" Target="https://www.jisilu.cn/data/convert_bond_detail/128068" TargetMode="External"/><Relationship Id="rId1122" Type="http://schemas.openxmlformats.org/officeDocument/2006/relationships/hyperlink" Target="javascript:addOwnedConvertBond('128038');" TargetMode="External"/><Relationship Id="rId66" Type="http://schemas.openxmlformats.org/officeDocument/2006/relationships/hyperlink" Target="javascript:addOwnedConvertBond('128053');" TargetMode="External"/><Relationship Id="rId131" Type="http://schemas.openxmlformats.org/officeDocument/2006/relationships/hyperlink" Target="https://www.jisilu.cn/question/95518" TargetMode="External"/><Relationship Id="rId369" Type="http://schemas.openxmlformats.org/officeDocument/2006/relationships/hyperlink" Target="https://www.jisilu.cn/question/95518" TargetMode="External"/><Relationship Id="rId576" Type="http://schemas.openxmlformats.org/officeDocument/2006/relationships/hyperlink" Target="javascript:addOwnedConvertBond('128048');" TargetMode="External"/><Relationship Id="rId783" Type="http://schemas.openxmlformats.org/officeDocument/2006/relationships/hyperlink" Target="https://www.jisilu.cn/question/95518" TargetMode="External"/><Relationship Id="rId990" Type="http://schemas.openxmlformats.org/officeDocument/2006/relationships/hyperlink" Target="javascript:addOwnedConvertBond('128067');" TargetMode="External"/><Relationship Id="rId229" Type="http://schemas.openxmlformats.org/officeDocument/2006/relationships/hyperlink" Target="https://www.jisilu.cn/data/convert_bond_detail/123021" TargetMode="External"/><Relationship Id="rId436" Type="http://schemas.openxmlformats.org/officeDocument/2006/relationships/hyperlink" Target="https://www.jisilu.cn/question/95518" TargetMode="External"/><Relationship Id="rId643" Type="http://schemas.openxmlformats.org/officeDocument/2006/relationships/hyperlink" Target="https://www.jisilu.cn/data/convert_bond_detail/110043" TargetMode="External"/><Relationship Id="rId1066" Type="http://schemas.openxmlformats.org/officeDocument/2006/relationships/hyperlink" Target="https://www.jisilu.cn/question/95518" TargetMode="External"/><Relationship Id="rId850" Type="http://schemas.openxmlformats.org/officeDocument/2006/relationships/hyperlink" Target="https://www.jisilu.cn/question/95518" TargetMode="External"/><Relationship Id="rId948" Type="http://schemas.openxmlformats.org/officeDocument/2006/relationships/hyperlink" Target="javascript:addOwnedConvertBond('113538');" TargetMode="External"/><Relationship Id="rId1133" Type="http://schemas.openxmlformats.org/officeDocument/2006/relationships/hyperlink" Target="https://www.jisilu.cn/question/95518" TargetMode="External"/><Relationship Id="rId77" Type="http://schemas.openxmlformats.org/officeDocument/2006/relationships/hyperlink" Target="https://www.jisilu.cn/question/95518" TargetMode="External"/><Relationship Id="rId282" Type="http://schemas.openxmlformats.org/officeDocument/2006/relationships/hyperlink" Target="javascript:addOwnedConvertBond('123024');" TargetMode="External"/><Relationship Id="rId503" Type="http://schemas.openxmlformats.org/officeDocument/2006/relationships/hyperlink" Target="https://www.jisilu.cn/question/95518" TargetMode="External"/><Relationship Id="rId587" Type="http://schemas.openxmlformats.org/officeDocument/2006/relationships/hyperlink" Target="https://www.jisilu.cn/question/95518" TargetMode="External"/><Relationship Id="rId710" Type="http://schemas.openxmlformats.org/officeDocument/2006/relationships/hyperlink" Target="https://www.jisilu.cn/data/stock/002841" TargetMode="External"/><Relationship Id="rId808" Type="http://schemas.openxmlformats.org/officeDocument/2006/relationships/hyperlink" Target="https://www.jisilu.cn/question/95518" TargetMode="External"/><Relationship Id="rId8" Type="http://schemas.openxmlformats.org/officeDocument/2006/relationships/hyperlink" Target="https://www.jisilu.cn/data/stock/300265" TargetMode="External"/><Relationship Id="rId142" Type="http://schemas.openxmlformats.org/officeDocument/2006/relationships/hyperlink" Target="https://www.jisilu.cn/question/95518" TargetMode="External"/><Relationship Id="rId447" Type="http://schemas.openxmlformats.org/officeDocument/2006/relationships/hyperlink" Target="https://www.jisilu.cn/question/95518" TargetMode="External"/><Relationship Id="rId794" Type="http://schemas.openxmlformats.org/officeDocument/2006/relationships/hyperlink" Target="https://www.jisilu.cn/data/stock/603833" TargetMode="External"/><Relationship Id="rId1077" Type="http://schemas.openxmlformats.org/officeDocument/2006/relationships/hyperlink" Target="https://www.jisilu.cn/question/95518" TargetMode="External"/><Relationship Id="rId1200" Type="http://schemas.openxmlformats.org/officeDocument/2006/relationships/hyperlink" Target="javascript:addOwnedConvertBond('132007');" TargetMode="External"/><Relationship Id="rId654" Type="http://schemas.openxmlformats.org/officeDocument/2006/relationships/hyperlink" Target="javascript:addOwnedConvertBond('128058');" TargetMode="External"/><Relationship Id="rId861" Type="http://schemas.openxmlformats.org/officeDocument/2006/relationships/hyperlink" Target="https://www.jisilu.cn/question/95518" TargetMode="External"/><Relationship Id="rId959" Type="http://schemas.openxmlformats.org/officeDocument/2006/relationships/hyperlink" Target="https://www.jisilu.cn/question/95518" TargetMode="External"/><Relationship Id="rId293" Type="http://schemas.openxmlformats.org/officeDocument/2006/relationships/hyperlink" Target="https://www.jisilu.cn/question/95518" TargetMode="External"/><Relationship Id="rId307" Type="http://schemas.openxmlformats.org/officeDocument/2006/relationships/hyperlink" Target="https://www.jisilu.cn/data/convert_bond_detail/113025" TargetMode="External"/><Relationship Id="rId514" Type="http://schemas.openxmlformats.org/officeDocument/2006/relationships/hyperlink" Target="https://www.jisilu.cn/question/95518" TargetMode="External"/><Relationship Id="rId721" Type="http://schemas.openxmlformats.org/officeDocument/2006/relationships/hyperlink" Target="https://www.jisilu.cn/data/convert_bond_detail/113551" TargetMode="External"/><Relationship Id="rId1144" Type="http://schemas.openxmlformats.org/officeDocument/2006/relationships/hyperlink" Target="https://www.jisilu.cn/question/95518" TargetMode="External"/><Relationship Id="rId88" Type="http://schemas.openxmlformats.org/officeDocument/2006/relationships/hyperlink" Target="https://www.jisilu.cn/question/95518" TargetMode="External"/><Relationship Id="rId153" Type="http://schemas.openxmlformats.org/officeDocument/2006/relationships/hyperlink" Target="https://www.jisilu.cn/question/95518" TargetMode="External"/><Relationship Id="rId360" Type="http://schemas.openxmlformats.org/officeDocument/2006/relationships/hyperlink" Target="javascript:addOwnedConvertBond('128036');" TargetMode="External"/><Relationship Id="rId598" Type="http://schemas.openxmlformats.org/officeDocument/2006/relationships/hyperlink" Target="https://www.jisilu.cn/question/95518" TargetMode="External"/><Relationship Id="rId819" Type="http://schemas.openxmlformats.org/officeDocument/2006/relationships/hyperlink" Target="https://www.jisilu.cn/question/95518" TargetMode="External"/><Relationship Id="rId1004" Type="http://schemas.openxmlformats.org/officeDocument/2006/relationships/hyperlink" Target="https://www.jisilu.cn/data/stock/603866" TargetMode="External"/><Relationship Id="rId1211" Type="http://schemas.openxmlformats.org/officeDocument/2006/relationships/hyperlink" Target="https://www.jisilu.cn/question/95518" TargetMode="External"/><Relationship Id="rId220" Type="http://schemas.openxmlformats.org/officeDocument/2006/relationships/hyperlink" Target="https://www.jisilu.cn/question/95518" TargetMode="External"/><Relationship Id="rId458" Type="http://schemas.openxmlformats.org/officeDocument/2006/relationships/hyperlink" Target="https://www.jisilu.cn/data/stock/600487" TargetMode="External"/><Relationship Id="rId665" Type="http://schemas.openxmlformats.org/officeDocument/2006/relationships/hyperlink" Target="https://www.jisilu.cn/question/95518" TargetMode="External"/><Relationship Id="rId872" Type="http://schemas.openxmlformats.org/officeDocument/2006/relationships/hyperlink" Target="https://www.jisilu.cn/data/stock/300409" TargetMode="External"/><Relationship Id="rId1088" Type="http://schemas.openxmlformats.org/officeDocument/2006/relationships/hyperlink" Target="https://www.jisilu.cn/data/stock/300655" TargetMode="External"/><Relationship Id="rId15" Type="http://schemas.openxmlformats.org/officeDocument/2006/relationships/hyperlink" Target="https://www.jisilu.cn/question/95518" TargetMode="External"/><Relationship Id="rId318" Type="http://schemas.openxmlformats.org/officeDocument/2006/relationships/hyperlink" Target="javascript:addOwnedConvertBond('123012');" TargetMode="External"/><Relationship Id="rId525" Type="http://schemas.openxmlformats.org/officeDocument/2006/relationships/hyperlink" Target="https://www.jisilu.cn/question/95518" TargetMode="External"/><Relationship Id="rId732" Type="http://schemas.openxmlformats.org/officeDocument/2006/relationships/hyperlink" Target="javascript:addOwnedConvertBond('113509');" TargetMode="External"/><Relationship Id="rId1155" Type="http://schemas.openxmlformats.org/officeDocument/2006/relationships/hyperlink" Target="https://www.jisilu.cn/question/95518" TargetMode="External"/><Relationship Id="rId99" Type="http://schemas.openxmlformats.org/officeDocument/2006/relationships/hyperlink" Target="https://www.jisilu.cn/question/95518" TargetMode="External"/><Relationship Id="rId164" Type="http://schemas.openxmlformats.org/officeDocument/2006/relationships/hyperlink" Target="https://www.jisilu.cn/data/stock/002649" TargetMode="External"/><Relationship Id="rId371" Type="http://schemas.openxmlformats.org/officeDocument/2006/relationships/hyperlink" Target="https://www.jisilu.cn/question/95518" TargetMode="External"/><Relationship Id="rId1015" Type="http://schemas.openxmlformats.org/officeDocument/2006/relationships/hyperlink" Target="https://www.jisilu.cn/data/convert_bond_detail/128026" TargetMode="External"/><Relationship Id="rId1222" Type="http://schemas.openxmlformats.org/officeDocument/2006/relationships/hyperlink" Target="https://www.jisilu.cn/question/95518" TargetMode="External"/><Relationship Id="rId469" Type="http://schemas.openxmlformats.org/officeDocument/2006/relationships/hyperlink" Target="https://www.jisilu.cn/data/convert_bond_detail/110046" TargetMode="External"/><Relationship Id="rId676" Type="http://schemas.openxmlformats.org/officeDocument/2006/relationships/hyperlink" Target="https://www.jisilu.cn/question/95518" TargetMode="External"/><Relationship Id="rId883" Type="http://schemas.openxmlformats.org/officeDocument/2006/relationships/hyperlink" Target="https://www.jisilu.cn/data/convert_bond_detail/128020" TargetMode="External"/><Relationship Id="rId1099" Type="http://schemas.openxmlformats.org/officeDocument/2006/relationships/hyperlink" Target="https://www.jisilu.cn/data/convert_bond_detail/128028" TargetMode="External"/><Relationship Id="rId26" Type="http://schemas.openxmlformats.org/officeDocument/2006/relationships/hyperlink" Target="https://www.jisilu.cn/data/stock/002787" TargetMode="External"/><Relationship Id="rId231" Type="http://schemas.openxmlformats.org/officeDocument/2006/relationships/hyperlink" Target="https://www.jisilu.cn/question/95518" TargetMode="External"/><Relationship Id="rId329" Type="http://schemas.openxmlformats.org/officeDocument/2006/relationships/hyperlink" Target="https://www.jisilu.cn/question/95518" TargetMode="External"/><Relationship Id="rId536" Type="http://schemas.openxmlformats.org/officeDocument/2006/relationships/hyperlink" Target="https://www.jisilu.cn/data/stock/000065" TargetMode="External"/><Relationship Id="rId1166" Type="http://schemas.openxmlformats.org/officeDocument/2006/relationships/hyperlink" Target="https://www.jisilu.cn/data/stock/002783" TargetMode="External"/><Relationship Id="rId175" Type="http://schemas.openxmlformats.org/officeDocument/2006/relationships/hyperlink" Target="https://www.jisilu.cn/data/convert_bond_detail/113524" TargetMode="External"/><Relationship Id="rId743" Type="http://schemas.openxmlformats.org/officeDocument/2006/relationships/hyperlink" Target="https://www.jisilu.cn/question/95518" TargetMode="External"/><Relationship Id="rId950" Type="http://schemas.openxmlformats.org/officeDocument/2006/relationships/hyperlink" Target="https://www.jisilu.cn/data/stock/002597" TargetMode="External"/><Relationship Id="rId1026" Type="http://schemas.openxmlformats.org/officeDocument/2006/relationships/hyperlink" Target="javascript:addOwnedConvertBond('113508');" TargetMode="External"/><Relationship Id="rId382" Type="http://schemas.openxmlformats.org/officeDocument/2006/relationships/hyperlink" Target="https://www.jisilu.cn/question/95518" TargetMode="External"/><Relationship Id="rId603" Type="http://schemas.openxmlformats.org/officeDocument/2006/relationships/hyperlink" Target="https://www.jisilu.cn/question/95518" TargetMode="External"/><Relationship Id="rId687" Type="http://schemas.openxmlformats.org/officeDocument/2006/relationships/hyperlink" Target="https://www.jisilu.cn/question/95518" TargetMode="External"/><Relationship Id="rId810" Type="http://schemas.openxmlformats.org/officeDocument/2006/relationships/hyperlink" Target="javascript:addOwnedConvertBond('113531');" TargetMode="External"/><Relationship Id="rId908" Type="http://schemas.openxmlformats.org/officeDocument/2006/relationships/hyperlink" Target="https://www.jisilu.cn/data/stock/600674" TargetMode="External"/><Relationship Id="rId1233" Type="http://schemas.openxmlformats.org/officeDocument/2006/relationships/hyperlink" Target="https://www.jisilu.cn/question/95518" TargetMode="External"/><Relationship Id="rId242" Type="http://schemas.openxmlformats.org/officeDocument/2006/relationships/hyperlink" Target="https://www.jisilu.cn/data/stock/300591" TargetMode="External"/><Relationship Id="rId894" Type="http://schemas.openxmlformats.org/officeDocument/2006/relationships/hyperlink" Target="javascript:addOwnedConvertBond('128029');" TargetMode="External"/><Relationship Id="rId1177" Type="http://schemas.openxmlformats.org/officeDocument/2006/relationships/hyperlink" Target="https://www.jisilu.cn/data/convert_bond_detail/110038" TargetMode="External"/><Relationship Id="rId37" Type="http://schemas.openxmlformats.org/officeDocument/2006/relationships/hyperlink" Target="https://www.jisilu.cn/data/convert_bond_detail/113536" TargetMode="External"/><Relationship Id="rId102" Type="http://schemas.openxmlformats.org/officeDocument/2006/relationships/hyperlink" Target="javascript:addOwnedConvertBond('113541');" TargetMode="External"/><Relationship Id="rId547" Type="http://schemas.openxmlformats.org/officeDocument/2006/relationships/hyperlink" Target="https://www.jisilu.cn/data/convert_bond_detail/123002" TargetMode="External"/><Relationship Id="rId754" Type="http://schemas.openxmlformats.org/officeDocument/2006/relationships/hyperlink" Target="https://www.jisilu.cn/question/95518" TargetMode="External"/><Relationship Id="rId961" Type="http://schemas.openxmlformats.org/officeDocument/2006/relationships/hyperlink" Target="https://www.jisilu.cn/data/convert_bond_detail/113520" TargetMode="External"/><Relationship Id="rId90" Type="http://schemas.openxmlformats.org/officeDocument/2006/relationships/hyperlink" Target="javascript:addOwnedConvertBond('113514');" TargetMode="External"/><Relationship Id="rId186" Type="http://schemas.openxmlformats.org/officeDocument/2006/relationships/hyperlink" Target="javascript:addOwnedConvertBond('123014');" TargetMode="External"/><Relationship Id="rId393" Type="http://schemas.openxmlformats.org/officeDocument/2006/relationships/hyperlink" Target="https://www.jisilu.cn/question/95518" TargetMode="External"/><Relationship Id="rId407" Type="http://schemas.openxmlformats.org/officeDocument/2006/relationships/hyperlink" Target="https://www.jisilu.cn/question/95518" TargetMode="External"/><Relationship Id="rId614" Type="http://schemas.openxmlformats.org/officeDocument/2006/relationships/hyperlink" Target="https://www.jisilu.cn/data/stock/603817" TargetMode="External"/><Relationship Id="rId821" Type="http://schemas.openxmlformats.org/officeDocument/2006/relationships/hyperlink" Target="https://www.jisilu.cn/question/95518" TargetMode="External"/><Relationship Id="rId1037" Type="http://schemas.openxmlformats.org/officeDocument/2006/relationships/hyperlink" Target="https://www.jisilu.cn/question/95518" TargetMode="External"/><Relationship Id="rId1244" Type="http://schemas.openxmlformats.org/officeDocument/2006/relationships/hyperlink" Target="https://www.jisilu.cn/data/stock/600633" TargetMode="External"/><Relationship Id="rId253" Type="http://schemas.openxmlformats.org/officeDocument/2006/relationships/hyperlink" Target="https://www.jisilu.cn/data/convert_bond_detail/123023" TargetMode="External"/><Relationship Id="rId460" Type="http://schemas.openxmlformats.org/officeDocument/2006/relationships/hyperlink" Target="https://www.jisilu.cn/question/95518" TargetMode="External"/><Relationship Id="rId698" Type="http://schemas.openxmlformats.org/officeDocument/2006/relationships/hyperlink" Target="https://www.jisilu.cn/data/stock/601966" TargetMode="External"/><Relationship Id="rId919" Type="http://schemas.openxmlformats.org/officeDocument/2006/relationships/hyperlink" Target="https://www.jisilu.cn/data/convert_bond_detail/113022" TargetMode="External"/><Relationship Id="rId1090" Type="http://schemas.openxmlformats.org/officeDocument/2006/relationships/hyperlink" Target="https://www.jisilu.cn/question/95518" TargetMode="External"/><Relationship Id="rId1104" Type="http://schemas.openxmlformats.org/officeDocument/2006/relationships/hyperlink" Target="javascript:addOwnedConvertBond('128028');" TargetMode="External"/><Relationship Id="rId48" Type="http://schemas.openxmlformats.org/officeDocument/2006/relationships/hyperlink" Target="javascript:delOwnedConvertBond('128066');" TargetMode="External"/><Relationship Id="rId113" Type="http://schemas.openxmlformats.org/officeDocument/2006/relationships/hyperlink" Target="https://www.jisilu.cn/question/95518" TargetMode="External"/><Relationship Id="rId320" Type="http://schemas.openxmlformats.org/officeDocument/2006/relationships/hyperlink" Target="https://www.jisilu.cn/data/stock/603027" TargetMode="External"/><Relationship Id="rId558" Type="http://schemas.openxmlformats.org/officeDocument/2006/relationships/hyperlink" Target="javascript:addOwnedConvertBond('113527');" TargetMode="External"/><Relationship Id="rId765" Type="http://schemas.openxmlformats.org/officeDocument/2006/relationships/hyperlink" Target="https://www.jisilu.cn/question/95518" TargetMode="External"/><Relationship Id="rId972" Type="http://schemas.openxmlformats.org/officeDocument/2006/relationships/hyperlink" Target="javascript:addOwnedConvertBond('128045');" TargetMode="External"/><Relationship Id="rId1188" Type="http://schemas.openxmlformats.org/officeDocument/2006/relationships/hyperlink" Target="javascript:addOwnedConvertBond('113502');" TargetMode="External"/><Relationship Id="rId197" Type="http://schemas.openxmlformats.org/officeDocument/2006/relationships/hyperlink" Target="https://www.jisilu.cn/question/95518" TargetMode="External"/><Relationship Id="rId418" Type="http://schemas.openxmlformats.org/officeDocument/2006/relationships/hyperlink" Target="https://www.jisilu.cn/question/95518" TargetMode="External"/><Relationship Id="rId625" Type="http://schemas.openxmlformats.org/officeDocument/2006/relationships/hyperlink" Target="https://www.jisilu.cn/data/convert_bond_detail/120003" TargetMode="External"/><Relationship Id="rId832" Type="http://schemas.openxmlformats.org/officeDocument/2006/relationships/hyperlink" Target="https://www.jisilu.cn/question/95518" TargetMode="External"/><Relationship Id="rId1048" Type="http://schemas.openxmlformats.org/officeDocument/2006/relationships/hyperlink" Target="https://www.jisilu.cn/question/95518" TargetMode="External"/><Relationship Id="rId264" Type="http://schemas.openxmlformats.org/officeDocument/2006/relationships/hyperlink" Target="javascript:addOwnedConvertBond('128040');" TargetMode="External"/><Relationship Id="rId471" Type="http://schemas.openxmlformats.org/officeDocument/2006/relationships/hyperlink" Target="https://www.jisilu.cn/question/95518" TargetMode="External"/><Relationship Id="rId1115" Type="http://schemas.openxmlformats.org/officeDocument/2006/relationships/hyperlink" Target="https://www.jisilu.cn/question/95518" TargetMode="External"/><Relationship Id="rId59" Type="http://schemas.openxmlformats.org/officeDocument/2006/relationships/hyperlink" Target="https://www.jisilu.cn/question/95518" TargetMode="External"/><Relationship Id="rId124" Type="http://schemas.openxmlformats.org/officeDocument/2006/relationships/hyperlink" Target="https://www.jisilu.cn/question/95518" TargetMode="External"/><Relationship Id="rId569" Type="http://schemas.openxmlformats.org/officeDocument/2006/relationships/hyperlink" Target="https://www.jisilu.cn/question/95518" TargetMode="External"/><Relationship Id="rId776" Type="http://schemas.openxmlformats.org/officeDocument/2006/relationships/hyperlink" Target="https://www.jisilu.cn/data/stock/601929" TargetMode="External"/><Relationship Id="rId983" Type="http://schemas.openxmlformats.org/officeDocument/2006/relationships/hyperlink" Target="https://www.jisilu.cn/question/95518" TargetMode="External"/><Relationship Id="rId1199" Type="http://schemas.openxmlformats.org/officeDocument/2006/relationships/hyperlink" Target="https://www.jisilu.cn/question/95518" TargetMode="External"/><Relationship Id="rId331" Type="http://schemas.openxmlformats.org/officeDocument/2006/relationships/hyperlink" Target="https://www.jisilu.cn/data/convert_bond_detail/123010" TargetMode="External"/><Relationship Id="rId429" Type="http://schemas.openxmlformats.org/officeDocument/2006/relationships/hyperlink" Target="https://www.jisilu.cn/question/95518" TargetMode="External"/><Relationship Id="rId636" Type="http://schemas.openxmlformats.org/officeDocument/2006/relationships/hyperlink" Target="javascript:addOwnedConvertBond('113505');" TargetMode="External"/><Relationship Id="rId1059" Type="http://schemas.openxmlformats.org/officeDocument/2006/relationships/hyperlink" Target="https://www.jisilu.cn/question/95518" TargetMode="External"/><Relationship Id="rId843" Type="http://schemas.openxmlformats.org/officeDocument/2006/relationships/hyperlink" Target="https://www.jisilu.cn/question/95518" TargetMode="External"/><Relationship Id="rId1126" Type="http://schemas.openxmlformats.org/officeDocument/2006/relationships/hyperlink" Target="https://www.jisilu.cn/question/95518" TargetMode="External"/><Relationship Id="rId275" Type="http://schemas.openxmlformats.org/officeDocument/2006/relationships/hyperlink" Target="https://www.jisilu.cn/question/95518" TargetMode="External"/><Relationship Id="rId482" Type="http://schemas.openxmlformats.org/officeDocument/2006/relationships/hyperlink" Target="https://www.jisilu.cn/data/stock/300539" TargetMode="External"/><Relationship Id="rId703" Type="http://schemas.openxmlformats.org/officeDocument/2006/relationships/hyperlink" Target="https://www.jisilu.cn/data/convert_bond_detail/113526" TargetMode="External"/><Relationship Id="rId910" Type="http://schemas.openxmlformats.org/officeDocument/2006/relationships/hyperlink" Target="https://www.jisilu.cn/question/95518" TargetMode="External"/><Relationship Id="rId135" Type="http://schemas.openxmlformats.org/officeDocument/2006/relationships/hyperlink" Target="https://www.jisilu.cn/question/95518" TargetMode="External"/><Relationship Id="rId342" Type="http://schemas.openxmlformats.org/officeDocument/2006/relationships/hyperlink" Target="javascript:addOwnedConvertBond('113545');" TargetMode="External"/><Relationship Id="rId787" Type="http://schemas.openxmlformats.org/officeDocument/2006/relationships/hyperlink" Target="https://www.jisilu.cn/data/convert_bond_detail/128022" TargetMode="External"/><Relationship Id="rId994" Type="http://schemas.openxmlformats.org/officeDocument/2006/relationships/hyperlink" Target="https://www.jisilu.cn/question/95518" TargetMode="External"/><Relationship Id="rId202" Type="http://schemas.openxmlformats.org/officeDocument/2006/relationships/hyperlink" Target="https://www.jisilu.cn/question/95518" TargetMode="External"/><Relationship Id="rId647" Type="http://schemas.openxmlformats.org/officeDocument/2006/relationships/hyperlink" Target="https://www.jisilu.cn/question/95518" TargetMode="External"/><Relationship Id="rId854" Type="http://schemas.openxmlformats.org/officeDocument/2006/relationships/hyperlink" Target="https://www.jisilu.cn/data/stock/002368" TargetMode="External"/><Relationship Id="rId286" Type="http://schemas.openxmlformats.org/officeDocument/2006/relationships/hyperlink" Target="https://www.jisilu.cn/question/95518" TargetMode="External"/><Relationship Id="rId493" Type="http://schemas.openxmlformats.org/officeDocument/2006/relationships/hyperlink" Target="https://www.jisilu.cn/data/convert_bond_detail/127013" TargetMode="External"/><Relationship Id="rId507" Type="http://schemas.openxmlformats.org/officeDocument/2006/relationships/hyperlink" Target="https://www.jisilu.cn/question/95518" TargetMode="External"/><Relationship Id="rId714" Type="http://schemas.openxmlformats.org/officeDocument/2006/relationships/hyperlink" Target="javascript:addOwnedConvertBond('128059');" TargetMode="External"/><Relationship Id="rId921" Type="http://schemas.openxmlformats.org/officeDocument/2006/relationships/hyperlink" Target="https://www.jisilu.cn/question/95518" TargetMode="External"/><Relationship Id="rId1137" Type="http://schemas.openxmlformats.org/officeDocument/2006/relationships/hyperlink" Target="https://www.jisilu.cn/question/95518" TargetMode="External"/><Relationship Id="rId50" Type="http://schemas.openxmlformats.org/officeDocument/2006/relationships/hyperlink" Target="https://www.jisilu.cn/data/stock/002728" TargetMode="External"/><Relationship Id="rId146" Type="http://schemas.openxmlformats.org/officeDocument/2006/relationships/hyperlink" Target="https://www.jisilu.cn/data/stock/002863" TargetMode="External"/><Relationship Id="rId353" Type="http://schemas.openxmlformats.org/officeDocument/2006/relationships/hyperlink" Target="https://www.jisilu.cn/question/95518" TargetMode="External"/><Relationship Id="rId560" Type="http://schemas.openxmlformats.org/officeDocument/2006/relationships/hyperlink" Target="https://www.jisilu.cn/data/stock/600483" TargetMode="External"/><Relationship Id="rId798" Type="http://schemas.openxmlformats.org/officeDocument/2006/relationships/hyperlink" Target="javascript:addOwnedConvertBond('113543');" TargetMode="External"/><Relationship Id="rId1190" Type="http://schemas.openxmlformats.org/officeDocument/2006/relationships/hyperlink" Target="https://www.jisilu.cn/data/stock/000070" TargetMode="External"/><Relationship Id="rId1204" Type="http://schemas.openxmlformats.org/officeDocument/2006/relationships/hyperlink" Target="https://www.jisilu.cn/question/95518" TargetMode="External"/><Relationship Id="rId213" Type="http://schemas.openxmlformats.org/officeDocument/2006/relationships/hyperlink" Target="https://www.jisilu.cn/question/95518" TargetMode="External"/><Relationship Id="rId420" Type="http://schemas.openxmlformats.org/officeDocument/2006/relationships/hyperlink" Target="javascript:addOwnedConvertBond('113504');" TargetMode="External"/><Relationship Id="rId658" Type="http://schemas.openxmlformats.org/officeDocument/2006/relationships/hyperlink" Target="https://www.jisilu.cn/question/95518" TargetMode="External"/><Relationship Id="rId865" Type="http://schemas.openxmlformats.org/officeDocument/2006/relationships/hyperlink" Target="https://www.jisilu.cn/data/convert_bond_detail/128041" TargetMode="External"/><Relationship Id="rId1050" Type="http://schemas.openxmlformats.org/officeDocument/2006/relationships/hyperlink" Target="javascript:addOwnedConvertBond('113024');" TargetMode="External"/><Relationship Id="rId297" Type="http://schemas.openxmlformats.org/officeDocument/2006/relationships/hyperlink" Target="https://www.jisilu.cn/question/95518" TargetMode="External"/><Relationship Id="rId518" Type="http://schemas.openxmlformats.org/officeDocument/2006/relationships/hyperlink" Target="https://www.jisilu.cn/data/stock/601727" TargetMode="External"/><Relationship Id="rId725" Type="http://schemas.openxmlformats.org/officeDocument/2006/relationships/hyperlink" Target="https://www.jisilu.cn/question/95518" TargetMode="External"/><Relationship Id="rId932" Type="http://schemas.openxmlformats.org/officeDocument/2006/relationships/hyperlink" Target="https://www.jisilu.cn/data/stock/600536" TargetMode="External"/><Relationship Id="rId1148" Type="http://schemas.openxmlformats.org/officeDocument/2006/relationships/hyperlink" Target="https://www.jisilu.cn/data/stock/000700" TargetMode="External"/><Relationship Id="rId157" Type="http://schemas.openxmlformats.org/officeDocument/2006/relationships/hyperlink" Target="https://www.jisilu.cn/data/convert_bond_detail/113027" TargetMode="External"/><Relationship Id="rId364" Type="http://schemas.openxmlformats.org/officeDocument/2006/relationships/hyperlink" Target="https://www.jisilu.cn/question/95518" TargetMode="External"/><Relationship Id="rId1008" Type="http://schemas.openxmlformats.org/officeDocument/2006/relationships/hyperlink" Target="javascript:addOwnedConvertBond('113544');" TargetMode="External"/><Relationship Id="rId1215" Type="http://schemas.openxmlformats.org/officeDocument/2006/relationships/hyperlink" Target="https://www.jisilu.cn/question/95518" TargetMode="External"/><Relationship Id="rId61" Type="http://schemas.openxmlformats.org/officeDocument/2006/relationships/hyperlink" Target="https://www.jisilu.cn/data/convert_bond_detail/128053" TargetMode="External"/><Relationship Id="rId571" Type="http://schemas.openxmlformats.org/officeDocument/2006/relationships/hyperlink" Target="https://www.jisilu.cn/data/convert_bond_detail/128048" TargetMode="External"/><Relationship Id="rId669" Type="http://schemas.openxmlformats.org/officeDocument/2006/relationships/hyperlink" Target="https://www.jisilu.cn/question/95518" TargetMode="External"/><Relationship Id="rId876" Type="http://schemas.openxmlformats.org/officeDocument/2006/relationships/hyperlink" Target="javascript:addOwnedConvertBond('123007');" TargetMode="External"/><Relationship Id="rId19" Type="http://schemas.openxmlformats.org/officeDocument/2006/relationships/hyperlink" Target="https://www.jisilu.cn/data/convert_bond_detail/128076" TargetMode="External"/><Relationship Id="rId224" Type="http://schemas.openxmlformats.org/officeDocument/2006/relationships/hyperlink" Target="https://www.jisilu.cn/data/stock/603079" TargetMode="External"/><Relationship Id="rId431" Type="http://schemas.openxmlformats.org/officeDocument/2006/relationships/hyperlink" Target="https://www.jisilu.cn/question/95518" TargetMode="External"/><Relationship Id="rId529" Type="http://schemas.openxmlformats.org/officeDocument/2006/relationships/hyperlink" Target="https://www.jisilu.cn/data/convert_bond_detail/113528" TargetMode="External"/><Relationship Id="rId736" Type="http://schemas.openxmlformats.org/officeDocument/2006/relationships/hyperlink" Target="https://www.jisilu.cn/question/95518" TargetMode="External"/><Relationship Id="rId1061" Type="http://schemas.openxmlformats.org/officeDocument/2006/relationships/hyperlink" Target="https://www.jisilu.cn/question/95518" TargetMode="External"/><Relationship Id="rId1159" Type="http://schemas.openxmlformats.org/officeDocument/2006/relationships/hyperlink" Target="https://www.jisilu.cn/data/convert_bond_detail/128023" TargetMode="External"/><Relationship Id="rId168" Type="http://schemas.openxmlformats.org/officeDocument/2006/relationships/hyperlink" Target="javascript:addOwnedConvertBond('128057');" TargetMode="External"/><Relationship Id="rId943" Type="http://schemas.openxmlformats.org/officeDocument/2006/relationships/hyperlink" Target="https://www.jisilu.cn/data/convert_bond_detail/113538" TargetMode="External"/><Relationship Id="rId1019" Type="http://schemas.openxmlformats.org/officeDocument/2006/relationships/hyperlink" Target="https://www.jisilu.cn/question/95518" TargetMode="External"/><Relationship Id="rId72" Type="http://schemas.openxmlformats.org/officeDocument/2006/relationships/hyperlink" Target="javascript:addOwnedConvertBond('123026');" TargetMode="External"/><Relationship Id="rId375" Type="http://schemas.openxmlformats.org/officeDocument/2006/relationships/hyperlink" Target="https://www.jisilu.cn/question/95518" TargetMode="External"/><Relationship Id="rId582" Type="http://schemas.openxmlformats.org/officeDocument/2006/relationships/hyperlink" Target="javascript:addOwnedConvertBond('128050');" TargetMode="External"/><Relationship Id="rId803" Type="http://schemas.openxmlformats.org/officeDocument/2006/relationships/hyperlink" Target="https://www.jisilu.cn/question/95518" TargetMode="External"/><Relationship Id="rId1226" Type="http://schemas.openxmlformats.org/officeDocument/2006/relationships/hyperlink" Target="https://www.jisilu.cn/data/stock/600271" TargetMode="External"/><Relationship Id="rId3" Type="http://schemas.openxmlformats.org/officeDocument/2006/relationships/hyperlink" Target="https://www.jisilu.cn/question/95518" TargetMode="External"/><Relationship Id="rId235" Type="http://schemas.openxmlformats.org/officeDocument/2006/relationships/hyperlink" Target="https://www.jisilu.cn/data/convert_bond_detail/123027" TargetMode="External"/><Relationship Id="rId442" Type="http://schemas.openxmlformats.org/officeDocument/2006/relationships/hyperlink" Target="https://www.jisilu.cn/question/95518" TargetMode="External"/><Relationship Id="rId887" Type="http://schemas.openxmlformats.org/officeDocument/2006/relationships/hyperlink" Target="https://www.jisilu.cn/question/95518" TargetMode="External"/><Relationship Id="rId1072" Type="http://schemas.openxmlformats.org/officeDocument/2006/relationships/hyperlink" Target="https://www.jisilu.cn/question/95518" TargetMode="External"/><Relationship Id="rId302" Type="http://schemas.openxmlformats.org/officeDocument/2006/relationships/hyperlink" Target="https://www.jisilu.cn/data/stock/002891" TargetMode="External"/><Relationship Id="rId747" Type="http://schemas.openxmlformats.org/officeDocument/2006/relationships/hyperlink" Target="https://www.jisilu.cn/question/95518" TargetMode="External"/><Relationship Id="rId954" Type="http://schemas.openxmlformats.org/officeDocument/2006/relationships/hyperlink" Target="javascript:addOwnedConvertBond('128017');" TargetMode="External"/><Relationship Id="rId83" Type="http://schemas.openxmlformats.org/officeDocument/2006/relationships/hyperlink" Target="https://www.jisilu.cn/question/95518" TargetMode="External"/><Relationship Id="rId179" Type="http://schemas.openxmlformats.org/officeDocument/2006/relationships/hyperlink" Target="https://www.jisilu.cn/question/95518" TargetMode="External"/><Relationship Id="rId386" Type="http://schemas.openxmlformats.org/officeDocument/2006/relationships/hyperlink" Target="https://www.jisilu.cn/data/stock/002538" TargetMode="External"/><Relationship Id="rId593" Type="http://schemas.openxmlformats.org/officeDocument/2006/relationships/hyperlink" Target="https://www.jisilu.cn/question/95518" TargetMode="External"/><Relationship Id="rId607" Type="http://schemas.openxmlformats.org/officeDocument/2006/relationships/hyperlink" Target="https://www.jisilu.cn/data/convert_bond_detail/128021" TargetMode="External"/><Relationship Id="rId814" Type="http://schemas.openxmlformats.org/officeDocument/2006/relationships/hyperlink" Target="https://www.jisilu.cn/question/95518" TargetMode="External"/><Relationship Id="rId1237" Type="http://schemas.openxmlformats.org/officeDocument/2006/relationships/hyperlink" Target="https://www.jisilu.cn/data/convert_bond_detail/128010" TargetMode="External"/><Relationship Id="rId246" Type="http://schemas.openxmlformats.org/officeDocument/2006/relationships/hyperlink" Target="javascript:addOwnedConvertBond('123032');" TargetMode="External"/><Relationship Id="rId453" Type="http://schemas.openxmlformats.org/officeDocument/2006/relationships/hyperlink" Target="https://www.jisilu.cn/question/95518" TargetMode="External"/><Relationship Id="rId660" Type="http://schemas.openxmlformats.org/officeDocument/2006/relationships/hyperlink" Target="javascript:addOwnedConvertBond('113503');" TargetMode="External"/><Relationship Id="rId898" Type="http://schemas.openxmlformats.org/officeDocument/2006/relationships/hyperlink" Target="https://www.jisilu.cn/question/95518" TargetMode="External"/><Relationship Id="rId1083" Type="http://schemas.openxmlformats.org/officeDocument/2006/relationships/hyperlink" Target="https://www.jisilu.cn/question/95518" TargetMode="External"/><Relationship Id="rId106" Type="http://schemas.openxmlformats.org/officeDocument/2006/relationships/hyperlink" Target="https://www.jisilu.cn/question/95518" TargetMode="External"/><Relationship Id="rId313" Type="http://schemas.openxmlformats.org/officeDocument/2006/relationships/hyperlink" Target="https://www.jisilu.cn/data/convert_bond_detail/123012" TargetMode="External"/><Relationship Id="rId758" Type="http://schemas.openxmlformats.org/officeDocument/2006/relationships/hyperlink" Target="https://www.jisilu.cn/data/stock/603816" TargetMode="External"/><Relationship Id="rId965" Type="http://schemas.openxmlformats.org/officeDocument/2006/relationships/hyperlink" Target="https://www.jisilu.cn/question/95518" TargetMode="External"/><Relationship Id="rId1150" Type="http://schemas.openxmlformats.org/officeDocument/2006/relationships/hyperlink" Target="https://www.jisilu.cn/question/95518" TargetMode="External"/><Relationship Id="rId10" Type="http://schemas.openxmlformats.org/officeDocument/2006/relationships/hyperlink" Target="https://www.jisilu.cn/question/95518" TargetMode="External"/><Relationship Id="rId94" Type="http://schemas.openxmlformats.org/officeDocument/2006/relationships/hyperlink" Target="https://www.jisilu.cn/question/95518" TargetMode="External"/><Relationship Id="rId397" Type="http://schemas.openxmlformats.org/officeDocument/2006/relationships/hyperlink" Target="https://www.jisilu.cn/data/convert_bond_detail/110047" TargetMode="External"/><Relationship Id="rId520" Type="http://schemas.openxmlformats.org/officeDocument/2006/relationships/hyperlink" Target="https://www.jisilu.cn/question/95518" TargetMode="External"/><Relationship Id="rId618" Type="http://schemas.openxmlformats.org/officeDocument/2006/relationships/hyperlink" Target="javascript:addOwnedConvertBond('113532');" TargetMode="External"/><Relationship Id="rId825" Type="http://schemas.openxmlformats.org/officeDocument/2006/relationships/hyperlink" Target="https://www.jisilu.cn/question/95518" TargetMode="External"/><Relationship Id="rId1248" Type="http://schemas.openxmlformats.org/officeDocument/2006/relationships/hyperlink" Target="javascript:addOwnedConvertBond('132011');" TargetMode="External"/><Relationship Id="rId257" Type="http://schemas.openxmlformats.org/officeDocument/2006/relationships/hyperlink" Target="https://www.jisilu.cn/question/95518" TargetMode="External"/><Relationship Id="rId464" Type="http://schemas.openxmlformats.org/officeDocument/2006/relationships/hyperlink" Target="https://www.jisilu.cn/data/stock/300497" TargetMode="External"/><Relationship Id="rId1010" Type="http://schemas.openxmlformats.org/officeDocument/2006/relationships/hyperlink" Target="https://www.jisilu.cn/data/stock/002822" TargetMode="External"/><Relationship Id="rId1094" Type="http://schemas.openxmlformats.org/officeDocument/2006/relationships/hyperlink" Target="https://www.jisilu.cn/data/stock/000887" TargetMode="External"/><Relationship Id="rId1108" Type="http://schemas.openxmlformats.org/officeDocument/2006/relationships/hyperlink" Target="https://www.jisilu.cn/question/95518" TargetMode="External"/><Relationship Id="rId117" Type="http://schemas.openxmlformats.org/officeDocument/2006/relationships/hyperlink" Target="https://www.jisilu.cn/question/95518" TargetMode="External"/><Relationship Id="rId671" Type="http://schemas.openxmlformats.org/officeDocument/2006/relationships/hyperlink" Target="https://www.jisilu.cn/question/95518" TargetMode="External"/><Relationship Id="rId769" Type="http://schemas.openxmlformats.org/officeDocument/2006/relationships/hyperlink" Target="https://www.jisilu.cn/data/convert_bond_detail/128018" TargetMode="External"/><Relationship Id="rId976" Type="http://schemas.openxmlformats.org/officeDocument/2006/relationships/hyperlink" Target="https://www.jisilu.cn/question/95518" TargetMode="External"/><Relationship Id="rId324" Type="http://schemas.openxmlformats.org/officeDocument/2006/relationships/hyperlink" Target="javascript:addOwnedConvertBond('113511');" TargetMode="External"/><Relationship Id="rId531" Type="http://schemas.openxmlformats.org/officeDocument/2006/relationships/hyperlink" Target="https://www.jisilu.cn/question/95518" TargetMode="External"/><Relationship Id="rId629" Type="http://schemas.openxmlformats.org/officeDocument/2006/relationships/hyperlink" Target="https://www.jisilu.cn/question/95518" TargetMode="External"/><Relationship Id="rId1161" Type="http://schemas.openxmlformats.org/officeDocument/2006/relationships/hyperlink" Target="https://www.jisilu.cn/question/95518" TargetMode="External"/><Relationship Id="rId836" Type="http://schemas.openxmlformats.org/officeDocument/2006/relationships/hyperlink" Target="https://www.jisilu.cn/data/stock/002271" TargetMode="External"/><Relationship Id="rId1021" Type="http://schemas.openxmlformats.org/officeDocument/2006/relationships/hyperlink" Target="https://www.jisilu.cn/data/convert_bond_detail/113508" TargetMode="External"/><Relationship Id="rId1119" Type="http://schemas.openxmlformats.org/officeDocument/2006/relationships/hyperlink" Target="https://www.jisilu.cn/question/95518" TargetMode="External"/><Relationship Id="rId903" Type="http://schemas.openxmlformats.org/officeDocument/2006/relationships/hyperlink" Target="https://www.jisilu.cn/question/95518" TargetMode="External"/><Relationship Id="rId32" Type="http://schemas.openxmlformats.org/officeDocument/2006/relationships/hyperlink" Target="https://www.jisilu.cn/data/stock/603861" TargetMode="External"/><Relationship Id="rId181" Type="http://schemas.openxmlformats.org/officeDocument/2006/relationships/hyperlink" Target="https://www.jisilu.cn/data/convert_bond_detail/123014" TargetMode="External"/><Relationship Id="rId279" Type="http://schemas.openxmlformats.org/officeDocument/2006/relationships/hyperlink" Target="https://www.jisilu.cn/question/95518" TargetMode="External"/><Relationship Id="rId486" Type="http://schemas.openxmlformats.org/officeDocument/2006/relationships/hyperlink" Target="javascript:addOwnedConvertBond('123013');" TargetMode="External"/><Relationship Id="rId693" Type="http://schemas.openxmlformats.org/officeDocument/2006/relationships/hyperlink" Target="https://www.jisilu.cn/question/95518" TargetMode="External"/><Relationship Id="rId139" Type="http://schemas.openxmlformats.org/officeDocument/2006/relationships/hyperlink" Target="https://www.jisilu.cn/data/convert_bond_detail/132018" TargetMode="External"/><Relationship Id="rId346" Type="http://schemas.openxmlformats.org/officeDocument/2006/relationships/hyperlink" Target="https://www.jisilu.cn/question/95518" TargetMode="External"/><Relationship Id="rId553" Type="http://schemas.openxmlformats.org/officeDocument/2006/relationships/hyperlink" Target="https://www.jisilu.cn/data/convert_bond_detail/113527" TargetMode="External"/><Relationship Id="rId760" Type="http://schemas.openxmlformats.org/officeDocument/2006/relationships/hyperlink" Target="https://www.jisilu.cn/question/95518" TargetMode="External"/><Relationship Id="rId998" Type="http://schemas.openxmlformats.org/officeDocument/2006/relationships/hyperlink" Target="https://www.jisilu.cn/data/stock/601857" TargetMode="External"/><Relationship Id="rId1183" Type="http://schemas.openxmlformats.org/officeDocument/2006/relationships/hyperlink" Target="https://www.jisilu.cn/data/convert_bond_detail/113502" TargetMode="External"/><Relationship Id="rId206" Type="http://schemas.openxmlformats.org/officeDocument/2006/relationships/hyperlink" Target="https://www.jisilu.cn/data/stock/300437" TargetMode="External"/><Relationship Id="rId413" Type="http://schemas.openxmlformats.org/officeDocument/2006/relationships/hyperlink" Target="https://www.jisilu.cn/question/95518" TargetMode="External"/><Relationship Id="rId858" Type="http://schemas.openxmlformats.org/officeDocument/2006/relationships/hyperlink" Target="javascript:addOwnedConvertBond('128078');" TargetMode="External"/><Relationship Id="rId1043" Type="http://schemas.openxmlformats.org/officeDocument/2006/relationships/hyperlink" Target="https://www.jisilu.cn/question/95518" TargetMode="External"/><Relationship Id="rId620" Type="http://schemas.openxmlformats.org/officeDocument/2006/relationships/hyperlink" Target="https://www.jisilu.cn/data/stock/002497" TargetMode="External"/><Relationship Id="rId718" Type="http://schemas.openxmlformats.org/officeDocument/2006/relationships/hyperlink" Target="https://www.jisilu.cn/question/95518" TargetMode="External"/><Relationship Id="rId925" Type="http://schemas.openxmlformats.org/officeDocument/2006/relationships/hyperlink" Target="https://www.jisilu.cn/data/convert_bond_detail/110062" TargetMode="External"/><Relationship Id="rId1250" Type="http://schemas.openxmlformats.org/officeDocument/2006/relationships/hyperlink" Target="https://www.jisilu.cn/data/stock/002496" TargetMode="External"/><Relationship Id="rId1110" Type="http://schemas.openxmlformats.org/officeDocument/2006/relationships/hyperlink" Target="javascript:addOwnedConvertBond('113009');" TargetMode="External"/><Relationship Id="rId1208" Type="http://schemas.openxmlformats.org/officeDocument/2006/relationships/hyperlink" Target="https://www.jisilu.cn/data/stock/600350" TargetMode="External"/><Relationship Id="rId54" Type="http://schemas.openxmlformats.org/officeDocument/2006/relationships/hyperlink" Target="javascript:delOwnedConvertBond('128025');" TargetMode="External"/><Relationship Id="rId270" Type="http://schemas.openxmlformats.org/officeDocument/2006/relationships/hyperlink" Target="javascript:addOwnedConvertBond('128055');" TargetMode="External"/><Relationship Id="rId130" Type="http://schemas.openxmlformats.org/officeDocument/2006/relationships/hyperlink" Target="https://www.jisilu.cn/question/95518" TargetMode="External"/><Relationship Id="rId368" Type="http://schemas.openxmlformats.org/officeDocument/2006/relationships/hyperlink" Target="https://www.jisilu.cn/data/stock/001965" TargetMode="External"/><Relationship Id="rId575" Type="http://schemas.openxmlformats.org/officeDocument/2006/relationships/hyperlink" Target="https://www.jisilu.cn/question/95518" TargetMode="External"/><Relationship Id="rId782" Type="http://schemas.openxmlformats.org/officeDocument/2006/relationships/hyperlink" Target="https://www.jisilu.cn/data/stock/600438" TargetMode="External"/><Relationship Id="rId228" Type="http://schemas.openxmlformats.org/officeDocument/2006/relationships/hyperlink" Target="javascript:addOwnedConvertBond('113539');" TargetMode="External"/><Relationship Id="rId435" Type="http://schemas.openxmlformats.org/officeDocument/2006/relationships/hyperlink" Target="https://www.jisilu.cn/question/95518" TargetMode="External"/><Relationship Id="rId642" Type="http://schemas.openxmlformats.org/officeDocument/2006/relationships/hyperlink" Target="javascript:addOwnedConvertBond('123016');" TargetMode="External"/><Relationship Id="rId1065" Type="http://schemas.openxmlformats.org/officeDocument/2006/relationships/hyperlink" Target="https://www.jisilu.cn/question/95518" TargetMode="External"/><Relationship Id="rId502" Type="http://schemas.openxmlformats.org/officeDocument/2006/relationships/hyperlink" Target="https://www.jisilu.cn/question/95518" TargetMode="External"/><Relationship Id="rId947" Type="http://schemas.openxmlformats.org/officeDocument/2006/relationships/hyperlink" Target="https://www.jisilu.cn/question/95518" TargetMode="External"/><Relationship Id="rId1132" Type="http://schemas.openxmlformats.org/officeDocument/2006/relationships/hyperlink" Target="https://www.jisilu.cn/question/95518" TargetMode="External"/><Relationship Id="rId76" Type="http://schemas.openxmlformats.org/officeDocument/2006/relationships/hyperlink" Target="https://www.jisilu.cn/question/95518" TargetMode="External"/><Relationship Id="rId807" Type="http://schemas.openxmlformats.org/officeDocument/2006/relationships/hyperlink" Target="https://www.jisilu.cn/question/95518" TargetMode="External"/><Relationship Id="rId292" Type="http://schemas.openxmlformats.org/officeDocument/2006/relationships/hyperlink" Target="https://www.jisilu.cn/question/95518" TargetMode="External"/><Relationship Id="rId597" Type="http://schemas.openxmlformats.org/officeDocument/2006/relationships/hyperlink" Target="https://www.jisilu.cn/question/95518" TargetMode="External"/><Relationship Id="rId152" Type="http://schemas.openxmlformats.org/officeDocument/2006/relationships/hyperlink" Target="https://www.jisilu.cn/data/stock/002741" TargetMode="External"/><Relationship Id="rId457" Type="http://schemas.openxmlformats.org/officeDocument/2006/relationships/hyperlink" Target="https://www.jisilu.cn/data/convert_bond_detail/110056" TargetMode="External"/><Relationship Id="rId1087" Type="http://schemas.openxmlformats.org/officeDocument/2006/relationships/hyperlink" Target="https://www.jisilu.cn/data/convert_bond_detail/123031" TargetMode="External"/><Relationship Id="rId664" Type="http://schemas.openxmlformats.org/officeDocument/2006/relationships/hyperlink" Target="https://www.jisilu.cn/question/95518" TargetMode="External"/><Relationship Id="rId871" Type="http://schemas.openxmlformats.org/officeDocument/2006/relationships/hyperlink" Target="https://www.jisilu.cn/data/convert_bond_detail/123007" TargetMode="External"/><Relationship Id="rId969" Type="http://schemas.openxmlformats.org/officeDocument/2006/relationships/hyperlink" Target="https://www.jisilu.cn/question/95518" TargetMode="External"/><Relationship Id="rId317" Type="http://schemas.openxmlformats.org/officeDocument/2006/relationships/hyperlink" Target="https://www.jisilu.cn/question/95518" TargetMode="External"/><Relationship Id="rId524" Type="http://schemas.openxmlformats.org/officeDocument/2006/relationships/hyperlink" Target="https://www.jisilu.cn/data/stock/002658" TargetMode="External"/><Relationship Id="rId731" Type="http://schemas.openxmlformats.org/officeDocument/2006/relationships/hyperlink" Target="https://www.jisilu.cn/question/95518" TargetMode="External"/><Relationship Id="rId1154" Type="http://schemas.openxmlformats.org/officeDocument/2006/relationships/hyperlink" Target="https://www.jisilu.cn/data/stock/002472" TargetMode="External"/><Relationship Id="rId98" Type="http://schemas.openxmlformats.org/officeDocument/2006/relationships/hyperlink" Target="https://www.jisilu.cn/data/stock/603165" TargetMode="External"/><Relationship Id="rId829" Type="http://schemas.openxmlformats.org/officeDocument/2006/relationships/hyperlink" Target="https://www.jisilu.cn/data/convert_bond_detail/113026" TargetMode="External"/><Relationship Id="rId1014" Type="http://schemas.openxmlformats.org/officeDocument/2006/relationships/hyperlink" Target="javascript:addOwnedConvertBond('128060');" TargetMode="External"/><Relationship Id="rId1221" Type="http://schemas.openxmlformats.org/officeDocument/2006/relationships/hyperlink" Target="https://www.jisilu.cn/question/95518" TargetMode="External"/><Relationship Id="rId25" Type="http://schemas.openxmlformats.org/officeDocument/2006/relationships/hyperlink" Target="https://www.jisilu.cn/data/convert_bond_detail/128049" TargetMode="External"/><Relationship Id="rId174" Type="http://schemas.openxmlformats.org/officeDocument/2006/relationships/hyperlink" Target="javascript:delOwnedConvertBond('128069');" TargetMode="External"/><Relationship Id="rId381" Type="http://schemas.openxmlformats.org/officeDocument/2006/relationships/hyperlink" Target="https://www.jisilu.cn/question/95518" TargetMode="External"/><Relationship Id="rId241" Type="http://schemas.openxmlformats.org/officeDocument/2006/relationships/hyperlink" Target="https://www.jisilu.cn/data/convert_bond_detail/123032" TargetMode="External"/><Relationship Id="rId479" Type="http://schemas.openxmlformats.org/officeDocument/2006/relationships/hyperlink" Target="https://www.jisilu.cn/question/95518" TargetMode="External"/><Relationship Id="rId686" Type="http://schemas.openxmlformats.org/officeDocument/2006/relationships/hyperlink" Target="https://www.jisilu.cn/data/stock/600197" TargetMode="External"/><Relationship Id="rId893" Type="http://schemas.openxmlformats.org/officeDocument/2006/relationships/hyperlink" Target="https://www.jisilu.cn/question/95518" TargetMode="External"/><Relationship Id="rId339" Type="http://schemas.openxmlformats.org/officeDocument/2006/relationships/hyperlink" Target="https://www.jisilu.cn/question/95518" TargetMode="External"/><Relationship Id="rId546" Type="http://schemas.openxmlformats.org/officeDocument/2006/relationships/hyperlink" Target="javascript:addOwnedConvertBond('113020');" TargetMode="External"/><Relationship Id="rId753" Type="http://schemas.openxmlformats.org/officeDocument/2006/relationships/hyperlink" Target="https://www.jisilu.cn/question/95518" TargetMode="External"/><Relationship Id="rId1176" Type="http://schemas.openxmlformats.org/officeDocument/2006/relationships/hyperlink" Target="javascript:addOwnedConvertBond('113014');" TargetMode="External"/><Relationship Id="rId101" Type="http://schemas.openxmlformats.org/officeDocument/2006/relationships/hyperlink" Target="https://www.jisilu.cn/question/95518" TargetMode="External"/><Relationship Id="rId406" Type="http://schemas.openxmlformats.org/officeDocument/2006/relationships/hyperlink" Target="https://www.jisilu.cn/question/95518" TargetMode="External"/><Relationship Id="rId960" Type="http://schemas.openxmlformats.org/officeDocument/2006/relationships/hyperlink" Target="javascript:addOwnedConvertBond('127006');" TargetMode="External"/><Relationship Id="rId1036" Type="http://schemas.openxmlformats.org/officeDocument/2006/relationships/hyperlink" Target="https://www.jisilu.cn/question/95518" TargetMode="External"/><Relationship Id="rId1243" Type="http://schemas.openxmlformats.org/officeDocument/2006/relationships/hyperlink" Target="https://www.jisilu.cn/data/convert_bond_detail/132011" TargetMode="External"/><Relationship Id="rId613" Type="http://schemas.openxmlformats.org/officeDocument/2006/relationships/hyperlink" Target="https://www.jisilu.cn/data/convert_bond_detail/113532" TargetMode="External"/><Relationship Id="rId820" Type="http://schemas.openxmlformats.org/officeDocument/2006/relationships/hyperlink" Target="https://www.jisilu.cn/question/95518" TargetMode="External"/><Relationship Id="rId918" Type="http://schemas.openxmlformats.org/officeDocument/2006/relationships/hyperlink" Target="javascript:addOwnedConvertBond('113021');" TargetMode="External"/><Relationship Id="rId1103" Type="http://schemas.openxmlformats.org/officeDocument/2006/relationships/hyperlink" Target="https://www.jisilu.cn/question/95518" TargetMode="External"/><Relationship Id="rId47" Type="http://schemas.openxmlformats.org/officeDocument/2006/relationships/hyperlink" Target="https://www.jisilu.cn/question/95518" TargetMode="External"/><Relationship Id="rId196" Type="http://schemas.openxmlformats.org/officeDocument/2006/relationships/hyperlink" Target="https://www.jisilu.cn/question/95518" TargetMode="External"/><Relationship Id="rId263" Type="http://schemas.openxmlformats.org/officeDocument/2006/relationships/hyperlink" Target="https://www.jisilu.cn/question/95518" TargetMode="External"/><Relationship Id="rId470" Type="http://schemas.openxmlformats.org/officeDocument/2006/relationships/hyperlink" Target="https://www.jisilu.cn/data/stock/600233" TargetMode="External"/><Relationship Id="rId123" Type="http://schemas.openxmlformats.org/officeDocument/2006/relationships/hyperlink" Target="https://www.jisilu.cn/question/95518" TargetMode="External"/><Relationship Id="rId330" Type="http://schemas.openxmlformats.org/officeDocument/2006/relationships/hyperlink" Target="javascript:addOwnedConvertBond('128071');" TargetMode="External"/><Relationship Id="rId568" Type="http://schemas.openxmlformats.org/officeDocument/2006/relationships/hyperlink" Target="https://www.jisilu.cn/question/95518" TargetMode="External"/><Relationship Id="rId775" Type="http://schemas.openxmlformats.org/officeDocument/2006/relationships/hyperlink" Target="https://www.jisilu.cn/data/convert_bond_detail/113017" TargetMode="External"/><Relationship Id="rId982" Type="http://schemas.openxmlformats.org/officeDocument/2006/relationships/hyperlink" Target="https://www.jisilu.cn/question/95518" TargetMode="External"/><Relationship Id="rId1198" Type="http://schemas.openxmlformats.org/officeDocument/2006/relationships/hyperlink" Target="https://www.jisilu.cn/question/95518" TargetMode="External"/><Relationship Id="rId428" Type="http://schemas.openxmlformats.org/officeDocument/2006/relationships/hyperlink" Target="https://www.jisilu.cn/data/stock/000665" TargetMode="External"/><Relationship Id="rId635" Type="http://schemas.openxmlformats.org/officeDocument/2006/relationships/hyperlink" Target="https://www.jisilu.cn/question/95518" TargetMode="External"/><Relationship Id="rId842" Type="http://schemas.openxmlformats.org/officeDocument/2006/relationships/hyperlink" Target="https://www.jisilu.cn/data/stock/600000" TargetMode="External"/><Relationship Id="rId1058" Type="http://schemas.openxmlformats.org/officeDocument/2006/relationships/hyperlink" Target="https://www.jisilu.cn/data/stock/601857" TargetMode="External"/><Relationship Id="rId702" Type="http://schemas.openxmlformats.org/officeDocument/2006/relationships/hyperlink" Target="javascript:addOwnedConvertBond('113019');" TargetMode="External"/><Relationship Id="rId1125" Type="http://schemas.openxmlformats.org/officeDocument/2006/relationships/hyperlink" Target="https://www.jisilu.cn/question/95518" TargetMode="External"/><Relationship Id="rId69" Type="http://schemas.openxmlformats.org/officeDocument/2006/relationships/hyperlink" Target="https://www.jisilu.cn/question/95518" TargetMode="External"/><Relationship Id="rId285" Type="http://schemas.openxmlformats.org/officeDocument/2006/relationships/hyperlink" Target="https://www.jisilu.cn/question/95518" TargetMode="External"/><Relationship Id="rId492" Type="http://schemas.openxmlformats.org/officeDocument/2006/relationships/hyperlink" Target="javascript:addOwnedConvertBond('113516');" TargetMode="External"/><Relationship Id="rId797" Type="http://schemas.openxmlformats.org/officeDocument/2006/relationships/hyperlink" Target="https://www.jisilu.cn/question/95518" TargetMode="External"/><Relationship Id="rId145" Type="http://schemas.openxmlformats.org/officeDocument/2006/relationships/hyperlink" Target="https://www.jisilu.cn/data/convert_bond_detail/128056" TargetMode="External"/><Relationship Id="rId352" Type="http://schemas.openxmlformats.org/officeDocument/2006/relationships/hyperlink" Target="https://www.jisilu.cn/question/95518" TargetMode="External"/><Relationship Id="rId212" Type="http://schemas.openxmlformats.org/officeDocument/2006/relationships/hyperlink" Target="https://www.jisilu.cn/data/stock/002406" TargetMode="External"/><Relationship Id="rId657" Type="http://schemas.openxmlformats.org/officeDocument/2006/relationships/hyperlink" Target="https://www.jisilu.cn/question/95518" TargetMode="External"/><Relationship Id="rId864" Type="http://schemas.openxmlformats.org/officeDocument/2006/relationships/hyperlink" Target="javascript:addOwnedConvertBond('113533');" TargetMode="External"/><Relationship Id="rId517" Type="http://schemas.openxmlformats.org/officeDocument/2006/relationships/hyperlink" Target="https://www.jisilu.cn/data/convert_bond_detail/113008" TargetMode="External"/><Relationship Id="rId724" Type="http://schemas.openxmlformats.org/officeDocument/2006/relationships/hyperlink" Target="https://www.jisilu.cn/question/95518" TargetMode="External"/><Relationship Id="rId931" Type="http://schemas.openxmlformats.org/officeDocument/2006/relationships/hyperlink" Target="https://www.jisilu.cn/data/convert_bond_detail/132021" TargetMode="External"/><Relationship Id="rId1147" Type="http://schemas.openxmlformats.org/officeDocument/2006/relationships/hyperlink" Target="https://www.jisilu.cn/data/convert_bond_detail/127004" TargetMode="External"/><Relationship Id="rId60" Type="http://schemas.openxmlformats.org/officeDocument/2006/relationships/hyperlink" Target="javascript:addOwnedConvertBond('123030');" TargetMode="External"/><Relationship Id="rId1007" Type="http://schemas.openxmlformats.org/officeDocument/2006/relationships/hyperlink" Target="https://www.jisilu.cn/question/95518" TargetMode="External"/><Relationship Id="rId1214" Type="http://schemas.openxmlformats.org/officeDocument/2006/relationships/hyperlink" Target="https://www.jisilu.cn/data/stock/002370" TargetMode="External"/><Relationship Id="rId18" Type="http://schemas.openxmlformats.org/officeDocument/2006/relationships/hyperlink" Target="javascript:addOwnedConvertBond('113546');" TargetMode="External"/><Relationship Id="rId167" Type="http://schemas.openxmlformats.org/officeDocument/2006/relationships/hyperlink" Target="https://www.jisilu.cn/question/95518" TargetMode="External"/><Relationship Id="rId374" Type="http://schemas.openxmlformats.org/officeDocument/2006/relationships/hyperlink" Target="https://www.jisilu.cn/data/stock/603636" TargetMode="External"/><Relationship Id="rId581" Type="http://schemas.openxmlformats.org/officeDocument/2006/relationships/hyperlink" Target="https://www.jisilu.cn/question/95518" TargetMode="External"/><Relationship Id="rId234" Type="http://schemas.openxmlformats.org/officeDocument/2006/relationships/hyperlink" Target="javascript:addOwnedConvertBond('123021');" TargetMode="External"/><Relationship Id="rId679" Type="http://schemas.openxmlformats.org/officeDocument/2006/relationships/hyperlink" Target="https://www.jisilu.cn/data/convert_bond_detail/132005" TargetMode="External"/><Relationship Id="rId886" Type="http://schemas.openxmlformats.org/officeDocument/2006/relationships/hyperlink" Target="https://www.jisilu.cn/question/95518" TargetMode="External"/><Relationship Id="rId2" Type="http://schemas.openxmlformats.org/officeDocument/2006/relationships/hyperlink" Target="https://www.jisilu.cn/data/stock/603876" TargetMode="External"/><Relationship Id="rId441" Type="http://schemas.openxmlformats.org/officeDocument/2006/relationships/hyperlink" Target="https://www.jisilu.cn/question/95518" TargetMode="External"/><Relationship Id="rId539" Type="http://schemas.openxmlformats.org/officeDocument/2006/relationships/hyperlink" Target="https://www.jisilu.cn/question/95518" TargetMode="External"/><Relationship Id="rId746" Type="http://schemas.openxmlformats.org/officeDocument/2006/relationships/hyperlink" Target="https://www.jisilu.cn/data/stock/603278" TargetMode="External"/><Relationship Id="rId1071" Type="http://schemas.openxmlformats.org/officeDocument/2006/relationships/hyperlink" Target="https://www.jisilu.cn/question/95518" TargetMode="External"/><Relationship Id="rId1169" Type="http://schemas.openxmlformats.org/officeDocument/2006/relationships/hyperlink" Target="https://www.jisilu.cn/question/95518" TargetMode="External"/><Relationship Id="rId301" Type="http://schemas.openxmlformats.org/officeDocument/2006/relationships/hyperlink" Target="https://www.jisilu.cn/data/convert_bond_detail/128054" TargetMode="External"/><Relationship Id="rId953" Type="http://schemas.openxmlformats.org/officeDocument/2006/relationships/hyperlink" Target="https://www.jisilu.cn/question/95518" TargetMode="External"/><Relationship Id="rId1029" Type="http://schemas.openxmlformats.org/officeDocument/2006/relationships/hyperlink" Target="https://www.jisilu.cn/question/95518" TargetMode="External"/><Relationship Id="rId1236" Type="http://schemas.openxmlformats.org/officeDocument/2006/relationships/hyperlink" Target="javascript:addOwnedConvertBond('128013');" TargetMode="External"/><Relationship Id="rId82" Type="http://schemas.openxmlformats.org/officeDocument/2006/relationships/hyperlink" Target="https://www.jisilu.cn/question/95518" TargetMode="External"/><Relationship Id="rId606" Type="http://schemas.openxmlformats.org/officeDocument/2006/relationships/hyperlink" Target="javascript:addOwnedConvertBond('113028');" TargetMode="External"/><Relationship Id="rId813" Type="http://schemas.openxmlformats.org/officeDocument/2006/relationships/hyperlink" Target="https://www.jisilu.cn/question/95518" TargetMode="External"/><Relationship Id="rId189" Type="http://schemas.openxmlformats.org/officeDocument/2006/relationships/hyperlink" Target="https://www.jisilu.cn/question/95518" TargetMode="External"/><Relationship Id="rId396" Type="http://schemas.openxmlformats.org/officeDocument/2006/relationships/hyperlink" Target="javascript:addOwnedConvertBond('132014');" TargetMode="External"/><Relationship Id="rId256" Type="http://schemas.openxmlformats.org/officeDocument/2006/relationships/hyperlink" Target="https://www.jisilu.cn/question/95518" TargetMode="External"/><Relationship Id="rId463" Type="http://schemas.openxmlformats.org/officeDocument/2006/relationships/hyperlink" Target="https://www.jisilu.cn/data/convert_bond_detail/123020" TargetMode="External"/><Relationship Id="rId670" Type="http://schemas.openxmlformats.org/officeDocument/2006/relationships/hyperlink" Target="https://www.jisilu.cn/question/95518" TargetMode="External"/><Relationship Id="rId1093" Type="http://schemas.openxmlformats.org/officeDocument/2006/relationships/hyperlink" Target="https://www.jisilu.cn/data/convert_bond_detail/127011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://discuss.jiucaishuo.com/?/invest/showData/search_gu-sh000063" TargetMode="External"/><Relationship Id="rId299" Type="http://schemas.openxmlformats.org/officeDocument/2006/relationships/hyperlink" Target="http://discuss.jiucaishuo.com/?/invest/showData/search_gu-si801734" TargetMode="External"/><Relationship Id="rId21" Type="http://schemas.openxmlformats.org/officeDocument/2006/relationships/hyperlink" Target="http://discuss.jiucaishuo.com/?/invest/showData/search_gu-si801110" TargetMode="External"/><Relationship Id="rId63" Type="http://schemas.openxmlformats.org/officeDocument/2006/relationships/hyperlink" Target="http://discuss.jiucaishuo.com/?/invest/showData/search_gu-sz399632" TargetMode="External"/><Relationship Id="rId159" Type="http://schemas.openxmlformats.org/officeDocument/2006/relationships/hyperlink" Target="http://discuss.jiucaishuo.com/?/invest/showData/search_gu-sh000933" TargetMode="External"/><Relationship Id="rId324" Type="http://schemas.openxmlformats.org/officeDocument/2006/relationships/hyperlink" Target="http://discuss.jiucaishuo.com/?/invest/showData/search_gu-si801176" TargetMode="External"/><Relationship Id="rId170" Type="http://schemas.openxmlformats.org/officeDocument/2006/relationships/hyperlink" Target="http://discuss.jiucaishuo.com/?/invest/showData/search_gu-sh000841" TargetMode="External"/><Relationship Id="rId226" Type="http://schemas.openxmlformats.org/officeDocument/2006/relationships/hyperlink" Target="http://discuss.jiucaishuo.com/?/invest/showData/search_gu-sh000966" TargetMode="External"/><Relationship Id="rId268" Type="http://schemas.openxmlformats.org/officeDocument/2006/relationships/hyperlink" Target="http://discuss.jiucaishuo.com/?/invest/showData/search_gu-si801203" TargetMode="External"/><Relationship Id="rId32" Type="http://schemas.openxmlformats.org/officeDocument/2006/relationships/hyperlink" Target="http://discuss.jiucaishuo.com/?/invest/showData/search_gu-sz399393" TargetMode="External"/><Relationship Id="rId74" Type="http://schemas.openxmlformats.org/officeDocument/2006/relationships/hyperlink" Target="http://discuss.jiucaishuo.com/?/invest/showData/search_gu-sh000846" TargetMode="External"/><Relationship Id="rId128" Type="http://schemas.openxmlformats.org/officeDocument/2006/relationships/hyperlink" Target="http://discuss.jiucaishuo.com/?/invest/showData/search_gu-sh000051" TargetMode="External"/><Relationship Id="rId335" Type="http://schemas.openxmlformats.org/officeDocument/2006/relationships/hyperlink" Target="http://discuss.jiucaishuo.com/?/invest/showData/search_gu-si801761" TargetMode="External"/><Relationship Id="rId5" Type="http://schemas.openxmlformats.org/officeDocument/2006/relationships/hyperlink" Target="http://discuss.jiucaishuo.com/?/invest/showData/search_gu-gidji" TargetMode="External"/><Relationship Id="rId181" Type="http://schemas.openxmlformats.org/officeDocument/2006/relationships/hyperlink" Target="http://discuss.jiucaishuo.com/?/invest/showData/search_gu-sh000991" TargetMode="External"/><Relationship Id="rId237" Type="http://schemas.openxmlformats.org/officeDocument/2006/relationships/hyperlink" Target="http://discuss.jiucaishuo.com/?/invest/showData/search_gu-sh000961" TargetMode="External"/><Relationship Id="rId279" Type="http://schemas.openxmlformats.org/officeDocument/2006/relationships/hyperlink" Target="http://discuss.jiucaishuo.com/?/invest/showData/search_gu-si801094" TargetMode="External"/><Relationship Id="rId43" Type="http://schemas.openxmlformats.org/officeDocument/2006/relationships/hyperlink" Target="http://discuss.jiucaishuo.com/?/invest/showData/search_gu-sz399804" TargetMode="External"/><Relationship Id="rId139" Type="http://schemas.openxmlformats.org/officeDocument/2006/relationships/hyperlink" Target="http://discuss.jiucaishuo.com/?/invest/showData/search_gu-sh000977" TargetMode="External"/><Relationship Id="rId290" Type="http://schemas.openxmlformats.org/officeDocument/2006/relationships/hyperlink" Target="http://discuss.jiucaishuo.com/?/invest/showData/search_gu-sh000986" TargetMode="External"/><Relationship Id="rId304" Type="http://schemas.openxmlformats.org/officeDocument/2006/relationships/hyperlink" Target="http://discuss.jiucaishuo.com/?/invest/showData/search_gu-sz399975" TargetMode="External"/><Relationship Id="rId346" Type="http://schemas.openxmlformats.org/officeDocument/2006/relationships/hyperlink" Target="http://discuss.jiucaishuo.com/?/invest/showData/search_gu-si801075" TargetMode="External"/><Relationship Id="rId85" Type="http://schemas.openxmlformats.org/officeDocument/2006/relationships/hyperlink" Target="http://discuss.jiucaishuo.com/?/invest/showData/search_gu-sz399416" TargetMode="External"/><Relationship Id="rId150" Type="http://schemas.openxmlformats.org/officeDocument/2006/relationships/hyperlink" Target="http://discuss.jiucaishuo.com/?/invest/showData/search_gu-sh000042" TargetMode="External"/><Relationship Id="rId192" Type="http://schemas.openxmlformats.org/officeDocument/2006/relationships/hyperlink" Target="http://discuss.jiucaishuo.com/?/invest/showData/search_gu-wi881001" TargetMode="External"/><Relationship Id="rId206" Type="http://schemas.openxmlformats.org/officeDocument/2006/relationships/hyperlink" Target="http://discuss.jiucaishuo.com/?/invest/showData/search_gu-csi930713" TargetMode="External"/><Relationship Id="rId248" Type="http://schemas.openxmlformats.org/officeDocument/2006/relationships/hyperlink" Target="http://discuss.jiucaishuo.com/?/invest/showData/search_gu-gidjsoep" TargetMode="External"/><Relationship Id="rId12" Type="http://schemas.openxmlformats.org/officeDocument/2006/relationships/hyperlink" Target="http://discuss.jiucaishuo.com/?/invest/showData/search_gu-sh000958" TargetMode="External"/><Relationship Id="rId108" Type="http://schemas.openxmlformats.org/officeDocument/2006/relationships/hyperlink" Target="http://discuss.jiucaishuo.com/?/invest/showData/search_gu-sh000974" TargetMode="External"/><Relationship Id="rId315" Type="http://schemas.openxmlformats.org/officeDocument/2006/relationships/hyperlink" Target="http://discuss.jiucaishuo.com/?/invest/showData/search_gu-sh000852" TargetMode="External"/><Relationship Id="rId357" Type="http://schemas.openxmlformats.org/officeDocument/2006/relationships/hyperlink" Target="http://discuss.jiucaishuo.com/?/invest/showData/search_gu-si801211" TargetMode="External"/><Relationship Id="rId54" Type="http://schemas.openxmlformats.org/officeDocument/2006/relationships/hyperlink" Target="http://discuss.jiucaishuo.com/?/invest/showData/search_gu-giixic" TargetMode="External"/><Relationship Id="rId96" Type="http://schemas.openxmlformats.org/officeDocument/2006/relationships/hyperlink" Target="http://discuss.jiucaishuo.com/?/invest/showData/search_gu-sh000971" TargetMode="External"/><Relationship Id="rId161" Type="http://schemas.openxmlformats.org/officeDocument/2006/relationships/hyperlink" Target="http://discuss.jiucaishuo.com/?/invest/showData/search_gu-si801210" TargetMode="External"/><Relationship Id="rId217" Type="http://schemas.openxmlformats.org/officeDocument/2006/relationships/hyperlink" Target="http://discuss.jiucaishuo.com/?/invest/showData/search_gu-sz399811" TargetMode="External"/><Relationship Id="rId259" Type="http://schemas.openxmlformats.org/officeDocument/2006/relationships/hyperlink" Target="http://discuss.jiucaishuo.com/?/invest/showData/search_gu-si801033" TargetMode="External"/><Relationship Id="rId23" Type="http://schemas.openxmlformats.org/officeDocument/2006/relationships/hyperlink" Target="http://discuss.jiucaishuo.com/?/invest/showData/search_gu-csi931009" TargetMode="External"/><Relationship Id="rId119" Type="http://schemas.openxmlformats.org/officeDocument/2006/relationships/hyperlink" Target="http://discuss.jiucaishuo.com/?/invest/showData/search_gu-sz399007" TargetMode="External"/><Relationship Id="rId270" Type="http://schemas.openxmlformats.org/officeDocument/2006/relationships/hyperlink" Target="http://discuss.jiucaishuo.com/?/invest/showData/search_gu-si801143" TargetMode="External"/><Relationship Id="rId326" Type="http://schemas.openxmlformats.org/officeDocument/2006/relationships/hyperlink" Target="http://discuss.jiucaishuo.com/?/invest/showData/search_gu-si801731" TargetMode="External"/><Relationship Id="rId65" Type="http://schemas.openxmlformats.org/officeDocument/2006/relationships/hyperlink" Target="http://discuss.jiucaishuo.com/?/invest/showData/search_gu-sh000048" TargetMode="External"/><Relationship Id="rId130" Type="http://schemas.openxmlformats.org/officeDocument/2006/relationships/hyperlink" Target="http://discuss.jiucaishuo.com/?/invest/showData/search_gu-sh000901" TargetMode="External"/><Relationship Id="rId172" Type="http://schemas.openxmlformats.org/officeDocument/2006/relationships/hyperlink" Target="http://discuss.jiucaishuo.com/?/invest/showData/search_gu-csi930641" TargetMode="External"/><Relationship Id="rId228" Type="http://schemas.openxmlformats.org/officeDocument/2006/relationships/hyperlink" Target="http://discuss.jiucaishuo.com/?/invest/showData/search_gu-csi930620" TargetMode="External"/><Relationship Id="rId281" Type="http://schemas.openxmlformats.org/officeDocument/2006/relationships/hyperlink" Target="http://discuss.jiucaishuo.com/?/invest/showData/search_gu-sz399417" TargetMode="External"/><Relationship Id="rId337" Type="http://schemas.openxmlformats.org/officeDocument/2006/relationships/hyperlink" Target="http://discuss.jiucaishuo.com/?/invest/showData/search_gu-si801741" TargetMode="External"/><Relationship Id="rId34" Type="http://schemas.openxmlformats.org/officeDocument/2006/relationships/hyperlink" Target="http://discuss.jiucaishuo.com/?/invest/showData/search_gu-si801721" TargetMode="External"/><Relationship Id="rId76" Type="http://schemas.openxmlformats.org/officeDocument/2006/relationships/hyperlink" Target="http://discuss.jiucaishuo.com/?/invest/showData/search_gu-sz399634" TargetMode="External"/><Relationship Id="rId141" Type="http://schemas.openxmlformats.org/officeDocument/2006/relationships/hyperlink" Target="http://discuss.jiucaishuo.com/?/invest/showData/search_gu-csi930723" TargetMode="External"/><Relationship Id="rId7" Type="http://schemas.openxmlformats.org/officeDocument/2006/relationships/hyperlink" Target="http://discuss.jiucaishuo.com/?/invest/showData/search_gu-csi930720" TargetMode="External"/><Relationship Id="rId183" Type="http://schemas.openxmlformats.org/officeDocument/2006/relationships/hyperlink" Target="http://discuss.jiucaishuo.com/?/invest/showData/search_gu-csi930777" TargetMode="External"/><Relationship Id="rId239" Type="http://schemas.openxmlformats.org/officeDocument/2006/relationships/hyperlink" Target="http://discuss.jiucaishuo.com/?/invest/showData/search_gu-si801722" TargetMode="External"/><Relationship Id="rId250" Type="http://schemas.openxmlformats.org/officeDocument/2006/relationships/hyperlink" Target="http://discuss.jiucaishuo.com/?/invest/showData/search_gu-si801890" TargetMode="External"/><Relationship Id="rId292" Type="http://schemas.openxmlformats.org/officeDocument/2006/relationships/hyperlink" Target="http://discuss.jiucaishuo.com/?/invest/showData/search_gu-si801164" TargetMode="External"/><Relationship Id="rId306" Type="http://schemas.openxmlformats.org/officeDocument/2006/relationships/hyperlink" Target="http://discuss.jiucaishuo.com/?/invest/showData/search_gu-si801205" TargetMode="External"/><Relationship Id="rId45" Type="http://schemas.openxmlformats.org/officeDocument/2006/relationships/hyperlink" Target="http://discuss.jiucaishuo.com/?/invest/showData/search_gu-spisp500" TargetMode="External"/><Relationship Id="rId87" Type="http://schemas.openxmlformats.org/officeDocument/2006/relationships/hyperlink" Target="http://discuss.jiucaishuo.com/?/invest/showData/search_gu-sh000934" TargetMode="External"/><Relationship Id="rId110" Type="http://schemas.openxmlformats.org/officeDocument/2006/relationships/hyperlink" Target="http://discuss.jiucaishuo.com/?/invest/showData/search_gu-csi930629" TargetMode="External"/><Relationship Id="rId348" Type="http://schemas.openxmlformats.org/officeDocument/2006/relationships/hyperlink" Target="http://discuss.jiucaishuo.com/?/invest/showData/search_gu-si801223" TargetMode="External"/><Relationship Id="rId152" Type="http://schemas.openxmlformats.org/officeDocument/2006/relationships/hyperlink" Target="http://discuss.jiucaishuo.com/?/invest/showData/search_gu-csi950096" TargetMode="External"/><Relationship Id="rId194" Type="http://schemas.openxmlformats.org/officeDocument/2006/relationships/hyperlink" Target="http://discuss.jiucaishuo.com/?/invest/showData/search_gu-sz399976" TargetMode="External"/><Relationship Id="rId208" Type="http://schemas.openxmlformats.org/officeDocument/2006/relationships/hyperlink" Target="http://discuss.jiucaishuo.com/?/invest/showData/search_gu-si801151" TargetMode="External"/><Relationship Id="rId261" Type="http://schemas.openxmlformats.org/officeDocument/2006/relationships/hyperlink" Target="http://discuss.jiucaishuo.com/?/invest/showData/search_gu-si801160" TargetMode="External"/><Relationship Id="rId14" Type="http://schemas.openxmlformats.org/officeDocument/2006/relationships/hyperlink" Target="http://discuss.jiucaishuo.com/?/invest/showData/search_gu-sh000918" TargetMode="External"/><Relationship Id="rId56" Type="http://schemas.openxmlformats.org/officeDocument/2006/relationships/hyperlink" Target="http://discuss.jiucaishuo.com/?/invest/showData/search_gu-sh000069" TargetMode="External"/><Relationship Id="rId317" Type="http://schemas.openxmlformats.org/officeDocument/2006/relationships/hyperlink" Target="http://discuss.jiucaishuo.com/?/invest/showData/search_gu-sh000993" TargetMode="External"/><Relationship Id="rId98" Type="http://schemas.openxmlformats.org/officeDocument/2006/relationships/hyperlink" Target="http://discuss.jiucaishuo.com/?/invest/showData/search_gu-sz399996" TargetMode="External"/><Relationship Id="rId121" Type="http://schemas.openxmlformats.org/officeDocument/2006/relationships/hyperlink" Target="http://discuss.jiucaishuo.com/?/invest/showData/search_gu-csih30124" TargetMode="External"/><Relationship Id="rId163" Type="http://schemas.openxmlformats.org/officeDocument/2006/relationships/hyperlink" Target="http://discuss.jiucaishuo.com/?/invest/showData/search_gu-csi930793" TargetMode="External"/><Relationship Id="rId219" Type="http://schemas.openxmlformats.org/officeDocument/2006/relationships/hyperlink" Target="http://discuss.jiucaishuo.com/?/invest/showData/search_gu-si801030" TargetMode="External"/><Relationship Id="rId230" Type="http://schemas.openxmlformats.org/officeDocument/2006/relationships/hyperlink" Target="http://discuss.jiucaishuo.com/?/invest/showData/search_gu-si801880" TargetMode="External"/><Relationship Id="rId25" Type="http://schemas.openxmlformats.org/officeDocument/2006/relationships/hyperlink" Target="http://discuss.jiucaishuo.com/?/invest/showData/search_gu-sz399965" TargetMode="External"/><Relationship Id="rId46" Type="http://schemas.openxmlformats.org/officeDocument/2006/relationships/hyperlink" Target="http://discuss.jiucaishuo.com/?/invest/showData/search_gu-spispxewtr" TargetMode="External"/><Relationship Id="rId67" Type="http://schemas.openxmlformats.org/officeDocument/2006/relationships/hyperlink" Target="http://discuss.jiucaishuo.com/?/invest/showData/search_gu-sh000969" TargetMode="External"/><Relationship Id="rId272" Type="http://schemas.openxmlformats.org/officeDocument/2006/relationships/hyperlink" Target="http://discuss.jiucaishuo.com/?/invest/showData/search_gu-si801770" TargetMode="External"/><Relationship Id="rId293" Type="http://schemas.openxmlformats.org/officeDocument/2006/relationships/hyperlink" Target="http://discuss.jiucaishuo.com/?/invest/showData/search_gu-si801750" TargetMode="External"/><Relationship Id="rId307" Type="http://schemas.openxmlformats.org/officeDocument/2006/relationships/hyperlink" Target="http://discuss.jiucaishuo.com/?/invest/showData/search_gu-sh000068" TargetMode="External"/><Relationship Id="rId328" Type="http://schemas.openxmlformats.org/officeDocument/2006/relationships/hyperlink" Target="http://discuss.jiucaishuo.com/?/invest/showData/search_gu-sz399395" TargetMode="External"/><Relationship Id="rId349" Type="http://schemas.openxmlformats.org/officeDocument/2006/relationships/hyperlink" Target="http://discuss.jiucaishuo.com/?/invest/showData/search_gu-si801112" TargetMode="External"/><Relationship Id="rId88" Type="http://schemas.openxmlformats.org/officeDocument/2006/relationships/hyperlink" Target="http://discuss.jiucaishuo.com/?/invest/showData/search_gu-sh000925" TargetMode="External"/><Relationship Id="rId111" Type="http://schemas.openxmlformats.org/officeDocument/2006/relationships/hyperlink" Target="http://discuss.jiucaishuo.com/?/invest/showData/search_gu-sh000016" TargetMode="External"/><Relationship Id="rId132" Type="http://schemas.openxmlformats.org/officeDocument/2006/relationships/hyperlink" Target="http://discuss.jiucaishuo.com/?/invest/showData/search_gu-sh000021" TargetMode="External"/><Relationship Id="rId153" Type="http://schemas.openxmlformats.org/officeDocument/2006/relationships/hyperlink" Target="http://discuss.jiucaishuo.com/?/invest/showData/search_gu-si801178" TargetMode="External"/><Relationship Id="rId174" Type="http://schemas.openxmlformats.org/officeDocument/2006/relationships/hyperlink" Target="http://discuss.jiucaishuo.com/?/invest/showData/search_gu-csi930791" TargetMode="External"/><Relationship Id="rId195" Type="http://schemas.openxmlformats.org/officeDocument/2006/relationships/hyperlink" Target="http://discuss.jiucaishuo.com/?/invest/showData/search_gu-si801040" TargetMode="External"/><Relationship Id="rId209" Type="http://schemas.openxmlformats.org/officeDocument/2006/relationships/hyperlink" Target="http://discuss.jiucaishuo.com/?/invest/showData/search_gu-si801074" TargetMode="External"/><Relationship Id="rId220" Type="http://schemas.openxmlformats.org/officeDocument/2006/relationships/hyperlink" Target="http://discuss.jiucaishuo.com/?/invest/showData/search_gu-si801013" TargetMode="External"/><Relationship Id="rId241" Type="http://schemas.openxmlformats.org/officeDocument/2006/relationships/hyperlink" Target="http://discuss.jiucaishuo.com/?/invest/showData/search_gu-si801080" TargetMode="External"/><Relationship Id="rId15" Type="http://schemas.openxmlformats.org/officeDocument/2006/relationships/hyperlink" Target="http://discuss.jiucaishuo.com/?/invest/showData/search_gu-sh000932" TargetMode="External"/><Relationship Id="rId36" Type="http://schemas.openxmlformats.org/officeDocument/2006/relationships/hyperlink" Target="http://discuss.jiucaishuo.com/?/invest/showData/search_gu-sz399809" TargetMode="External"/><Relationship Id="rId57" Type="http://schemas.openxmlformats.org/officeDocument/2006/relationships/hyperlink" Target="http://discuss.jiucaishuo.com/?/invest/showData/search_gu-csih30535" TargetMode="External"/><Relationship Id="rId262" Type="http://schemas.openxmlformats.org/officeDocument/2006/relationships/hyperlink" Target="http://discuss.jiucaishuo.com/?/invest/showData/search_gu-sh000905" TargetMode="External"/><Relationship Id="rId283" Type="http://schemas.openxmlformats.org/officeDocument/2006/relationships/hyperlink" Target="http://discuss.jiucaishuo.com/?/invest/showData/search_gu-csi930875" TargetMode="External"/><Relationship Id="rId318" Type="http://schemas.openxmlformats.org/officeDocument/2006/relationships/hyperlink" Target="http://discuss.jiucaishuo.com/?/invest/showData/search_gu-si801053" TargetMode="External"/><Relationship Id="rId339" Type="http://schemas.openxmlformats.org/officeDocument/2006/relationships/hyperlink" Target="http://discuss.jiucaishuo.com/?/invest/showData/search_gu-si801054" TargetMode="External"/><Relationship Id="rId78" Type="http://schemas.openxmlformats.org/officeDocument/2006/relationships/hyperlink" Target="http://discuss.jiucaishuo.com/?/invest/showData/search_gu-sh000038" TargetMode="External"/><Relationship Id="rId99" Type="http://schemas.openxmlformats.org/officeDocument/2006/relationships/hyperlink" Target="http://discuss.jiucaishuo.com/?/invest/showData/search_gu-sz399986" TargetMode="External"/><Relationship Id="rId101" Type="http://schemas.openxmlformats.org/officeDocument/2006/relationships/hyperlink" Target="http://discuss.jiucaishuo.com/?/invest/showData/search_gu-sh000814" TargetMode="External"/><Relationship Id="rId122" Type="http://schemas.openxmlformats.org/officeDocument/2006/relationships/hyperlink" Target="http://discuss.jiucaishuo.com/?/invest/showData/search_gu-sh000984" TargetMode="External"/><Relationship Id="rId143" Type="http://schemas.openxmlformats.org/officeDocument/2006/relationships/hyperlink" Target="http://discuss.jiucaishuo.com/?/invest/showData/search_gu-sh000906" TargetMode="External"/><Relationship Id="rId164" Type="http://schemas.openxmlformats.org/officeDocument/2006/relationships/hyperlink" Target="http://discuss.jiucaishuo.com/?/invest/showData/search_gu-sz399006" TargetMode="External"/><Relationship Id="rId185" Type="http://schemas.openxmlformats.org/officeDocument/2006/relationships/hyperlink" Target="http://discuss.jiucaishuo.com/?/invest/showData/search_gu-csih30531" TargetMode="External"/><Relationship Id="rId350" Type="http://schemas.openxmlformats.org/officeDocument/2006/relationships/hyperlink" Target="http://discuss.jiucaishuo.com/?/invest/showData/search_gu-sz399102" TargetMode="External"/><Relationship Id="rId9" Type="http://schemas.openxmlformats.org/officeDocument/2006/relationships/hyperlink" Target="http://discuss.jiucaishuo.com/?/invest/showData/search_gu-si801111" TargetMode="External"/><Relationship Id="rId210" Type="http://schemas.openxmlformats.org/officeDocument/2006/relationships/hyperlink" Target="http://discuss.jiucaishuo.com/?/invest/showData/search_gu-csih30318" TargetMode="External"/><Relationship Id="rId26" Type="http://schemas.openxmlformats.org/officeDocument/2006/relationships/hyperlink" Target="http://discuss.jiucaishuo.com/?/invest/showData/search_gu-si801711" TargetMode="External"/><Relationship Id="rId231" Type="http://schemas.openxmlformats.org/officeDocument/2006/relationships/hyperlink" Target="http://discuss.jiucaishuo.com/?/invest/showData/search_gu-si801076" TargetMode="External"/><Relationship Id="rId252" Type="http://schemas.openxmlformats.org/officeDocument/2006/relationships/hyperlink" Target="http://discuss.jiucaishuo.com/?/invest/showData/search_gu-si801213" TargetMode="External"/><Relationship Id="rId273" Type="http://schemas.openxmlformats.org/officeDocument/2006/relationships/hyperlink" Target="http://discuss.jiucaishuo.com/?/invest/showData/search_gu-sz399429" TargetMode="External"/><Relationship Id="rId294" Type="http://schemas.openxmlformats.org/officeDocument/2006/relationships/hyperlink" Target="http://discuss.jiucaishuo.com/?/invest/showData/search_gu-sz399624" TargetMode="External"/><Relationship Id="rId308" Type="http://schemas.openxmlformats.org/officeDocument/2006/relationships/hyperlink" Target="http://discuss.jiucaishuo.com/?/invest/showData/search_gu-sz399806" TargetMode="External"/><Relationship Id="rId329" Type="http://schemas.openxmlformats.org/officeDocument/2006/relationships/hyperlink" Target="http://discuss.jiucaishuo.com/?/invest/showData/search_gu-si801072" TargetMode="External"/><Relationship Id="rId47" Type="http://schemas.openxmlformats.org/officeDocument/2006/relationships/hyperlink" Target="http://discuss.jiucaishuo.com/?/invest/showData/search_gu-si801181" TargetMode="External"/><Relationship Id="rId68" Type="http://schemas.openxmlformats.org/officeDocument/2006/relationships/hyperlink" Target="http://discuss.jiucaishuo.com/?/invest/showData/search_gu-csih30344" TargetMode="External"/><Relationship Id="rId89" Type="http://schemas.openxmlformats.org/officeDocument/2006/relationships/hyperlink" Target="http://discuss.jiucaishuo.com/?/invest/showData/search_gu-sh000919" TargetMode="External"/><Relationship Id="rId112" Type="http://schemas.openxmlformats.org/officeDocument/2006/relationships/hyperlink" Target="http://discuss.jiucaishuo.com/?/invest/showData/search_gu-sh000050" TargetMode="External"/><Relationship Id="rId133" Type="http://schemas.openxmlformats.org/officeDocument/2006/relationships/hyperlink" Target="http://discuss.jiucaishuo.com/?/invest/showData/search_gu-hihscei" TargetMode="External"/><Relationship Id="rId154" Type="http://schemas.openxmlformats.org/officeDocument/2006/relationships/hyperlink" Target="http://discuss.jiucaishuo.com/?/invest/showData/search_gu-si801215" TargetMode="External"/><Relationship Id="rId175" Type="http://schemas.openxmlformats.org/officeDocument/2006/relationships/hyperlink" Target="http://discuss.jiucaishuo.com/?/invest/showData/search_gu-si801083" TargetMode="External"/><Relationship Id="rId340" Type="http://schemas.openxmlformats.org/officeDocument/2006/relationships/hyperlink" Target="http://discuss.jiucaishuo.com/?/invest/showData/search_gu-si801081" TargetMode="External"/><Relationship Id="rId196" Type="http://schemas.openxmlformats.org/officeDocument/2006/relationships/hyperlink" Target="http://discuss.jiucaishuo.com/?/invest/showData/search_gu-si801041" TargetMode="External"/><Relationship Id="rId200" Type="http://schemas.openxmlformats.org/officeDocument/2006/relationships/hyperlink" Target="http://discuss.jiucaishuo.com/?/invest/showData/search_gu-si801150" TargetMode="External"/><Relationship Id="rId16" Type="http://schemas.openxmlformats.org/officeDocument/2006/relationships/hyperlink" Target="http://discuss.jiucaishuo.com/?/invest/showData/search_gu-sz399983" TargetMode="External"/><Relationship Id="rId221" Type="http://schemas.openxmlformats.org/officeDocument/2006/relationships/hyperlink" Target="http://discuss.jiucaishuo.com/?/invest/showData/search_gu-sh000979" TargetMode="External"/><Relationship Id="rId242" Type="http://schemas.openxmlformats.org/officeDocument/2006/relationships/hyperlink" Target="http://discuss.jiucaishuo.com/?/invest/showData/search_gu-csi930652" TargetMode="External"/><Relationship Id="rId263" Type="http://schemas.openxmlformats.org/officeDocument/2006/relationships/hyperlink" Target="http://discuss.jiucaishuo.com/?/invest/showData/search_gu-sh000982" TargetMode="External"/><Relationship Id="rId284" Type="http://schemas.openxmlformats.org/officeDocument/2006/relationships/hyperlink" Target="http://discuss.jiucaishuo.com/?/invest/showData/search_gu-csi930651" TargetMode="External"/><Relationship Id="rId319" Type="http://schemas.openxmlformats.org/officeDocument/2006/relationships/hyperlink" Target="http://discuss.jiucaishuo.com/?/invest/showData/search_gu-si801742" TargetMode="External"/><Relationship Id="rId37" Type="http://schemas.openxmlformats.org/officeDocument/2006/relationships/hyperlink" Target="http://discuss.jiucaishuo.com/?/invest/showData/search_gu-sz399989" TargetMode="External"/><Relationship Id="rId58" Type="http://schemas.openxmlformats.org/officeDocument/2006/relationships/hyperlink" Target="http://discuss.jiucaishuo.com/?/invest/showData/search_gu-sz399612" TargetMode="External"/><Relationship Id="rId79" Type="http://schemas.openxmlformats.org/officeDocument/2006/relationships/hyperlink" Target="http://discuss.jiucaishuo.com/?/invest/showData/search_gu-si801214" TargetMode="External"/><Relationship Id="rId102" Type="http://schemas.openxmlformats.org/officeDocument/2006/relationships/hyperlink" Target="http://discuss.jiucaishuo.com/?/invest/showData/search_gu-sh000043" TargetMode="External"/><Relationship Id="rId123" Type="http://schemas.openxmlformats.org/officeDocument/2006/relationships/hyperlink" Target="http://discuss.jiucaishuo.com/?/invest/showData/search_gu-sz399703" TargetMode="External"/><Relationship Id="rId144" Type="http://schemas.openxmlformats.org/officeDocument/2006/relationships/hyperlink" Target="http://discuss.jiucaishuo.com/?/invest/showData/search_gu-sh000842" TargetMode="External"/><Relationship Id="rId330" Type="http://schemas.openxmlformats.org/officeDocument/2006/relationships/hyperlink" Target="http://discuss.jiucaishuo.com/?/invest/showData/search_gu-si801016" TargetMode="External"/><Relationship Id="rId90" Type="http://schemas.openxmlformats.org/officeDocument/2006/relationships/hyperlink" Target="http://discuss.jiucaishuo.com/?/invest/showData/search_gu-sz399441" TargetMode="External"/><Relationship Id="rId165" Type="http://schemas.openxmlformats.org/officeDocument/2006/relationships/hyperlink" Target="http://discuss.jiucaishuo.com/?/invest/showData/search_gu-hihsi" TargetMode="External"/><Relationship Id="rId186" Type="http://schemas.openxmlformats.org/officeDocument/2006/relationships/hyperlink" Target="http://discuss.jiucaishuo.com/?/invest/showData/search_gu-si801152" TargetMode="External"/><Relationship Id="rId351" Type="http://schemas.openxmlformats.org/officeDocument/2006/relationships/hyperlink" Target="http://discuss.jiucaishuo.com/?/invest/showData/search_gu-csi930654" TargetMode="External"/><Relationship Id="rId211" Type="http://schemas.openxmlformats.org/officeDocument/2006/relationships/hyperlink" Target="http://discuss.jiucaishuo.com/?/invest/showData/search_gu-sh000987" TargetMode="External"/><Relationship Id="rId232" Type="http://schemas.openxmlformats.org/officeDocument/2006/relationships/hyperlink" Target="http://discuss.jiucaishuo.com/?/invest/showData/search_gu-sh000802" TargetMode="External"/><Relationship Id="rId253" Type="http://schemas.openxmlformats.org/officeDocument/2006/relationships/hyperlink" Target="http://discuss.jiucaishuo.com/?/invest/showData/search_gu-si801752" TargetMode="External"/><Relationship Id="rId274" Type="http://schemas.openxmlformats.org/officeDocument/2006/relationships/hyperlink" Target="http://discuss.jiucaishuo.com/?/invest/showData/search_gu-si801035" TargetMode="External"/><Relationship Id="rId295" Type="http://schemas.openxmlformats.org/officeDocument/2006/relationships/hyperlink" Target="http://discuss.jiucaishuo.com/?/invest/showData/search_gu-sz399802" TargetMode="External"/><Relationship Id="rId309" Type="http://schemas.openxmlformats.org/officeDocument/2006/relationships/hyperlink" Target="http://discuss.jiucaishuo.com/?/invest/showData/search_gu-sz399994" TargetMode="External"/><Relationship Id="rId27" Type="http://schemas.openxmlformats.org/officeDocument/2006/relationships/hyperlink" Target="http://discuss.jiucaishuo.com/?/invest/showData/search_gu-sh000816" TargetMode="External"/><Relationship Id="rId48" Type="http://schemas.openxmlformats.org/officeDocument/2006/relationships/hyperlink" Target="http://discuss.jiucaishuo.com/?/invest/showData/search_gu-csi930743" TargetMode="External"/><Relationship Id="rId69" Type="http://schemas.openxmlformats.org/officeDocument/2006/relationships/hyperlink" Target="http://discuss.jiucaishuo.com/?/invest/showData/search_gu-sz399970" TargetMode="External"/><Relationship Id="rId113" Type="http://schemas.openxmlformats.org/officeDocument/2006/relationships/hyperlink" Target="http://discuss.jiucaishuo.com/?/invest/showData/search_gu-sh000065" TargetMode="External"/><Relationship Id="rId134" Type="http://schemas.openxmlformats.org/officeDocument/2006/relationships/hyperlink" Target="http://discuss.jiucaishuo.com/?/invest/showData/search_gu-si801780" TargetMode="External"/><Relationship Id="rId320" Type="http://schemas.openxmlformats.org/officeDocument/2006/relationships/hyperlink" Target="http://discuss.jiucaishuo.com/?/invest/showData/search_gu-si801751" TargetMode="External"/><Relationship Id="rId80" Type="http://schemas.openxmlformats.org/officeDocument/2006/relationships/hyperlink" Target="http://discuss.jiucaishuo.com/?/invest/showData/search_gu-sz399993" TargetMode="External"/><Relationship Id="rId155" Type="http://schemas.openxmlformats.org/officeDocument/2006/relationships/hyperlink" Target="http://discuss.jiucaishuo.com/?/invest/showData/search_gu-sz399001" TargetMode="External"/><Relationship Id="rId176" Type="http://schemas.openxmlformats.org/officeDocument/2006/relationships/hyperlink" Target="http://discuss.jiucaishuo.com/?/invest/showData/search_gu-sz399992" TargetMode="External"/><Relationship Id="rId197" Type="http://schemas.openxmlformats.org/officeDocument/2006/relationships/hyperlink" Target="http://discuss.jiucaishuo.com/?/invest/showData/search_gu-hihsmsi" TargetMode="External"/><Relationship Id="rId341" Type="http://schemas.openxmlformats.org/officeDocument/2006/relationships/hyperlink" Target="http://discuss.jiucaishuo.com/?/invest/showData/search_gu-csi930790" TargetMode="External"/><Relationship Id="rId201" Type="http://schemas.openxmlformats.org/officeDocument/2006/relationships/hyperlink" Target="http://discuss.jiucaishuo.com/?/invest/showData/search_gu-si801154" TargetMode="External"/><Relationship Id="rId222" Type="http://schemas.openxmlformats.org/officeDocument/2006/relationships/hyperlink" Target="http://discuss.jiucaishuo.com/?/invest/showData/search_gu-csi930599" TargetMode="External"/><Relationship Id="rId243" Type="http://schemas.openxmlformats.org/officeDocument/2006/relationships/hyperlink" Target="http://discuss.jiucaishuo.com/?/invest/showData/search_gu-si801171" TargetMode="External"/><Relationship Id="rId264" Type="http://schemas.openxmlformats.org/officeDocument/2006/relationships/hyperlink" Target="http://discuss.jiucaishuo.com/?/invest/showData/search_gu-si801141" TargetMode="External"/><Relationship Id="rId285" Type="http://schemas.openxmlformats.org/officeDocument/2006/relationships/hyperlink" Target="http://discuss.jiucaishuo.com/?/invest/showData/search_gu-si801730" TargetMode="External"/><Relationship Id="rId17" Type="http://schemas.openxmlformats.org/officeDocument/2006/relationships/hyperlink" Target="http://discuss.jiucaishuo.com/?/invest/showData/search_gu-si801120" TargetMode="External"/><Relationship Id="rId38" Type="http://schemas.openxmlformats.org/officeDocument/2006/relationships/hyperlink" Target="http://discuss.jiucaishuo.com/?/invest/showData/search_gu-sz399324" TargetMode="External"/><Relationship Id="rId59" Type="http://schemas.openxmlformats.org/officeDocument/2006/relationships/hyperlink" Target="http://discuss.jiucaishuo.com/?/invest/showData/search_gu-sz399701" TargetMode="External"/><Relationship Id="rId103" Type="http://schemas.openxmlformats.org/officeDocument/2006/relationships/hyperlink" Target="http://discuss.jiucaishuo.com/?/invest/showData/search_gu-csih30035" TargetMode="External"/><Relationship Id="rId124" Type="http://schemas.openxmlformats.org/officeDocument/2006/relationships/hyperlink" Target="http://discuss.jiucaishuo.com/?/invest/showData/search_gu-csi000978" TargetMode="External"/><Relationship Id="rId310" Type="http://schemas.openxmlformats.org/officeDocument/2006/relationships/hyperlink" Target="http://discuss.jiucaishuo.com/?/invest/showData/search_gu-si801193" TargetMode="External"/><Relationship Id="rId70" Type="http://schemas.openxmlformats.org/officeDocument/2006/relationships/hyperlink" Target="http://discuss.jiucaishuo.com/?/invest/showData/search_gu-sh000963" TargetMode="External"/><Relationship Id="rId91" Type="http://schemas.openxmlformats.org/officeDocument/2006/relationships/hyperlink" Target="http://discuss.jiucaishuo.com/?/invest/showData/search_gu-sz399348" TargetMode="External"/><Relationship Id="rId145" Type="http://schemas.openxmlformats.org/officeDocument/2006/relationships/hyperlink" Target="http://discuss.jiucaishuo.com/?/invest/showData/search_gu-sz399995" TargetMode="External"/><Relationship Id="rId166" Type="http://schemas.openxmlformats.org/officeDocument/2006/relationships/hyperlink" Target="http://discuss.jiucaishuo.com/?/invest/showData/search_gu-sh000009" TargetMode="External"/><Relationship Id="rId187" Type="http://schemas.openxmlformats.org/officeDocument/2006/relationships/hyperlink" Target="http://discuss.jiucaishuo.com/?/invest/showData/search_gu-hihshkmi" TargetMode="External"/><Relationship Id="rId331" Type="http://schemas.openxmlformats.org/officeDocument/2006/relationships/hyperlink" Target="http://discuss.jiucaishuo.com/?/invest/showData/search_gu-si801055" TargetMode="External"/><Relationship Id="rId352" Type="http://schemas.openxmlformats.org/officeDocument/2006/relationships/hyperlink" Target="http://discuss.jiucaishuo.com/?/invest/showData/search_gu-si801024" TargetMode="External"/><Relationship Id="rId1" Type="http://schemas.openxmlformats.org/officeDocument/2006/relationships/hyperlink" Target="http://discuss.jiucaishuo.com/?/invest/showData/search_gu-sz399997" TargetMode="External"/><Relationship Id="rId212" Type="http://schemas.openxmlformats.org/officeDocument/2006/relationships/hyperlink" Target="http://discuss.jiucaishuo.com/?/invest/showData/search_gu-sz399440" TargetMode="External"/><Relationship Id="rId233" Type="http://schemas.openxmlformats.org/officeDocument/2006/relationships/hyperlink" Target="http://discuss.jiucaishuo.com/?/invest/showData/search_gu-si801073" TargetMode="External"/><Relationship Id="rId254" Type="http://schemas.openxmlformats.org/officeDocument/2006/relationships/hyperlink" Target="http://discuss.jiucaishuo.com/?/invest/showData/search_gu-si801018" TargetMode="External"/><Relationship Id="rId28" Type="http://schemas.openxmlformats.org/officeDocument/2006/relationships/hyperlink" Target="http://discuss.jiucaishuo.com/?/invest/showData/search_gu-sh000990" TargetMode="External"/><Relationship Id="rId49" Type="http://schemas.openxmlformats.org/officeDocument/2006/relationships/hyperlink" Target="http://discuss.jiucaishuo.com/?/invest/showData/search_gu-sz399550" TargetMode="External"/><Relationship Id="rId114" Type="http://schemas.openxmlformats.org/officeDocument/2006/relationships/hyperlink" Target="http://discuss.jiucaishuo.com/?/invest/showData/search_gu-sh000015" TargetMode="External"/><Relationship Id="rId275" Type="http://schemas.openxmlformats.org/officeDocument/2006/relationships/hyperlink" Target="http://discuss.jiucaishuo.com/?/invest/showData/search_gu-si801131" TargetMode="External"/><Relationship Id="rId296" Type="http://schemas.openxmlformats.org/officeDocument/2006/relationships/hyperlink" Target="http://discuss.jiucaishuo.com/?/invest/showData/search_gu-sh000928" TargetMode="External"/><Relationship Id="rId300" Type="http://schemas.openxmlformats.org/officeDocument/2006/relationships/hyperlink" Target="http://discuss.jiucaishuo.com/?/invest/showData/search_gu-sh000944" TargetMode="External"/><Relationship Id="rId60" Type="http://schemas.openxmlformats.org/officeDocument/2006/relationships/hyperlink" Target="http://discuss.jiucaishuo.com/?/invest/showData/search_gu-csih20839" TargetMode="External"/><Relationship Id="rId81" Type="http://schemas.openxmlformats.org/officeDocument/2006/relationships/hyperlink" Target="http://discuss.jiucaishuo.com/?/invest/showData/search_gu-sh000914" TargetMode="External"/><Relationship Id="rId135" Type="http://schemas.openxmlformats.org/officeDocument/2006/relationships/hyperlink" Target="http://discuss.jiucaishuo.com/?/invest/showData/search_gu-si801192" TargetMode="External"/><Relationship Id="rId156" Type="http://schemas.openxmlformats.org/officeDocument/2006/relationships/hyperlink" Target="http://discuss.jiucaishuo.com/?/invest/showData/search_gu-sz399610" TargetMode="External"/><Relationship Id="rId177" Type="http://schemas.openxmlformats.org/officeDocument/2006/relationships/hyperlink" Target="http://discuss.jiucaishuo.com/?/invest/showData/search_gu-si801202" TargetMode="External"/><Relationship Id="rId198" Type="http://schemas.openxmlformats.org/officeDocument/2006/relationships/hyperlink" Target="http://discuss.jiucaishuo.com/?/invest/showData/search_gu-sh000998" TargetMode="External"/><Relationship Id="rId321" Type="http://schemas.openxmlformats.org/officeDocument/2006/relationships/hyperlink" Target="http://discuss.jiucaishuo.com/?/invest/showData/search_gu-si801743" TargetMode="External"/><Relationship Id="rId342" Type="http://schemas.openxmlformats.org/officeDocument/2006/relationships/hyperlink" Target="http://discuss.jiucaishuo.com/?/invest/showData/search_gu-si801740" TargetMode="External"/><Relationship Id="rId202" Type="http://schemas.openxmlformats.org/officeDocument/2006/relationships/hyperlink" Target="http://discuss.jiucaishuo.com/?/invest/showData/search_gu-csi133333" TargetMode="External"/><Relationship Id="rId223" Type="http://schemas.openxmlformats.org/officeDocument/2006/relationships/hyperlink" Target="http://discuss.jiucaishuo.com/?/invest/showData/search_gu-si801037" TargetMode="External"/><Relationship Id="rId244" Type="http://schemas.openxmlformats.org/officeDocument/2006/relationships/hyperlink" Target="http://discuss.jiucaishuo.com/?/invest/showData/search_gu-si801082" TargetMode="External"/><Relationship Id="rId18" Type="http://schemas.openxmlformats.org/officeDocument/2006/relationships/hyperlink" Target="http://discuss.jiucaishuo.com/?/invest/showData/search_gu-si801017" TargetMode="External"/><Relationship Id="rId39" Type="http://schemas.openxmlformats.org/officeDocument/2006/relationships/hyperlink" Target="http://discuss.jiucaishuo.com/?/invest/showData/search_gu-csih30165" TargetMode="External"/><Relationship Id="rId265" Type="http://schemas.openxmlformats.org/officeDocument/2006/relationships/hyperlink" Target="http://discuss.jiucaishuo.com/?/invest/showData/search_gu-csi930659" TargetMode="External"/><Relationship Id="rId286" Type="http://schemas.openxmlformats.org/officeDocument/2006/relationships/hyperlink" Target="http://discuss.jiucaishuo.com/?/invest/showData/search_gu-sz399422" TargetMode="External"/><Relationship Id="rId50" Type="http://schemas.openxmlformats.org/officeDocument/2006/relationships/hyperlink" Target="http://discuss.jiucaishuo.com/?/invest/showData/search_gu-sz399805" TargetMode="External"/><Relationship Id="rId104" Type="http://schemas.openxmlformats.org/officeDocument/2006/relationships/hyperlink" Target="http://discuss.jiucaishuo.com/?/invest/showData/search_gu-sh000903" TargetMode="External"/><Relationship Id="rId125" Type="http://schemas.openxmlformats.org/officeDocument/2006/relationships/hyperlink" Target="http://discuss.jiucaishuo.com/?/invest/showData/search_gu-csih30588" TargetMode="External"/><Relationship Id="rId146" Type="http://schemas.openxmlformats.org/officeDocument/2006/relationships/hyperlink" Target="http://discuss.jiucaishuo.com/?/invest/showData/search_gu-si801022" TargetMode="External"/><Relationship Id="rId167" Type="http://schemas.openxmlformats.org/officeDocument/2006/relationships/hyperlink" Target="http://discuss.jiucaishuo.com/?/invest/showData/search_gu-si801175" TargetMode="External"/><Relationship Id="rId188" Type="http://schemas.openxmlformats.org/officeDocument/2006/relationships/hyperlink" Target="http://discuss.jiucaishuo.com/?/invest/showData/search_gu-si801032" TargetMode="External"/><Relationship Id="rId311" Type="http://schemas.openxmlformats.org/officeDocument/2006/relationships/hyperlink" Target="http://discuss.jiucaishuo.com/?/invest/showData/search_gu-si801144" TargetMode="External"/><Relationship Id="rId332" Type="http://schemas.openxmlformats.org/officeDocument/2006/relationships/hyperlink" Target="http://discuss.jiucaishuo.com/?/invest/showData/search_gu-sh000819" TargetMode="External"/><Relationship Id="rId353" Type="http://schemas.openxmlformats.org/officeDocument/2006/relationships/hyperlink" Target="http://discuss.jiucaishuo.com/?/invest/showData/search_gu-si801725" TargetMode="External"/><Relationship Id="rId71" Type="http://schemas.openxmlformats.org/officeDocument/2006/relationships/hyperlink" Target="http://discuss.jiucaishuo.com/?/invest/showData/search_gu-csi930729" TargetMode="External"/><Relationship Id="rId92" Type="http://schemas.openxmlformats.org/officeDocument/2006/relationships/hyperlink" Target="http://discuss.jiucaishuo.com/?/invest/showData/search_gu-sh000992" TargetMode="External"/><Relationship Id="rId213" Type="http://schemas.openxmlformats.org/officeDocument/2006/relationships/hyperlink" Target="http://discuss.jiucaishuo.com/?/invest/showData/search_gu-si801051" TargetMode="External"/><Relationship Id="rId234" Type="http://schemas.openxmlformats.org/officeDocument/2006/relationships/hyperlink" Target="http://discuss.jiucaishuo.com/?/invest/showData/search_gu-hihshksi" TargetMode="External"/><Relationship Id="rId2" Type="http://schemas.openxmlformats.org/officeDocument/2006/relationships/hyperlink" Target="http://discuss.jiucaishuo.com/?/invest/showData/search_gu-sz399987" TargetMode="External"/><Relationship Id="rId29" Type="http://schemas.openxmlformats.org/officeDocument/2006/relationships/hyperlink" Target="http://discuss.jiucaishuo.com/?/invest/showData/search_gu-sz399637" TargetMode="External"/><Relationship Id="rId255" Type="http://schemas.openxmlformats.org/officeDocument/2006/relationships/hyperlink" Target="http://discuss.jiucaishuo.com/?/invest/showData/search_gu-si801012" TargetMode="External"/><Relationship Id="rId276" Type="http://schemas.openxmlformats.org/officeDocument/2006/relationships/hyperlink" Target="http://discuss.jiucaishuo.com/?/invest/showData/search_gu-si801733" TargetMode="External"/><Relationship Id="rId297" Type="http://schemas.openxmlformats.org/officeDocument/2006/relationships/hyperlink" Target="http://discuss.jiucaishuo.com/?/invest/showData/search_gu-sh000032" TargetMode="External"/><Relationship Id="rId40" Type="http://schemas.openxmlformats.org/officeDocument/2006/relationships/hyperlink" Target="http://discuss.jiucaishuo.com/?/invest/showData/search_gu-sh000049" TargetMode="External"/><Relationship Id="rId115" Type="http://schemas.openxmlformats.org/officeDocument/2006/relationships/hyperlink" Target="http://discuss.jiucaishuo.com/?/invest/showData/search_gu-sh000029" TargetMode="External"/><Relationship Id="rId136" Type="http://schemas.openxmlformats.org/officeDocument/2006/relationships/hyperlink" Target="http://discuss.jiucaishuo.com/?/invest/showData/search_gu-sz399998" TargetMode="External"/><Relationship Id="rId157" Type="http://schemas.openxmlformats.org/officeDocument/2006/relationships/hyperlink" Target="http://discuss.jiucaishuo.com/?/invest/showData/search_gu-spisphcmshp" TargetMode="External"/><Relationship Id="rId178" Type="http://schemas.openxmlformats.org/officeDocument/2006/relationships/hyperlink" Target="http://discuss.jiucaishuo.com/?/invest/showData/search_gu-csi000985" TargetMode="External"/><Relationship Id="rId301" Type="http://schemas.openxmlformats.org/officeDocument/2006/relationships/hyperlink" Target="http://discuss.jiucaishuo.com/?/invest/showData/search_gu-sz399810" TargetMode="External"/><Relationship Id="rId322" Type="http://schemas.openxmlformats.org/officeDocument/2006/relationships/hyperlink" Target="http://discuss.jiucaishuo.com/?/invest/showData/search_gu-si801084" TargetMode="External"/><Relationship Id="rId343" Type="http://schemas.openxmlformats.org/officeDocument/2006/relationships/hyperlink" Target="http://discuss.jiucaishuo.com/?/invest/showData/search_gu-sz399959" TargetMode="External"/><Relationship Id="rId61" Type="http://schemas.openxmlformats.org/officeDocument/2006/relationships/hyperlink" Target="http://discuss.jiucaishuo.com/?/invest/showData/search_gu-sz399330" TargetMode="External"/><Relationship Id="rId82" Type="http://schemas.openxmlformats.org/officeDocument/2006/relationships/hyperlink" Target="http://discuss.jiucaishuo.com/?/invest/showData/search_gu-csih30263" TargetMode="External"/><Relationship Id="rId199" Type="http://schemas.openxmlformats.org/officeDocument/2006/relationships/hyperlink" Target="http://discuss.jiucaishuo.com/?/invest/showData/search_gu-sh000046" TargetMode="External"/><Relationship Id="rId203" Type="http://schemas.openxmlformats.org/officeDocument/2006/relationships/hyperlink" Target="http://discuss.jiucaishuo.com/?/invest/showData/search_gu-si801713" TargetMode="External"/><Relationship Id="rId19" Type="http://schemas.openxmlformats.org/officeDocument/2006/relationships/hyperlink" Target="http://discuss.jiucaishuo.com/?/invest/showData/search_gu-sh000952" TargetMode="External"/><Relationship Id="rId224" Type="http://schemas.openxmlformats.org/officeDocument/2006/relationships/hyperlink" Target="http://discuss.jiucaishuo.com/?/invest/showData/search_gu-si801020" TargetMode="External"/><Relationship Id="rId245" Type="http://schemas.openxmlformats.org/officeDocument/2006/relationships/hyperlink" Target="http://discuss.jiucaishuo.com/?/invest/showData/search_gu-si801881" TargetMode="External"/><Relationship Id="rId266" Type="http://schemas.openxmlformats.org/officeDocument/2006/relationships/hyperlink" Target="http://discuss.jiucaishuo.com/?/invest/showData/search_gu-si801142" TargetMode="External"/><Relationship Id="rId287" Type="http://schemas.openxmlformats.org/officeDocument/2006/relationships/hyperlink" Target="http://discuss.jiucaishuo.com/?/invest/showData/search_gu-csi931008" TargetMode="External"/><Relationship Id="rId30" Type="http://schemas.openxmlformats.org/officeDocument/2006/relationships/hyperlink" Target="http://discuss.jiucaishuo.com/?/invest/showData/search_gu-sz399812" TargetMode="External"/><Relationship Id="rId105" Type="http://schemas.openxmlformats.org/officeDocument/2006/relationships/hyperlink" Target="http://discuss.jiucaishuo.com/?/invest/showData/search_gu-sh000064" TargetMode="External"/><Relationship Id="rId126" Type="http://schemas.openxmlformats.org/officeDocument/2006/relationships/hyperlink" Target="http://discuss.jiucaishuo.com/?/invest/showData/search_gu-sh000808" TargetMode="External"/><Relationship Id="rId147" Type="http://schemas.openxmlformats.org/officeDocument/2006/relationships/hyperlink" Target="http://discuss.jiucaishuo.com/?/invest/showData/search_gu-sh000033" TargetMode="External"/><Relationship Id="rId168" Type="http://schemas.openxmlformats.org/officeDocument/2006/relationships/hyperlink" Target="http://discuss.jiucaishuo.com/?/invest/showData/search_gu-si801720" TargetMode="External"/><Relationship Id="rId312" Type="http://schemas.openxmlformats.org/officeDocument/2006/relationships/hyperlink" Target="http://discuss.jiucaishuo.com/?/invest/showData/search_gu-si801760" TargetMode="External"/><Relationship Id="rId333" Type="http://schemas.openxmlformats.org/officeDocument/2006/relationships/hyperlink" Target="http://discuss.jiucaishuo.com/?/invest/showData/search_gu-sh000823" TargetMode="External"/><Relationship Id="rId354" Type="http://schemas.openxmlformats.org/officeDocument/2006/relationships/hyperlink" Target="http://discuss.jiucaishuo.com/?/invest/showData/search_gu-si801744" TargetMode="External"/><Relationship Id="rId51" Type="http://schemas.openxmlformats.org/officeDocument/2006/relationships/hyperlink" Target="http://discuss.jiucaishuo.com/?/invest/showData/search_gu-si801180" TargetMode="External"/><Relationship Id="rId72" Type="http://schemas.openxmlformats.org/officeDocument/2006/relationships/hyperlink" Target="http://discuss.jiucaishuo.com/?/invest/showData/search_gu-sh000806" TargetMode="External"/><Relationship Id="rId93" Type="http://schemas.openxmlformats.org/officeDocument/2006/relationships/hyperlink" Target="http://discuss.jiucaishuo.com/?/invest/showData/search_gu-sz399394" TargetMode="External"/><Relationship Id="rId189" Type="http://schemas.openxmlformats.org/officeDocument/2006/relationships/hyperlink" Target="http://discuss.jiucaishuo.com/?/invest/showData/search_gu-si801200" TargetMode="External"/><Relationship Id="rId3" Type="http://schemas.openxmlformats.org/officeDocument/2006/relationships/hyperlink" Target="http://discuss.jiucaishuo.com/?/invest/showData/search_gu-gindx" TargetMode="External"/><Relationship Id="rId214" Type="http://schemas.openxmlformats.org/officeDocument/2006/relationships/hyperlink" Target="http://discuss.jiucaishuo.com/?/invest/showData/search_gu-si801155" TargetMode="External"/><Relationship Id="rId235" Type="http://schemas.openxmlformats.org/officeDocument/2006/relationships/hyperlink" Target="http://discuss.jiucaishuo.com/?/invest/showData/search_gu-si801102" TargetMode="External"/><Relationship Id="rId256" Type="http://schemas.openxmlformats.org/officeDocument/2006/relationships/hyperlink" Target="http://discuss.jiucaishuo.com/?/invest/showData/search_gu-si801172" TargetMode="External"/><Relationship Id="rId277" Type="http://schemas.openxmlformats.org/officeDocument/2006/relationships/hyperlink" Target="http://discuss.jiucaishuo.com/?/invest/showData/search_gu-si801732" TargetMode="External"/><Relationship Id="rId298" Type="http://schemas.openxmlformats.org/officeDocument/2006/relationships/hyperlink" Target="http://discuss.jiucaishuo.com/?/invest/showData/search_gu-sh000805" TargetMode="External"/><Relationship Id="rId116" Type="http://schemas.openxmlformats.org/officeDocument/2006/relationships/hyperlink" Target="http://discuss.jiucaishuo.com/?/invest/showData/search_gu-si801790" TargetMode="External"/><Relationship Id="rId137" Type="http://schemas.openxmlformats.org/officeDocument/2006/relationships/hyperlink" Target="http://discuss.jiucaishuo.com/?/invest/showData/search_gu-sz399990" TargetMode="External"/><Relationship Id="rId158" Type="http://schemas.openxmlformats.org/officeDocument/2006/relationships/hyperlink" Target="http://discuss.jiucaishuo.com/?/invest/showData/search_gu-sh000904" TargetMode="External"/><Relationship Id="rId302" Type="http://schemas.openxmlformats.org/officeDocument/2006/relationships/hyperlink" Target="http://discuss.jiucaishuo.com/?/invest/showData/search_gu-sz399707" TargetMode="External"/><Relationship Id="rId323" Type="http://schemas.openxmlformats.org/officeDocument/2006/relationships/hyperlink" Target="http://discuss.jiucaishuo.com/?/invest/showData/search_gu-si801050" TargetMode="External"/><Relationship Id="rId344" Type="http://schemas.openxmlformats.org/officeDocument/2006/relationships/hyperlink" Target="http://discuss.jiucaishuo.com/?/invest/showData/search_gu-sz399967" TargetMode="External"/><Relationship Id="rId20" Type="http://schemas.openxmlformats.org/officeDocument/2006/relationships/hyperlink" Target="http://discuss.jiucaishuo.com/?/invest/showData/search_gu-csi930697" TargetMode="External"/><Relationship Id="rId41" Type="http://schemas.openxmlformats.org/officeDocument/2006/relationships/hyperlink" Target="http://discuss.jiucaishuo.com/?/invest/showData/search_gu-si801710" TargetMode="External"/><Relationship Id="rId62" Type="http://schemas.openxmlformats.org/officeDocument/2006/relationships/hyperlink" Target="http://discuss.jiucaishuo.com/?/invest/showData/search_gu-sz399004" TargetMode="External"/><Relationship Id="rId83" Type="http://schemas.openxmlformats.org/officeDocument/2006/relationships/hyperlink" Target="http://discuss.jiucaishuo.com/?/invest/showData/search_gu-csi000922" TargetMode="External"/><Relationship Id="rId179" Type="http://schemas.openxmlformats.org/officeDocument/2006/relationships/hyperlink" Target="http://discuss.jiucaishuo.com/?/invest/showData/search_gu-si801177" TargetMode="External"/><Relationship Id="rId190" Type="http://schemas.openxmlformats.org/officeDocument/2006/relationships/hyperlink" Target="http://discuss.jiucaishuo.com/?/invest/showData/search_gu-sh000067" TargetMode="External"/><Relationship Id="rId204" Type="http://schemas.openxmlformats.org/officeDocument/2006/relationships/hyperlink" Target="http://discuss.jiucaishuo.com/?/invest/showData/search_gu-si801014" TargetMode="External"/><Relationship Id="rId225" Type="http://schemas.openxmlformats.org/officeDocument/2006/relationships/hyperlink" Target="http://discuss.jiucaishuo.com/?/invest/showData/search_gu-csih30372" TargetMode="External"/><Relationship Id="rId246" Type="http://schemas.openxmlformats.org/officeDocument/2006/relationships/hyperlink" Target="http://discuss.jiucaishuo.com/?/invest/showData/search_gu-csi930820" TargetMode="External"/><Relationship Id="rId267" Type="http://schemas.openxmlformats.org/officeDocument/2006/relationships/hyperlink" Target="http://discuss.jiucaishuo.com/?/invest/showData/search_gu-si801140" TargetMode="External"/><Relationship Id="rId288" Type="http://schemas.openxmlformats.org/officeDocument/2006/relationships/hyperlink" Target="http://discuss.jiucaishuo.com/?/invest/showData/search_gu-sh000066" TargetMode="External"/><Relationship Id="rId106" Type="http://schemas.openxmlformats.org/officeDocument/2006/relationships/hyperlink" Target="http://discuss.jiucaishuo.com/?/invest/showData/search_gu-sh000940" TargetMode="External"/><Relationship Id="rId127" Type="http://schemas.openxmlformats.org/officeDocument/2006/relationships/hyperlink" Target="http://discuss.jiucaishuo.com/?/invest/showData/search_gu-sh000010" TargetMode="External"/><Relationship Id="rId313" Type="http://schemas.openxmlformats.org/officeDocument/2006/relationships/hyperlink" Target="http://discuss.jiucaishuo.com/?/invest/showData/search_gu-si801230" TargetMode="External"/><Relationship Id="rId10" Type="http://schemas.openxmlformats.org/officeDocument/2006/relationships/hyperlink" Target="http://discuss.jiucaishuo.com/?/invest/showData/search_gu-sh000036" TargetMode="External"/><Relationship Id="rId31" Type="http://schemas.openxmlformats.org/officeDocument/2006/relationships/hyperlink" Target="http://discuss.jiucaishuo.com/?/invest/showData/search_gu-csi930836" TargetMode="External"/><Relationship Id="rId52" Type="http://schemas.openxmlformats.org/officeDocument/2006/relationships/hyperlink" Target="http://discuss.jiucaishuo.com/?/invest/showData/search_gu-sz399337" TargetMode="External"/><Relationship Id="rId73" Type="http://schemas.openxmlformats.org/officeDocument/2006/relationships/hyperlink" Target="http://discuss.jiucaishuo.com/?/invest/showData/search_gu-sh000828" TargetMode="External"/><Relationship Id="rId94" Type="http://schemas.openxmlformats.org/officeDocument/2006/relationships/hyperlink" Target="http://discuss.jiucaishuo.com/?/invest/showData/search_gu-sh000018" TargetMode="External"/><Relationship Id="rId148" Type="http://schemas.openxmlformats.org/officeDocument/2006/relationships/hyperlink" Target="http://discuss.jiucaishuo.com/?/invest/showData/search_gu-sh000037" TargetMode="External"/><Relationship Id="rId169" Type="http://schemas.openxmlformats.org/officeDocument/2006/relationships/hyperlink" Target="http://discuss.jiucaishuo.com/?/invest/showData/search_gu-si801021" TargetMode="External"/><Relationship Id="rId334" Type="http://schemas.openxmlformats.org/officeDocument/2006/relationships/hyperlink" Target="http://discuss.jiucaishuo.com/?/invest/showData/search_gu-sz399368" TargetMode="External"/><Relationship Id="rId355" Type="http://schemas.openxmlformats.org/officeDocument/2006/relationships/hyperlink" Target="http://discuss.jiucaishuo.com/?/invest/showData/search_gu-si801015" TargetMode="External"/><Relationship Id="rId4" Type="http://schemas.openxmlformats.org/officeDocument/2006/relationships/hyperlink" Target="http://discuss.jiucaishuo.com/?/invest/showData/search_gu-sz399396" TargetMode="External"/><Relationship Id="rId180" Type="http://schemas.openxmlformats.org/officeDocument/2006/relationships/hyperlink" Target="http://discuss.jiucaishuo.com/?/invest/showData/search_gu-si801723" TargetMode="External"/><Relationship Id="rId215" Type="http://schemas.openxmlformats.org/officeDocument/2006/relationships/hyperlink" Target="http://discuss.jiucaishuo.com/?/invest/showData/search_gu-sh000854" TargetMode="External"/><Relationship Id="rId236" Type="http://schemas.openxmlformats.org/officeDocument/2006/relationships/hyperlink" Target="http://discuss.jiucaishuo.com/?/invest/showData/search_gu-sz399412" TargetMode="External"/><Relationship Id="rId257" Type="http://schemas.openxmlformats.org/officeDocument/2006/relationships/hyperlink" Target="http://discuss.jiucaishuo.com/?/invest/showData/search_gu-sz399808" TargetMode="External"/><Relationship Id="rId278" Type="http://schemas.openxmlformats.org/officeDocument/2006/relationships/hyperlink" Target="http://discuss.jiucaishuo.com/?/invest/showData/search_gu-si801712" TargetMode="External"/><Relationship Id="rId303" Type="http://schemas.openxmlformats.org/officeDocument/2006/relationships/hyperlink" Target="http://discuss.jiucaishuo.com/?/invest/showData/search_gu-si801162" TargetMode="External"/><Relationship Id="rId42" Type="http://schemas.openxmlformats.org/officeDocument/2006/relationships/hyperlink" Target="http://discuss.jiucaishuo.com/?/invest/showData/search_gu-sz399326" TargetMode="External"/><Relationship Id="rId84" Type="http://schemas.openxmlformats.org/officeDocument/2006/relationships/hyperlink" Target="http://discuss.jiucaishuo.com/?/invest/showData/search_gu-sz399415" TargetMode="External"/><Relationship Id="rId138" Type="http://schemas.openxmlformats.org/officeDocument/2006/relationships/hyperlink" Target="http://discuss.jiucaishuo.com/?/invest/showData/search_gu-sh950090" TargetMode="External"/><Relationship Id="rId345" Type="http://schemas.openxmlformats.org/officeDocument/2006/relationships/hyperlink" Target="http://discuss.jiucaishuo.com/?/invest/showData/search_gu-si801023" TargetMode="External"/><Relationship Id="rId191" Type="http://schemas.openxmlformats.org/officeDocument/2006/relationships/hyperlink" Target="http://discuss.jiucaishuo.com/?/invest/showData/search_gu-sz399807" TargetMode="External"/><Relationship Id="rId205" Type="http://schemas.openxmlformats.org/officeDocument/2006/relationships/hyperlink" Target="http://discuss.jiucaishuo.com/?/invest/showData/search_gu-sh000827" TargetMode="External"/><Relationship Id="rId247" Type="http://schemas.openxmlformats.org/officeDocument/2006/relationships/hyperlink" Target="http://discuss.jiucaishuo.com/?/invest/showData/search_gu-sh000935" TargetMode="External"/><Relationship Id="rId107" Type="http://schemas.openxmlformats.org/officeDocument/2006/relationships/hyperlink" Target="http://discuss.jiucaishuo.com/?/invest/showData/search_gu-cicspsadrp" TargetMode="External"/><Relationship Id="rId289" Type="http://schemas.openxmlformats.org/officeDocument/2006/relationships/hyperlink" Target="http://discuss.jiucaishuo.com/?/invest/showData/search_gu-gigdaxi" TargetMode="External"/><Relationship Id="rId11" Type="http://schemas.openxmlformats.org/officeDocument/2006/relationships/hyperlink" Target="http://discuss.jiucaishuo.com/?/invest/showData/search_gu-csih30021" TargetMode="External"/><Relationship Id="rId53" Type="http://schemas.openxmlformats.org/officeDocument/2006/relationships/hyperlink" Target="http://discuss.jiucaishuo.com/?/invest/showData/search_gu-csi930719" TargetMode="External"/><Relationship Id="rId149" Type="http://schemas.openxmlformats.org/officeDocument/2006/relationships/hyperlink" Target="http://discuss.jiucaishuo.com/?/invest/showData/search_gu-si801010" TargetMode="External"/><Relationship Id="rId314" Type="http://schemas.openxmlformats.org/officeDocument/2006/relationships/hyperlink" Target="http://discuss.jiucaishuo.com/?/invest/showData/search_gu-si801231" TargetMode="External"/><Relationship Id="rId356" Type="http://schemas.openxmlformats.org/officeDocument/2006/relationships/hyperlink" Target="http://discuss.jiucaishuo.com/?/invest/showData/search_gu-si801011" TargetMode="External"/><Relationship Id="rId95" Type="http://schemas.openxmlformats.org/officeDocument/2006/relationships/hyperlink" Target="http://discuss.jiucaishuo.com/?/invest/showData/search_gu-sz399702" TargetMode="External"/><Relationship Id="rId160" Type="http://schemas.openxmlformats.org/officeDocument/2006/relationships/hyperlink" Target="http://discuss.jiucaishuo.com/?/invest/showData/search_gu-sh000001" TargetMode="External"/><Relationship Id="rId216" Type="http://schemas.openxmlformats.org/officeDocument/2006/relationships/hyperlink" Target="http://discuss.jiucaishuo.com/?/invest/showData/search_gu-si801724" TargetMode="External"/><Relationship Id="rId258" Type="http://schemas.openxmlformats.org/officeDocument/2006/relationships/hyperlink" Target="http://discuss.jiucaishuo.com/?/invest/showData/search_gu-si801156" TargetMode="External"/><Relationship Id="rId22" Type="http://schemas.openxmlformats.org/officeDocument/2006/relationships/hyperlink" Target="http://discuss.jiucaishuo.com/?/invest/showData/search_gu-sh000028" TargetMode="External"/><Relationship Id="rId64" Type="http://schemas.openxmlformats.org/officeDocument/2006/relationships/hyperlink" Target="http://discuss.jiucaishuo.com/?/invest/showData/search_gu-si801085" TargetMode="External"/><Relationship Id="rId118" Type="http://schemas.openxmlformats.org/officeDocument/2006/relationships/hyperlink" Target="http://discuss.jiucaishuo.com/?/invest/showData/search_gu-sh000964" TargetMode="External"/><Relationship Id="rId325" Type="http://schemas.openxmlformats.org/officeDocument/2006/relationships/hyperlink" Target="http://discuss.jiucaishuo.com/?/invest/showData/search_gu-sz399813" TargetMode="External"/><Relationship Id="rId171" Type="http://schemas.openxmlformats.org/officeDocument/2006/relationships/hyperlink" Target="http://discuss.jiucaishuo.com/?/invest/showData/search_gu-sz399673" TargetMode="External"/><Relationship Id="rId227" Type="http://schemas.openxmlformats.org/officeDocument/2006/relationships/hyperlink" Target="http://discuss.jiucaishuo.com/?/invest/showData/search_gu-csi930782" TargetMode="External"/><Relationship Id="rId269" Type="http://schemas.openxmlformats.org/officeDocument/2006/relationships/hyperlink" Target="http://discuss.jiucaishuo.com/?/invest/showData/search_gu-si801132" TargetMode="External"/><Relationship Id="rId33" Type="http://schemas.openxmlformats.org/officeDocument/2006/relationships/hyperlink" Target="http://discuss.jiucaishuo.com/?/invest/showData/search_gu-si801124" TargetMode="External"/><Relationship Id="rId129" Type="http://schemas.openxmlformats.org/officeDocument/2006/relationships/hyperlink" Target="http://discuss.jiucaishuo.com/?/invest/showData/search_gu-sz399966" TargetMode="External"/><Relationship Id="rId280" Type="http://schemas.openxmlformats.org/officeDocument/2006/relationships/hyperlink" Target="http://discuss.jiucaishuo.com/?/invest/showData/search_gu-si801222" TargetMode="External"/><Relationship Id="rId336" Type="http://schemas.openxmlformats.org/officeDocument/2006/relationships/hyperlink" Target="http://discuss.jiucaishuo.com/?/invest/showData/search_gu-si801036" TargetMode="External"/><Relationship Id="rId75" Type="http://schemas.openxmlformats.org/officeDocument/2006/relationships/hyperlink" Target="http://discuss.jiucaishuo.com/?/invest/showData/search_gu-sz399005" TargetMode="External"/><Relationship Id="rId140" Type="http://schemas.openxmlformats.org/officeDocument/2006/relationships/hyperlink" Target="http://discuss.jiucaishuo.com/?/invest/showData/search_gu-hihsml25" TargetMode="External"/><Relationship Id="rId182" Type="http://schemas.openxmlformats.org/officeDocument/2006/relationships/hyperlink" Target="http://discuss.jiucaishuo.com/?/invest/showData/search_gu-si801034" TargetMode="External"/><Relationship Id="rId6" Type="http://schemas.openxmlformats.org/officeDocument/2006/relationships/hyperlink" Target="http://discuss.jiucaishuo.com/?/invest/showData/search_gu-si801194" TargetMode="External"/><Relationship Id="rId238" Type="http://schemas.openxmlformats.org/officeDocument/2006/relationships/hyperlink" Target="http://discuss.jiucaishuo.com/?/invest/showData/search_gu-sz399991" TargetMode="External"/><Relationship Id="rId291" Type="http://schemas.openxmlformats.org/officeDocument/2006/relationships/hyperlink" Target="http://discuss.jiucaishuo.com/?/invest/showData/search_gu-si801092" TargetMode="External"/><Relationship Id="rId305" Type="http://schemas.openxmlformats.org/officeDocument/2006/relationships/hyperlink" Target="http://discuss.jiucaishuo.com/?/invest/showData/search_gu-sz399101" TargetMode="External"/><Relationship Id="rId347" Type="http://schemas.openxmlformats.org/officeDocument/2006/relationships/hyperlink" Target="http://discuss.jiucaishuo.com/?/invest/showData/search_gu-si801173" TargetMode="External"/><Relationship Id="rId44" Type="http://schemas.openxmlformats.org/officeDocument/2006/relationships/hyperlink" Target="http://discuss.jiucaishuo.com/?/invest/showData/search_gu-gispx" TargetMode="External"/><Relationship Id="rId86" Type="http://schemas.openxmlformats.org/officeDocument/2006/relationships/hyperlink" Target="http://discuss.jiucaishuo.com/?/invest/showData/search_gu-sz399974" TargetMode="External"/><Relationship Id="rId151" Type="http://schemas.openxmlformats.org/officeDocument/2006/relationships/hyperlink" Target="http://discuss.jiucaishuo.com/?/invest/showData/search_gu-si801174" TargetMode="External"/><Relationship Id="rId193" Type="http://schemas.openxmlformats.org/officeDocument/2006/relationships/hyperlink" Target="http://discuss.jiucaishuo.com/?/invest/showData/search_gu-si801093" TargetMode="External"/><Relationship Id="rId207" Type="http://schemas.openxmlformats.org/officeDocument/2006/relationships/hyperlink" Target="http://discuss.jiucaishuo.com/?/invest/showData/search_gu-si801182" TargetMode="External"/><Relationship Id="rId249" Type="http://schemas.openxmlformats.org/officeDocument/2006/relationships/hyperlink" Target="http://discuss.jiucaishuo.com/?/invest/showData/search_gu-si801191" TargetMode="External"/><Relationship Id="rId13" Type="http://schemas.openxmlformats.org/officeDocument/2006/relationships/hyperlink" Target="http://discuss.jiucaishuo.com/?/invest/showData/search_gu-csi930653" TargetMode="External"/><Relationship Id="rId109" Type="http://schemas.openxmlformats.org/officeDocument/2006/relationships/hyperlink" Target="http://discuss.jiucaishuo.com/?/invest/showData/search_gu-csi930721" TargetMode="External"/><Relationship Id="rId260" Type="http://schemas.openxmlformats.org/officeDocument/2006/relationships/hyperlink" Target="http://discuss.jiucaishuo.com/?/invest/showData/search_gu-sh000989" TargetMode="External"/><Relationship Id="rId316" Type="http://schemas.openxmlformats.org/officeDocument/2006/relationships/hyperlink" Target="http://discuss.jiucaishuo.com/?/invest/showData/search_gu-si801101" TargetMode="External"/><Relationship Id="rId55" Type="http://schemas.openxmlformats.org/officeDocument/2006/relationships/hyperlink" Target="http://discuss.jiucaishuo.com/?/invest/showData/search_gu-csih11136" TargetMode="External"/><Relationship Id="rId97" Type="http://schemas.openxmlformats.org/officeDocument/2006/relationships/hyperlink" Target="http://discuss.jiucaishuo.com/?/invest/showData/search_gu-sz399313" TargetMode="External"/><Relationship Id="rId120" Type="http://schemas.openxmlformats.org/officeDocument/2006/relationships/hyperlink" Target="http://discuss.jiucaishuo.com/?/invest/showData/search_gu-sh000300" TargetMode="External"/><Relationship Id="rId162" Type="http://schemas.openxmlformats.org/officeDocument/2006/relationships/hyperlink" Target="http://discuss.jiucaishuo.com/?/invest/showData/search_gu-sh000044" TargetMode="External"/><Relationship Id="rId218" Type="http://schemas.openxmlformats.org/officeDocument/2006/relationships/hyperlink" Target="http://discuss.jiucaishuo.com/?/invest/showData/search_gu-csih30171" TargetMode="External"/><Relationship Id="rId271" Type="http://schemas.openxmlformats.org/officeDocument/2006/relationships/hyperlink" Target="http://discuss.jiucaishuo.com/?/invest/showData/search_gu-si801130" TargetMode="External"/><Relationship Id="rId24" Type="http://schemas.openxmlformats.org/officeDocument/2006/relationships/hyperlink" Target="http://discuss.jiucaishuo.com/?/invest/showData/search_gu-csi930734" TargetMode="External"/><Relationship Id="rId66" Type="http://schemas.openxmlformats.org/officeDocument/2006/relationships/hyperlink" Target="http://discuss.jiucaishuo.com/?/invest/showData/search_gu-sz399814" TargetMode="External"/><Relationship Id="rId131" Type="http://schemas.openxmlformats.org/officeDocument/2006/relationships/hyperlink" Target="http://discuss.jiucaishuo.com/?/invest/showData/search_gu-si801153" TargetMode="External"/><Relationship Id="rId327" Type="http://schemas.openxmlformats.org/officeDocument/2006/relationships/hyperlink" Target="http://discuss.jiucaishuo.com/?/invest/showData/search_gu-si801163" TargetMode="External"/><Relationship Id="rId173" Type="http://schemas.openxmlformats.org/officeDocument/2006/relationships/hyperlink" Target="http://discuss.jiucaishuo.com/?/invest/showData/search_gu-sz399008" TargetMode="External"/><Relationship Id="rId229" Type="http://schemas.openxmlformats.org/officeDocument/2006/relationships/hyperlink" Target="http://discuss.jiucaishuo.com/?/invest/showData/search_gu-si801170" TargetMode="External"/><Relationship Id="rId240" Type="http://schemas.openxmlformats.org/officeDocument/2006/relationships/hyperlink" Target="http://discuss.jiucaishuo.com/?/invest/showData/search_gu-si801161" TargetMode="External"/><Relationship Id="rId35" Type="http://schemas.openxmlformats.org/officeDocument/2006/relationships/hyperlink" Target="http://discuss.jiucaishuo.com/?/invest/showData/search_gu-sz399803" TargetMode="External"/><Relationship Id="rId77" Type="http://schemas.openxmlformats.org/officeDocument/2006/relationships/hyperlink" Target="http://discuss.jiucaishuo.com/?/invest/showData/search_gu-sh000913" TargetMode="External"/><Relationship Id="rId100" Type="http://schemas.openxmlformats.org/officeDocument/2006/relationships/hyperlink" Target="http://discuss.jiucaishuo.com/?/invest/showData/search_gu-csi930648" TargetMode="External"/><Relationship Id="rId282" Type="http://schemas.openxmlformats.org/officeDocument/2006/relationships/hyperlink" Target="http://discuss.jiucaishuo.com/?/invest/showData/search_gu-sz399973" TargetMode="External"/><Relationship Id="rId338" Type="http://schemas.openxmlformats.org/officeDocument/2006/relationships/hyperlink" Target="http://discuss.jiucaishuo.com/?/invest/showData/search_gu-si801204" TargetMode="External"/><Relationship Id="rId8" Type="http://schemas.openxmlformats.org/officeDocument/2006/relationships/hyperlink" Target="http://discuss.jiucaishuo.com/?/invest/showData/search_gu-si801123" TargetMode="External"/><Relationship Id="rId142" Type="http://schemas.openxmlformats.org/officeDocument/2006/relationships/hyperlink" Target="http://discuss.jiucaishuo.com/?/invest/showData/search_gu-sh000056" TargetMode="External"/><Relationship Id="rId184" Type="http://schemas.openxmlformats.org/officeDocument/2006/relationships/hyperlink" Target="http://discuss.jiucaishuo.com/?/invest/showData/search_gu-si801212" TargetMode="External"/><Relationship Id="rId251" Type="http://schemas.openxmlformats.org/officeDocument/2006/relationships/hyperlink" Target="http://discuss.jiucaishuo.com/?/invest/showData/search_gu-sz399971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xinger.com/analytics/indice/sz/399995/399995/detail/followed-users" TargetMode="External"/><Relationship Id="rId13" Type="http://schemas.openxmlformats.org/officeDocument/2006/relationships/hyperlink" Target="https://www.lixinger.com/analytics/indice/" TargetMode="External"/><Relationship Id="rId3" Type="http://schemas.openxmlformats.org/officeDocument/2006/relationships/hyperlink" Target="https://www.lixinger.com/analytics/indice/" TargetMode="External"/><Relationship Id="rId7" Type="http://schemas.openxmlformats.org/officeDocument/2006/relationships/hyperlink" Target="https://www.lixinger.com/analytics/indice/" TargetMode="External"/><Relationship Id="rId12" Type="http://schemas.openxmlformats.org/officeDocument/2006/relationships/hyperlink" Target="https://www.lixinger.com/analytics/indice/csi/930782/930782/detail/followed-users" TargetMode="External"/><Relationship Id="rId2" Type="http://schemas.openxmlformats.org/officeDocument/2006/relationships/hyperlink" Target="https://www.lixinger.com/analytics/indice/sh/000922/922/detail/followed-users" TargetMode="External"/><Relationship Id="rId1" Type="http://schemas.openxmlformats.org/officeDocument/2006/relationships/hyperlink" Target="https://www.lixinger.com/analytics/indice/" TargetMode="External"/><Relationship Id="rId6" Type="http://schemas.openxmlformats.org/officeDocument/2006/relationships/hyperlink" Target="https://www.lixinger.com/analytics/indice/csi/950090/950090/detail/followed-users" TargetMode="External"/><Relationship Id="rId11" Type="http://schemas.openxmlformats.org/officeDocument/2006/relationships/hyperlink" Target="https://www.lixinger.com/analytics/indice/" TargetMode="External"/><Relationship Id="rId5" Type="http://schemas.openxmlformats.org/officeDocument/2006/relationships/hyperlink" Target="https://www.lixinger.com/analytics/indice/" TargetMode="External"/><Relationship Id="rId10" Type="http://schemas.openxmlformats.org/officeDocument/2006/relationships/hyperlink" Target="https://www.lixinger.com/analytics/indice/csi/H30533/30533/detail/followed-users" TargetMode="External"/><Relationship Id="rId4" Type="http://schemas.openxmlformats.org/officeDocument/2006/relationships/hyperlink" Target="https://www.lixinger.com/analytics/indice/sh/000952/952/detail/followed-users" TargetMode="External"/><Relationship Id="rId9" Type="http://schemas.openxmlformats.org/officeDocument/2006/relationships/hyperlink" Target="https://www.lixinger.com/analytics/indice/" TargetMode="External"/><Relationship Id="rId14" Type="http://schemas.openxmlformats.org/officeDocument/2006/relationships/hyperlink" Target="https://www.lixinger.com/analytics/indice/sh/000905/905/detail/followed-users" TargetMode="External"/></Relationships>
</file>

<file path=xl/worksheets/_rels/sheet18.xml.rels><?xml version="1.0" encoding="UTF-8" standalone="yes"?>
<Relationships xmlns="http://schemas.openxmlformats.org/package/2006/relationships"><Relationship Id="rId1522" Type="http://schemas.openxmlformats.org/officeDocument/2006/relationships/hyperlink" Target="http://quote.eastmoney.com/603589.html" TargetMode="External"/><Relationship Id="rId1827" Type="http://schemas.openxmlformats.org/officeDocument/2006/relationships/hyperlink" Target="http://data.eastmoney.com/stockdata/000672.html" TargetMode="External"/><Relationship Id="rId21" Type="http://schemas.openxmlformats.org/officeDocument/2006/relationships/hyperlink" Target="http://data.eastmoney.com/stockdata/600246.html" TargetMode="External"/><Relationship Id="rId170" Type="http://schemas.openxmlformats.org/officeDocument/2006/relationships/hyperlink" Target="http://quote.eastmoney.com/002027.html" TargetMode="External"/><Relationship Id="rId268" Type="http://schemas.openxmlformats.org/officeDocument/2006/relationships/hyperlink" Target="http://quote.eastmoney.com/002850.html" TargetMode="External"/><Relationship Id="rId475" Type="http://schemas.openxmlformats.org/officeDocument/2006/relationships/hyperlink" Target="http://data.eastmoney.com/stockdata/300383.html" TargetMode="External"/><Relationship Id="rId682" Type="http://schemas.openxmlformats.org/officeDocument/2006/relationships/hyperlink" Target="http://quote.eastmoney.com/300422.html" TargetMode="External"/><Relationship Id="rId128" Type="http://schemas.openxmlformats.org/officeDocument/2006/relationships/hyperlink" Target="http://quote.eastmoney.com/300261.html" TargetMode="External"/><Relationship Id="rId335" Type="http://schemas.openxmlformats.org/officeDocument/2006/relationships/hyperlink" Target="http://data.eastmoney.com/stockdata/300595.html" TargetMode="External"/><Relationship Id="rId542" Type="http://schemas.openxmlformats.org/officeDocument/2006/relationships/hyperlink" Target="http://quote.eastmoney.com/002916.html" TargetMode="External"/><Relationship Id="rId987" Type="http://schemas.openxmlformats.org/officeDocument/2006/relationships/hyperlink" Target="http://data.eastmoney.com/stockdata/002273.html" TargetMode="External"/><Relationship Id="rId1172" Type="http://schemas.openxmlformats.org/officeDocument/2006/relationships/hyperlink" Target="http://quote.eastmoney.com/002717.html" TargetMode="External"/><Relationship Id="rId402" Type="http://schemas.openxmlformats.org/officeDocument/2006/relationships/hyperlink" Target="http://quote.eastmoney.com/300363.html" TargetMode="External"/><Relationship Id="rId847" Type="http://schemas.openxmlformats.org/officeDocument/2006/relationships/hyperlink" Target="http://data.eastmoney.com/stockdata/600578.html" TargetMode="External"/><Relationship Id="rId1032" Type="http://schemas.openxmlformats.org/officeDocument/2006/relationships/hyperlink" Target="http://quote.eastmoney.com/300408.html" TargetMode="External"/><Relationship Id="rId1477" Type="http://schemas.openxmlformats.org/officeDocument/2006/relationships/hyperlink" Target="http://data.eastmoney.com/stockdata/002563.html" TargetMode="External"/><Relationship Id="rId1684" Type="http://schemas.openxmlformats.org/officeDocument/2006/relationships/hyperlink" Target="http://quote.eastmoney.com/000333.html" TargetMode="External"/><Relationship Id="rId1891" Type="http://schemas.openxmlformats.org/officeDocument/2006/relationships/hyperlink" Target="http://data.eastmoney.com/stockdata/600581.html" TargetMode="External"/><Relationship Id="rId707" Type="http://schemas.openxmlformats.org/officeDocument/2006/relationships/hyperlink" Target="http://data.eastmoney.com/stockdata/000063.html" TargetMode="External"/><Relationship Id="rId914" Type="http://schemas.openxmlformats.org/officeDocument/2006/relationships/hyperlink" Target="http://quote.eastmoney.com/300413.html" TargetMode="External"/><Relationship Id="rId1337" Type="http://schemas.openxmlformats.org/officeDocument/2006/relationships/hyperlink" Target="http://data.eastmoney.com/stockdata/002600.html" TargetMode="External"/><Relationship Id="rId1544" Type="http://schemas.openxmlformats.org/officeDocument/2006/relationships/hyperlink" Target="http://quote.eastmoney.com/601888.html" TargetMode="External"/><Relationship Id="rId1751" Type="http://schemas.openxmlformats.org/officeDocument/2006/relationships/hyperlink" Target="http://data.eastmoney.com/stockdata/601636.html" TargetMode="External"/><Relationship Id="rId1989" Type="http://schemas.openxmlformats.org/officeDocument/2006/relationships/hyperlink" Target="http://data.eastmoney.com/stockdata/601919.html" TargetMode="External"/><Relationship Id="rId43" Type="http://schemas.openxmlformats.org/officeDocument/2006/relationships/hyperlink" Target="http://data.eastmoney.com/stockdata/300142.html" TargetMode="External"/><Relationship Id="rId1404" Type="http://schemas.openxmlformats.org/officeDocument/2006/relationships/hyperlink" Target="http://quote.eastmoney.com/300113.html" TargetMode="External"/><Relationship Id="rId1611" Type="http://schemas.openxmlformats.org/officeDocument/2006/relationships/hyperlink" Target="http://data.eastmoney.com/stockdata/600143.html" TargetMode="External"/><Relationship Id="rId1849" Type="http://schemas.openxmlformats.org/officeDocument/2006/relationships/hyperlink" Target="http://data.eastmoney.com/stockdata/600398.html" TargetMode="External"/><Relationship Id="rId192" Type="http://schemas.openxmlformats.org/officeDocument/2006/relationships/hyperlink" Target="http://quote.eastmoney.com/603660.html" TargetMode="External"/><Relationship Id="rId1709" Type="http://schemas.openxmlformats.org/officeDocument/2006/relationships/hyperlink" Target="http://data.eastmoney.com/stockdata/002572.html" TargetMode="External"/><Relationship Id="rId1916" Type="http://schemas.openxmlformats.org/officeDocument/2006/relationships/hyperlink" Target="http://quote.eastmoney.com/600236.html" TargetMode="External"/><Relationship Id="rId497" Type="http://schemas.openxmlformats.org/officeDocument/2006/relationships/hyperlink" Target="http://data.eastmoney.com/stockdata/002138.html" TargetMode="External"/><Relationship Id="rId357" Type="http://schemas.openxmlformats.org/officeDocument/2006/relationships/hyperlink" Target="http://data.eastmoney.com/stockdata/600547.html" TargetMode="External"/><Relationship Id="rId1194" Type="http://schemas.openxmlformats.org/officeDocument/2006/relationships/hyperlink" Target="http://quote.eastmoney.com/000796.html" TargetMode="External"/><Relationship Id="rId217" Type="http://schemas.openxmlformats.org/officeDocument/2006/relationships/hyperlink" Target="http://data.eastmoney.com/stockdata/002847.html" TargetMode="External"/><Relationship Id="rId564" Type="http://schemas.openxmlformats.org/officeDocument/2006/relationships/hyperlink" Target="http://quote.eastmoney.com/002214.html" TargetMode="External"/><Relationship Id="rId771" Type="http://schemas.openxmlformats.org/officeDocument/2006/relationships/hyperlink" Target="http://data.eastmoney.com/stockdata/300662.html" TargetMode="External"/><Relationship Id="rId869" Type="http://schemas.openxmlformats.org/officeDocument/2006/relationships/hyperlink" Target="http://data.eastmoney.com/stockdata/002661.html" TargetMode="External"/><Relationship Id="rId1499" Type="http://schemas.openxmlformats.org/officeDocument/2006/relationships/hyperlink" Target="http://data.eastmoney.com/stockdata/600835.html" TargetMode="External"/><Relationship Id="rId424" Type="http://schemas.openxmlformats.org/officeDocument/2006/relationships/hyperlink" Target="http://quote.eastmoney.com/002583.html" TargetMode="External"/><Relationship Id="rId631" Type="http://schemas.openxmlformats.org/officeDocument/2006/relationships/hyperlink" Target="http://data.eastmoney.com/stockdata/002311.html" TargetMode="External"/><Relationship Id="rId729" Type="http://schemas.openxmlformats.org/officeDocument/2006/relationships/hyperlink" Target="http://data.eastmoney.com/stockdata/002405.html" TargetMode="External"/><Relationship Id="rId1054" Type="http://schemas.openxmlformats.org/officeDocument/2006/relationships/hyperlink" Target="http://quote.eastmoney.com/603203.html" TargetMode="External"/><Relationship Id="rId1261" Type="http://schemas.openxmlformats.org/officeDocument/2006/relationships/hyperlink" Target="http://data.eastmoney.com/stockdata/600406.html" TargetMode="External"/><Relationship Id="rId1359" Type="http://schemas.openxmlformats.org/officeDocument/2006/relationships/hyperlink" Target="http://data.eastmoney.com/stockdata/600372.html" TargetMode="External"/><Relationship Id="rId936" Type="http://schemas.openxmlformats.org/officeDocument/2006/relationships/hyperlink" Target="http://quote.eastmoney.com/603903.html" TargetMode="External"/><Relationship Id="rId1121" Type="http://schemas.openxmlformats.org/officeDocument/2006/relationships/hyperlink" Target="http://data.eastmoney.com/stockdata/300132.html" TargetMode="External"/><Relationship Id="rId1219" Type="http://schemas.openxmlformats.org/officeDocument/2006/relationships/hyperlink" Target="http://data.eastmoney.com/stockdata/002020.html" TargetMode="External"/><Relationship Id="rId1566" Type="http://schemas.openxmlformats.org/officeDocument/2006/relationships/hyperlink" Target="http://quote.eastmoney.com/600643.html" TargetMode="External"/><Relationship Id="rId1773" Type="http://schemas.openxmlformats.org/officeDocument/2006/relationships/hyperlink" Target="http://data.eastmoney.com/stockdata/600426.html" TargetMode="External"/><Relationship Id="rId1980" Type="http://schemas.openxmlformats.org/officeDocument/2006/relationships/hyperlink" Target="http://quote.eastmoney.com/300682.html" TargetMode="External"/><Relationship Id="rId65" Type="http://schemas.openxmlformats.org/officeDocument/2006/relationships/hyperlink" Target="http://data.eastmoney.com/stockdata/300598.html" TargetMode="External"/><Relationship Id="rId1426" Type="http://schemas.openxmlformats.org/officeDocument/2006/relationships/hyperlink" Target="http://quote.eastmoney.com/000425.html" TargetMode="External"/><Relationship Id="rId1633" Type="http://schemas.openxmlformats.org/officeDocument/2006/relationships/hyperlink" Target="http://data.eastmoney.com/stockdata/002756.html" TargetMode="External"/><Relationship Id="rId1840" Type="http://schemas.openxmlformats.org/officeDocument/2006/relationships/hyperlink" Target="http://quote.eastmoney.com/600720.html" TargetMode="External"/><Relationship Id="rId1700" Type="http://schemas.openxmlformats.org/officeDocument/2006/relationships/hyperlink" Target="http://quote.eastmoney.com/603898.html" TargetMode="External"/><Relationship Id="rId1938" Type="http://schemas.openxmlformats.org/officeDocument/2006/relationships/hyperlink" Target="http://quote.eastmoney.com/000789.html" TargetMode="External"/><Relationship Id="rId281" Type="http://schemas.openxmlformats.org/officeDocument/2006/relationships/hyperlink" Target="http://data.eastmoney.com/stockdata/603186.html" TargetMode="External"/><Relationship Id="rId141" Type="http://schemas.openxmlformats.org/officeDocument/2006/relationships/hyperlink" Target="http://data.eastmoney.com/stockdata/002897.html" TargetMode="External"/><Relationship Id="rId379" Type="http://schemas.openxmlformats.org/officeDocument/2006/relationships/hyperlink" Target="http://data.eastmoney.com/stockdata/002695.html" TargetMode="External"/><Relationship Id="rId586" Type="http://schemas.openxmlformats.org/officeDocument/2006/relationships/hyperlink" Target="http://quote.eastmoney.com/000739.html" TargetMode="External"/><Relationship Id="rId793" Type="http://schemas.openxmlformats.org/officeDocument/2006/relationships/hyperlink" Target="http://data.eastmoney.com/stockdata/000938.html" TargetMode="External"/><Relationship Id="rId7" Type="http://schemas.openxmlformats.org/officeDocument/2006/relationships/hyperlink" Target="javascript:;" TargetMode="External"/><Relationship Id="rId239" Type="http://schemas.openxmlformats.org/officeDocument/2006/relationships/hyperlink" Target="http://data.eastmoney.com/stockdata/000876.html" TargetMode="External"/><Relationship Id="rId446" Type="http://schemas.openxmlformats.org/officeDocument/2006/relationships/hyperlink" Target="http://quote.eastmoney.com/002324.html" TargetMode="External"/><Relationship Id="rId653" Type="http://schemas.openxmlformats.org/officeDocument/2006/relationships/hyperlink" Target="http://data.eastmoney.com/stockdata/002822.html" TargetMode="External"/><Relationship Id="rId1076" Type="http://schemas.openxmlformats.org/officeDocument/2006/relationships/hyperlink" Target="http://quote.eastmoney.com/603136.html" TargetMode="External"/><Relationship Id="rId1283" Type="http://schemas.openxmlformats.org/officeDocument/2006/relationships/hyperlink" Target="http://data.eastmoney.com/stockdata/601996.html" TargetMode="External"/><Relationship Id="rId1490" Type="http://schemas.openxmlformats.org/officeDocument/2006/relationships/hyperlink" Target="http://quote.eastmoney.com/002550.html" TargetMode="External"/><Relationship Id="rId306" Type="http://schemas.openxmlformats.org/officeDocument/2006/relationships/hyperlink" Target="http://quote.eastmoney.com/002250.html" TargetMode="External"/><Relationship Id="rId860" Type="http://schemas.openxmlformats.org/officeDocument/2006/relationships/hyperlink" Target="http://quote.eastmoney.com/603337.html" TargetMode="External"/><Relationship Id="rId958" Type="http://schemas.openxmlformats.org/officeDocument/2006/relationships/hyperlink" Target="http://quote.eastmoney.com/002244.html" TargetMode="External"/><Relationship Id="rId1143" Type="http://schemas.openxmlformats.org/officeDocument/2006/relationships/hyperlink" Target="http://data.eastmoney.com/stockdata/600481.html" TargetMode="External"/><Relationship Id="rId1588" Type="http://schemas.openxmlformats.org/officeDocument/2006/relationships/hyperlink" Target="http://quote.eastmoney.com/000100.html" TargetMode="External"/><Relationship Id="rId1795" Type="http://schemas.openxmlformats.org/officeDocument/2006/relationships/hyperlink" Target="http://data.eastmoney.com/stockdata/601668.html" TargetMode="External"/><Relationship Id="rId87" Type="http://schemas.openxmlformats.org/officeDocument/2006/relationships/hyperlink" Target="http://data.eastmoney.com/stockdata/300001.html" TargetMode="External"/><Relationship Id="rId513" Type="http://schemas.openxmlformats.org/officeDocument/2006/relationships/hyperlink" Target="http://data.eastmoney.com/stockdata/300569.html" TargetMode="External"/><Relationship Id="rId720" Type="http://schemas.openxmlformats.org/officeDocument/2006/relationships/hyperlink" Target="http://quote.eastmoney.com/002832.html" TargetMode="External"/><Relationship Id="rId818" Type="http://schemas.openxmlformats.org/officeDocument/2006/relationships/hyperlink" Target="http://quote.eastmoney.com/002901.html" TargetMode="External"/><Relationship Id="rId1350" Type="http://schemas.openxmlformats.org/officeDocument/2006/relationships/hyperlink" Target="http://quote.eastmoney.com/600764.html" TargetMode="External"/><Relationship Id="rId1448" Type="http://schemas.openxmlformats.org/officeDocument/2006/relationships/hyperlink" Target="http://quote.eastmoney.com/600298.html" TargetMode="External"/><Relationship Id="rId1655" Type="http://schemas.openxmlformats.org/officeDocument/2006/relationships/hyperlink" Target="http://data.eastmoney.com/stockdata/600031.html" TargetMode="External"/><Relationship Id="rId1003" Type="http://schemas.openxmlformats.org/officeDocument/2006/relationships/hyperlink" Target="http://data.eastmoney.com/stockdata/600809.html" TargetMode="External"/><Relationship Id="rId1210" Type="http://schemas.openxmlformats.org/officeDocument/2006/relationships/hyperlink" Target="http://quote.eastmoney.com/002074.html" TargetMode="External"/><Relationship Id="rId1308" Type="http://schemas.openxmlformats.org/officeDocument/2006/relationships/hyperlink" Target="http://quote.eastmoney.com/603596.html" TargetMode="External"/><Relationship Id="rId1862" Type="http://schemas.openxmlformats.org/officeDocument/2006/relationships/hyperlink" Target="http://quote.eastmoney.com/000910.html" TargetMode="External"/><Relationship Id="rId1515" Type="http://schemas.openxmlformats.org/officeDocument/2006/relationships/hyperlink" Target="http://data.eastmoney.com/stockdata/002032.html" TargetMode="External"/><Relationship Id="rId1722" Type="http://schemas.openxmlformats.org/officeDocument/2006/relationships/hyperlink" Target="http://quote.eastmoney.com/300552.html" TargetMode="External"/><Relationship Id="rId14" Type="http://schemas.openxmlformats.org/officeDocument/2006/relationships/hyperlink" Target="http://quote.eastmoney.com/603195.html" TargetMode="External"/><Relationship Id="rId163" Type="http://schemas.openxmlformats.org/officeDocument/2006/relationships/hyperlink" Target="http://data.eastmoney.com/stockdata/300709.html" TargetMode="External"/><Relationship Id="rId370" Type="http://schemas.openxmlformats.org/officeDocument/2006/relationships/hyperlink" Target="http://quote.eastmoney.com/002414.html" TargetMode="External"/><Relationship Id="rId230" Type="http://schemas.openxmlformats.org/officeDocument/2006/relationships/hyperlink" Target="http://quote.eastmoney.com/603818.html" TargetMode="External"/><Relationship Id="rId468" Type="http://schemas.openxmlformats.org/officeDocument/2006/relationships/hyperlink" Target="http://quote.eastmoney.com/603078.html" TargetMode="External"/><Relationship Id="rId675" Type="http://schemas.openxmlformats.org/officeDocument/2006/relationships/hyperlink" Target="http://data.eastmoney.com/stockdata/000970.html" TargetMode="External"/><Relationship Id="rId882" Type="http://schemas.openxmlformats.org/officeDocument/2006/relationships/hyperlink" Target="http://quote.eastmoney.com/000681.html" TargetMode="External"/><Relationship Id="rId1098" Type="http://schemas.openxmlformats.org/officeDocument/2006/relationships/hyperlink" Target="http://quote.eastmoney.com/002376.html" TargetMode="External"/><Relationship Id="rId328" Type="http://schemas.openxmlformats.org/officeDocument/2006/relationships/hyperlink" Target="http://quote.eastmoney.com/603826.html" TargetMode="External"/><Relationship Id="rId535" Type="http://schemas.openxmlformats.org/officeDocument/2006/relationships/hyperlink" Target="http://data.eastmoney.com/stockdata/603939.html" TargetMode="External"/><Relationship Id="rId742" Type="http://schemas.openxmlformats.org/officeDocument/2006/relationships/hyperlink" Target="http://quote.eastmoney.com/300568.html" TargetMode="External"/><Relationship Id="rId1165" Type="http://schemas.openxmlformats.org/officeDocument/2006/relationships/hyperlink" Target="http://data.eastmoney.com/stockdata/603043.html" TargetMode="External"/><Relationship Id="rId1372" Type="http://schemas.openxmlformats.org/officeDocument/2006/relationships/hyperlink" Target="http://quote.eastmoney.com/002955.html" TargetMode="External"/><Relationship Id="rId2009" Type="http://schemas.openxmlformats.org/officeDocument/2006/relationships/hyperlink" Target="http://data.eastmoney.com/stockdata/000625.html" TargetMode="External"/><Relationship Id="rId602" Type="http://schemas.openxmlformats.org/officeDocument/2006/relationships/hyperlink" Target="http://quote.eastmoney.com/002587.html" TargetMode="External"/><Relationship Id="rId1025" Type="http://schemas.openxmlformats.org/officeDocument/2006/relationships/hyperlink" Target="http://data.eastmoney.com/stockdata/601117.html" TargetMode="External"/><Relationship Id="rId1232" Type="http://schemas.openxmlformats.org/officeDocument/2006/relationships/hyperlink" Target="http://quote.eastmoney.com/300118.html" TargetMode="External"/><Relationship Id="rId1677" Type="http://schemas.openxmlformats.org/officeDocument/2006/relationships/hyperlink" Target="http://data.eastmoney.com/stockdata/000598.html" TargetMode="External"/><Relationship Id="rId1884" Type="http://schemas.openxmlformats.org/officeDocument/2006/relationships/hyperlink" Target="http://quote.eastmoney.com/603868.html" TargetMode="External"/><Relationship Id="rId907" Type="http://schemas.openxmlformats.org/officeDocument/2006/relationships/hyperlink" Target="http://data.eastmoney.com/stockdata/300445.html" TargetMode="External"/><Relationship Id="rId1537" Type="http://schemas.openxmlformats.org/officeDocument/2006/relationships/hyperlink" Target="http://data.eastmoney.com/stockdata/002507.html" TargetMode="External"/><Relationship Id="rId1744" Type="http://schemas.openxmlformats.org/officeDocument/2006/relationships/hyperlink" Target="http://quote.eastmoney.com/601166.html" TargetMode="External"/><Relationship Id="rId1951" Type="http://schemas.openxmlformats.org/officeDocument/2006/relationships/hyperlink" Target="http://data.eastmoney.com/stockdata/600188.html" TargetMode="External"/><Relationship Id="rId36" Type="http://schemas.openxmlformats.org/officeDocument/2006/relationships/hyperlink" Target="http://quote.eastmoney.com/000786.html" TargetMode="External"/><Relationship Id="rId1604" Type="http://schemas.openxmlformats.org/officeDocument/2006/relationships/hyperlink" Target="http://quote.eastmoney.com/600114.html" TargetMode="External"/><Relationship Id="rId185" Type="http://schemas.openxmlformats.org/officeDocument/2006/relationships/hyperlink" Target="http://data.eastmoney.com/stockdata/600731.html" TargetMode="External"/><Relationship Id="rId1811" Type="http://schemas.openxmlformats.org/officeDocument/2006/relationships/hyperlink" Target="http://data.eastmoney.com/stockdata/002461.html" TargetMode="External"/><Relationship Id="rId1909" Type="http://schemas.openxmlformats.org/officeDocument/2006/relationships/hyperlink" Target="http://data.eastmoney.com/stockdata/601328.html" TargetMode="External"/><Relationship Id="rId392" Type="http://schemas.openxmlformats.org/officeDocument/2006/relationships/hyperlink" Target="http://quote.eastmoney.com/300677.html" TargetMode="External"/><Relationship Id="rId697" Type="http://schemas.openxmlformats.org/officeDocument/2006/relationships/hyperlink" Target="http://data.eastmoney.com/stockdata/300130.html" TargetMode="External"/><Relationship Id="rId252" Type="http://schemas.openxmlformats.org/officeDocument/2006/relationships/hyperlink" Target="http://quote.eastmoney.com/600732.html" TargetMode="External"/><Relationship Id="rId1187" Type="http://schemas.openxmlformats.org/officeDocument/2006/relationships/hyperlink" Target="http://data.eastmoney.com/stockdata/300284.html" TargetMode="External"/><Relationship Id="rId112" Type="http://schemas.openxmlformats.org/officeDocument/2006/relationships/hyperlink" Target="http://quote.eastmoney.com/002967.html" TargetMode="External"/><Relationship Id="rId557" Type="http://schemas.openxmlformats.org/officeDocument/2006/relationships/hyperlink" Target="http://data.eastmoney.com/stockdata/300558.html" TargetMode="External"/><Relationship Id="rId764" Type="http://schemas.openxmlformats.org/officeDocument/2006/relationships/hyperlink" Target="http://quote.eastmoney.com/002803.html" TargetMode="External"/><Relationship Id="rId971" Type="http://schemas.openxmlformats.org/officeDocument/2006/relationships/hyperlink" Target="http://data.eastmoney.com/stockdata/002601.html" TargetMode="External"/><Relationship Id="rId1394" Type="http://schemas.openxmlformats.org/officeDocument/2006/relationships/hyperlink" Target="http://quote.eastmoney.com/603360.html" TargetMode="External"/><Relationship Id="rId1699" Type="http://schemas.openxmlformats.org/officeDocument/2006/relationships/hyperlink" Target="http://data.eastmoney.com/stockdata/601818.html" TargetMode="External"/><Relationship Id="rId2000" Type="http://schemas.openxmlformats.org/officeDocument/2006/relationships/hyperlink" Target="http://quote.eastmoney.com/002869.html" TargetMode="External"/><Relationship Id="rId417" Type="http://schemas.openxmlformats.org/officeDocument/2006/relationships/hyperlink" Target="http://data.eastmoney.com/stockdata/603260.html" TargetMode="External"/><Relationship Id="rId624" Type="http://schemas.openxmlformats.org/officeDocument/2006/relationships/hyperlink" Target="http://quote.eastmoney.com/600456.html" TargetMode="External"/><Relationship Id="rId831" Type="http://schemas.openxmlformats.org/officeDocument/2006/relationships/hyperlink" Target="http://data.eastmoney.com/stockdata/600845.html" TargetMode="External"/><Relationship Id="rId1047" Type="http://schemas.openxmlformats.org/officeDocument/2006/relationships/hyperlink" Target="http://data.eastmoney.com/stockdata/603416.html" TargetMode="External"/><Relationship Id="rId1254" Type="http://schemas.openxmlformats.org/officeDocument/2006/relationships/hyperlink" Target="http://quote.eastmoney.com/601128.html" TargetMode="External"/><Relationship Id="rId1461" Type="http://schemas.openxmlformats.org/officeDocument/2006/relationships/hyperlink" Target="http://data.eastmoney.com/stockdata/002078.html" TargetMode="External"/><Relationship Id="rId929" Type="http://schemas.openxmlformats.org/officeDocument/2006/relationships/hyperlink" Target="http://data.eastmoney.com/stockdata/603232.html" TargetMode="External"/><Relationship Id="rId1114" Type="http://schemas.openxmlformats.org/officeDocument/2006/relationships/hyperlink" Target="http://quote.eastmoney.com/300294.html" TargetMode="External"/><Relationship Id="rId1321" Type="http://schemas.openxmlformats.org/officeDocument/2006/relationships/hyperlink" Target="http://data.eastmoney.com/stockdata/300203.html" TargetMode="External"/><Relationship Id="rId1559" Type="http://schemas.openxmlformats.org/officeDocument/2006/relationships/hyperlink" Target="http://data.eastmoney.com/stockdata/601688.html" TargetMode="External"/><Relationship Id="rId1766" Type="http://schemas.openxmlformats.org/officeDocument/2006/relationships/hyperlink" Target="http://quote.eastmoney.com/600153.html" TargetMode="External"/><Relationship Id="rId1973" Type="http://schemas.openxmlformats.org/officeDocument/2006/relationships/hyperlink" Target="http://data.eastmoney.com/stockdata/000932.html" TargetMode="External"/><Relationship Id="rId58" Type="http://schemas.openxmlformats.org/officeDocument/2006/relationships/hyperlink" Target="http://quote.eastmoney.com/600536.html" TargetMode="External"/><Relationship Id="rId1419" Type="http://schemas.openxmlformats.org/officeDocument/2006/relationships/hyperlink" Target="http://data.eastmoney.com/stockdata/603113.html" TargetMode="External"/><Relationship Id="rId1626" Type="http://schemas.openxmlformats.org/officeDocument/2006/relationships/hyperlink" Target="http://quote.eastmoney.com/300144.html" TargetMode="External"/><Relationship Id="rId1833" Type="http://schemas.openxmlformats.org/officeDocument/2006/relationships/hyperlink" Target="http://data.eastmoney.com/stockdata/600104.html" TargetMode="External"/><Relationship Id="rId1900" Type="http://schemas.openxmlformats.org/officeDocument/2006/relationships/hyperlink" Target="http://quote.eastmoney.com/002608.html" TargetMode="External"/><Relationship Id="rId274" Type="http://schemas.openxmlformats.org/officeDocument/2006/relationships/hyperlink" Target="http://quote.eastmoney.com/002920.html" TargetMode="External"/><Relationship Id="rId481" Type="http://schemas.openxmlformats.org/officeDocument/2006/relationships/hyperlink" Target="http://data.eastmoney.com/stockdata/603516.html" TargetMode="External"/><Relationship Id="rId134" Type="http://schemas.openxmlformats.org/officeDocument/2006/relationships/hyperlink" Target="http://quote.eastmoney.com/000725.html" TargetMode="External"/><Relationship Id="rId579" Type="http://schemas.openxmlformats.org/officeDocument/2006/relationships/hyperlink" Target="http://data.eastmoney.com/stockdata/603658.html" TargetMode="External"/><Relationship Id="rId786" Type="http://schemas.openxmlformats.org/officeDocument/2006/relationships/hyperlink" Target="http://quote.eastmoney.com/603208.html" TargetMode="External"/><Relationship Id="rId993" Type="http://schemas.openxmlformats.org/officeDocument/2006/relationships/hyperlink" Target="http://data.eastmoney.com/stockdata/002179.html" TargetMode="External"/><Relationship Id="rId341" Type="http://schemas.openxmlformats.org/officeDocument/2006/relationships/hyperlink" Target="http://data.eastmoney.com/stockdata/002301.html" TargetMode="External"/><Relationship Id="rId439" Type="http://schemas.openxmlformats.org/officeDocument/2006/relationships/hyperlink" Target="http://data.eastmoney.com/stockdata/603179.html" TargetMode="External"/><Relationship Id="rId646" Type="http://schemas.openxmlformats.org/officeDocument/2006/relationships/hyperlink" Target="http://quote.eastmoney.com/300653.html" TargetMode="External"/><Relationship Id="rId1069" Type="http://schemas.openxmlformats.org/officeDocument/2006/relationships/hyperlink" Target="http://data.eastmoney.com/stockdata/002262.html" TargetMode="External"/><Relationship Id="rId1276" Type="http://schemas.openxmlformats.org/officeDocument/2006/relationships/hyperlink" Target="http://quote.eastmoney.com/000066.html" TargetMode="External"/><Relationship Id="rId1483" Type="http://schemas.openxmlformats.org/officeDocument/2006/relationships/hyperlink" Target="http://data.eastmoney.com/stockdata/600990.html" TargetMode="External"/><Relationship Id="rId201" Type="http://schemas.openxmlformats.org/officeDocument/2006/relationships/hyperlink" Target="http://data.eastmoney.com/stockdata/601872.html" TargetMode="External"/><Relationship Id="rId506" Type="http://schemas.openxmlformats.org/officeDocument/2006/relationships/hyperlink" Target="http://quote.eastmoney.com/300136.html" TargetMode="External"/><Relationship Id="rId853" Type="http://schemas.openxmlformats.org/officeDocument/2006/relationships/hyperlink" Target="http://data.eastmoney.com/stockdata/603027.html" TargetMode="External"/><Relationship Id="rId1136" Type="http://schemas.openxmlformats.org/officeDocument/2006/relationships/hyperlink" Target="http://quote.eastmoney.com/002322.html" TargetMode="External"/><Relationship Id="rId1690" Type="http://schemas.openxmlformats.org/officeDocument/2006/relationships/hyperlink" Target="http://quote.eastmoney.com/000885.html" TargetMode="External"/><Relationship Id="rId1788" Type="http://schemas.openxmlformats.org/officeDocument/2006/relationships/hyperlink" Target="http://quote.eastmoney.com/603355.html" TargetMode="External"/><Relationship Id="rId1995" Type="http://schemas.openxmlformats.org/officeDocument/2006/relationships/hyperlink" Target="http://data.eastmoney.com/stockdata/601360.html" TargetMode="External"/><Relationship Id="rId713" Type="http://schemas.openxmlformats.org/officeDocument/2006/relationships/hyperlink" Target="http://data.eastmoney.com/stockdata/603228.html" TargetMode="External"/><Relationship Id="rId920" Type="http://schemas.openxmlformats.org/officeDocument/2006/relationships/hyperlink" Target="http://quote.eastmoney.com/603899.html" TargetMode="External"/><Relationship Id="rId1343" Type="http://schemas.openxmlformats.org/officeDocument/2006/relationships/hyperlink" Target="http://data.eastmoney.com/stockdata/601238.html" TargetMode="External"/><Relationship Id="rId1550" Type="http://schemas.openxmlformats.org/officeDocument/2006/relationships/hyperlink" Target="http://quote.eastmoney.com/600879.html" TargetMode="External"/><Relationship Id="rId1648" Type="http://schemas.openxmlformats.org/officeDocument/2006/relationships/hyperlink" Target="http://quote.eastmoney.com/002429.html" TargetMode="External"/><Relationship Id="rId1203" Type="http://schemas.openxmlformats.org/officeDocument/2006/relationships/hyperlink" Target="http://data.eastmoney.com/stockdata/600919.html" TargetMode="External"/><Relationship Id="rId1410" Type="http://schemas.openxmlformats.org/officeDocument/2006/relationships/hyperlink" Target="http://quote.eastmoney.com/603808.html" TargetMode="External"/><Relationship Id="rId1508" Type="http://schemas.openxmlformats.org/officeDocument/2006/relationships/hyperlink" Target="http://quote.eastmoney.com/603180.html" TargetMode="External"/><Relationship Id="rId1855" Type="http://schemas.openxmlformats.org/officeDocument/2006/relationships/hyperlink" Target="http://data.eastmoney.com/stockdata/600741.html" TargetMode="External"/><Relationship Id="rId1715" Type="http://schemas.openxmlformats.org/officeDocument/2006/relationships/hyperlink" Target="http://data.eastmoney.com/stockdata/601658.html" TargetMode="External"/><Relationship Id="rId1922" Type="http://schemas.openxmlformats.org/officeDocument/2006/relationships/hyperlink" Target="http://quote.eastmoney.com/002110.html" TargetMode="External"/><Relationship Id="rId296" Type="http://schemas.openxmlformats.org/officeDocument/2006/relationships/hyperlink" Target="http://quote.eastmoney.com/300575.html" TargetMode="External"/><Relationship Id="rId156" Type="http://schemas.openxmlformats.org/officeDocument/2006/relationships/hyperlink" Target="http://quote.eastmoney.com/002185.html" TargetMode="External"/><Relationship Id="rId363" Type="http://schemas.openxmlformats.org/officeDocument/2006/relationships/hyperlink" Target="http://data.eastmoney.com/stockdata/300395.html" TargetMode="External"/><Relationship Id="rId570" Type="http://schemas.openxmlformats.org/officeDocument/2006/relationships/hyperlink" Target="http://quote.eastmoney.com/000703.html" TargetMode="External"/><Relationship Id="rId223" Type="http://schemas.openxmlformats.org/officeDocument/2006/relationships/hyperlink" Target="http://data.eastmoney.com/stockdata/600489.html" TargetMode="External"/><Relationship Id="rId430" Type="http://schemas.openxmlformats.org/officeDocument/2006/relationships/hyperlink" Target="http://quote.eastmoney.com/002258.html" TargetMode="External"/><Relationship Id="rId668" Type="http://schemas.openxmlformats.org/officeDocument/2006/relationships/hyperlink" Target="http://quote.eastmoney.com/002063.html" TargetMode="External"/><Relationship Id="rId875" Type="http://schemas.openxmlformats.org/officeDocument/2006/relationships/hyperlink" Target="http://data.eastmoney.com/stockdata/601958.html" TargetMode="External"/><Relationship Id="rId1060" Type="http://schemas.openxmlformats.org/officeDocument/2006/relationships/hyperlink" Target="http://quote.eastmoney.com/300229.html" TargetMode="External"/><Relationship Id="rId1298" Type="http://schemas.openxmlformats.org/officeDocument/2006/relationships/hyperlink" Target="http://quote.eastmoney.com/300170.html" TargetMode="External"/><Relationship Id="rId528" Type="http://schemas.openxmlformats.org/officeDocument/2006/relationships/hyperlink" Target="http://quote.eastmoney.com/300770.html" TargetMode="External"/><Relationship Id="rId735" Type="http://schemas.openxmlformats.org/officeDocument/2006/relationships/hyperlink" Target="http://data.eastmoney.com/stockdata/603678.html" TargetMode="External"/><Relationship Id="rId942" Type="http://schemas.openxmlformats.org/officeDocument/2006/relationships/hyperlink" Target="http://quote.eastmoney.com/603883.html" TargetMode="External"/><Relationship Id="rId1158" Type="http://schemas.openxmlformats.org/officeDocument/2006/relationships/hyperlink" Target="http://quote.eastmoney.com/603187.html" TargetMode="External"/><Relationship Id="rId1365" Type="http://schemas.openxmlformats.org/officeDocument/2006/relationships/hyperlink" Target="http://data.eastmoney.com/stockdata/000488.html" TargetMode="External"/><Relationship Id="rId1572" Type="http://schemas.openxmlformats.org/officeDocument/2006/relationships/hyperlink" Target="http://quote.eastmoney.com/002372.html" TargetMode="External"/><Relationship Id="rId1018" Type="http://schemas.openxmlformats.org/officeDocument/2006/relationships/hyperlink" Target="http://quote.eastmoney.com/300487.html" TargetMode="External"/><Relationship Id="rId1225" Type="http://schemas.openxmlformats.org/officeDocument/2006/relationships/hyperlink" Target="http://data.eastmoney.com/stockdata/000878.html" TargetMode="External"/><Relationship Id="rId1432" Type="http://schemas.openxmlformats.org/officeDocument/2006/relationships/hyperlink" Target="http://quote.eastmoney.com/300349.html" TargetMode="External"/><Relationship Id="rId1877" Type="http://schemas.openxmlformats.org/officeDocument/2006/relationships/hyperlink" Target="http://data.eastmoney.com/stockdata/000877.html" TargetMode="External"/><Relationship Id="rId71" Type="http://schemas.openxmlformats.org/officeDocument/2006/relationships/hyperlink" Target="http://data.eastmoney.com/stockdata/002100.html" TargetMode="External"/><Relationship Id="rId802" Type="http://schemas.openxmlformats.org/officeDocument/2006/relationships/hyperlink" Target="http://quote.eastmoney.com/603990.html" TargetMode="External"/><Relationship Id="rId1737" Type="http://schemas.openxmlformats.org/officeDocument/2006/relationships/hyperlink" Target="http://data.eastmoney.com/stockdata/002399.html" TargetMode="External"/><Relationship Id="rId1944" Type="http://schemas.openxmlformats.org/officeDocument/2006/relationships/hyperlink" Target="http://quote.eastmoney.com/601319.html" TargetMode="External"/><Relationship Id="rId29" Type="http://schemas.openxmlformats.org/officeDocument/2006/relationships/hyperlink" Target="http://data.eastmoney.com/stockdata/600584.html" TargetMode="External"/><Relationship Id="rId178" Type="http://schemas.openxmlformats.org/officeDocument/2006/relationships/hyperlink" Target="http://quote.eastmoney.com/600737.html" TargetMode="External"/><Relationship Id="rId1804" Type="http://schemas.openxmlformats.org/officeDocument/2006/relationships/hyperlink" Target="http://quote.eastmoney.com/601828.html" TargetMode="External"/><Relationship Id="rId385" Type="http://schemas.openxmlformats.org/officeDocument/2006/relationships/hyperlink" Target="http://data.eastmoney.com/stockdata/300498.html" TargetMode="External"/><Relationship Id="rId592" Type="http://schemas.openxmlformats.org/officeDocument/2006/relationships/hyperlink" Target="http://quote.eastmoney.com/300590.html" TargetMode="External"/><Relationship Id="rId245" Type="http://schemas.openxmlformats.org/officeDocument/2006/relationships/hyperlink" Target="http://data.eastmoney.com/stockdata/002616.html" TargetMode="External"/><Relationship Id="rId452" Type="http://schemas.openxmlformats.org/officeDocument/2006/relationships/hyperlink" Target="http://quote.eastmoney.com/600496.html" TargetMode="External"/><Relationship Id="rId897" Type="http://schemas.openxmlformats.org/officeDocument/2006/relationships/hyperlink" Target="http://data.eastmoney.com/stockdata/002568.html" TargetMode="External"/><Relationship Id="rId1082" Type="http://schemas.openxmlformats.org/officeDocument/2006/relationships/hyperlink" Target="http://quote.eastmoney.com/603558.html" TargetMode="External"/><Relationship Id="rId105" Type="http://schemas.openxmlformats.org/officeDocument/2006/relationships/hyperlink" Target="http://data.eastmoney.com/stockdata/600745.html" TargetMode="External"/><Relationship Id="rId312" Type="http://schemas.openxmlformats.org/officeDocument/2006/relationships/hyperlink" Target="http://quote.eastmoney.com/603538.html" TargetMode="External"/><Relationship Id="rId757" Type="http://schemas.openxmlformats.org/officeDocument/2006/relationships/hyperlink" Target="http://data.eastmoney.com/stockdata/603267.html" TargetMode="External"/><Relationship Id="rId964" Type="http://schemas.openxmlformats.org/officeDocument/2006/relationships/hyperlink" Target="http://quote.eastmoney.com/002749.html" TargetMode="External"/><Relationship Id="rId1387" Type="http://schemas.openxmlformats.org/officeDocument/2006/relationships/hyperlink" Target="http://data.eastmoney.com/stockdata/002174.html" TargetMode="External"/><Relationship Id="rId1594" Type="http://schemas.openxmlformats.org/officeDocument/2006/relationships/hyperlink" Target="http://quote.eastmoney.com/603365.html" TargetMode="External"/><Relationship Id="rId93" Type="http://schemas.openxmlformats.org/officeDocument/2006/relationships/hyperlink" Target="http://data.eastmoney.com/stockdata/000852.html" TargetMode="External"/><Relationship Id="rId617" Type="http://schemas.openxmlformats.org/officeDocument/2006/relationships/hyperlink" Target="http://data.eastmoney.com/stockdata/300792.html" TargetMode="External"/><Relationship Id="rId824" Type="http://schemas.openxmlformats.org/officeDocument/2006/relationships/hyperlink" Target="http://quote.eastmoney.com/002841.html" TargetMode="External"/><Relationship Id="rId1247" Type="http://schemas.openxmlformats.org/officeDocument/2006/relationships/hyperlink" Target="http://data.eastmoney.com/stockdata/000582.html" TargetMode="External"/><Relationship Id="rId1454" Type="http://schemas.openxmlformats.org/officeDocument/2006/relationships/hyperlink" Target="http://quote.eastmoney.com/002697.html" TargetMode="External"/><Relationship Id="rId1661" Type="http://schemas.openxmlformats.org/officeDocument/2006/relationships/hyperlink" Target="http://data.eastmoney.com/stockdata/601811.html" TargetMode="External"/><Relationship Id="rId1899" Type="http://schemas.openxmlformats.org/officeDocument/2006/relationships/hyperlink" Target="http://data.eastmoney.com/stockdata/600231.html" TargetMode="External"/><Relationship Id="rId1107" Type="http://schemas.openxmlformats.org/officeDocument/2006/relationships/hyperlink" Target="http://data.eastmoney.com/stockdata/002833.html" TargetMode="External"/><Relationship Id="rId1314" Type="http://schemas.openxmlformats.org/officeDocument/2006/relationships/hyperlink" Target="http://quote.eastmoney.com/600180.html" TargetMode="External"/><Relationship Id="rId1521" Type="http://schemas.openxmlformats.org/officeDocument/2006/relationships/hyperlink" Target="http://data.eastmoney.com/stockdata/600486.html" TargetMode="External"/><Relationship Id="rId1759" Type="http://schemas.openxmlformats.org/officeDocument/2006/relationships/hyperlink" Target="http://data.eastmoney.com/stockdata/000959.html" TargetMode="External"/><Relationship Id="rId1966" Type="http://schemas.openxmlformats.org/officeDocument/2006/relationships/hyperlink" Target="http://quote.eastmoney.com/601988.html" TargetMode="External"/><Relationship Id="rId1619" Type="http://schemas.openxmlformats.org/officeDocument/2006/relationships/hyperlink" Target="http://data.eastmoney.com/stockdata/601985.html" TargetMode="External"/><Relationship Id="rId1826" Type="http://schemas.openxmlformats.org/officeDocument/2006/relationships/hyperlink" Target="http://quote.eastmoney.com/000672.html" TargetMode="External"/><Relationship Id="rId20" Type="http://schemas.openxmlformats.org/officeDocument/2006/relationships/hyperlink" Target="http://quote.eastmoney.com/600246.html" TargetMode="External"/><Relationship Id="rId267" Type="http://schemas.openxmlformats.org/officeDocument/2006/relationships/hyperlink" Target="http://data.eastmoney.com/stockdata/002402.html" TargetMode="External"/><Relationship Id="rId474" Type="http://schemas.openxmlformats.org/officeDocument/2006/relationships/hyperlink" Target="http://quote.eastmoney.com/300383.html" TargetMode="External"/><Relationship Id="rId127" Type="http://schemas.openxmlformats.org/officeDocument/2006/relationships/hyperlink" Target="http://data.eastmoney.com/stockdata/300387.html" TargetMode="External"/><Relationship Id="rId681" Type="http://schemas.openxmlformats.org/officeDocument/2006/relationships/hyperlink" Target="http://data.eastmoney.com/stockdata/300451.html" TargetMode="External"/><Relationship Id="rId779" Type="http://schemas.openxmlformats.org/officeDocument/2006/relationships/hyperlink" Target="http://data.eastmoney.com/stockdata/300537.html" TargetMode="External"/><Relationship Id="rId986" Type="http://schemas.openxmlformats.org/officeDocument/2006/relationships/hyperlink" Target="http://quote.eastmoney.com/002273.html" TargetMode="External"/><Relationship Id="rId334" Type="http://schemas.openxmlformats.org/officeDocument/2006/relationships/hyperlink" Target="http://quote.eastmoney.com/300595.html" TargetMode="External"/><Relationship Id="rId541" Type="http://schemas.openxmlformats.org/officeDocument/2006/relationships/hyperlink" Target="http://data.eastmoney.com/stockdata/002281.html" TargetMode="External"/><Relationship Id="rId639" Type="http://schemas.openxmlformats.org/officeDocument/2006/relationships/hyperlink" Target="http://data.eastmoney.com/stockdata/000860.html" TargetMode="External"/><Relationship Id="rId1171" Type="http://schemas.openxmlformats.org/officeDocument/2006/relationships/hyperlink" Target="http://data.eastmoney.com/stockdata/300024.html" TargetMode="External"/><Relationship Id="rId1269" Type="http://schemas.openxmlformats.org/officeDocument/2006/relationships/hyperlink" Target="http://data.eastmoney.com/stockdata/000988.html" TargetMode="External"/><Relationship Id="rId1476" Type="http://schemas.openxmlformats.org/officeDocument/2006/relationships/hyperlink" Target="http://quote.eastmoney.com/002563.html" TargetMode="External"/><Relationship Id="rId401" Type="http://schemas.openxmlformats.org/officeDocument/2006/relationships/hyperlink" Target="http://data.eastmoney.com/stockdata/300248.html" TargetMode="External"/><Relationship Id="rId846" Type="http://schemas.openxmlformats.org/officeDocument/2006/relationships/hyperlink" Target="http://quote.eastmoney.com/600578.html" TargetMode="External"/><Relationship Id="rId1031" Type="http://schemas.openxmlformats.org/officeDocument/2006/relationships/hyperlink" Target="http://data.eastmoney.com/stockdata/603556.html" TargetMode="External"/><Relationship Id="rId1129" Type="http://schemas.openxmlformats.org/officeDocument/2006/relationships/hyperlink" Target="http://data.eastmoney.com/stockdata/002672.html" TargetMode="External"/><Relationship Id="rId1683" Type="http://schemas.openxmlformats.org/officeDocument/2006/relationships/hyperlink" Target="http://data.eastmoney.com/stockdata/600138.html" TargetMode="External"/><Relationship Id="rId1890" Type="http://schemas.openxmlformats.org/officeDocument/2006/relationships/hyperlink" Target="http://quote.eastmoney.com/600581.html" TargetMode="External"/><Relationship Id="rId1988" Type="http://schemas.openxmlformats.org/officeDocument/2006/relationships/hyperlink" Target="http://quote.eastmoney.com/601919.html" TargetMode="External"/><Relationship Id="rId706" Type="http://schemas.openxmlformats.org/officeDocument/2006/relationships/hyperlink" Target="http://quote.eastmoney.com/000063.html" TargetMode="External"/><Relationship Id="rId913" Type="http://schemas.openxmlformats.org/officeDocument/2006/relationships/hyperlink" Target="http://data.eastmoney.com/stockdata/300041.html" TargetMode="External"/><Relationship Id="rId1336" Type="http://schemas.openxmlformats.org/officeDocument/2006/relationships/hyperlink" Target="http://quote.eastmoney.com/002600.html" TargetMode="External"/><Relationship Id="rId1543" Type="http://schemas.openxmlformats.org/officeDocument/2006/relationships/hyperlink" Target="http://data.eastmoney.com/stockdata/000028.html" TargetMode="External"/><Relationship Id="rId1750" Type="http://schemas.openxmlformats.org/officeDocument/2006/relationships/hyperlink" Target="http://quote.eastmoney.com/601636.html" TargetMode="External"/><Relationship Id="rId42" Type="http://schemas.openxmlformats.org/officeDocument/2006/relationships/hyperlink" Target="http://quote.eastmoney.com/300142.html" TargetMode="External"/><Relationship Id="rId1403" Type="http://schemas.openxmlformats.org/officeDocument/2006/relationships/hyperlink" Target="http://data.eastmoney.com/stockdata/601877.html" TargetMode="External"/><Relationship Id="rId1610" Type="http://schemas.openxmlformats.org/officeDocument/2006/relationships/hyperlink" Target="http://quote.eastmoney.com/600143.html" TargetMode="External"/><Relationship Id="rId1848" Type="http://schemas.openxmlformats.org/officeDocument/2006/relationships/hyperlink" Target="http://quote.eastmoney.com/600398.html" TargetMode="External"/><Relationship Id="rId191" Type="http://schemas.openxmlformats.org/officeDocument/2006/relationships/hyperlink" Target="http://data.eastmoney.com/stockdata/002859.html" TargetMode="External"/><Relationship Id="rId1708" Type="http://schemas.openxmlformats.org/officeDocument/2006/relationships/hyperlink" Target="http://quote.eastmoney.com/002572.html" TargetMode="External"/><Relationship Id="rId1915" Type="http://schemas.openxmlformats.org/officeDocument/2006/relationships/hyperlink" Target="http://data.eastmoney.com/stockdata/000708.html" TargetMode="External"/><Relationship Id="rId289" Type="http://schemas.openxmlformats.org/officeDocument/2006/relationships/hyperlink" Target="http://data.eastmoney.com/stockdata/300685.html" TargetMode="External"/><Relationship Id="rId496" Type="http://schemas.openxmlformats.org/officeDocument/2006/relationships/hyperlink" Target="http://quote.eastmoney.com/002138.html" TargetMode="External"/><Relationship Id="rId149" Type="http://schemas.openxmlformats.org/officeDocument/2006/relationships/hyperlink" Target="http://data.eastmoney.com/stockdata/000961.html" TargetMode="External"/><Relationship Id="rId356" Type="http://schemas.openxmlformats.org/officeDocument/2006/relationships/hyperlink" Target="http://quote.eastmoney.com/600547.html" TargetMode="External"/><Relationship Id="rId563" Type="http://schemas.openxmlformats.org/officeDocument/2006/relationships/hyperlink" Target="http://data.eastmoney.com/stockdata/603333.html" TargetMode="External"/><Relationship Id="rId770" Type="http://schemas.openxmlformats.org/officeDocument/2006/relationships/hyperlink" Target="http://quote.eastmoney.com/300662.html" TargetMode="External"/><Relationship Id="rId1193" Type="http://schemas.openxmlformats.org/officeDocument/2006/relationships/hyperlink" Target="http://data.eastmoney.com/stockdata/601233.html" TargetMode="External"/><Relationship Id="rId216" Type="http://schemas.openxmlformats.org/officeDocument/2006/relationships/hyperlink" Target="http://quote.eastmoney.com/002847.html" TargetMode="External"/><Relationship Id="rId423" Type="http://schemas.openxmlformats.org/officeDocument/2006/relationships/hyperlink" Target="http://data.eastmoney.com/stockdata/603338.html" TargetMode="External"/><Relationship Id="rId868" Type="http://schemas.openxmlformats.org/officeDocument/2006/relationships/hyperlink" Target="http://quote.eastmoney.com/002661.html" TargetMode="External"/><Relationship Id="rId1053" Type="http://schemas.openxmlformats.org/officeDocument/2006/relationships/hyperlink" Target="http://data.eastmoney.com/stockdata/002084.html" TargetMode="External"/><Relationship Id="rId1260" Type="http://schemas.openxmlformats.org/officeDocument/2006/relationships/hyperlink" Target="http://quote.eastmoney.com/600406.html" TargetMode="External"/><Relationship Id="rId1498" Type="http://schemas.openxmlformats.org/officeDocument/2006/relationships/hyperlink" Target="http://quote.eastmoney.com/600835.html" TargetMode="External"/><Relationship Id="rId630" Type="http://schemas.openxmlformats.org/officeDocument/2006/relationships/hyperlink" Target="http://quote.eastmoney.com/002311.html" TargetMode="External"/><Relationship Id="rId728" Type="http://schemas.openxmlformats.org/officeDocument/2006/relationships/hyperlink" Target="http://quote.eastmoney.com/002405.html" TargetMode="External"/><Relationship Id="rId935" Type="http://schemas.openxmlformats.org/officeDocument/2006/relationships/hyperlink" Target="http://data.eastmoney.com/stockdata/603233.html" TargetMode="External"/><Relationship Id="rId1358" Type="http://schemas.openxmlformats.org/officeDocument/2006/relationships/hyperlink" Target="http://quote.eastmoney.com/600372.html" TargetMode="External"/><Relationship Id="rId1565" Type="http://schemas.openxmlformats.org/officeDocument/2006/relationships/hyperlink" Target="http://data.eastmoney.com/stockdata/600273.html" TargetMode="External"/><Relationship Id="rId1772" Type="http://schemas.openxmlformats.org/officeDocument/2006/relationships/hyperlink" Target="http://quote.eastmoney.com/600426.html" TargetMode="External"/><Relationship Id="rId64" Type="http://schemas.openxmlformats.org/officeDocument/2006/relationships/hyperlink" Target="http://quote.eastmoney.com/300598.html" TargetMode="External"/><Relationship Id="rId1120" Type="http://schemas.openxmlformats.org/officeDocument/2006/relationships/hyperlink" Target="http://quote.eastmoney.com/300132.html" TargetMode="External"/><Relationship Id="rId1218" Type="http://schemas.openxmlformats.org/officeDocument/2006/relationships/hyperlink" Target="http://quote.eastmoney.com/002020.html" TargetMode="External"/><Relationship Id="rId1425" Type="http://schemas.openxmlformats.org/officeDocument/2006/relationships/hyperlink" Target="http://data.eastmoney.com/stockdata/002391.html" TargetMode="External"/><Relationship Id="rId1632" Type="http://schemas.openxmlformats.org/officeDocument/2006/relationships/hyperlink" Target="http://quote.eastmoney.com/002756.html" TargetMode="External"/><Relationship Id="rId1937" Type="http://schemas.openxmlformats.org/officeDocument/2006/relationships/hyperlink" Target="http://data.eastmoney.com/stockdata/601939.html" TargetMode="External"/><Relationship Id="rId280" Type="http://schemas.openxmlformats.org/officeDocument/2006/relationships/hyperlink" Target="http://quote.eastmoney.com/603186.html" TargetMode="External"/><Relationship Id="rId140" Type="http://schemas.openxmlformats.org/officeDocument/2006/relationships/hyperlink" Target="http://quote.eastmoney.com/002897.html" TargetMode="External"/><Relationship Id="rId378" Type="http://schemas.openxmlformats.org/officeDocument/2006/relationships/hyperlink" Target="http://quote.eastmoney.com/002695.html" TargetMode="External"/><Relationship Id="rId585" Type="http://schemas.openxmlformats.org/officeDocument/2006/relationships/hyperlink" Target="http://data.eastmoney.com/stockdata/603666.html" TargetMode="External"/><Relationship Id="rId792" Type="http://schemas.openxmlformats.org/officeDocument/2006/relationships/hyperlink" Target="http://quote.eastmoney.com/000938.html" TargetMode="External"/><Relationship Id="rId6" Type="http://schemas.openxmlformats.org/officeDocument/2006/relationships/hyperlink" Target="javascript:;" TargetMode="External"/><Relationship Id="rId238" Type="http://schemas.openxmlformats.org/officeDocument/2006/relationships/hyperlink" Target="http://quote.eastmoney.com/000876.html" TargetMode="External"/><Relationship Id="rId445" Type="http://schemas.openxmlformats.org/officeDocument/2006/relationships/hyperlink" Target="http://data.eastmoney.com/stockdata/002368.html" TargetMode="External"/><Relationship Id="rId652" Type="http://schemas.openxmlformats.org/officeDocument/2006/relationships/hyperlink" Target="http://quote.eastmoney.com/002822.html" TargetMode="External"/><Relationship Id="rId1075" Type="http://schemas.openxmlformats.org/officeDocument/2006/relationships/hyperlink" Target="http://data.eastmoney.com/stockdata/002088.html" TargetMode="External"/><Relationship Id="rId1282" Type="http://schemas.openxmlformats.org/officeDocument/2006/relationships/hyperlink" Target="http://quote.eastmoney.com/601996.html" TargetMode="External"/><Relationship Id="rId305" Type="http://schemas.openxmlformats.org/officeDocument/2006/relationships/hyperlink" Target="http://data.eastmoney.com/stockdata/688018.html" TargetMode="External"/><Relationship Id="rId512" Type="http://schemas.openxmlformats.org/officeDocument/2006/relationships/hyperlink" Target="http://quote.eastmoney.com/300569.html" TargetMode="External"/><Relationship Id="rId957" Type="http://schemas.openxmlformats.org/officeDocument/2006/relationships/hyperlink" Target="http://data.eastmoney.com/stockdata/000050.html" TargetMode="External"/><Relationship Id="rId1142" Type="http://schemas.openxmlformats.org/officeDocument/2006/relationships/hyperlink" Target="http://quote.eastmoney.com/600481.html" TargetMode="External"/><Relationship Id="rId1587" Type="http://schemas.openxmlformats.org/officeDocument/2006/relationships/hyperlink" Target="http://data.eastmoney.com/stockdata/600837.html" TargetMode="External"/><Relationship Id="rId1794" Type="http://schemas.openxmlformats.org/officeDocument/2006/relationships/hyperlink" Target="http://quote.eastmoney.com/601668.html" TargetMode="External"/><Relationship Id="rId86" Type="http://schemas.openxmlformats.org/officeDocument/2006/relationships/hyperlink" Target="http://quote.eastmoney.com/300001.html" TargetMode="External"/><Relationship Id="rId817" Type="http://schemas.openxmlformats.org/officeDocument/2006/relationships/hyperlink" Target="http://data.eastmoney.com/stockdata/300470.html" TargetMode="External"/><Relationship Id="rId1002" Type="http://schemas.openxmlformats.org/officeDocument/2006/relationships/hyperlink" Target="http://quote.eastmoney.com/600809.html" TargetMode="External"/><Relationship Id="rId1447" Type="http://schemas.openxmlformats.org/officeDocument/2006/relationships/hyperlink" Target="http://data.eastmoney.com/stockdata/600299.html" TargetMode="External"/><Relationship Id="rId1654" Type="http://schemas.openxmlformats.org/officeDocument/2006/relationships/hyperlink" Target="http://quote.eastmoney.com/600031.html" TargetMode="External"/><Relationship Id="rId1861" Type="http://schemas.openxmlformats.org/officeDocument/2006/relationships/hyperlink" Target="http://data.eastmoney.com/stockdata/000629.html" TargetMode="External"/><Relationship Id="rId1307" Type="http://schemas.openxmlformats.org/officeDocument/2006/relationships/hyperlink" Target="http://data.eastmoney.com/stockdata/603806.html" TargetMode="External"/><Relationship Id="rId1514" Type="http://schemas.openxmlformats.org/officeDocument/2006/relationships/hyperlink" Target="http://quote.eastmoney.com/002032.html" TargetMode="External"/><Relationship Id="rId1721" Type="http://schemas.openxmlformats.org/officeDocument/2006/relationships/hyperlink" Target="http://data.eastmoney.com/stockdata/601377.html" TargetMode="External"/><Relationship Id="rId1959" Type="http://schemas.openxmlformats.org/officeDocument/2006/relationships/hyperlink" Target="http://data.eastmoney.com/stockdata/600025.html" TargetMode="External"/><Relationship Id="rId13" Type="http://schemas.openxmlformats.org/officeDocument/2006/relationships/hyperlink" Target="http://data.eastmoney.com/stockdata/603290.html" TargetMode="External"/><Relationship Id="rId1819" Type="http://schemas.openxmlformats.org/officeDocument/2006/relationships/hyperlink" Target="http://data.eastmoney.com/stockdata/601800.html" TargetMode="External"/><Relationship Id="rId162" Type="http://schemas.openxmlformats.org/officeDocument/2006/relationships/hyperlink" Target="http://quote.eastmoney.com/300709.html" TargetMode="External"/><Relationship Id="rId467" Type="http://schemas.openxmlformats.org/officeDocument/2006/relationships/hyperlink" Target="http://data.eastmoney.com/stockdata/600004.html" TargetMode="External"/><Relationship Id="rId1097" Type="http://schemas.openxmlformats.org/officeDocument/2006/relationships/hyperlink" Target="http://data.eastmoney.com/stockdata/002203.html" TargetMode="External"/><Relationship Id="rId674" Type="http://schemas.openxmlformats.org/officeDocument/2006/relationships/hyperlink" Target="http://quote.eastmoney.com/000970.html" TargetMode="External"/><Relationship Id="rId881" Type="http://schemas.openxmlformats.org/officeDocument/2006/relationships/hyperlink" Target="http://data.eastmoney.com/stockdata/600529.html" TargetMode="External"/><Relationship Id="rId979" Type="http://schemas.openxmlformats.org/officeDocument/2006/relationships/hyperlink" Target="http://data.eastmoney.com/stockdata/000596.html" TargetMode="External"/><Relationship Id="rId327" Type="http://schemas.openxmlformats.org/officeDocument/2006/relationships/hyperlink" Target="http://data.eastmoney.com/stockdata/603960.html" TargetMode="External"/><Relationship Id="rId534" Type="http://schemas.openxmlformats.org/officeDocument/2006/relationships/hyperlink" Target="http://quote.eastmoney.com/603939.html" TargetMode="External"/><Relationship Id="rId741" Type="http://schemas.openxmlformats.org/officeDocument/2006/relationships/hyperlink" Target="http://data.eastmoney.com/stockdata/300755.html" TargetMode="External"/><Relationship Id="rId839" Type="http://schemas.openxmlformats.org/officeDocument/2006/relationships/hyperlink" Target="http://data.eastmoney.com/stockdata/300327.html" TargetMode="External"/><Relationship Id="rId1164" Type="http://schemas.openxmlformats.org/officeDocument/2006/relationships/hyperlink" Target="http://quote.eastmoney.com/603043.html" TargetMode="External"/><Relationship Id="rId1371" Type="http://schemas.openxmlformats.org/officeDocument/2006/relationships/hyperlink" Target="http://data.eastmoney.com/stockdata/002955.html" TargetMode="External"/><Relationship Id="rId1469" Type="http://schemas.openxmlformats.org/officeDocument/2006/relationships/hyperlink" Target="http://data.eastmoney.com/stockdata/600483.html" TargetMode="External"/><Relationship Id="rId2008" Type="http://schemas.openxmlformats.org/officeDocument/2006/relationships/hyperlink" Target="http://quote.eastmoney.com/000625.html" TargetMode="External"/><Relationship Id="rId601" Type="http://schemas.openxmlformats.org/officeDocument/2006/relationships/hyperlink" Target="http://data.eastmoney.com/stockdata/002044.html" TargetMode="External"/><Relationship Id="rId1024" Type="http://schemas.openxmlformats.org/officeDocument/2006/relationships/hyperlink" Target="http://quote.eastmoney.com/601117.html" TargetMode="External"/><Relationship Id="rId1231" Type="http://schemas.openxmlformats.org/officeDocument/2006/relationships/hyperlink" Target="http://data.eastmoney.com/stockdata/002126.html" TargetMode="External"/><Relationship Id="rId1676" Type="http://schemas.openxmlformats.org/officeDocument/2006/relationships/hyperlink" Target="http://quote.eastmoney.com/000598.html" TargetMode="External"/><Relationship Id="rId1883" Type="http://schemas.openxmlformats.org/officeDocument/2006/relationships/hyperlink" Target="http://data.eastmoney.com/stockdata/600054.html" TargetMode="External"/><Relationship Id="rId906" Type="http://schemas.openxmlformats.org/officeDocument/2006/relationships/hyperlink" Target="http://quote.eastmoney.com/300445.html" TargetMode="External"/><Relationship Id="rId1329" Type="http://schemas.openxmlformats.org/officeDocument/2006/relationships/hyperlink" Target="http://data.eastmoney.com/stockdata/603288.html" TargetMode="External"/><Relationship Id="rId1536" Type="http://schemas.openxmlformats.org/officeDocument/2006/relationships/hyperlink" Target="http://quote.eastmoney.com/002507.html" TargetMode="External"/><Relationship Id="rId1743" Type="http://schemas.openxmlformats.org/officeDocument/2006/relationships/hyperlink" Target="http://data.eastmoney.com/stockdata/300193.html" TargetMode="External"/><Relationship Id="rId1950" Type="http://schemas.openxmlformats.org/officeDocument/2006/relationships/hyperlink" Target="http://quote.eastmoney.com/600188.html" TargetMode="External"/><Relationship Id="rId35" Type="http://schemas.openxmlformats.org/officeDocument/2006/relationships/hyperlink" Target="http://data.eastmoney.com/stockdata/300618.html" TargetMode="External"/><Relationship Id="rId1603" Type="http://schemas.openxmlformats.org/officeDocument/2006/relationships/hyperlink" Target="http://data.eastmoney.com/stockdata/601318.html" TargetMode="External"/><Relationship Id="rId1810" Type="http://schemas.openxmlformats.org/officeDocument/2006/relationships/hyperlink" Target="http://quote.eastmoney.com/002461.html" TargetMode="External"/><Relationship Id="rId184" Type="http://schemas.openxmlformats.org/officeDocument/2006/relationships/hyperlink" Target="http://quote.eastmoney.com/600731.html" TargetMode="External"/><Relationship Id="rId391" Type="http://schemas.openxmlformats.org/officeDocument/2006/relationships/hyperlink" Target="http://data.eastmoney.com/stockdata/300737.html" TargetMode="External"/><Relationship Id="rId1908" Type="http://schemas.openxmlformats.org/officeDocument/2006/relationships/hyperlink" Target="http://quote.eastmoney.com/601328.html" TargetMode="External"/><Relationship Id="rId251" Type="http://schemas.openxmlformats.org/officeDocument/2006/relationships/hyperlink" Target="http://data.eastmoney.com/stockdata/300747.html" TargetMode="External"/><Relationship Id="rId489" Type="http://schemas.openxmlformats.org/officeDocument/2006/relationships/hyperlink" Target="http://data.eastmoney.com/stockdata/002436.html" TargetMode="External"/><Relationship Id="rId696" Type="http://schemas.openxmlformats.org/officeDocument/2006/relationships/hyperlink" Target="http://quote.eastmoney.com/300130.html" TargetMode="External"/><Relationship Id="rId349" Type="http://schemas.openxmlformats.org/officeDocument/2006/relationships/hyperlink" Target="http://data.eastmoney.com/stockdata/300759.html" TargetMode="External"/><Relationship Id="rId556" Type="http://schemas.openxmlformats.org/officeDocument/2006/relationships/hyperlink" Target="http://quote.eastmoney.com/300558.html" TargetMode="External"/><Relationship Id="rId763" Type="http://schemas.openxmlformats.org/officeDocument/2006/relationships/hyperlink" Target="http://data.eastmoney.com/stockdata/603259.html" TargetMode="External"/><Relationship Id="rId1186" Type="http://schemas.openxmlformats.org/officeDocument/2006/relationships/hyperlink" Target="http://quote.eastmoney.com/300284.html" TargetMode="External"/><Relationship Id="rId1393" Type="http://schemas.openxmlformats.org/officeDocument/2006/relationships/hyperlink" Target="http://data.eastmoney.com/stockdata/300070.html" TargetMode="External"/><Relationship Id="rId111" Type="http://schemas.openxmlformats.org/officeDocument/2006/relationships/hyperlink" Target="http://data.eastmoney.com/stockdata/300214.html" TargetMode="External"/><Relationship Id="rId209" Type="http://schemas.openxmlformats.org/officeDocument/2006/relationships/hyperlink" Target="http://data.eastmoney.com/stockdata/000977.html" TargetMode="External"/><Relationship Id="rId416" Type="http://schemas.openxmlformats.org/officeDocument/2006/relationships/hyperlink" Target="http://quote.eastmoney.com/603260.html" TargetMode="External"/><Relationship Id="rId970" Type="http://schemas.openxmlformats.org/officeDocument/2006/relationships/hyperlink" Target="http://quote.eastmoney.com/002601.html" TargetMode="External"/><Relationship Id="rId1046" Type="http://schemas.openxmlformats.org/officeDocument/2006/relationships/hyperlink" Target="http://quote.eastmoney.com/603416.html" TargetMode="External"/><Relationship Id="rId1253" Type="http://schemas.openxmlformats.org/officeDocument/2006/relationships/hyperlink" Target="http://data.eastmoney.com/stockdata/600765.html" TargetMode="External"/><Relationship Id="rId1698" Type="http://schemas.openxmlformats.org/officeDocument/2006/relationships/hyperlink" Target="http://quote.eastmoney.com/601818.html" TargetMode="External"/><Relationship Id="rId623" Type="http://schemas.openxmlformats.org/officeDocument/2006/relationships/hyperlink" Target="http://data.eastmoney.com/stockdata/603030.html" TargetMode="External"/><Relationship Id="rId830" Type="http://schemas.openxmlformats.org/officeDocument/2006/relationships/hyperlink" Target="http://quote.eastmoney.com/600845.html" TargetMode="External"/><Relationship Id="rId928" Type="http://schemas.openxmlformats.org/officeDocument/2006/relationships/hyperlink" Target="http://quote.eastmoney.com/603232.html" TargetMode="External"/><Relationship Id="rId1460" Type="http://schemas.openxmlformats.org/officeDocument/2006/relationships/hyperlink" Target="http://quote.eastmoney.com/002078.html" TargetMode="External"/><Relationship Id="rId1558" Type="http://schemas.openxmlformats.org/officeDocument/2006/relationships/hyperlink" Target="http://quote.eastmoney.com/601688.html" TargetMode="External"/><Relationship Id="rId1765" Type="http://schemas.openxmlformats.org/officeDocument/2006/relationships/hyperlink" Target="http://data.eastmoney.com/stockdata/002293.html" TargetMode="External"/><Relationship Id="rId57" Type="http://schemas.openxmlformats.org/officeDocument/2006/relationships/hyperlink" Target="http://data.eastmoney.com/stockdata/002466.html" TargetMode="External"/><Relationship Id="rId1113" Type="http://schemas.openxmlformats.org/officeDocument/2006/relationships/hyperlink" Target="http://data.eastmoney.com/stockdata/600567.html" TargetMode="External"/><Relationship Id="rId1320" Type="http://schemas.openxmlformats.org/officeDocument/2006/relationships/hyperlink" Target="http://quote.eastmoney.com/300203.html" TargetMode="External"/><Relationship Id="rId1418" Type="http://schemas.openxmlformats.org/officeDocument/2006/relationships/hyperlink" Target="http://quote.eastmoney.com/603113.html" TargetMode="External"/><Relationship Id="rId1972" Type="http://schemas.openxmlformats.org/officeDocument/2006/relationships/hyperlink" Target="http://quote.eastmoney.com/000932.html" TargetMode="External"/><Relationship Id="rId1625" Type="http://schemas.openxmlformats.org/officeDocument/2006/relationships/hyperlink" Target="http://data.eastmoney.com/stockdata/002839.html" TargetMode="External"/><Relationship Id="rId1832" Type="http://schemas.openxmlformats.org/officeDocument/2006/relationships/hyperlink" Target="http://quote.eastmoney.com/600104.html" TargetMode="External"/><Relationship Id="rId273" Type="http://schemas.openxmlformats.org/officeDocument/2006/relationships/hyperlink" Target="http://data.eastmoney.com/stockdata/600703.html" TargetMode="External"/><Relationship Id="rId480" Type="http://schemas.openxmlformats.org/officeDocument/2006/relationships/hyperlink" Target="http://quote.eastmoney.com/603516.html" TargetMode="External"/><Relationship Id="rId133" Type="http://schemas.openxmlformats.org/officeDocument/2006/relationships/hyperlink" Target="http://data.eastmoney.com/stockdata/603236.html" TargetMode="External"/><Relationship Id="rId340" Type="http://schemas.openxmlformats.org/officeDocument/2006/relationships/hyperlink" Target="http://quote.eastmoney.com/002301.html" TargetMode="External"/><Relationship Id="rId578" Type="http://schemas.openxmlformats.org/officeDocument/2006/relationships/hyperlink" Target="http://quote.eastmoney.com/603658.html" TargetMode="External"/><Relationship Id="rId785" Type="http://schemas.openxmlformats.org/officeDocument/2006/relationships/hyperlink" Target="http://data.eastmoney.com/stockdata/600060.html" TargetMode="External"/><Relationship Id="rId992" Type="http://schemas.openxmlformats.org/officeDocument/2006/relationships/hyperlink" Target="http://quote.eastmoney.com/002179.html" TargetMode="External"/><Relationship Id="rId200" Type="http://schemas.openxmlformats.org/officeDocument/2006/relationships/hyperlink" Target="http://quote.eastmoney.com/601872.html" TargetMode="External"/><Relationship Id="rId438" Type="http://schemas.openxmlformats.org/officeDocument/2006/relationships/hyperlink" Target="http://quote.eastmoney.com/603179.html" TargetMode="External"/><Relationship Id="rId645" Type="http://schemas.openxmlformats.org/officeDocument/2006/relationships/hyperlink" Target="http://data.eastmoney.com/stockdata/601933.html" TargetMode="External"/><Relationship Id="rId852" Type="http://schemas.openxmlformats.org/officeDocument/2006/relationships/hyperlink" Target="http://quote.eastmoney.com/603027.html" TargetMode="External"/><Relationship Id="rId1068" Type="http://schemas.openxmlformats.org/officeDocument/2006/relationships/hyperlink" Target="http://quote.eastmoney.com/002262.html" TargetMode="External"/><Relationship Id="rId1275" Type="http://schemas.openxmlformats.org/officeDocument/2006/relationships/hyperlink" Target="http://data.eastmoney.com/stockdata/002171.html" TargetMode="External"/><Relationship Id="rId1482" Type="http://schemas.openxmlformats.org/officeDocument/2006/relationships/hyperlink" Target="http://quote.eastmoney.com/600990.html" TargetMode="External"/><Relationship Id="rId505" Type="http://schemas.openxmlformats.org/officeDocument/2006/relationships/hyperlink" Target="http://data.eastmoney.com/stockdata/603638.html" TargetMode="External"/><Relationship Id="rId712" Type="http://schemas.openxmlformats.org/officeDocument/2006/relationships/hyperlink" Target="http://quote.eastmoney.com/603228.html" TargetMode="External"/><Relationship Id="rId1135" Type="http://schemas.openxmlformats.org/officeDocument/2006/relationships/hyperlink" Target="http://data.eastmoney.com/stockdata/603993.html" TargetMode="External"/><Relationship Id="rId1342" Type="http://schemas.openxmlformats.org/officeDocument/2006/relationships/hyperlink" Target="http://quote.eastmoney.com/601238.html" TargetMode="External"/><Relationship Id="rId1787" Type="http://schemas.openxmlformats.org/officeDocument/2006/relationships/hyperlink" Target="http://data.eastmoney.com/stockdata/603323.html" TargetMode="External"/><Relationship Id="rId1994" Type="http://schemas.openxmlformats.org/officeDocument/2006/relationships/hyperlink" Target="http://quote.eastmoney.com/601360.html" TargetMode="External"/><Relationship Id="rId79" Type="http://schemas.openxmlformats.org/officeDocument/2006/relationships/hyperlink" Target="http://data.eastmoney.com/stockdata/300379.html" TargetMode="External"/><Relationship Id="rId1202" Type="http://schemas.openxmlformats.org/officeDocument/2006/relationships/hyperlink" Target="http://quote.eastmoney.com/600919.html" TargetMode="External"/><Relationship Id="rId1647" Type="http://schemas.openxmlformats.org/officeDocument/2006/relationships/hyperlink" Target="http://data.eastmoney.com/stockdata/002429.html" TargetMode="External"/><Relationship Id="rId1854" Type="http://schemas.openxmlformats.org/officeDocument/2006/relationships/hyperlink" Target="http://quote.eastmoney.com/600741.html" TargetMode="External"/><Relationship Id="rId1507" Type="http://schemas.openxmlformats.org/officeDocument/2006/relationships/hyperlink" Target="http://data.eastmoney.com/stockdata/601138.html" TargetMode="External"/><Relationship Id="rId1714" Type="http://schemas.openxmlformats.org/officeDocument/2006/relationships/hyperlink" Target="http://quote.eastmoney.com/601658.html" TargetMode="External"/><Relationship Id="rId295" Type="http://schemas.openxmlformats.org/officeDocument/2006/relationships/hyperlink" Target="http://data.eastmoney.com/stockdata/300609.html" TargetMode="External"/><Relationship Id="rId1921" Type="http://schemas.openxmlformats.org/officeDocument/2006/relationships/hyperlink" Target="http://data.eastmoney.com/stockdata/601288.html" TargetMode="External"/><Relationship Id="rId155" Type="http://schemas.openxmlformats.org/officeDocument/2006/relationships/hyperlink" Target="http://data.eastmoney.com/stockdata/002254.html" TargetMode="External"/><Relationship Id="rId362" Type="http://schemas.openxmlformats.org/officeDocument/2006/relationships/hyperlink" Target="http://quote.eastmoney.com/300395.html" TargetMode="External"/><Relationship Id="rId1297" Type="http://schemas.openxmlformats.org/officeDocument/2006/relationships/hyperlink" Target="http://data.eastmoney.com/stockdata/300258.html" TargetMode="External"/><Relationship Id="rId222" Type="http://schemas.openxmlformats.org/officeDocument/2006/relationships/hyperlink" Target="http://quote.eastmoney.com/600489.html" TargetMode="External"/><Relationship Id="rId667" Type="http://schemas.openxmlformats.org/officeDocument/2006/relationships/hyperlink" Target="http://data.eastmoney.com/stockdata/603659.html" TargetMode="External"/><Relationship Id="rId874" Type="http://schemas.openxmlformats.org/officeDocument/2006/relationships/hyperlink" Target="http://quote.eastmoney.com/601958.html" TargetMode="External"/><Relationship Id="rId527" Type="http://schemas.openxmlformats.org/officeDocument/2006/relationships/hyperlink" Target="http://data.eastmoney.com/stockdata/300357.html" TargetMode="External"/><Relationship Id="rId734" Type="http://schemas.openxmlformats.org/officeDocument/2006/relationships/hyperlink" Target="http://quote.eastmoney.com/603678.html" TargetMode="External"/><Relationship Id="rId941" Type="http://schemas.openxmlformats.org/officeDocument/2006/relationships/hyperlink" Target="http://data.eastmoney.com/stockdata/601633.html" TargetMode="External"/><Relationship Id="rId1157" Type="http://schemas.openxmlformats.org/officeDocument/2006/relationships/hyperlink" Target="http://data.eastmoney.com/stockdata/002153.html" TargetMode="External"/><Relationship Id="rId1364" Type="http://schemas.openxmlformats.org/officeDocument/2006/relationships/hyperlink" Target="http://quote.eastmoney.com/000488.html" TargetMode="External"/><Relationship Id="rId1571" Type="http://schemas.openxmlformats.org/officeDocument/2006/relationships/hyperlink" Target="http://data.eastmoney.com/stockdata/002624.html" TargetMode="External"/><Relationship Id="rId70" Type="http://schemas.openxmlformats.org/officeDocument/2006/relationships/hyperlink" Target="http://quote.eastmoney.com/002100.html" TargetMode="External"/><Relationship Id="rId801" Type="http://schemas.openxmlformats.org/officeDocument/2006/relationships/hyperlink" Target="http://data.eastmoney.com/stockdata/603990.html" TargetMode="External"/><Relationship Id="rId1017" Type="http://schemas.openxmlformats.org/officeDocument/2006/relationships/hyperlink" Target="http://data.eastmoney.com/stockdata/600989.html" TargetMode="External"/><Relationship Id="rId1224" Type="http://schemas.openxmlformats.org/officeDocument/2006/relationships/hyperlink" Target="http://quote.eastmoney.com/000878.html" TargetMode="External"/><Relationship Id="rId1431" Type="http://schemas.openxmlformats.org/officeDocument/2006/relationships/hyperlink" Target="http://data.eastmoney.com/stockdata/603788.html" TargetMode="External"/><Relationship Id="rId1669" Type="http://schemas.openxmlformats.org/officeDocument/2006/relationships/hyperlink" Target="http://data.eastmoney.com/stockdata/600315.html" TargetMode="External"/><Relationship Id="rId1876" Type="http://schemas.openxmlformats.org/officeDocument/2006/relationships/hyperlink" Target="http://quote.eastmoney.com/000877.html" TargetMode="External"/><Relationship Id="rId1529" Type="http://schemas.openxmlformats.org/officeDocument/2006/relationships/hyperlink" Target="http://data.eastmoney.com/stockdata/000975.html" TargetMode="External"/><Relationship Id="rId1736" Type="http://schemas.openxmlformats.org/officeDocument/2006/relationships/hyperlink" Target="http://quote.eastmoney.com/002399.html" TargetMode="External"/><Relationship Id="rId1943" Type="http://schemas.openxmlformats.org/officeDocument/2006/relationships/hyperlink" Target="http://data.eastmoney.com/stockdata/600395.html" TargetMode="External"/><Relationship Id="rId28" Type="http://schemas.openxmlformats.org/officeDocument/2006/relationships/hyperlink" Target="http://quote.eastmoney.com/600584.html" TargetMode="External"/><Relationship Id="rId1803" Type="http://schemas.openxmlformats.org/officeDocument/2006/relationships/hyperlink" Target="http://data.eastmoney.com/stockdata/600820.html" TargetMode="External"/><Relationship Id="rId177" Type="http://schemas.openxmlformats.org/officeDocument/2006/relationships/hyperlink" Target="http://data.eastmoney.com/stockdata/300456.html" TargetMode="External"/><Relationship Id="rId384" Type="http://schemas.openxmlformats.org/officeDocument/2006/relationships/hyperlink" Target="http://quote.eastmoney.com/300498.html" TargetMode="External"/><Relationship Id="rId591" Type="http://schemas.openxmlformats.org/officeDocument/2006/relationships/hyperlink" Target="http://data.eastmoney.com/stockdata/603486.html" TargetMode="External"/><Relationship Id="rId244" Type="http://schemas.openxmlformats.org/officeDocument/2006/relationships/hyperlink" Target="http://quote.eastmoney.com/002616.html" TargetMode="External"/><Relationship Id="rId689" Type="http://schemas.openxmlformats.org/officeDocument/2006/relationships/hyperlink" Target="http://data.eastmoney.com/stockdata/600884.html" TargetMode="External"/><Relationship Id="rId896" Type="http://schemas.openxmlformats.org/officeDocument/2006/relationships/hyperlink" Target="http://quote.eastmoney.com/002568.html" TargetMode="External"/><Relationship Id="rId1081" Type="http://schemas.openxmlformats.org/officeDocument/2006/relationships/hyperlink" Target="http://data.eastmoney.com/stockdata/600163.html" TargetMode="External"/><Relationship Id="rId451" Type="http://schemas.openxmlformats.org/officeDocument/2006/relationships/hyperlink" Target="http://data.eastmoney.com/stockdata/300567.html" TargetMode="External"/><Relationship Id="rId549" Type="http://schemas.openxmlformats.org/officeDocument/2006/relationships/hyperlink" Target="http://data.eastmoney.com/stockdata/002465.html" TargetMode="External"/><Relationship Id="rId756" Type="http://schemas.openxmlformats.org/officeDocument/2006/relationships/hyperlink" Target="http://quote.eastmoney.com/603267.html" TargetMode="External"/><Relationship Id="rId1179" Type="http://schemas.openxmlformats.org/officeDocument/2006/relationships/hyperlink" Target="http://data.eastmoney.com/stockdata/603160.html" TargetMode="External"/><Relationship Id="rId1386" Type="http://schemas.openxmlformats.org/officeDocument/2006/relationships/hyperlink" Target="http://quote.eastmoney.com/002174.html" TargetMode="External"/><Relationship Id="rId1593" Type="http://schemas.openxmlformats.org/officeDocument/2006/relationships/hyperlink" Target="http://data.eastmoney.com/stockdata/002242.html" TargetMode="External"/><Relationship Id="rId104" Type="http://schemas.openxmlformats.org/officeDocument/2006/relationships/hyperlink" Target="http://quote.eastmoney.com/600745.html" TargetMode="External"/><Relationship Id="rId311" Type="http://schemas.openxmlformats.org/officeDocument/2006/relationships/hyperlink" Target="http://data.eastmoney.com/stockdata/002838.html" TargetMode="External"/><Relationship Id="rId409" Type="http://schemas.openxmlformats.org/officeDocument/2006/relationships/hyperlink" Target="http://data.eastmoney.com/stockdata/300129.html" TargetMode="External"/><Relationship Id="rId963" Type="http://schemas.openxmlformats.org/officeDocument/2006/relationships/hyperlink" Target="http://data.eastmoney.com/stockdata/600161.html" TargetMode="External"/><Relationship Id="rId1039" Type="http://schemas.openxmlformats.org/officeDocument/2006/relationships/hyperlink" Target="http://data.eastmoney.com/stockdata/600285.html" TargetMode="External"/><Relationship Id="rId1246" Type="http://schemas.openxmlformats.org/officeDocument/2006/relationships/hyperlink" Target="http://quote.eastmoney.com/000582.html" TargetMode="External"/><Relationship Id="rId1898" Type="http://schemas.openxmlformats.org/officeDocument/2006/relationships/hyperlink" Target="http://quote.eastmoney.com/600231.html" TargetMode="External"/><Relationship Id="rId92" Type="http://schemas.openxmlformats.org/officeDocument/2006/relationships/hyperlink" Target="http://quote.eastmoney.com/000852.html" TargetMode="External"/><Relationship Id="rId616" Type="http://schemas.openxmlformats.org/officeDocument/2006/relationships/hyperlink" Target="http://quote.eastmoney.com/300792.html" TargetMode="External"/><Relationship Id="rId823" Type="http://schemas.openxmlformats.org/officeDocument/2006/relationships/hyperlink" Target="http://data.eastmoney.com/stockdata/603885.html" TargetMode="External"/><Relationship Id="rId1453" Type="http://schemas.openxmlformats.org/officeDocument/2006/relationships/hyperlink" Target="http://data.eastmoney.com/stockdata/002557.html" TargetMode="External"/><Relationship Id="rId1660" Type="http://schemas.openxmlformats.org/officeDocument/2006/relationships/hyperlink" Target="http://quote.eastmoney.com/601811.html" TargetMode="External"/><Relationship Id="rId1758" Type="http://schemas.openxmlformats.org/officeDocument/2006/relationships/hyperlink" Target="http://quote.eastmoney.com/000959.html" TargetMode="External"/><Relationship Id="rId1106" Type="http://schemas.openxmlformats.org/officeDocument/2006/relationships/hyperlink" Target="http://quote.eastmoney.com/002833.html" TargetMode="External"/><Relationship Id="rId1313" Type="http://schemas.openxmlformats.org/officeDocument/2006/relationships/hyperlink" Target="http://data.eastmoney.com/stockdata/600057.html" TargetMode="External"/><Relationship Id="rId1520" Type="http://schemas.openxmlformats.org/officeDocument/2006/relationships/hyperlink" Target="http://quote.eastmoney.com/600486.html" TargetMode="External"/><Relationship Id="rId1965" Type="http://schemas.openxmlformats.org/officeDocument/2006/relationships/hyperlink" Target="http://data.eastmoney.com/stockdata/600801.html" TargetMode="External"/><Relationship Id="rId1618" Type="http://schemas.openxmlformats.org/officeDocument/2006/relationships/hyperlink" Target="http://quote.eastmoney.com/601985.html" TargetMode="External"/><Relationship Id="rId1825" Type="http://schemas.openxmlformats.org/officeDocument/2006/relationships/hyperlink" Target="http://data.eastmoney.com/stockdata/603377.html" TargetMode="External"/><Relationship Id="rId199" Type="http://schemas.openxmlformats.org/officeDocument/2006/relationships/hyperlink" Target="http://data.eastmoney.com/stockdata/300212.html" TargetMode="External"/><Relationship Id="rId266" Type="http://schemas.openxmlformats.org/officeDocument/2006/relationships/hyperlink" Target="http://quote.eastmoney.com/002402.html" TargetMode="External"/><Relationship Id="rId473" Type="http://schemas.openxmlformats.org/officeDocument/2006/relationships/hyperlink" Target="http://data.eastmoney.com/stockdata/000671.html" TargetMode="External"/><Relationship Id="rId680" Type="http://schemas.openxmlformats.org/officeDocument/2006/relationships/hyperlink" Target="http://quote.eastmoney.com/300451.html" TargetMode="External"/><Relationship Id="rId126" Type="http://schemas.openxmlformats.org/officeDocument/2006/relationships/hyperlink" Target="http://quote.eastmoney.com/300387.html" TargetMode="External"/><Relationship Id="rId333" Type="http://schemas.openxmlformats.org/officeDocument/2006/relationships/hyperlink" Target="http://data.eastmoney.com/stockdata/002036.html" TargetMode="External"/><Relationship Id="rId540" Type="http://schemas.openxmlformats.org/officeDocument/2006/relationships/hyperlink" Target="http://quote.eastmoney.com/002281.html" TargetMode="External"/><Relationship Id="rId778" Type="http://schemas.openxmlformats.org/officeDocument/2006/relationships/hyperlink" Target="http://quote.eastmoney.com/300537.html" TargetMode="External"/><Relationship Id="rId985" Type="http://schemas.openxmlformats.org/officeDocument/2006/relationships/hyperlink" Target="http://data.eastmoney.com/stockdata/600027.html" TargetMode="External"/><Relationship Id="rId1170" Type="http://schemas.openxmlformats.org/officeDocument/2006/relationships/hyperlink" Target="http://quote.eastmoney.com/300024.html" TargetMode="External"/><Relationship Id="rId638" Type="http://schemas.openxmlformats.org/officeDocument/2006/relationships/hyperlink" Target="http://quote.eastmoney.com/000860.html" TargetMode="External"/><Relationship Id="rId845" Type="http://schemas.openxmlformats.org/officeDocument/2006/relationships/hyperlink" Target="http://data.eastmoney.com/stockdata/601231.html" TargetMode="External"/><Relationship Id="rId1030" Type="http://schemas.openxmlformats.org/officeDocument/2006/relationships/hyperlink" Target="http://quote.eastmoney.com/603556.html" TargetMode="External"/><Relationship Id="rId1268" Type="http://schemas.openxmlformats.org/officeDocument/2006/relationships/hyperlink" Target="http://quote.eastmoney.com/000988.html" TargetMode="External"/><Relationship Id="rId1475" Type="http://schemas.openxmlformats.org/officeDocument/2006/relationships/hyperlink" Target="http://data.eastmoney.com/stockdata/600681.html" TargetMode="External"/><Relationship Id="rId1682" Type="http://schemas.openxmlformats.org/officeDocument/2006/relationships/hyperlink" Target="http://quote.eastmoney.com/600138.html" TargetMode="External"/><Relationship Id="rId400" Type="http://schemas.openxmlformats.org/officeDocument/2006/relationships/hyperlink" Target="http://quote.eastmoney.com/300248.html" TargetMode="External"/><Relationship Id="rId705" Type="http://schemas.openxmlformats.org/officeDocument/2006/relationships/hyperlink" Target="http://data.eastmoney.com/stockdata/603699.html" TargetMode="External"/><Relationship Id="rId1128" Type="http://schemas.openxmlformats.org/officeDocument/2006/relationships/hyperlink" Target="http://quote.eastmoney.com/002672.html" TargetMode="External"/><Relationship Id="rId1335" Type="http://schemas.openxmlformats.org/officeDocument/2006/relationships/hyperlink" Target="http://data.eastmoney.com/stockdata/600219.html" TargetMode="External"/><Relationship Id="rId1542" Type="http://schemas.openxmlformats.org/officeDocument/2006/relationships/hyperlink" Target="http://quote.eastmoney.com/000028.html" TargetMode="External"/><Relationship Id="rId1987" Type="http://schemas.openxmlformats.org/officeDocument/2006/relationships/hyperlink" Target="http://data.eastmoney.com/stockdata/600548.html" TargetMode="External"/><Relationship Id="rId912" Type="http://schemas.openxmlformats.org/officeDocument/2006/relationships/hyperlink" Target="http://quote.eastmoney.com/300041.html" TargetMode="External"/><Relationship Id="rId1847" Type="http://schemas.openxmlformats.org/officeDocument/2006/relationships/hyperlink" Target="http://data.eastmoney.com/stockdata/600740.html" TargetMode="External"/><Relationship Id="rId41" Type="http://schemas.openxmlformats.org/officeDocument/2006/relationships/hyperlink" Target="http://data.eastmoney.com/stockdata/002124.html" TargetMode="External"/><Relationship Id="rId1402" Type="http://schemas.openxmlformats.org/officeDocument/2006/relationships/hyperlink" Target="http://quote.eastmoney.com/601877.html" TargetMode="External"/><Relationship Id="rId1707" Type="http://schemas.openxmlformats.org/officeDocument/2006/relationships/hyperlink" Target="http://data.eastmoney.com/stockdata/601390.html" TargetMode="External"/><Relationship Id="rId190" Type="http://schemas.openxmlformats.org/officeDocument/2006/relationships/hyperlink" Target="http://quote.eastmoney.com/002859.html" TargetMode="External"/><Relationship Id="rId288" Type="http://schemas.openxmlformats.org/officeDocument/2006/relationships/hyperlink" Target="http://quote.eastmoney.com/300685.html" TargetMode="External"/><Relationship Id="rId1914" Type="http://schemas.openxmlformats.org/officeDocument/2006/relationships/hyperlink" Target="http://quote.eastmoney.com/000708.html" TargetMode="External"/><Relationship Id="rId495" Type="http://schemas.openxmlformats.org/officeDocument/2006/relationships/hyperlink" Target="http://data.eastmoney.com/stockdata/688363.html" TargetMode="External"/><Relationship Id="rId148" Type="http://schemas.openxmlformats.org/officeDocument/2006/relationships/hyperlink" Target="http://quote.eastmoney.com/000961.html" TargetMode="External"/><Relationship Id="rId355" Type="http://schemas.openxmlformats.org/officeDocument/2006/relationships/hyperlink" Target="http://data.eastmoney.com/stockdata/600115.html" TargetMode="External"/><Relationship Id="rId562" Type="http://schemas.openxmlformats.org/officeDocument/2006/relationships/hyperlink" Target="http://quote.eastmoney.com/603333.html" TargetMode="External"/><Relationship Id="rId1192" Type="http://schemas.openxmlformats.org/officeDocument/2006/relationships/hyperlink" Target="http://quote.eastmoney.com/601233.html" TargetMode="External"/><Relationship Id="rId215" Type="http://schemas.openxmlformats.org/officeDocument/2006/relationships/hyperlink" Target="http://data.eastmoney.com/stockdata/000925.html" TargetMode="External"/><Relationship Id="rId422" Type="http://schemas.openxmlformats.org/officeDocument/2006/relationships/hyperlink" Target="http://quote.eastmoney.com/603338.html" TargetMode="External"/><Relationship Id="rId867" Type="http://schemas.openxmlformats.org/officeDocument/2006/relationships/hyperlink" Target="http://data.eastmoney.com/stockdata/300271.html" TargetMode="External"/><Relationship Id="rId1052" Type="http://schemas.openxmlformats.org/officeDocument/2006/relationships/hyperlink" Target="http://quote.eastmoney.com/002084.html" TargetMode="External"/><Relationship Id="rId1497" Type="http://schemas.openxmlformats.org/officeDocument/2006/relationships/hyperlink" Target="http://data.eastmoney.com/stockdata/002042.html" TargetMode="External"/><Relationship Id="rId727" Type="http://schemas.openxmlformats.org/officeDocument/2006/relationships/hyperlink" Target="http://data.eastmoney.com/stockdata/603601.html" TargetMode="External"/><Relationship Id="rId934" Type="http://schemas.openxmlformats.org/officeDocument/2006/relationships/hyperlink" Target="http://quote.eastmoney.com/603233.html" TargetMode="External"/><Relationship Id="rId1357" Type="http://schemas.openxmlformats.org/officeDocument/2006/relationships/hyperlink" Target="http://data.eastmoney.com/stockdata/002191.html" TargetMode="External"/><Relationship Id="rId1564" Type="http://schemas.openxmlformats.org/officeDocument/2006/relationships/hyperlink" Target="http://quote.eastmoney.com/600273.html" TargetMode="External"/><Relationship Id="rId1771" Type="http://schemas.openxmlformats.org/officeDocument/2006/relationships/hyperlink" Target="http://data.eastmoney.com/stockdata/601577.html" TargetMode="External"/><Relationship Id="rId63" Type="http://schemas.openxmlformats.org/officeDocument/2006/relationships/hyperlink" Target="http://data.eastmoney.com/stockdata/002456.html" TargetMode="External"/><Relationship Id="rId1217" Type="http://schemas.openxmlformats.org/officeDocument/2006/relationships/hyperlink" Target="http://data.eastmoney.com/stockdata/000710.html" TargetMode="External"/><Relationship Id="rId1424" Type="http://schemas.openxmlformats.org/officeDocument/2006/relationships/hyperlink" Target="http://quote.eastmoney.com/002391.html" TargetMode="External"/><Relationship Id="rId1631" Type="http://schemas.openxmlformats.org/officeDocument/2006/relationships/hyperlink" Target="http://data.eastmoney.com/stockdata/000951.html" TargetMode="External"/><Relationship Id="rId1869" Type="http://schemas.openxmlformats.org/officeDocument/2006/relationships/hyperlink" Target="http://data.eastmoney.com/stockdata/600690.html" TargetMode="External"/><Relationship Id="rId1729" Type="http://schemas.openxmlformats.org/officeDocument/2006/relationships/hyperlink" Target="http://data.eastmoney.com/stockdata/000921.html" TargetMode="External"/><Relationship Id="rId1936" Type="http://schemas.openxmlformats.org/officeDocument/2006/relationships/hyperlink" Target="http://quote.eastmoney.com/601939.html" TargetMode="External"/><Relationship Id="rId377" Type="http://schemas.openxmlformats.org/officeDocument/2006/relationships/hyperlink" Target="http://data.eastmoney.com/stockdata/002384.html" TargetMode="External"/><Relationship Id="rId584" Type="http://schemas.openxmlformats.org/officeDocument/2006/relationships/hyperlink" Target="http://quote.eastmoney.com/603666.html" TargetMode="External"/><Relationship Id="rId5" Type="http://schemas.openxmlformats.org/officeDocument/2006/relationships/hyperlink" Target="javascript:;" TargetMode="External"/><Relationship Id="rId237" Type="http://schemas.openxmlformats.org/officeDocument/2006/relationships/hyperlink" Target="http://data.eastmoney.com/stockdata/603520.html" TargetMode="External"/><Relationship Id="rId791" Type="http://schemas.openxmlformats.org/officeDocument/2006/relationships/hyperlink" Target="http://data.eastmoney.com/stockdata/002115.html" TargetMode="External"/><Relationship Id="rId889" Type="http://schemas.openxmlformats.org/officeDocument/2006/relationships/hyperlink" Target="http://data.eastmoney.com/stockdata/300388.html" TargetMode="External"/><Relationship Id="rId1074" Type="http://schemas.openxmlformats.org/officeDocument/2006/relationships/hyperlink" Target="http://quote.eastmoney.com/002088.html" TargetMode="External"/><Relationship Id="rId444" Type="http://schemas.openxmlformats.org/officeDocument/2006/relationships/hyperlink" Target="http://quote.eastmoney.com/002368.html" TargetMode="External"/><Relationship Id="rId651" Type="http://schemas.openxmlformats.org/officeDocument/2006/relationships/hyperlink" Target="http://data.eastmoney.com/stockdata/000997.html" TargetMode="External"/><Relationship Id="rId749" Type="http://schemas.openxmlformats.org/officeDocument/2006/relationships/hyperlink" Target="http://data.eastmoney.com/stockdata/300481.html" TargetMode="External"/><Relationship Id="rId1281" Type="http://schemas.openxmlformats.org/officeDocument/2006/relationships/hyperlink" Target="http://data.eastmoney.com/stockdata/601996.html" TargetMode="External"/><Relationship Id="rId1379" Type="http://schemas.openxmlformats.org/officeDocument/2006/relationships/hyperlink" Target="http://data.eastmoney.com/stockdata/600362.html" TargetMode="External"/><Relationship Id="rId1586" Type="http://schemas.openxmlformats.org/officeDocument/2006/relationships/hyperlink" Target="http://quote.eastmoney.com/600837.html" TargetMode="External"/><Relationship Id="rId304" Type="http://schemas.openxmlformats.org/officeDocument/2006/relationships/hyperlink" Target="http://quote.eastmoney.com/688018.html" TargetMode="External"/><Relationship Id="rId511" Type="http://schemas.openxmlformats.org/officeDocument/2006/relationships/hyperlink" Target="http://data.eastmoney.com/stockdata/300015.html" TargetMode="External"/><Relationship Id="rId609" Type="http://schemas.openxmlformats.org/officeDocument/2006/relationships/hyperlink" Target="http://data.eastmoney.com/stockdata/600588.html" TargetMode="External"/><Relationship Id="rId956" Type="http://schemas.openxmlformats.org/officeDocument/2006/relationships/hyperlink" Target="http://quote.eastmoney.com/000050.html" TargetMode="External"/><Relationship Id="rId1141" Type="http://schemas.openxmlformats.org/officeDocument/2006/relationships/hyperlink" Target="http://data.eastmoney.com/stockdata/000858.html" TargetMode="External"/><Relationship Id="rId1239" Type="http://schemas.openxmlformats.org/officeDocument/2006/relationships/hyperlink" Target="http://data.eastmoney.com/stockdata/603385.html" TargetMode="External"/><Relationship Id="rId1793" Type="http://schemas.openxmlformats.org/officeDocument/2006/relationships/hyperlink" Target="http://data.eastmoney.com/stockdata/601186.html" TargetMode="External"/><Relationship Id="rId85" Type="http://schemas.openxmlformats.org/officeDocument/2006/relationships/hyperlink" Target="http://data.eastmoney.com/stockdata/002385.html" TargetMode="External"/><Relationship Id="rId816" Type="http://schemas.openxmlformats.org/officeDocument/2006/relationships/hyperlink" Target="http://quote.eastmoney.com/300470.html" TargetMode="External"/><Relationship Id="rId1001" Type="http://schemas.openxmlformats.org/officeDocument/2006/relationships/hyperlink" Target="http://data.eastmoney.com/stockdata/300259.html" TargetMode="External"/><Relationship Id="rId1446" Type="http://schemas.openxmlformats.org/officeDocument/2006/relationships/hyperlink" Target="http://quote.eastmoney.com/600299.html" TargetMode="External"/><Relationship Id="rId1653" Type="http://schemas.openxmlformats.org/officeDocument/2006/relationships/hyperlink" Target="http://data.eastmoney.com/stockdata/002713.html" TargetMode="External"/><Relationship Id="rId1860" Type="http://schemas.openxmlformats.org/officeDocument/2006/relationships/hyperlink" Target="http://quote.eastmoney.com/000629.html" TargetMode="External"/><Relationship Id="rId1306" Type="http://schemas.openxmlformats.org/officeDocument/2006/relationships/hyperlink" Target="http://quote.eastmoney.com/603806.html" TargetMode="External"/><Relationship Id="rId1513" Type="http://schemas.openxmlformats.org/officeDocument/2006/relationships/hyperlink" Target="http://data.eastmoney.com/stockdata/000301.html" TargetMode="External"/><Relationship Id="rId1720" Type="http://schemas.openxmlformats.org/officeDocument/2006/relationships/hyperlink" Target="http://quote.eastmoney.com/601377.html" TargetMode="External"/><Relationship Id="rId1958" Type="http://schemas.openxmlformats.org/officeDocument/2006/relationships/hyperlink" Target="http://quote.eastmoney.com/600025.html" TargetMode="External"/><Relationship Id="rId12" Type="http://schemas.openxmlformats.org/officeDocument/2006/relationships/hyperlink" Target="http://quote.eastmoney.com/603290.html" TargetMode="External"/><Relationship Id="rId1818" Type="http://schemas.openxmlformats.org/officeDocument/2006/relationships/hyperlink" Target="http://quote.eastmoney.com/601800.html" TargetMode="External"/><Relationship Id="rId161" Type="http://schemas.openxmlformats.org/officeDocument/2006/relationships/hyperlink" Target="http://data.eastmoney.com/stockdata/300348.html" TargetMode="External"/><Relationship Id="rId399" Type="http://schemas.openxmlformats.org/officeDocument/2006/relationships/hyperlink" Target="http://data.eastmoney.com/stockdata/300115.html" TargetMode="External"/><Relationship Id="rId259" Type="http://schemas.openxmlformats.org/officeDocument/2006/relationships/hyperlink" Target="http://data.eastmoney.com/stockdata/300308.html" TargetMode="External"/><Relationship Id="rId466" Type="http://schemas.openxmlformats.org/officeDocument/2006/relationships/hyperlink" Target="http://quote.eastmoney.com/600004.html" TargetMode="External"/><Relationship Id="rId673" Type="http://schemas.openxmlformats.org/officeDocument/2006/relationships/hyperlink" Target="http://data.eastmoney.com/stockdata/603359.html" TargetMode="External"/><Relationship Id="rId880" Type="http://schemas.openxmlformats.org/officeDocument/2006/relationships/hyperlink" Target="http://quote.eastmoney.com/600529.html" TargetMode="External"/><Relationship Id="rId1096" Type="http://schemas.openxmlformats.org/officeDocument/2006/relationships/hyperlink" Target="http://quote.eastmoney.com/002203.html" TargetMode="External"/><Relationship Id="rId119" Type="http://schemas.openxmlformats.org/officeDocument/2006/relationships/hyperlink" Target="http://data.eastmoney.com/stockdata/300664.html" TargetMode="External"/><Relationship Id="rId326" Type="http://schemas.openxmlformats.org/officeDocument/2006/relationships/hyperlink" Target="http://quote.eastmoney.com/603960.html" TargetMode="External"/><Relationship Id="rId533" Type="http://schemas.openxmlformats.org/officeDocument/2006/relationships/hyperlink" Target="http://data.eastmoney.com/stockdata/300036.html" TargetMode="External"/><Relationship Id="rId978" Type="http://schemas.openxmlformats.org/officeDocument/2006/relationships/hyperlink" Target="http://quote.eastmoney.com/000596.html" TargetMode="External"/><Relationship Id="rId1163" Type="http://schemas.openxmlformats.org/officeDocument/2006/relationships/hyperlink" Target="http://data.eastmoney.com/stockdata/300192.html" TargetMode="External"/><Relationship Id="rId1370" Type="http://schemas.openxmlformats.org/officeDocument/2006/relationships/hyperlink" Target="http://quote.eastmoney.com/002955.html" TargetMode="External"/><Relationship Id="rId2007" Type="http://schemas.openxmlformats.org/officeDocument/2006/relationships/hyperlink" Target="http://data.eastmoney.com/stockdata/002068.html" TargetMode="External"/><Relationship Id="rId740" Type="http://schemas.openxmlformats.org/officeDocument/2006/relationships/hyperlink" Target="http://quote.eastmoney.com/300755.html" TargetMode="External"/><Relationship Id="rId838" Type="http://schemas.openxmlformats.org/officeDocument/2006/relationships/hyperlink" Target="http://quote.eastmoney.com/300327.html" TargetMode="External"/><Relationship Id="rId1023" Type="http://schemas.openxmlformats.org/officeDocument/2006/relationships/hyperlink" Target="http://data.eastmoney.com/stockdata/002111.html" TargetMode="External"/><Relationship Id="rId1468" Type="http://schemas.openxmlformats.org/officeDocument/2006/relationships/hyperlink" Target="http://quote.eastmoney.com/600483.html" TargetMode="External"/><Relationship Id="rId1675" Type="http://schemas.openxmlformats.org/officeDocument/2006/relationships/hyperlink" Target="http://data.eastmoney.com/stockdata/002688.html" TargetMode="External"/><Relationship Id="rId1882" Type="http://schemas.openxmlformats.org/officeDocument/2006/relationships/hyperlink" Target="http://quote.eastmoney.com/600054.html" TargetMode="External"/><Relationship Id="rId600" Type="http://schemas.openxmlformats.org/officeDocument/2006/relationships/hyperlink" Target="http://quote.eastmoney.com/002044.html" TargetMode="External"/><Relationship Id="rId1230" Type="http://schemas.openxmlformats.org/officeDocument/2006/relationships/hyperlink" Target="http://quote.eastmoney.com/002126.html" TargetMode="External"/><Relationship Id="rId1328" Type="http://schemas.openxmlformats.org/officeDocument/2006/relationships/hyperlink" Target="http://quote.eastmoney.com/603288.html" TargetMode="External"/><Relationship Id="rId1535" Type="http://schemas.openxmlformats.org/officeDocument/2006/relationships/hyperlink" Target="http://data.eastmoney.com/stockdata/601965.html" TargetMode="External"/><Relationship Id="rId905" Type="http://schemas.openxmlformats.org/officeDocument/2006/relationships/hyperlink" Target="http://data.eastmoney.com/stockdata/000543.html" TargetMode="External"/><Relationship Id="rId1742" Type="http://schemas.openxmlformats.org/officeDocument/2006/relationships/hyperlink" Target="http://quote.eastmoney.com/300193.html" TargetMode="External"/><Relationship Id="rId34" Type="http://schemas.openxmlformats.org/officeDocument/2006/relationships/hyperlink" Target="http://quote.eastmoney.com/300618.html" TargetMode="External"/><Relationship Id="rId1602" Type="http://schemas.openxmlformats.org/officeDocument/2006/relationships/hyperlink" Target="http://quote.eastmoney.com/601318.html" TargetMode="External"/><Relationship Id="rId183" Type="http://schemas.openxmlformats.org/officeDocument/2006/relationships/hyperlink" Target="http://data.eastmoney.com/stockdata/300352.html" TargetMode="External"/><Relationship Id="rId390" Type="http://schemas.openxmlformats.org/officeDocument/2006/relationships/hyperlink" Target="http://quote.eastmoney.com/300737.html" TargetMode="External"/><Relationship Id="rId1907" Type="http://schemas.openxmlformats.org/officeDocument/2006/relationships/hyperlink" Target="http://data.eastmoney.com/stockdata/600377.html" TargetMode="External"/><Relationship Id="rId250" Type="http://schemas.openxmlformats.org/officeDocument/2006/relationships/hyperlink" Target="http://quote.eastmoney.com/300747.html" TargetMode="External"/><Relationship Id="rId488" Type="http://schemas.openxmlformats.org/officeDocument/2006/relationships/hyperlink" Target="http://quote.eastmoney.com/002436.html" TargetMode="External"/><Relationship Id="rId695" Type="http://schemas.openxmlformats.org/officeDocument/2006/relationships/hyperlink" Target="http://data.eastmoney.com/stockdata/000547.html" TargetMode="External"/><Relationship Id="rId110" Type="http://schemas.openxmlformats.org/officeDocument/2006/relationships/hyperlink" Target="http://quote.eastmoney.com/300214.html" TargetMode="External"/><Relationship Id="rId348" Type="http://schemas.openxmlformats.org/officeDocument/2006/relationships/hyperlink" Target="http://quote.eastmoney.com/300759.html" TargetMode="External"/><Relationship Id="rId555" Type="http://schemas.openxmlformats.org/officeDocument/2006/relationships/hyperlink" Target="http://data.eastmoney.com/stockdata/300482.html" TargetMode="External"/><Relationship Id="rId762" Type="http://schemas.openxmlformats.org/officeDocument/2006/relationships/hyperlink" Target="http://quote.eastmoney.com/603259.html" TargetMode="External"/><Relationship Id="rId1185" Type="http://schemas.openxmlformats.org/officeDocument/2006/relationships/hyperlink" Target="http://data.eastmoney.com/stockdata/002831.html" TargetMode="External"/><Relationship Id="rId1392" Type="http://schemas.openxmlformats.org/officeDocument/2006/relationships/hyperlink" Target="http://quote.eastmoney.com/300070.html" TargetMode="External"/><Relationship Id="rId208" Type="http://schemas.openxmlformats.org/officeDocument/2006/relationships/hyperlink" Target="http://quote.eastmoney.com/000977.html" TargetMode="External"/><Relationship Id="rId415" Type="http://schemas.openxmlformats.org/officeDocument/2006/relationships/hyperlink" Target="http://data.eastmoney.com/stockdata/601808.html" TargetMode="External"/><Relationship Id="rId622" Type="http://schemas.openxmlformats.org/officeDocument/2006/relationships/hyperlink" Target="http://quote.eastmoney.com/603030.html" TargetMode="External"/><Relationship Id="rId1045" Type="http://schemas.openxmlformats.org/officeDocument/2006/relationships/hyperlink" Target="http://data.eastmoney.com/stockdata/603416.html" TargetMode="External"/><Relationship Id="rId1252" Type="http://schemas.openxmlformats.org/officeDocument/2006/relationships/hyperlink" Target="http://quote.eastmoney.com/600765.html" TargetMode="External"/><Relationship Id="rId1697" Type="http://schemas.openxmlformats.org/officeDocument/2006/relationships/hyperlink" Target="http://data.eastmoney.com/stockdata/600546.html" TargetMode="External"/><Relationship Id="rId927" Type="http://schemas.openxmlformats.org/officeDocument/2006/relationships/hyperlink" Target="http://data.eastmoney.com/stockdata/002439.html" TargetMode="External"/><Relationship Id="rId1112" Type="http://schemas.openxmlformats.org/officeDocument/2006/relationships/hyperlink" Target="http://quote.eastmoney.com/600567.html" TargetMode="External"/><Relationship Id="rId1557" Type="http://schemas.openxmlformats.org/officeDocument/2006/relationships/hyperlink" Target="http://data.eastmoney.com/stockdata/601066.html" TargetMode="External"/><Relationship Id="rId1764" Type="http://schemas.openxmlformats.org/officeDocument/2006/relationships/hyperlink" Target="http://quote.eastmoney.com/002293.html" TargetMode="External"/><Relationship Id="rId1971" Type="http://schemas.openxmlformats.org/officeDocument/2006/relationships/hyperlink" Target="http://data.eastmoney.com/stockdata/000709.html" TargetMode="External"/><Relationship Id="rId56" Type="http://schemas.openxmlformats.org/officeDocument/2006/relationships/hyperlink" Target="http://quote.eastmoney.com/002466.html" TargetMode="External"/><Relationship Id="rId1417" Type="http://schemas.openxmlformats.org/officeDocument/2006/relationships/hyperlink" Target="http://data.eastmoney.com/stockdata/002007.html" TargetMode="External"/><Relationship Id="rId1624" Type="http://schemas.openxmlformats.org/officeDocument/2006/relationships/hyperlink" Target="http://quote.eastmoney.com/002839.html" TargetMode="External"/><Relationship Id="rId1831" Type="http://schemas.openxmlformats.org/officeDocument/2006/relationships/hyperlink" Target="http://data.eastmoney.com/stockdata/002287.html" TargetMode="External"/><Relationship Id="rId1929" Type="http://schemas.openxmlformats.org/officeDocument/2006/relationships/hyperlink" Target="http://data.eastmoney.com/stockdata/600782.html" TargetMode="External"/><Relationship Id="rId272" Type="http://schemas.openxmlformats.org/officeDocument/2006/relationships/hyperlink" Target="http://quote.eastmoney.com/600703.html" TargetMode="External"/><Relationship Id="rId577" Type="http://schemas.openxmlformats.org/officeDocument/2006/relationships/hyperlink" Target="http://data.eastmoney.com/stockdata/600141.html" TargetMode="External"/><Relationship Id="rId132" Type="http://schemas.openxmlformats.org/officeDocument/2006/relationships/hyperlink" Target="http://quote.eastmoney.com/603236.html" TargetMode="External"/><Relationship Id="rId784" Type="http://schemas.openxmlformats.org/officeDocument/2006/relationships/hyperlink" Target="http://quote.eastmoney.com/600060.html" TargetMode="External"/><Relationship Id="rId991" Type="http://schemas.openxmlformats.org/officeDocument/2006/relationships/hyperlink" Target="http://data.eastmoney.com/stockdata/600872.html" TargetMode="External"/><Relationship Id="rId1067" Type="http://schemas.openxmlformats.org/officeDocument/2006/relationships/hyperlink" Target="http://data.eastmoney.com/stockdata/002739.html" TargetMode="External"/><Relationship Id="rId437" Type="http://schemas.openxmlformats.org/officeDocument/2006/relationships/hyperlink" Target="http://data.eastmoney.com/stockdata/300735.html" TargetMode="External"/><Relationship Id="rId644" Type="http://schemas.openxmlformats.org/officeDocument/2006/relationships/hyperlink" Target="http://quote.eastmoney.com/601933.html" TargetMode="External"/><Relationship Id="rId851" Type="http://schemas.openxmlformats.org/officeDocument/2006/relationships/hyperlink" Target="http://data.eastmoney.com/stockdata/600771.html" TargetMode="External"/><Relationship Id="rId1274" Type="http://schemas.openxmlformats.org/officeDocument/2006/relationships/hyperlink" Target="http://quote.eastmoney.com/002171.html" TargetMode="External"/><Relationship Id="rId1481" Type="http://schemas.openxmlformats.org/officeDocument/2006/relationships/hyperlink" Target="http://data.eastmoney.com/stockdata/601717.html" TargetMode="External"/><Relationship Id="rId1579" Type="http://schemas.openxmlformats.org/officeDocument/2006/relationships/hyperlink" Target="http://data.eastmoney.com/stockdata/600970.html" TargetMode="External"/><Relationship Id="rId504" Type="http://schemas.openxmlformats.org/officeDocument/2006/relationships/hyperlink" Target="http://quote.eastmoney.com/603638.html" TargetMode="External"/><Relationship Id="rId711" Type="http://schemas.openxmlformats.org/officeDocument/2006/relationships/hyperlink" Target="http://data.eastmoney.com/stockdata/603181.html" TargetMode="External"/><Relationship Id="rId949" Type="http://schemas.openxmlformats.org/officeDocument/2006/relationships/hyperlink" Target="http://data.eastmoney.com/stockdata/603505.html" TargetMode="External"/><Relationship Id="rId1134" Type="http://schemas.openxmlformats.org/officeDocument/2006/relationships/hyperlink" Target="http://quote.eastmoney.com/603993.html" TargetMode="External"/><Relationship Id="rId1341" Type="http://schemas.openxmlformats.org/officeDocument/2006/relationships/hyperlink" Target="http://data.eastmoney.com/stockdata/603686.html" TargetMode="External"/><Relationship Id="rId1786" Type="http://schemas.openxmlformats.org/officeDocument/2006/relationships/hyperlink" Target="http://quote.eastmoney.com/603323.html" TargetMode="External"/><Relationship Id="rId1993" Type="http://schemas.openxmlformats.org/officeDocument/2006/relationships/hyperlink" Target="http://data.eastmoney.com/stockdata/002299.html" TargetMode="External"/><Relationship Id="rId78" Type="http://schemas.openxmlformats.org/officeDocument/2006/relationships/hyperlink" Target="http://quote.eastmoney.com/300379.html" TargetMode="External"/><Relationship Id="rId809" Type="http://schemas.openxmlformats.org/officeDocument/2006/relationships/hyperlink" Target="http://data.eastmoney.com/stockdata/603700.html" TargetMode="External"/><Relationship Id="rId1201" Type="http://schemas.openxmlformats.org/officeDocument/2006/relationships/hyperlink" Target="http://data.eastmoney.com/stockdata/002727.html" TargetMode="External"/><Relationship Id="rId1439" Type="http://schemas.openxmlformats.org/officeDocument/2006/relationships/hyperlink" Target="http://data.eastmoney.com/stockdata/002430.html" TargetMode="External"/><Relationship Id="rId1646" Type="http://schemas.openxmlformats.org/officeDocument/2006/relationships/hyperlink" Target="http://quote.eastmoney.com/002429.html" TargetMode="External"/><Relationship Id="rId1853" Type="http://schemas.openxmlformats.org/officeDocument/2006/relationships/hyperlink" Target="http://data.eastmoney.com/stockdata/000895.html" TargetMode="External"/><Relationship Id="rId1506" Type="http://schemas.openxmlformats.org/officeDocument/2006/relationships/hyperlink" Target="http://quote.eastmoney.com/601138.html" TargetMode="External"/><Relationship Id="rId1713" Type="http://schemas.openxmlformats.org/officeDocument/2006/relationships/hyperlink" Target="http://data.eastmoney.com/stockdata/000528.html" TargetMode="External"/><Relationship Id="rId1920" Type="http://schemas.openxmlformats.org/officeDocument/2006/relationships/hyperlink" Target="http://quote.eastmoney.com/601288.html" TargetMode="External"/><Relationship Id="rId294" Type="http://schemas.openxmlformats.org/officeDocument/2006/relationships/hyperlink" Target="http://quote.eastmoney.com/300609.html" TargetMode="External"/><Relationship Id="rId154" Type="http://schemas.openxmlformats.org/officeDocument/2006/relationships/hyperlink" Target="http://quote.eastmoney.com/002254.html" TargetMode="External"/><Relationship Id="rId361" Type="http://schemas.openxmlformats.org/officeDocument/2006/relationships/hyperlink" Target="http://data.eastmoney.com/stockdata/600029.html" TargetMode="External"/><Relationship Id="rId599" Type="http://schemas.openxmlformats.org/officeDocument/2006/relationships/hyperlink" Target="http://data.eastmoney.com/stockdata/002918.html" TargetMode="External"/><Relationship Id="rId459" Type="http://schemas.openxmlformats.org/officeDocument/2006/relationships/hyperlink" Target="http://data.eastmoney.com/stockdata/300188.html" TargetMode="External"/><Relationship Id="rId666" Type="http://schemas.openxmlformats.org/officeDocument/2006/relationships/hyperlink" Target="http://quote.eastmoney.com/603659.html" TargetMode="External"/><Relationship Id="rId873" Type="http://schemas.openxmlformats.org/officeDocument/2006/relationships/hyperlink" Target="http://data.eastmoney.com/stockdata/603345.html" TargetMode="External"/><Relationship Id="rId1089" Type="http://schemas.openxmlformats.org/officeDocument/2006/relationships/hyperlink" Target="http://data.eastmoney.com/stockdata/002228.html" TargetMode="External"/><Relationship Id="rId1296" Type="http://schemas.openxmlformats.org/officeDocument/2006/relationships/hyperlink" Target="http://quote.eastmoney.com/300258.html" TargetMode="External"/><Relationship Id="rId221" Type="http://schemas.openxmlformats.org/officeDocument/2006/relationships/hyperlink" Target="http://data.eastmoney.com/stockdata/300657.html" TargetMode="External"/><Relationship Id="rId319" Type="http://schemas.openxmlformats.org/officeDocument/2006/relationships/hyperlink" Target="http://data.eastmoney.com/stockdata/603713.html" TargetMode="External"/><Relationship Id="rId526" Type="http://schemas.openxmlformats.org/officeDocument/2006/relationships/hyperlink" Target="http://quote.eastmoney.com/300357.html" TargetMode="External"/><Relationship Id="rId1156" Type="http://schemas.openxmlformats.org/officeDocument/2006/relationships/hyperlink" Target="http://quote.eastmoney.com/002153.html" TargetMode="External"/><Relationship Id="rId1363" Type="http://schemas.openxmlformats.org/officeDocument/2006/relationships/hyperlink" Target="http://data.eastmoney.com/stockdata/600195.html" TargetMode="External"/><Relationship Id="rId733" Type="http://schemas.openxmlformats.org/officeDocument/2006/relationships/hyperlink" Target="http://data.eastmoney.com/stockdata/002675.html" TargetMode="External"/><Relationship Id="rId940" Type="http://schemas.openxmlformats.org/officeDocument/2006/relationships/hyperlink" Target="http://quote.eastmoney.com/601633.html" TargetMode="External"/><Relationship Id="rId1016" Type="http://schemas.openxmlformats.org/officeDocument/2006/relationships/hyperlink" Target="http://quote.eastmoney.com/600989.html" TargetMode="External"/><Relationship Id="rId1570" Type="http://schemas.openxmlformats.org/officeDocument/2006/relationships/hyperlink" Target="http://quote.eastmoney.com/002624.html" TargetMode="External"/><Relationship Id="rId1668" Type="http://schemas.openxmlformats.org/officeDocument/2006/relationships/hyperlink" Target="http://quote.eastmoney.com/600315.html" TargetMode="External"/><Relationship Id="rId1875" Type="http://schemas.openxmlformats.org/officeDocument/2006/relationships/hyperlink" Target="http://data.eastmoney.com/stockdata/000655.html" TargetMode="External"/><Relationship Id="rId800" Type="http://schemas.openxmlformats.org/officeDocument/2006/relationships/hyperlink" Target="http://quote.eastmoney.com/603990.html" TargetMode="External"/><Relationship Id="rId1223" Type="http://schemas.openxmlformats.org/officeDocument/2006/relationships/hyperlink" Target="http://data.eastmoney.com/stockdata/000902.html" TargetMode="External"/><Relationship Id="rId1430" Type="http://schemas.openxmlformats.org/officeDocument/2006/relationships/hyperlink" Target="http://quote.eastmoney.com/603788.html" TargetMode="External"/><Relationship Id="rId1528" Type="http://schemas.openxmlformats.org/officeDocument/2006/relationships/hyperlink" Target="http://quote.eastmoney.com/000975.html" TargetMode="External"/><Relationship Id="rId1735" Type="http://schemas.openxmlformats.org/officeDocument/2006/relationships/hyperlink" Target="http://data.eastmoney.com/stockdata/002015.html" TargetMode="External"/><Relationship Id="rId1942" Type="http://schemas.openxmlformats.org/officeDocument/2006/relationships/hyperlink" Target="http://quote.eastmoney.com/600395.html" TargetMode="External"/><Relationship Id="rId27" Type="http://schemas.openxmlformats.org/officeDocument/2006/relationships/hyperlink" Target="http://data.eastmoney.com/stockdata/002659.html" TargetMode="External"/><Relationship Id="rId1802" Type="http://schemas.openxmlformats.org/officeDocument/2006/relationships/hyperlink" Target="http://quote.eastmoney.com/600820.html" TargetMode="External"/><Relationship Id="rId176" Type="http://schemas.openxmlformats.org/officeDocument/2006/relationships/hyperlink" Target="http://quote.eastmoney.com/300456.html" TargetMode="External"/><Relationship Id="rId383" Type="http://schemas.openxmlformats.org/officeDocument/2006/relationships/hyperlink" Target="http://data.eastmoney.com/stockdata/300602.html" TargetMode="External"/><Relationship Id="rId590" Type="http://schemas.openxmlformats.org/officeDocument/2006/relationships/hyperlink" Target="http://quote.eastmoney.com/603486.html" TargetMode="External"/><Relationship Id="rId243" Type="http://schemas.openxmlformats.org/officeDocument/2006/relationships/hyperlink" Target="http://data.eastmoney.com/stockdata/603920.html" TargetMode="External"/><Relationship Id="rId450" Type="http://schemas.openxmlformats.org/officeDocument/2006/relationships/hyperlink" Target="http://quote.eastmoney.com/300567.html" TargetMode="External"/><Relationship Id="rId688" Type="http://schemas.openxmlformats.org/officeDocument/2006/relationships/hyperlink" Target="http://quote.eastmoney.com/600884.html" TargetMode="External"/><Relationship Id="rId895" Type="http://schemas.openxmlformats.org/officeDocument/2006/relationships/hyperlink" Target="http://data.eastmoney.com/stockdata/002065.html" TargetMode="External"/><Relationship Id="rId1080" Type="http://schemas.openxmlformats.org/officeDocument/2006/relationships/hyperlink" Target="http://quote.eastmoney.com/600163.html" TargetMode="External"/><Relationship Id="rId103" Type="http://schemas.openxmlformats.org/officeDocument/2006/relationships/hyperlink" Target="http://data.eastmoney.com/stockdata/002493.html" TargetMode="External"/><Relationship Id="rId310" Type="http://schemas.openxmlformats.org/officeDocument/2006/relationships/hyperlink" Target="http://quote.eastmoney.com/002838.html" TargetMode="External"/><Relationship Id="rId548" Type="http://schemas.openxmlformats.org/officeDocument/2006/relationships/hyperlink" Target="http://quote.eastmoney.com/002465.html" TargetMode="External"/><Relationship Id="rId755" Type="http://schemas.openxmlformats.org/officeDocument/2006/relationships/hyperlink" Target="http://data.eastmoney.com/stockdata/002968.html" TargetMode="External"/><Relationship Id="rId962" Type="http://schemas.openxmlformats.org/officeDocument/2006/relationships/hyperlink" Target="http://quote.eastmoney.com/600161.html" TargetMode="External"/><Relationship Id="rId1178" Type="http://schemas.openxmlformats.org/officeDocument/2006/relationships/hyperlink" Target="http://quote.eastmoney.com/603160.html" TargetMode="External"/><Relationship Id="rId1385" Type="http://schemas.openxmlformats.org/officeDocument/2006/relationships/hyperlink" Target="http://data.eastmoney.com/stockdata/601966.html" TargetMode="External"/><Relationship Id="rId1592" Type="http://schemas.openxmlformats.org/officeDocument/2006/relationships/hyperlink" Target="http://quote.eastmoney.com/002242.html" TargetMode="External"/><Relationship Id="rId91" Type="http://schemas.openxmlformats.org/officeDocument/2006/relationships/hyperlink" Target="http://data.eastmoney.com/stockdata/600026.html" TargetMode="External"/><Relationship Id="rId408" Type="http://schemas.openxmlformats.org/officeDocument/2006/relationships/hyperlink" Target="http://quote.eastmoney.com/300129.html" TargetMode="External"/><Relationship Id="rId615" Type="http://schemas.openxmlformats.org/officeDocument/2006/relationships/hyperlink" Target="http://data.eastmoney.com/stockdata/603588.html" TargetMode="External"/><Relationship Id="rId822" Type="http://schemas.openxmlformats.org/officeDocument/2006/relationships/hyperlink" Target="http://quote.eastmoney.com/603885.html" TargetMode="External"/><Relationship Id="rId1038" Type="http://schemas.openxmlformats.org/officeDocument/2006/relationships/hyperlink" Target="http://quote.eastmoney.com/600285.html" TargetMode="External"/><Relationship Id="rId1245" Type="http://schemas.openxmlformats.org/officeDocument/2006/relationships/hyperlink" Target="http://data.eastmoney.com/stockdata/300398.html" TargetMode="External"/><Relationship Id="rId1452" Type="http://schemas.openxmlformats.org/officeDocument/2006/relationships/hyperlink" Target="http://quote.eastmoney.com/002557.html" TargetMode="External"/><Relationship Id="rId1897" Type="http://schemas.openxmlformats.org/officeDocument/2006/relationships/hyperlink" Target="http://data.eastmoney.com/stockdata/000156.html" TargetMode="External"/><Relationship Id="rId1105" Type="http://schemas.openxmlformats.org/officeDocument/2006/relationships/hyperlink" Target="http://data.eastmoney.com/stockdata/600346.html" TargetMode="External"/><Relationship Id="rId1312" Type="http://schemas.openxmlformats.org/officeDocument/2006/relationships/hyperlink" Target="http://quote.eastmoney.com/600057.html" TargetMode="External"/><Relationship Id="rId1757" Type="http://schemas.openxmlformats.org/officeDocument/2006/relationships/hyperlink" Target="http://data.eastmoney.com/stockdata/000651.html" TargetMode="External"/><Relationship Id="rId1964" Type="http://schemas.openxmlformats.org/officeDocument/2006/relationships/hyperlink" Target="http://quote.eastmoney.com/600801.html" TargetMode="External"/><Relationship Id="rId49" Type="http://schemas.openxmlformats.org/officeDocument/2006/relationships/hyperlink" Target="http://data.eastmoney.com/stockdata/300772.html" TargetMode="External"/><Relationship Id="rId1617" Type="http://schemas.openxmlformats.org/officeDocument/2006/relationships/hyperlink" Target="http://data.eastmoney.com/stockdata/600378.html" TargetMode="External"/><Relationship Id="rId1824" Type="http://schemas.openxmlformats.org/officeDocument/2006/relationships/hyperlink" Target="http://quote.eastmoney.com/603377.html" TargetMode="External"/><Relationship Id="rId198" Type="http://schemas.openxmlformats.org/officeDocument/2006/relationships/hyperlink" Target="http://quote.eastmoney.com/300212.html" TargetMode="External"/><Relationship Id="rId265" Type="http://schemas.openxmlformats.org/officeDocument/2006/relationships/hyperlink" Target="http://data.eastmoney.com/stockdata/300523.html" TargetMode="External"/><Relationship Id="rId472" Type="http://schemas.openxmlformats.org/officeDocument/2006/relationships/hyperlink" Target="http://quote.eastmoney.com/000671.html" TargetMode="External"/><Relationship Id="rId125" Type="http://schemas.openxmlformats.org/officeDocument/2006/relationships/hyperlink" Target="http://data.eastmoney.com/stockdata/603429.html" TargetMode="External"/><Relationship Id="rId332" Type="http://schemas.openxmlformats.org/officeDocument/2006/relationships/hyperlink" Target="http://quote.eastmoney.com/002036.html" TargetMode="External"/><Relationship Id="rId777" Type="http://schemas.openxmlformats.org/officeDocument/2006/relationships/hyperlink" Target="http://data.eastmoney.com/stockdata/002798.html" TargetMode="External"/><Relationship Id="rId984" Type="http://schemas.openxmlformats.org/officeDocument/2006/relationships/hyperlink" Target="http://quote.eastmoney.com/600027.html" TargetMode="External"/><Relationship Id="rId637" Type="http://schemas.openxmlformats.org/officeDocument/2006/relationships/hyperlink" Target="http://data.eastmoney.com/stockdata/000759.html" TargetMode="External"/><Relationship Id="rId844" Type="http://schemas.openxmlformats.org/officeDocument/2006/relationships/hyperlink" Target="http://quote.eastmoney.com/601231.html" TargetMode="External"/><Relationship Id="rId1267" Type="http://schemas.openxmlformats.org/officeDocument/2006/relationships/hyperlink" Target="http://data.eastmoney.com/stockdata/603517.html" TargetMode="External"/><Relationship Id="rId1474" Type="http://schemas.openxmlformats.org/officeDocument/2006/relationships/hyperlink" Target="http://quote.eastmoney.com/600681.html" TargetMode="External"/><Relationship Id="rId1681" Type="http://schemas.openxmlformats.org/officeDocument/2006/relationships/hyperlink" Target="http://data.eastmoney.com/stockdata/002419.html" TargetMode="External"/><Relationship Id="rId704" Type="http://schemas.openxmlformats.org/officeDocument/2006/relationships/hyperlink" Target="http://quote.eastmoney.com/603699.html" TargetMode="External"/><Relationship Id="rId911" Type="http://schemas.openxmlformats.org/officeDocument/2006/relationships/hyperlink" Target="http://data.eastmoney.com/stockdata/300699.html" TargetMode="External"/><Relationship Id="rId1127" Type="http://schemas.openxmlformats.org/officeDocument/2006/relationships/hyperlink" Target="http://data.eastmoney.com/stockdata/002643.html" TargetMode="External"/><Relationship Id="rId1334" Type="http://schemas.openxmlformats.org/officeDocument/2006/relationships/hyperlink" Target="http://quote.eastmoney.com/600219.html" TargetMode="External"/><Relationship Id="rId1541" Type="http://schemas.openxmlformats.org/officeDocument/2006/relationships/hyperlink" Target="http://data.eastmoney.com/stockdata/002035.html" TargetMode="External"/><Relationship Id="rId1779" Type="http://schemas.openxmlformats.org/officeDocument/2006/relationships/hyperlink" Target="http://data.eastmoney.com/stockdata/002508.html" TargetMode="External"/><Relationship Id="rId1986" Type="http://schemas.openxmlformats.org/officeDocument/2006/relationships/hyperlink" Target="http://quote.eastmoney.com/600548.html" TargetMode="External"/><Relationship Id="rId40" Type="http://schemas.openxmlformats.org/officeDocument/2006/relationships/hyperlink" Target="http://quote.eastmoney.com/002124.html" TargetMode="External"/><Relationship Id="rId1401" Type="http://schemas.openxmlformats.org/officeDocument/2006/relationships/hyperlink" Target="http://data.eastmoney.com/stockdata/002080.html" TargetMode="External"/><Relationship Id="rId1639" Type="http://schemas.openxmlformats.org/officeDocument/2006/relationships/hyperlink" Target="http://data.eastmoney.com/stockdata/601336.html" TargetMode="External"/><Relationship Id="rId1846" Type="http://schemas.openxmlformats.org/officeDocument/2006/relationships/hyperlink" Target="http://quote.eastmoney.com/600740.html" TargetMode="External"/><Relationship Id="rId1706" Type="http://schemas.openxmlformats.org/officeDocument/2006/relationships/hyperlink" Target="http://quote.eastmoney.com/601390.html" TargetMode="External"/><Relationship Id="rId1913" Type="http://schemas.openxmlformats.org/officeDocument/2006/relationships/hyperlink" Target="http://data.eastmoney.com/stockdata/600507.html" TargetMode="External"/><Relationship Id="rId287" Type="http://schemas.openxmlformats.org/officeDocument/2006/relationships/hyperlink" Target="http://data.eastmoney.com/stockdata/603127.html" TargetMode="External"/><Relationship Id="rId494" Type="http://schemas.openxmlformats.org/officeDocument/2006/relationships/hyperlink" Target="http://quote.eastmoney.com/688363.html" TargetMode="External"/><Relationship Id="rId147" Type="http://schemas.openxmlformats.org/officeDocument/2006/relationships/hyperlink" Target="http://data.eastmoney.com/stockdata/002268.html" TargetMode="External"/><Relationship Id="rId354" Type="http://schemas.openxmlformats.org/officeDocument/2006/relationships/hyperlink" Target="http://quote.eastmoney.com/600115.html" TargetMode="External"/><Relationship Id="rId799" Type="http://schemas.openxmlformats.org/officeDocument/2006/relationships/hyperlink" Target="http://data.eastmoney.com/stockdata/600636.html" TargetMode="External"/><Relationship Id="rId1191" Type="http://schemas.openxmlformats.org/officeDocument/2006/relationships/hyperlink" Target="http://data.eastmoney.com/stockdata/600048.html" TargetMode="External"/><Relationship Id="rId561" Type="http://schemas.openxmlformats.org/officeDocument/2006/relationships/hyperlink" Target="http://data.eastmoney.com/stockdata/300577.html" TargetMode="External"/><Relationship Id="rId659" Type="http://schemas.openxmlformats.org/officeDocument/2006/relationships/hyperlink" Target="http://data.eastmoney.com/stockdata/600339.html" TargetMode="External"/><Relationship Id="rId866" Type="http://schemas.openxmlformats.org/officeDocument/2006/relationships/hyperlink" Target="http://quote.eastmoney.com/300271.html" TargetMode="External"/><Relationship Id="rId1289" Type="http://schemas.openxmlformats.org/officeDocument/2006/relationships/hyperlink" Target="http://data.eastmoney.com/stockdata/002621.html" TargetMode="External"/><Relationship Id="rId1496" Type="http://schemas.openxmlformats.org/officeDocument/2006/relationships/hyperlink" Target="http://quote.eastmoney.com/002042.html" TargetMode="External"/><Relationship Id="rId214" Type="http://schemas.openxmlformats.org/officeDocument/2006/relationships/hyperlink" Target="http://quote.eastmoney.com/000925.html" TargetMode="External"/><Relationship Id="rId421" Type="http://schemas.openxmlformats.org/officeDocument/2006/relationships/hyperlink" Target="http://data.eastmoney.com/stockdata/300529.html" TargetMode="External"/><Relationship Id="rId519" Type="http://schemas.openxmlformats.org/officeDocument/2006/relationships/hyperlink" Target="http://data.eastmoney.com/stockdata/300454.html" TargetMode="External"/><Relationship Id="rId1051" Type="http://schemas.openxmlformats.org/officeDocument/2006/relationships/hyperlink" Target="http://data.eastmoney.com/stockdata/600667.html" TargetMode="External"/><Relationship Id="rId1149" Type="http://schemas.openxmlformats.org/officeDocument/2006/relationships/hyperlink" Target="http://data.eastmoney.com/stockdata/603568.html" TargetMode="External"/><Relationship Id="rId1356" Type="http://schemas.openxmlformats.org/officeDocument/2006/relationships/hyperlink" Target="http://quote.eastmoney.com/002191.html" TargetMode="External"/><Relationship Id="rId726" Type="http://schemas.openxmlformats.org/officeDocument/2006/relationships/hyperlink" Target="http://quote.eastmoney.com/603601.html" TargetMode="External"/><Relationship Id="rId933" Type="http://schemas.openxmlformats.org/officeDocument/2006/relationships/hyperlink" Target="http://data.eastmoney.com/stockdata/002422.html" TargetMode="External"/><Relationship Id="rId1009" Type="http://schemas.openxmlformats.org/officeDocument/2006/relationships/hyperlink" Target="http://data.eastmoney.com/stockdata/300244.html" TargetMode="External"/><Relationship Id="rId1563" Type="http://schemas.openxmlformats.org/officeDocument/2006/relationships/hyperlink" Target="http://data.eastmoney.com/stockdata/600273.html" TargetMode="External"/><Relationship Id="rId1770" Type="http://schemas.openxmlformats.org/officeDocument/2006/relationships/hyperlink" Target="http://quote.eastmoney.com/601577.html" TargetMode="External"/><Relationship Id="rId1868" Type="http://schemas.openxmlformats.org/officeDocument/2006/relationships/hyperlink" Target="http://quote.eastmoney.com/600690.html" TargetMode="External"/><Relationship Id="rId62" Type="http://schemas.openxmlformats.org/officeDocument/2006/relationships/hyperlink" Target="http://quote.eastmoney.com/002456.html" TargetMode="External"/><Relationship Id="rId1216" Type="http://schemas.openxmlformats.org/officeDocument/2006/relationships/hyperlink" Target="http://quote.eastmoney.com/000710.html" TargetMode="External"/><Relationship Id="rId1423" Type="http://schemas.openxmlformats.org/officeDocument/2006/relationships/hyperlink" Target="http://data.eastmoney.com/stockdata/603801.html" TargetMode="External"/><Relationship Id="rId1630" Type="http://schemas.openxmlformats.org/officeDocument/2006/relationships/hyperlink" Target="http://quote.eastmoney.com/000951.html" TargetMode="External"/><Relationship Id="rId1728" Type="http://schemas.openxmlformats.org/officeDocument/2006/relationships/hyperlink" Target="http://quote.eastmoney.com/000921.html" TargetMode="External"/><Relationship Id="rId1935" Type="http://schemas.openxmlformats.org/officeDocument/2006/relationships/hyperlink" Target="http://data.eastmoney.com/stockdata/601566.html" TargetMode="External"/><Relationship Id="rId169" Type="http://schemas.openxmlformats.org/officeDocument/2006/relationships/hyperlink" Target="http://data.eastmoney.com/stockdata/603129.html" TargetMode="External"/><Relationship Id="rId376" Type="http://schemas.openxmlformats.org/officeDocument/2006/relationships/hyperlink" Target="http://quote.eastmoney.com/002384.html" TargetMode="External"/><Relationship Id="rId583" Type="http://schemas.openxmlformats.org/officeDocument/2006/relationships/hyperlink" Target="http://data.eastmoney.com/stockdata/002810.html" TargetMode="External"/><Relationship Id="rId790" Type="http://schemas.openxmlformats.org/officeDocument/2006/relationships/hyperlink" Target="http://quote.eastmoney.com/002115.html" TargetMode="External"/><Relationship Id="rId4" Type="http://schemas.openxmlformats.org/officeDocument/2006/relationships/hyperlink" Target="javascript:;" TargetMode="External"/><Relationship Id="rId236" Type="http://schemas.openxmlformats.org/officeDocument/2006/relationships/hyperlink" Target="http://quote.eastmoney.com/603520.html" TargetMode="External"/><Relationship Id="rId443" Type="http://schemas.openxmlformats.org/officeDocument/2006/relationships/hyperlink" Target="http://data.eastmoney.com/stockdata/000403.html" TargetMode="External"/><Relationship Id="rId650" Type="http://schemas.openxmlformats.org/officeDocument/2006/relationships/hyperlink" Target="http://quote.eastmoney.com/000997.html" TargetMode="External"/><Relationship Id="rId888" Type="http://schemas.openxmlformats.org/officeDocument/2006/relationships/hyperlink" Target="http://quote.eastmoney.com/300388.html" TargetMode="External"/><Relationship Id="rId1073" Type="http://schemas.openxmlformats.org/officeDocument/2006/relationships/hyperlink" Target="http://data.eastmoney.com/stockdata/603018.html" TargetMode="External"/><Relationship Id="rId1280" Type="http://schemas.openxmlformats.org/officeDocument/2006/relationships/hyperlink" Target="http://quote.eastmoney.com/601996.html" TargetMode="External"/><Relationship Id="rId303" Type="http://schemas.openxmlformats.org/officeDocument/2006/relationships/hyperlink" Target="http://data.eastmoney.com/stockdata/300751.html" TargetMode="External"/><Relationship Id="rId748" Type="http://schemas.openxmlformats.org/officeDocument/2006/relationships/hyperlink" Target="http://quote.eastmoney.com/300481.html" TargetMode="External"/><Relationship Id="rId955" Type="http://schemas.openxmlformats.org/officeDocument/2006/relationships/hyperlink" Target="http://data.eastmoney.com/stockdata/300726.html" TargetMode="External"/><Relationship Id="rId1140" Type="http://schemas.openxmlformats.org/officeDocument/2006/relationships/hyperlink" Target="http://quote.eastmoney.com/000858.html" TargetMode="External"/><Relationship Id="rId1378" Type="http://schemas.openxmlformats.org/officeDocument/2006/relationships/hyperlink" Target="http://quote.eastmoney.com/600362.html" TargetMode="External"/><Relationship Id="rId1585" Type="http://schemas.openxmlformats.org/officeDocument/2006/relationships/hyperlink" Target="http://data.eastmoney.com/stockdata/600388.html" TargetMode="External"/><Relationship Id="rId1792" Type="http://schemas.openxmlformats.org/officeDocument/2006/relationships/hyperlink" Target="http://quote.eastmoney.com/601186.html" TargetMode="External"/><Relationship Id="rId84" Type="http://schemas.openxmlformats.org/officeDocument/2006/relationships/hyperlink" Target="http://quote.eastmoney.com/002385.html" TargetMode="External"/><Relationship Id="rId510" Type="http://schemas.openxmlformats.org/officeDocument/2006/relationships/hyperlink" Target="http://quote.eastmoney.com/300015.html" TargetMode="External"/><Relationship Id="rId608" Type="http://schemas.openxmlformats.org/officeDocument/2006/relationships/hyperlink" Target="http://quote.eastmoney.com/600588.html" TargetMode="External"/><Relationship Id="rId815" Type="http://schemas.openxmlformats.org/officeDocument/2006/relationships/hyperlink" Target="http://data.eastmoney.com/stockdata/300339.html" TargetMode="External"/><Relationship Id="rId1238" Type="http://schemas.openxmlformats.org/officeDocument/2006/relationships/hyperlink" Target="http://quote.eastmoney.com/603385.html" TargetMode="External"/><Relationship Id="rId1445" Type="http://schemas.openxmlformats.org/officeDocument/2006/relationships/hyperlink" Target="http://data.eastmoney.com/stockdata/000157.html" TargetMode="External"/><Relationship Id="rId1652" Type="http://schemas.openxmlformats.org/officeDocument/2006/relationships/hyperlink" Target="http://quote.eastmoney.com/002713.html" TargetMode="External"/><Relationship Id="rId1000" Type="http://schemas.openxmlformats.org/officeDocument/2006/relationships/hyperlink" Target="http://quote.eastmoney.com/300259.html" TargetMode="External"/><Relationship Id="rId1305" Type="http://schemas.openxmlformats.org/officeDocument/2006/relationships/hyperlink" Target="http://data.eastmoney.com/stockdata/300406.html" TargetMode="External"/><Relationship Id="rId1957" Type="http://schemas.openxmlformats.org/officeDocument/2006/relationships/hyperlink" Target="http://data.eastmoney.com/stockdata/000717.html" TargetMode="External"/><Relationship Id="rId1512" Type="http://schemas.openxmlformats.org/officeDocument/2006/relationships/hyperlink" Target="http://quote.eastmoney.com/000301.html" TargetMode="External"/><Relationship Id="rId1817" Type="http://schemas.openxmlformats.org/officeDocument/2006/relationships/hyperlink" Target="http://data.eastmoney.com/stockdata/601098.html" TargetMode="External"/><Relationship Id="rId11" Type="http://schemas.openxmlformats.org/officeDocument/2006/relationships/hyperlink" Target="javascript:;" TargetMode="External"/><Relationship Id="rId398" Type="http://schemas.openxmlformats.org/officeDocument/2006/relationships/hyperlink" Target="http://quote.eastmoney.com/300115.html" TargetMode="External"/><Relationship Id="rId160" Type="http://schemas.openxmlformats.org/officeDocument/2006/relationships/hyperlink" Target="http://quote.eastmoney.com/300348.html" TargetMode="External"/><Relationship Id="rId258" Type="http://schemas.openxmlformats.org/officeDocument/2006/relationships/hyperlink" Target="http://quote.eastmoney.com/300308.html" TargetMode="External"/><Relationship Id="rId465" Type="http://schemas.openxmlformats.org/officeDocument/2006/relationships/hyperlink" Target="http://data.eastmoney.com/stockdata/603712.html" TargetMode="External"/><Relationship Id="rId672" Type="http://schemas.openxmlformats.org/officeDocument/2006/relationships/hyperlink" Target="http://quote.eastmoney.com/603359.html" TargetMode="External"/><Relationship Id="rId1095" Type="http://schemas.openxmlformats.org/officeDocument/2006/relationships/hyperlink" Target="http://data.eastmoney.com/stockdata/600933.html" TargetMode="External"/><Relationship Id="rId118" Type="http://schemas.openxmlformats.org/officeDocument/2006/relationships/hyperlink" Target="http://quote.eastmoney.com/300664.html" TargetMode="External"/><Relationship Id="rId325" Type="http://schemas.openxmlformats.org/officeDocument/2006/relationships/hyperlink" Target="http://data.eastmoney.com/stockdata/002777.html" TargetMode="External"/><Relationship Id="rId532" Type="http://schemas.openxmlformats.org/officeDocument/2006/relationships/hyperlink" Target="http://quote.eastmoney.com/300036.html" TargetMode="External"/><Relationship Id="rId977" Type="http://schemas.openxmlformats.org/officeDocument/2006/relationships/hyperlink" Target="http://data.eastmoney.com/stockdata/600038.html" TargetMode="External"/><Relationship Id="rId1162" Type="http://schemas.openxmlformats.org/officeDocument/2006/relationships/hyperlink" Target="http://quote.eastmoney.com/300192.html" TargetMode="External"/><Relationship Id="rId2006" Type="http://schemas.openxmlformats.org/officeDocument/2006/relationships/hyperlink" Target="http://quote.eastmoney.com/002068.html" TargetMode="External"/><Relationship Id="rId837" Type="http://schemas.openxmlformats.org/officeDocument/2006/relationships/hyperlink" Target="http://data.eastmoney.com/stockdata/603158.html" TargetMode="External"/><Relationship Id="rId1022" Type="http://schemas.openxmlformats.org/officeDocument/2006/relationships/hyperlink" Target="http://quote.eastmoney.com/002111.html" TargetMode="External"/><Relationship Id="rId1467" Type="http://schemas.openxmlformats.org/officeDocument/2006/relationships/hyperlink" Target="http://data.eastmoney.com/stockdata/300196.html" TargetMode="External"/><Relationship Id="rId1674" Type="http://schemas.openxmlformats.org/officeDocument/2006/relationships/hyperlink" Target="http://quote.eastmoney.com/002688.html" TargetMode="External"/><Relationship Id="rId1881" Type="http://schemas.openxmlformats.org/officeDocument/2006/relationships/hyperlink" Target="http://data.eastmoney.com/stockdata/000429.html" TargetMode="External"/><Relationship Id="rId904" Type="http://schemas.openxmlformats.org/officeDocument/2006/relationships/hyperlink" Target="http://quote.eastmoney.com/000543.html" TargetMode="External"/><Relationship Id="rId1327" Type="http://schemas.openxmlformats.org/officeDocument/2006/relationships/hyperlink" Target="http://data.eastmoney.com/stockdata/000002.html" TargetMode="External"/><Relationship Id="rId1534" Type="http://schemas.openxmlformats.org/officeDocument/2006/relationships/hyperlink" Target="http://quote.eastmoney.com/601965.html" TargetMode="External"/><Relationship Id="rId1741" Type="http://schemas.openxmlformats.org/officeDocument/2006/relationships/hyperlink" Target="http://data.eastmoney.com/stockdata/600116.html" TargetMode="External"/><Relationship Id="rId1979" Type="http://schemas.openxmlformats.org/officeDocument/2006/relationships/hyperlink" Target="http://data.eastmoney.com/stockdata/601088.html" TargetMode="External"/><Relationship Id="rId33" Type="http://schemas.openxmlformats.org/officeDocument/2006/relationships/hyperlink" Target="http://data.eastmoney.com/stockdata/300409.html" TargetMode="External"/><Relationship Id="rId1601" Type="http://schemas.openxmlformats.org/officeDocument/2006/relationships/hyperlink" Target="http://data.eastmoney.com/stockdata/603579.html" TargetMode="External"/><Relationship Id="rId1839" Type="http://schemas.openxmlformats.org/officeDocument/2006/relationships/hyperlink" Target="http://data.eastmoney.com/stockdata/000089.html" TargetMode="External"/><Relationship Id="rId182" Type="http://schemas.openxmlformats.org/officeDocument/2006/relationships/hyperlink" Target="http://quote.eastmoney.com/300352.html" TargetMode="External"/><Relationship Id="rId1906" Type="http://schemas.openxmlformats.org/officeDocument/2006/relationships/hyperlink" Target="http://quote.eastmoney.com/600377.html" TargetMode="External"/><Relationship Id="rId487" Type="http://schemas.openxmlformats.org/officeDocument/2006/relationships/hyperlink" Target="http://data.eastmoney.com/stockdata/002436.html" TargetMode="External"/><Relationship Id="rId694" Type="http://schemas.openxmlformats.org/officeDocument/2006/relationships/hyperlink" Target="http://quote.eastmoney.com/000547.html" TargetMode="External"/><Relationship Id="rId347" Type="http://schemas.openxmlformats.org/officeDocument/2006/relationships/hyperlink" Target="http://data.eastmoney.com/stockdata/300496.html" TargetMode="External"/><Relationship Id="rId999" Type="http://schemas.openxmlformats.org/officeDocument/2006/relationships/hyperlink" Target="http://data.eastmoney.com/stockdata/002001.html" TargetMode="External"/><Relationship Id="rId1184" Type="http://schemas.openxmlformats.org/officeDocument/2006/relationships/hyperlink" Target="http://quote.eastmoney.com/002831.html" TargetMode="External"/><Relationship Id="rId554" Type="http://schemas.openxmlformats.org/officeDocument/2006/relationships/hyperlink" Target="http://quote.eastmoney.com/300482.html" TargetMode="External"/><Relationship Id="rId761" Type="http://schemas.openxmlformats.org/officeDocument/2006/relationships/hyperlink" Target="http://data.eastmoney.com/stockdata/600438.html" TargetMode="External"/><Relationship Id="rId859" Type="http://schemas.openxmlformats.org/officeDocument/2006/relationships/hyperlink" Target="http://data.eastmoney.com/stockdata/603368.html" TargetMode="External"/><Relationship Id="rId1391" Type="http://schemas.openxmlformats.org/officeDocument/2006/relationships/hyperlink" Target="http://data.eastmoney.com/stockdata/600233.html" TargetMode="External"/><Relationship Id="rId1489" Type="http://schemas.openxmlformats.org/officeDocument/2006/relationships/hyperlink" Target="http://data.eastmoney.com/stockdata/601222.html" TargetMode="External"/><Relationship Id="rId1696" Type="http://schemas.openxmlformats.org/officeDocument/2006/relationships/hyperlink" Target="http://quote.eastmoney.com/600546.html" TargetMode="External"/><Relationship Id="rId207" Type="http://schemas.openxmlformats.org/officeDocument/2006/relationships/hyperlink" Target="http://data.eastmoney.com/stockdata/600216.html" TargetMode="External"/><Relationship Id="rId414" Type="http://schemas.openxmlformats.org/officeDocument/2006/relationships/hyperlink" Target="http://quote.eastmoney.com/601808.html" TargetMode="External"/><Relationship Id="rId621" Type="http://schemas.openxmlformats.org/officeDocument/2006/relationships/hyperlink" Target="http://data.eastmoney.com/stockdata/002127.html" TargetMode="External"/><Relationship Id="rId1044" Type="http://schemas.openxmlformats.org/officeDocument/2006/relationships/hyperlink" Target="http://quote.eastmoney.com/603416.html" TargetMode="External"/><Relationship Id="rId1251" Type="http://schemas.openxmlformats.org/officeDocument/2006/relationships/hyperlink" Target="http://data.eastmoney.com/stockdata/603586.html" TargetMode="External"/><Relationship Id="rId1349" Type="http://schemas.openxmlformats.org/officeDocument/2006/relationships/hyperlink" Target="http://data.eastmoney.com/stockdata/600167.html" TargetMode="External"/><Relationship Id="rId719" Type="http://schemas.openxmlformats.org/officeDocument/2006/relationships/hyperlink" Target="http://data.eastmoney.com/stockdata/300124.html" TargetMode="External"/><Relationship Id="rId926" Type="http://schemas.openxmlformats.org/officeDocument/2006/relationships/hyperlink" Target="http://quote.eastmoney.com/002439.html" TargetMode="External"/><Relationship Id="rId1111" Type="http://schemas.openxmlformats.org/officeDocument/2006/relationships/hyperlink" Target="http://data.eastmoney.com/stockdata/002938.html" TargetMode="External"/><Relationship Id="rId1556" Type="http://schemas.openxmlformats.org/officeDocument/2006/relationships/hyperlink" Target="http://quote.eastmoney.com/601066.html" TargetMode="External"/><Relationship Id="rId1763" Type="http://schemas.openxmlformats.org/officeDocument/2006/relationships/hyperlink" Target="http://data.eastmoney.com/stockdata/002039.html" TargetMode="External"/><Relationship Id="rId1970" Type="http://schemas.openxmlformats.org/officeDocument/2006/relationships/hyperlink" Target="http://quote.eastmoney.com/000709.html" TargetMode="External"/><Relationship Id="rId55" Type="http://schemas.openxmlformats.org/officeDocument/2006/relationships/hyperlink" Target="http://data.eastmoney.com/stockdata/300338.html" TargetMode="External"/><Relationship Id="rId1209" Type="http://schemas.openxmlformats.org/officeDocument/2006/relationships/hyperlink" Target="http://data.eastmoney.com/stockdata/603997.html" TargetMode="External"/><Relationship Id="rId1416" Type="http://schemas.openxmlformats.org/officeDocument/2006/relationships/hyperlink" Target="http://quote.eastmoney.com/002007.html" TargetMode="External"/><Relationship Id="rId1623" Type="http://schemas.openxmlformats.org/officeDocument/2006/relationships/hyperlink" Target="http://data.eastmoney.com/stockdata/002478.html" TargetMode="External"/><Relationship Id="rId1830" Type="http://schemas.openxmlformats.org/officeDocument/2006/relationships/hyperlink" Target="http://quote.eastmoney.com/002287.html" TargetMode="External"/><Relationship Id="rId1928" Type="http://schemas.openxmlformats.org/officeDocument/2006/relationships/hyperlink" Target="http://quote.eastmoney.com/600782.html" TargetMode="External"/><Relationship Id="rId271" Type="http://schemas.openxmlformats.org/officeDocument/2006/relationships/hyperlink" Target="http://data.eastmoney.com/stockdata/002241.html" TargetMode="External"/><Relationship Id="rId131" Type="http://schemas.openxmlformats.org/officeDocument/2006/relationships/hyperlink" Target="http://data.eastmoney.com/stockdata/601600.html" TargetMode="External"/><Relationship Id="rId369" Type="http://schemas.openxmlformats.org/officeDocument/2006/relationships/hyperlink" Target="http://data.eastmoney.com/stockdata/002683.html" TargetMode="External"/><Relationship Id="rId576" Type="http://schemas.openxmlformats.org/officeDocument/2006/relationships/hyperlink" Target="http://quote.eastmoney.com/600141.html" TargetMode="External"/><Relationship Id="rId783" Type="http://schemas.openxmlformats.org/officeDocument/2006/relationships/hyperlink" Target="http://data.eastmoney.com/stockdata/002599.html" TargetMode="External"/><Relationship Id="rId990" Type="http://schemas.openxmlformats.org/officeDocument/2006/relationships/hyperlink" Target="http://quote.eastmoney.com/600872.html" TargetMode="External"/><Relationship Id="rId229" Type="http://schemas.openxmlformats.org/officeDocument/2006/relationships/hyperlink" Target="http://data.eastmoney.com/stockdata/002460.html" TargetMode="External"/><Relationship Id="rId436" Type="http://schemas.openxmlformats.org/officeDocument/2006/relationships/hyperlink" Target="http://quote.eastmoney.com/300735.html" TargetMode="External"/><Relationship Id="rId643" Type="http://schemas.openxmlformats.org/officeDocument/2006/relationships/hyperlink" Target="http://data.eastmoney.com/stockdata/002594.html" TargetMode="External"/><Relationship Id="rId1066" Type="http://schemas.openxmlformats.org/officeDocument/2006/relationships/hyperlink" Target="http://quote.eastmoney.com/002739.html" TargetMode="External"/><Relationship Id="rId1273" Type="http://schemas.openxmlformats.org/officeDocument/2006/relationships/hyperlink" Target="http://data.eastmoney.com/stockdata/000031.html" TargetMode="External"/><Relationship Id="rId1480" Type="http://schemas.openxmlformats.org/officeDocument/2006/relationships/hyperlink" Target="http://quote.eastmoney.com/601717.html" TargetMode="External"/><Relationship Id="rId850" Type="http://schemas.openxmlformats.org/officeDocument/2006/relationships/hyperlink" Target="http://quote.eastmoney.com/600771.html" TargetMode="External"/><Relationship Id="rId948" Type="http://schemas.openxmlformats.org/officeDocument/2006/relationships/hyperlink" Target="http://quote.eastmoney.com/603505.html" TargetMode="External"/><Relationship Id="rId1133" Type="http://schemas.openxmlformats.org/officeDocument/2006/relationships/hyperlink" Target="http://data.eastmoney.com/stockdata/601899.html" TargetMode="External"/><Relationship Id="rId1578" Type="http://schemas.openxmlformats.org/officeDocument/2006/relationships/hyperlink" Target="http://quote.eastmoney.com/600970.html" TargetMode="External"/><Relationship Id="rId1785" Type="http://schemas.openxmlformats.org/officeDocument/2006/relationships/hyperlink" Target="http://data.eastmoney.com/stockdata/600580.html" TargetMode="External"/><Relationship Id="rId1992" Type="http://schemas.openxmlformats.org/officeDocument/2006/relationships/hyperlink" Target="http://quote.eastmoney.com/002299.html" TargetMode="External"/><Relationship Id="rId77" Type="http://schemas.openxmlformats.org/officeDocument/2006/relationships/hyperlink" Target="http://data.eastmoney.com/stockdata/600988.html" TargetMode="External"/><Relationship Id="rId503" Type="http://schemas.openxmlformats.org/officeDocument/2006/relationships/hyperlink" Target="http://data.eastmoney.com/stockdata/002049.html" TargetMode="External"/><Relationship Id="rId710" Type="http://schemas.openxmlformats.org/officeDocument/2006/relationships/hyperlink" Target="http://quote.eastmoney.com/603181.html" TargetMode="External"/><Relationship Id="rId808" Type="http://schemas.openxmlformats.org/officeDocument/2006/relationships/hyperlink" Target="http://quote.eastmoney.com/603700.html" TargetMode="External"/><Relationship Id="rId1340" Type="http://schemas.openxmlformats.org/officeDocument/2006/relationships/hyperlink" Target="http://quote.eastmoney.com/603686.html" TargetMode="External"/><Relationship Id="rId1438" Type="http://schemas.openxmlformats.org/officeDocument/2006/relationships/hyperlink" Target="http://quote.eastmoney.com/002430.html" TargetMode="External"/><Relationship Id="rId1645" Type="http://schemas.openxmlformats.org/officeDocument/2006/relationships/hyperlink" Target="http://data.eastmoney.com/stockdata/600641.html" TargetMode="External"/><Relationship Id="rId1200" Type="http://schemas.openxmlformats.org/officeDocument/2006/relationships/hyperlink" Target="http://quote.eastmoney.com/002727.html" TargetMode="External"/><Relationship Id="rId1852" Type="http://schemas.openxmlformats.org/officeDocument/2006/relationships/hyperlink" Target="http://quote.eastmoney.com/000895.html" TargetMode="External"/><Relationship Id="rId1505" Type="http://schemas.openxmlformats.org/officeDocument/2006/relationships/hyperlink" Target="http://data.eastmoney.com/stockdata/002555.html" TargetMode="External"/><Relationship Id="rId1712" Type="http://schemas.openxmlformats.org/officeDocument/2006/relationships/hyperlink" Target="http://quote.eastmoney.com/000528.html" TargetMode="External"/><Relationship Id="rId293" Type="http://schemas.openxmlformats.org/officeDocument/2006/relationships/hyperlink" Target="http://data.eastmoney.com/stockdata/300684.html" TargetMode="External"/><Relationship Id="rId153" Type="http://schemas.openxmlformats.org/officeDocument/2006/relationships/hyperlink" Target="http://data.eastmoney.com/stockdata/603056.html" TargetMode="External"/><Relationship Id="rId360" Type="http://schemas.openxmlformats.org/officeDocument/2006/relationships/hyperlink" Target="http://quote.eastmoney.com/600029.html" TargetMode="External"/><Relationship Id="rId598" Type="http://schemas.openxmlformats.org/officeDocument/2006/relationships/hyperlink" Target="http://quote.eastmoney.com/002918.html" TargetMode="External"/><Relationship Id="rId220" Type="http://schemas.openxmlformats.org/officeDocument/2006/relationships/hyperlink" Target="http://quote.eastmoney.com/300657.html" TargetMode="External"/><Relationship Id="rId458" Type="http://schemas.openxmlformats.org/officeDocument/2006/relationships/hyperlink" Target="http://quote.eastmoney.com/300188.html" TargetMode="External"/><Relationship Id="rId665" Type="http://schemas.openxmlformats.org/officeDocument/2006/relationships/hyperlink" Target="http://data.eastmoney.com/stockdata/300033.html" TargetMode="External"/><Relationship Id="rId872" Type="http://schemas.openxmlformats.org/officeDocument/2006/relationships/hyperlink" Target="http://quote.eastmoney.com/603345.html" TargetMode="External"/><Relationship Id="rId1088" Type="http://schemas.openxmlformats.org/officeDocument/2006/relationships/hyperlink" Target="http://quote.eastmoney.com/002228.html" TargetMode="External"/><Relationship Id="rId1295" Type="http://schemas.openxmlformats.org/officeDocument/2006/relationships/hyperlink" Target="http://data.eastmoney.com/stockdata/603008.html" TargetMode="External"/><Relationship Id="rId318" Type="http://schemas.openxmlformats.org/officeDocument/2006/relationships/hyperlink" Target="http://quote.eastmoney.com/603713.html" TargetMode="External"/><Relationship Id="rId525" Type="http://schemas.openxmlformats.org/officeDocument/2006/relationships/hyperlink" Target="http://data.eastmoney.com/stockdata/300450.html" TargetMode="External"/><Relationship Id="rId732" Type="http://schemas.openxmlformats.org/officeDocument/2006/relationships/hyperlink" Target="http://quote.eastmoney.com/002675.html" TargetMode="External"/><Relationship Id="rId1155" Type="http://schemas.openxmlformats.org/officeDocument/2006/relationships/hyperlink" Target="http://data.eastmoney.com/stockdata/600557.html" TargetMode="External"/><Relationship Id="rId1362" Type="http://schemas.openxmlformats.org/officeDocument/2006/relationships/hyperlink" Target="http://quote.eastmoney.com/600195.html" TargetMode="External"/><Relationship Id="rId99" Type="http://schemas.openxmlformats.org/officeDocument/2006/relationships/hyperlink" Target="http://data.eastmoney.com/stockdata/000807.html" TargetMode="External"/><Relationship Id="rId1015" Type="http://schemas.openxmlformats.org/officeDocument/2006/relationships/hyperlink" Target="http://data.eastmoney.com/stockdata/300146.html" TargetMode="External"/><Relationship Id="rId1222" Type="http://schemas.openxmlformats.org/officeDocument/2006/relationships/hyperlink" Target="http://quote.eastmoney.com/000902.html" TargetMode="External"/><Relationship Id="rId1667" Type="http://schemas.openxmlformats.org/officeDocument/2006/relationships/hyperlink" Target="http://data.eastmoney.com/stockdata/600170.html" TargetMode="External"/><Relationship Id="rId1874" Type="http://schemas.openxmlformats.org/officeDocument/2006/relationships/hyperlink" Target="http://quote.eastmoney.com/000655.html" TargetMode="External"/><Relationship Id="rId1527" Type="http://schemas.openxmlformats.org/officeDocument/2006/relationships/hyperlink" Target="http://data.eastmoney.com/stockdata/000001.html" TargetMode="External"/><Relationship Id="rId1734" Type="http://schemas.openxmlformats.org/officeDocument/2006/relationships/hyperlink" Target="http://quote.eastmoney.com/002015.html" TargetMode="External"/><Relationship Id="rId1941" Type="http://schemas.openxmlformats.org/officeDocument/2006/relationships/hyperlink" Target="http://data.eastmoney.com/stockdata/601225.html" TargetMode="External"/><Relationship Id="rId26" Type="http://schemas.openxmlformats.org/officeDocument/2006/relationships/hyperlink" Target="http://quote.eastmoney.com/002659.html" TargetMode="External"/><Relationship Id="rId175" Type="http://schemas.openxmlformats.org/officeDocument/2006/relationships/hyperlink" Target="http://data.eastmoney.com/stockdata/002230.html" TargetMode="External"/><Relationship Id="rId1801" Type="http://schemas.openxmlformats.org/officeDocument/2006/relationships/hyperlink" Target="http://data.eastmoney.com/stockdata/002318.html" TargetMode="External"/><Relationship Id="rId382" Type="http://schemas.openxmlformats.org/officeDocument/2006/relationships/hyperlink" Target="http://quote.eastmoney.com/300602.html" TargetMode="External"/><Relationship Id="rId687" Type="http://schemas.openxmlformats.org/officeDocument/2006/relationships/hyperlink" Target="http://data.eastmoney.com/stockdata/600340.html" TargetMode="External"/><Relationship Id="rId242" Type="http://schemas.openxmlformats.org/officeDocument/2006/relationships/hyperlink" Target="http://quote.eastmoney.com/603920.html" TargetMode="External"/><Relationship Id="rId894" Type="http://schemas.openxmlformats.org/officeDocument/2006/relationships/hyperlink" Target="http://quote.eastmoney.com/002065.html" TargetMode="External"/><Relationship Id="rId1177" Type="http://schemas.openxmlformats.org/officeDocument/2006/relationships/hyperlink" Target="http://data.eastmoney.com/stockdata/000963.html" TargetMode="External"/><Relationship Id="rId102" Type="http://schemas.openxmlformats.org/officeDocument/2006/relationships/hyperlink" Target="http://quote.eastmoney.com/002493.html" TargetMode="External"/><Relationship Id="rId547" Type="http://schemas.openxmlformats.org/officeDocument/2006/relationships/hyperlink" Target="http://data.eastmoney.com/stockdata/002768.html" TargetMode="External"/><Relationship Id="rId754" Type="http://schemas.openxmlformats.org/officeDocument/2006/relationships/hyperlink" Target="http://quote.eastmoney.com/002968.html" TargetMode="External"/><Relationship Id="rId961" Type="http://schemas.openxmlformats.org/officeDocument/2006/relationships/hyperlink" Target="http://data.eastmoney.com/stockdata/600779.html" TargetMode="External"/><Relationship Id="rId1384" Type="http://schemas.openxmlformats.org/officeDocument/2006/relationships/hyperlink" Target="http://quote.eastmoney.com/601966.html" TargetMode="External"/><Relationship Id="rId1591" Type="http://schemas.openxmlformats.org/officeDocument/2006/relationships/hyperlink" Target="http://data.eastmoney.com/stockdata/600036.html" TargetMode="External"/><Relationship Id="rId1689" Type="http://schemas.openxmlformats.org/officeDocument/2006/relationships/hyperlink" Target="http://data.eastmoney.com/stockdata/002304.html" TargetMode="External"/><Relationship Id="rId90" Type="http://schemas.openxmlformats.org/officeDocument/2006/relationships/hyperlink" Target="http://quote.eastmoney.com/600026.html" TargetMode="External"/><Relationship Id="rId407" Type="http://schemas.openxmlformats.org/officeDocument/2006/relationships/hyperlink" Target="http://data.eastmoney.com/stockdata/603737.html" TargetMode="External"/><Relationship Id="rId614" Type="http://schemas.openxmlformats.org/officeDocument/2006/relationships/hyperlink" Target="http://quote.eastmoney.com/603588.html" TargetMode="External"/><Relationship Id="rId821" Type="http://schemas.openxmlformats.org/officeDocument/2006/relationships/hyperlink" Target="http://data.eastmoney.com/stockdata/002901.html" TargetMode="External"/><Relationship Id="rId1037" Type="http://schemas.openxmlformats.org/officeDocument/2006/relationships/hyperlink" Target="http://data.eastmoney.com/stockdata/300750.html" TargetMode="External"/><Relationship Id="rId1244" Type="http://schemas.openxmlformats.org/officeDocument/2006/relationships/hyperlink" Target="http://quote.eastmoney.com/300398.html" TargetMode="External"/><Relationship Id="rId1451" Type="http://schemas.openxmlformats.org/officeDocument/2006/relationships/hyperlink" Target="http://data.eastmoney.com/stockdata/600491.html" TargetMode="External"/><Relationship Id="rId1896" Type="http://schemas.openxmlformats.org/officeDocument/2006/relationships/hyperlink" Target="http://quote.eastmoney.com/000156.html" TargetMode="External"/><Relationship Id="rId919" Type="http://schemas.openxmlformats.org/officeDocument/2006/relationships/hyperlink" Target="http://data.eastmoney.com/stockdata/300296.html" TargetMode="External"/><Relationship Id="rId1104" Type="http://schemas.openxmlformats.org/officeDocument/2006/relationships/hyperlink" Target="http://quote.eastmoney.com/600346.html" TargetMode="External"/><Relationship Id="rId1311" Type="http://schemas.openxmlformats.org/officeDocument/2006/relationships/hyperlink" Target="http://data.eastmoney.com/stockdata/000967.html" TargetMode="External"/><Relationship Id="rId1549" Type="http://schemas.openxmlformats.org/officeDocument/2006/relationships/hyperlink" Target="http://data.eastmoney.com/stockdata/601211.html" TargetMode="External"/><Relationship Id="rId1756" Type="http://schemas.openxmlformats.org/officeDocument/2006/relationships/hyperlink" Target="http://quote.eastmoney.com/000651.html" TargetMode="External"/><Relationship Id="rId1963" Type="http://schemas.openxmlformats.org/officeDocument/2006/relationships/hyperlink" Target="http://data.eastmoney.com/stockdata/002128.html" TargetMode="External"/><Relationship Id="rId48" Type="http://schemas.openxmlformats.org/officeDocument/2006/relationships/hyperlink" Target="http://quote.eastmoney.com/300772.html" TargetMode="External"/><Relationship Id="rId1409" Type="http://schemas.openxmlformats.org/officeDocument/2006/relationships/hyperlink" Target="http://data.eastmoney.com/stockdata/601229.html" TargetMode="External"/><Relationship Id="rId1616" Type="http://schemas.openxmlformats.org/officeDocument/2006/relationships/hyperlink" Target="http://quote.eastmoney.com/600378.html" TargetMode="External"/><Relationship Id="rId1823" Type="http://schemas.openxmlformats.org/officeDocument/2006/relationships/hyperlink" Target="http://data.eastmoney.com/stockdata/002317.html" TargetMode="External"/><Relationship Id="rId197" Type="http://schemas.openxmlformats.org/officeDocument/2006/relationships/hyperlink" Target="http://data.eastmoney.com/stockdata/300474.html" TargetMode="External"/><Relationship Id="rId264" Type="http://schemas.openxmlformats.org/officeDocument/2006/relationships/hyperlink" Target="http://quote.eastmoney.com/300523.html" TargetMode="External"/><Relationship Id="rId471" Type="http://schemas.openxmlformats.org/officeDocument/2006/relationships/hyperlink" Target="http://data.eastmoney.com/stockdata/600871.html" TargetMode="External"/><Relationship Id="rId124" Type="http://schemas.openxmlformats.org/officeDocument/2006/relationships/hyperlink" Target="http://quote.eastmoney.com/603429.html" TargetMode="External"/><Relationship Id="rId569" Type="http://schemas.openxmlformats.org/officeDocument/2006/relationships/hyperlink" Target="http://data.eastmoney.com/stockdata/000661.html" TargetMode="External"/><Relationship Id="rId776" Type="http://schemas.openxmlformats.org/officeDocument/2006/relationships/hyperlink" Target="http://quote.eastmoney.com/002798.html" TargetMode="External"/><Relationship Id="rId983" Type="http://schemas.openxmlformats.org/officeDocument/2006/relationships/hyperlink" Target="http://data.eastmoney.com/stockdata/300034.html" TargetMode="External"/><Relationship Id="rId1199" Type="http://schemas.openxmlformats.org/officeDocument/2006/relationships/hyperlink" Target="http://data.eastmoney.com/stockdata/002468.html" TargetMode="External"/><Relationship Id="rId331" Type="http://schemas.openxmlformats.org/officeDocument/2006/relationships/hyperlink" Target="http://data.eastmoney.com/stockdata/002036.html" TargetMode="External"/><Relationship Id="rId429" Type="http://schemas.openxmlformats.org/officeDocument/2006/relationships/hyperlink" Target="http://data.eastmoney.com/stockdata/603496.html" TargetMode="External"/><Relationship Id="rId636" Type="http://schemas.openxmlformats.org/officeDocument/2006/relationships/hyperlink" Target="http://quote.eastmoney.com/000759.html" TargetMode="External"/><Relationship Id="rId1059" Type="http://schemas.openxmlformats.org/officeDocument/2006/relationships/hyperlink" Target="http://data.eastmoney.com/stockdata/600570.html" TargetMode="External"/><Relationship Id="rId1266" Type="http://schemas.openxmlformats.org/officeDocument/2006/relationships/hyperlink" Target="http://quote.eastmoney.com/603517.html" TargetMode="External"/><Relationship Id="rId1473" Type="http://schemas.openxmlformats.org/officeDocument/2006/relationships/hyperlink" Target="http://data.eastmoney.com/stockdata/002705.html" TargetMode="External"/><Relationship Id="rId843" Type="http://schemas.openxmlformats.org/officeDocument/2006/relationships/hyperlink" Target="http://data.eastmoney.com/stockdata/000656.html" TargetMode="External"/><Relationship Id="rId1126" Type="http://schemas.openxmlformats.org/officeDocument/2006/relationships/hyperlink" Target="http://quote.eastmoney.com/002643.html" TargetMode="External"/><Relationship Id="rId1680" Type="http://schemas.openxmlformats.org/officeDocument/2006/relationships/hyperlink" Target="http://quote.eastmoney.com/002419.html" TargetMode="External"/><Relationship Id="rId1778" Type="http://schemas.openxmlformats.org/officeDocument/2006/relationships/hyperlink" Target="http://quote.eastmoney.com/002508.html" TargetMode="External"/><Relationship Id="rId1985" Type="http://schemas.openxmlformats.org/officeDocument/2006/relationships/hyperlink" Target="http://data.eastmoney.com/stockdata/002182.html" TargetMode="External"/><Relationship Id="rId703" Type="http://schemas.openxmlformats.org/officeDocument/2006/relationships/hyperlink" Target="http://data.eastmoney.com/stockdata/603711.html" TargetMode="External"/><Relationship Id="rId910" Type="http://schemas.openxmlformats.org/officeDocument/2006/relationships/hyperlink" Target="http://quote.eastmoney.com/300699.html" TargetMode="External"/><Relationship Id="rId1333" Type="http://schemas.openxmlformats.org/officeDocument/2006/relationships/hyperlink" Target="http://data.eastmoney.com/stockdata/002867.html" TargetMode="External"/><Relationship Id="rId1540" Type="http://schemas.openxmlformats.org/officeDocument/2006/relationships/hyperlink" Target="http://quote.eastmoney.com/002035.html" TargetMode="External"/><Relationship Id="rId1638" Type="http://schemas.openxmlformats.org/officeDocument/2006/relationships/hyperlink" Target="http://quote.eastmoney.com/601336.html" TargetMode="External"/><Relationship Id="rId1400" Type="http://schemas.openxmlformats.org/officeDocument/2006/relationships/hyperlink" Target="http://quote.eastmoney.com/002080.html" TargetMode="External"/><Relationship Id="rId1845" Type="http://schemas.openxmlformats.org/officeDocument/2006/relationships/hyperlink" Target="http://data.eastmoney.com/stockdata/601618.html" TargetMode="External"/><Relationship Id="rId1705" Type="http://schemas.openxmlformats.org/officeDocument/2006/relationships/hyperlink" Target="http://data.eastmoney.com/stockdata/000738.html" TargetMode="External"/><Relationship Id="rId1912" Type="http://schemas.openxmlformats.org/officeDocument/2006/relationships/hyperlink" Target="http://quote.eastmoney.com/600507.html" TargetMode="External"/><Relationship Id="rId286" Type="http://schemas.openxmlformats.org/officeDocument/2006/relationships/hyperlink" Target="http://quote.eastmoney.com/603127.html" TargetMode="External"/><Relationship Id="rId493" Type="http://schemas.openxmlformats.org/officeDocument/2006/relationships/hyperlink" Target="http://data.eastmoney.com/stockdata/603040.html" TargetMode="External"/><Relationship Id="rId146" Type="http://schemas.openxmlformats.org/officeDocument/2006/relationships/hyperlink" Target="http://quote.eastmoney.com/002268.html" TargetMode="External"/><Relationship Id="rId353" Type="http://schemas.openxmlformats.org/officeDocument/2006/relationships/hyperlink" Target="http://data.eastmoney.com/stockdata/002912.html" TargetMode="External"/><Relationship Id="rId560" Type="http://schemas.openxmlformats.org/officeDocument/2006/relationships/hyperlink" Target="http://quote.eastmoney.com/300577.html" TargetMode="External"/><Relationship Id="rId798" Type="http://schemas.openxmlformats.org/officeDocument/2006/relationships/hyperlink" Target="http://quote.eastmoney.com/600636.html" TargetMode="External"/><Relationship Id="rId1190" Type="http://schemas.openxmlformats.org/officeDocument/2006/relationships/hyperlink" Target="http://quote.eastmoney.com/600048.html" TargetMode="External"/><Relationship Id="rId213" Type="http://schemas.openxmlformats.org/officeDocument/2006/relationships/hyperlink" Target="http://data.eastmoney.com/stockdata/688012.html" TargetMode="External"/><Relationship Id="rId420" Type="http://schemas.openxmlformats.org/officeDocument/2006/relationships/hyperlink" Target="http://quote.eastmoney.com/300529.html" TargetMode="External"/><Relationship Id="rId658" Type="http://schemas.openxmlformats.org/officeDocument/2006/relationships/hyperlink" Target="http://quote.eastmoney.com/600339.html" TargetMode="External"/><Relationship Id="rId865" Type="http://schemas.openxmlformats.org/officeDocument/2006/relationships/hyperlink" Target="http://data.eastmoney.com/stockdata/002271.html" TargetMode="External"/><Relationship Id="rId1050" Type="http://schemas.openxmlformats.org/officeDocument/2006/relationships/hyperlink" Target="http://quote.eastmoney.com/600667.html" TargetMode="External"/><Relationship Id="rId1288" Type="http://schemas.openxmlformats.org/officeDocument/2006/relationships/hyperlink" Target="http://quote.eastmoney.com/002621.html" TargetMode="External"/><Relationship Id="rId1495" Type="http://schemas.openxmlformats.org/officeDocument/2006/relationships/hyperlink" Target="http://data.eastmoney.com/stockdata/603515.html" TargetMode="External"/><Relationship Id="rId518" Type="http://schemas.openxmlformats.org/officeDocument/2006/relationships/hyperlink" Target="http://quote.eastmoney.com/300454.html" TargetMode="External"/><Relationship Id="rId725" Type="http://schemas.openxmlformats.org/officeDocument/2006/relationships/hyperlink" Target="http://data.eastmoney.com/stockdata/000826.html" TargetMode="External"/><Relationship Id="rId932" Type="http://schemas.openxmlformats.org/officeDocument/2006/relationships/hyperlink" Target="http://quote.eastmoney.com/002422.html" TargetMode="External"/><Relationship Id="rId1148" Type="http://schemas.openxmlformats.org/officeDocument/2006/relationships/hyperlink" Target="http://quote.eastmoney.com/603568.html" TargetMode="External"/><Relationship Id="rId1355" Type="http://schemas.openxmlformats.org/officeDocument/2006/relationships/hyperlink" Target="http://data.eastmoney.com/stockdata/300623.html" TargetMode="External"/><Relationship Id="rId1562" Type="http://schemas.openxmlformats.org/officeDocument/2006/relationships/hyperlink" Target="http://quote.eastmoney.com/600273.html" TargetMode="External"/><Relationship Id="rId1008" Type="http://schemas.openxmlformats.org/officeDocument/2006/relationships/hyperlink" Target="http://quote.eastmoney.com/300244.html" TargetMode="External"/><Relationship Id="rId1215" Type="http://schemas.openxmlformats.org/officeDocument/2006/relationships/hyperlink" Target="http://data.eastmoney.com/stockdata/000090.html" TargetMode="External"/><Relationship Id="rId1422" Type="http://schemas.openxmlformats.org/officeDocument/2006/relationships/hyperlink" Target="http://quote.eastmoney.com/603801.html" TargetMode="External"/><Relationship Id="rId1867" Type="http://schemas.openxmlformats.org/officeDocument/2006/relationships/hyperlink" Target="http://data.eastmoney.com/stockdata/600085.html" TargetMode="External"/><Relationship Id="rId61" Type="http://schemas.openxmlformats.org/officeDocument/2006/relationships/hyperlink" Target="http://data.eastmoney.com/stockdata/603501.html" TargetMode="External"/><Relationship Id="rId1727" Type="http://schemas.openxmlformats.org/officeDocument/2006/relationships/hyperlink" Target="http://data.eastmoney.com/stockdata/600009.html" TargetMode="External"/><Relationship Id="rId1934" Type="http://schemas.openxmlformats.org/officeDocument/2006/relationships/hyperlink" Target="http://quote.eastmoney.com/601566.html" TargetMode="External"/><Relationship Id="rId19" Type="http://schemas.openxmlformats.org/officeDocument/2006/relationships/hyperlink" Target="http://data.eastmoney.com/stockdata/300324.html" TargetMode="External"/><Relationship Id="rId168" Type="http://schemas.openxmlformats.org/officeDocument/2006/relationships/hyperlink" Target="http://quote.eastmoney.com/603129.html" TargetMode="External"/><Relationship Id="rId943" Type="http://schemas.openxmlformats.org/officeDocument/2006/relationships/hyperlink" Target="http://data.eastmoney.com/stockdata/603883.html" TargetMode="External"/><Relationship Id="rId1019" Type="http://schemas.openxmlformats.org/officeDocument/2006/relationships/hyperlink" Target="http://data.eastmoney.com/stockdata/300487.html" TargetMode="External"/><Relationship Id="rId1573" Type="http://schemas.openxmlformats.org/officeDocument/2006/relationships/hyperlink" Target="http://data.eastmoney.com/stockdata/002372.html" TargetMode="External"/><Relationship Id="rId1780" Type="http://schemas.openxmlformats.org/officeDocument/2006/relationships/hyperlink" Target="http://quote.eastmoney.com/000776.html" TargetMode="External"/><Relationship Id="rId1878" Type="http://schemas.openxmlformats.org/officeDocument/2006/relationships/hyperlink" Target="http://quote.eastmoney.com/603156.html" TargetMode="External"/><Relationship Id="rId72" Type="http://schemas.openxmlformats.org/officeDocument/2006/relationships/hyperlink" Target="http://quote.eastmoney.com/603063.html" TargetMode="External"/><Relationship Id="rId375" Type="http://schemas.openxmlformats.org/officeDocument/2006/relationships/hyperlink" Target="http://data.eastmoney.com/stockdata/603218.html" TargetMode="External"/><Relationship Id="rId582" Type="http://schemas.openxmlformats.org/officeDocument/2006/relationships/hyperlink" Target="http://quote.eastmoney.com/002810.html" TargetMode="External"/><Relationship Id="rId803" Type="http://schemas.openxmlformats.org/officeDocument/2006/relationships/hyperlink" Target="http://data.eastmoney.com/stockdata/603990.html" TargetMode="External"/><Relationship Id="rId1226" Type="http://schemas.openxmlformats.org/officeDocument/2006/relationships/hyperlink" Target="http://quote.eastmoney.com/600196.html" TargetMode="External"/><Relationship Id="rId1433" Type="http://schemas.openxmlformats.org/officeDocument/2006/relationships/hyperlink" Target="http://data.eastmoney.com/stockdata/300349.html" TargetMode="External"/><Relationship Id="rId1640" Type="http://schemas.openxmlformats.org/officeDocument/2006/relationships/hyperlink" Target="http://quote.eastmoney.com/002048.html" TargetMode="External"/><Relationship Id="rId1738" Type="http://schemas.openxmlformats.org/officeDocument/2006/relationships/hyperlink" Target="http://quote.eastmoney.com/002399.html" TargetMode="External"/><Relationship Id="rId3" Type="http://schemas.openxmlformats.org/officeDocument/2006/relationships/hyperlink" Target="javascript:;" TargetMode="External"/><Relationship Id="rId235" Type="http://schemas.openxmlformats.org/officeDocument/2006/relationships/hyperlink" Target="http://data.eastmoney.com/stockdata/002216.html" TargetMode="External"/><Relationship Id="rId442" Type="http://schemas.openxmlformats.org/officeDocument/2006/relationships/hyperlink" Target="http://quote.eastmoney.com/000403.html" TargetMode="External"/><Relationship Id="rId887" Type="http://schemas.openxmlformats.org/officeDocument/2006/relationships/hyperlink" Target="http://data.eastmoney.com/stockdata/601111.html" TargetMode="External"/><Relationship Id="rId1072" Type="http://schemas.openxmlformats.org/officeDocument/2006/relationships/hyperlink" Target="http://quote.eastmoney.com/603018.html" TargetMode="External"/><Relationship Id="rId1500" Type="http://schemas.openxmlformats.org/officeDocument/2006/relationships/hyperlink" Target="http://quote.eastmoney.com/002595.html" TargetMode="External"/><Relationship Id="rId1945" Type="http://schemas.openxmlformats.org/officeDocument/2006/relationships/hyperlink" Target="http://data.eastmoney.com/stockdata/601319.html" TargetMode="External"/><Relationship Id="rId302" Type="http://schemas.openxmlformats.org/officeDocument/2006/relationships/hyperlink" Target="http://quote.eastmoney.com/300751.html" TargetMode="External"/><Relationship Id="rId747" Type="http://schemas.openxmlformats.org/officeDocument/2006/relationships/hyperlink" Target="http://data.eastmoney.com/stockdata/002409.html" TargetMode="External"/><Relationship Id="rId954" Type="http://schemas.openxmlformats.org/officeDocument/2006/relationships/hyperlink" Target="http://quote.eastmoney.com/300726.html" TargetMode="External"/><Relationship Id="rId1377" Type="http://schemas.openxmlformats.org/officeDocument/2006/relationships/hyperlink" Target="http://data.eastmoney.com/stockdata/600271.html" TargetMode="External"/><Relationship Id="rId1584" Type="http://schemas.openxmlformats.org/officeDocument/2006/relationships/hyperlink" Target="http://quote.eastmoney.com/600388.html" TargetMode="External"/><Relationship Id="rId1791" Type="http://schemas.openxmlformats.org/officeDocument/2006/relationships/hyperlink" Target="http://data.eastmoney.com/stockdata/600373.html" TargetMode="External"/><Relationship Id="rId1805" Type="http://schemas.openxmlformats.org/officeDocument/2006/relationships/hyperlink" Target="http://data.eastmoney.com/stockdata/601828.html" TargetMode="External"/><Relationship Id="rId83" Type="http://schemas.openxmlformats.org/officeDocument/2006/relationships/hyperlink" Target="http://data.eastmoney.com/stockdata/002385.html" TargetMode="External"/><Relationship Id="rId179" Type="http://schemas.openxmlformats.org/officeDocument/2006/relationships/hyperlink" Target="http://data.eastmoney.com/stockdata/600737.html" TargetMode="External"/><Relationship Id="rId386" Type="http://schemas.openxmlformats.org/officeDocument/2006/relationships/hyperlink" Target="http://quote.eastmoney.com/300369.html" TargetMode="External"/><Relationship Id="rId593" Type="http://schemas.openxmlformats.org/officeDocument/2006/relationships/hyperlink" Target="http://data.eastmoney.com/stockdata/300590.html" TargetMode="External"/><Relationship Id="rId607" Type="http://schemas.openxmlformats.org/officeDocument/2006/relationships/hyperlink" Target="http://data.eastmoney.com/stockdata/002851.html" TargetMode="External"/><Relationship Id="rId814" Type="http://schemas.openxmlformats.org/officeDocument/2006/relationships/hyperlink" Target="http://quote.eastmoney.com/300339.html" TargetMode="External"/><Relationship Id="rId1237" Type="http://schemas.openxmlformats.org/officeDocument/2006/relationships/hyperlink" Target="http://data.eastmoney.com/stockdata/002223.html" TargetMode="External"/><Relationship Id="rId1444" Type="http://schemas.openxmlformats.org/officeDocument/2006/relationships/hyperlink" Target="http://quote.eastmoney.com/000157.html" TargetMode="External"/><Relationship Id="rId1651" Type="http://schemas.openxmlformats.org/officeDocument/2006/relationships/hyperlink" Target="http://data.eastmoney.com/stockdata/600655.html" TargetMode="External"/><Relationship Id="rId1889" Type="http://schemas.openxmlformats.org/officeDocument/2006/relationships/hyperlink" Target="http://data.eastmoney.com/stockdata/000581.html" TargetMode="External"/><Relationship Id="rId246" Type="http://schemas.openxmlformats.org/officeDocument/2006/relationships/hyperlink" Target="http://quote.eastmoney.com/002648.html" TargetMode="External"/><Relationship Id="rId453" Type="http://schemas.openxmlformats.org/officeDocument/2006/relationships/hyperlink" Target="http://data.eastmoney.com/stockdata/600496.html" TargetMode="External"/><Relationship Id="rId660" Type="http://schemas.openxmlformats.org/officeDocument/2006/relationships/hyperlink" Target="http://quote.eastmoney.com/002353.html" TargetMode="External"/><Relationship Id="rId898" Type="http://schemas.openxmlformats.org/officeDocument/2006/relationships/hyperlink" Target="http://quote.eastmoney.com/002568.html" TargetMode="External"/><Relationship Id="rId1083" Type="http://schemas.openxmlformats.org/officeDocument/2006/relationships/hyperlink" Target="http://data.eastmoney.com/stockdata/603558.html" TargetMode="External"/><Relationship Id="rId1290" Type="http://schemas.openxmlformats.org/officeDocument/2006/relationships/hyperlink" Target="http://quote.eastmoney.com/002707.html" TargetMode="External"/><Relationship Id="rId1304" Type="http://schemas.openxmlformats.org/officeDocument/2006/relationships/hyperlink" Target="http://quote.eastmoney.com/300406.html" TargetMode="External"/><Relationship Id="rId1511" Type="http://schemas.openxmlformats.org/officeDocument/2006/relationships/hyperlink" Target="http://data.eastmoney.com/stockdata/000603.html" TargetMode="External"/><Relationship Id="rId1749" Type="http://schemas.openxmlformats.org/officeDocument/2006/relationships/hyperlink" Target="http://data.eastmoney.com/stockdata/000976.html" TargetMode="External"/><Relationship Id="rId1956" Type="http://schemas.openxmlformats.org/officeDocument/2006/relationships/hyperlink" Target="http://quote.eastmoney.com/000717.html" TargetMode="External"/><Relationship Id="rId106" Type="http://schemas.openxmlformats.org/officeDocument/2006/relationships/hyperlink" Target="http://quote.eastmoney.com/300601.html" TargetMode="External"/><Relationship Id="rId313" Type="http://schemas.openxmlformats.org/officeDocument/2006/relationships/hyperlink" Target="http://data.eastmoney.com/stockdata/603538.html" TargetMode="External"/><Relationship Id="rId758" Type="http://schemas.openxmlformats.org/officeDocument/2006/relationships/hyperlink" Target="http://quote.eastmoney.com/300232.html" TargetMode="External"/><Relationship Id="rId965" Type="http://schemas.openxmlformats.org/officeDocument/2006/relationships/hyperlink" Target="http://data.eastmoney.com/stockdata/002749.html" TargetMode="External"/><Relationship Id="rId1150" Type="http://schemas.openxmlformats.org/officeDocument/2006/relationships/hyperlink" Target="http://quote.eastmoney.com/601997.html" TargetMode="External"/><Relationship Id="rId1388" Type="http://schemas.openxmlformats.org/officeDocument/2006/relationships/hyperlink" Target="http://quote.eastmoney.com/603730.html" TargetMode="External"/><Relationship Id="rId1595" Type="http://schemas.openxmlformats.org/officeDocument/2006/relationships/hyperlink" Target="http://data.eastmoney.com/stockdata/603365.html" TargetMode="External"/><Relationship Id="rId1609" Type="http://schemas.openxmlformats.org/officeDocument/2006/relationships/hyperlink" Target="http://data.eastmoney.com/stockdata/300418.html" TargetMode="External"/><Relationship Id="rId1816" Type="http://schemas.openxmlformats.org/officeDocument/2006/relationships/hyperlink" Target="http://quote.eastmoney.com/601098.html" TargetMode="External"/><Relationship Id="rId10" Type="http://schemas.openxmlformats.org/officeDocument/2006/relationships/hyperlink" Target="javascript:;" TargetMode="External"/><Relationship Id="rId94" Type="http://schemas.openxmlformats.org/officeDocument/2006/relationships/hyperlink" Target="http://quote.eastmoney.com/002159.html" TargetMode="External"/><Relationship Id="rId397" Type="http://schemas.openxmlformats.org/officeDocument/2006/relationships/hyperlink" Target="http://data.eastmoney.com/stockdata/300078.html" TargetMode="External"/><Relationship Id="rId520" Type="http://schemas.openxmlformats.org/officeDocument/2006/relationships/hyperlink" Target="http://quote.eastmoney.com/000035.html" TargetMode="External"/><Relationship Id="rId618" Type="http://schemas.openxmlformats.org/officeDocument/2006/relationships/hyperlink" Target="http://quote.eastmoney.com/603313.html" TargetMode="External"/><Relationship Id="rId825" Type="http://schemas.openxmlformats.org/officeDocument/2006/relationships/hyperlink" Target="http://data.eastmoney.com/stockdata/002841.html" TargetMode="External"/><Relationship Id="rId1248" Type="http://schemas.openxmlformats.org/officeDocument/2006/relationships/hyperlink" Target="http://quote.eastmoney.com/600217.html" TargetMode="External"/><Relationship Id="rId1455" Type="http://schemas.openxmlformats.org/officeDocument/2006/relationships/hyperlink" Target="http://data.eastmoney.com/stockdata/002697.html" TargetMode="External"/><Relationship Id="rId1662" Type="http://schemas.openxmlformats.org/officeDocument/2006/relationships/hyperlink" Target="http://quote.eastmoney.com/600511.html" TargetMode="External"/><Relationship Id="rId257" Type="http://schemas.openxmlformats.org/officeDocument/2006/relationships/hyperlink" Target="http://data.eastmoney.com/stockdata/300502.html" TargetMode="External"/><Relationship Id="rId464" Type="http://schemas.openxmlformats.org/officeDocument/2006/relationships/hyperlink" Target="http://quote.eastmoney.com/603712.html" TargetMode="External"/><Relationship Id="rId1010" Type="http://schemas.openxmlformats.org/officeDocument/2006/relationships/hyperlink" Target="http://quote.eastmoney.com/603214.html" TargetMode="External"/><Relationship Id="rId1094" Type="http://schemas.openxmlformats.org/officeDocument/2006/relationships/hyperlink" Target="http://quote.eastmoney.com/600933.html" TargetMode="External"/><Relationship Id="rId1108" Type="http://schemas.openxmlformats.org/officeDocument/2006/relationships/hyperlink" Target="http://quote.eastmoney.com/001979.html" TargetMode="External"/><Relationship Id="rId1315" Type="http://schemas.openxmlformats.org/officeDocument/2006/relationships/hyperlink" Target="http://data.eastmoney.com/stockdata/600180.html" TargetMode="External"/><Relationship Id="rId1967" Type="http://schemas.openxmlformats.org/officeDocument/2006/relationships/hyperlink" Target="http://data.eastmoney.com/stockdata/601988.html" TargetMode="External"/><Relationship Id="rId117" Type="http://schemas.openxmlformats.org/officeDocument/2006/relationships/hyperlink" Target="http://data.eastmoney.com/stockdata/002891.html" TargetMode="External"/><Relationship Id="rId671" Type="http://schemas.openxmlformats.org/officeDocument/2006/relationships/hyperlink" Target="http://data.eastmoney.com/stockdata/002669.html" TargetMode="External"/><Relationship Id="rId769" Type="http://schemas.openxmlformats.org/officeDocument/2006/relationships/hyperlink" Target="http://data.eastmoney.com/stockdata/603039.html" TargetMode="External"/><Relationship Id="rId976" Type="http://schemas.openxmlformats.org/officeDocument/2006/relationships/hyperlink" Target="http://quote.eastmoney.com/600038.html" TargetMode="External"/><Relationship Id="rId1399" Type="http://schemas.openxmlformats.org/officeDocument/2006/relationships/hyperlink" Target="http://data.eastmoney.com/stockdata/002352.html" TargetMode="External"/><Relationship Id="rId324" Type="http://schemas.openxmlformats.org/officeDocument/2006/relationships/hyperlink" Target="http://quote.eastmoney.com/002777.html" TargetMode="External"/><Relationship Id="rId531" Type="http://schemas.openxmlformats.org/officeDocument/2006/relationships/hyperlink" Target="http://data.eastmoney.com/stockdata/300438.html" TargetMode="External"/><Relationship Id="rId629" Type="http://schemas.openxmlformats.org/officeDocument/2006/relationships/hyperlink" Target="http://data.eastmoney.com/stockdata/300624.html" TargetMode="External"/><Relationship Id="rId1161" Type="http://schemas.openxmlformats.org/officeDocument/2006/relationships/hyperlink" Target="http://data.eastmoney.com/stockdata/600760.html" TargetMode="External"/><Relationship Id="rId1259" Type="http://schemas.openxmlformats.org/officeDocument/2006/relationships/hyperlink" Target="http://data.eastmoney.com/stockdata/603866.html" TargetMode="External"/><Relationship Id="rId1466" Type="http://schemas.openxmlformats.org/officeDocument/2006/relationships/hyperlink" Target="http://quote.eastmoney.com/300196.html" TargetMode="External"/><Relationship Id="rId2005" Type="http://schemas.openxmlformats.org/officeDocument/2006/relationships/hyperlink" Target="http://data.eastmoney.com/stockdata/002024.html" TargetMode="External"/><Relationship Id="rId836" Type="http://schemas.openxmlformats.org/officeDocument/2006/relationships/hyperlink" Target="http://quote.eastmoney.com/603158.html" TargetMode="External"/><Relationship Id="rId1021" Type="http://schemas.openxmlformats.org/officeDocument/2006/relationships/hyperlink" Target="http://data.eastmoney.com/stockdata/600498.html" TargetMode="External"/><Relationship Id="rId1119" Type="http://schemas.openxmlformats.org/officeDocument/2006/relationships/hyperlink" Target="http://data.eastmoney.com/stockdata/600867.html" TargetMode="External"/><Relationship Id="rId1673" Type="http://schemas.openxmlformats.org/officeDocument/2006/relationships/hyperlink" Target="http://data.eastmoney.com/stockdata/000498.html" TargetMode="External"/><Relationship Id="rId1880" Type="http://schemas.openxmlformats.org/officeDocument/2006/relationships/hyperlink" Target="http://quote.eastmoney.com/000429.html" TargetMode="External"/><Relationship Id="rId1978" Type="http://schemas.openxmlformats.org/officeDocument/2006/relationships/hyperlink" Target="http://quote.eastmoney.com/601088.html" TargetMode="External"/><Relationship Id="rId903" Type="http://schemas.openxmlformats.org/officeDocument/2006/relationships/hyperlink" Target="http://data.eastmoney.com/stockdata/601799.html" TargetMode="External"/><Relationship Id="rId1326" Type="http://schemas.openxmlformats.org/officeDocument/2006/relationships/hyperlink" Target="http://quote.eastmoney.com/000002.html" TargetMode="External"/><Relationship Id="rId1533" Type="http://schemas.openxmlformats.org/officeDocument/2006/relationships/hyperlink" Target="http://data.eastmoney.com/stockdata/600862.html" TargetMode="External"/><Relationship Id="rId1740" Type="http://schemas.openxmlformats.org/officeDocument/2006/relationships/hyperlink" Target="http://quote.eastmoney.com/600116.html" TargetMode="External"/><Relationship Id="rId32" Type="http://schemas.openxmlformats.org/officeDocument/2006/relationships/hyperlink" Target="http://quote.eastmoney.com/300409.html" TargetMode="External"/><Relationship Id="rId1600" Type="http://schemas.openxmlformats.org/officeDocument/2006/relationships/hyperlink" Target="http://quote.eastmoney.com/603579.html" TargetMode="External"/><Relationship Id="rId1838" Type="http://schemas.openxmlformats.org/officeDocument/2006/relationships/hyperlink" Target="http://quote.eastmoney.com/000089.html" TargetMode="External"/><Relationship Id="rId181" Type="http://schemas.openxmlformats.org/officeDocument/2006/relationships/hyperlink" Target="http://data.eastmoney.com/stockdata/603679.html" TargetMode="External"/><Relationship Id="rId1905" Type="http://schemas.openxmlformats.org/officeDocument/2006/relationships/hyperlink" Target="http://data.eastmoney.com/stockdata/601699.html" TargetMode="External"/><Relationship Id="rId279" Type="http://schemas.openxmlformats.org/officeDocument/2006/relationships/hyperlink" Target="http://data.eastmoney.com/stockdata/600984.html" TargetMode="External"/><Relationship Id="rId486" Type="http://schemas.openxmlformats.org/officeDocument/2006/relationships/hyperlink" Target="http://quote.eastmoney.com/002436.html" TargetMode="External"/><Relationship Id="rId693" Type="http://schemas.openxmlformats.org/officeDocument/2006/relationships/hyperlink" Target="http://data.eastmoney.com/stockdata/600276.html" TargetMode="External"/><Relationship Id="rId139" Type="http://schemas.openxmlformats.org/officeDocument/2006/relationships/hyperlink" Target="http://data.eastmoney.com/stockdata/603613.html" TargetMode="External"/><Relationship Id="rId346" Type="http://schemas.openxmlformats.org/officeDocument/2006/relationships/hyperlink" Target="http://quote.eastmoney.com/300496.html" TargetMode="External"/><Relationship Id="rId553" Type="http://schemas.openxmlformats.org/officeDocument/2006/relationships/hyperlink" Target="http://data.eastmoney.com/stockdata/300639.html" TargetMode="External"/><Relationship Id="rId760" Type="http://schemas.openxmlformats.org/officeDocument/2006/relationships/hyperlink" Target="http://quote.eastmoney.com/600438.html" TargetMode="External"/><Relationship Id="rId998" Type="http://schemas.openxmlformats.org/officeDocument/2006/relationships/hyperlink" Target="http://quote.eastmoney.com/002001.html" TargetMode="External"/><Relationship Id="rId1183" Type="http://schemas.openxmlformats.org/officeDocument/2006/relationships/hyperlink" Target="http://data.eastmoney.com/stockdata/600926.html" TargetMode="External"/><Relationship Id="rId1390" Type="http://schemas.openxmlformats.org/officeDocument/2006/relationships/hyperlink" Target="http://quote.eastmoney.com/600233.html" TargetMode="External"/><Relationship Id="rId206" Type="http://schemas.openxmlformats.org/officeDocument/2006/relationships/hyperlink" Target="http://quote.eastmoney.com/600216.html" TargetMode="External"/><Relationship Id="rId413" Type="http://schemas.openxmlformats.org/officeDocument/2006/relationships/hyperlink" Target="http://data.eastmoney.com/stockdata/601155.html" TargetMode="External"/><Relationship Id="rId858" Type="http://schemas.openxmlformats.org/officeDocument/2006/relationships/hyperlink" Target="http://quote.eastmoney.com/603368.html" TargetMode="External"/><Relationship Id="rId1043" Type="http://schemas.openxmlformats.org/officeDocument/2006/relationships/hyperlink" Target="http://data.eastmoney.com/stockdata/300457.html" TargetMode="External"/><Relationship Id="rId1488" Type="http://schemas.openxmlformats.org/officeDocument/2006/relationships/hyperlink" Target="http://quote.eastmoney.com/601222.html" TargetMode="External"/><Relationship Id="rId1695" Type="http://schemas.openxmlformats.org/officeDocument/2006/relationships/hyperlink" Target="http://data.eastmoney.com/stockdata/601601.html" TargetMode="External"/><Relationship Id="rId620" Type="http://schemas.openxmlformats.org/officeDocument/2006/relationships/hyperlink" Target="http://quote.eastmoney.com/002127.html" TargetMode="External"/><Relationship Id="rId718" Type="http://schemas.openxmlformats.org/officeDocument/2006/relationships/hyperlink" Target="http://quote.eastmoney.com/300124.html" TargetMode="External"/><Relationship Id="rId925" Type="http://schemas.openxmlformats.org/officeDocument/2006/relationships/hyperlink" Target="http://data.eastmoney.com/stockdata/300114.html" TargetMode="External"/><Relationship Id="rId1250" Type="http://schemas.openxmlformats.org/officeDocument/2006/relationships/hyperlink" Target="http://quote.eastmoney.com/603586.html" TargetMode="External"/><Relationship Id="rId1348" Type="http://schemas.openxmlformats.org/officeDocument/2006/relationships/hyperlink" Target="http://quote.eastmoney.com/600167.html" TargetMode="External"/><Relationship Id="rId1555" Type="http://schemas.openxmlformats.org/officeDocument/2006/relationships/hyperlink" Target="http://data.eastmoney.com/stockdata/600875.html" TargetMode="External"/><Relationship Id="rId1762" Type="http://schemas.openxmlformats.org/officeDocument/2006/relationships/hyperlink" Target="http://quote.eastmoney.com/002039.html" TargetMode="External"/><Relationship Id="rId1110" Type="http://schemas.openxmlformats.org/officeDocument/2006/relationships/hyperlink" Target="http://quote.eastmoney.com/002938.html" TargetMode="External"/><Relationship Id="rId1208" Type="http://schemas.openxmlformats.org/officeDocument/2006/relationships/hyperlink" Target="http://quote.eastmoney.com/603997.html" TargetMode="External"/><Relationship Id="rId1415" Type="http://schemas.openxmlformats.org/officeDocument/2006/relationships/hyperlink" Target="http://data.eastmoney.com/stockdata/601838.html" TargetMode="External"/><Relationship Id="rId54" Type="http://schemas.openxmlformats.org/officeDocument/2006/relationships/hyperlink" Target="http://quote.eastmoney.com/300338.html" TargetMode="External"/><Relationship Id="rId1622" Type="http://schemas.openxmlformats.org/officeDocument/2006/relationships/hyperlink" Target="http://quote.eastmoney.com/002478.html" TargetMode="External"/><Relationship Id="rId1927" Type="http://schemas.openxmlformats.org/officeDocument/2006/relationships/hyperlink" Target="http://data.eastmoney.com/stockdata/600028.html" TargetMode="External"/><Relationship Id="rId270" Type="http://schemas.openxmlformats.org/officeDocument/2006/relationships/hyperlink" Target="http://quote.eastmoney.com/002241.html" TargetMode="External"/><Relationship Id="rId130" Type="http://schemas.openxmlformats.org/officeDocument/2006/relationships/hyperlink" Target="http://quote.eastmoney.com/601600.html" TargetMode="External"/><Relationship Id="rId368" Type="http://schemas.openxmlformats.org/officeDocument/2006/relationships/hyperlink" Target="http://quote.eastmoney.com/002683.html" TargetMode="External"/><Relationship Id="rId575" Type="http://schemas.openxmlformats.org/officeDocument/2006/relationships/hyperlink" Target="http://data.eastmoney.com/stockdata/300607.html" TargetMode="External"/><Relationship Id="rId782" Type="http://schemas.openxmlformats.org/officeDocument/2006/relationships/hyperlink" Target="http://quote.eastmoney.com/002599.html" TargetMode="External"/><Relationship Id="rId228" Type="http://schemas.openxmlformats.org/officeDocument/2006/relationships/hyperlink" Target="http://quote.eastmoney.com/002460.html" TargetMode="External"/><Relationship Id="rId435" Type="http://schemas.openxmlformats.org/officeDocument/2006/relationships/hyperlink" Target="http://data.eastmoney.com/stockdata/300735.html" TargetMode="External"/><Relationship Id="rId642" Type="http://schemas.openxmlformats.org/officeDocument/2006/relationships/hyperlink" Target="http://quote.eastmoney.com/002594.html" TargetMode="External"/><Relationship Id="rId1065" Type="http://schemas.openxmlformats.org/officeDocument/2006/relationships/hyperlink" Target="http://data.eastmoney.com/stockdata/002146.html" TargetMode="External"/><Relationship Id="rId1272" Type="http://schemas.openxmlformats.org/officeDocument/2006/relationships/hyperlink" Target="http://quote.eastmoney.com/000031.html" TargetMode="External"/><Relationship Id="rId502" Type="http://schemas.openxmlformats.org/officeDocument/2006/relationships/hyperlink" Target="http://quote.eastmoney.com/002049.html" TargetMode="External"/><Relationship Id="rId947" Type="http://schemas.openxmlformats.org/officeDocument/2006/relationships/hyperlink" Target="http://data.eastmoney.com/stockdata/002449.html" TargetMode="External"/><Relationship Id="rId1132" Type="http://schemas.openxmlformats.org/officeDocument/2006/relationships/hyperlink" Target="http://quote.eastmoney.com/601899.html" TargetMode="External"/><Relationship Id="rId1577" Type="http://schemas.openxmlformats.org/officeDocument/2006/relationships/hyperlink" Target="http://data.eastmoney.com/stockdata/603298.html" TargetMode="External"/><Relationship Id="rId1784" Type="http://schemas.openxmlformats.org/officeDocument/2006/relationships/hyperlink" Target="http://quote.eastmoney.com/600580.html" TargetMode="External"/><Relationship Id="rId1991" Type="http://schemas.openxmlformats.org/officeDocument/2006/relationships/hyperlink" Target="http://data.eastmoney.com/stockdata/600136.html" TargetMode="External"/><Relationship Id="rId76" Type="http://schemas.openxmlformats.org/officeDocument/2006/relationships/hyperlink" Target="http://quote.eastmoney.com/600988.html" TargetMode="External"/><Relationship Id="rId807" Type="http://schemas.openxmlformats.org/officeDocument/2006/relationships/hyperlink" Target="http://data.eastmoney.com/stockdata/601012.html" TargetMode="External"/><Relationship Id="rId1437" Type="http://schemas.openxmlformats.org/officeDocument/2006/relationships/hyperlink" Target="http://data.eastmoney.com/stockdata/300616.html" TargetMode="External"/><Relationship Id="rId1644" Type="http://schemas.openxmlformats.org/officeDocument/2006/relationships/hyperlink" Target="http://quote.eastmoney.com/600641.html" TargetMode="External"/><Relationship Id="rId1851" Type="http://schemas.openxmlformats.org/officeDocument/2006/relationships/hyperlink" Target="http://data.eastmoney.com/stockdata/600066.html" TargetMode="External"/><Relationship Id="rId1504" Type="http://schemas.openxmlformats.org/officeDocument/2006/relationships/hyperlink" Target="http://quote.eastmoney.com/002555.html" TargetMode="External"/><Relationship Id="rId1711" Type="http://schemas.openxmlformats.org/officeDocument/2006/relationships/hyperlink" Target="http://data.eastmoney.com/stockdata/601900.html" TargetMode="External"/><Relationship Id="rId1949" Type="http://schemas.openxmlformats.org/officeDocument/2006/relationships/hyperlink" Target="http://data.eastmoney.com/stockdata/300251.html" TargetMode="External"/><Relationship Id="rId292" Type="http://schemas.openxmlformats.org/officeDocument/2006/relationships/hyperlink" Target="http://quote.eastmoney.com/300684.html" TargetMode="External"/><Relationship Id="rId1809" Type="http://schemas.openxmlformats.org/officeDocument/2006/relationships/hyperlink" Target="http://data.eastmoney.com/stockdata/601168.html" TargetMode="External"/><Relationship Id="rId597" Type="http://schemas.openxmlformats.org/officeDocument/2006/relationships/hyperlink" Target="http://data.eastmoney.com/stockdata/300190.html" TargetMode="External"/><Relationship Id="rId152" Type="http://schemas.openxmlformats.org/officeDocument/2006/relationships/hyperlink" Target="http://quote.eastmoney.com/603056.html" TargetMode="External"/><Relationship Id="rId457" Type="http://schemas.openxmlformats.org/officeDocument/2006/relationships/hyperlink" Target="http://data.eastmoney.com/stockdata/688088.html" TargetMode="External"/><Relationship Id="rId1087" Type="http://schemas.openxmlformats.org/officeDocument/2006/relationships/hyperlink" Target="http://data.eastmoney.com/stockdata/002511.html" TargetMode="External"/><Relationship Id="rId1294" Type="http://schemas.openxmlformats.org/officeDocument/2006/relationships/hyperlink" Target="http://quote.eastmoney.com/603008.html" TargetMode="External"/><Relationship Id="rId664" Type="http://schemas.openxmlformats.org/officeDocument/2006/relationships/hyperlink" Target="http://quote.eastmoney.com/300033.html" TargetMode="External"/><Relationship Id="rId871" Type="http://schemas.openxmlformats.org/officeDocument/2006/relationships/hyperlink" Target="http://data.eastmoney.com/stockdata/600011.html" TargetMode="External"/><Relationship Id="rId969" Type="http://schemas.openxmlformats.org/officeDocument/2006/relationships/hyperlink" Target="http://data.eastmoney.com/stockdata/300642.html" TargetMode="External"/><Relationship Id="rId1599" Type="http://schemas.openxmlformats.org/officeDocument/2006/relationships/hyperlink" Target="http://data.eastmoney.com/stockdata/600597.html" TargetMode="External"/><Relationship Id="rId317" Type="http://schemas.openxmlformats.org/officeDocument/2006/relationships/hyperlink" Target="http://data.eastmoney.com/stockdata/002747.html" TargetMode="External"/><Relationship Id="rId524" Type="http://schemas.openxmlformats.org/officeDocument/2006/relationships/hyperlink" Target="http://quote.eastmoney.com/300450.html" TargetMode="External"/><Relationship Id="rId731" Type="http://schemas.openxmlformats.org/officeDocument/2006/relationships/hyperlink" Target="http://data.eastmoney.com/stockdata/300394.html" TargetMode="External"/><Relationship Id="rId1154" Type="http://schemas.openxmlformats.org/officeDocument/2006/relationships/hyperlink" Target="http://quote.eastmoney.com/600557.html" TargetMode="External"/><Relationship Id="rId1361" Type="http://schemas.openxmlformats.org/officeDocument/2006/relationships/hyperlink" Target="http://data.eastmoney.com/stockdata/600088.html" TargetMode="External"/><Relationship Id="rId1459" Type="http://schemas.openxmlformats.org/officeDocument/2006/relationships/hyperlink" Target="http://data.eastmoney.com/stockdata/601137.html" TargetMode="External"/><Relationship Id="rId98" Type="http://schemas.openxmlformats.org/officeDocument/2006/relationships/hyperlink" Target="http://quote.eastmoney.com/000807.html" TargetMode="External"/><Relationship Id="rId829" Type="http://schemas.openxmlformats.org/officeDocument/2006/relationships/hyperlink" Target="http://data.eastmoney.com/stockdata/603317.html" TargetMode="External"/><Relationship Id="rId1014" Type="http://schemas.openxmlformats.org/officeDocument/2006/relationships/hyperlink" Target="http://quote.eastmoney.com/300146.html" TargetMode="External"/><Relationship Id="rId1221" Type="http://schemas.openxmlformats.org/officeDocument/2006/relationships/hyperlink" Target="http://data.eastmoney.com/stockdata/300571.html" TargetMode="External"/><Relationship Id="rId1666" Type="http://schemas.openxmlformats.org/officeDocument/2006/relationships/hyperlink" Target="http://quote.eastmoney.com/600170.html" TargetMode="External"/><Relationship Id="rId1873" Type="http://schemas.openxmlformats.org/officeDocument/2006/relationships/hyperlink" Target="http://data.eastmoney.com/stockdata/600019.html" TargetMode="External"/><Relationship Id="rId1319" Type="http://schemas.openxmlformats.org/officeDocument/2006/relationships/hyperlink" Target="http://data.eastmoney.com/stockdata/000968.html" TargetMode="External"/><Relationship Id="rId1526" Type="http://schemas.openxmlformats.org/officeDocument/2006/relationships/hyperlink" Target="http://quote.eastmoney.com/000001.html" TargetMode="External"/><Relationship Id="rId1733" Type="http://schemas.openxmlformats.org/officeDocument/2006/relationships/hyperlink" Target="http://data.eastmoney.com/stockdata/002233.html" TargetMode="External"/><Relationship Id="rId1940" Type="http://schemas.openxmlformats.org/officeDocument/2006/relationships/hyperlink" Target="http://quote.eastmoney.com/601225.html" TargetMode="External"/><Relationship Id="rId25" Type="http://schemas.openxmlformats.org/officeDocument/2006/relationships/hyperlink" Target="http://data.eastmoney.com/stockdata/600882.html" TargetMode="External"/><Relationship Id="rId1800" Type="http://schemas.openxmlformats.org/officeDocument/2006/relationships/hyperlink" Target="http://quote.eastmoney.com/002318.html" TargetMode="External"/><Relationship Id="rId174" Type="http://schemas.openxmlformats.org/officeDocument/2006/relationships/hyperlink" Target="http://quote.eastmoney.com/002230.html" TargetMode="External"/><Relationship Id="rId381" Type="http://schemas.openxmlformats.org/officeDocument/2006/relationships/hyperlink" Target="http://data.eastmoney.com/stockdata/300347.html" TargetMode="External"/><Relationship Id="rId241" Type="http://schemas.openxmlformats.org/officeDocument/2006/relationships/hyperlink" Target="http://data.eastmoney.com/stockdata/300725.html" TargetMode="External"/><Relationship Id="rId479" Type="http://schemas.openxmlformats.org/officeDocument/2006/relationships/hyperlink" Target="http://data.eastmoney.com/stockdata/002090.html" TargetMode="External"/><Relationship Id="rId686" Type="http://schemas.openxmlformats.org/officeDocument/2006/relationships/hyperlink" Target="http://quote.eastmoney.com/600340.html" TargetMode="External"/><Relationship Id="rId893" Type="http://schemas.openxmlformats.org/officeDocument/2006/relationships/hyperlink" Target="http://data.eastmoney.com/stockdata/600183.html" TargetMode="External"/><Relationship Id="rId339" Type="http://schemas.openxmlformats.org/officeDocument/2006/relationships/hyperlink" Target="http://data.eastmoney.com/stockdata/300424.html" TargetMode="External"/><Relationship Id="rId546" Type="http://schemas.openxmlformats.org/officeDocument/2006/relationships/hyperlink" Target="http://quote.eastmoney.com/002768.html" TargetMode="External"/><Relationship Id="rId753" Type="http://schemas.openxmlformats.org/officeDocument/2006/relationships/hyperlink" Target="http://data.eastmoney.com/stockdata/002968.html" TargetMode="External"/><Relationship Id="rId1176" Type="http://schemas.openxmlformats.org/officeDocument/2006/relationships/hyperlink" Target="http://quote.eastmoney.com/000963.html" TargetMode="External"/><Relationship Id="rId1383" Type="http://schemas.openxmlformats.org/officeDocument/2006/relationships/hyperlink" Target="http://data.eastmoney.com/stockdata/600380.html" TargetMode="External"/><Relationship Id="rId101" Type="http://schemas.openxmlformats.org/officeDocument/2006/relationships/hyperlink" Target="http://data.eastmoney.com/stockdata/300630.html" TargetMode="External"/><Relationship Id="rId406" Type="http://schemas.openxmlformats.org/officeDocument/2006/relationships/hyperlink" Target="http://quote.eastmoney.com/603737.html" TargetMode="External"/><Relationship Id="rId960" Type="http://schemas.openxmlformats.org/officeDocument/2006/relationships/hyperlink" Target="http://quote.eastmoney.com/600779.html" TargetMode="External"/><Relationship Id="rId1036" Type="http://schemas.openxmlformats.org/officeDocument/2006/relationships/hyperlink" Target="http://quote.eastmoney.com/300750.html" TargetMode="External"/><Relationship Id="rId1243" Type="http://schemas.openxmlformats.org/officeDocument/2006/relationships/hyperlink" Target="http://data.eastmoney.com/stockdata/300495.html" TargetMode="External"/><Relationship Id="rId1590" Type="http://schemas.openxmlformats.org/officeDocument/2006/relationships/hyperlink" Target="http://quote.eastmoney.com/600036.html" TargetMode="External"/><Relationship Id="rId1688" Type="http://schemas.openxmlformats.org/officeDocument/2006/relationships/hyperlink" Target="http://quote.eastmoney.com/002304.html" TargetMode="External"/><Relationship Id="rId1895" Type="http://schemas.openxmlformats.org/officeDocument/2006/relationships/hyperlink" Target="http://data.eastmoney.com/stockdata/000898.html" TargetMode="External"/><Relationship Id="rId613" Type="http://schemas.openxmlformats.org/officeDocument/2006/relationships/hyperlink" Target="http://data.eastmoney.com/stockdata/603605.html" TargetMode="External"/><Relationship Id="rId820" Type="http://schemas.openxmlformats.org/officeDocument/2006/relationships/hyperlink" Target="http://quote.eastmoney.com/002901.html" TargetMode="External"/><Relationship Id="rId918" Type="http://schemas.openxmlformats.org/officeDocument/2006/relationships/hyperlink" Target="http://quote.eastmoney.com/300296.html" TargetMode="External"/><Relationship Id="rId1450" Type="http://schemas.openxmlformats.org/officeDocument/2006/relationships/hyperlink" Target="http://quote.eastmoney.com/600491.html" TargetMode="External"/><Relationship Id="rId1548" Type="http://schemas.openxmlformats.org/officeDocument/2006/relationships/hyperlink" Target="http://quote.eastmoney.com/601211.html" TargetMode="External"/><Relationship Id="rId1755" Type="http://schemas.openxmlformats.org/officeDocument/2006/relationships/hyperlink" Target="http://data.eastmoney.com/stockdata/600068.html" TargetMode="External"/><Relationship Id="rId1103" Type="http://schemas.openxmlformats.org/officeDocument/2006/relationships/hyperlink" Target="http://data.eastmoney.com/stockdata/002734.html" TargetMode="External"/><Relationship Id="rId1310" Type="http://schemas.openxmlformats.org/officeDocument/2006/relationships/hyperlink" Target="http://quote.eastmoney.com/000967.html" TargetMode="External"/><Relationship Id="rId1408" Type="http://schemas.openxmlformats.org/officeDocument/2006/relationships/hyperlink" Target="http://quote.eastmoney.com/601229.html" TargetMode="External"/><Relationship Id="rId1962" Type="http://schemas.openxmlformats.org/officeDocument/2006/relationships/hyperlink" Target="http://quote.eastmoney.com/002128.html" TargetMode="External"/><Relationship Id="rId47" Type="http://schemas.openxmlformats.org/officeDocument/2006/relationships/hyperlink" Target="http://data.eastmoney.com/stockdata/603799.html" TargetMode="External"/><Relationship Id="rId1615" Type="http://schemas.openxmlformats.org/officeDocument/2006/relationships/hyperlink" Target="http://data.eastmoney.com/stockdata/600258.html" TargetMode="External"/><Relationship Id="rId1822" Type="http://schemas.openxmlformats.org/officeDocument/2006/relationships/hyperlink" Target="http://quote.eastmoney.com/002317.html" TargetMode="External"/><Relationship Id="rId196" Type="http://schemas.openxmlformats.org/officeDocument/2006/relationships/hyperlink" Target="http://quote.eastmoney.com/300474.html" TargetMode="External"/><Relationship Id="rId263" Type="http://schemas.openxmlformats.org/officeDocument/2006/relationships/hyperlink" Target="http://data.eastmoney.com/stockdata/300525.html" TargetMode="External"/><Relationship Id="rId470" Type="http://schemas.openxmlformats.org/officeDocument/2006/relationships/hyperlink" Target="http://quote.eastmoney.com/600871.html" TargetMode="External"/><Relationship Id="rId123" Type="http://schemas.openxmlformats.org/officeDocument/2006/relationships/hyperlink" Target="http://data.eastmoney.com/stockdata/603005.html" TargetMode="External"/><Relationship Id="rId330" Type="http://schemas.openxmlformats.org/officeDocument/2006/relationships/hyperlink" Target="http://quote.eastmoney.com/002036.html" TargetMode="External"/><Relationship Id="rId568" Type="http://schemas.openxmlformats.org/officeDocument/2006/relationships/hyperlink" Target="http://quote.eastmoney.com/000661.html" TargetMode="External"/><Relationship Id="rId775" Type="http://schemas.openxmlformats.org/officeDocument/2006/relationships/hyperlink" Target="http://data.eastmoney.com/stockdata/002332.html" TargetMode="External"/><Relationship Id="rId982" Type="http://schemas.openxmlformats.org/officeDocument/2006/relationships/hyperlink" Target="http://quote.eastmoney.com/300034.html" TargetMode="External"/><Relationship Id="rId1198" Type="http://schemas.openxmlformats.org/officeDocument/2006/relationships/hyperlink" Target="http://quote.eastmoney.com/002468.html" TargetMode="External"/><Relationship Id="rId2011" Type="http://schemas.openxmlformats.org/officeDocument/2006/relationships/hyperlink" Target="http://data.eastmoney.com/stockdata/600583.html" TargetMode="External"/><Relationship Id="rId428" Type="http://schemas.openxmlformats.org/officeDocument/2006/relationships/hyperlink" Target="http://quote.eastmoney.com/603496.html" TargetMode="External"/><Relationship Id="rId635" Type="http://schemas.openxmlformats.org/officeDocument/2006/relationships/hyperlink" Target="http://data.eastmoney.com/stockdata/603606.html" TargetMode="External"/><Relationship Id="rId842" Type="http://schemas.openxmlformats.org/officeDocument/2006/relationships/hyperlink" Target="http://quote.eastmoney.com/000656.html" TargetMode="External"/><Relationship Id="rId1058" Type="http://schemas.openxmlformats.org/officeDocument/2006/relationships/hyperlink" Target="http://quote.eastmoney.com/600570.html" TargetMode="External"/><Relationship Id="rId1265" Type="http://schemas.openxmlformats.org/officeDocument/2006/relationships/hyperlink" Target="http://data.eastmoney.com/stockdata/603103.html" TargetMode="External"/><Relationship Id="rId1472" Type="http://schemas.openxmlformats.org/officeDocument/2006/relationships/hyperlink" Target="http://quote.eastmoney.com/002705.html" TargetMode="External"/><Relationship Id="rId702" Type="http://schemas.openxmlformats.org/officeDocument/2006/relationships/hyperlink" Target="http://quote.eastmoney.com/603711.html" TargetMode="External"/><Relationship Id="rId1125" Type="http://schemas.openxmlformats.org/officeDocument/2006/relationships/hyperlink" Target="http://data.eastmoney.com/stockdata/300497.html" TargetMode="External"/><Relationship Id="rId1332" Type="http://schemas.openxmlformats.org/officeDocument/2006/relationships/hyperlink" Target="http://quote.eastmoney.com/002867.html" TargetMode="External"/><Relationship Id="rId1777" Type="http://schemas.openxmlformats.org/officeDocument/2006/relationships/hyperlink" Target="http://data.eastmoney.com/stockdata/600352.html" TargetMode="External"/><Relationship Id="rId1984" Type="http://schemas.openxmlformats.org/officeDocument/2006/relationships/hyperlink" Target="http://quote.eastmoney.com/002182.html" TargetMode="External"/><Relationship Id="rId69" Type="http://schemas.openxmlformats.org/officeDocument/2006/relationships/hyperlink" Target="http://data.eastmoney.com/stockdata/002792.html" TargetMode="External"/><Relationship Id="rId1637" Type="http://schemas.openxmlformats.org/officeDocument/2006/relationships/hyperlink" Target="http://data.eastmoney.com/stockdata/600461.html" TargetMode="External"/><Relationship Id="rId1844" Type="http://schemas.openxmlformats.org/officeDocument/2006/relationships/hyperlink" Target="http://quote.eastmoney.com/601618.html" TargetMode="External"/><Relationship Id="rId1704" Type="http://schemas.openxmlformats.org/officeDocument/2006/relationships/hyperlink" Target="http://quote.eastmoney.com/000738.html" TargetMode="External"/><Relationship Id="rId285" Type="http://schemas.openxmlformats.org/officeDocument/2006/relationships/hyperlink" Target="http://data.eastmoney.com/stockdata/603019.html" TargetMode="External"/><Relationship Id="rId1911" Type="http://schemas.openxmlformats.org/officeDocument/2006/relationships/hyperlink" Target="http://data.eastmoney.com/stockdata/601677.html" TargetMode="External"/><Relationship Id="rId492" Type="http://schemas.openxmlformats.org/officeDocument/2006/relationships/hyperlink" Target="http://quote.eastmoney.com/603040.html" TargetMode="External"/><Relationship Id="rId797" Type="http://schemas.openxmlformats.org/officeDocument/2006/relationships/hyperlink" Target="http://data.eastmoney.com/stockdata/300088.html" TargetMode="External"/><Relationship Id="rId145" Type="http://schemas.openxmlformats.org/officeDocument/2006/relationships/hyperlink" Target="http://data.eastmoney.com/stockdata/300550.html" TargetMode="External"/><Relationship Id="rId352" Type="http://schemas.openxmlformats.org/officeDocument/2006/relationships/hyperlink" Target="http://quote.eastmoney.com/002912.html" TargetMode="External"/><Relationship Id="rId1287" Type="http://schemas.openxmlformats.org/officeDocument/2006/relationships/hyperlink" Target="http://data.eastmoney.com/stockdata/603983.html" TargetMode="External"/><Relationship Id="rId212" Type="http://schemas.openxmlformats.org/officeDocument/2006/relationships/hyperlink" Target="http://quote.eastmoney.com/688012.html" TargetMode="External"/><Relationship Id="rId657" Type="http://schemas.openxmlformats.org/officeDocument/2006/relationships/hyperlink" Target="http://data.eastmoney.com/stockdata/002010.html" TargetMode="External"/><Relationship Id="rId864" Type="http://schemas.openxmlformats.org/officeDocument/2006/relationships/hyperlink" Target="http://quote.eastmoney.com/002271.html" TargetMode="External"/><Relationship Id="rId1494" Type="http://schemas.openxmlformats.org/officeDocument/2006/relationships/hyperlink" Target="http://quote.eastmoney.com/603515.html" TargetMode="External"/><Relationship Id="rId1799" Type="http://schemas.openxmlformats.org/officeDocument/2006/relationships/hyperlink" Target="http://data.eastmoney.com/stockdata/600977.html" TargetMode="External"/><Relationship Id="rId517" Type="http://schemas.openxmlformats.org/officeDocument/2006/relationships/hyperlink" Target="http://data.eastmoney.com/stockdata/600050.html" TargetMode="External"/><Relationship Id="rId724" Type="http://schemas.openxmlformats.org/officeDocument/2006/relationships/hyperlink" Target="http://quote.eastmoney.com/000826.html" TargetMode="External"/><Relationship Id="rId931" Type="http://schemas.openxmlformats.org/officeDocument/2006/relationships/hyperlink" Target="http://data.eastmoney.com/stockdata/600606.html" TargetMode="External"/><Relationship Id="rId1147" Type="http://schemas.openxmlformats.org/officeDocument/2006/relationships/hyperlink" Target="http://data.eastmoney.com/stockdata/002582.html" TargetMode="External"/><Relationship Id="rId1354" Type="http://schemas.openxmlformats.org/officeDocument/2006/relationships/hyperlink" Target="http://quote.eastmoney.com/300623.html" TargetMode="External"/><Relationship Id="rId1561" Type="http://schemas.openxmlformats.org/officeDocument/2006/relationships/hyperlink" Target="http://data.eastmoney.com/stockdata/600376.html" TargetMode="External"/><Relationship Id="rId60" Type="http://schemas.openxmlformats.org/officeDocument/2006/relationships/hyperlink" Target="http://quote.eastmoney.com/603501.html" TargetMode="External"/><Relationship Id="rId1007" Type="http://schemas.openxmlformats.org/officeDocument/2006/relationships/hyperlink" Target="http://data.eastmoney.com/stockdata/002773.html" TargetMode="External"/><Relationship Id="rId1214" Type="http://schemas.openxmlformats.org/officeDocument/2006/relationships/hyperlink" Target="http://quote.eastmoney.com/000090.html" TargetMode="External"/><Relationship Id="rId1421" Type="http://schemas.openxmlformats.org/officeDocument/2006/relationships/hyperlink" Target="http://data.eastmoney.com/stockdata/600459.html" TargetMode="External"/><Relationship Id="rId1659" Type="http://schemas.openxmlformats.org/officeDocument/2006/relationships/hyperlink" Target="http://data.eastmoney.com/stockdata/002736.html" TargetMode="External"/><Relationship Id="rId1866" Type="http://schemas.openxmlformats.org/officeDocument/2006/relationships/hyperlink" Target="http://quote.eastmoney.com/600085.html" TargetMode="External"/><Relationship Id="rId1519" Type="http://schemas.openxmlformats.org/officeDocument/2006/relationships/hyperlink" Target="http://data.eastmoney.com/stockdata/600894.html" TargetMode="External"/><Relationship Id="rId1726" Type="http://schemas.openxmlformats.org/officeDocument/2006/relationships/hyperlink" Target="http://quote.eastmoney.com/600009.html" TargetMode="External"/><Relationship Id="rId1933" Type="http://schemas.openxmlformats.org/officeDocument/2006/relationships/hyperlink" Target="http://data.eastmoney.com/stockdata/600886.html" TargetMode="External"/><Relationship Id="rId18" Type="http://schemas.openxmlformats.org/officeDocument/2006/relationships/hyperlink" Target="http://quote.eastmoney.com/300324.html" TargetMode="External"/><Relationship Id="rId167" Type="http://schemas.openxmlformats.org/officeDocument/2006/relationships/hyperlink" Target="http://data.eastmoney.com/stockdata/002796.html" TargetMode="External"/><Relationship Id="rId374" Type="http://schemas.openxmlformats.org/officeDocument/2006/relationships/hyperlink" Target="http://quote.eastmoney.com/603218.html" TargetMode="External"/><Relationship Id="rId581" Type="http://schemas.openxmlformats.org/officeDocument/2006/relationships/hyperlink" Target="http://data.eastmoney.com/stockdata/000043.html" TargetMode="External"/><Relationship Id="rId234" Type="http://schemas.openxmlformats.org/officeDocument/2006/relationships/hyperlink" Target="http://quote.eastmoney.com/002216.html" TargetMode="External"/><Relationship Id="rId679" Type="http://schemas.openxmlformats.org/officeDocument/2006/relationships/hyperlink" Target="http://data.eastmoney.com/stockdata/000600.html" TargetMode="External"/><Relationship Id="rId886" Type="http://schemas.openxmlformats.org/officeDocument/2006/relationships/hyperlink" Target="http://quote.eastmoney.com/601111.html" TargetMode="External"/><Relationship Id="rId2" Type="http://schemas.openxmlformats.org/officeDocument/2006/relationships/hyperlink" Target="javascript:;" TargetMode="External"/><Relationship Id="rId441" Type="http://schemas.openxmlformats.org/officeDocument/2006/relationships/hyperlink" Target="http://data.eastmoney.com/stockdata/002539.html" TargetMode="External"/><Relationship Id="rId539" Type="http://schemas.openxmlformats.org/officeDocument/2006/relationships/hyperlink" Target="http://data.eastmoney.com/stockdata/002821.html" TargetMode="External"/><Relationship Id="rId746" Type="http://schemas.openxmlformats.org/officeDocument/2006/relationships/hyperlink" Target="http://quote.eastmoney.com/002409.html" TargetMode="External"/><Relationship Id="rId1071" Type="http://schemas.openxmlformats.org/officeDocument/2006/relationships/hyperlink" Target="http://data.eastmoney.com/stockdata/002262.html" TargetMode="External"/><Relationship Id="rId1169" Type="http://schemas.openxmlformats.org/officeDocument/2006/relationships/hyperlink" Target="http://data.eastmoney.com/stockdata/600885.html" TargetMode="External"/><Relationship Id="rId1376" Type="http://schemas.openxmlformats.org/officeDocument/2006/relationships/hyperlink" Target="http://quote.eastmoney.com/600271.html" TargetMode="External"/><Relationship Id="rId1583" Type="http://schemas.openxmlformats.org/officeDocument/2006/relationships/hyperlink" Target="http://data.eastmoney.com/stockdata/000560.html" TargetMode="External"/><Relationship Id="rId301" Type="http://schemas.openxmlformats.org/officeDocument/2006/relationships/hyperlink" Target="http://data.eastmoney.com/stockdata/300661.html" TargetMode="External"/><Relationship Id="rId953" Type="http://schemas.openxmlformats.org/officeDocument/2006/relationships/hyperlink" Target="http://data.eastmoney.com/stockdata/002925.html" TargetMode="External"/><Relationship Id="rId1029" Type="http://schemas.openxmlformats.org/officeDocument/2006/relationships/hyperlink" Target="http://data.eastmoney.com/stockdata/300285.html" TargetMode="External"/><Relationship Id="rId1236" Type="http://schemas.openxmlformats.org/officeDocument/2006/relationships/hyperlink" Target="http://quote.eastmoney.com/002223.html" TargetMode="External"/><Relationship Id="rId1790" Type="http://schemas.openxmlformats.org/officeDocument/2006/relationships/hyperlink" Target="http://quote.eastmoney.com/600373.html" TargetMode="External"/><Relationship Id="rId1888" Type="http://schemas.openxmlformats.org/officeDocument/2006/relationships/hyperlink" Target="http://quote.eastmoney.com/000581.html" TargetMode="External"/><Relationship Id="rId82" Type="http://schemas.openxmlformats.org/officeDocument/2006/relationships/hyperlink" Target="http://quote.eastmoney.com/002385.html" TargetMode="External"/><Relationship Id="rId606" Type="http://schemas.openxmlformats.org/officeDocument/2006/relationships/hyperlink" Target="http://quote.eastmoney.com/002851.html" TargetMode="External"/><Relationship Id="rId813" Type="http://schemas.openxmlformats.org/officeDocument/2006/relationships/hyperlink" Target="http://data.eastmoney.com/stockdata/002367.html" TargetMode="External"/><Relationship Id="rId1443" Type="http://schemas.openxmlformats.org/officeDocument/2006/relationships/hyperlink" Target="http://data.eastmoney.com/stockdata/002013.html" TargetMode="External"/><Relationship Id="rId1650" Type="http://schemas.openxmlformats.org/officeDocument/2006/relationships/hyperlink" Target="http://quote.eastmoney.com/600655.html" TargetMode="External"/><Relationship Id="rId1748" Type="http://schemas.openxmlformats.org/officeDocument/2006/relationships/hyperlink" Target="http://quote.eastmoney.com/000976.html" TargetMode="External"/><Relationship Id="rId1303" Type="http://schemas.openxmlformats.org/officeDocument/2006/relationships/hyperlink" Target="http://data.eastmoney.com/stockdata/002518.html" TargetMode="External"/><Relationship Id="rId1510" Type="http://schemas.openxmlformats.org/officeDocument/2006/relationships/hyperlink" Target="http://quote.eastmoney.com/000603.html" TargetMode="External"/><Relationship Id="rId1955" Type="http://schemas.openxmlformats.org/officeDocument/2006/relationships/hyperlink" Target="http://data.eastmoney.com/stockdata/600348.html" TargetMode="External"/><Relationship Id="rId1608" Type="http://schemas.openxmlformats.org/officeDocument/2006/relationships/hyperlink" Target="http://quote.eastmoney.com/300418.html" TargetMode="External"/><Relationship Id="rId1815" Type="http://schemas.openxmlformats.org/officeDocument/2006/relationships/hyperlink" Target="http://data.eastmoney.com/stockdata/601857.html" TargetMode="External"/><Relationship Id="rId189" Type="http://schemas.openxmlformats.org/officeDocument/2006/relationships/hyperlink" Target="http://data.eastmoney.com/stockdata/601615.html" TargetMode="External"/><Relationship Id="rId396" Type="http://schemas.openxmlformats.org/officeDocument/2006/relationships/hyperlink" Target="http://quote.eastmoney.com/300078.html" TargetMode="External"/><Relationship Id="rId256" Type="http://schemas.openxmlformats.org/officeDocument/2006/relationships/hyperlink" Target="http://quote.eastmoney.com/300502.html" TargetMode="External"/><Relationship Id="rId463" Type="http://schemas.openxmlformats.org/officeDocument/2006/relationships/hyperlink" Target="http://data.eastmoney.com/stockdata/002946.html" TargetMode="External"/><Relationship Id="rId670" Type="http://schemas.openxmlformats.org/officeDocument/2006/relationships/hyperlink" Target="http://quote.eastmoney.com/002669.html" TargetMode="External"/><Relationship Id="rId1093" Type="http://schemas.openxmlformats.org/officeDocument/2006/relationships/hyperlink" Target="http://data.eastmoney.com/stockdata/600958.html" TargetMode="External"/><Relationship Id="rId116" Type="http://schemas.openxmlformats.org/officeDocument/2006/relationships/hyperlink" Target="http://quote.eastmoney.com/002891.html" TargetMode="External"/><Relationship Id="rId323" Type="http://schemas.openxmlformats.org/officeDocument/2006/relationships/hyperlink" Target="http://data.eastmoney.com/stockdata/300579.html" TargetMode="External"/><Relationship Id="rId530" Type="http://schemas.openxmlformats.org/officeDocument/2006/relationships/hyperlink" Target="http://quote.eastmoney.com/300438.html" TargetMode="External"/><Relationship Id="rId768" Type="http://schemas.openxmlformats.org/officeDocument/2006/relationships/hyperlink" Target="http://quote.eastmoney.com/603039.html" TargetMode="External"/><Relationship Id="rId975" Type="http://schemas.openxmlformats.org/officeDocument/2006/relationships/hyperlink" Target="http://data.eastmoney.com/stockdata/600487.html" TargetMode="External"/><Relationship Id="rId1160" Type="http://schemas.openxmlformats.org/officeDocument/2006/relationships/hyperlink" Target="http://quote.eastmoney.com/600760.html" TargetMode="External"/><Relationship Id="rId1398" Type="http://schemas.openxmlformats.org/officeDocument/2006/relationships/hyperlink" Target="http://quote.eastmoney.com/002352.html" TargetMode="External"/><Relationship Id="rId2004" Type="http://schemas.openxmlformats.org/officeDocument/2006/relationships/hyperlink" Target="http://quote.eastmoney.com/002024.html" TargetMode="External"/><Relationship Id="rId628" Type="http://schemas.openxmlformats.org/officeDocument/2006/relationships/hyperlink" Target="http://quote.eastmoney.com/300624.html" TargetMode="External"/><Relationship Id="rId835" Type="http://schemas.openxmlformats.org/officeDocument/2006/relationships/hyperlink" Target="http://data.eastmoney.com/stockdata/603611.html" TargetMode="External"/><Relationship Id="rId1258" Type="http://schemas.openxmlformats.org/officeDocument/2006/relationships/hyperlink" Target="http://quote.eastmoney.com/603866.html" TargetMode="External"/><Relationship Id="rId1465" Type="http://schemas.openxmlformats.org/officeDocument/2006/relationships/hyperlink" Target="http://data.eastmoney.com/stockdata/300043.html" TargetMode="External"/><Relationship Id="rId1672" Type="http://schemas.openxmlformats.org/officeDocument/2006/relationships/hyperlink" Target="http://quote.eastmoney.com/000498.html" TargetMode="External"/><Relationship Id="rId1020" Type="http://schemas.openxmlformats.org/officeDocument/2006/relationships/hyperlink" Target="http://quote.eastmoney.com/600498.html" TargetMode="External"/><Relationship Id="rId1118" Type="http://schemas.openxmlformats.org/officeDocument/2006/relationships/hyperlink" Target="http://quote.eastmoney.com/600867.html" TargetMode="External"/><Relationship Id="rId1325" Type="http://schemas.openxmlformats.org/officeDocument/2006/relationships/hyperlink" Target="http://data.eastmoney.com/stockdata/000553.html" TargetMode="External"/><Relationship Id="rId1532" Type="http://schemas.openxmlformats.org/officeDocument/2006/relationships/hyperlink" Target="http://quote.eastmoney.com/600862.html" TargetMode="External"/><Relationship Id="rId1977" Type="http://schemas.openxmlformats.org/officeDocument/2006/relationships/hyperlink" Target="http://data.eastmoney.com/stockdata/600900.html" TargetMode="External"/><Relationship Id="rId902" Type="http://schemas.openxmlformats.org/officeDocument/2006/relationships/hyperlink" Target="http://quote.eastmoney.com/601799.html" TargetMode="External"/><Relationship Id="rId1837" Type="http://schemas.openxmlformats.org/officeDocument/2006/relationships/hyperlink" Target="http://data.eastmoney.com/stockdata/601398.html" TargetMode="External"/><Relationship Id="rId31" Type="http://schemas.openxmlformats.org/officeDocument/2006/relationships/hyperlink" Target="http://data.eastmoney.com/stockdata/002570.html" TargetMode="External"/><Relationship Id="rId180" Type="http://schemas.openxmlformats.org/officeDocument/2006/relationships/hyperlink" Target="http://quote.eastmoney.com/603679.html" TargetMode="External"/><Relationship Id="rId278" Type="http://schemas.openxmlformats.org/officeDocument/2006/relationships/hyperlink" Target="http://quote.eastmoney.com/600984.html" TargetMode="External"/><Relationship Id="rId1904" Type="http://schemas.openxmlformats.org/officeDocument/2006/relationships/hyperlink" Target="http://quote.eastmoney.com/601699.html" TargetMode="External"/><Relationship Id="rId485" Type="http://schemas.openxmlformats.org/officeDocument/2006/relationships/hyperlink" Target="http://data.eastmoney.com/stockdata/600409.html" TargetMode="External"/><Relationship Id="rId692" Type="http://schemas.openxmlformats.org/officeDocument/2006/relationships/hyperlink" Target="http://quote.eastmoney.com/600276.html" TargetMode="External"/><Relationship Id="rId138" Type="http://schemas.openxmlformats.org/officeDocument/2006/relationships/hyperlink" Target="http://quote.eastmoney.com/603613.html" TargetMode="External"/><Relationship Id="rId345" Type="http://schemas.openxmlformats.org/officeDocument/2006/relationships/hyperlink" Target="http://data.eastmoney.com/stockdata/300073.html" TargetMode="External"/><Relationship Id="rId552" Type="http://schemas.openxmlformats.org/officeDocument/2006/relationships/hyperlink" Target="http://quote.eastmoney.com/300639.html" TargetMode="External"/><Relationship Id="rId997" Type="http://schemas.openxmlformats.org/officeDocument/2006/relationships/hyperlink" Target="http://data.eastmoney.com/stockdata/000568.html" TargetMode="External"/><Relationship Id="rId1182" Type="http://schemas.openxmlformats.org/officeDocument/2006/relationships/hyperlink" Target="http://quote.eastmoney.com/600926.html" TargetMode="External"/><Relationship Id="rId205" Type="http://schemas.openxmlformats.org/officeDocument/2006/relationships/hyperlink" Target="http://data.eastmoney.com/stockdata/002410.html" TargetMode="External"/><Relationship Id="rId412" Type="http://schemas.openxmlformats.org/officeDocument/2006/relationships/hyperlink" Target="http://quote.eastmoney.com/601155.html" TargetMode="External"/><Relationship Id="rId857" Type="http://schemas.openxmlformats.org/officeDocument/2006/relationships/hyperlink" Target="http://data.eastmoney.com/stockdata/603583.html" TargetMode="External"/><Relationship Id="rId1042" Type="http://schemas.openxmlformats.org/officeDocument/2006/relationships/hyperlink" Target="http://quote.eastmoney.com/300457.html" TargetMode="External"/><Relationship Id="rId1487" Type="http://schemas.openxmlformats.org/officeDocument/2006/relationships/hyperlink" Target="http://data.eastmoney.com/stockdata/600297.html" TargetMode="External"/><Relationship Id="rId1694" Type="http://schemas.openxmlformats.org/officeDocument/2006/relationships/hyperlink" Target="http://quote.eastmoney.com/601601.html" TargetMode="External"/><Relationship Id="rId717" Type="http://schemas.openxmlformats.org/officeDocument/2006/relationships/hyperlink" Target="http://data.eastmoney.com/stockdata/300628.html" TargetMode="External"/><Relationship Id="rId924" Type="http://schemas.openxmlformats.org/officeDocument/2006/relationships/hyperlink" Target="http://quote.eastmoney.com/300114.html" TargetMode="External"/><Relationship Id="rId1347" Type="http://schemas.openxmlformats.org/officeDocument/2006/relationships/hyperlink" Target="http://data.eastmoney.com/stockdata/600600.html" TargetMode="External"/><Relationship Id="rId1554" Type="http://schemas.openxmlformats.org/officeDocument/2006/relationships/hyperlink" Target="http://quote.eastmoney.com/600875.html" TargetMode="External"/><Relationship Id="rId1761" Type="http://schemas.openxmlformats.org/officeDocument/2006/relationships/hyperlink" Target="http://data.eastmoney.com/stockdata/600030.html" TargetMode="External"/><Relationship Id="rId1999" Type="http://schemas.openxmlformats.org/officeDocument/2006/relationships/hyperlink" Target="http://data.eastmoney.com/stockdata/600267.html" TargetMode="External"/><Relationship Id="rId53" Type="http://schemas.openxmlformats.org/officeDocument/2006/relationships/hyperlink" Target="http://data.eastmoney.com/stockdata/002876.html" TargetMode="External"/><Relationship Id="rId1207" Type="http://schemas.openxmlformats.org/officeDocument/2006/relationships/hyperlink" Target="http://data.eastmoney.com/stockdata/002602.html" TargetMode="External"/><Relationship Id="rId1414" Type="http://schemas.openxmlformats.org/officeDocument/2006/relationships/hyperlink" Target="http://quote.eastmoney.com/601838.html" TargetMode="External"/><Relationship Id="rId1621" Type="http://schemas.openxmlformats.org/officeDocument/2006/relationships/hyperlink" Target="http://data.eastmoney.com/stockdata/603587.html" TargetMode="External"/><Relationship Id="rId1859" Type="http://schemas.openxmlformats.org/officeDocument/2006/relationships/hyperlink" Target="http://data.eastmoney.com/stockdata/600987.html" TargetMode="External"/><Relationship Id="rId1719" Type="http://schemas.openxmlformats.org/officeDocument/2006/relationships/hyperlink" Target="http://data.eastmoney.com/stockdata/002327.html" TargetMode="External"/><Relationship Id="rId1926" Type="http://schemas.openxmlformats.org/officeDocument/2006/relationships/hyperlink" Target="http://quote.eastmoney.com/600028.html" TargetMode="External"/><Relationship Id="rId367" Type="http://schemas.openxmlformats.org/officeDocument/2006/relationships/hyperlink" Target="http://data.eastmoney.com/stockdata/002364.html" TargetMode="External"/><Relationship Id="rId574" Type="http://schemas.openxmlformats.org/officeDocument/2006/relationships/hyperlink" Target="http://quote.eastmoney.com/300607.html" TargetMode="External"/><Relationship Id="rId227" Type="http://schemas.openxmlformats.org/officeDocument/2006/relationships/hyperlink" Target="http://data.eastmoney.com/stockdata/300559.html" TargetMode="External"/><Relationship Id="rId781" Type="http://schemas.openxmlformats.org/officeDocument/2006/relationships/hyperlink" Target="http://data.eastmoney.com/stockdata/002340.html" TargetMode="External"/><Relationship Id="rId879" Type="http://schemas.openxmlformats.org/officeDocument/2006/relationships/hyperlink" Target="http://data.eastmoney.com/stockdata/300785.html" TargetMode="External"/><Relationship Id="rId434" Type="http://schemas.openxmlformats.org/officeDocument/2006/relationships/hyperlink" Target="http://quote.eastmoney.com/300735.html" TargetMode="External"/><Relationship Id="rId641" Type="http://schemas.openxmlformats.org/officeDocument/2006/relationships/hyperlink" Target="http://data.eastmoney.com/stockdata/300057.html" TargetMode="External"/><Relationship Id="rId739" Type="http://schemas.openxmlformats.org/officeDocument/2006/relationships/hyperlink" Target="http://data.eastmoney.com/stockdata/000008.html" TargetMode="External"/><Relationship Id="rId1064" Type="http://schemas.openxmlformats.org/officeDocument/2006/relationships/hyperlink" Target="http://quote.eastmoney.com/002146.html" TargetMode="External"/><Relationship Id="rId1271" Type="http://schemas.openxmlformats.org/officeDocument/2006/relationships/hyperlink" Target="http://data.eastmoney.com/stockdata/002745.html" TargetMode="External"/><Relationship Id="rId1369" Type="http://schemas.openxmlformats.org/officeDocument/2006/relationships/hyperlink" Target="http://data.eastmoney.com/stockdata/603833.html" TargetMode="External"/><Relationship Id="rId1576" Type="http://schemas.openxmlformats.org/officeDocument/2006/relationships/hyperlink" Target="http://quote.eastmoney.com/603298.html" TargetMode="External"/><Relationship Id="rId501" Type="http://schemas.openxmlformats.org/officeDocument/2006/relationships/hyperlink" Target="http://data.eastmoney.com/stockdata/300316.html" TargetMode="External"/><Relationship Id="rId946" Type="http://schemas.openxmlformats.org/officeDocument/2006/relationships/hyperlink" Target="http://quote.eastmoney.com/002449.html" TargetMode="External"/><Relationship Id="rId1131" Type="http://schemas.openxmlformats.org/officeDocument/2006/relationships/hyperlink" Target="http://data.eastmoney.com/stockdata/600998.html" TargetMode="External"/><Relationship Id="rId1229" Type="http://schemas.openxmlformats.org/officeDocument/2006/relationships/hyperlink" Target="http://data.eastmoney.com/stockdata/002690.html" TargetMode="External"/><Relationship Id="rId1783" Type="http://schemas.openxmlformats.org/officeDocument/2006/relationships/hyperlink" Target="http://data.eastmoney.com/stockdata/600535.html" TargetMode="External"/><Relationship Id="rId1990" Type="http://schemas.openxmlformats.org/officeDocument/2006/relationships/hyperlink" Target="http://quote.eastmoney.com/600136.html" TargetMode="External"/><Relationship Id="rId75" Type="http://schemas.openxmlformats.org/officeDocument/2006/relationships/hyperlink" Target="http://data.eastmoney.com/stockdata/002709.html" TargetMode="External"/><Relationship Id="rId806" Type="http://schemas.openxmlformats.org/officeDocument/2006/relationships/hyperlink" Target="http://quote.eastmoney.com/601012.html" TargetMode="External"/><Relationship Id="rId1436" Type="http://schemas.openxmlformats.org/officeDocument/2006/relationships/hyperlink" Target="http://quote.eastmoney.com/300616.html" TargetMode="External"/><Relationship Id="rId1643" Type="http://schemas.openxmlformats.org/officeDocument/2006/relationships/hyperlink" Target="http://data.eastmoney.com/stockdata/600660.html" TargetMode="External"/><Relationship Id="rId1850" Type="http://schemas.openxmlformats.org/officeDocument/2006/relationships/hyperlink" Target="http://quote.eastmoney.com/600066.html" TargetMode="External"/><Relationship Id="rId1503" Type="http://schemas.openxmlformats.org/officeDocument/2006/relationships/hyperlink" Target="http://data.eastmoney.com/stockdata/600728.html" TargetMode="External"/><Relationship Id="rId1710" Type="http://schemas.openxmlformats.org/officeDocument/2006/relationships/hyperlink" Target="http://quote.eastmoney.com/601900.html" TargetMode="External"/><Relationship Id="rId1948" Type="http://schemas.openxmlformats.org/officeDocument/2006/relationships/hyperlink" Target="http://quote.eastmoney.com/300251.html" TargetMode="External"/><Relationship Id="rId291" Type="http://schemas.openxmlformats.org/officeDocument/2006/relationships/hyperlink" Target="http://data.eastmoney.com/stockdata/300578.html" TargetMode="External"/><Relationship Id="rId1808" Type="http://schemas.openxmlformats.org/officeDocument/2006/relationships/hyperlink" Target="http://quote.eastmoney.com/601168.html" TargetMode="External"/><Relationship Id="rId151" Type="http://schemas.openxmlformats.org/officeDocument/2006/relationships/hyperlink" Target="http://data.eastmoney.com/stockdata/002008.html" TargetMode="External"/><Relationship Id="rId389" Type="http://schemas.openxmlformats.org/officeDocument/2006/relationships/hyperlink" Target="http://data.eastmoney.com/stockdata/603489.html" TargetMode="External"/><Relationship Id="rId596" Type="http://schemas.openxmlformats.org/officeDocument/2006/relationships/hyperlink" Target="http://quote.eastmoney.com/300190.html" TargetMode="External"/><Relationship Id="rId249" Type="http://schemas.openxmlformats.org/officeDocument/2006/relationships/hyperlink" Target="http://data.eastmoney.com/stockdata/300572.html" TargetMode="External"/><Relationship Id="rId456" Type="http://schemas.openxmlformats.org/officeDocument/2006/relationships/hyperlink" Target="http://quote.eastmoney.com/688088.html" TargetMode="External"/><Relationship Id="rId663" Type="http://schemas.openxmlformats.org/officeDocument/2006/relationships/hyperlink" Target="http://data.eastmoney.com/stockdata/300365.html" TargetMode="External"/><Relationship Id="rId870" Type="http://schemas.openxmlformats.org/officeDocument/2006/relationships/hyperlink" Target="http://quote.eastmoney.com/600011.html" TargetMode="External"/><Relationship Id="rId1086" Type="http://schemas.openxmlformats.org/officeDocument/2006/relationships/hyperlink" Target="http://quote.eastmoney.com/002511.html" TargetMode="External"/><Relationship Id="rId1293" Type="http://schemas.openxmlformats.org/officeDocument/2006/relationships/hyperlink" Target="http://data.eastmoney.com/stockdata/000818.html" TargetMode="External"/><Relationship Id="rId109" Type="http://schemas.openxmlformats.org/officeDocument/2006/relationships/hyperlink" Target="http://data.eastmoney.com/stockdata/002123.html" TargetMode="External"/><Relationship Id="rId316" Type="http://schemas.openxmlformats.org/officeDocument/2006/relationships/hyperlink" Target="http://quote.eastmoney.com/002747.html" TargetMode="External"/><Relationship Id="rId523" Type="http://schemas.openxmlformats.org/officeDocument/2006/relationships/hyperlink" Target="http://data.eastmoney.com/stockdata/300223.html" TargetMode="External"/><Relationship Id="rId968" Type="http://schemas.openxmlformats.org/officeDocument/2006/relationships/hyperlink" Target="http://quote.eastmoney.com/300642.html" TargetMode="External"/><Relationship Id="rId1153" Type="http://schemas.openxmlformats.org/officeDocument/2006/relationships/hyperlink" Target="http://data.eastmoney.com/stockdata/002025.html" TargetMode="External"/><Relationship Id="rId1598" Type="http://schemas.openxmlformats.org/officeDocument/2006/relationships/hyperlink" Target="http://quote.eastmoney.com/600597.html" TargetMode="External"/><Relationship Id="rId97" Type="http://schemas.openxmlformats.org/officeDocument/2006/relationships/hyperlink" Target="http://data.eastmoney.com/stockdata/300659.html" TargetMode="External"/><Relationship Id="rId730" Type="http://schemas.openxmlformats.org/officeDocument/2006/relationships/hyperlink" Target="http://quote.eastmoney.com/300394.html" TargetMode="External"/><Relationship Id="rId828" Type="http://schemas.openxmlformats.org/officeDocument/2006/relationships/hyperlink" Target="http://quote.eastmoney.com/603317.html" TargetMode="External"/><Relationship Id="rId1013" Type="http://schemas.openxmlformats.org/officeDocument/2006/relationships/hyperlink" Target="http://data.eastmoney.com/stockdata/603060.html" TargetMode="External"/><Relationship Id="rId1360" Type="http://schemas.openxmlformats.org/officeDocument/2006/relationships/hyperlink" Target="http://quote.eastmoney.com/600088.html" TargetMode="External"/><Relationship Id="rId1458" Type="http://schemas.openxmlformats.org/officeDocument/2006/relationships/hyperlink" Target="http://quote.eastmoney.com/601137.html" TargetMode="External"/><Relationship Id="rId1665" Type="http://schemas.openxmlformats.org/officeDocument/2006/relationships/hyperlink" Target="http://data.eastmoney.com/stockdata/600039.html" TargetMode="External"/><Relationship Id="rId1872" Type="http://schemas.openxmlformats.org/officeDocument/2006/relationships/hyperlink" Target="http://quote.eastmoney.com/600019.html" TargetMode="External"/><Relationship Id="rId1220" Type="http://schemas.openxmlformats.org/officeDocument/2006/relationships/hyperlink" Target="http://quote.eastmoney.com/300571.html" TargetMode="External"/><Relationship Id="rId1318" Type="http://schemas.openxmlformats.org/officeDocument/2006/relationships/hyperlink" Target="http://quote.eastmoney.com/000968.html" TargetMode="External"/><Relationship Id="rId1525" Type="http://schemas.openxmlformats.org/officeDocument/2006/relationships/hyperlink" Target="http://data.eastmoney.com/stockdata/000960.html" TargetMode="External"/><Relationship Id="rId1732" Type="http://schemas.openxmlformats.org/officeDocument/2006/relationships/hyperlink" Target="http://quote.eastmoney.com/002233.html" TargetMode="External"/><Relationship Id="rId24" Type="http://schemas.openxmlformats.org/officeDocument/2006/relationships/hyperlink" Target="http://quote.eastmoney.com/600882.html" TargetMode="External"/><Relationship Id="rId173" Type="http://schemas.openxmlformats.org/officeDocument/2006/relationships/hyperlink" Target="http://data.eastmoney.com/stockdata/603308.html" TargetMode="External"/><Relationship Id="rId380" Type="http://schemas.openxmlformats.org/officeDocument/2006/relationships/hyperlink" Target="http://quote.eastmoney.com/300347.html" TargetMode="External"/><Relationship Id="rId240" Type="http://schemas.openxmlformats.org/officeDocument/2006/relationships/hyperlink" Target="http://quote.eastmoney.com/300725.html" TargetMode="External"/><Relationship Id="rId478" Type="http://schemas.openxmlformats.org/officeDocument/2006/relationships/hyperlink" Target="http://quote.eastmoney.com/002090.html" TargetMode="External"/><Relationship Id="rId685" Type="http://schemas.openxmlformats.org/officeDocument/2006/relationships/hyperlink" Target="http://data.eastmoney.com/stockdata/002812.html" TargetMode="External"/><Relationship Id="rId892" Type="http://schemas.openxmlformats.org/officeDocument/2006/relationships/hyperlink" Target="http://quote.eastmoney.com/600183.html" TargetMode="External"/><Relationship Id="rId100" Type="http://schemas.openxmlformats.org/officeDocument/2006/relationships/hyperlink" Target="http://quote.eastmoney.com/300630.html" TargetMode="External"/><Relationship Id="rId338" Type="http://schemas.openxmlformats.org/officeDocument/2006/relationships/hyperlink" Target="http://quote.eastmoney.com/300424.html" TargetMode="External"/><Relationship Id="rId545" Type="http://schemas.openxmlformats.org/officeDocument/2006/relationships/hyperlink" Target="http://data.eastmoney.com/stockdata/300433.html" TargetMode="External"/><Relationship Id="rId752" Type="http://schemas.openxmlformats.org/officeDocument/2006/relationships/hyperlink" Target="http://quote.eastmoney.com/002968.html" TargetMode="External"/><Relationship Id="rId1175" Type="http://schemas.openxmlformats.org/officeDocument/2006/relationships/hyperlink" Target="http://data.eastmoney.com/stockdata/600893.html" TargetMode="External"/><Relationship Id="rId1382" Type="http://schemas.openxmlformats.org/officeDocument/2006/relationships/hyperlink" Target="http://quote.eastmoney.com/600380.html" TargetMode="External"/><Relationship Id="rId405" Type="http://schemas.openxmlformats.org/officeDocument/2006/relationships/hyperlink" Target="http://data.eastmoney.com/stockdata/603978.html" TargetMode="External"/><Relationship Id="rId612" Type="http://schemas.openxmlformats.org/officeDocument/2006/relationships/hyperlink" Target="http://quote.eastmoney.com/603605.html" TargetMode="External"/><Relationship Id="rId1035" Type="http://schemas.openxmlformats.org/officeDocument/2006/relationships/hyperlink" Target="http://data.eastmoney.com/stockdata/300137.html" TargetMode="External"/><Relationship Id="rId1242" Type="http://schemas.openxmlformats.org/officeDocument/2006/relationships/hyperlink" Target="http://quote.eastmoney.com/300495.html" TargetMode="External"/><Relationship Id="rId1687" Type="http://schemas.openxmlformats.org/officeDocument/2006/relationships/hyperlink" Target="http://data.eastmoney.com/stockdata/000538.html" TargetMode="External"/><Relationship Id="rId1894" Type="http://schemas.openxmlformats.org/officeDocument/2006/relationships/hyperlink" Target="http://quote.eastmoney.com/000898.html" TargetMode="External"/><Relationship Id="rId917" Type="http://schemas.openxmlformats.org/officeDocument/2006/relationships/hyperlink" Target="http://data.eastmoney.com/stockdata/600699.html" TargetMode="External"/><Relationship Id="rId1102" Type="http://schemas.openxmlformats.org/officeDocument/2006/relationships/hyperlink" Target="http://quote.eastmoney.com/002734.html" TargetMode="External"/><Relationship Id="rId1547" Type="http://schemas.openxmlformats.org/officeDocument/2006/relationships/hyperlink" Target="http://data.eastmoney.com/stockdata/603839.html" TargetMode="External"/><Relationship Id="rId1754" Type="http://schemas.openxmlformats.org/officeDocument/2006/relationships/hyperlink" Target="http://quote.eastmoney.com/600068.html" TargetMode="External"/><Relationship Id="rId1961" Type="http://schemas.openxmlformats.org/officeDocument/2006/relationships/hyperlink" Target="http://data.eastmoney.com/stockdata/601116.html" TargetMode="External"/><Relationship Id="rId46" Type="http://schemas.openxmlformats.org/officeDocument/2006/relationships/hyperlink" Target="http://quote.eastmoney.com/603799.html" TargetMode="External"/><Relationship Id="rId1407" Type="http://schemas.openxmlformats.org/officeDocument/2006/relationships/hyperlink" Target="http://data.eastmoney.com/stockdata/000601.html" TargetMode="External"/><Relationship Id="rId1614" Type="http://schemas.openxmlformats.org/officeDocument/2006/relationships/hyperlink" Target="http://quote.eastmoney.com/600258.html" TargetMode="External"/><Relationship Id="rId1821" Type="http://schemas.openxmlformats.org/officeDocument/2006/relationships/hyperlink" Target="http://data.eastmoney.com/stockdata/601881.html" TargetMode="External"/><Relationship Id="rId195" Type="http://schemas.openxmlformats.org/officeDocument/2006/relationships/hyperlink" Target="http://data.eastmoney.com/stockdata/300782.html" TargetMode="External"/><Relationship Id="rId1919" Type="http://schemas.openxmlformats.org/officeDocument/2006/relationships/hyperlink" Target="http://data.eastmoney.com/stockdata/600132.html" TargetMode="External"/><Relationship Id="rId262" Type="http://schemas.openxmlformats.org/officeDocument/2006/relationships/hyperlink" Target="http://quote.eastmoney.com/300525.html" TargetMode="External"/><Relationship Id="rId567" Type="http://schemas.openxmlformats.org/officeDocument/2006/relationships/hyperlink" Target="http://data.eastmoney.com/stockdata/600763.html" TargetMode="External"/><Relationship Id="rId1197" Type="http://schemas.openxmlformats.org/officeDocument/2006/relationships/hyperlink" Target="http://data.eastmoney.com/stockdata/000887.html" TargetMode="External"/><Relationship Id="rId122" Type="http://schemas.openxmlformats.org/officeDocument/2006/relationships/hyperlink" Target="http://quote.eastmoney.com/603005.html" TargetMode="External"/><Relationship Id="rId774" Type="http://schemas.openxmlformats.org/officeDocument/2006/relationships/hyperlink" Target="http://quote.eastmoney.com/002332.html" TargetMode="External"/><Relationship Id="rId981" Type="http://schemas.openxmlformats.org/officeDocument/2006/relationships/hyperlink" Target="http://data.eastmoney.com/stockdata/002959.html" TargetMode="External"/><Relationship Id="rId1057" Type="http://schemas.openxmlformats.org/officeDocument/2006/relationships/hyperlink" Target="http://data.eastmoney.com/stockdata/300010.html" TargetMode="External"/><Relationship Id="rId2010" Type="http://schemas.openxmlformats.org/officeDocument/2006/relationships/hyperlink" Target="http://quote.eastmoney.com/600583.html" TargetMode="External"/><Relationship Id="rId427" Type="http://schemas.openxmlformats.org/officeDocument/2006/relationships/hyperlink" Target="http://data.eastmoney.com/stockdata/603707.html" TargetMode="External"/><Relationship Id="rId634" Type="http://schemas.openxmlformats.org/officeDocument/2006/relationships/hyperlink" Target="http://quote.eastmoney.com/603606.html" TargetMode="External"/><Relationship Id="rId841" Type="http://schemas.openxmlformats.org/officeDocument/2006/relationships/hyperlink" Target="http://data.eastmoney.com/stockdata/002212.html" TargetMode="External"/><Relationship Id="rId1264" Type="http://schemas.openxmlformats.org/officeDocument/2006/relationships/hyperlink" Target="http://quote.eastmoney.com/603103.html" TargetMode="External"/><Relationship Id="rId1471" Type="http://schemas.openxmlformats.org/officeDocument/2006/relationships/hyperlink" Target="http://data.eastmoney.com/stockdata/600705.html" TargetMode="External"/><Relationship Id="rId1569" Type="http://schemas.openxmlformats.org/officeDocument/2006/relationships/hyperlink" Target="http://data.eastmoney.com/stockdata/000401.html" TargetMode="External"/><Relationship Id="rId701" Type="http://schemas.openxmlformats.org/officeDocument/2006/relationships/hyperlink" Target="http://data.eastmoney.com/stockdata/300783.html" TargetMode="External"/><Relationship Id="rId939" Type="http://schemas.openxmlformats.org/officeDocument/2006/relationships/hyperlink" Target="http://data.eastmoney.com/stockdata/601200.html" TargetMode="External"/><Relationship Id="rId1124" Type="http://schemas.openxmlformats.org/officeDocument/2006/relationships/hyperlink" Target="http://quote.eastmoney.com/300497.html" TargetMode="External"/><Relationship Id="rId1331" Type="http://schemas.openxmlformats.org/officeDocument/2006/relationships/hyperlink" Target="http://data.eastmoney.com/stockdata/002597.html" TargetMode="External"/><Relationship Id="rId1776" Type="http://schemas.openxmlformats.org/officeDocument/2006/relationships/hyperlink" Target="http://quote.eastmoney.com/600352.html" TargetMode="External"/><Relationship Id="rId1983" Type="http://schemas.openxmlformats.org/officeDocument/2006/relationships/hyperlink" Target="http://data.eastmoney.com/stockdata/600688.html" TargetMode="External"/><Relationship Id="rId68" Type="http://schemas.openxmlformats.org/officeDocument/2006/relationships/hyperlink" Target="http://quote.eastmoney.com/002792.html" TargetMode="External"/><Relationship Id="rId1429" Type="http://schemas.openxmlformats.org/officeDocument/2006/relationships/hyperlink" Target="http://data.eastmoney.com/stockdata/002530.html" TargetMode="External"/><Relationship Id="rId1636" Type="http://schemas.openxmlformats.org/officeDocument/2006/relationships/hyperlink" Target="http://quote.eastmoney.com/600461.html" TargetMode="External"/><Relationship Id="rId1843" Type="http://schemas.openxmlformats.org/officeDocument/2006/relationships/hyperlink" Target="http://data.eastmoney.com/stockdata/601169.html" TargetMode="External"/><Relationship Id="rId1703" Type="http://schemas.openxmlformats.org/officeDocument/2006/relationships/hyperlink" Target="http://data.eastmoney.com/stockdata/601607.html" TargetMode="External"/><Relationship Id="rId1910" Type="http://schemas.openxmlformats.org/officeDocument/2006/relationships/hyperlink" Target="http://quote.eastmoney.com/601677.html" TargetMode="External"/><Relationship Id="rId284" Type="http://schemas.openxmlformats.org/officeDocument/2006/relationships/hyperlink" Target="http://quote.eastmoney.com/603019.html" TargetMode="External"/><Relationship Id="rId491" Type="http://schemas.openxmlformats.org/officeDocument/2006/relationships/hyperlink" Target="http://data.eastmoney.com/stockdata/300416.html" TargetMode="External"/><Relationship Id="rId144" Type="http://schemas.openxmlformats.org/officeDocument/2006/relationships/hyperlink" Target="http://quote.eastmoney.com/300550.html" TargetMode="External"/><Relationship Id="rId589" Type="http://schemas.openxmlformats.org/officeDocument/2006/relationships/hyperlink" Target="http://data.eastmoney.com/stockdata/300047.html" TargetMode="External"/><Relationship Id="rId796" Type="http://schemas.openxmlformats.org/officeDocument/2006/relationships/hyperlink" Target="http://quote.eastmoney.com/300088.html" TargetMode="External"/><Relationship Id="rId351" Type="http://schemas.openxmlformats.org/officeDocument/2006/relationships/hyperlink" Target="http://data.eastmoney.com/stockdata/300253.html" TargetMode="External"/><Relationship Id="rId449" Type="http://schemas.openxmlformats.org/officeDocument/2006/relationships/hyperlink" Target="http://data.eastmoney.com/stockdata/601865.html" TargetMode="External"/><Relationship Id="rId656" Type="http://schemas.openxmlformats.org/officeDocument/2006/relationships/hyperlink" Target="http://quote.eastmoney.com/002010.html" TargetMode="External"/><Relationship Id="rId863" Type="http://schemas.openxmlformats.org/officeDocument/2006/relationships/hyperlink" Target="http://data.eastmoney.com/stockdata/000966.html" TargetMode="External"/><Relationship Id="rId1079" Type="http://schemas.openxmlformats.org/officeDocument/2006/relationships/hyperlink" Target="http://data.eastmoney.com/stockdata/300760.html" TargetMode="External"/><Relationship Id="rId1286" Type="http://schemas.openxmlformats.org/officeDocument/2006/relationships/hyperlink" Target="http://quote.eastmoney.com/603983.html" TargetMode="External"/><Relationship Id="rId1493" Type="http://schemas.openxmlformats.org/officeDocument/2006/relationships/hyperlink" Target="http://data.eastmoney.com/stockdata/600176.html" TargetMode="External"/><Relationship Id="rId211" Type="http://schemas.openxmlformats.org/officeDocument/2006/relationships/hyperlink" Target="http://data.eastmoney.com/stockdata/603859.html" TargetMode="External"/><Relationship Id="rId309" Type="http://schemas.openxmlformats.org/officeDocument/2006/relationships/hyperlink" Target="http://data.eastmoney.com/stockdata/603688.html" TargetMode="External"/><Relationship Id="rId516" Type="http://schemas.openxmlformats.org/officeDocument/2006/relationships/hyperlink" Target="http://quote.eastmoney.com/600050.html" TargetMode="External"/><Relationship Id="rId1146" Type="http://schemas.openxmlformats.org/officeDocument/2006/relationships/hyperlink" Target="http://quote.eastmoney.com/002582.html" TargetMode="External"/><Relationship Id="rId1798" Type="http://schemas.openxmlformats.org/officeDocument/2006/relationships/hyperlink" Target="http://quote.eastmoney.com/600977.html" TargetMode="External"/><Relationship Id="rId723" Type="http://schemas.openxmlformats.org/officeDocument/2006/relationships/hyperlink" Target="http://data.eastmoney.com/stockdata/300633.html" TargetMode="External"/><Relationship Id="rId930" Type="http://schemas.openxmlformats.org/officeDocument/2006/relationships/hyperlink" Target="http://quote.eastmoney.com/600606.html" TargetMode="External"/><Relationship Id="rId1006" Type="http://schemas.openxmlformats.org/officeDocument/2006/relationships/hyperlink" Target="http://quote.eastmoney.com/002773.html" TargetMode="External"/><Relationship Id="rId1353" Type="http://schemas.openxmlformats.org/officeDocument/2006/relationships/hyperlink" Target="http://data.eastmoney.com/stockdata/603816.html" TargetMode="External"/><Relationship Id="rId1560" Type="http://schemas.openxmlformats.org/officeDocument/2006/relationships/hyperlink" Target="http://quote.eastmoney.com/600376.html" TargetMode="External"/><Relationship Id="rId1658" Type="http://schemas.openxmlformats.org/officeDocument/2006/relationships/hyperlink" Target="http://quote.eastmoney.com/002736.html" TargetMode="External"/><Relationship Id="rId1865" Type="http://schemas.openxmlformats.org/officeDocument/2006/relationships/hyperlink" Target="http://data.eastmoney.com/stockdata/601998.html" TargetMode="External"/><Relationship Id="rId1213" Type="http://schemas.openxmlformats.org/officeDocument/2006/relationships/hyperlink" Target="http://data.eastmoney.com/stockdata/002677.html" TargetMode="External"/><Relationship Id="rId1420" Type="http://schemas.openxmlformats.org/officeDocument/2006/relationships/hyperlink" Target="http://quote.eastmoney.com/600459.html" TargetMode="External"/><Relationship Id="rId1518" Type="http://schemas.openxmlformats.org/officeDocument/2006/relationships/hyperlink" Target="http://quote.eastmoney.com/600894.html" TargetMode="External"/><Relationship Id="rId1725" Type="http://schemas.openxmlformats.org/officeDocument/2006/relationships/hyperlink" Target="http://data.eastmoney.com/stockdata/600887.html" TargetMode="External"/><Relationship Id="rId1932" Type="http://schemas.openxmlformats.org/officeDocument/2006/relationships/hyperlink" Target="http://quote.eastmoney.com/600886.html" TargetMode="External"/><Relationship Id="rId17" Type="http://schemas.openxmlformats.org/officeDocument/2006/relationships/hyperlink" Target="http://data.eastmoney.com/stockdata/001914.html" TargetMode="External"/><Relationship Id="rId166" Type="http://schemas.openxmlformats.org/officeDocument/2006/relationships/hyperlink" Target="http://quote.eastmoney.com/002796.html" TargetMode="External"/><Relationship Id="rId373" Type="http://schemas.openxmlformats.org/officeDocument/2006/relationships/hyperlink" Target="http://data.eastmoney.com/stockdata/688005.html" TargetMode="External"/><Relationship Id="rId580" Type="http://schemas.openxmlformats.org/officeDocument/2006/relationships/hyperlink" Target="http://quote.eastmoney.com/000043.html" TargetMode="External"/><Relationship Id="rId1" Type="http://schemas.openxmlformats.org/officeDocument/2006/relationships/hyperlink" Target="javascript:;" TargetMode="External"/><Relationship Id="rId233" Type="http://schemas.openxmlformats.org/officeDocument/2006/relationships/hyperlink" Target="http://data.eastmoney.com/stockdata/002129.html" TargetMode="External"/><Relationship Id="rId440" Type="http://schemas.openxmlformats.org/officeDocument/2006/relationships/hyperlink" Target="http://quote.eastmoney.com/002539.html" TargetMode="External"/><Relationship Id="rId678" Type="http://schemas.openxmlformats.org/officeDocument/2006/relationships/hyperlink" Target="http://quote.eastmoney.com/000600.html" TargetMode="External"/><Relationship Id="rId885" Type="http://schemas.openxmlformats.org/officeDocument/2006/relationships/hyperlink" Target="http://data.eastmoney.com/stockdata/300037.html" TargetMode="External"/><Relationship Id="rId1070" Type="http://schemas.openxmlformats.org/officeDocument/2006/relationships/hyperlink" Target="http://quote.eastmoney.com/002262.html" TargetMode="External"/><Relationship Id="rId300" Type="http://schemas.openxmlformats.org/officeDocument/2006/relationships/hyperlink" Target="http://quote.eastmoney.com/300661.html" TargetMode="External"/><Relationship Id="rId538" Type="http://schemas.openxmlformats.org/officeDocument/2006/relationships/hyperlink" Target="http://quote.eastmoney.com/002821.html" TargetMode="External"/><Relationship Id="rId745" Type="http://schemas.openxmlformats.org/officeDocument/2006/relationships/hyperlink" Target="http://data.eastmoney.com/stockdata/603197.html" TargetMode="External"/><Relationship Id="rId952" Type="http://schemas.openxmlformats.org/officeDocument/2006/relationships/hyperlink" Target="http://quote.eastmoney.com/002925.html" TargetMode="External"/><Relationship Id="rId1168" Type="http://schemas.openxmlformats.org/officeDocument/2006/relationships/hyperlink" Target="http://quote.eastmoney.com/600885.html" TargetMode="External"/><Relationship Id="rId1375" Type="http://schemas.openxmlformats.org/officeDocument/2006/relationships/hyperlink" Target="http://data.eastmoney.com/stockdata/603708.html" TargetMode="External"/><Relationship Id="rId1582" Type="http://schemas.openxmlformats.org/officeDocument/2006/relationships/hyperlink" Target="http://quote.eastmoney.com/000560.html" TargetMode="External"/><Relationship Id="rId81" Type="http://schemas.openxmlformats.org/officeDocument/2006/relationships/hyperlink" Target="http://data.eastmoney.com/stockdata/300133.html" TargetMode="External"/><Relationship Id="rId605" Type="http://schemas.openxmlformats.org/officeDocument/2006/relationships/hyperlink" Target="http://data.eastmoney.com/stockdata/300724.html" TargetMode="External"/><Relationship Id="rId812" Type="http://schemas.openxmlformats.org/officeDocument/2006/relationships/hyperlink" Target="http://quote.eastmoney.com/002367.html" TargetMode="External"/><Relationship Id="rId1028" Type="http://schemas.openxmlformats.org/officeDocument/2006/relationships/hyperlink" Target="http://quote.eastmoney.com/300285.html" TargetMode="External"/><Relationship Id="rId1235" Type="http://schemas.openxmlformats.org/officeDocument/2006/relationships/hyperlink" Target="http://data.eastmoney.com/stockdata/300788.html" TargetMode="External"/><Relationship Id="rId1442" Type="http://schemas.openxmlformats.org/officeDocument/2006/relationships/hyperlink" Target="http://quote.eastmoney.com/002013.html" TargetMode="External"/><Relationship Id="rId1887" Type="http://schemas.openxmlformats.org/officeDocument/2006/relationships/hyperlink" Target="http://data.eastmoney.com/stockdata/003816.html" TargetMode="External"/><Relationship Id="rId1302" Type="http://schemas.openxmlformats.org/officeDocument/2006/relationships/hyperlink" Target="http://quote.eastmoney.com/002518.html" TargetMode="External"/><Relationship Id="rId1747" Type="http://schemas.openxmlformats.org/officeDocument/2006/relationships/hyperlink" Target="http://data.eastmoney.com/stockdata/600118.html" TargetMode="External"/><Relationship Id="rId1954" Type="http://schemas.openxmlformats.org/officeDocument/2006/relationships/hyperlink" Target="http://quote.eastmoney.com/600348.html" TargetMode="External"/><Relationship Id="rId39" Type="http://schemas.openxmlformats.org/officeDocument/2006/relationships/hyperlink" Target="http://data.eastmoney.com/stockdata/603727.html" TargetMode="External"/><Relationship Id="rId1607" Type="http://schemas.openxmlformats.org/officeDocument/2006/relationships/hyperlink" Target="http://data.eastmoney.com/stockdata/601009.html" TargetMode="External"/><Relationship Id="rId1814" Type="http://schemas.openxmlformats.org/officeDocument/2006/relationships/hyperlink" Target="http://quote.eastmoney.com/601857.html" TargetMode="External"/><Relationship Id="rId188" Type="http://schemas.openxmlformats.org/officeDocument/2006/relationships/hyperlink" Target="http://quote.eastmoney.com/601615.html" TargetMode="External"/><Relationship Id="rId395" Type="http://schemas.openxmlformats.org/officeDocument/2006/relationships/hyperlink" Target="http://data.eastmoney.com/stockdata/002878.html" TargetMode="External"/><Relationship Id="rId255" Type="http://schemas.openxmlformats.org/officeDocument/2006/relationships/hyperlink" Target="http://data.eastmoney.com/stockdata/300638.html" TargetMode="External"/><Relationship Id="rId462" Type="http://schemas.openxmlformats.org/officeDocument/2006/relationships/hyperlink" Target="http://quote.eastmoney.com/002946.html" TargetMode="External"/><Relationship Id="rId1092" Type="http://schemas.openxmlformats.org/officeDocument/2006/relationships/hyperlink" Target="http://quote.eastmoney.com/600958.html" TargetMode="External"/><Relationship Id="rId1397" Type="http://schemas.openxmlformats.org/officeDocument/2006/relationships/hyperlink" Target="http://data.eastmoney.com/stockdata/603360.html" TargetMode="External"/><Relationship Id="rId115" Type="http://schemas.openxmlformats.org/officeDocument/2006/relationships/hyperlink" Target="http://data.eastmoney.com/stockdata/002313.html" TargetMode="External"/><Relationship Id="rId322" Type="http://schemas.openxmlformats.org/officeDocument/2006/relationships/hyperlink" Target="http://quote.eastmoney.com/300579.html" TargetMode="External"/><Relationship Id="rId767" Type="http://schemas.openxmlformats.org/officeDocument/2006/relationships/hyperlink" Target="http://data.eastmoney.com/stockdata/300119.html" TargetMode="External"/><Relationship Id="rId974" Type="http://schemas.openxmlformats.org/officeDocument/2006/relationships/hyperlink" Target="http://quote.eastmoney.com/600487.html" TargetMode="External"/><Relationship Id="rId2003" Type="http://schemas.openxmlformats.org/officeDocument/2006/relationships/hyperlink" Target="http://data.eastmoney.com/stockdata/000933.html" TargetMode="External"/><Relationship Id="rId627" Type="http://schemas.openxmlformats.org/officeDocument/2006/relationships/hyperlink" Target="http://data.eastmoney.com/stockdata/002064.html" TargetMode="External"/><Relationship Id="rId834" Type="http://schemas.openxmlformats.org/officeDocument/2006/relationships/hyperlink" Target="http://quote.eastmoney.com/603611.html" TargetMode="External"/><Relationship Id="rId1257" Type="http://schemas.openxmlformats.org/officeDocument/2006/relationships/hyperlink" Target="http://data.eastmoney.com/stockdata/601021.html" TargetMode="External"/><Relationship Id="rId1464" Type="http://schemas.openxmlformats.org/officeDocument/2006/relationships/hyperlink" Target="http://quote.eastmoney.com/300043.html" TargetMode="External"/><Relationship Id="rId1671" Type="http://schemas.openxmlformats.org/officeDocument/2006/relationships/hyperlink" Target="http://data.eastmoney.com/stockdata/600704.html" TargetMode="External"/><Relationship Id="rId901" Type="http://schemas.openxmlformats.org/officeDocument/2006/relationships/hyperlink" Target="http://data.eastmoney.com/stockdata/603966.html" TargetMode="External"/><Relationship Id="rId1117" Type="http://schemas.openxmlformats.org/officeDocument/2006/relationships/hyperlink" Target="http://data.eastmoney.com/stockdata/603037.html" TargetMode="External"/><Relationship Id="rId1324" Type="http://schemas.openxmlformats.org/officeDocument/2006/relationships/hyperlink" Target="http://quote.eastmoney.com/000553.html" TargetMode="External"/><Relationship Id="rId1531" Type="http://schemas.openxmlformats.org/officeDocument/2006/relationships/hyperlink" Target="http://data.eastmoney.com/stockdata/000630.html" TargetMode="External"/><Relationship Id="rId1769" Type="http://schemas.openxmlformats.org/officeDocument/2006/relationships/hyperlink" Target="http://data.eastmoney.com/stockdata/601928.html" TargetMode="External"/><Relationship Id="rId1976" Type="http://schemas.openxmlformats.org/officeDocument/2006/relationships/hyperlink" Target="http://quote.eastmoney.com/600900.html" TargetMode="External"/><Relationship Id="rId30" Type="http://schemas.openxmlformats.org/officeDocument/2006/relationships/hyperlink" Target="http://quote.eastmoney.com/002570.html" TargetMode="External"/><Relationship Id="rId1629" Type="http://schemas.openxmlformats.org/officeDocument/2006/relationships/hyperlink" Target="http://data.eastmoney.com/stockdata/600612.html" TargetMode="External"/><Relationship Id="rId1836" Type="http://schemas.openxmlformats.org/officeDocument/2006/relationships/hyperlink" Target="http://quote.eastmoney.com/601398.html" TargetMode="External"/><Relationship Id="rId1903" Type="http://schemas.openxmlformats.org/officeDocument/2006/relationships/hyperlink" Target="http://data.eastmoney.com/stockdata/601628.html" TargetMode="External"/><Relationship Id="rId277" Type="http://schemas.openxmlformats.org/officeDocument/2006/relationships/hyperlink" Target="http://data.eastmoney.com/stockdata/002892.html" TargetMode="External"/><Relationship Id="rId484" Type="http://schemas.openxmlformats.org/officeDocument/2006/relationships/hyperlink" Target="http://quote.eastmoney.com/600409.html" TargetMode="External"/><Relationship Id="rId137" Type="http://schemas.openxmlformats.org/officeDocument/2006/relationships/hyperlink" Target="http://data.eastmoney.com/stockdata/300593.html" TargetMode="External"/><Relationship Id="rId344" Type="http://schemas.openxmlformats.org/officeDocument/2006/relationships/hyperlink" Target="http://quote.eastmoney.com/300073.html" TargetMode="External"/><Relationship Id="rId691" Type="http://schemas.openxmlformats.org/officeDocument/2006/relationships/hyperlink" Target="http://data.eastmoney.com/stockdata/002463.html" TargetMode="External"/><Relationship Id="rId789" Type="http://schemas.openxmlformats.org/officeDocument/2006/relationships/hyperlink" Target="http://data.eastmoney.com/stockdata/002443.html" TargetMode="External"/><Relationship Id="rId996" Type="http://schemas.openxmlformats.org/officeDocument/2006/relationships/hyperlink" Target="http://quote.eastmoney.com/000568.html" TargetMode="External"/><Relationship Id="rId551" Type="http://schemas.openxmlformats.org/officeDocument/2006/relationships/hyperlink" Target="http://data.eastmoney.com/stockdata/002475.html" TargetMode="External"/><Relationship Id="rId649" Type="http://schemas.openxmlformats.org/officeDocument/2006/relationships/hyperlink" Target="http://data.eastmoney.com/stockdata/300420.html" TargetMode="External"/><Relationship Id="rId856" Type="http://schemas.openxmlformats.org/officeDocument/2006/relationships/hyperlink" Target="http://quote.eastmoney.com/603583.html" TargetMode="External"/><Relationship Id="rId1181" Type="http://schemas.openxmlformats.org/officeDocument/2006/relationships/hyperlink" Target="http://data.eastmoney.com/stockdata/000069.html" TargetMode="External"/><Relationship Id="rId1279" Type="http://schemas.openxmlformats.org/officeDocument/2006/relationships/hyperlink" Target="http://data.eastmoney.com/stockdata/600309.html" TargetMode="External"/><Relationship Id="rId1486" Type="http://schemas.openxmlformats.org/officeDocument/2006/relationships/hyperlink" Target="http://quote.eastmoney.com/600297.html" TargetMode="External"/><Relationship Id="rId204" Type="http://schemas.openxmlformats.org/officeDocument/2006/relationships/hyperlink" Target="http://quote.eastmoney.com/002410.html" TargetMode="External"/><Relationship Id="rId411" Type="http://schemas.openxmlformats.org/officeDocument/2006/relationships/hyperlink" Target="http://data.eastmoney.com/stockdata/603566.html" TargetMode="External"/><Relationship Id="rId509" Type="http://schemas.openxmlformats.org/officeDocument/2006/relationships/hyperlink" Target="http://data.eastmoney.com/stockdata/300122.html" TargetMode="External"/><Relationship Id="rId1041" Type="http://schemas.openxmlformats.org/officeDocument/2006/relationships/hyperlink" Target="http://data.eastmoney.com/stockdata/600063.html" TargetMode="External"/><Relationship Id="rId1139" Type="http://schemas.openxmlformats.org/officeDocument/2006/relationships/hyperlink" Target="http://data.eastmoney.com/stockdata/002120.html" TargetMode="External"/><Relationship Id="rId1346" Type="http://schemas.openxmlformats.org/officeDocument/2006/relationships/hyperlink" Target="http://quote.eastmoney.com/600600.html" TargetMode="External"/><Relationship Id="rId1693" Type="http://schemas.openxmlformats.org/officeDocument/2006/relationships/hyperlink" Target="http://data.eastmoney.com/stockdata/601766.html" TargetMode="External"/><Relationship Id="rId1998" Type="http://schemas.openxmlformats.org/officeDocument/2006/relationships/hyperlink" Target="http://quote.eastmoney.com/600267.html" TargetMode="External"/><Relationship Id="rId716" Type="http://schemas.openxmlformats.org/officeDocument/2006/relationships/hyperlink" Target="http://quote.eastmoney.com/300628.html" TargetMode="External"/><Relationship Id="rId923" Type="http://schemas.openxmlformats.org/officeDocument/2006/relationships/hyperlink" Target="http://data.eastmoney.com/stockdata/002034.html" TargetMode="External"/><Relationship Id="rId1553" Type="http://schemas.openxmlformats.org/officeDocument/2006/relationships/hyperlink" Target="http://data.eastmoney.com/stockdata/002050.html" TargetMode="External"/><Relationship Id="rId1760" Type="http://schemas.openxmlformats.org/officeDocument/2006/relationships/hyperlink" Target="http://quote.eastmoney.com/600030.html" TargetMode="External"/><Relationship Id="rId1858" Type="http://schemas.openxmlformats.org/officeDocument/2006/relationships/hyperlink" Target="http://quote.eastmoney.com/600987.html" TargetMode="External"/><Relationship Id="rId52" Type="http://schemas.openxmlformats.org/officeDocument/2006/relationships/hyperlink" Target="http://quote.eastmoney.com/002876.html" TargetMode="External"/><Relationship Id="rId1206" Type="http://schemas.openxmlformats.org/officeDocument/2006/relationships/hyperlink" Target="http://quote.eastmoney.com/002602.html" TargetMode="External"/><Relationship Id="rId1413" Type="http://schemas.openxmlformats.org/officeDocument/2006/relationships/hyperlink" Target="http://data.eastmoney.com/stockdata/300428.html" TargetMode="External"/><Relationship Id="rId1620" Type="http://schemas.openxmlformats.org/officeDocument/2006/relationships/hyperlink" Target="http://quote.eastmoney.com/603587.html" TargetMode="External"/><Relationship Id="rId1718" Type="http://schemas.openxmlformats.org/officeDocument/2006/relationships/hyperlink" Target="http://quote.eastmoney.com/002327.html" TargetMode="External"/><Relationship Id="rId1925" Type="http://schemas.openxmlformats.org/officeDocument/2006/relationships/hyperlink" Target="http://data.eastmoney.com/stockdata/601666.html" TargetMode="External"/><Relationship Id="rId299" Type="http://schemas.openxmlformats.org/officeDocument/2006/relationships/hyperlink" Target="http://data.eastmoney.com/stockdata/300545.html" TargetMode="External"/><Relationship Id="rId159" Type="http://schemas.openxmlformats.org/officeDocument/2006/relationships/hyperlink" Target="http://data.eastmoney.com/stockdata/300679.html" TargetMode="External"/><Relationship Id="rId366" Type="http://schemas.openxmlformats.org/officeDocument/2006/relationships/hyperlink" Target="http://quote.eastmoney.com/002364.html" TargetMode="External"/><Relationship Id="rId573" Type="http://schemas.openxmlformats.org/officeDocument/2006/relationships/hyperlink" Target="http://data.eastmoney.com/stockdata/300003.html" TargetMode="External"/><Relationship Id="rId780" Type="http://schemas.openxmlformats.org/officeDocument/2006/relationships/hyperlink" Target="http://quote.eastmoney.com/002340.html" TargetMode="External"/><Relationship Id="rId226" Type="http://schemas.openxmlformats.org/officeDocument/2006/relationships/hyperlink" Target="http://quote.eastmoney.com/300559.html" TargetMode="External"/><Relationship Id="rId433" Type="http://schemas.openxmlformats.org/officeDocument/2006/relationships/hyperlink" Target="http://data.eastmoney.com/stockdata/300673.html" TargetMode="External"/><Relationship Id="rId878" Type="http://schemas.openxmlformats.org/officeDocument/2006/relationships/hyperlink" Target="http://quote.eastmoney.com/300785.html" TargetMode="External"/><Relationship Id="rId1063" Type="http://schemas.openxmlformats.org/officeDocument/2006/relationships/hyperlink" Target="http://data.eastmoney.com/stockdata/600502.html" TargetMode="External"/><Relationship Id="rId1270" Type="http://schemas.openxmlformats.org/officeDocument/2006/relationships/hyperlink" Target="http://quote.eastmoney.com/002745.html" TargetMode="External"/><Relationship Id="rId640" Type="http://schemas.openxmlformats.org/officeDocument/2006/relationships/hyperlink" Target="http://quote.eastmoney.com/300057.html" TargetMode="External"/><Relationship Id="rId738" Type="http://schemas.openxmlformats.org/officeDocument/2006/relationships/hyperlink" Target="http://quote.eastmoney.com/000008.html" TargetMode="External"/><Relationship Id="rId945" Type="http://schemas.openxmlformats.org/officeDocument/2006/relationships/hyperlink" Target="http://data.eastmoney.com/stockdata/002706.html" TargetMode="External"/><Relationship Id="rId1368" Type="http://schemas.openxmlformats.org/officeDocument/2006/relationships/hyperlink" Target="http://quote.eastmoney.com/603833.html" TargetMode="External"/><Relationship Id="rId1575" Type="http://schemas.openxmlformats.org/officeDocument/2006/relationships/hyperlink" Target="http://data.eastmoney.com/stockdata/002081.html" TargetMode="External"/><Relationship Id="rId1782" Type="http://schemas.openxmlformats.org/officeDocument/2006/relationships/hyperlink" Target="http://quote.eastmoney.com/600535.html" TargetMode="External"/><Relationship Id="rId74" Type="http://schemas.openxmlformats.org/officeDocument/2006/relationships/hyperlink" Target="http://quote.eastmoney.com/002709.html" TargetMode="External"/><Relationship Id="rId500" Type="http://schemas.openxmlformats.org/officeDocument/2006/relationships/hyperlink" Target="http://quote.eastmoney.com/300316.html" TargetMode="External"/><Relationship Id="rId805" Type="http://schemas.openxmlformats.org/officeDocument/2006/relationships/hyperlink" Target="http://data.eastmoney.com/stockdata/600055.html" TargetMode="External"/><Relationship Id="rId1130" Type="http://schemas.openxmlformats.org/officeDocument/2006/relationships/hyperlink" Target="http://quote.eastmoney.com/600998.html" TargetMode="External"/><Relationship Id="rId1228" Type="http://schemas.openxmlformats.org/officeDocument/2006/relationships/hyperlink" Target="http://quote.eastmoney.com/002690.html" TargetMode="External"/><Relationship Id="rId1435" Type="http://schemas.openxmlformats.org/officeDocument/2006/relationships/hyperlink" Target="http://data.eastmoney.com/stockdata/603886.html" TargetMode="External"/><Relationship Id="rId1642" Type="http://schemas.openxmlformats.org/officeDocument/2006/relationships/hyperlink" Target="http://quote.eastmoney.com/600660.html" TargetMode="External"/><Relationship Id="rId1947" Type="http://schemas.openxmlformats.org/officeDocument/2006/relationships/hyperlink" Target="http://data.eastmoney.com/stockdata/000983.html" TargetMode="External"/><Relationship Id="rId1502" Type="http://schemas.openxmlformats.org/officeDocument/2006/relationships/hyperlink" Target="http://quote.eastmoney.com/600728.html" TargetMode="External"/><Relationship Id="rId1807" Type="http://schemas.openxmlformats.org/officeDocument/2006/relationships/hyperlink" Target="http://data.eastmoney.com/stockdata/600859.html" TargetMode="External"/><Relationship Id="rId290" Type="http://schemas.openxmlformats.org/officeDocument/2006/relationships/hyperlink" Target="http://quote.eastmoney.com/300578.html" TargetMode="External"/><Relationship Id="rId388" Type="http://schemas.openxmlformats.org/officeDocument/2006/relationships/hyperlink" Target="http://quote.eastmoney.com/603489.html" TargetMode="External"/><Relationship Id="rId150" Type="http://schemas.openxmlformats.org/officeDocument/2006/relationships/hyperlink" Target="http://quote.eastmoney.com/002008.html" TargetMode="External"/><Relationship Id="rId595" Type="http://schemas.openxmlformats.org/officeDocument/2006/relationships/hyperlink" Target="http://data.eastmoney.com/stockdata/000799.html" TargetMode="External"/><Relationship Id="rId248" Type="http://schemas.openxmlformats.org/officeDocument/2006/relationships/hyperlink" Target="http://quote.eastmoney.com/300572.html" TargetMode="External"/><Relationship Id="rId455" Type="http://schemas.openxmlformats.org/officeDocument/2006/relationships/hyperlink" Target="http://data.eastmoney.com/stockdata/300384.html" TargetMode="External"/><Relationship Id="rId662" Type="http://schemas.openxmlformats.org/officeDocument/2006/relationships/hyperlink" Target="http://quote.eastmoney.com/300365.html" TargetMode="External"/><Relationship Id="rId1085" Type="http://schemas.openxmlformats.org/officeDocument/2006/relationships/hyperlink" Target="http://data.eastmoney.com/stockdata/002206.html" TargetMode="External"/><Relationship Id="rId1292" Type="http://schemas.openxmlformats.org/officeDocument/2006/relationships/hyperlink" Target="http://quote.eastmoney.com/000818.html" TargetMode="External"/><Relationship Id="rId108" Type="http://schemas.openxmlformats.org/officeDocument/2006/relationships/hyperlink" Target="http://quote.eastmoney.com/002123.html" TargetMode="External"/><Relationship Id="rId315" Type="http://schemas.openxmlformats.org/officeDocument/2006/relationships/hyperlink" Target="http://data.eastmoney.com/stockdata/603225.html" TargetMode="External"/><Relationship Id="rId522" Type="http://schemas.openxmlformats.org/officeDocument/2006/relationships/hyperlink" Target="http://quote.eastmoney.com/300223.html" TargetMode="External"/><Relationship Id="rId967" Type="http://schemas.openxmlformats.org/officeDocument/2006/relationships/hyperlink" Target="http://data.eastmoney.com/stockdata/002236.html" TargetMode="External"/><Relationship Id="rId1152" Type="http://schemas.openxmlformats.org/officeDocument/2006/relationships/hyperlink" Target="http://quote.eastmoney.com/002025.html" TargetMode="External"/><Relationship Id="rId1597" Type="http://schemas.openxmlformats.org/officeDocument/2006/relationships/hyperlink" Target="http://data.eastmoney.com/stockdata/600305.html" TargetMode="External"/><Relationship Id="rId96" Type="http://schemas.openxmlformats.org/officeDocument/2006/relationships/hyperlink" Target="http://quote.eastmoney.com/300659.html" TargetMode="External"/><Relationship Id="rId827" Type="http://schemas.openxmlformats.org/officeDocument/2006/relationships/hyperlink" Target="http://data.eastmoney.com/stockdata/002531.html" TargetMode="External"/><Relationship Id="rId1012" Type="http://schemas.openxmlformats.org/officeDocument/2006/relationships/hyperlink" Target="http://quote.eastmoney.com/603060.html" TargetMode="External"/><Relationship Id="rId1457" Type="http://schemas.openxmlformats.org/officeDocument/2006/relationships/hyperlink" Target="http://data.eastmoney.com/stockdata/603848.html" TargetMode="External"/><Relationship Id="rId1664" Type="http://schemas.openxmlformats.org/officeDocument/2006/relationships/hyperlink" Target="http://quote.eastmoney.com/600039.html" TargetMode="External"/><Relationship Id="rId1871" Type="http://schemas.openxmlformats.org/officeDocument/2006/relationships/hyperlink" Target="http://data.eastmoney.com/stockdata/000888.html" TargetMode="External"/><Relationship Id="rId1317" Type="http://schemas.openxmlformats.org/officeDocument/2006/relationships/hyperlink" Target="http://data.eastmoney.com/stockdata/600519.html" TargetMode="External"/><Relationship Id="rId1524" Type="http://schemas.openxmlformats.org/officeDocument/2006/relationships/hyperlink" Target="http://quote.eastmoney.com/000960.html" TargetMode="External"/><Relationship Id="rId1731" Type="http://schemas.openxmlformats.org/officeDocument/2006/relationships/hyperlink" Target="http://data.eastmoney.com/stockdata/002023.html" TargetMode="External"/><Relationship Id="rId1969" Type="http://schemas.openxmlformats.org/officeDocument/2006/relationships/hyperlink" Target="http://data.eastmoney.com/stockdata/601006.html" TargetMode="External"/><Relationship Id="rId23" Type="http://schemas.openxmlformats.org/officeDocument/2006/relationships/hyperlink" Target="http://data.eastmoney.com/stockdata/002156.html" TargetMode="External"/><Relationship Id="rId1829" Type="http://schemas.openxmlformats.org/officeDocument/2006/relationships/hyperlink" Target="http://data.eastmoney.com/stockdata/000923.html" TargetMode="External"/><Relationship Id="rId172" Type="http://schemas.openxmlformats.org/officeDocument/2006/relationships/hyperlink" Target="http://quote.eastmoney.com/603308.html" TargetMode="External"/><Relationship Id="rId477" Type="http://schemas.openxmlformats.org/officeDocument/2006/relationships/hyperlink" Target="http://data.eastmoney.com/stockdata/300596.html" TargetMode="External"/><Relationship Id="rId684" Type="http://schemas.openxmlformats.org/officeDocument/2006/relationships/hyperlink" Target="http://quote.eastmoney.com/002812.html" TargetMode="External"/><Relationship Id="rId337" Type="http://schemas.openxmlformats.org/officeDocument/2006/relationships/hyperlink" Target="http://data.eastmoney.com/stockdata/002609.html" TargetMode="External"/><Relationship Id="rId891" Type="http://schemas.openxmlformats.org/officeDocument/2006/relationships/hyperlink" Target="http://data.eastmoney.com/stockdata/300463.html" TargetMode="External"/><Relationship Id="rId989" Type="http://schemas.openxmlformats.org/officeDocument/2006/relationships/hyperlink" Target="http://data.eastmoney.com/stockdata/002614.html" TargetMode="External"/><Relationship Id="rId544" Type="http://schemas.openxmlformats.org/officeDocument/2006/relationships/hyperlink" Target="http://quote.eastmoney.com/300433.html" TargetMode="External"/><Relationship Id="rId751" Type="http://schemas.openxmlformats.org/officeDocument/2006/relationships/hyperlink" Target="http://data.eastmoney.com/stockdata/000733.html" TargetMode="External"/><Relationship Id="rId849" Type="http://schemas.openxmlformats.org/officeDocument/2006/relationships/hyperlink" Target="http://data.eastmoney.com/stockdata/600436.html" TargetMode="External"/><Relationship Id="rId1174" Type="http://schemas.openxmlformats.org/officeDocument/2006/relationships/hyperlink" Target="http://quote.eastmoney.com/600893.html" TargetMode="External"/><Relationship Id="rId1381" Type="http://schemas.openxmlformats.org/officeDocument/2006/relationships/hyperlink" Target="http://data.eastmoney.com/stockdata/603026.html" TargetMode="External"/><Relationship Id="rId1479" Type="http://schemas.openxmlformats.org/officeDocument/2006/relationships/hyperlink" Target="http://data.eastmoney.com/stockdata/000513.html" TargetMode="External"/><Relationship Id="rId1686" Type="http://schemas.openxmlformats.org/officeDocument/2006/relationships/hyperlink" Target="http://quote.eastmoney.com/000538.html" TargetMode="External"/><Relationship Id="rId404" Type="http://schemas.openxmlformats.org/officeDocument/2006/relationships/hyperlink" Target="http://quote.eastmoney.com/603978.html" TargetMode="External"/><Relationship Id="rId611" Type="http://schemas.openxmlformats.org/officeDocument/2006/relationships/hyperlink" Target="http://data.eastmoney.com/stockdata/603882.html" TargetMode="External"/><Relationship Id="rId1034" Type="http://schemas.openxmlformats.org/officeDocument/2006/relationships/hyperlink" Target="http://quote.eastmoney.com/300137.html" TargetMode="External"/><Relationship Id="rId1241" Type="http://schemas.openxmlformats.org/officeDocument/2006/relationships/hyperlink" Target="http://data.eastmoney.com/stockdata/603385.html" TargetMode="External"/><Relationship Id="rId1339" Type="http://schemas.openxmlformats.org/officeDocument/2006/relationships/hyperlink" Target="http://data.eastmoney.com/stockdata/600383.html" TargetMode="External"/><Relationship Id="rId1893" Type="http://schemas.openxmlformats.org/officeDocument/2006/relationships/hyperlink" Target="http://data.eastmoney.com/stockdata/601158.html" TargetMode="External"/><Relationship Id="rId709" Type="http://schemas.openxmlformats.org/officeDocument/2006/relationships/hyperlink" Target="http://data.eastmoney.com/stockdata/000034.html" TargetMode="External"/><Relationship Id="rId916" Type="http://schemas.openxmlformats.org/officeDocument/2006/relationships/hyperlink" Target="http://quote.eastmoney.com/600699.html" TargetMode="External"/><Relationship Id="rId1101" Type="http://schemas.openxmlformats.org/officeDocument/2006/relationships/hyperlink" Target="http://data.eastmoney.com/stockdata/002398.html" TargetMode="External"/><Relationship Id="rId1546" Type="http://schemas.openxmlformats.org/officeDocument/2006/relationships/hyperlink" Target="http://quote.eastmoney.com/603839.html" TargetMode="External"/><Relationship Id="rId1753" Type="http://schemas.openxmlformats.org/officeDocument/2006/relationships/hyperlink" Target="http://data.eastmoney.com/stockdata/300233.html" TargetMode="External"/><Relationship Id="rId1960" Type="http://schemas.openxmlformats.org/officeDocument/2006/relationships/hyperlink" Target="http://quote.eastmoney.com/601116.html" TargetMode="External"/><Relationship Id="rId45" Type="http://schemas.openxmlformats.org/officeDocument/2006/relationships/hyperlink" Target="http://data.eastmoney.com/stockdata/002714.html" TargetMode="External"/><Relationship Id="rId1406" Type="http://schemas.openxmlformats.org/officeDocument/2006/relationships/hyperlink" Target="http://quote.eastmoney.com/000601.html" TargetMode="External"/><Relationship Id="rId1613" Type="http://schemas.openxmlformats.org/officeDocument/2006/relationships/hyperlink" Target="http://data.eastmoney.com/stockdata/600863.html" TargetMode="External"/><Relationship Id="rId1820" Type="http://schemas.openxmlformats.org/officeDocument/2006/relationships/hyperlink" Target="http://quote.eastmoney.com/601881.html" TargetMode="External"/><Relationship Id="rId194" Type="http://schemas.openxmlformats.org/officeDocument/2006/relationships/hyperlink" Target="http://quote.eastmoney.com/300782.html" TargetMode="External"/><Relationship Id="rId1918" Type="http://schemas.openxmlformats.org/officeDocument/2006/relationships/hyperlink" Target="http://quote.eastmoney.com/600132.html" TargetMode="External"/><Relationship Id="rId261" Type="http://schemas.openxmlformats.org/officeDocument/2006/relationships/hyperlink" Target="http://data.eastmoney.com/stockdata/300207.html" TargetMode="External"/><Relationship Id="rId499" Type="http://schemas.openxmlformats.org/officeDocument/2006/relationships/hyperlink" Target="http://data.eastmoney.com/stockdata/300009.html" TargetMode="External"/><Relationship Id="rId359" Type="http://schemas.openxmlformats.org/officeDocument/2006/relationships/hyperlink" Target="http://data.eastmoney.com/stockdata/002607.html" TargetMode="External"/><Relationship Id="rId566" Type="http://schemas.openxmlformats.org/officeDocument/2006/relationships/hyperlink" Target="http://quote.eastmoney.com/600763.html" TargetMode="External"/><Relationship Id="rId773" Type="http://schemas.openxmlformats.org/officeDocument/2006/relationships/hyperlink" Target="http://data.eastmoney.com/stockdata/600325.html" TargetMode="External"/><Relationship Id="rId1196" Type="http://schemas.openxmlformats.org/officeDocument/2006/relationships/hyperlink" Target="http://quote.eastmoney.com/000887.html" TargetMode="External"/><Relationship Id="rId121" Type="http://schemas.openxmlformats.org/officeDocument/2006/relationships/hyperlink" Target="http://data.eastmoney.com/stockdata/300226.html" TargetMode="External"/><Relationship Id="rId219" Type="http://schemas.openxmlformats.org/officeDocument/2006/relationships/hyperlink" Target="http://data.eastmoney.com/stockdata/300738.html" TargetMode="External"/><Relationship Id="rId426" Type="http://schemas.openxmlformats.org/officeDocument/2006/relationships/hyperlink" Target="http://quote.eastmoney.com/603707.html" TargetMode="External"/><Relationship Id="rId633" Type="http://schemas.openxmlformats.org/officeDocument/2006/relationships/hyperlink" Target="http://data.eastmoney.com/stockdata/300059.html" TargetMode="External"/><Relationship Id="rId980" Type="http://schemas.openxmlformats.org/officeDocument/2006/relationships/hyperlink" Target="http://quote.eastmoney.com/002959.html" TargetMode="External"/><Relationship Id="rId1056" Type="http://schemas.openxmlformats.org/officeDocument/2006/relationships/hyperlink" Target="http://quote.eastmoney.com/300010.html" TargetMode="External"/><Relationship Id="rId1263" Type="http://schemas.openxmlformats.org/officeDocument/2006/relationships/hyperlink" Target="http://data.eastmoney.com/stockdata/002142.html" TargetMode="External"/><Relationship Id="rId840" Type="http://schemas.openxmlformats.org/officeDocument/2006/relationships/hyperlink" Target="http://quote.eastmoney.com/002212.html" TargetMode="External"/><Relationship Id="rId938" Type="http://schemas.openxmlformats.org/officeDocument/2006/relationships/hyperlink" Target="http://quote.eastmoney.com/601200.html" TargetMode="External"/><Relationship Id="rId1470" Type="http://schemas.openxmlformats.org/officeDocument/2006/relationships/hyperlink" Target="http://quote.eastmoney.com/600705.html" TargetMode="External"/><Relationship Id="rId1568" Type="http://schemas.openxmlformats.org/officeDocument/2006/relationships/hyperlink" Target="http://quote.eastmoney.com/000401.html" TargetMode="External"/><Relationship Id="rId1775" Type="http://schemas.openxmlformats.org/officeDocument/2006/relationships/hyperlink" Target="http://data.eastmoney.com/stockdata/603877.html" TargetMode="External"/><Relationship Id="rId67" Type="http://schemas.openxmlformats.org/officeDocument/2006/relationships/hyperlink" Target="http://data.eastmoney.com/stockdata/300604.html" TargetMode="External"/><Relationship Id="rId700" Type="http://schemas.openxmlformats.org/officeDocument/2006/relationships/hyperlink" Target="http://quote.eastmoney.com/300783.html" TargetMode="External"/><Relationship Id="rId1123" Type="http://schemas.openxmlformats.org/officeDocument/2006/relationships/hyperlink" Target="http://data.eastmoney.com/stockdata/002019.html" TargetMode="External"/><Relationship Id="rId1330" Type="http://schemas.openxmlformats.org/officeDocument/2006/relationships/hyperlink" Target="http://quote.eastmoney.com/002597.html" TargetMode="External"/><Relationship Id="rId1428" Type="http://schemas.openxmlformats.org/officeDocument/2006/relationships/hyperlink" Target="http://quote.eastmoney.com/002530.html" TargetMode="External"/><Relationship Id="rId1635" Type="http://schemas.openxmlformats.org/officeDocument/2006/relationships/hyperlink" Target="http://data.eastmoney.com/stockdata/600999.html" TargetMode="External"/><Relationship Id="rId1982" Type="http://schemas.openxmlformats.org/officeDocument/2006/relationships/hyperlink" Target="http://quote.eastmoney.com/600688.html" TargetMode="External"/><Relationship Id="rId1842" Type="http://schemas.openxmlformats.org/officeDocument/2006/relationships/hyperlink" Target="http://quote.eastmoney.com/601169.html" TargetMode="External"/><Relationship Id="rId1702" Type="http://schemas.openxmlformats.org/officeDocument/2006/relationships/hyperlink" Target="http://quote.eastmoney.com/601607.html" TargetMode="External"/><Relationship Id="rId283" Type="http://schemas.openxmlformats.org/officeDocument/2006/relationships/hyperlink" Target="http://data.eastmoney.com/stockdata/600466.html" TargetMode="External"/><Relationship Id="rId490" Type="http://schemas.openxmlformats.org/officeDocument/2006/relationships/hyperlink" Target="http://quote.eastmoney.com/300416.html" TargetMode="External"/><Relationship Id="rId143" Type="http://schemas.openxmlformats.org/officeDocument/2006/relationships/hyperlink" Target="http://data.eastmoney.com/stockdata/603881.html" TargetMode="External"/><Relationship Id="rId350" Type="http://schemas.openxmlformats.org/officeDocument/2006/relationships/hyperlink" Target="http://quote.eastmoney.com/300253.html" TargetMode="External"/><Relationship Id="rId588" Type="http://schemas.openxmlformats.org/officeDocument/2006/relationships/hyperlink" Target="http://quote.eastmoney.com/300047.html" TargetMode="External"/><Relationship Id="rId795" Type="http://schemas.openxmlformats.org/officeDocument/2006/relationships/hyperlink" Target="http://data.eastmoney.com/stockdata/603825.html" TargetMode="External"/><Relationship Id="rId9" Type="http://schemas.openxmlformats.org/officeDocument/2006/relationships/hyperlink" Target="javascript:;" TargetMode="External"/><Relationship Id="rId210" Type="http://schemas.openxmlformats.org/officeDocument/2006/relationships/hyperlink" Target="http://quote.eastmoney.com/603859.html" TargetMode="External"/><Relationship Id="rId448" Type="http://schemas.openxmlformats.org/officeDocument/2006/relationships/hyperlink" Target="http://quote.eastmoney.com/601865.html" TargetMode="External"/><Relationship Id="rId655" Type="http://schemas.openxmlformats.org/officeDocument/2006/relationships/hyperlink" Target="http://data.eastmoney.com/stockdata/300326.html" TargetMode="External"/><Relationship Id="rId862" Type="http://schemas.openxmlformats.org/officeDocument/2006/relationships/hyperlink" Target="http://quote.eastmoney.com/000966.html" TargetMode="External"/><Relationship Id="rId1078" Type="http://schemas.openxmlformats.org/officeDocument/2006/relationships/hyperlink" Target="http://quote.eastmoney.com/300760.html" TargetMode="External"/><Relationship Id="rId1285" Type="http://schemas.openxmlformats.org/officeDocument/2006/relationships/hyperlink" Target="http://data.eastmoney.com/stockdata/603599.html" TargetMode="External"/><Relationship Id="rId1492" Type="http://schemas.openxmlformats.org/officeDocument/2006/relationships/hyperlink" Target="http://quote.eastmoney.com/600176.html" TargetMode="External"/><Relationship Id="rId308" Type="http://schemas.openxmlformats.org/officeDocument/2006/relationships/hyperlink" Target="http://quote.eastmoney.com/603688.html" TargetMode="External"/><Relationship Id="rId515" Type="http://schemas.openxmlformats.org/officeDocument/2006/relationships/hyperlink" Target="http://data.eastmoney.com/stockdata/002438.html" TargetMode="External"/><Relationship Id="rId722" Type="http://schemas.openxmlformats.org/officeDocument/2006/relationships/hyperlink" Target="http://quote.eastmoney.com/300633.html" TargetMode="External"/><Relationship Id="rId1145" Type="http://schemas.openxmlformats.org/officeDocument/2006/relationships/hyperlink" Target="http://data.eastmoney.com/stockdata/002541.html" TargetMode="External"/><Relationship Id="rId1352" Type="http://schemas.openxmlformats.org/officeDocument/2006/relationships/hyperlink" Target="http://quote.eastmoney.com/603816.html" TargetMode="External"/><Relationship Id="rId1797" Type="http://schemas.openxmlformats.org/officeDocument/2006/relationships/hyperlink" Target="http://data.eastmoney.com/stockdata/300182.html" TargetMode="External"/><Relationship Id="rId89" Type="http://schemas.openxmlformats.org/officeDocument/2006/relationships/hyperlink" Target="http://data.eastmoney.com/stockdata/002292.html" TargetMode="External"/><Relationship Id="rId1005" Type="http://schemas.openxmlformats.org/officeDocument/2006/relationships/hyperlink" Target="http://data.eastmoney.com/stockdata/603369.html" TargetMode="External"/><Relationship Id="rId1212" Type="http://schemas.openxmlformats.org/officeDocument/2006/relationships/hyperlink" Target="http://quote.eastmoney.com/002677.html" TargetMode="External"/><Relationship Id="rId1657" Type="http://schemas.openxmlformats.org/officeDocument/2006/relationships/hyperlink" Target="http://data.eastmoney.com/stockdata/600754.html" TargetMode="External"/><Relationship Id="rId1864" Type="http://schemas.openxmlformats.org/officeDocument/2006/relationships/hyperlink" Target="http://quote.eastmoney.com/601998.html" TargetMode="External"/><Relationship Id="rId1517" Type="http://schemas.openxmlformats.org/officeDocument/2006/relationships/hyperlink" Target="http://data.eastmoney.com/stockdata/603444.html" TargetMode="External"/><Relationship Id="rId1724" Type="http://schemas.openxmlformats.org/officeDocument/2006/relationships/hyperlink" Target="http://quote.eastmoney.com/600887.html" TargetMode="External"/><Relationship Id="rId16" Type="http://schemas.openxmlformats.org/officeDocument/2006/relationships/hyperlink" Target="http://quote.eastmoney.com/001914.html" TargetMode="External"/><Relationship Id="rId1931" Type="http://schemas.openxmlformats.org/officeDocument/2006/relationships/hyperlink" Target="http://data.eastmoney.com/stockdata/600637.html" TargetMode="External"/><Relationship Id="rId165" Type="http://schemas.openxmlformats.org/officeDocument/2006/relationships/hyperlink" Target="http://data.eastmoney.com/stockdata/002371.html" TargetMode="External"/><Relationship Id="rId372" Type="http://schemas.openxmlformats.org/officeDocument/2006/relationships/hyperlink" Target="http://quote.eastmoney.com/688005.html" TargetMode="External"/><Relationship Id="rId677" Type="http://schemas.openxmlformats.org/officeDocument/2006/relationships/hyperlink" Target="http://data.eastmoney.com/stockdata/603305.html" TargetMode="External"/><Relationship Id="rId232" Type="http://schemas.openxmlformats.org/officeDocument/2006/relationships/hyperlink" Target="http://quote.eastmoney.com/002129.html" TargetMode="External"/><Relationship Id="rId884" Type="http://schemas.openxmlformats.org/officeDocument/2006/relationships/hyperlink" Target="http://quote.eastmoney.com/300037.html" TargetMode="External"/><Relationship Id="rId537" Type="http://schemas.openxmlformats.org/officeDocument/2006/relationships/hyperlink" Target="http://data.eastmoney.com/stockdata/002698.html" TargetMode="External"/><Relationship Id="rId744" Type="http://schemas.openxmlformats.org/officeDocument/2006/relationships/hyperlink" Target="http://quote.eastmoney.com/603197.html" TargetMode="External"/><Relationship Id="rId951" Type="http://schemas.openxmlformats.org/officeDocument/2006/relationships/hyperlink" Target="http://data.eastmoney.com/stockdata/002396.html" TargetMode="External"/><Relationship Id="rId1167" Type="http://schemas.openxmlformats.org/officeDocument/2006/relationships/hyperlink" Target="http://data.eastmoney.com/stockdata/600967.html" TargetMode="External"/><Relationship Id="rId1374" Type="http://schemas.openxmlformats.org/officeDocument/2006/relationships/hyperlink" Target="http://quote.eastmoney.com/603708.html" TargetMode="External"/><Relationship Id="rId1581" Type="http://schemas.openxmlformats.org/officeDocument/2006/relationships/hyperlink" Target="http://data.eastmoney.com/stockdata/600400.html" TargetMode="External"/><Relationship Id="rId1679" Type="http://schemas.openxmlformats.org/officeDocument/2006/relationships/hyperlink" Target="http://data.eastmoney.com/stockdata/002444.html" TargetMode="External"/><Relationship Id="rId80" Type="http://schemas.openxmlformats.org/officeDocument/2006/relationships/hyperlink" Target="http://quote.eastmoney.com/300133.html" TargetMode="External"/><Relationship Id="rId604" Type="http://schemas.openxmlformats.org/officeDocument/2006/relationships/hyperlink" Target="http://quote.eastmoney.com/300724.html" TargetMode="External"/><Relationship Id="rId811" Type="http://schemas.openxmlformats.org/officeDocument/2006/relationships/hyperlink" Target="http://data.eastmoney.com/stockdata/002367.html" TargetMode="External"/><Relationship Id="rId1027" Type="http://schemas.openxmlformats.org/officeDocument/2006/relationships/hyperlink" Target="http://data.eastmoney.com/stockdata/002373.html" TargetMode="External"/><Relationship Id="rId1234" Type="http://schemas.openxmlformats.org/officeDocument/2006/relationships/hyperlink" Target="http://quote.eastmoney.com/300788.html" TargetMode="External"/><Relationship Id="rId1441" Type="http://schemas.openxmlformats.org/officeDocument/2006/relationships/hyperlink" Target="http://data.eastmoney.com/stockdata/601678.html" TargetMode="External"/><Relationship Id="rId1886" Type="http://schemas.openxmlformats.org/officeDocument/2006/relationships/hyperlink" Target="http://quote.eastmoney.com/003816.html" TargetMode="External"/><Relationship Id="rId909" Type="http://schemas.openxmlformats.org/officeDocument/2006/relationships/hyperlink" Target="http://data.eastmoney.com/stockdata/300274.html" TargetMode="External"/><Relationship Id="rId1301" Type="http://schemas.openxmlformats.org/officeDocument/2006/relationships/hyperlink" Target="http://data.eastmoney.com/stockdata/600323.html" TargetMode="External"/><Relationship Id="rId1539" Type="http://schemas.openxmlformats.org/officeDocument/2006/relationships/hyperlink" Target="http://data.eastmoney.com/stockdata/601058.html" TargetMode="External"/><Relationship Id="rId1746" Type="http://schemas.openxmlformats.org/officeDocument/2006/relationships/hyperlink" Target="http://quote.eastmoney.com/600118.html" TargetMode="External"/><Relationship Id="rId1953" Type="http://schemas.openxmlformats.org/officeDocument/2006/relationships/hyperlink" Target="http://data.eastmoney.com/stockdata/600282.html" TargetMode="External"/><Relationship Id="rId38" Type="http://schemas.openxmlformats.org/officeDocument/2006/relationships/hyperlink" Target="http://quote.eastmoney.com/603727.html" TargetMode="External"/><Relationship Id="rId1606" Type="http://schemas.openxmlformats.org/officeDocument/2006/relationships/hyperlink" Target="http://quote.eastmoney.com/601009.html" TargetMode="External"/><Relationship Id="rId1813" Type="http://schemas.openxmlformats.org/officeDocument/2006/relationships/hyperlink" Target="http://data.eastmoney.com/stockdata/601992.html" TargetMode="External"/><Relationship Id="rId187" Type="http://schemas.openxmlformats.org/officeDocument/2006/relationships/hyperlink" Target="http://data.eastmoney.com/stockdata/603131.html" TargetMode="External"/><Relationship Id="rId394" Type="http://schemas.openxmlformats.org/officeDocument/2006/relationships/hyperlink" Target="http://quote.eastmoney.com/002878.html" TargetMode="External"/><Relationship Id="rId254" Type="http://schemas.openxmlformats.org/officeDocument/2006/relationships/hyperlink" Target="http://quote.eastmoney.com/300638.html" TargetMode="External"/><Relationship Id="rId699" Type="http://schemas.openxmlformats.org/officeDocument/2006/relationships/hyperlink" Target="http://data.eastmoney.com/stockdata/300012.html" TargetMode="External"/><Relationship Id="rId1091" Type="http://schemas.openxmlformats.org/officeDocument/2006/relationships/hyperlink" Target="http://data.eastmoney.com/stockdata/002415.html" TargetMode="External"/><Relationship Id="rId114" Type="http://schemas.openxmlformats.org/officeDocument/2006/relationships/hyperlink" Target="http://quote.eastmoney.com/002313.html" TargetMode="External"/><Relationship Id="rId461" Type="http://schemas.openxmlformats.org/officeDocument/2006/relationships/hyperlink" Target="http://data.eastmoney.com/stockdata/002791.html" TargetMode="External"/><Relationship Id="rId559" Type="http://schemas.openxmlformats.org/officeDocument/2006/relationships/hyperlink" Target="http://data.eastmoney.com/stockdata/603600.html" TargetMode="External"/><Relationship Id="rId766" Type="http://schemas.openxmlformats.org/officeDocument/2006/relationships/hyperlink" Target="http://quote.eastmoney.com/300119.html" TargetMode="External"/><Relationship Id="rId1189" Type="http://schemas.openxmlformats.org/officeDocument/2006/relationships/hyperlink" Target="http://data.eastmoney.com/stockdata/601100.html" TargetMode="External"/><Relationship Id="rId1396" Type="http://schemas.openxmlformats.org/officeDocument/2006/relationships/hyperlink" Target="http://quote.eastmoney.com/603360.html" TargetMode="External"/><Relationship Id="rId321" Type="http://schemas.openxmlformats.org/officeDocument/2006/relationships/hyperlink" Target="http://data.eastmoney.com/stockdata/603986.html" TargetMode="External"/><Relationship Id="rId419" Type="http://schemas.openxmlformats.org/officeDocument/2006/relationships/hyperlink" Target="http://data.eastmoney.com/stockdata/002202.html" TargetMode="External"/><Relationship Id="rId626" Type="http://schemas.openxmlformats.org/officeDocument/2006/relationships/hyperlink" Target="http://quote.eastmoney.com/002064.html" TargetMode="External"/><Relationship Id="rId973" Type="http://schemas.openxmlformats.org/officeDocument/2006/relationships/hyperlink" Target="http://data.eastmoney.com/stockdata/601689.html" TargetMode="External"/><Relationship Id="rId1049" Type="http://schemas.openxmlformats.org/officeDocument/2006/relationships/hyperlink" Target="http://data.eastmoney.com/stockdata/300031.html" TargetMode="External"/><Relationship Id="rId1256" Type="http://schemas.openxmlformats.org/officeDocument/2006/relationships/hyperlink" Target="http://quote.eastmoney.com/601021.html" TargetMode="External"/><Relationship Id="rId2002" Type="http://schemas.openxmlformats.org/officeDocument/2006/relationships/hyperlink" Target="http://quote.eastmoney.com/000933.html" TargetMode="External"/><Relationship Id="rId833" Type="http://schemas.openxmlformats.org/officeDocument/2006/relationships/hyperlink" Target="http://data.eastmoney.com/stockdata/300014.html" TargetMode="External"/><Relationship Id="rId1116" Type="http://schemas.openxmlformats.org/officeDocument/2006/relationships/hyperlink" Target="http://quote.eastmoney.com/603037.html" TargetMode="External"/><Relationship Id="rId1463" Type="http://schemas.openxmlformats.org/officeDocument/2006/relationships/hyperlink" Target="http://data.eastmoney.com/stockdata/601139.html" TargetMode="External"/><Relationship Id="rId1670" Type="http://schemas.openxmlformats.org/officeDocument/2006/relationships/hyperlink" Target="http://quote.eastmoney.com/600704.html" TargetMode="External"/><Relationship Id="rId1768" Type="http://schemas.openxmlformats.org/officeDocument/2006/relationships/hyperlink" Target="http://quote.eastmoney.com/601928.html" TargetMode="External"/><Relationship Id="rId900" Type="http://schemas.openxmlformats.org/officeDocument/2006/relationships/hyperlink" Target="http://quote.eastmoney.com/603966.html" TargetMode="External"/><Relationship Id="rId1323" Type="http://schemas.openxmlformats.org/officeDocument/2006/relationships/hyperlink" Target="http://data.eastmoney.com/stockdata/300203.html" TargetMode="External"/><Relationship Id="rId1530" Type="http://schemas.openxmlformats.org/officeDocument/2006/relationships/hyperlink" Target="http://quote.eastmoney.com/000630.html" TargetMode="External"/><Relationship Id="rId1628" Type="http://schemas.openxmlformats.org/officeDocument/2006/relationships/hyperlink" Target="http://quote.eastmoney.com/600612.html" TargetMode="External"/><Relationship Id="rId1975" Type="http://schemas.openxmlformats.org/officeDocument/2006/relationships/hyperlink" Target="http://data.eastmoney.com/stockdata/600585.html" TargetMode="External"/><Relationship Id="rId1835" Type="http://schemas.openxmlformats.org/officeDocument/2006/relationships/hyperlink" Target="http://data.eastmoney.com/stockdata/600803.html" TargetMode="External"/><Relationship Id="rId1902" Type="http://schemas.openxmlformats.org/officeDocument/2006/relationships/hyperlink" Target="http://quote.eastmoney.com/601628.html" TargetMode="External"/><Relationship Id="rId276" Type="http://schemas.openxmlformats.org/officeDocument/2006/relationships/hyperlink" Target="http://quote.eastmoney.com/002892.html" TargetMode="External"/><Relationship Id="rId483" Type="http://schemas.openxmlformats.org/officeDocument/2006/relationships/hyperlink" Target="http://data.eastmoney.com/stockdata/688029.html" TargetMode="External"/><Relationship Id="rId690" Type="http://schemas.openxmlformats.org/officeDocument/2006/relationships/hyperlink" Target="http://quote.eastmoney.com/002463.html" TargetMode="External"/><Relationship Id="rId136" Type="http://schemas.openxmlformats.org/officeDocument/2006/relationships/hyperlink" Target="http://quote.eastmoney.com/300593.html" TargetMode="External"/><Relationship Id="rId343" Type="http://schemas.openxmlformats.org/officeDocument/2006/relationships/hyperlink" Target="http://data.eastmoney.com/stockdata/002099.html" TargetMode="External"/><Relationship Id="rId550" Type="http://schemas.openxmlformats.org/officeDocument/2006/relationships/hyperlink" Target="http://quote.eastmoney.com/002475.html" TargetMode="External"/><Relationship Id="rId788" Type="http://schemas.openxmlformats.org/officeDocument/2006/relationships/hyperlink" Target="http://quote.eastmoney.com/002443.html" TargetMode="External"/><Relationship Id="rId995" Type="http://schemas.openxmlformats.org/officeDocument/2006/relationships/hyperlink" Target="http://data.eastmoney.com/stockdata/300415.html" TargetMode="External"/><Relationship Id="rId1180" Type="http://schemas.openxmlformats.org/officeDocument/2006/relationships/hyperlink" Target="http://quote.eastmoney.com/000069.html" TargetMode="External"/><Relationship Id="rId203" Type="http://schemas.openxmlformats.org/officeDocument/2006/relationships/hyperlink" Target="http://data.eastmoney.com/stockdata/600201.html" TargetMode="External"/><Relationship Id="rId648" Type="http://schemas.openxmlformats.org/officeDocument/2006/relationships/hyperlink" Target="http://quote.eastmoney.com/300420.html" TargetMode="External"/><Relationship Id="rId855" Type="http://schemas.openxmlformats.org/officeDocument/2006/relationships/hyperlink" Target="http://data.eastmoney.com/stockdata/300166.html" TargetMode="External"/><Relationship Id="rId1040" Type="http://schemas.openxmlformats.org/officeDocument/2006/relationships/hyperlink" Target="http://quote.eastmoney.com/600063.html" TargetMode="External"/><Relationship Id="rId1278" Type="http://schemas.openxmlformats.org/officeDocument/2006/relationships/hyperlink" Target="http://quote.eastmoney.com/600309.html" TargetMode="External"/><Relationship Id="rId1485" Type="http://schemas.openxmlformats.org/officeDocument/2006/relationships/hyperlink" Target="http://data.eastmoney.com/stockdata/603096.html" TargetMode="External"/><Relationship Id="rId1692" Type="http://schemas.openxmlformats.org/officeDocument/2006/relationships/hyperlink" Target="http://quote.eastmoney.com/601766.html" TargetMode="External"/><Relationship Id="rId410" Type="http://schemas.openxmlformats.org/officeDocument/2006/relationships/hyperlink" Target="http://quote.eastmoney.com/603566.html" TargetMode="External"/><Relationship Id="rId508" Type="http://schemas.openxmlformats.org/officeDocument/2006/relationships/hyperlink" Target="http://quote.eastmoney.com/300122.html" TargetMode="External"/><Relationship Id="rId715" Type="http://schemas.openxmlformats.org/officeDocument/2006/relationships/hyperlink" Target="http://data.eastmoney.com/stockdata/603916.html" TargetMode="External"/><Relationship Id="rId922" Type="http://schemas.openxmlformats.org/officeDocument/2006/relationships/hyperlink" Target="http://quote.eastmoney.com/002034.html" TargetMode="External"/><Relationship Id="rId1138" Type="http://schemas.openxmlformats.org/officeDocument/2006/relationships/hyperlink" Target="http://quote.eastmoney.com/002120.html" TargetMode="External"/><Relationship Id="rId1345" Type="http://schemas.openxmlformats.org/officeDocument/2006/relationships/hyperlink" Target="http://data.eastmoney.com/stockdata/000768.html" TargetMode="External"/><Relationship Id="rId1552" Type="http://schemas.openxmlformats.org/officeDocument/2006/relationships/hyperlink" Target="http://quote.eastmoney.com/002050.html" TargetMode="External"/><Relationship Id="rId1997" Type="http://schemas.openxmlformats.org/officeDocument/2006/relationships/hyperlink" Target="http://data.eastmoney.com/stockdata/601333.html" TargetMode="External"/><Relationship Id="rId1205" Type="http://schemas.openxmlformats.org/officeDocument/2006/relationships/hyperlink" Target="http://data.eastmoney.com/stockdata/600160.html" TargetMode="External"/><Relationship Id="rId1857" Type="http://schemas.openxmlformats.org/officeDocument/2006/relationships/hyperlink" Target="http://data.eastmoney.com/stockdata/000338.html" TargetMode="External"/><Relationship Id="rId51" Type="http://schemas.openxmlformats.org/officeDocument/2006/relationships/hyperlink" Target="http://data.eastmoney.com/stockdata/002157.html" TargetMode="External"/><Relationship Id="rId1412" Type="http://schemas.openxmlformats.org/officeDocument/2006/relationships/hyperlink" Target="http://quote.eastmoney.com/300428.html" TargetMode="External"/><Relationship Id="rId1717" Type="http://schemas.openxmlformats.org/officeDocument/2006/relationships/hyperlink" Target="http://data.eastmoney.com/stockdata/600000.html" TargetMode="External"/><Relationship Id="rId1924" Type="http://schemas.openxmlformats.org/officeDocument/2006/relationships/hyperlink" Target="http://quote.eastmoney.com/601666.html" TargetMode="External"/><Relationship Id="rId298" Type="http://schemas.openxmlformats.org/officeDocument/2006/relationships/hyperlink" Target="http://quote.eastmoney.com/300545.html" TargetMode="External"/><Relationship Id="rId158" Type="http://schemas.openxmlformats.org/officeDocument/2006/relationships/hyperlink" Target="http://quote.eastmoney.com/300679.html" TargetMode="External"/><Relationship Id="rId365" Type="http://schemas.openxmlformats.org/officeDocument/2006/relationships/hyperlink" Target="http://data.eastmoney.com/stockdata/002434.html" TargetMode="External"/><Relationship Id="rId572" Type="http://schemas.openxmlformats.org/officeDocument/2006/relationships/hyperlink" Target="http://quote.eastmoney.com/300003.html" TargetMode="External"/><Relationship Id="rId225" Type="http://schemas.openxmlformats.org/officeDocument/2006/relationships/hyperlink" Target="http://data.eastmoney.com/stockdata/300793.html" TargetMode="External"/><Relationship Id="rId432" Type="http://schemas.openxmlformats.org/officeDocument/2006/relationships/hyperlink" Target="http://quote.eastmoney.com/300673.html" TargetMode="External"/><Relationship Id="rId877" Type="http://schemas.openxmlformats.org/officeDocument/2006/relationships/hyperlink" Target="http://data.eastmoney.com/stockdata/002724.html" TargetMode="External"/><Relationship Id="rId1062" Type="http://schemas.openxmlformats.org/officeDocument/2006/relationships/hyperlink" Target="http://quote.eastmoney.com/600502.html" TargetMode="External"/><Relationship Id="rId737" Type="http://schemas.openxmlformats.org/officeDocument/2006/relationships/hyperlink" Target="http://data.eastmoney.com/stockdata/603887.html" TargetMode="External"/><Relationship Id="rId944" Type="http://schemas.openxmlformats.org/officeDocument/2006/relationships/hyperlink" Target="http://quote.eastmoney.com/002706.html" TargetMode="External"/><Relationship Id="rId1367" Type="http://schemas.openxmlformats.org/officeDocument/2006/relationships/hyperlink" Target="http://data.eastmoney.com/stockdata/000810.html" TargetMode="External"/><Relationship Id="rId1574" Type="http://schemas.openxmlformats.org/officeDocument/2006/relationships/hyperlink" Target="http://quote.eastmoney.com/002081.html" TargetMode="External"/><Relationship Id="rId1781" Type="http://schemas.openxmlformats.org/officeDocument/2006/relationships/hyperlink" Target="http://data.eastmoney.com/stockdata/000776.html" TargetMode="External"/><Relationship Id="rId73" Type="http://schemas.openxmlformats.org/officeDocument/2006/relationships/hyperlink" Target="http://data.eastmoney.com/stockdata/603063.html" TargetMode="External"/><Relationship Id="rId804" Type="http://schemas.openxmlformats.org/officeDocument/2006/relationships/hyperlink" Target="http://quote.eastmoney.com/600055.html" TargetMode="External"/><Relationship Id="rId1227" Type="http://schemas.openxmlformats.org/officeDocument/2006/relationships/hyperlink" Target="http://data.eastmoney.com/stockdata/600196.html" TargetMode="External"/><Relationship Id="rId1434" Type="http://schemas.openxmlformats.org/officeDocument/2006/relationships/hyperlink" Target="http://quote.eastmoney.com/603886.html" TargetMode="External"/><Relationship Id="rId1641" Type="http://schemas.openxmlformats.org/officeDocument/2006/relationships/hyperlink" Target="http://data.eastmoney.com/stockdata/002048.html" TargetMode="External"/><Relationship Id="rId1879" Type="http://schemas.openxmlformats.org/officeDocument/2006/relationships/hyperlink" Target="http://data.eastmoney.com/stockdata/603156.html" TargetMode="External"/><Relationship Id="rId1501" Type="http://schemas.openxmlformats.org/officeDocument/2006/relationships/hyperlink" Target="http://data.eastmoney.com/stockdata/002595.html" TargetMode="External"/><Relationship Id="rId1739" Type="http://schemas.openxmlformats.org/officeDocument/2006/relationships/hyperlink" Target="http://data.eastmoney.com/stockdata/002399.html" TargetMode="External"/><Relationship Id="rId1946" Type="http://schemas.openxmlformats.org/officeDocument/2006/relationships/hyperlink" Target="http://quote.eastmoney.com/000983.html" TargetMode="External"/><Relationship Id="rId1806" Type="http://schemas.openxmlformats.org/officeDocument/2006/relationships/hyperlink" Target="http://quote.eastmoney.com/600859.html" TargetMode="External"/><Relationship Id="rId387" Type="http://schemas.openxmlformats.org/officeDocument/2006/relationships/hyperlink" Target="http://data.eastmoney.com/stockdata/300369.html" TargetMode="External"/><Relationship Id="rId594" Type="http://schemas.openxmlformats.org/officeDocument/2006/relationships/hyperlink" Target="http://quote.eastmoney.com/000799.html" TargetMode="External"/><Relationship Id="rId247" Type="http://schemas.openxmlformats.org/officeDocument/2006/relationships/hyperlink" Target="http://data.eastmoney.com/stockdata/002648.html" TargetMode="External"/><Relationship Id="rId899" Type="http://schemas.openxmlformats.org/officeDocument/2006/relationships/hyperlink" Target="http://data.eastmoney.com/stockdata/002568.html" TargetMode="External"/><Relationship Id="rId1084" Type="http://schemas.openxmlformats.org/officeDocument/2006/relationships/hyperlink" Target="http://quote.eastmoney.com/002206.html" TargetMode="External"/><Relationship Id="rId107" Type="http://schemas.openxmlformats.org/officeDocument/2006/relationships/hyperlink" Target="http://data.eastmoney.com/stockdata/300601.html" TargetMode="External"/><Relationship Id="rId454" Type="http://schemas.openxmlformats.org/officeDocument/2006/relationships/hyperlink" Target="http://quote.eastmoney.com/300384.html" TargetMode="External"/><Relationship Id="rId661" Type="http://schemas.openxmlformats.org/officeDocument/2006/relationships/hyperlink" Target="http://data.eastmoney.com/stockdata/002353.html" TargetMode="External"/><Relationship Id="rId759" Type="http://schemas.openxmlformats.org/officeDocument/2006/relationships/hyperlink" Target="http://data.eastmoney.com/stockdata/300232.html" TargetMode="External"/><Relationship Id="rId966" Type="http://schemas.openxmlformats.org/officeDocument/2006/relationships/hyperlink" Target="http://quote.eastmoney.com/002236.html" TargetMode="External"/><Relationship Id="rId1291" Type="http://schemas.openxmlformats.org/officeDocument/2006/relationships/hyperlink" Target="http://data.eastmoney.com/stockdata/002707.html" TargetMode="External"/><Relationship Id="rId1389" Type="http://schemas.openxmlformats.org/officeDocument/2006/relationships/hyperlink" Target="http://data.eastmoney.com/stockdata/603730.html" TargetMode="External"/><Relationship Id="rId1596" Type="http://schemas.openxmlformats.org/officeDocument/2006/relationships/hyperlink" Target="http://quote.eastmoney.com/600305.html" TargetMode="External"/><Relationship Id="rId314" Type="http://schemas.openxmlformats.org/officeDocument/2006/relationships/hyperlink" Target="http://quote.eastmoney.com/603225.html" TargetMode="External"/><Relationship Id="rId521" Type="http://schemas.openxmlformats.org/officeDocument/2006/relationships/hyperlink" Target="http://data.eastmoney.com/stockdata/000035.html" TargetMode="External"/><Relationship Id="rId619" Type="http://schemas.openxmlformats.org/officeDocument/2006/relationships/hyperlink" Target="http://data.eastmoney.com/stockdata/603313.html" TargetMode="External"/><Relationship Id="rId1151" Type="http://schemas.openxmlformats.org/officeDocument/2006/relationships/hyperlink" Target="http://data.eastmoney.com/stockdata/601997.html" TargetMode="External"/><Relationship Id="rId1249" Type="http://schemas.openxmlformats.org/officeDocument/2006/relationships/hyperlink" Target="http://data.eastmoney.com/stockdata/600217.html" TargetMode="External"/><Relationship Id="rId95" Type="http://schemas.openxmlformats.org/officeDocument/2006/relationships/hyperlink" Target="http://data.eastmoney.com/stockdata/002159.html" TargetMode="External"/><Relationship Id="rId826" Type="http://schemas.openxmlformats.org/officeDocument/2006/relationships/hyperlink" Target="http://quote.eastmoney.com/002531.html" TargetMode="External"/><Relationship Id="rId1011" Type="http://schemas.openxmlformats.org/officeDocument/2006/relationships/hyperlink" Target="http://data.eastmoney.com/stockdata/603214.html" TargetMode="External"/><Relationship Id="rId1109" Type="http://schemas.openxmlformats.org/officeDocument/2006/relationships/hyperlink" Target="http://data.eastmoney.com/stockdata/001979.html" TargetMode="External"/><Relationship Id="rId1456" Type="http://schemas.openxmlformats.org/officeDocument/2006/relationships/hyperlink" Target="http://quote.eastmoney.com/603848.html" TargetMode="External"/><Relationship Id="rId1663" Type="http://schemas.openxmlformats.org/officeDocument/2006/relationships/hyperlink" Target="http://data.eastmoney.com/stockdata/600511.html" TargetMode="External"/><Relationship Id="rId1870" Type="http://schemas.openxmlformats.org/officeDocument/2006/relationships/hyperlink" Target="http://quote.eastmoney.com/000888.html" TargetMode="External"/><Relationship Id="rId1968" Type="http://schemas.openxmlformats.org/officeDocument/2006/relationships/hyperlink" Target="http://quote.eastmoney.com/601006.html" TargetMode="External"/><Relationship Id="rId1316" Type="http://schemas.openxmlformats.org/officeDocument/2006/relationships/hyperlink" Target="http://quote.eastmoney.com/600519.html" TargetMode="External"/><Relationship Id="rId1523" Type="http://schemas.openxmlformats.org/officeDocument/2006/relationships/hyperlink" Target="http://data.eastmoney.com/stockdata/603589.html" TargetMode="External"/><Relationship Id="rId1730" Type="http://schemas.openxmlformats.org/officeDocument/2006/relationships/hyperlink" Target="http://quote.eastmoney.com/002023.html" TargetMode="External"/><Relationship Id="rId22" Type="http://schemas.openxmlformats.org/officeDocument/2006/relationships/hyperlink" Target="http://quote.eastmoney.com/002156.html" TargetMode="External"/><Relationship Id="rId1828" Type="http://schemas.openxmlformats.org/officeDocument/2006/relationships/hyperlink" Target="http://quote.eastmoney.com/000923.html" TargetMode="External"/><Relationship Id="rId171" Type="http://schemas.openxmlformats.org/officeDocument/2006/relationships/hyperlink" Target="http://data.eastmoney.com/stockdata/002027.html" TargetMode="External"/><Relationship Id="rId269" Type="http://schemas.openxmlformats.org/officeDocument/2006/relationships/hyperlink" Target="http://data.eastmoney.com/stockdata/002850.html" TargetMode="External"/><Relationship Id="rId476" Type="http://schemas.openxmlformats.org/officeDocument/2006/relationships/hyperlink" Target="http://quote.eastmoney.com/300596.html" TargetMode="External"/><Relationship Id="rId683" Type="http://schemas.openxmlformats.org/officeDocument/2006/relationships/hyperlink" Target="http://data.eastmoney.com/stockdata/300422.html" TargetMode="External"/><Relationship Id="rId890" Type="http://schemas.openxmlformats.org/officeDocument/2006/relationships/hyperlink" Target="http://quote.eastmoney.com/300463.html" TargetMode="External"/><Relationship Id="rId129" Type="http://schemas.openxmlformats.org/officeDocument/2006/relationships/hyperlink" Target="http://data.eastmoney.com/stockdata/300261.html" TargetMode="External"/><Relationship Id="rId336" Type="http://schemas.openxmlformats.org/officeDocument/2006/relationships/hyperlink" Target="http://quote.eastmoney.com/002609.html" TargetMode="External"/><Relationship Id="rId543" Type="http://schemas.openxmlformats.org/officeDocument/2006/relationships/hyperlink" Target="http://data.eastmoney.com/stockdata/002916.html" TargetMode="External"/><Relationship Id="rId988" Type="http://schemas.openxmlformats.org/officeDocument/2006/relationships/hyperlink" Target="http://quote.eastmoney.com/002614.html" TargetMode="External"/><Relationship Id="rId1173" Type="http://schemas.openxmlformats.org/officeDocument/2006/relationships/hyperlink" Target="http://data.eastmoney.com/stockdata/002717.html" TargetMode="External"/><Relationship Id="rId1380" Type="http://schemas.openxmlformats.org/officeDocument/2006/relationships/hyperlink" Target="http://quote.eastmoney.com/603026.html" TargetMode="External"/><Relationship Id="rId403" Type="http://schemas.openxmlformats.org/officeDocument/2006/relationships/hyperlink" Target="http://data.eastmoney.com/stockdata/300363.html" TargetMode="External"/><Relationship Id="rId750" Type="http://schemas.openxmlformats.org/officeDocument/2006/relationships/hyperlink" Target="http://quote.eastmoney.com/000733.html" TargetMode="External"/><Relationship Id="rId848" Type="http://schemas.openxmlformats.org/officeDocument/2006/relationships/hyperlink" Target="http://quote.eastmoney.com/600436.html" TargetMode="External"/><Relationship Id="rId1033" Type="http://schemas.openxmlformats.org/officeDocument/2006/relationships/hyperlink" Target="http://data.eastmoney.com/stockdata/300408.html" TargetMode="External"/><Relationship Id="rId1478" Type="http://schemas.openxmlformats.org/officeDocument/2006/relationships/hyperlink" Target="http://quote.eastmoney.com/000513.html" TargetMode="External"/><Relationship Id="rId1685" Type="http://schemas.openxmlformats.org/officeDocument/2006/relationships/hyperlink" Target="http://data.eastmoney.com/stockdata/000333.html" TargetMode="External"/><Relationship Id="rId1892" Type="http://schemas.openxmlformats.org/officeDocument/2006/relationships/hyperlink" Target="http://quote.eastmoney.com/601158.html" TargetMode="External"/><Relationship Id="rId610" Type="http://schemas.openxmlformats.org/officeDocument/2006/relationships/hyperlink" Target="http://quote.eastmoney.com/603882.html" TargetMode="External"/><Relationship Id="rId708" Type="http://schemas.openxmlformats.org/officeDocument/2006/relationships/hyperlink" Target="http://quote.eastmoney.com/000034.html" TargetMode="External"/><Relationship Id="rId915" Type="http://schemas.openxmlformats.org/officeDocument/2006/relationships/hyperlink" Target="http://data.eastmoney.com/stockdata/300413.html" TargetMode="External"/><Relationship Id="rId1240" Type="http://schemas.openxmlformats.org/officeDocument/2006/relationships/hyperlink" Target="http://quote.eastmoney.com/603385.html" TargetMode="External"/><Relationship Id="rId1338" Type="http://schemas.openxmlformats.org/officeDocument/2006/relationships/hyperlink" Target="http://quote.eastmoney.com/600383.html" TargetMode="External"/><Relationship Id="rId1545" Type="http://schemas.openxmlformats.org/officeDocument/2006/relationships/hyperlink" Target="http://data.eastmoney.com/stockdata/601888.html" TargetMode="External"/><Relationship Id="rId1100" Type="http://schemas.openxmlformats.org/officeDocument/2006/relationships/hyperlink" Target="http://quote.eastmoney.com/002398.html" TargetMode="External"/><Relationship Id="rId1405" Type="http://schemas.openxmlformats.org/officeDocument/2006/relationships/hyperlink" Target="http://data.eastmoney.com/stockdata/300113.html" TargetMode="External"/><Relationship Id="rId1752" Type="http://schemas.openxmlformats.org/officeDocument/2006/relationships/hyperlink" Target="http://quote.eastmoney.com/300233.html" TargetMode="External"/><Relationship Id="rId44" Type="http://schemas.openxmlformats.org/officeDocument/2006/relationships/hyperlink" Target="http://quote.eastmoney.com/002714.html" TargetMode="External"/><Relationship Id="rId1612" Type="http://schemas.openxmlformats.org/officeDocument/2006/relationships/hyperlink" Target="http://quote.eastmoney.com/600863.html" TargetMode="External"/><Relationship Id="rId1917" Type="http://schemas.openxmlformats.org/officeDocument/2006/relationships/hyperlink" Target="http://data.eastmoney.com/stockdata/600236.html" TargetMode="External"/><Relationship Id="rId193" Type="http://schemas.openxmlformats.org/officeDocument/2006/relationships/hyperlink" Target="http://data.eastmoney.com/stockdata/603660.html" TargetMode="External"/><Relationship Id="rId498" Type="http://schemas.openxmlformats.org/officeDocument/2006/relationships/hyperlink" Target="http://quote.eastmoney.com/300009.html" TargetMode="External"/><Relationship Id="rId260" Type="http://schemas.openxmlformats.org/officeDocument/2006/relationships/hyperlink" Target="http://quote.eastmoney.com/300207.html" TargetMode="External"/><Relationship Id="rId120" Type="http://schemas.openxmlformats.org/officeDocument/2006/relationships/hyperlink" Target="http://quote.eastmoney.com/300226.html" TargetMode="External"/><Relationship Id="rId358" Type="http://schemas.openxmlformats.org/officeDocument/2006/relationships/hyperlink" Target="http://quote.eastmoney.com/002607.html" TargetMode="External"/><Relationship Id="rId565" Type="http://schemas.openxmlformats.org/officeDocument/2006/relationships/hyperlink" Target="http://data.eastmoney.com/stockdata/002214.html" TargetMode="External"/><Relationship Id="rId772" Type="http://schemas.openxmlformats.org/officeDocument/2006/relationships/hyperlink" Target="http://quote.eastmoney.com/600325.html" TargetMode="External"/><Relationship Id="rId1195" Type="http://schemas.openxmlformats.org/officeDocument/2006/relationships/hyperlink" Target="http://data.eastmoney.com/stockdata/000796.html" TargetMode="External"/><Relationship Id="rId218" Type="http://schemas.openxmlformats.org/officeDocument/2006/relationships/hyperlink" Target="http://quote.eastmoney.com/300738.html" TargetMode="External"/><Relationship Id="rId425" Type="http://schemas.openxmlformats.org/officeDocument/2006/relationships/hyperlink" Target="http://data.eastmoney.com/stockdata/002583.html" TargetMode="External"/><Relationship Id="rId632" Type="http://schemas.openxmlformats.org/officeDocument/2006/relationships/hyperlink" Target="http://quote.eastmoney.com/300059.html" TargetMode="External"/><Relationship Id="rId1055" Type="http://schemas.openxmlformats.org/officeDocument/2006/relationships/hyperlink" Target="http://data.eastmoney.com/stockdata/603203.html" TargetMode="External"/><Relationship Id="rId1262" Type="http://schemas.openxmlformats.org/officeDocument/2006/relationships/hyperlink" Target="http://quote.eastmoney.com/002142.html" TargetMode="External"/><Relationship Id="rId937" Type="http://schemas.openxmlformats.org/officeDocument/2006/relationships/hyperlink" Target="http://data.eastmoney.com/stockdata/603903.html" TargetMode="External"/><Relationship Id="rId1122" Type="http://schemas.openxmlformats.org/officeDocument/2006/relationships/hyperlink" Target="http://quote.eastmoney.com/002019.html" TargetMode="External"/><Relationship Id="rId1567" Type="http://schemas.openxmlformats.org/officeDocument/2006/relationships/hyperlink" Target="http://data.eastmoney.com/stockdata/600643.html" TargetMode="External"/><Relationship Id="rId1774" Type="http://schemas.openxmlformats.org/officeDocument/2006/relationships/hyperlink" Target="http://quote.eastmoney.com/603877.html" TargetMode="External"/><Relationship Id="rId1981" Type="http://schemas.openxmlformats.org/officeDocument/2006/relationships/hyperlink" Target="http://data.eastmoney.com/stockdata/300682.html" TargetMode="External"/><Relationship Id="rId66" Type="http://schemas.openxmlformats.org/officeDocument/2006/relationships/hyperlink" Target="http://quote.eastmoney.com/300604.html" TargetMode="External"/><Relationship Id="rId1427" Type="http://schemas.openxmlformats.org/officeDocument/2006/relationships/hyperlink" Target="http://data.eastmoney.com/stockdata/000425.html" TargetMode="External"/><Relationship Id="rId1634" Type="http://schemas.openxmlformats.org/officeDocument/2006/relationships/hyperlink" Target="http://quote.eastmoney.com/600999.html" TargetMode="External"/><Relationship Id="rId1841" Type="http://schemas.openxmlformats.org/officeDocument/2006/relationships/hyperlink" Target="http://data.eastmoney.com/stockdata/600720.html" TargetMode="External"/><Relationship Id="rId1939" Type="http://schemas.openxmlformats.org/officeDocument/2006/relationships/hyperlink" Target="http://data.eastmoney.com/stockdata/000789.html" TargetMode="External"/><Relationship Id="rId1701" Type="http://schemas.openxmlformats.org/officeDocument/2006/relationships/hyperlink" Target="http://data.eastmoney.com/stockdata/603898.html" TargetMode="External"/><Relationship Id="rId282" Type="http://schemas.openxmlformats.org/officeDocument/2006/relationships/hyperlink" Target="http://quote.eastmoney.com/600466.html" TargetMode="External"/><Relationship Id="rId587" Type="http://schemas.openxmlformats.org/officeDocument/2006/relationships/hyperlink" Target="http://data.eastmoney.com/stockdata/000739.html" TargetMode="External"/><Relationship Id="rId8" Type="http://schemas.openxmlformats.org/officeDocument/2006/relationships/hyperlink" Target="javascript:;" TargetMode="External"/><Relationship Id="rId142" Type="http://schemas.openxmlformats.org/officeDocument/2006/relationships/hyperlink" Target="http://quote.eastmoney.com/603881.html" TargetMode="External"/><Relationship Id="rId447" Type="http://schemas.openxmlformats.org/officeDocument/2006/relationships/hyperlink" Target="http://data.eastmoney.com/stockdata/002324.html" TargetMode="External"/><Relationship Id="rId794" Type="http://schemas.openxmlformats.org/officeDocument/2006/relationships/hyperlink" Target="http://quote.eastmoney.com/603825.html" TargetMode="External"/><Relationship Id="rId1077" Type="http://schemas.openxmlformats.org/officeDocument/2006/relationships/hyperlink" Target="http://data.eastmoney.com/stockdata/603136.html" TargetMode="External"/><Relationship Id="rId654" Type="http://schemas.openxmlformats.org/officeDocument/2006/relationships/hyperlink" Target="http://quote.eastmoney.com/300326.html" TargetMode="External"/><Relationship Id="rId861" Type="http://schemas.openxmlformats.org/officeDocument/2006/relationships/hyperlink" Target="http://data.eastmoney.com/stockdata/603337.html" TargetMode="External"/><Relationship Id="rId959" Type="http://schemas.openxmlformats.org/officeDocument/2006/relationships/hyperlink" Target="http://data.eastmoney.com/stockdata/002244.html" TargetMode="External"/><Relationship Id="rId1284" Type="http://schemas.openxmlformats.org/officeDocument/2006/relationships/hyperlink" Target="http://quote.eastmoney.com/603599.html" TargetMode="External"/><Relationship Id="rId1491" Type="http://schemas.openxmlformats.org/officeDocument/2006/relationships/hyperlink" Target="http://data.eastmoney.com/stockdata/002550.html" TargetMode="External"/><Relationship Id="rId1589" Type="http://schemas.openxmlformats.org/officeDocument/2006/relationships/hyperlink" Target="http://data.eastmoney.com/stockdata/000100.html" TargetMode="External"/><Relationship Id="rId307" Type="http://schemas.openxmlformats.org/officeDocument/2006/relationships/hyperlink" Target="http://data.eastmoney.com/stockdata/002250.html" TargetMode="External"/><Relationship Id="rId514" Type="http://schemas.openxmlformats.org/officeDocument/2006/relationships/hyperlink" Target="http://quote.eastmoney.com/002438.html" TargetMode="External"/><Relationship Id="rId721" Type="http://schemas.openxmlformats.org/officeDocument/2006/relationships/hyperlink" Target="http://data.eastmoney.com/stockdata/002832.html" TargetMode="External"/><Relationship Id="rId1144" Type="http://schemas.openxmlformats.org/officeDocument/2006/relationships/hyperlink" Target="http://quote.eastmoney.com/002541.html" TargetMode="External"/><Relationship Id="rId1351" Type="http://schemas.openxmlformats.org/officeDocument/2006/relationships/hyperlink" Target="http://data.eastmoney.com/stockdata/600764.html" TargetMode="External"/><Relationship Id="rId1449" Type="http://schemas.openxmlformats.org/officeDocument/2006/relationships/hyperlink" Target="http://data.eastmoney.com/stockdata/600298.html" TargetMode="External"/><Relationship Id="rId1796" Type="http://schemas.openxmlformats.org/officeDocument/2006/relationships/hyperlink" Target="http://quote.eastmoney.com/300182.html" TargetMode="External"/><Relationship Id="rId88" Type="http://schemas.openxmlformats.org/officeDocument/2006/relationships/hyperlink" Target="http://quote.eastmoney.com/002292.html" TargetMode="External"/><Relationship Id="rId819" Type="http://schemas.openxmlformats.org/officeDocument/2006/relationships/hyperlink" Target="http://data.eastmoney.com/stockdata/002901.html" TargetMode="External"/><Relationship Id="rId1004" Type="http://schemas.openxmlformats.org/officeDocument/2006/relationships/hyperlink" Target="http://quote.eastmoney.com/603369.html" TargetMode="External"/><Relationship Id="rId1211" Type="http://schemas.openxmlformats.org/officeDocument/2006/relationships/hyperlink" Target="http://data.eastmoney.com/stockdata/002074.html" TargetMode="External"/><Relationship Id="rId1656" Type="http://schemas.openxmlformats.org/officeDocument/2006/relationships/hyperlink" Target="http://quote.eastmoney.com/600754.html" TargetMode="External"/><Relationship Id="rId1863" Type="http://schemas.openxmlformats.org/officeDocument/2006/relationships/hyperlink" Target="http://data.eastmoney.com/stockdata/000910.html" TargetMode="External"/><Relationship Id="rId1309" Type="http://schemas.openxmlformats.org/officeDocument/2006/relationships/hyperlink" Target="http://data.eastmoney.com/stockdata/603596.html" TargetMode="External"/><Relationship Id="rId1516" Type="http://schemas.openxmlformats.org/officeDocument/2006/relationships/hyperlink" Target="http://quote.eastmoney.com/603444.html" TargetMode="External"/><Relationship Id="rId1723" Type="http://schemas.openxmlformats.org/officeDocument/2006/relationships/hyperlink" Target="http://data.eastmoney.com/stockdata/300552.html" TargetMode="External"/><Relationship Id="rId1930" Type="http://schemas.openxmlformats.org/officeDocument/2006/relationships/hyperlink" Target="http://quote.eastmoney.com/600637.html" TargetMode="External"/><Relationship Id="rId15" Type="http://schemas.openxmlformats.org/officeDocument/2006/relationships/hyperlink" Target="http://data.eastmoney.com/stockdata/603195.html" TargetMode="External"/><Relationship Id="rId164" Type="http://schemas.openxmlformats.org/officeDocument/2006/relationships/hyperlink" Target="http://quote.eastmoney.com/002371.html" TargetMode="External"/><Relationship Id="rId371" Type="http://schemas.openxmlformats.org/officeDocument/2006/relationships/hyperlink" Target="http://data.eastmoney.com/stockdata/002414.html" TargetMode="External"/><Relationship Id="rId469" Type="http://schemas.openxmlformats.org/officeDocument/2006/relationships/hyperlink" Target="http://data.eastmoney.com/stockdata/603078.html" TargetMode="External"/><Relationship Id="rId676" Type="http://schemas.openxmlformats.org/officeDocument/2006/relationships/hyperlink" Target="http://quote.eastmoney.com/603305.html" TargetMode="External"/><Relationship Id="rId883" Type="http://schemas.openxmlformats.org/officeDocument/2006/relationships/hyperlink" Target="http://data.eastmoney.com/stockdata/000681.html" TargetMode="External"/><Relationship Id="rId1099" Type="http://schemas.openxmlformats.org/officeDocument/2006/relationships/hyperlink" Target="http://data.eastmoney.com/stockdata/002376.html" TargetMode="External"/><Relationship Id="rId231" Type="http://schemas.openxmlformats.org/officeDocument/2006/relationships/hyperlink" Target="http://data.eastmoney.com/stockdata/603818.html" TargetMode="External"/><Relationship Id="rId329" Type="http://schemas.openxmlformats.org/officeDocument/2006/relationships/hyperlink" Target="http://data.eastmoney.com/stockdata/603826.html" TargetMode="External"/><Relationship Id="rId536" Type="http://schemas.openxmlformats.org/officeDocument/2006/relationships/hyperlink" Target="http://quote.eastmoney.com/002698.html" TargetMode="External"/><Relationship Id="rId1166" Type="http://schemas.openxmlformats.org/officeDocument/2006/relationships/hyperlink" Target="http://quote.eastmoney.com/600967.html" TargetMode="External"/><Relationship Id="rId1373" Type="http://schemas.openxmlformats.org/officeDocument/2006/relationships/hyperlink" Target="http://data.eastmoney.com/stockdata/002955.html" TargetMode="External"/><Relationship Id="rId743" Type="http://schemas.openxmlformats.org/officeDocument/2006/relationships/hyperlink" Target="http://data.eastmoney.com/stockdata/300568.html" TargetMode="External"/><Relationship Id="rId950" Type="http://schemas.openxmlformats.org/officeDocument/2006/relationships/hyperlink" Target="http://quote.eastmoney.com/002396.html" TargetMode="External"/><Relationship Id="rId1026" Type="http://schemas.openxmlformats.org/officeDocument/2006/relationships/hyperlink" Target="http://quote.eastmoney.com/002373.html" TargetMode="External"/><Relationship Id="rId1580" Type="http://schemas.openxmlformats.org/officeDocument/2006/relationships/hyperlink" Target="http://quote.eastmoney.com/600400.html" TargetMode="External"/><Relationship Id="rId1678" Type="http://schemas.openxmlformats.org/officeDocument/2006/relationships/hyperlink" Target="http://quote.eastmoney.com/002444.html" TargetMode="External"/><Relationship Id="rId1885" Type="http://schemas.openxmlformats.org/officeDocument/2006/relationships/hyperlink" Target="http://data.eastmoney.com/stockdata/603868.html" TargetMode="External"/><Relationship Id="rId603" Type="http://schemas.openxmlformats.org/officeDocument/2006/relationships/hyperlink" Target="http://data.eastmoney.com/stockdata/002587.html" TargetMode="External"/><Relationship Id="rId810" Type="http://schemas.openxmlformats.org/officeDocument/2006/relationships/hyperlink" Target="http://quote.eastmoney.com/002367.html" TargetMode="External"/><Relationship Id="rId908" Type="http://schemas.openxmlformats.org/officeDocument/2006/relationships/hyperlink" Target="http://quote.eastmoney.com/300274.html" TargetMode="External"/><Relationship Id="rId1233" Type="http://schemas.openxmlformats.org/officeDocument/2006/relationships/hyperlink" Target="http://data.eastmoney.com/stockdata/300118.html" TargetMode="External"/><Relationship Id="rId1440" Type="http://schemas.openxmlformats.org/officeDocument/2006/relationships/hyperlink" Target="http://quote.eastmoney.com/601678.html" TargetMode="External"/><Relationship Id="rId1538" Type="http://schemas.openxmlformats.org/officeDocument/2006/relationships/hyperlink" Target="http://quote.eastmoney.com/601058.html" TargetMode="External"/><Relationship Id="rId1300" Type="http://schemas.openxmlformats.org/officeDocument/2006/relationships/hyperlink" Target="http://quote.eastmoney.com/600323.html" TargetMode="External"/><Relationship Id="rId1745" Type="http://schemas.openxmlformats.org/officeDocument/2006/relationships/hyperlink" Target="http://data.eastmoney.com/stockdata/601166.html" TargetMode="External"/><Relationship Id="rId1952" Type="http://schemas.openxmlformats.org/officeDocument/2006/relationships/hyperlink" Target="http://quote.eastmoney.com/600282.html" TargetMode="External"/><Relationship Id="rId37" Type="http://schemas.openxmlformats.org/officeDocument/2006/relationships/hyperlink" Target="http://data.eastmoney.com/stockdata/000786.html" TargetMode="External"/><Relationship Id="rId1605" Type="http://schemas.openxmlformats.org/officeDocument/2006/relationships/hyperlink" Target="http://data.eastmoney.com/stockdata/600114.html" TargetMode="External"/><Relationship Id="rId1812" Type="http://schemas.openxmlformats.org/officeDocument/2006/relationships/hyperlink" Target="http://quote.eastmoney.com/601992.html" TargetMode="External"/><Relationship Id="rId186" Type="http://schemas.openxmlformats.org/officeDocument/2006/relationships/hyperlink" Target="http://quote.eastmoney.com/603131.html" TargetMode="External"/><Relationship Id="rId393" Type="http://schemas.openxmlformats.org/officeDocument/2006/relationships/hyperlink" Target="http://data.eastmoney.com/stockdata/300677.html" TargetMode="External"/><Relationship Id="rId253" Type="http://schemas.openxmlformats.org/officeDocument/2006/relationships/hyperlink" Target="http://data.eastmoney.com/stockdata/600732.html" TargetMode="External"/><Relationship Id="rId460" Type="http://schemas.openxmlformats.org/officeDocument/2006/relationships/hyperlink" Target="http://quote.eastmoney.com/002791.html" TargetMode="External"/><Relationship Id="rId698" Type="http://schemas.openxmlformats.org/officeDocument/2006/relationships/hyperlink" Target="http://quote.eastmoney.com/300012.html" TargetMode="External"/><Relationship Id="rId1090" Type="http://schemas.openxmlformats.org/officeDocument/2006/relationships/hyperlink" Target="http://quote.eastmoney.com/002415.html" TargetMode="External"/><Relationship Id="rId113" Type="http://schemas.openxmlformats.org/officeDocument/2006/relationships/hyperlink" Target="http://data.eastmoney.com/stockdata/002967.html" TargetMode="External"/><Relationship Id="rId320" Type="http://schemas.openxmlformats.org/officeDocument/2006/relationships/hyperlink" Target="http://quote.eastmoney.com/603986.html" TargetMode="External"/><Relationship Id="rId558" Type="http://schemas.openxmlformats.org/officeDocument/2006/relationships/hyperlink" Target="http://quote.eastmoney.com/603600.html" TargetMode="External"/><Relationship Id="rId765" Type="http://schemas.openxmlformats.org/officeDocument/2006/relationships/hyperlink" Target="http://data.eastmoney.com/stockdata/002803.html" TargetMode="External"/><Relationship Id="rId972" Type="http://schemas.openxmlformats.org/officeDocument/2006/relationships/hyperlink" Target="http://quote.eastmoney.com/601689.html" TargetMode="External"/><Relationship Id="rId1188" Type="http://schemas.openxmlformats.org/officeDocument/2006/relationships/hyperlink" Target="http://quote.eastmoney.com/601100.html" TargetMode="External"/><Relationship Id="rId1395" Type="http://schemas.openxmlformats.org/officeDocument/2006/relationships/hyperlink" Target="http://data.eastmoney.com/stockdata/603360.html" TargetMode="External"/><Relationship Id="rId2001" Type="http://schemas.openxmlformats.org/officeDocument/2006/relationships/hyperlink" Target="http://data.eastmoney.com/stockdata/002869.html" TargetMode="External"/><Relationship Id="rId418" Type="http://schemas.openxmlformats.org/officeDocument/2006/relationships/hyperlink" Target="http://quote.eastmoney.com/002202.html" TargetMode="External"/><Relationship Id="rId625" Type="http://schemas.openxmlformats.org/officeDocument/2006/relationships/hyperlink" Target="http://data.eastmoney.com/stockdata/600456.html" TargetMode="External"/><Relationship Id="rId832" Type="http://schemas.openxmlformats.org/officeDocument/2006/relationships/hyperlink" Target="http://quote.eastmoney.com/300014.html" TargetMode="External"/><Relationship Id="rId1048" Type="http://schemas.openxmlformats.org/officeDocument/2006/relationships/hyperlink" Target="http://quote.eastmoney.com/300031.html" TargetMode="External"/><Relationship Id="rId1255" Type="http://schemas.openxmlformats.org/officeDocument/2006/relationships/hyperlink" Target="http://data.eastmoney.com/stockdata/601128.html" TargetMode="External"/><Relationship Id="rId1462" Type="http://schemas.openxmlformats.org/officeDocument/2006/relationships/hyperlink" Target="http://quote.eastmoney.com/601139.html" TargetMode="External"/><Relationship Id="rId1115" Type="http://schemas.openxmlformats.org/officeDocument/2006/relationships/hyperlink" Target="http://data.eastmoney.com/stockdata/300294.html" TargetMode="External"/><Relationship Id="rId1322" Type="http://schemas.openxmlformats.org/officeDocument/2006/relationships/hyperlink" Target="http://quote.eastmoney.com/300203.html" TargetMode="External"/><Relationship Id="rId1767" Type="http://schemas.openxmlformats.org/officeDocument/2006/relationships/hyperlink" Target="http://data.eastmoney.com/stockdata/600153.html" TargetMode="External"/><Relationship Id="rId1974" Type="http://schemas.openxmlformats.org/officeDocument/2006/relationships/hyperlink" Target="http://quote.eastmoney.com/600585.html" TargetMode="External"/><Relationship Id="rId59" Type="http://schemas.openxmlformats.org/officeDocument/2006/relationships/hyperlink" Target="http://data.eastmoney.com/stockdata/600536.html" TargetMode="External"/><Relationship Id="rId1627" Type="http://schemas.openxmlformats.org/officeDocument/2006/relationships/hyperlink" Target="http://data.eastmoney.com/stockdata/300144.html" TargetMode="External"/><Relationship Id="rId1834" Type="http://schemas.openxmlformats.org/officeDocument/2006/relationships/hyperlink" Target="http://quote.eastmoney.com/600803.html" TargetMode="External"/><Relationship Id="rId1901" Type="http://schemas.openxmlformats.org/officeDocument/2006/relationships/hyperlink" Target="http://data.eastmoney.com/stockdata/002608.html" TargetMode="External"/><Relationship Id="rId275" Type="http://schemas.openxmlformats.org/officeDocument/2006/relationships/hyperlink" Target="http://data.eastmoney.com/stockdata/002920.html" TargetMode="External"/><Relationship Id="rId482" Type="http://schemas.openxmlformats.org/officeDocument/2006/relationships/hyperlink" Target="http://quote.eastmoney.com/688029.html" TargetMode="External"/><Relationship Id="rId135" Type="http://schemas.openxmlformats.org/officeDocument/2006/relationships/hyperlink" Target="http://data.eastmoney.com/stockdata/000725.html" TargetMode="External"/><Relationship Id="rId342" Type="http://schemas.openxmlformats.org/officeDocument/2006/relationships/hyperlink" Target="http://quote.eastmoney.com/002099.html" TargetMode="External"/><Relationship Id="rId787" Type="http://schemas.openxmlformats.org/officeDocument/2006/relationships/hyperlink" Target="http://data.eastmoney.com/stockdata/603208.html" TargetMode="External"/><Relationship Id="rId994" Type="http://schemas.openxmlformats.org/officeDocument/2006/relationships/hyperlink" Target="http://quote.eastmoney.com/300415.html" TargetMode="External"/><Relationship Id="rId202" Type="http://schemas.openxmlformats.org/officeDocument/2006/relationships/hyperlink" Target="http://quote.eastmoney.com/600201.html" TargetMode="External"/><Relationship Id="rId647" Type="http://schemas.openxmlformats.org/officeDocument/2006/relationships/hyperlink" Target="http://data.eastmoney.com/stockdata/300653.html" TargetMode="External"/><Relationship Id="rId854" Type="http://schemas.openxmlformats.org/officeDocument/2006/relationships/hyperlink" Target="http://quote.eastmoney.com/300166.html" TargetMode="External"/><Relationship Id="rId1277" Type="http://schemas.openxmlformats.org/officeDocument/2006/relationships/hyperlink" Target="http://data.eastmoney.com/stockdata/000066.html" TargetMode="External"/><Relationship Id="rId1484" Type="http://schemas.openxmlformats.org/officeDocument/2006/relationships/hyperlink" Target="http://quote.eastmoney.com/603096.html" TargetMode="External"/><Relationship Id="rId1691" Type="http://schemas.openxmlformats.org/officeDocument/2006/relationships/hyperlink" Target="http://data.eastmoney.com/stockdata/000885.html" TargetMode="External"/><Relationship Id="rId507" Type="http://schemas.openxmlformats.org/officeDocument/2006/relationships/hyperlink" Target="http://data.eastmoney.com/stockdata/300136.html" TargetMode="External"/><Relationship Id="rId714" Type="http://schemas.openxmlformats.org/officeDocument/2006/relationships/hyperlink" Target="http://quote.eastmoney.com/603916.html" TargetMode="External"/><Relationship Id="rId921" Type="http://schemas.openxmlformats.org/officeDocument/2006/relationships/hyperlink" Target="http://data.eastmoney.com/stockdata/603899.html" TargetMode="External"/><Relationship Id="rId1137" Type="http://schemas.openxmlformats.org/officeDocument/2006/relationships/hyperlink" Target="http://data.eastmoney.com/stockdata/002322.html" TargetMode="External"/><Relationship Id="rId1344" Type="http://schemas.openxmlformats.org/officeDocument/2006/relationships/hyperlink" Target="http://quote.eastmoney.com/000768.html" TargetMode="External"/><Relationship Id="rId1551" Type="http://schemas.openxmlformats.org/officeDocument/2006/relationships/hyperlink" Target="http://data.eastmoney.com/stockdata/600879.html" TargetMode="External"/><Relationship Id="rId1789" Type="http://schemas.openxmlformats.org/officeDocument/2006/relationships/hyperlink" Target="http://data.eastmoney.com/stockdata/603355.html" TargetMode="External"/><Relationship Id="rId1996" Type="http://schemas.openxmlformats.org/officeDocument/2006/relationships/hyperlink" Target="http://quote.eastmoney.com/601333.html" TargetMode="External"/><Relationship Id="rId50" Type="http://schemas.openxmlformats.org/officeDocument/2006/relationships/hyperlink" Target="http://quote.eastmoney.com/002157.html" TargetMode="External"/><Relationship Id="rId1204" Type="http://schemas.openxmlformats.org/officeDocument/2006/relationships/hyperlink" Target="http://quote.eastmoney.com/600160.html" TargetMode="External"/><Relationship Id="rId1411" Type="http://schemas.openxmlformats.org/officeDocument/2006/relationships/hyperlink" Target="http://data.eastmoney.com/stockdata/603808.html" TargetMode="External"/><Relationship Id="rId1649" Type="http://schemas.openxmlformats.org/officeDocument/2006/relationships/hyperlink" Target="http://data.eastmoney.com/stockdata/002429.html" TargetMode="External"/><Relationship Id="rId1856" Type="http://schemas.openxmlformats.org/officeDocument/2006/relationships/hyperlink" Target="http://quote.eastmoney.com/000338.html" TargetMode="External"/><Relationship Id="rId1509" Type="http://schemas.openxmlformats.org/officeDocument/2006/relationships/hyperlink" Target="http://data.eastmoney.com/stockdata/603180.html" TargetMode="External"/><Relationship Id="rId1716" Type="http://schemas.openxmlformats.org/officeDocument/2006/relationships/hyperlink" Target="http://quote.eastmoney.com/600000.html" TargetMode="External"/><Relationship Id="rId1923" Type="http://schemas.openxmlformats.org/officeDocument/2006/relationships/hyperlink" Target="http://data.eastmoney.com/stockdata/002110.html" TargetMode="External"/><Relationship Id="rId297" Type="http://schemas.openxmlformats.org/officeDocument/2006/relationships/hyperlink" Target="http://data.eastmoney.com/stockdata/300575.html" TargetMode="External"/><Relationship Id="rId157" Type="http://schemas.openxmlformats.org/officeDocument/2006/relationships/hyperlink" Target="http://data.eastmoney.com/stockdata/002185.html" TargetMode="External"/><Relationship Id="rId364" Type="http://schemas.openxmlformats.org/officeDocument/2006/relationships/hyperlink" Target="http://quote.eastmoney.com/002434.html" TargetMode="External"/><Relationship Id="rId571" Type="http://schemas.openxmlformats.org/officeDocument/2006/relationships/hyperlink" Target="http://data.eastmoney.com/stockdata/000703.html" TargetMode="External"/><Relationship Id="rId669" Type="http://schemas.openxmlformats.org/officeDocument/2006/relationships/hyperlink" Target="http://data.eastmoney.com/stockdata/002063.html" TargetMode="External"/><Relationship Id="rId876" Type="http://schemas.openxmlformats.org/officeDocument/2006/relationships/hyperlink" Target="http://quote.eastmoney.com/002724.html" TargetMode="External"/><Relationship Id="rId1299" Type="http://schemas.openxmlformats.org/officeDocument/2006/relationships/hyperlink" Target="http://data.eastmoney.com/stockdata/300170.html" TargetMode="External"/><Relationship Id="rId224" Type="http://schemas.openxmlformats.org/officeDocument/2006/relationships/hyperlink" Target="http://quote.eastmoney.com/300793.html" TargetMode="External"/><Relationship Id="rId431" Type="http://schemas.openxmlformats.org/officeDocument/2006/relationships/hyperlink" Target="http://data.eastmoney.com/stockdata/002258.html" TargetMode="External"/><Relationship Id="rId529" Type="http://schemas.openxmlformats.org/officeDocument/2006/relationships/hyperlink" Target="http://data.eastmoney.com/stockdata/300770.html" TargetMode="External"/><Relationship Id="rId736" Type="http://schemas.openxmlformats.org/officeDocument/2006/relationships/hyperlink" Target="http://quote.eastmoney.com/603887.html" TargetMode="External"/><Relationship Id="rId1061" Type="http://schemas.openxmlformats.org/officeDocument/2006/relationships/hyperlink" Target="http://data.eastmoney.com/stockdata/300229.html" TargetMode="External"/><Relationship Id="rId1159" Type="http://schemas.openxmlformats.org/officeDocument/2006/relationships/hyperlink" Target="http://data.eastmoney.com/stockdata/603187.html" TargetMode="External"/><Relationship Id="rId1366" Type="http://schemas.openxmlformats.org/officeDocument/2006/relationships/hyperlink" Target="http://quote.eastmoney.com/00081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355"/>
  <sheetViews>
    <sheetView tabSelected="1" topLeftCell="A259" zoomScale="116" workbookViewId="0">
      <pane xSplit="1" topLeftCell="B1" activePane="topRight" state="frozen"/>
      <selection pane="topRight" activeCell="B284" sqref="B284"/>
    </sheetView>
  </sheetViews>
  <sheetFormatPr baseColWidth="10" defaultRowHeight="16"/>
  <cols>
    <col min="1" max="1" width="17.5" style="182" customWidth="1"/>
    <col min="3" max="3" width="20.6640625" style="182" bestFit="1" customWidth="1"/>
    <col min="4" max="4" width="13.6640625" style="2" bestFit="1" customWidth="1"/>
    <col min="5" max="5" width="19.6640625" style="99" customWidth="1"/>
    <col min="6" max="6" width="15" style="3" customWidth="1"/>
    <col min="7" max="7" width="21" style="101" customWidth="1"/>
    <col min="8" max="8" width="25.83203125" style="102" customWidth="1"/>
    <col min="9" max="9" width="25.33203125" style="102" customWidth="1"/>
    <col min="10" max="10" width="21" style="102" customWidth="1"/>
    <col min="11" max="11" width="21.6640625" style="2" customWidth="1"/>
    <col min="12" max="12" width="13.6640625" style="88" bestFit="1" customWidth="1"/>
    <col min="13" max="13" width="19.6640625" style="31" customWidth="1"/>
    <col min="14" max="14" width="10.83203125" style="7" customWidth="1"/>
    <col min="15" max="15" width="21.83203125" style="106" customWidth="1"/>
    <col min="16" max="16" width="19.33203125" style="88" customWidth="1"/>
    <col min="17" max="17" width="16.6640625" style="182" customWidth="1"/>
    <col min="18" max="18" width="18.6640625" style="182" customWidth="1"/>
    <col min="19" max="19" width="23.6640625" style="109" customWidth="1"/>
    <col min="20" max="20" width="12.6640625" style="182" bestFit="1" customWidth="1"/>
    <col min="21" max="21" width="15.1640625" style="182" customWidth="1"/>
    <col min="22" max="22" width="19.1640625" style="109" customWidth="1"/>
    <col min="23" max="24" width="20.33203125" style="182" bestFit="1" customWidth="1"/>
    <col min="25" max="28" width="20.33203125" style="182" customWidth="1"/>
    <col min="29" max="29" width="20.33203125" style="134" customWidth="1"/>
    <col min="30" max="32" width="24.5" style="134" customWidth="1"/>
    <col min="33" max="33" width="10.83203125" style="182" customWidth="1"/>
    <col min="34" max="34" width="10.83203125" style="109" customWidth="1"/>
    <col min="35" max="35" width="10.83203125" style="111" customWidth="1"/>
    <col min="36" max="39" width="10.83203125" style="182" customWidth="1"/>
  </cols>
  <sheetData>
    <row r="1" spans="1:122" s="86" customFormat="1">
      <c r="A1" t="s">
        <v>0</v>
      </c>
      <c r="C1" s="86" t="s">
        <v>1</v>
      </c>
      <c r="D1" s="4" t="s">
        <v>2</v>
      </c>
      <c r="E1" s="29" t="s">
        <v>3</v>
      </c>
      <c r="F1" s="6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4" t="s">
        <v>9</v>
      </c>
      <c r="L1" s="8" t="s">
        <v>10</v>
      </c>
      <c r="M1" s="32" t="s">
        <v>11</v>
      </c>
      <c r="N1" s="10" t="s">
        <v>12</v>
      </c>
      <c r="O1" s="9" t="s">
        <v>13</v>
      </c>
      <c r="P1" s="8" t="s">
        <v>14</v>
      </c>
      <c r="Q1" s="86" t="s">
        <v>15</v>
      </c>
      <c r="R1" s="86" t="s">
        <v>16</v>
      </c>
      <c r="S1" s="78" t="s">
        <v>17</v>
      </c>
      <c r="T1" s="86" t="s">
        <v>18</v>
      </c>
      <c r="U1" s="77" t="s">
        <v>19</v>
      </c>
      <c r="V1" s="78" t="s">
        <v>20</v>
      </c>
      <c r="W1" s="86" t="s">
        <v>21</v>
      </c>
      <c r="X1" s="86" t="s">
        <v>22</v>
      </c>
      <c r="Y1" s="86" t="s">
        <v>23</v>
      </c>
      <c r="Z1" s="86" t="s">
        <v>24</v>
      </c>
      <c r="AA1" s="86" t="s">
        <v>25</v>
      </c>
      <c r="AB1" s="86" t="s">
        <v>26</v>
      </c>
      <c r="AC1" s="78" t="s">
        <v>27</v>
      </c>
      <c r="AD1" s="86" t="s">
        <v>28</v>
      </c>
      <c r="AE1" s="78"/>
      <c r="AF1" s="78"/>
      <c r="AH1" s="78"/>
      <c r="AI1" s="80"/>
    </row>
    <row r="2" spans="1:122" s="184" customFormat="1">
      <c r="A2" s="34" t="s">
        <v>29</v>
      </c>
      <c r="B2" s="184" t="s">
        <v>30</v>
      </c>
      <c r="C2" s="187">
        <v>8.696353951128172</v>
      </c>
      <c r="D2" s="20">
        <v>6.939849715900098</v>
      </c>
      <c r="E2" s="30">
        <v>0.2019816862445214</v>
      </c>
      <c r="F2" s="20">
        <v>20.124473646948179</v>
      </c>
      <c r="G2" s="40">
        <v>1.3141277091576351</v>
      </c>
      <c r="H2" s="22">
        <v>2.982479415048411E-2</v>
      </c>
      <c r="I2" s="22">
        <v>0.14309181886319311</v>
      </c>
      <c r="J2" s="22">
        <v>0.32543366248829408</v>
      </c>
      <c r="K2" s="20">
        <v>2.8998428598302919</v>
      </c>
      <c r="L2" s="23">
        <v>8.3866719296663934</v>
      </c>
      <c r="M2" s="33">
        <v>3.561055854006534E-2</v>
      </c>
      <c r="N2" s="35">
        <v>14.95490928379286</v>
      </c>
      <c r="O2" s="25">
        <v>0.71967578226881779</v>
      </c>
      <c r="P2" s="26">
        <v>1.783175663625576</v>
      </c>
      <c r="Q2" s="36">
        <v>0.1225438542727561</v>
      </c>
      <c r="R2" s="36">
        <v>0.12043557618486431</v>
      </c>
      <c r="S2" s="37">
        <v>3.6249904211033357E-2</v>
      </c>
      <c r="T2">
        <v>2749.85</v>
      </c>
      <c r="U2" s="134">
        <f>C2*S2</f>
        <v>0.3152419977136377</v>
      </c>
      <c r="V2" s="134">
        <f>(1+S2)*Q2*(1-U2)+S2</f>
        <v>0.12320462309299368</v>
      </c>
      <c r="W2" s="134">
        <f>V2+I2/3</f>
        <v>0.17090189604739139</v>
      </c>
      <c r="X2" s="134">
        <f>V2+I2/5</f>
        <v>0.15182298686563231</v>
      </c>
      <c r="Y2" s="134">
        <f>V2-E2</f>
        <v>-7.8777063151527715E-2</v>
      </c>
      <c r="Z2" s="110"/>
      <c r="AA2" s="110"/>
      <c r="AB2" s="110">
        <f>SUM(Z2:Z328)</f>
        <v>52.000000000000007</v>
      </c>
      <c r="AC2" s="134">
        <f>SUM(AA2:AA329)/AB2</f>
        <v>0.1971890112523704</v>
      </c>
      <c r="AD2" s="85">
        <f>AB2*AC2</f>
        <v>10.253828585123262</v>
      </c>
      <c r="AE2" s="134"/>
      <c r="AF2" s="134"/>
      <c r="AH2" s="28"/>
      <c r="AI2" s="67"/>
      <c r="AJ2" s="28"/>
      <c r="AK2" s="28"/>
      <c r="AM2" s="79"/>
      <c r="AN2" s="38"/>
      <c r="AO2" s="38"/>
      <c r="AP2" s="38"/>
      <c r="AS2" s="38"/>
      <c r="AU2" s="38"/>
      <c r="AW2" s="38"/>
      <c r="AX2" s="38"/>
      <c r="AY2" s="38"/>
      <c r="AZ2" s="38"/>
      <c r="BB2" s="38"/>
      <c r="BC2" s="38"/>
      <c r="BD2" s="38"/>
      <c r="BE2" s="38"/>
      <c r="BH2" s="38"/>
      <c r="BI2" s="38"/>
      <c r="BJ2" s="38"/>
      <c r="BL2" s="38"/>
      <c r="BM2" s="38"/>
      <c r="BN2" s="38"/>
      <c r="BO2" s="38"/>
      <c r="BQ2" s="38"/>
      <c r="BR2" s="38"/>
      <c r="BS2" s="38"/>
      <c r="BT2" s="38"/>
      <c r="BV2" s="38"/>
      <c r="BW2" s="38"/>
      <c r="BX2" s="38"/>
      <c r="BY2" s="38"/>
      <c r="CA2" s="38"/>
      <c r="CB2" s="38"/>
      <c r="CC2" s="38"/>
      <c r="CD2" s="38"/>
      <c r="CF2" s="38"/>
      <c r="CG2" s="38"/>
      <c r="CH2" s="38"/>
      <c r="CI2" s="38"/>
      <c r="CK2" s="38"/>
      <c r="CL2" s="38"/>
      <c r="CM2" s="38"/>
      <c r="CN2" s="38"/>
      <c r="CP2" s="38"/>
      <c r="CQ2" s="38"/>
      <c r="CR2" s="38"/>
      <c r="CS2" s="38"/>
      <c r="CU2" s="38"/>
      <c r="CV2" s="38"/>
      <c r="CW2" s="38"/>
      <c r="CX2" s="38"/>
      <c r="CZ2" s="38"/>
      <c r="DA2" s="38"/>
      <c r="DB2" s="38"/>
      <c r="DC2" s="38"/>
      <c r="DE2" s="38"/>
      <c r="DF2" s="38"/>
      <c r="DG2" s="38"/>
      <c r="DH2" s="38"/>
      <c r="DL2" s="38"/>
      <c r="DM2" s="38"/>
      <c r="DP2" s="38"/>
      <c r="DQ2" s="38"/>
      <c r="DR2" s="38"/>
    </row>
    <row r="3" spans="1:122" s="184" customFormat="1">
      <c r="A3" s="184" t="s">
        <v>31</v>
      </c>
      <c r="B3" s="184" t="s">
        <v>32</v>
      </c>
      <c r="C3" s="187">
        <v>10.58596505324982</v>
      </c>
      <c r="D3" s="20">
        <v>9.5787429802287409</v>
      </c>
      <c r="E3" s="30">
        <v>9.5146929727665475E-2</v>
      </c>
      <c r="F3" s="20">
        <v>31.98712575498444</v>
      </c>
      <c r="G3" s="40">
        <v>2.0216541991289301</v>
      </c>
      <c r="H3" s="22">
        <v>2.2959098659844909E-2</v>
      </c>
      <c r="I3" s="22">
        <v>0.15463176638245349</v>
      </c>
      <c r="J3" s="22">
        <v>0.36017386239413679</v>
      </c>
      <c r="K3" s="20">
        <v>3.3393865793255251</v>
      </c>
      <c r="L3" s="23">
        <v>9.7078798746182056</v>
      </c>
      <c r="M3" s="33">
        <v>8.2948051898400266E-2</v>
      </c>
      <c r="N3" s="35">
        <v>19.700504109630259</v>
      </c>
      <c r="O3" s="25">
        <v>0.86100218643574022</v>
      </c>
      <c r="P3" s="26">
        <v>2.0293312612096002</v>
      </c>
      <c r="Q3" s="27"/>
      <c r="S3" s="28">
        <v>2.853469537673773E-2</v>
      </c>
      <c r="U3" s="134">
        <f>C3*S3</f>
        <v>0.30206728806327482</v>
      </c>
      <c r="V3" s="134">
        <f>(1+S3)*R2*(1-U3)+S3</f>
        <v>0.11498913398576197</v>
      </c>
      <c r="W3" s="134">
        <f>V3+I3/3</f>
        <v>0.16653305611324645</v>
      </c>
      <c r="X3" s="134">
        <f>V3+I3/5</f>
        <v>0.14591548726225267</v>
      </c>
      <c r="Y3" s="134">
        <f>V3-E3</f>
        <v>1.9842204258096491E-2</v>
      </c>
      <c r="Z3" s="110"/>
      <c r="AA3" s="110"/>
      <c r="AB3" s="110"/>
      <c r="AC3" s="134"/>
      <c r="AD3" s="134"/>
      <c r="AE3" s="134"/>
      <c r="AF3" s="134"/>
      <c r="AH3" s="28"/>
      <c r="AI3" s="67"/>
    </row>
    <row r="4" spans="1:122" s="184" customFormat="1">
      <c r="A4" s="184" t="s">
        <v>33</v>
      </c>
      <c r="B4" s="184" t="s">
        <v>34</v>
      </c>
      <c r="C4" s="187">
        <v>1.0656847312913571</v>
      </c>
      <c r="D4" s="20">
        <v>1.0282227958769949</v>
      </c>
      <c r="E4" s="30">
        <v>3.5152924982764011E-2</v>
      </c>
      <c r="F4" s="21">
        <v>2.798466392747522</v>
      </c>
      <c r="G4" s="40">
        <v>1.625979626597863</v>
      </c>
      <c r="H4" s="22">
        <v>0.1131614820455356</v>
      </c>
      <c r="I4" s="22">
        <v>0.2267140381209494</v>
      </c>
      <c r="J4" s="22">
        <v>0.65854036200820265</v>
      </c>
      <c r="K4" s="20">
        <v>2.7216537154874541</v>
      </c>
      <c r="L4" s="23">
        <v>1.0282227958769949</v>
      </c>
      <c r="M4" s="33">
        <v>3.5152924982764011E-2</v>
      </c>
      <c r="N4" s="24">
        <v>2.0671196675417169</v>
      </c>
      <c r="O4" s="25">
        <v>0.93971031661198579</v>
      </c>
      <c r="P4" s="26">
        <v>2.0103810923376999</v>
      </c>
      <c r="Q4" s="27"/>
      <c r="S4" s="28"/>
      <c r="V4" s="109"/>
      <c r="W4" s="134">
        <f>V2+I4/3</f>
        <v>0.19877596913331014</v>
      </c>
      <c r="X4" s="134">
        <f>V2+I4/5</f>
        <v>0.16854743071718356</v>
      </c>
      <c r="Y4" s="134">
        <f>V2-E4</f>
        <v>8.805169811022967E-2</v>
      </c>
      <c r="Z4" s="110"/>
      <c r="AA4" s="110"/>
      <c r="AB4" s="110"/>
      <c r="AC4" s="134"/>
      <c r="AD4" s="134"/>
      <c r="AE4" s="134"/>
      <c r="AF4" s="134"/>
      <c r="AH4" s="28"/>
      <c r="AI4" s="67"/>
    </row>
    <row r="5" spans="1:122" s="184" customFormat="1">
      <c r="A5" s="184">
        <v>2.4900000000000002</v>
      </c>
      <c r="B5" s="184" t="s">
        <v>35</v>
      </c>
      <c r="C5" s="187">
        <v>1.27492680066098</v>
      </c>
      <c r="D5" s="20">
        <v>1.2464012678559919</v>
      </c>
      <c r="E5" s="30">
        <v>2.2374251439532759E-2</v>
      </c>
      <c r="F5" s="21">
        <v>3.1006493778071871</v>
      </c>
      <c r="G5" s="40">
        <v>1.432021490331578</v>
      </c>
      <c r="H5" s="22">
        <v>0.10180952063606211</v>
      </c>
      <c r="I5" s="22">
        <v>0.2236630418063805</v>
      </c>
      <c r="J5" s="22">
        <v>0.58957429778879744</v>
      </c>
      <c r="K5" s="20">
        <v>2.487681501753281</v>
      </c>
      <c r="L5" s="23">
        <v>1.2464012678559919</v>
      </c>
      <c r="M5" s="33">
        <v>2.2374251439532759E-2</v>
      </c>
      <c r="N5" s="24">
        <v>2.7850346587304942</v>
      </c>
      <c r="O5" s="25">
        <v>1.1844663217422411</v>
      </c>
      <c r="P5" s="26">
        <v>2.2344607074423122</v>
      </c>
      <c r="S5" s="28"/>
      <c r="V5" s="109"/>
      <c r="W5" s="134">
        <f>V3+I5/3</f>
        <v>0.18954348125455545</v>
      </c>
      <c r="X5" s="134">
        <f>V3+I5/5</f>
        <v>0.15972174234703806</v>
      </c>
      <c r="Y5" s="134">
        <f>V3-E5</f>
        <v>9.261488254622921E-2</v>
      </c>
      <c r="Z5" s="110"/>
      <c r="AA5" s="110"/>
      <c r="AB5" s="110"/>
      <c r="AC5" s="134"/>
      <c r="AD5" s="134"/>
      <c r="AE5" s="134"/>
      <c r="AF5" s="134"/>
      <c r="AH5" s="28"/>
      <c r="AI5" s="67"/>
    </row>
    <row r="6" spans="1:122">
      <c r="C6" s="1"/>
      <c r="D6" s="98"/>
      <c r="K6" s="98"/>
      <c r="L6" s="103"/>
      <c r="M6" s="104"/>
      <c r="N6" s="105"/>
      <c r="P6" s="107"/>
    </row>
    <row r="7" spans="1:122" s="184" customFormat="1">
      <c r="A7" s="34" t="s">
        <v>36</v>
      </c>
      <c r="B7" s="184" t="s">
        <v>30</v>
      </c>
      <c r="C7" s="188">
        <v>11.19221345248768</v>
      </c>
      <c r="D7" s="20">
        <v>8.0113078417958494</v>
      </c>
      <c r="E7" s="30">
        <v>0.28420701804832099</v>
      </c>
      <c r="F7" s="21">
        <v>23.299872747014</v>
      </c>
      <c r="G7" s="40">
        <v>1.0817931007056669</v>
      </c>
      <c r="H7" s="22">
        <v>-7.5885895690470884E-2</v>
      </c>
      <c r="I7" s="22">
        <v>7.9799510701341614E-2</v>
      </c>
      <c r="J7" s="22">
        <v>0.26010415723962971</v>
      </c>
      <c r="K7" s="20">
        <v>2.908373165422014</v>
      </c>
      <c r="L7" s="23">
        <v>10.07994741101024</v>
      </c>
      <c r="M7" s="33">
        <v>9.9378558691642249E-2</v>
      </c>
      <c r="N7" s="24">
        <v>19.012193294815351</v>
      </c>
      <c r="O7" s="25">
        <v>0.69869824012242532</v>
      </c>
      <c r="P7" s="26">
        <v>1.8861401274820631</v>
      </c>
      <c r="Q7" s="27">
        <v>0.1199644287133991</v>
      </c>
      <c r="R7" s="27">
        <v>0.1022947228592129</v>
      </c>
      <c r="S7" s="28">
        <v>2.84565254738239E-2</v>
      </c>
      <c r="T7">
        <v>3769.18</v>
      </c>
      <c r="U7" s="134">
        <f>C7*S7</f>
        <v>0.31849150721919023</v>
      </c>
      <c r="V7" s="134">
        <f>(1+S7)*Q7*(1-U7)+S7</f>
        <v>0.11253981628095538</v>
      </c>
      <c r="W7" s="134">
        <f>V7+I7/3</f>
        <v>0.13913965318140259</v>
      </c>
      <c r="X7" s="134">
        <f>V7+I7/5</f>
        <v>0.12849971842122371</v>
      </c>
      <c r="Y7" s="134">
        <f>V7-E7</f>
        <v>-0.17166720176736561</v>
      </c>
      <c r="Z7" s="110"/>
      <c r="AA7" s="110"/>
      <c r="AB7" s="110"/>
      <c r="AC7" s="134"/>
      <c r="AD7" s="134"/>
      <c r="AE7" s="134"/>
      <c r="AF7" s="134"/>
      <c r="AH7" s="28"/>
      <c r="AI7" s="67"/>
    </row>
    <row r="8" spans="1:122" s="184" customFormat="1" ht="17" customHeight="1">
      <c r="A8" s="184" t="s">
        <v>37</v>
      </c>
      <c r="B8" s="184" t="s">
        <v>32</v>
      </c>
      <c r="C8" s="187">
        <v>15.29255248959015</v>
      </c>
      <c r="D8" s="20">
        <v>13.653231384206659</v>
      </c>
      <c r="E8" s="30">
        <v>0.107197350246102</v>
      </c>
      <c r="F8" s="21">
        <v>37.162927665781389</v>
      </c>
      <c r="G8" s="40">
        <v>1.43013242498783</v>
      </c>
      <c r="H8" s="22">
        <v>0.1002384595623755</v>
      </c>
      <c r="I8" s="22">
        <v>0.32763541250858902</v>
      </c>
      <c r="J8" s="22">
        <v>0.56402271266410997</v>
      </c>
      <c r="K8" s="20">
        <v>2.7219144406187619</v>
      </c>
      <c r="L8" s="23">
        <v>13.653231384206659</v>
      </c>
      <c r="M8" s="33">
        <v>0.107197350246102</v>
      </c>
      <c r="N8" s="24">
        <v>36.412826033477693</v>
      </c>
      <c r="O8" s="25">
        <v>1.3810822986067499</v>
      </c>
      <c r="P8" s="26">
        <v>2.6669749459895731</v>
      </c>
      <c r="Q8" s="27"/>
      <c r="R8" s="27"/>
      <c r="S8" s="28">
        <v>2.0691323913538409E-2</v>
      </c>
      <c r="U8" s="134">
        <f>C8*S8</f>
        <v>0.31642315702689799</v>
      </c>
      <c r="V8" s="134">
        <f>(1+S8)*R7*(1-U8)+S8</f>
        <v>9.2064495418482314E-2</v>
      </c>
      <c r="W8" s="134">
        <f>V8+I8/3</f>
        <v>0.20127629958801199</v>
      </c>
      <c r="X8" s="134">
        <f>V8+I8/5</f>
        <v>0.15759157792020012</v>
      </c>
      <c r="Y8" s="134">
        <f>V8-E8</f>
        <v>-1.5132854827619682E-2</v>
      </c>
      <c r="Z8" s="110"/>
      <c r="AA8" s="110"/>
      <c r="AB8" s="110"/>
      <c r="AC8" s="134"/>
      <c r="AD8" s="134"/>
      <c r="AE8" s="134"/>
      <c r="AF8" s="134"/>
      <c r="AH8" s="28"/>
      <c r="AI8" s="67"/>
    </row>
    <row r="9" spans="1:122" s="184" customFormat="1">
      <c r="A9" s="184" t="s">
        <v>38</v>
      </c>
      <c r="B9" s="184" t="s">
        <v>34</v>
      </c>
      <c r="C9" s="187">
        <v>1.3426674928661051</v>
      </c>
      <c r="D9" s="20">
        <v>1.1700668855884571</v>
      </c>
      <c r="E9" s="30">
        <v>0.12855052214693061</v>
      </c>
      <c r="F9" s="21">
        <v>3.000867838435453</v>
      </c>
      <c r="G9" s="40">
        <v>1.2350044626683381</v>
      </c>
      <c r="H9" s="22">
        <v>4.4181152073459851E-2</v>
      </c>
      <c r="I9" s="22">
        <v>0.14799138910636911</v>
      </c>
      <c r="J9" s="22">
        <v>0.43489485637548547</v>
      </c>
      <c r="K9" s="20">
        <v>2.5646976898472258</v>
      </c>
      <c r="L9" s="23">
        <v>1.240224540264304</v>
      </c>
      <c r="M9" s="33">
        <v>7.6298080609013885E-2</v>
      </c>
      <c r="N9" s="24">
        <v>2.5300079959330972</v>
      </c>
      <c r="O9" s="25">
        <v>0.88431462694643326</v>
      </c>
      <c r="P9" s="26">
        <v>2.0399596313373438</v>
      </c>
      <c r="Q9" s="27"/>
      <c r="R9" s="27"/>
      <c r="S9" s="28"/>
      <c r="V9" s="109"/>
      <c r="W9" s="134">
        <f>V7+I9/3</f>
        <v>0.16187027931641176</v>
      </c>
      <c r="X9" s="134">
        <f>V7+I9/5</f>
        <v>0.14213809410222922</v>
      </c>
      <c r="Y9" s="134">
        <f>V7-E9</f>
        <v>-1.6010705865975222E-2</v>
      </c>
      <c r="Z9" s="110"/>
      <c r="AA9" s="110"/>
      <c r="AB9" s="110"/>
      <c r="AC9" s="134"/>
      <c r="AD9" s="134"/>
      <c r="AE9" s="134"/>
      <c r="AF9" s="134"/>
      <c r="AH9" s="28"/>
      <c r="AI9" s="67"/>
    </row>
    <row r="10" spans="1:122" s="184" customFormat="1">
      <c r="A10" s="184">
        <v>2.66</v>
      </c>
      <c r="B10" s="184" t="s">
        <v>35</v>
      </c>
      <c r="C10" s="187">
        <v>1.564347418732591</v>
      </c>
      <c r="D10" s="20">
        <v>1.476537426433681</v>
      </c>
      <c r="E10" s="30">
        <v>5.6132027481499258E-2</v>
      </c>
      <c r="F10" s="21">
        <v>4.0147653158652021</v>
      </c>
      <c r="G10" s="40">
        <v>1.566415406059799</v>
      </c>
      <c r="H10" s="22">
        <v>0.1036198726210826</v>
      </c>
      <c r="I10" s="22">
        <v>0.34428592874512759</v>
      </c>
      <c r="J10" s="22">
        <v>0.66005564474034562</v>
      </c>
      <c r="K10" s="20">
        <v>2.7190406717709612</v>
      </c>
      <c r="L10" s="23">
        <v>1.476537426433681</v>
      </c>
      <c r="M10" s="33">
        <v>5.6132027481499258E-2</v>
      </c>
      <c r="N10" s="24">
        <v>4.0147653158652021</v>
      </c>
      <c r="O10" s="25">
        <v>1.566415406059799</v>
      </c>
      <c r="P10" s="26">
        <v>2.7190406717709612</v>
      </c>
      <c r="Q10" s="27"/>
      <c r="R10" s="27"/>
      <c r="S10" s="28"/>
      <c r="V10" s="109"/>
      <c r="W10" s="134">
        <f>V8+I10/3</f>
        <v>0.20682647166685819</v>
      </c>
      <c r="X10" s="134">
        <f>V8+I10/5</f>
        <v>0.16092168116750782</v>
      </c>
      <c r="Y10" s="134">
        <f>V8-E10</f>
        <v>3.5932467936983056E-2</v>
      </c>
      <c r="Z10" s="110"/>
      <c r="AA10" s="110"/>
      <c r="AB10" s="110"/>
      <c r="AC10" s="134"/>
      <c r="AD10" s="134"/>
      <c r="AE10" s="134"/>
      <c r="AF10" s="134"/>
      <c r="AH10" s="28"/>
      <c r="AI10" s="67"/>
    </row>
    <row r="11" spans="1:122">
      <c r="C11" s="1"/>
      <c r="D11" s="98"/>
      <c r="K11" s="98"/>
      <c r="L11" s="103"/>
      <c r="M11" s="104"/>
      <c r="N11" s="105"/>
      <c r="P11" s="107"/>
      <c r="Q11" s="108"/>
      <c r="R11" s="108"/>
    </row>
    <row r="12" spans="1:122" s="184" customFormat="1">
      <c r="A12" s="184" t="s">
        <v>39</v>
      </c>
      <c r="B12" s="184" t="s">
        <v>30</v>
      </c>
      <c r="C12" s="187">
        <v>15.631610310670309</v>
      </c>
      <c r="D12" s="20">
        <v>11.947378390326589</v>
      </c>
      <c r="E12" s="30">
        <v>0.2356911314395306</v>
      </c>
      <c r="F12" s="21">
        <v>52.148504094287382</v>
      </c>
      <c r="G12" s="40">
        <v>2.336092894964906</v>
      </c>
      <c r="H12" s="22">
        <v>9.4860957740627416E-2</v>
      </c>
      <c r="I12" s="22">
        <v>0.36571215119190659</v>
      </c>
      <c r="J12" s="22">
        <v>0.73216435771836208</v>
      </c>
      <c r="K12" s="20">
        <v>4.3648491234286473</v>
      </c>
      <c r="L12" s="23">
        <v>11.947378390326589</v>
      </c>
      <c r="M12" s="33">
        <v>0.2356911314395306</v>
      </c>
      <c r="N12" s="24">
        <v>52.148504094287382</v>
      </c>
      <c r="O12" s="25">
        <v>2.336092894964906</v>
      </c>
      <c r="P12" s="26">
        <v>4.3648491234286473</v>
      </c>
      <c r="Q12" s="27">
        <v>0.109220050246847</v>
      </c>
      <c r="R12" s="27">
        <v>9.1659886946153624E-2</v>
      </c>
      <c r="S12" s="28">
        <v>1.9824868953825771E-2</v>
      </c>
      <c r="T12" s="184">
        <v>3988.77</v>
      </c>
      <c r="U12" s="37">
        <f>C12*S12</f>
        <v>0.30989462594631062</v>
      </c>
      <c r="V12" s="37">
        <f>(1+S12)*Q12*(1-U12)+S12</f>
        <v>9.669247924366059E-2</v>
      </c>
      <c r="W12" s="37">
        <f>V12+I12/3</f>
        <v>0.21859652964096277</v>
      </c>
      <c r="X12" s="37">
        <f>V12+I12/5</f>
        <v>0.16983490948204191</v>
      </c>
      <c r="Y12" s="37">
        <f>V12-E12</f>
        <v>-0.13899865219587001</v>
      </c>
      <c r="Z12" s="84"/>
      <c r="AA12" s="84"/>
      <c r="AB12" s="84"/>
      <c r="AC12" s="37"/>
      <c r="AD12" s="37"/>
      <c r="AE12" s="37"/>
      <c r="AF12" s="37"/>
      <c r="AH12" s="28"/>
      <c r="AI12" s="67"/>
    </row>
    <row r="13" spans="1:122" s="184" customFormat="1" ht="17" customHeight="1">
      <c r="A13" s="184" t="s">
        <v>40</v>
      </c>
      <c r="B13" s="184" t="s">
        <v>32</v>
      </c>
      <c r="C13" s="187">
        <v>18.947037402749629</v>
      </c>
      <c r="D13" s="20">
        <v>15.10157721677782</v>
      </c>
      <c r="E13" s="30">
        <v>0.2029583889148682</v>
      </c>
      <c r="F13" s="21">
        <v>53.605641972148312</v>
      </c>
      <c r="G13" s="40">
        <v>1.829236087556831</v>
      </c>
      <c r="H13" s="22">
        <v>9.1081721902573687E-2</v>
      </c>
      <c r="I13" s="22">
        <v>0.3388160089258776</v>
      </c>
      <c r="J13" s="22">
        <v>0.61003583514118032</v>
      </c>
      <c r="K13" s="20">
        <v>3.5496717463784222</v>
      </c>
      <c r="L13" s="23">
        <v>15.10157721677782</v>
      </c>
      <c r="M13" s="33">
        <v>0.2029583889148682</v>
      </c>
      <c r="N13" s="24">
        <v>53.605641972148312</v>
      </c>
      <c r="O13" s="25">
        <v>1.829236087556831</v>
      </c>
      <c r="P13" s="26">
        <v>3.5496717463784222</v>
      </c>
      <c r="Q13" s="27"/>
      <c r="R13" s="27"/>
      <c r="S13" s="28">
        <v>1.6816660466356811E-2</v>
      </c>
      <c r="U13" s="37">
        <f>C13*S13</f>
        <v>0.31862589484540355</v>
      </c>
      <c r="V13" s="37">
        <f>(1+S13)*R12*(1-U13)+S13</f>
        <v>8.0321612950750826E-2</v>
      </c>
      <c r="W13" s="37">
        <f>V13+I13/3</f>
        <v>0.19326028259271003</v>
      </c>
      <c r="X13" s="37">
        <f>V13+I13/5</f>
        <v>0.14808481473592633</v>
      </c>
      <c r="Y13" s="37">
        <f>V13-E13</f>
        <v>-0.12263677596411737</v>
      </c>
      <c r="Z13" s="84"/>
      <c r="AA13" s="84"/>
      <c r="AB13" s="84"/>
      <c r="AC13" s="37"/>
      <c r="AD13" s="37"/>
      <c r="AE13" s="37"/>
      <c r="AF13" s="37"/>
      <c r="AH13" s="28"/>
      <c r="AI13" s="67"/>
    </row>
    <row r="14" spans="1:122" s="184" customFormat="1">
      <c r="A14" s="184" t="s">
        <v>41</v>
      </c>
      <c r="B14" s="184" t="s">
        <v>34</v>
      </c>
      <c r="C14" s="187">
        <v>1.7072852635705431</v>
      </c>
      <c r="D14" s="20">
        <v>1.4091291715891889</v>
      </c>
      <c r="E14" s="30">
        <v>0.1746375361770551</v>
      </c>
      <c r="F14" s="21">
        <v>5.0054537740712783</v>
      </c>
      <c r="G14" s="40">
        <v>1.9318204056907791</v>
      </c>
      <c r="H14" s="22">
        <v>9.5445257642215564E-2</v>
      </c>
      <c r="I14" s="22">
        <v>0.25308632284496141</v>
      </c>
      <c r="J14" s="22">
        <v>0.74476713330674071</v>
      </c>
      <c r="K14" s="20">
        <v>3.5521610615911259</v>
      </c>
      <c r="L14" s="23">
        <v>1.4091291715891889</v>
      </c>
      <c r="M14" s="33">
        <v>0.1746375361770551</v>
      </c>
      <c r="N14" s="24">
        <v>5.0054537740712783</v>
      </c>
      <c r="O14" s="25">
        <v>1.9318204056907791</v>
      </c>
      <c r="P14" s="26">
        <v>3.5521610615911259</v>
      </c>
      <c r="Q14" s="27"/>
      <c r="R14" s="27"/>
      <c r="S14" s="28"/>
      <c r="V14" s="28"/>
      <c r="W14" s="37">
        <f>V12+I14/3</f>
        <v>0.18105458685864773</v>
      </c>
      <c r="X14" s="37">
        <f>V12+I14/5</f>
        <v>0.14730974381265288</v>
      </c>
      <c r="Y14" s="37">
        <f>V12-E14</f>
        <v>-7.7945056933394513E-2</v>
      </c>
      <c r="Z14" s="84"/>
      <c r="AA14" s="84"/>
      <c r="AB14" s="84"/>
      <c r="AC14" s="37"/>
      <c r="AD14" s="37"/>
      <c r="AE14" s="37"/>
      <c r="AF14" s="37"/>
      <c r="AH14" s="28"/>
      <c r="AI14" s="67"/>
    </row>
    <row r="15" spans="1:122" s="184" customFormat="1">
      <c r="A15" s="184">
        <v>2.93</v>
      </c>
      <c r="B15" s="184" t="s">
        <v>35</v>
      </c>
      <c r="C15" s="187">
        <v>1.736683306300576</v>
      </c>
      <c r="D15" s="20">
        <v>1.5079600040526071</v>
      </c>
      <c r="E15" s="30">
        <v>0.13170121542492799</v>
      </c>
      <c r="F15" s="21">
        <v>4.8625173315656216</v>
      </c>
      <c r="G15" s="40">
        <v>1.7998871837627051</v>
      </c>
      <c r="H15" s="22">
        <v>8.6859302274534533E-2</v>
      </c>
      <c r="I15" s="22">
        <v>0.32136250651809811</v>
      </c>
      <c r="J15" s="22">
        <v>0.63674356992038073</v>
      </c>
      <c r="K15" s="20">
        <v>3.2245665127043952</v>
      </c>
      <c r="L15" s="23">
        <v>1.5079600040526071</v>
      </c>
      <c r="M15" s="33">
        <v>0.13170121542492799</v>
      </c>
      <c r="N15" s="24">
        <v>4.8625173315656216</v>
      </c>
      <c r="O15" s="25">
        <v>1.7998871837627051</v>
      </c>
      <c r="P15" s="26">
        <v>3.2245665127043952</v>
      </c>
      <c r="Q15" s="27"/>
      <c r="R15" s="27"/>
      <c r="S15" s="28"/>
      <c r="V15" s="28"/>
      <c r="W15" s="37">
        <f>V13+I15/3</f>
        <v>0.18744244845678354</v>
      </c>
      <c r="X15" s="37">
        <f>V13+I15/5</f>
        <v>0.14459411425437046</v>
      </c>
      <c r="Y15" s="37">
        <f>V13-E15</f>
        <v>-5.1379602474177166E-2</v>
      </c>
      <c r="Z15" s="84"/>
      <c r="AA15" s="84"/>
      <c r="AB15" s="84"/>
      <c r="AC15" s="37"/>
      <c r="AD15" s="37"/>
      <c r="AE15" s="37"/>
      <c r="AF15" s="37"/>
      <c r="AH15" s="28"/>
      <c r="AI15" s="67"/>
    </row>
    <row r="16" spans="1:122">
      <c r="C16" s="1"/>
      <c r="D16" s="98"/>
      <c r="K16" s="98"/>
      <c r="L16" s="103"/>
      <c r="M16" s="104"/>
      <c r="N16" s="105"/>
      <c r="P16" s="107"/>
      <c r="Q16" s="108"/>
      <c r="R16" s="108"/>
    </row>
    <row r="17" spans="1:35" s="184" customFormat="1">
      <c r="A17" s="184" t="s">
        <v>42</v>
      </c>
      <c r="B17" s="184" t="s">
        <v>30</v>
      </c>
      <c r="C17" s="187">
        <v>24.30600095805929</v>
      </c>
      <c r="D17" s="20">
        <v>16.02524054158242</v>
      </c>
      <c r="E17" s="30">
        <v>0.34068789969874391</v>
      </c>
      <c r="F17" s="21">
        <v>81.439281257481966</v>
      </c>
      <c r="G17" s="40">
        <v>2.3505833147134241</v>
      </c>
      <c r="H17" s="22">
        <v>6.8934032173946225E-2</v>
      </c>
      <c r="I17" s="22">
        <v>0.26454820102548721</v>
      </c>
      <c r="J17" s="22">
        <v>0.81614509297151239</v>
      </c>
      <c r="K17" s="20">
        <v>5.0819381491443263</v>
      </c>
      <c r="L17" s="23">
        <v>16.02524054158242</v>
      </c>
      <c r="M17" s="33">
        <v>0.34068789969874391</v>
      </c>
      <c r="N17" s="24">
        <v>81.439281257481966</v>
      </c>
      <c r="O17" s="25">
        <v>2.3505833147134241</v>
      </c>
      <c r="P17" s="26">
        <v>5.0819381491443263</v>
      </c>
      <c r="Q17" s="27">
        <v>7.4186288637773989E-2</v>
      </c>
      <c r="R17" s="27">
        <v>6.1918377975409312E-2</v>
      </c>
      <c r="S17" s="28">
        <v>1.3708705670354929E-2</v>
      </c>
      <c r="T17" s="184">
        <v>5208.51</v>
      </c>
      <c r="U17" s="134">
        <f>C17*S17</f>
        <v>0.33320381315739972</v>
      </c>
      <c r="V17" s="134">
        <f>(1+S17)*Q17*(1-U17)+S17</f>
        <v>6.3853970435593974E-2</v>
      </c>
      <c r="W17" s="112">
        <f>V17+I17/3</f>
        <v>0.15203670411075637</v>
      </c>
      <c r="X17" s="134">
        <f>V17+I17/5</f>
        <v>0.11676361064069141</v>
      </c>
      <c r="Y17" s="134">
        <f>V17-E17</f>
        <v>-0.27683392926314992</v>
      </c>
      <c r="Z17" s="110">
        <v>15.6</v>
      </c>
      <c r="AA17" s="85">
        <f>Z17*E19</f>
        <v>2.3251948674640293</v>
      </c>
      <c r="AB17" s="110"/>
      <c r="AC17" s="134"/>
      <c r="AD17" s="37"/>
      <c r="AE17" s="134"/>
      <c r="AF17" s="134"/>
      <c r="AH17" s="28"/>
      <c r="AI17" s="67"/>
    </row>
    <row r="18" spans="1:35" s="184" customFormat="1">
      <c r="A18" s="184" t="s">
        <v>43</v>
      </c>
      <c r="B18" s="184" t="s">
        <v>32</v>
      </c>
      <c r="C18" s="187">
        <v>24.64754408942742</v>
      </c>
      <c r="D18" s="20">
        <v>17.071668314159719</v>
      </c>
      <c r="E18" s="30">
        <v>0.30736838314521481</v>
      </c>
      <c r="F18" s="21">
        <v>144.153146997768</v>
      </c>
      <c r="G18" s="40">
        <v>4.8485805512607882</v>
      </c>
      <c r="H18" s="22">
        <v>0.1520162636921629</v>
      </c>
      <c r="I18" s="22">
        <v>0.38061181236298958</v>
      </c>
      <c r="J18" s="22">
        <v>0.92522661868101919</v>
      </c>
      <c r="K18" s="20">
        <v>8.4439988140001141</v>
      </c>
      <c r="L18" s="23">
        <v>17.071668314159719</v>
      </c>
      <c r="M18" s="33">
        <v>0.30736838314521481</v>
      </c>
      <c r="N18" s="24">
        <v>144.153146997768</v>
      </c>
      <c r="O18" s="25">
        <v>4.8485805512607882</v>
      </c>
      <c r="P18" s="26">
        <v>8.4439988140001141</v>
      </c>
      <c r="Q18" s="27"/>
      <c r="R18" s="27"/>
      <c r="S18" s="28">
        <v>1.514682523190076E-2</v>
      </c>
      <c r="U18" s="134">
        <f>C18*S18</f>
        <v>0.3733320427181257</v>
      </c>
      <c r="V18" s="134">
        <f>(1+S18)*R17*(1-U18)+S18</f>
        <v>5.4536819778946803E-2</v>
      </c>
      <c r="W18" s="134">
        <f>V18+I18/3</f>
        <v>0.18140742389994333</v>
      </c>
      <c r="X18" s="134">
        <f>V18+I18/5</f>
        <v>0.13065918225154471</v>
      </c>
      <c r="Y18" s="134">
        <f>V18-E18</f>
        <v>-0.252831563366268</v>
      </c>
      <c r="Z18" s="110"/>
      <c r="AA18" s="134">
        <f>AA17/($AB$2)</f>
        <v>4.4715285912769791E-2</v>
      </c>
      <c r="AB18" s="110"/>
      <c r="AC18" s="134"/>
      <c r="AD18" s="134"/>
      <c r="AE18" s="134"/>
      <c r="AF18" s="134"/>
      <c r="AH18" s="28"/>
      <c r="AI18" s="67"/>
    </row>
    <row r="19" spans="1:35" s="184" customFormat="1">
      <c r="A19" s="184" t="s">
        <v>41</v>
      </c>
      <c r="B19" s="184" t="s">
        <v>34</v>
      </c>
      <c r="C19" s="187">
        <v>1.8031720027045981</v>
      </c>
      <c r="D19" s="20">
        <v>1.5344074972018049</v>
      </c>
      <c r="E19" s="30">
        <v>0.14905095304256599</v>
      </c>
      <c r="F19" s="21">
        <v>5.8649034951687788</v>
      </c>
      <c r="G19" s="40">
        <v>2.2525480022826132</v>
      </c>
      <c r="H19" s="22">
        <v>0.16933431233429341</v>
      </c>
      <c r="I19" s="22">
        <v>0.411602775267911</v>
      </c>
      <c r="J19" s="22">
        <v>0.83789096723661038</v>
      </c>
      <c r="K19" s="20">
        <v>3.8222594101398779</v>
      </c>
      <c r="L19" s="23">
        <v>1.5344074972018049</v>
      </c>
      <c r="M19" s="33">
        <v>0.14905095304256599</v>
      </c>
      <c r="N19" s="24">
        <v>5.8649034951687788</v>
      </c>
      <c r="O19" s="25">
        <v>2.2525480022826132</v>
      </c>
      <c r="P19" s="26">
        <v>3.8222594101398779</v>
      </c>
      <c r="Q19" s="27"/>
      <c r="R19" s="27"/>
      <c r="S19" s="28"/>
      <c r="V19" s="109"/>
      <c r="W19" s="112">
        <f>V17+I19/3</f>
        <v>0.20105489552489764</v>
      </c>
      <c r="X19" s="134">
        <f>V17+I19/5</f>
        <v>0.14617452548917617</v>
      </c>
      <c r="Y19" s="134">
        <f>V17-E19</f>
        <v>-8.5196982606972019E-2</v>
      </c>
      <c r="Z19" s="110"/>
      <c r="AA19" s="110"/>
      <c r="AB19" s="110"/>
      <c r="AC19" s="134"/>
      <c r="AD19" s="134"/>
      <c r="AE19" s="134"/>
      <c r="AF19" s="134"/>
      <c r="AH19" s="28"/>
      <c r="AI19" s="67"/>
    </row>
    <row r="20" spans="1:35" s="184" customFormat="1">
      <c r="A20" s="184">
        <v>3.41</v>
      </c>
      <c r="B20" s="184" t="s">
        <v>35</v>
      </c>
      <c r="C20" s="187">
        <v>1.526135951094733</v>
      </c>
      <c r="D20" s="20">
        <v>1.3737749576313629</v>
      </c>
      <c r="E20" s="30">
        <v>9.9834482867714347E-2</v>
      </c>
      <c r="F20" s="21">
        <v>5.4856633546702636</v>
      </c>
      <c r="G20" s="40">
        <v>2.5944788213234018</v>
      </c>
      <c r="H20" s="22">
        <v>0.26530832901176749</v>
      </c>
      <c r="I20" s="22">
        <v>0.57378206572826151</v>
      </c>
      <c r="J20" s="22">
        <v>1.0062383773504719</v>
      </c>
      <c r="K20" s="20">
        <v>3.9931309885925881</v>
      </c>
      <c r="L20" s="23">
        <v>1.3737749576313629</v>
      </c>
      <c r="M20" s="33">
        <v>9.9834482867714347E-2</v>
      </c>
      <c r="N20" s="24">
        <v>5.4856633546702636</v>
      </c>
      <c r="O20" s="25">
        <v>2.5944788213234018</v>
      </c>
      <c r="P20" s="26">
        <v>3.9931309885925881</v>
      </c>
      <c r="Q20" s="27"/>
      <c r="R20" s="27"/>
      <c r="S20" s="28"/>
      <c r="T20" s="67">
        <f>T17/C19</f>
        <v>2888.5264368500048</v>
      </c>
      <c r="U20" s="67"/>
      <c r="V20" s="67">
        <f>T17/C17</f>
        <v>214.28905598199538</v>
      </c>
      <c r="W20" s="134">
        <f>V18+I20/3</f>
        <v>0.24579750835503397</v>
      </c>
      <c r="X20" s="134">
        <f>V18+I20/5</f>
        <v>0.16929323292459911</v>
      </c>
      <c r="Y20" s="134">
        <f>V18-E20</f>
        <v>-4.5297663088767544E-2</v>
      </c>
      <c r="Z20" s="110"/>
      <c r="AA20" s="110"/>
      <c r="AB20" s="110"/>
      <c r="AC20" s="134"/>
      <c r="AD20" s="134"/>
      <c r="AE20" s="134"/>
      <c r="AF20" s="134"/>
      <c r="AH20" s="28"/>
      <c r="AI20" s="67"/>
    </row>
    <row r="21" spans="1:35">
      <c r="C21" s="1"/>
      <c r="D21" s="98"/>
      <c r="K21" s="98"/>
      <c r="L21" s="103"/>
      <c r="M21" s="104"/>
      <c r="N21" s="105"/>
      <c r="P21" s="107"/>
      <c r="Q21" s="108"/>
      <c r="R21" s="108"/>
    </row>
    <row r="22" spans="1:35" s="184" customFormat="1">
      <c r="A22" s="34" t="s">
        <v>44</v>
      </c>
      <c r="B22" s="184" t="s">
        <v>30</v>
      </c>
      <c r="C22" s="187">
        <v>7.1549722500638469</v>
      </c>
      <c r="D22" s="20">
        <v>6.7650640449813881</v>
      </c>
      <c r="E22" s="30">
        <v>5.4494719400061897E-2</v>
      </c>
      <c r="F22" s="21">
        <v>25.56074264185148</v>
      </c>
      <c r="G22" s="40">
        <v>2.5724446927971512</v>
      </c>
      <c r="H22" s="22">
        <v>0.20193661713450919</v>
      </c>
      <c r="I22" s="22">
        <v>0.7811250389908877</v>
      </c>
      <c r="J22" s="22">
        <v>1.182761748927001</v>
      </c>
      <c r="K22" s="20">
        <v>3.7783445170505852</v>
      </c>
      <c r="L22" s="23">
        <v>6.7650640449813881</v>
      </c>
      <c r="M22" s="33">
        <v>5.4494719400061897E-2</v>
      </c>
      <c r="N22" s="24">
        <v>18.923088282925541</v>
      </c>
      <c r="O22" s="25">
        <v>1.644746565265391</v>
      </c>
      <c r="P22" s="26">
        <v>2.7971779952273321</v>
      </c>
      <c r="Q22" s="27">
        <v>0.2005832635325204</v>
      </c>
      <c r="R22" s="27">
        <v>0.19182985557371049</v>
      </c>
      <c r="S22" s="28">
        <v>4.1018812796497689E-2</v>
      </c>
      <c r="T22" s="184">
        <v>8106.1356999999998</v>
      </c>
      <c r="U22" s="37">
        <f>C22*S22</f>
        <v>0.29348846728950478</v>
      </c>
      <c r="V22" s="37">
        <f>(1+S22)*Q22*(1-U22)+S22</f>
        <v>0.18854615774202382</v>
      </c>
      <c r="W22" s="134">
        <f>V22+I22/3</f>
        <v>0.44892117073898641</v>
      </c>
      <c r="X22" s="37">
        <f>V22+I22/5</f>
        <v>0.34477116554020137</v>
      </c>
      <c r="Y22" s="134">
        <f>V22-E22</f>
        <v>0.13405143834196193</v>
      </c>
      <c r="Z22" s="84">
        <v>6</v>
      </c>
      <c r="AA22" s="85">
        <f>Z22*E25</f>
        <v>0.81241468990640819</v>
      </c>
      <c r="AB22" s="84"/>
      <c r="AC22" s="37"/>
      <c r="AD22" s="37"/>
      <c r="AE22" s="37"/>
      <c r="AF22" s="37"/>
      <c r="AH22" s="28"/>
      <c r="AI22" s="67"/>
    </row>
    <row r="23" spans="1:35" s="184" customFormat="1">
      <c r="A23" s="184" t="s">
        <v>45</v>
      </c>
      <c r="B23" s="184" t="s">
        <v>32</v>
      </c>
      <c r="C23" s="187">
        <v>6.864800183040435</v>
      </c>
      <c r="D23" s="20">
        <v>6.3292924528262091</v>
      </c>
      <c r="E23" s="30">
        <v>7.8007766567948167E-2</v>
      </c>
      <c r="F23" s="21">
        <v>29.86563114305973</v>
      </c>
      <c r="G23" s="40">
        <v>3.3505463155130291</v>
      </c>
      <c r="H23" s="22">
        <v>0.32206540732058381</v>
      </c>
      <c r="I23" s="22">
        <v>0.94213312010029271</v>
      </c>
      <c r="J23" s="22">
        <v>1.3523966645902621</v>
      </c>
      <c r="K23" s="20">
        <v>4.7186366194413836</v>
      </c>
      <c r="L23" s="23">
        <v>6.3292924528262091</v>
      </c>
      <c r="M23" s="33">
        <v>7.8007766567948167E-2</v>
      </c>
      <c r="N23" s="24">
        <v>19.557725281688349</v>
      </c>
      <c r="O23" s="25">
        <v>1.84898682557519</v>
      </c>
      <c r="P23" s="26">
        <v>3.0900334322449061</v>
      </c>
      <c r="Q23" s="27"/>
      <c r="R23" s="27"/>
      <c r="S23" s="28">
        <v>3.8831197891114153E-2</v>
      </c>
      <c r="U23" s="37">
        <f>C23*S23</f>
        <v>0.26656841439059981</v>
      </c>
      <c r="V23" s="81">
        <f>(1+S23)*R22*(1-U23)+S23</f>
        <v>0.18498859250565669</v>
      </c>
      <c r="W23" s="112">
        <f>V23+I23/3</f>
        <v>0.49903296587242091</v>
      </c>
      <c r="X23" s="37">
        <f>V23+I23/5</f>
        <v>0.37341521652571524</v>
      </c>
      <c r="Y23" s="134">
        <f>V23-E23</f>
        <v>0.10698082593770852</v>
      </c>
      <c r="Z23" s="84"/>
      <c r="AA23" s="134">
        <f>AA22/($AB$2)</f>
        <v>1.5623359421277079E-2</v>
      </c>
      <c r="AB23" s="84"/>
      <c r="AC23" s="37"/>
      <c r="AD23" s="37"/>
      <c r="AE23" s="37"/>
      <c r="AF23" s="37"/>
      <c r="AH23" s="28"/>
      <c r="AI23" s="67"/>
    </row>
    <row r="24" spans="1:35" s="184" customFormat="1">
      <c r="A24" s="184" t="s">
        <v>46</v>
      </c>
      <c r="B24" s="184" t="s">
        <v>34</v>
      </c>
      <c r="C24" s="187">
        <v>1.435167684402427</v>
      </c>
      <c r="D24" s="20">
        <v>1.246000877174263</v>
      </c>
      <c r="E24" s="30">
        <v>0.1318081568335546</v>
      </c>
      <c r="F24" s="21">
        <v>3.3644043833699309</v>
      </c>
      <c r="G24" s="40">
        <v>1.344258737104157</v>
      </c>
      <c r="H24" s="22">
        <v>0.11932165502012899</v>
      </c>
      <c r="I24" s="22">
        <v>0.44669764128729289</v>
      </c>
      <c r="J24" s="22">
        <v>0.64390396639635505</v>
      </c>
      <c r="K24" s="20">
        <v>2.7001621307040158</v>
      </c>
      <c r="L24" s="23">
        <v>1.3684799282004769</v>
      </c>
      <c r="M24" s="33">
        <v>4.6466874168587413E-2</v>
      </c>
      <c r="N24" s="24">
        <v>3.3644043833699309</v>
      </c>
      <c r="O24" s="25">
        <v>1.344258737104157</v>
      </c>
      <c r="P24" s="26">
        <v>2.4584974277219058</v>
      </c>
      <c r="Q24" s="27"/>
      <c r="R24" s="27"/>
      <c r="S24" s="28"/>
      <c r="V24" s="28"/>
      <c r="W24" s="87">
        <f>V22+I24/3</f>
        <v>0.33744537150445475</v>
      </c>
      <c r="X24" s="37">
        <f>V22+I24/5</f>
        <v>0.27788568599948238</v>
      </c>
      <c r="Y24" s="134">
        <f>V22-E24</f>
        <v>5.6738000908469227E-2</v>
      </c>
      <c r="Z24" s="84"/>
      <c r="AA24" s="84"/>
      <c r="AB24" s="84"/>
      <c r="AC24" s="37"/>
      <c r="AD24" s="37"/>
      <c r="AE24" s="37"/>
      <c r="AF24" s="37"/>
      <c r="AH24" s="28"/>
      <c r="AI24" s="67"/>
    </row>
    <row r="25" spans="1:35" s="184" customFormat="1">
      <c r="A25" s="184">
        <v>4.3</v>
      </c>
      <c r="B25" s="184" t="s">
        <v>35</v>
      </c>
      <c r="C25" s="187">
        <v>1.3168736276550279</v>
      </c>
      <c r="D25" s="20">
        <v>1.138565714345481</v>
      </c>
      <c r="E25" s="30">
        <v>0.13540244831773471</v>
      </c>
      <c r="F25" s="21">
        <v>3.1813408767855602</v>
      </c>
      <c r="G25" s="40">
        <v>1.415828527487949</v>
      </c>
      <c r="H25" s="22">
        <v>9.6591562897370808E-2</v>
      </c>
      <c r="I25" s="22">
        <v>0.45217267884572587</v>
      </c>
      <c r="J25" s="22">
        <v>0.70483633890258579</v>
      </c>
      <c r="K25" s="20">
        <v>2.794165357960384</v>
      </c>
      <c r="L25" s="23">
        <v>1.138565714345481</v>
      </c>
      <c r="M25" s="33">
        <v>0.13540244831773471</v>
      </c>
      <c r="N25" s="24">
        <v>3.1527643492829438</v>
      </c>
      <c r="O25" s="25">
        <v>1.394128246684617</v>
      </c>
      <c r="P25" s="26">
        <v>2.7690666507513368</v>
      </c>
      <c r="Q25" s="27"/>
      <c r="R25" s="27"/>
      <c r="S25" s="28"/>
      <c r="T25" s="67">
        <f>T22/C25</f>
        <v>6155.5911894406217</v>
      </c>
      <c r="U25" s="67"/>
      <c r="V25" s="67">
        <f>T22/C23</f>
        <v>1180.8261688411992</v>
      </c>
      <c r="W25" s="112">
        <f>V23+I25/3</f>
        <v>0.33571281878756531</v>
      </c>
      <c r="X25" s="37">
        <f>V23+I25/5</f>
        <v>0.27542312827480186</v>
      </c>
      <c r="Y25" s="134">
        <f>V23-E25</f>
        <v>4.9586144187921982E-2</v>
      </c>
      <c r="Z25" s="84"/>
      <c r="AA25" s="84"/>
      <c r="AB25" s="84"/>
      <c r="AC25" s="37"/>
      <c r="AD25" s="37"/>
      <c r="AE25" s="37"/>
      <c r="AF25" s="37"/>
      <c r="AH25" s="28"/>
      <c r="AI25" s="67"/>
    </row>
    <row r="26" spans="1:35">
      <c r="C26" s="1"/>
      <c r="D26" s="98"/>
      <c r="K26" s="98"/>
      <c r="L26" s="103"/>
      <c r="M26" s="104"/>
      <c r="N26" s="105"/>
      <c r="P26" s="107"/>
      <c r="Q26" s="108"/>
      <c r="R26" s="108"/>
    </row>
    <row r="27" spans="1:35" s="184" customFormat="1">
      <c r="A27" s="34" t="s">
        <v>47</v>
      </c>
      <c r="B27" s="184" t="s">
        <v>30</v>
      </c>
      <c r="C27" s="189">
        <v>28.853278827637581</v>
      </c>
      <c r="D27" s="20">
        <v>12.67892556129514</v>
      </c>
      <c r="E27" s="30">
        <v>0.56057245219734164</v>
      </c>
      <c r="F27" s="21">
        <v>66.311789511073457</v>
      </c>
      <c r="G27" s="40">
        <v>1.298241038989151</v>
      </c>
      <c r="H27" s="22">
        <v>-0.17173000959755561</v>
      </c>
      <c r="I27" s="22">
        <v>-1.9049932383561341E-2</v>
      </c>
      <c r="J27" s="22">
        <v>0.19271649549674419</v>
      </c>
      <c r="K27" s="20">
        <v>5.2300795671127638</v>
      </c>
      <c r="L27" s="23">
        <v>12.67892556129514</v>
      </c>
      <c r="M27" s="33">
        <v>0.56057245219734164</v>
      </c>
      <c r="N27" s="24">
        <v>66.311789511073457</v>
      </c>
      <c r="O27" s="25">
        <v>1.298241038989151</v>
      </c>
      <c r="P27" s="26">
        <v>5.2300795671127638</v>
      </c>
      <c r="Q27" s="27">
        <v>0.20813381467051459</v>
      </c>
      <c r="R27" s="27">
        <v>0.1826277005422404</v>
      </c>
      <c r="S27" s="28">
        <v>8.4525970185880105E-3</v>
      </c>
      <c r="T27" s="184">
        <v>1158.45</v>
      </c>
      <c r="U27" s="134">
        <f>C27*S27</f>
        <v>0.24388513859497798</v>
      </c>
      <c r="V27" s="134">
        <f>(1+S27)*Q27*(1-U27)+S27</f>
        <v>0.16715587859783318</v>
      </c>
      <c r="W27" s="134">
        <f>V27+I27/3</f>
        <v>0.16080590113664606</v>
      </c>
      <c r="X27" s="134">
        <f>V27+I27/5</f>
        <v>0.16334589212112091</v>
      </c>
      <c r="Y27" s="134">
        <f>V27-E27</f>
        <v>-0.39341657359950843</v>
      </c>
      <c r="Z27" s="110"/>
      <c r="AA27" s="110"/>
      <c r="AB27" s="110"/>
      <c r="AC27" s="134"/>
      <c r="AD27" s="134"/>
      <c r="AE27" s="134"/>
      <c r="AF27" s="134"/>
      <c r="AH27" s="28"/>
      <c r="AI27" s="67"/>
    </row>
    <row r="28" spans="1:35" s="184" customFormat="1">
      <c r="A28" s="184" t="s">
        <v>48</v>
      </c>
      <c r="B28" s="184" t="s">
        <v>32</v>
      </c>
      <c r="C28" s="187">
        <v>20.076299093978012</v>
      </c>
      <c r="D28" s="20">
        <v>10.45905808375754</v>
      </c>
      <c r="E28" s="30">
        <v>0.4790345553830293</v>
      </c>
      <c r="F28" s="21">
        <v>69.705807200024637</v>
      </c>
      <c r="G28" s="40">
        <v>2.4720446668845089</v>
      </c>
      <c r="H28" s="22">
        <v>1.511616067633703E-2</v>
      </c>
      <c r="I28" s="22">
        <v>0.28879957185654881</v>
      </c>
      <c r="J28" s="22">
        <v>0.83673396112126563</v>
      </c>
      <c r="K28" s="20">
        <v>6.6646352512636602</v>
      </c>
      <c r="L28" s="23">
        <v>10.45905808375754</v>
      </c>
      <c r="M28" s="33">
        <v>0.4790345553830293</v>
      </c>
      <c r="N28" s="24">
        <v>69.705807200024637</v>
      </c>
      <c r="O28" s="25">
        <v>2.4720446668845089</v>
      </c>
      <c r="P28" s="26">
        <v>6.6646352512636602</v>
      </c>
      <c r="Q28" s="27"/>
      <c r="R28" s="27"/>
      <c r="S28" s="28">
        <v>1.098532023955852E-2</v>
      </c>
      <c r="U28" s="134">
        <f>C28*S28</f>
        <v>0.22054457477250702</v>
      </c>
      <c r="V28" s="134">
        <f>(1+S28)*R27*(1-U28)+S28</f>
        <v>0.15489923422972901</v>
      </c>
      <c r="W28" s="134">
        <f>V28+I28/3</f>
        <v>0.25116575818191195</v>
      </c>
      <c r="X28" s="134">
        <f>V28+I28/5</f>
        <v>0.21265914860103877</v>
      </c>
      <c r="Y28" s="134">
        <f>V28-E28</f>
        <v>-0.32413532115330029</v>
      </c>
      <c r="Z28" s="110"/>
      <c r="AA28" s="110"/>
      <c r="AB28" s="110"/>
      <c r="AC28" s="134"/>
      <c r="AD28" s="134"/>
      <c r="AE28" s="134"/>
      <c r="AF28" s="134"/>
      <c r="AH28" s="28"/>
      <c r="AI28" s="67"/>
    </row>
    <row r="29" spans="1:35" s="184" customFormat="1">
      <c r="A29" s="184" t="s">
        <v>49</v>
      </c>
      <c r="B29" s="184" t="s">
        <v>34</v>
      </c>
      <c r="C29" s="189">
        <v>6.0053429881482039</v>
      </c>
      <c r="D29" s="20">
        <v>2.681475065659082</v>
      </c>
      <c r="E29" s="30">
        <v>0.55348510968464482</v>
      </c>
      <c r="F29" s="21">
        <v>10.88760150475712</v>
      </c>
      <c r="G29" s="40">
        <v>0.81298579052757813</v>
      </c>
      <c r="H29" s="22">
        <v>-0.29889558018384771</v>
      </c>
      <c r="I29" s="22">
        <v>-0.1117363689212937</v>
      </c>
      <c r="J29" s="22">
        <v>4.450310333382701E-2</v>
      </c>
      <c r="K29" s="20">
        <v>4.0603030936933386</v>
      </c>
      <c r="L29" s="23">
        <v>2.681475065659082</v>
      </c>
      <c r="M29" s="33">
        <v>0.55348510968464482</v>
      </c>
      <c r="N29" s="24">
        <v>10.88760150475712</v>
      </c>
      <c r="O29" s="25">
        <v>0.81298579052757813</v>
      </c>
      <c r="P29" s="26">
        <v>4.0603030936933386</v>
      </c>
      <c r="Q29" s="27"/>
      <c r="R29" s="27"/>
      <c r="S29" s="28"/>
      <c r="V29" s="109"/>
      <c r="W29" s="134">
        <f>V27+I29/3</f>
        <v>0.12991042229073529</v>
      </c>
      <c r="X29" s="134">
        <f>V27+I29/5</f>
        <v>0.14480860481357444</v>
      </c>
      <c r="Y29" s="134">
        <f>V27-E29</f>
        <v>-0.38632923108681161</v>
      </c>
      <c r="Z29" s="110"/>
      <c r="AA29" s="110"/>
      <c r="AB29" s="110"/>
      <c r="AC29" s="134"/>
      <c r="AD29" s="134"/>
      <c r="AE29" s="134"/>
      <c r="AF29" s="134"/>
      <c r="AH29" s="28"/>
      <c r="AI29" s="67"/>
    </row>
    <row r="30" spans="1:35" s="184" customFormat="1">
      <c r="A30" s="184">
        <v>5.04</v>
      </c>
      <c r="B30" s="184" t="s">
        <v>35</v>
      </c>
      <c r="C30" s="188">
        <v>3.666488338931468</v>
      </c>
      <c r="D30" s="20">
        <v>2.2009404862067021</v>
      </c>
      <c r="E30" s="30">
        <v>0.39971430896514842</v>
      </c>
      <c r="F30" s="21">
        <v>10.278523292838459</v>
      </c>
      <c r="G30" s="40">
        <v>1.8033699667606049</v>
      </c>
      <c r="H30" s="22">
        <v>-0.14531529282932801</v>
      </c>
      <c r="I30" s="22">
        <v>0.16290771303310159</v>
      </c>
      <c r="J30" s="22">
        <v>0.56059283582302522</v>
      </c>
      <c r="K30" s="20">
        <v>4.6700596209911076</v>
      </c>
      <c r="L30" s="23">
        <v>2.2009404862067021</v>
      </c>
      <c r="M30" s="33">
        <v>0.39971430896514842</v>
      </c>
      <c r="N30" s="24">
        <v>10.278523292838459</v>
      </c>
      <c r="O30" s="25">
        <v>1.8033699667606049</v>
      </c>
      <c r="P30" s="26">
        <v>4.6700596209911076</v>
      </c>
      <c r="Q30" s="27"/>
      <c r="R30" s="27"/>
      <c r="S30" s="28"/>
      <c r="V30" s="109"/>
      <c r="W30" s="134">
        <f>V28+I30/3</f>
        <v>0.20920180524076287</v>
      </c>
      <c r="X30" s="134">
        <f>V28+I30/5</f>
        <v>0.18748077683634934</v>
      </c>
      <c r="Y30" s="134">
        <f>V28-E30</f>
        <v>-0.24481507473541941</v>
      </c>
      <c r="Z30" s="110"/>
      <c r="AA30" s="110"/>
      <c r="AB30" s="110"/>
      <c r="AC30" s="134"/>
      <c r="AD30" s="134"/>
      <c r="AE30" s="134"/>
      <c r="AF30" s="134"/>
      <c r="AH30" s="28"/>
      <c r="AI30" s="67"/>
    </row>
    <row r="31" spans="1:35">
      <c r="M31" s="104"/>
      <c r="N31" s="105"/>
      <c r="P31" s="107"/>
      <c r="Q31" s="108"/>
      <c r="R31" s="108"/>
    </row>
    <row r="32" spans="1:35" s="184" customFormat="1">
      <c r="A32" s="184" t="s">
        <v>50</v>
      </c>
      <c r="B32" s="184" t="s">
        <v>30</v>
      </c>
      <c r="C32" s="188">
        <v>16.453865085568371</v>
      </c>
      <c r="D32" s="20">
        <v>11.449873725778369</v>
      </c>
      <c r="E32" s="30">
        <v>0.3041225471198854</v>
      </c>
      <c r="F32" s="21">
        <v>31.15689497399638</v>
      </c>
      <c r="G32" s="40">
        <v>0.89359125117198013</v>
      </c>
      <c r="H32" s="22">
        <v>-0.18528304066165421</v>
      </c>
      <c r="I32" s="22">
        <v>4.4759257460808673E-2</v>
      </c>
      <c r="J32" s="22">
        <v>0.24750515638604459</v>
      </c>
      <c r="K32" s="20">
        <v>2.72115620837367</v>
      </c>
      <c r="L32" s="23">
        <v>12.94996265421991</v>
      </c>
      <c r="M32" s="33">
        <v>0.21295315192669981</v>
      </c>
      <c r="N32" s="24">
        <v>31.15689497399638</v>
      </c>
      <c r="O32" s="25">
        <v>0.89359125117198013</v>
      </c>
      <c r="P32" s="26">
        <v>2.4059447741992912</v>
      </c>
      <c r="Q32" s="27">
        <v>9.6458025829218863E-2</v>
      </c>
      <c r="R32" s="27">
        <v>-3.5200062792303193E-2</v>
      </c>
      <c r="S32" s="28">
        <v>2.1270193402657841E-2</v>
      </c>
      <c r="T32">
        <v>4319.3554999999997</v>
      </c>
      <c r="U32" s="134">
        <f>C32*S32</f>
        <v>0.34997689259127857</v>
      </c>
      <c r="V32" s="134">
        <f>(1+S32)*Q32*(1-U32)+S32</f>
        <v>8.530377905771265E-2</v>
      </c>
      <c r="W32" s="134">
        <f>V32+I32/3</f>
        <v>0.10022353154464887</v>
      </c>
      <c r="X32" s="134">
        <f>V32+I32/5</f>
        <v>9.4255630549874389E-2</v>
      </c>
      <c r="Y32" s="134">
        <f>V32-E32</f>
        <v>-0.21881876806217276</v>
      </c>
      <c r="Z32" s="110"/>
      <c r="AA32" s="110"/>
      <c r="AB32" s="110"/>
      <c r="AC32" s="134"/>
      <c r="AD32" s="134"/>
      <c r="AE32" s="134"/>
      <c r="AF32" s="134"/>
      <c r="AH32" s="28"/>
      <c r="AI32" s="67"/>
    </row>
    <row r="33" spans="1:35" s="184" customFormat="1">
      <c r="A33" s="184" t="s">
        <v>51</v>
      </c>
      <c r="B33" s="184" t="s">
        <v>32</v>
      </c>
      <c r="C33" s="187">
        <v>-55.305035650552959</v>
      </c>
      <c r="D33" s="20">
        <v>26.588897192873951</v>
      </c>
      <c r="E33" s="30">
        <v>1.480768105112108</v>
      </c>
      <c r="F33" s="21">
        <v>-49.908917973014283</v>
      </c>
      <c r="G33" s="40">
        <v>-9.7570096720202226E-2</v>
      </c>
      <c r="H33" s="22">
        <v>-1.6980465539510941</v>
      </c>
      <c r="I33" s="22">
        <v>-1.9019939670982779</v>
      </c>
      <c r="J33" s="22">
        <v>-2.4488114162096779</v>
      </c>
      <c r="K33" s="20">
        <v>-1.87705859370468</v>
      </c>
      <c r="L33" s="23">
        <v>31.998989043667621</v>
      </c>
      <c r="M33" s="33">
        <v>1.5785908763508349</v>
      </c>
      <c r="N33" s="24">
        <v>-49.908917973014283</v>
      </c>
      <c r="O33" s="25">
        <v>-9.7570096720202226E-2</v>
      </c>
      <c r="P33" s="26">
        <v>-1.559702961393741</v>
      </c>
      <c r="Q33" s="27"/>
      <c r="R33" s="27"/>
      <c r="S33" s="28">
        <v>1.090529155342995E-2</v>
      </c>
      <c r="U33" s="134">
        <f>C33*S33</f>
        <v>-0.60311753814211744</v>
      </c>
      <c r="V33" s="134">
        <f>(1+S33)*R32*(1-U33)+S33</f>
        <v>-4.6139930288383833E-2</v>
      </c>
      <c r="W33" s="134">
        <f>V33+I33/3</f>
        <v>-0.68013791932114309</v>
      </c>
      <c r="X33" s="134">
        <f>V33+I33/5</f>
        <v>-0.42653872370803941</v>
      </c>
      <c r="Y33" s="134">
        <f>V33-E33</f>
        <v>-1.5269080354004918</v>
      </c>
      <c r="Z33" s="110"/>
      <c r="AA33" s="110"/>
      <c r="AB33" s="110"/>
      <c r="AC33" s="134"/>
      <c r="AD33" s="134"/>
      <c r="AE33" s="134"/>
      <c r="AF33" s="134"/>
      <c r="AH33" s="28"/>
      <c r="AI33" s="67"/>
    </row>
    <row r="34" spans="1:35" s="184" customFormat="1">
      <c r="A34" s="184" t="s">
        <v>52</v>
      </c>
      <c r="B34" s="184" t="s">
        <v>34</v>
      </c>
      <c r="C34" s="187">
        <v>1.5871073434142371</v>
      </c>
      <c r="D34" s="20">
        <v>1.3992811753325329</v>
      </c>
      <c r="E34" s="30">
        <v>0.1183449681970761</v>
      </c>
      <c r="F34" s="21">
        <v>3.569778766677854</v>
      </c>
      <c r="G34" s="40">
        <v>1.2492358702080171</v>
      </c>
      <c r="H34" s="22">
        <v>3.7438806661563628E-2</v>
      </c>
      <c r="I34" s="22">
        <v>0.229956776588885</v>
      </c>
      <c r="J34" s="22">
        <v>0.50201378186499879</v>
      </c>
      <c r="K34" s="20">
        <v>2.5511518554014079</v>
      </c>
      <c r="L34" s="23">
        <v>1.3992811753325329</v>
      </c>
      <c r="M34" s="33">
        <v>0.1183449681970761</v>
      </c>
      <c r="N34" s="24">
        <v>3.569778766677854</v>
      </c>
      <c r="O34" s="25">
        <v>1.2492358702080171</v>
      </c>
      <c r="P34" s="26">
        <v>2.5511518554014079</v>
      </c>
      <c r="Q34" s="27"/>
      <c r="R34" s="27"/>
      <c r="S34" s="28"/>
      <c r="V34" s="109"/>
      <c r="W34" s="134">
        <f>V32+I34/3</f>
        <v>0.16195603792067431</v>
      </c>
      <c r="X34" s="134">
        <f>V32+I34/5</f>
        <v>0.13129513437548965</v>
      </c>
      <c r="Y34" s="134">
        <f>V32-E34</f>
        <v>-3.304118913936345E-2</v>
      </c>
      <c r="Z34" s="110"/>
      <c r="AA34" s="110"/>
      <c r="AB34" s="110"/>
      <c r="AC34" s="134"/>
      <c r="AD34" s="134"/>
      <c r="AE34" s="134"/>
      <c r="AF34" s="134"/>
      <c r="AH34" s="28"/>
      <c r="AI34" s="67"/>
    </row>
    <row r="35" spans="1:35" s="184" customFormat="1">
      <c r="A35" s="184">
        <v>4.3</v>
      </c>
      <c r="B35" s="184" t="s">
        <v>35</v>
      </c>
      <c r="C35" s="187">
        <v>1.946740727630031</v>
      </c>
      <c r="D35" s="20">
        <v>1.6548310653031091</v>
      </c>
      <c r="E35" s="30">
        <v>0.14994788889134369</v>
      </c>
      <c r="F35" s="21">
        <v>6.2167828588670693</v>
      </c>
      <c r="G35" s="40">
        <v>2.193431344314352</v>
      </c>
      <c r="H35" s="22">
        <v>0.11636143496935181</v>
      </c>
      <c r="I35" s="22">
        <v>0.42632323963581342</v>
      </c>
      <c r="J35" s="22">
        <v>0.83862277393157436</v>
      </c>
      <c r="K35" s="20">
        <v>3.756747736499837</v>
      </c>
      <c r="L35" s="23">
        <v>1.6548310653031091</v>
      </c>
      <c r="M35" s="33">
        <v>0.14994788889134369</v>
      </c>
      <c r="N35" s="24">
        <v>6.2167828588670693</v>
      </c>
      <c r="O35" s="25">
        <v>2.193431344314352</v>
      </c>
      <c r="P35" s="26">
        <v>3.756747736499837</v>
      </c>
      <c r="Q35" s="27"/>
      <c r="R35" s="27"/>
      <c r="S35" s="28"/>
      <c r="V35" s="109"/>
      <c r="W35" s="134">
        <f>V33+I35/3</f>
        <v>9.5967816256887301E-2</v>
      </c>
      <c r="X35" s="134">
        <f>V33+I35/5</f>
        <v>3.9124717638778846E-2</v>
      </c>
      <c r="Y35" s="134">
        <f>V33-E35</f>
        <v>-0.19608781917972753</v>
      </c>
      <c r="Z35" s="110"/>
      <c r="AA35" s="110"/>
      <c r="AB35" s="110"/>
      <c r="AC35" s="134"/>
      <c r="AD35" s="134"/>
      <c r="AE35" s="134"/>
      <c r="AF35" s="134"/>
      <c r="AH35" s="28"/>
      <c r="AI35" s="67"/>
    </row>
    <row r="36" spans="1:35">
      <c r="C36" s="1"/>
      <c r="D36" s="98"/>
      <c r="K36" s="98"/>
      <c r="L36" s="103"/>
      <c r="M36" s="104"/>
      <c r="N36" s="105"/>
      <c r="P36" s="107"/>
      <c r="Q36" s="108"/>
      <c r="R36" s="108"/>
    </row>
    <row r="37" spans="1:35" s="184" customFormat="1">
      <c r="A37" s="34" t="s">
        <v>53</v>
      </c>
      <c r="B37" s="184" t="s">
        <v>30</v>
      </c>
      <c r="C37" s="190">
        <v>45.241728744795843</v>
      </c>
      <c r="D37" s="20">
        <v>23.5983360066353</v>
      </c>
      <c r="E37" s="30">
        <v>0.47839446764399279</v>
      </c>
      <c r="F37" s="21">
        <v>74.995007821874751</v>
      </c>
      <c r="G37" s="40">
        <v>0.65765124151011678</v>
      </c>
      <c r="H37" s="22">
        <v>-0.31337911325640061</v>
      </c>
      <c r="I37" s="22">
        <v>-0.18149290463170581</v>
      </c>
      <c r="J37" s="22">
        <v>-7.105512450628082E-2</v>
      </c>
      <c r="K37" s="20">
        <v>3.177978642256297</v>
      </c>
      <c r="L37" s="23">
        <v>23.5983360066353</v>
      </c>
      <c r="M37" s="33">
        <v>0.47839446764399279</v>
      </c>
      <c r="N37" s="24">
        <v>74.995007821874751</v>
      </c>
      <c r="O37" s="25">
        <v>0.65765124151011678</v>
      </c>
      <c r="P37" s="26">
        <v>3.177978642256297</v>
      </c>
      <c r="Q37" s="27">
        <v>9.7077348001552238E-2</v>
      </c>
      <c r="R37" s="27">
        <v>5.8007709003471013E-2</v>
      </c>
      <c r="S37" s="28">
        <v>8.2463684199806445E-3</v>
      </c>
      <c r="T37">
        <v>11351.88</v>
      </c>
      <c r="U37" s="134">
        <f>C37*S37</f>
        <v>0.37307996318641501</v>
      </c>
      <c r="V37" s="134">
        <f>(1+S37)*Q37*(1-U37)+S37</f>
        <v>6.9607974796191796E-2</v>
      </c>
      <c r="W37" s="134">
        <f>V37+I37/3</f>
        <v>9.110339918956524E-3</v>
      </c>
      <c r="X37" s="134">
        <f>V37+I37/5</f>
        <v>3.3309393869850636E-2</v>
      </c>
      <c r="Y37" s="134">
        <f>V37-E37</f>
        <v>-0.408786492847801</v>
      </c>
      <c r="Z37" s="110">
        <v>6</v>
      </c>
      <c r="AA37" s="85">
        <f>Z37*E39</f>
        <v>2.2178801152254599</v>
      </c>
      <c r="AB37" s="110"/>
      <c r="AC37" s="134"/>
      <c r="AD37" s="134"/>
      <c r="AE37" s="134"/>
      <c r="AF37" s="134"/>
      <c r="AH37" s="28"/>
      <c r="AI37" s="67"/>
    </row>
    <row r="38" spans="1:35" s="184" customFormat="1">
      <c r="A38" s="184" t="s">
        <v>54</v>
      </c>
      <c r="B38" s="184" t="s">
        <v>32</v>
      </c>
      <c r="C38" s="189">
        <v>47.983878692039447</v>
      </c>
      <c r="D38" s="20">
        <v>22.27093978838889</v>
      </c>
      <c r="E38" s="30">
        <v>0.53586620349464054</v>
      </c>
      <c r="F38" s="21">
        <v>93.505214379568315</v>
      </c>
      <c r="G38" s="40">
        <v>0.94867978430182398</v>
      </c>
      <c r="H38" s="22">
        <v>-0.2436388810480988</v>
      </c>
      <c r="I38" s="22">
        <v>-0.11294588603847031</v>
      </c>
      <c r="J38" s="22">
        <v>3.246491265874063E-2</v>
      </c>
      <c r="K38" s="20">
        <v>4.1985302491957661</v>
      </c>
      <c r="L38" s="23">
        <v>22.27093978838889</v>
      </c>
      <c r="M38" s="33">
        <v>0.53586620349464054</v>
      </c>
      <c r="N38" s="24">
        <v>93.505214379568315</v>
      </c>
      <c r="O38" s="25">
        <v>0.94867978430182398</v>
      </c>
      <c r="P38" s="26">
        <v>4.1985302491957661</v>
      </c>
      <c r="Q38" s="27"/>
      <c r="R38" s="27"/>
      <c r="S38" s="28">
        <v>9.291424943501379E-3</v>
      </c>
      <c r="U38" s="134">
        <f>C38*S38</f>
        <v>0.44583860736515962</v>
      </c>
      <c r="V38" s="134">
        <f>(1+S38)*R37*(1-U38)+S38</f>
        <v>4.1735736482889717E-2</v>
      </c>
      <c r="W38" s="134">
        <f>V38+I38/3</f>
        <v>4.0871078033996172E-3</v>
      </c>
      <c r="X38" s="134">
        <f>V38+I38/5</f>
        <v>1.9146559275195655E-2</v>
      </c>
      <c r="Y38" s="134">
        <f>V38-E38</f>
        <v>-0.49413046701175084</v>
      </c>
      <c r="Z38" s="110"/>
      <c r="AA38" s="134">
        <f>AA37/($AB$2)</f>
        <v>4.2651540677412683E-2</v>
      </c>
      <c r="AB38" s="110"/>
      <c r="AC38" s="134"/>
      <c r="AD38" s="134"/>
      <c r="AE38" s="134"/>
      <c r="AF38" s="134"/>
      <c r="AH38" s="28"/>
      <c r="AI38" s="67"/>
    </row>
    <row r="39" spans="1:35" s="184" customFormat="1">
      <c r="A39" s="184" t="s">
        <v>55</v>
      </c>
      <c r="B39" s="184" t="s">
        <v>34</v>
      </c>
      <c r="C39" s="189">
        <v>4.3919470455503742</v>
      </c>
      <c r="D39" s="20">
        <v>2.7684783756421441</v>
      </c>
      <c r="E39" s="30">
        <v>0.36964668587090999</v>
      </c>
      <c r="F39" s="21">
        <v>8.4127015794758382</v>
      </c>
      <c r="G39" s="40">
        <v>0.91548338179510202</v>
      </c>
      <c r="H39" s="22">
        <v>-0.15081575967490329</v>
      </c>
      <c r="I39" s="22">
        <v>-3.2293693022353742E-2</v>
      </c>
      <c r="J39" s="22">
        <v>7.9609067855610949E-2</v>
      </c>
      <c r="K39" s="20">
        <v>3.038745634964378</v>
      </c>
      <c r="L39" s="23">
        <v>2.7684783756421441</v>
      </c>
      <c r="M39" s="33">
        <v>0.36964668587090999</v>
      </c>
      <c r="N39" s="24">
        <v>8.4127015794758382</v>
      </c>
      <c r="O39" s="25">
        <v>0.91548338179510202</v>
      </c>
      <c r="P39" s="26">
        <v>3.038745634964378</v>
      </c>
      <c r="Q39" s="27"/>
      <c r="R39" s="27"/>
      <c r="S39" s="28"/>
      <c r="V39" s="109"/>
      <c r="W39" s="134">
        <f>V37+I39/3</f>
        <v>5.8843410455407218E-2</v>
      </c>
      <c r="X39" s="134">
        <f>V37+I39/5</f>
        <v>6.3149236191721053E-2</v>
      </c>
      <c r="Y39" s="134">
        <f>V37-E39</f>
        <v>-0.30003871107471819</v>
      </c>
      <c r="Z39" s="110"/>
      <c r="AA39" s="110"/>
      <c r="AB39" s="110"/>
      <c r="AC39" s="134"/>
      <c r="AD39" s="134"/>
      <c r="AE39" s="134"/>
      <c r="AF39" s="134"/>
      <c r="AH39" s="28"/>
      <c r="AI39" s="67"/>
    </row>
    <row r="40" spans="1:35" s="184" customFormat="1">
      <c r="A40" s="184">
        <v>3</v>
      </c>
      <c r="B40" s="184" t="s">
        <v>35</v>
      </c>
      <c r="C40" s="187">
        <v>2.7834348720256781</v>
      </c>
      <c r="D40" s="20">
        <v>2.14522662087571</v>
      </c>
      <c r="E40" s="30">
        <v>0.2292880130101638</v>
      </c>
      <c r="F40" s="21">
        <v>8.3113302547289045</v>
      </c>
      <c r="G40" s="40">
        <v>1.9859977462595471</v>
      </c>
      <c r="H40" s="22">
        <v>7.1695533006894907E-2</v>
      </c>
      <c r="I40" s="22">
        <v>0.34857051344184181</v>
      </c>
      <c r="J40" s="22">
        <v>0.60983751380445583</v>
      </c>
      <c r="K40" s="20">
        <v>3.874336712890551</v>
      </c>
      <c r="L40" s="23">
        <v>2.14522662087571</v>
      </c>
      <c r="M40" s="33">
        <v>0.2292880130101638</v>
      </c>
      <c r="N40" s="24">
        <v>8.3113302547289045</v>
      </c>
      <c r="O40" s="25">
        <v>1.9859977462595471</v>
      </c>
      <c r="P40" s="26">
        <v>3.874336712890551</v>
      </c>
      <c r="Q40" s="27"/>
      <c r="R40" s="27"/>
      <c r="S40" s="28"/>
      <c r="T40" s="67">
        <f>T37/C39</f>
        <v>2584.7032949773293</v>
      </c>
      <c r="U40" s="67"/>
      <c r="V40" s="67">
        <f>T37/C37</f>
        <v>250.91614124727289</v>
      </c>
      <c r="W40" s="134">
        <f>V38+I40/3</f>
        <v>0.15792590763017031</v>
      </c>
      <c r="X40" s="134">
        <f>V38+I40/5</f>
        <v>0.11144983917125809</v>
      </c>
      <c r="Y40" s="134">
        <f>V38-E40</f>
        <v>-0.18755227652727408</v>
      </c>
      <c r="Z40" s="110"/>
      <c r="AA40" s="110"/>
      <c r="AB40" s="110"/>
      <c r="AC40" s="134"/>
      <c r="AD40" s="134"/>
      <c r="AE40" s="134"/>
      <c r="AF40" s="134"/>
      <c r="AH40" s="28"/>
      <c r="AI40" s="67"/>
    </row>
    <row r="41" spans="1:35">
      <c r="C41" s="1"/>
      <c r="D41" s="98"/>
      <c r="K41" s="98"/>
      <c r="L41" s="103"/>
      <c r="M41" s="104"/>
      <c r="N41" s="105"/>
      <c r="P41" s="107"/>
      <c r="Q41" s="108"/>
      <c r="R41" s="108"/>
    </row>
    <row r="42" spans="1:35" s="184" customFormat="1">
      <c r="A42" s="34" t="s">
        <v>56</v>
      </c>
      <c r="B42" s="184" t="s">
        <v>30</v>
      </c>
      <c r="C42" s="187">
        <v>6.8677478058392971</v>
      </c>
      <c r="D42" s="20">
        <v>6.0101184864839752</v>
      </c>
      <c r="E42" s="30">
        <v>0.1248778119991715</v>
      </c>
      <c r="F42" s="21">
        <v>17.602491485791958</v>
      </c>
      <c r="G42" s="40">
        <v>1.563066085627876</v>
      </c>
      <c r="H42" s="22">
        <v>0.12195568566439061</v>
      </c>
      <c r="I42" s="22">
        <v>0.27928519914112032</v>
      </c>
      <c r="J42" s="22">
        <v>0.49200007612187352</v>
      </c>
      <c r="K42" s="20">
        <v>2.92880939458645</v>
      </c>
      <c r="L42" s="23">
        <v>6.6225527951546663</v>
      </c>
      <c r="M42" s="33">
        <v>3.5702390014402341E-2</v>
      </c>
      <c r="N42" s="24">
        <v>12.54061899269618</v>
      </c>
      <c r="O42" s="25">
        <v>0.8260162351962792</v>
      </c>
      <c r="P42" s="26">
        <v>1.8936231058620501</v>
      </c>
      <c r="Q42" s="27">
        <v>0.12774306809210459</v>
      </c>
      <c r="R42" s="27">
        <v>0.1337800919776588</v>
      </c>
      <c r="S42" s="28">
        <v>4.9804953770233987E-2</v>
      </c>
      <c r="T42" s="184">
        <v>4023.0803000000001</v>
      </c>
      <c r="U42" s="134">
        <f>C42*S42</f>
        <v>0.34204786197545212</v>
      </c>
      <c r="V42" s="112">
        <f>(1+S42)*Q42*(1-U42)+S42</f>
        <v>0.13803982637131293</v>
      </c>
      <c r="W42" s="112">
        <f>V42+I42/3</f>
        <v>0.23113489275168636</v>
      </c>
      <c r="X42" s="134">
        <f>V42+I42/5</f>
        <v>0.193896866199537</v>
      </c>
      <c r="Y42" s="134">
        <f>V42-E42</f>
        <v>1.3162014372141428E-2</v>
      </c>
      <c r="Z42" s="110">
        <v>6.6</v>
      </c>
      <c r="AA42" s="85">
        <f>Z42*E44</f>
        <v>0.17777059190924602</v>
      </c>
      <c r="AB42" s="110"/>
      <c r="AC42" s="134"/>
      <c r="AD42" s="37"/>
      <c r="AE42" s="134"/>
      <c r="AF42" s="134"/>
      <c r="AH42" s="28"/>
      <c r="AI42" s="67"/>
    </row>
    <row r="43" spans="1:35" s="184" customFormat="1">
      <c r="A43" s="184" t="s">
        <v>57</v>
      </c>
      <c r="B43" s="184" t="s">
        <v>32</v>
      </c>
      <c r="C43" s="187">
        <v>8.7195794482773703</v>
      </c>
      <c r="D43" s="20">
        <v>8.3329383409057041</v>
      </c>
      <c r="E43" s="30">
        <v>4.4341715063798248E-2</v>
      </c>
      <c r="F43" s="21">
        <v>30.8337876286942</v>
      </c>
      <c r="G43" s="40">
        <v>2.5361553629499509</v>
      </c>
      <c r="H43" s="22">
        <v>0.30789039640941512</v>
      </c>
      <c r="I43" s="22">
        <v>0.6609988982161219</v>
      </c>
      <c r="J43" s="22">
        <v>0.94711919607410522</v>
      </c>
      <c r="K43" s="20">
        <v>3.7002299029783638</v>
      </c>
      <c r="L43" s="23">
        <v>8.3329383409057041</v>
      </c>
      <c r="M43" s="33">
        <v>4.4341715063798248E-2</v>
      </c>
      <c r="N43" s="24">
        <v>23.634803769316399</v>
      </c>
      <c r="O43" s="25">
        <v>1.7105440015212729</v>
      </c>
      <c r="P43" s="26">
        <v>2.8363108908768839</v>
      </c>
      <c r="Q43" s="27"/>
      <c r="R43" s="27"/>
      <c r="S43" s="28">
        <v>5.2960828498828737E-2</v>
      </c>
      <c r="U43" s="134">
        <f>C43*S43</f>
        <v>0.46179615174212951</v>
      </c>
      <c r="V43" s="134">
        <f>(1+S43)*R42*(1-U43)+S43</f>
        <v>0.12877501933289637</v>
      </c>
      <c r="W43" s="134">
        <f>V43+I43/3</f>
        <v>0.34910798540493704</v>
      </c>
      <c r="X43" s="134">
        <f>V43+I43/5</f>
        <v>0.26097479897612075</v>
      </c>
      <c r="Y43" s="134">
        <f>V43-E43</f>
        <v>8.4433304269098119E-2</v>
      </c>
      <c r="Z43" s="110"/>
      <c r="AA43" s="134">
        <f>AA42/($AB$2)</f>
        <v>3.4186652290239612E-3</v>
      </c>
      <c r="AB43" s="110"/>
      <c r="AC43" s="134"/>
      <c r="AD43" s="134"/>
      <c r="AE43" s="134"/>
      <c r="AF43" s="134"/>
      <c r="AH43" s="28"/>
      <c r="AI43" s="67"/>
    </row>
    <row r="44" spans="1:35" s="184" customFormat="1">
      <c r="A44" s="184" t="s">
        <v>58</v>
      </c>
      <c r="B44" s="184" t="s">
        <v>34</v>
      </c>
      <c r="C44" s="187">
        <v>0.87730717560073124</v>
      </c>
      <c r="D44" s="20">
        <v>0.85367696107152358</v>
      </c>
      <c r="E44" s="30">
        <v>2.6934938168067579E-2</v>
      </c>
      <c r="F44" s="21">
        <v>2.593309541214472</v>
      </c>
      <c r="G44" s="40">
        <v>1.9559880659117119</v>
      </c>
      <c r="H44" s="22">
        <v>0.21060502144170121</v>
      </c>
      <c r="I44" s="22">
        <v>0.4009852707974435</v>
      </c>
      <c r="J44" s="22">
        <v>0.88282513525936634</v>
      </c>
      <c r="K44" s="20">
        <v>3.0378113261477568</v>
      </c>
      <c r="L44" s="23">
        <v>0.85367696107152358</v>
      </c>
      <c r="M44" s="33">
        <v>2.6934938168067579E-2</v>
      </c>
      <c r="N44" s="24">
        <v>1.7923367177805321</v>
      </c>
      <c r="O44" s="25">
        <v>1.0429979004255141</v>
      </c>
      <c r="P44" s="26">
        <v>2.0995491263238679</v>
      </c>
      <c r="Q44" s="27"/>
      <c r="R44" s="27"/>
      <c r="S44" s="28"/>
      <c r="V44" s="109"/>
      <c r="W44" s="112">
        <f>V42+I44/3</f>
        <v>0.27170158330379413</v>
      </c>
      <c r="X44" s="134">
        <f>V42+I44/5</f>
        <v>0.21823688053080165</v>
      </c>
      <c r="Y44" s="134">
        <f>V42-E44</f>
        <v>0.11110488820324535</v>
      </c>
      <c r="Z44" s="110"/>
      <c r="AA44" s="110"/>
      <c r="AB44" s="110"/>
      <c r="AC44" s="134"/>
      <c r="AD44" s="134"/>
      <c r="AE44" s="134"/>
      <c r="AF44" s="134"/>
      <c r="AH44" s="28"/>
      <c r="AI44" s="67"/>
    </row>
    <row r="45" spans="1:35" s="184" customFormat="1">
      <c r="A45" s="184">
        <v>2.14</v>
      </c>
      <c r="B45" s="184" t="s">
        <v>35</v>
      </c>
      <c r="C45" s="187">
        <v>1.16650614059705</v>
      </c>
      <c r="D45" s="20">
        <v>1.1316680854608661</v>
      </c>
      <c r="E45" s="30">
        <v>2.9865299395983369E-2</v>
      </c>
      <c r="F45" s="21">
        <v>3.0401512032648128</v>
      </c>
      <c r="G45" s="40">
        <v>1.6062024857484081</v>
      </c>
      <c r="H45" s="22">
        <v>0.17680847781500811</v>
      </c>
      <c r="I45" s="22">
        <v>0.41834931933199632</v>
      </c>
      <c r="J45" s="22">
        <v>0.73218790205797935</v>
      </c>
      <c r="K45" s="20">
        <v>2.686433630428597</v>
      </c>
      <c r="L45" s="23">
        <v>1.1316680854608661</v>
      </c>
      <c r="M45" s="33">
        <v>2.9865299395983369E-2</v>
      </c>
      <c r="N45" s="24">
        <v>3.0401512032648128</v>
      </c>
      <c r="O45" s="25">
        <v>1.6062024857484081</v>
      </c>
      <c r="P45" s="26">
        <v>2.686433630428597</v>
      </c>
      <c r="Q45" s="27"/>
      <c r="R45" s="27"/>
      <c r="S45" s="28"/>
      <c r="T45" s="67">
        <f>T42/C44</f>
        <v>4585.7145728293153</v>
      </c>
      <c r="U45" s="67"/>
      <c r="V45" s="67">
        <f>T42/C42</f>
        <v>585.79324892789145</v>
      </c>
      <c r="W45" s="134">
        <f>V43+I45/3</f>
        <v>0.26822479244356179</v>
      </c>
      <c r="X45" s="134">
        <f>V43+I45/5</f>
        <v>0.21244488319929564</v>
      </c>
      <c r="Y45" s="134">
        <f>V43-E45</f>
        <v>9.8909719936912999E-2</v>
      </c>
      <c r="Z45" s="110"/>
      <c r="AA45" s="110"/>
      <c r="AB45" s="110"/>
      <c r="AC45" s="134"/>
      <c r="AD45" s="134"/>
      <c r="AE45" s="134"/>
      <c r="AF45" s="134"/>
      <c r="AH45" s="28"/>
      <c r="AI45" s="67"/>
    </row>
    <row r="46" spans="1:35">
      <c r="C46" s="1"/>
      <c r="D46" s="98"/>
      <c r="K46" s="98"/>
      <c r="L46" s="103"/>
      <c r="M46" s="104"/>
      <c r="N46" s="105"/>
      <c r="P46" s="107"/>
      <c r="Q46" s="108"/>
      <c r="R46" s="108"/>
    </row>
    <row r="47" spans="1:35" s="184" customFormat="1">
      <c r="A47" s="184" t="s">
        <v>59</v>
      </c>
      <c r="B47" s="184" t="s">
        <v>30</v>
      </c>
      <c r="C47" s="188">
        <v>24.437715676288381</v>
      </c>
      <c r="D47" s="20">
        <v>16.72502197975431</v>
      </c>
      <c r="E47" s="30">
        <v>0.31560616379613587</v>
      </c>
      <c r="F47" s="21">
        <v>59.442478088637202</v>
      </c>
      <c r="G47" s="40">
        <v>1.4324073033681091</v>
      </c>
      <c r="H47" s="22">
        <v>-1.9980405936614761E-2</v>
      </c>
      <c r="I47" s="22">
        <v>0.21281086360387549</v>
      </c>
      <c r="J47" s="22">
        <v>0.38459386037909821</v>
      </c>
      <c r="K47" s="20">
        <v>3.5541046320054162</v>
      </c>
      <c r="L47" s="23">
        <v>16.72502197975431</v>
      </c>
      <c r="M47" s="33">
        <v>0.31560616379613587</v>
      </c>
      <c r="N47" s="24">
        <v>59.442478088637202</v>
      </c>
      <c r="O47" s="25">
        <v>1.4324073033681091</v>
      </c>
      <c r="P47" s="26">
        <v>3.5541046320054162</v>
      </c>
      <c r="Q47" s="27">
        <v>9.1965914441689681E-2</v>
      </c>
      <c r="R47" s="27">
        <v>5.3514147496887987E-2</v>
      </c>
      <c r="S47" s="28">
        <v>1.624989458710871E-2</v>
      </c>
      <c r="T47" s="184">
        <v>1210.72</v>
      </c>
      <c r="U47" s="134">
        <f>C47*S47</f>
        <v>0.39711030368942024</v>
      </c>
      <c r="V47" s="134">
        <f>(1+S47)*Q47*(1-U47)+S47</f>
        <v>7.2596177132350115E-2</v>
      </c>
      <c r="W47" s="134">
        <f>V47+I47/3</f>
        <v>0.14353313166697529</v>
      </c>
      <c r="X47" s="134">
        <f>V47+I47/5</f>
        <v>0.11515834985312522</v>
      </c>
      <c r="Y47" s="134">
        <f>V47-E47</f>
        <v>-0.24300998666378576</v>
      </c>
      <c r="Z47" s="110"/>
      <c r="AA47" s="110"/>
      <c r="AB47" s="110"/>
      <c r="AC47" s="134"/>
      <c r="AD47" s="37"/>
      <c r="AE47" s="134"/>
      <c r="AF47" s="134"/>
      <c r="AH47" s="28"/>
      <c r="AI47" s="67"/>
    </row>
    <row r="48" spans="1:35" s="184" customFormat="1">
      <c r="A48" s="184" t="s">
        <v>60</v>
      </c>
      <c r="B48" s="184" t="s">
        <v>32</v>
      </c>
      <c r="C48" s="188">
        <v>32.993455498639733</v>
      </c>
      <c r="D48" s="20">
        <v>19.373787617125821</v>
      </c>
      <c r="E48" s="30">
        <v>0.41279907410957378</v>
      </c>
      <c r="F48" s="21">
        <v>182.80812299190029</v>
      </c>
      <c r="G48" s="40">
        <v>4.540738920160611</v>
      </c>
      <c r="H48" s="22">
        <v>-0.1288505958258479</v>
      </c>
      <c r="I48" s="22">
        <v>0.15849644012903449</v>
      </c>
      <c r="J48" s="22">
        <v>0.43593290037669391</v>
      </c>
      <c r="K48" s="20">
        <v>9.4358484053114946</v>
      </c>
      <c r="L48" s="23">
        <v>19.373787617125821</v>
      </c>
      <c r="M48" s="33">
        <v>0.41279907410957378</v>
      </c>
      <c r="N48" s="24">
        <v>75.58231559246974</v>
      </c>
      <c r="O48" s="25">
        <v>1.2908275126133999</v>
      </c>
      <c r="P48" s="26">
        <v>3.901266860469625</v>
      </c>
      <c r="Q48" s="27"/>
      <c r="R48" s="27"/>
      <c r="S48" s="28">
        <v>1.3303001594940231E-2</v>
      </c>
      <c r="U48" s="134">
        <f>C48*S48</f>
        <v>0.43891199112099388</v>
      </c>
      <c r="V48" s="134">
        <f>(1+S48)*R47*(1-U48)+S48</f>
        <v>4.3728585935152151E-2</v>
      </c>
      <c r="W48" s="112">
        <f>V48+I48/3</f>
        <v>9.656073264483031E-2</v>
      </c>
      <c r="X48" s="134">
        <f>V48+I48/5</f>
        <v>7.5427873960959041E-2</v>
      </c>
      <c r="Y48" s="134">
        <f>V48-E48</f>
        <v>-0.36907048817442162</v>
      </c>
      <c r="Z48" s="110"/>
      <c r="AA48" s="110"/>
      <c r="AB48" s="110"/>
      <c r="AC48" s="134"/>
      <c r="AD48" s="134"/>
      <c r="AE48" s="134"/>
      <c r="AF48" s="134"/>
      <c r="AH48" s="28"/>
      <c r="AI48" s="67"/>
    </row>
    <row r="49" spans="1:35" s="184" customFormat="1">
      <c r="A49" s="184" t="s">
        <v>61</v>
      </c>
      <c r="B49" s="184" t="s">
        <v>34</v>
      </c>
      <c r="C49" s="187">
        <v>2.2474368690358761</v>
      </c>
      <c r="D49" s="20">
        <v>1.787842779486416</v>
      </c>
      <c r="E49" s="30">
        <v>0.20449699650367509</v>
      </c>
      <c r="F49" s="21">
        <v>5.9806834035856964</v>
      </c>
      <c r="G49" s="40">
        <v>1.6611129709513659</v>
      </c>
      <c r="H49" s="22">
        <v>3.2004851938107759E-3</v>
      </c>
      <c r="I49" s="22">
        <v>0.19871588783108241</v>
      </c>
      <c r="J49" s="22">
        <v>0.35687772501982179</v>
      </c>
      <c r="K49" s="20">
        <v>3.3451953785912512</v>
      </c>
      <c r="L49" s="23">
        <v>1.787842779486416</v>
      </c>
      <c r="M49" s="33">
        <v>0.20449699650367509</v>
      </c>
      <c r="N49" s="24">
        <v>5.9806834035856964</v>
      </c>
      <c r="O49" s="25">
        <v>1.6611129709513659</v>
      </c>
      <c r="P49" s="26">
        <v>3.3451953785912512</v>
      </c>
      <c r="Q49" s="27"/>
      <c r="R49" s="27"/>
      <c r="S49" s="28"/>
      <c r="V49" s="109"/>
      <c r="W49" s="134">
        <f>V47+I49/3</f>
        <v>0.13883480640937756</v>
      </c>
      <c r="X49" s="134">
        <f>V47+I49/5</f>
        <v>0.1123393546985666</v>
      </c>
      <c r="Y49" s="134">
        <f>V47-E49</f>
        <v>-0.13190081937132497</v>
      </c>
      <c r="Z49" s="110"/>
      <c r="AA49" s="110"/>
      <c r="AB49" s="110"/>
      <c r="AC49" s="134"/>
      <c r="AD49" s="134"/>
      <c r="AE49" s="134"/>
      <c r="AF49" s="134"/>
      <c r="AH49" s="28"/>
      <c r="AI49" s="67"/>
    </row>
    <row r="50" spans="1:35" s="184" customFormat="1">
      <c r="A50" s="184">
        <v>2.7</v>
      </c>
      <c r="B50" s="184" t="s">
        <v>35</v>
      </c>
      <c r="C50" s="187">
        <v>1.765616643986216</v>
      </c>
      <c r="D50" s="20">
        <v>1.455562325135044</v>
      </c>
      <c r="E50" s="30">
        <v>0.1756068169765129</v>
      </c>
      <c r="F50" s="21">
        <v>6.5462359634689271</v>
      </c>
      <c r="G50" s="40">
        <v>2.7076202162942629</v>
      </c>
      <c r="H50" s="22">
        <v>0.1142948587555452</v>
      </c>
      <c r="I50" s="22">
        <v>0.56787244473404308</v>
      </c>
      <c r="J50" s="22">
        <v>0.80035368187465461</v>
      </c>
      <c r="K50" s="20">
        <v>4.4973931039755248</v>
      </c>
      <c r="L50" s="23">
        <v>1.455562325135044</v>
      </c>
      <c r="M50" s="33">
        <v>0.1756068169765129</v>
      </c>
      <c r="N50" s="24">
        <v>6.5462359634689271</v>
      </c>
      <c r="O50" s="25">
        <v>2.7076202162942629</v>
      </c>
      <c r="P50" s="26">
        <v>4.4973931039755248</v>
      </c>
      <c r="Q50" s="27"/>
      <c r="R50" s="27"/>
      <c r="S50" s="28"/>
      <c r="T50" s="67">
        <f>T47/C50</f>
        <v>685.72076737256452</v>
      </c>
      <c r="U50" s="67"/>
      <c r="V50" s="67">
        <f>T47/C48</f>
        <v>36.695762286854617</v>
      </c>
      <c r="W50" s="112">
        <f>V48+I50/3</f>
        <v>0.23301940084649986</v>
      </c>
      <c r="X50" s="134">
        <f>V48+I50/5</f>
        <v>0.15730307488196077</v>
      </c>
      <c r="Y50" s="134">
        <f>V48-E50</f>
        <v>-0.13187823104136076</v>
      </c>
      <c r="Z50" s="110"/>
      <c r="AA50" s="110"/>
      <c r="AB50" s="110"/>
      <c r="AC50" s="134"/>
      <c r="AD50" s="134"/>
      <c r="AE50" s="134"/>
      <c r="AF50" s="134"/>
      <c r="AH50" s="28"/>
      <c r="AI50" s="67"/>
    </row>
    <row r="51" spans="1:35">
      <c r="C51" s="1"/>
      <c r="D51" s="98"/>
      <c r="K51" s="98"/>
      <c r="L51" s="103"/>
      <c r="M51" s="104"/>
      <c r="N51" s="105"/>
      <c r="P51" s="107"/>
      <c r="Q51" s="108"/>
      <c r="R51" s="108"/>
    </row>
    <row r="52" spans="1:35">
      <c r="A52" t="s">
        <v>62</v>
      </c>
      <c r="B52" t="s">
        <v>30</v>
      </c>
      <c r="C52" s="191">
        <v>36.754870635502449</v>
      </c>
      <c r="D52" s="98">
        <v>18.934434766959079</v>
      </c>
      <c r="E52" s="99">
        <v>0.48484556088547792</v>
      </c>
      <c r="F52" s="100">
        <v>144.68142147805449</v>
      </c>
      <c r="G52" s="101">
        <v>2.936387721585477</v>
      </c>
      <c r="H52" s="102">
        <v>-8.82739950975725E-2</v>
      </c>
      <c r="I52" s="102">
        <v>0.30610372115426959</v>
      </c>
      <c r="J52" s="102">
        <v>1.0845870822520749</v>
      </c>
      <c r="K52" s="98">
        <v>7.6411798534660278</v>
      </c>
      <c r="L52" s="103">
        <v>18.934434766959079</v>
      </c>
      <c r="M52" s="104">
        <v>0.48484556088547792</v>
      </c>
      <c r="N52" s="105">
        <v>144.68142147805449</v>
      </c>
      <c r="O52" s="106">
        <v>2.936387721585477</v>
      </c>
      <c r="P52" s="107">
        <v>7.6411798534660278</v>
      </c>
      <c r="Q52" s="108">
        <v>6.0414689085424793E-2</v>
      </c>
      <c r="R52" s="108">
        <v>4.0409797568777932E-2</v>
      </c>
      <c r="S52" s="109">
        <v>1.079905830036847E-2</v>
      </c>
      <c r="T52">
        <v>5637.53</v>
      </c>
      <c r="U52" s="134">
        <f>C52*S52</f>
        <v>0.39691799081529205</v>
      </c>
      <c r="V52" s="134">
        <f>(1+S52)*Q52*(1-U52)+S52</f>
        <v>4.7627534197879851E-2</v>
      </c>
      <c r="W52" s="134">
        <f>V52+I52/3</f>
        <v>0.14966210791596973</v>
      </c>
      <c r="X52" s="134">
        <f>V52+I52/5</f>
        <v>0.10884827842873376</v>
      </c>
      <c r="Y52" s="134">
        <f>V52-E52</f>
        <v>-0.43721802668759807</v>
      </c>
      <c r="Z52" s="110"/>
      <c r="AA52" s="110"/>
      <c r="AB52" s="110"/>
      <c r="AI52" s="67"/>
    </row>
    <row r="53" spans="1:35">
      <c r="A53" t="s">
        <v>63</v>
      </c>
      <c r="B53" t="s">
        <v>32</v>
      </c>
      <c r="C53" s="191">
        <v>45.733061942793633</v>
      </c>
      <c r="D53" s="98">
        <v>21.823520443802359</v>
      </c>
      <c r="E53" s="99">
        <v>0.5228064879823513</v>
      </c>
      <c r="F53" s="100">
        <v>-224.75577292060279</v>
      </c>
      <c r="G53" s="101">
        <v>-5.914513994312129</v>
      </c>
      <c r="H53" s="102">
        <v>-0.13335343720152321</v>
      </c>
      <c r="I53" s="102">
        <v>0.37631848904251619</v>
      </c>
      <c r="J53" s="102">
        <v>0.80781450348256256</v>
      </c>
      <c r="K53" s="98">
        <v>-10.29878627966419</v>
      </c>
      <c r="L53" s="103">
        <v>21.823520443802359</v>
      </c>
      <c r="M53" s="104">
        <v>0.5228064879823513</v>
      </c>
      <c r="N53" s="105">
        <v>-224.75577292060279</v>
      </c>
      <c r="O53" s="106">
        <v>-5.914513994312129</v>
      </c>
      <c r="P53" s="107">
        <v>-10.29878627966419</v>
      </c>
      <c r="Q53" s="108"/>
      <c r="R53" s="108"/>
      <c r="S53" s="109">
        <v>1.154793204155764E-2</v>
      </c>
      <c r="U53" s="134">
        <f>C53*S53</f>
        <v>0.52812229136772681</v>
      </c>
      <c r="V53" s="134">
        <f>(1+S53)*R52*(1-U53)+S53</f>
        <v>3.0836616266766041E-2</v>
      </c>
      <c r="W53" s="134">
        <f>V53+I53/3</f>
        <v>0.15627611261427143</v>
      </c>
      <c r="X53" s="134">
        <f>V53+I53/5</f>
        <v>0.10610031407526928</v>
      </c>
      <c r="Y53" s="134">
        <f>V53-E53</f>
        <v>-0.49196987171558526</v>
      </c>
      <c r="Z53" s="110"/>
      <c r="AA53" s="110"/>
      <c r="AB53" s="110"/>
      <c r="AI53" s="67"/>
    </row>
    <row r="54" spans="1:35">
      <c r="A54" t="s">
        <v>64</v>
      </c>
      <c r="B54" t="s">
        <v>34</v>
      </c>
      <c r="C54" s="191">
        <v>2.2205340818188901</v>
      </c>
      <c r="D54" s="98">
        <v>1.7114617489931709</v>
      </c>
      <c r="E54" s="99">
        <v>0.2292567076514882</v>
      </c>
      <c r="F54" s="100">
        <v>8.1124763513223215</v>
      </c>
      <c r="G54" s="101">
        <v>2.653389703740646</v>
      </c>
      <c r="H54" s="102">
        <v>-1.3220795501628361E-2</v>
      </c>
      <c r="I54" s="102">
        <v>0.44823713296335632</v>
      </c>
      <c r="J54" s="102">
        <v>0.80137539289508575</v>
      </c>
      <c r="K54" s="98">
        <v>4.7400862777650614</v>
      </c>
      <c r="L54" s="103">
        <v>1.7114617489931709</v>
      </c>
      <c r="M54" s="104">
        <v>0.2292567076514882</v>
      </c>
      <c r="N54" s="105">
        <v>8.1124763513223215</v>
      </c>
      <c r="O54" s="106">
        <v>2.653389703740646</v>
      </c>
      <c r="P54" s="107">
        <v>4.7400862777650614</v>
      </c>
      <c r="Q54" s="108"/>
      <c r="R54" s="108"/>
      <c r="W54" s="134">
        <f>V52+I54/3</f>
        <v>0.19703991185233197</v>
      </c>
      <c r="X54" s="134">
        <f>V52+I54/5</f>
        <v>0.13727496079055113</v>
      </c>
      <c r="Y54" s="134">
        <f>V52-E54</f>
        <v>-0.18162917345360835</v>
      </c>
      <c r="Z54" s="110"/>
      <c r="AA54" s="110"/>
      <c r="AB54" s="110"/>
      <c r="AI54" s="67"/>
    </row>
    <row r="55" spans="1:35">
      <c r="A55">
        <v>3.76</v>
      </c>
      <c r="B55" t="s">
        <v>35</v>
      </c>
      <c r="C55" s="192">
        <v>1.8480637753086731</v>
      </c>
      <c r="D55" s="98">
        <v>1.5663139110221771</v>
      </c>
      <c r="E55" s="99">
        <v>0.15245678642201441</v>
      </c>
      <c r="F55" s="100">
        <v>7.1849241806803246</v>
      </c>
      <c r="G55" s="101">
        <v>2.88781181508753</v>
      </c>
      <c r="H55" s="102">
        <v>7.265034949279725E-2</v>
      </c>
      <c r="I55" s="102">
        <v>0.73323662526886224</v>
      </c>
      <c r="J55" s="102">
        <v>1.0583179944480361</v>
      </c>
      <c r="K55" s="98">
        <v>4.5871546757772466</v>
      </c>
      <c r="L55" s="103">
        <v>1.5663139110221771</v>
      </c>
      <c r="M55" s="104">
        <v>0.15245678642201441</v>
      </c>
      <c r="N55" s="105">
        <v>7.1849241806803246</v>
      </c>
      <c r="O55" s="106">
        <v>2.88781181508753</v>
      </c>
      <c r="P55" s="107">
        <v>4.5871546757772466</v>
      </c>
      <c r="Q55" s="108"/>
      <c r="R55" s="108"/>
      <c r="W55" s="134">
        <f>V53+I55/3</f>
        <v>0.27524882468972012</v>
      </c>
      <c r="X55" s="134">
        <f>V53+I55/5</f>
        <v>0.17748394132053849</v>
      </c>
      <c r="Y55" s="134">
        <f>V53-E55</f>
        <v>-0.12162017015524837</v>
      </c>
      <c r="Z55" s="110"/>
      <c r="AA55" s="110"/>
      <c r="AB55" s="110"/>
      <c r="AI55" s="67"/>
    </row>
    <row r="56" spans="1:35">
      <c r="C56" s="1"/>
      <c r="D56" s="98"/>
      <c r="K56" s="98"/>
      <c r="L56" s="103"/>
      <c r="M56" s="104"/>
      <c r="N56" s="105"/>
      <c r="P56" s="107"/>
      <c r="Q56" s="108"/>
      <c r="R56" s="108"/>
    </row>
    <row r="57" spans="1:35">
      <c r="A57" s="184" t="s">
        <v>65</v>
      </c>
      <c r="B57" t="s">
        <v>30</v>
      </c>
      <c r="C57" s="193">
        <v>32.688531292511342</v>
      </c>
      <c r="D57" s="98">
        <v>17.115046910557169</v>
      </c>
      <c r="E57" s="99">
        <v>0.47642043757169128</v>
      </c>
      <c r="F57" s="100">
        <v>49.821972523838568</v>
      </c>
      <c r="G57" s="101">
        <v>0.52414227724120344</v>
      </c>
      <c r="H57" s="102">
        <v>-0.35112185150237529</v>
      </c>
      <c r="I57" s="102">
        <v>-0.1490144713147542</v>
      </c>
      <c r="J57" s="102">
        <v>3.2886329155366711E-2</v>
      </c>
      <c r="K57" s="98">
        <v>2.9110041464804062</v>
      </c>
      <c r="L57" s="103">
        <v>20.60239509213093</v>
      </c>
      <c r="M57" s="104">
        <v>0.36973628739169578</v>
      </c>
      <c r="N57" s="105">
        <v>40.706024492150597</v>
      </c>
      <c r="O57" s="106">
        <v>0.2452693003517106</v>
      </c>
      <c r="P57" s="107">
        <v>1.9757908879098349</v>
      </c>
      <c r="Q57" s="108">
        <v>0.21310086562264061</v>
      </c>
      <c r="R57" s="108">
        <v>0.1067073021941974</v>
      </c>
      <c r="S57" s="109">
        <v>1.392940755914289E-2</v>
      </c>
      <c r="T57">
        <v>16906.54</v>
      </c>
      <c r="U57" s="134">
        <f>C57*S57</f>
        <v>0.45533187488318638</v>
      </c>
      <c r="V57" s="134">
        <f>(1+S57)*Q57*(1-U57)+S57</f>
        <v>0.13161543237215784</v>
      </c>
      <c r="W57" s="134">
        <f>V57+I57/3</f>
        <v>8.1943941933906445E-2</v>
      </c>
      <c r="X57" s="134">
        <f>V57+I57/5</f>
        <v>0.101812538109207</v>
      </c>
      <c r="Y57" s="134">
        <f>V57-E57</f>
        <v>-0.34480500519953344</v>
      </c>
      <c r="Z57" s="110"/>
      <c r="AA57" s="110"/>
      <c r="AB57" s="110"/>
      <c r="AI57" s="67"/>
    </row>
    <row r="58" spans="1:35">
      <c r="A58" t="s">
        <v>66</v>
      </c>
      <c r="B58" t="s">
        <v>32</v>
      </c>
      <c r="C58" s="191">
        <v>30.765411220502749</v>
      </c>
      <c r="D58" s="98">
        <v>24.503786579669882</v>
      </c>
      <c r="E58" s="99">
        <v>0.20352806585143199</v>
      </c>
      <c r="F58" s="100">
        <v>-84.790307755624127</v>
      </c>
      <c r="G58" s="101">
        <v>-3.7560271224042019</v>
      </c>
      <c r="H58" s="102">
        <v>-4.3029066277216477E-2</v>
      </c>
      <c r="I58" s="102">
        <v>7.4445770678618572E-2</v>
      </c>
      <c r="J58" s="102">
        <v>0.56899575910177003</v>
      </c>
      <c r="K58" s="98">
        <v>-3.4602940847506529</v>
      </c>
      <c r="L58" s="103">
        <v>24.503786579669882</v>
      </c>
      <c r="M58" s="104">
        <v>0.20352806585143199</v>
      </c>
      <c r="N58" s="105">
        <v>-84.790307755624127</v>
      </c>
      <c r="O58" s="106">
        <v>-3.7560271224042019</v>
      </c>
      <c r="P58" s="107">
        <v>-3.4602940847506529</v>
      </c>
      <c r="Q58" s="108"/>
      <c r="R58" s="108"/>
      <c r="S58" s="109">
        <v>1.508262223359572E-2</v>
      </c>
      <c r="U58" s="134">
        <f>C58*S58</f>
        <v>0.46402307530006998</v>
      </c>
      <c r="V58" s="134">
        <f>(1+S58)*R57*(1-U58)+S58</f>
        <v>7.3137889066390308E-2</v>
      </c>
      <c r="W58" s="134">
        <f>V58+I58/3</f>
        <v>9.795314595926316E-2</v>
      </c>
      <c r="X58" s="134">
        <f>V58+I58/5</f>
        <v>8.8027043202114019E-2</v>
      </c>
      <c r="Y58" s="134">
        <f>V58-E58</f>
        <v>-0.13039017678504167</v>
      </c>
      <c r="Z58" s="110"/>
      <c r="AA58" s="110"/>
      <c r="AB58" s="110"/>
      <c r="AI58" s="67"/>
    </row>
    <row r="59" spans="1:35">
      <c r="A59" t="s">
        <v>67</v>
      </c>
      <c r="B59" t="s">
        <v>34</v>
      </c>
      <c r="C59" s="194">
        <v>6.9659543143669413</v>
      </c>
      <c r="D59" s="98">
        <v>2.7835719983677629</v>
      </c>
      <c r="E59" s="99">
        <v>0.60040335139339318</v>
      </c>
      <c r="F59" s="100">
        <v>7.8839208941393268</v>
      </c>
      <c r="G59" s="101">
        <v>0.13177901237151721</v>
      </c>
      <c r="H59" s="102">
        <v>-0.48773428846758288</v>
      </c>
      <c r="I59" s="102">
        <v>-0.34372554751297962</v>
      </c>
      <c r="J59" s="102">
        <v>-0.1233567897069153</v>
      </c>
      <c r="K59" s="98">
        <v>2.8323035649023329</v>
      </c>
      <c r="L59" s="103">
        <v>3.2494953717818622</v>
      </c>
      <c r="M59" s="104">
        <v>0.53351755909740373</v>
      </c>
      <c r="N59" s="105">
        <v>7.1792140236119053</v>
      </c>
      <c r="O59" s="106">
        <v>3.06145719051194E-2</v>
      </c>
      <c r="P59" s="107">
        <v>2.2093319738058841</v>
      </c>
      <c r="Q59" s="108"/>
      <c r="R59" s="108"/>
      <c r="W59" s="134">
        <f>V57+I59/3</f>
        <v>1.70402498678313E-2</v>
      </c>
      <c r="X59" s="134">
        <f>V57+I59/5</f>
        <v>6.2870322869561915E-2</v>
      </c>
      <c r="Y59" s="134">
        <f>V57-E59</f>
        <v>-0.46878791902123534</v>
      </c>
      <c r="Z59" s="110"/>
      <c r="AA59" s="110"/>
      <c r="AB59" s="110"/>
      <c r="AI59" s="67"/>
    </row>
    <row r="60" spans="1:35">
      <c r="A60">
        <v>3.57</v>
      </c>
      <c r="B60" t="s">
        <v>35</v>
      </c>
      <c r="C60" s="191">
        <v>3.2828940322349371</v>
      </c>
      <c r="D60" s="98">
        <v>2.1658259780351292</v>
      </c>
      <c r="E60" s="99">
        <v>0.34026929996254768</v>
      </c>
      <c r="F60" s="100">
        <v>6.1316942202262181</v>
      </c>
      <c r="G60" s="101">
        <v>0.86777098499638994</v>
      </c>
      <c r="H60" s="102">
        <v>-9.8987277794513107E-2</v>
      </c>
      <c r="I60" s="102">
        <v>9.2352784787532727E-3</v>
      </c>
      <c r="J60" s="102">
        <v>0.23017863448497231</v>
      </c>
      <c r="K60" s="98">
        <v>2.8311112168803998</v>
      </c>
      <c r="L60" s="103">
        <v>2.1658259780351292</v>
      </c>
      <c r="M60" s="104">
        <v>0.34026929996254768</v>
      </c>
      <c r="N60" s="105">
        <v>5.7254846468978844</v>
      </c>
      <c r="O60" s="106">
        <v>0.74403577778600249</v>
      </c>
      <c r="P60" s="107">
        <v>2.6435571024464908</v>
      </c>
      <c r="Q60" s="108"/>
      <c r="R60" s="108"/>
      <c r="W60" s="134">
        <f>V58+I60/3</f>
        <v>7.6216315225974732E-2</v>
      </c>
      <c r="X60" s="134">
        <f>V58+I60/5</f>
        <v>7.4984944762140959E-2</v>
      </c>
      <c r="Y60" s="134">
        <f>V58-E60</f>
        <v>-0.26713141089615738</v>
      </c>
      <c r="Z60" s="110"/>
      <c r="AA60" s="110"/>
      <c r="AB60" s="110"/>
      <c r="AI60" s="67"/>
    </row>
    <row r="61" spans="1:35">
      <c r="A61" s="108">
        <f>1.24/C64-1</f>
        <v>0.30276075179589657</v>
      </c>
      <c r="B61" s="108">
        <f>1.31/C64-1</f>
        <v>0.37630369746179415</v>
      </c>
      <c r="C61" s="108">
        <f>1.38/C64-1</f>
        <v>0.44984664312769129</v>
      </c>
      <c r="D61" s="108">
        <f>1.48/C64-1</f>
        <v>0.5549079940789734</v>
      </c>
      <c r="K61" s="98"/>
      <c r="L61" s="103"/>
      <c r="M61" s="104"/>
      <c r="N61" s="105"/>
      <c r="P61" s="107"/>
      <c r="Q61" s="108"/>
      <c r="R61" s="108"/>
    </row>
    <row r="62" spans="1:35" s="184" customFormat="1">
      <c r="A62" s="184" t="s">
        <v>68</v>
      </c>
      <c r="B62" s="184" t="s">
        <v>30</v>
      </c>
      <c r="C62" s="188">
        <v>7.6037915839499002</v>
      </c>
      <c r="D62" s="20">
        <v>5.668473699874764</v>
      </c>
      <c r="E62" s="30">
        <v>0.25452011180319689</v>
      </c>
      <c r="F62" s="21">
        <v>12.00320999046833</v>
      </c>
      <c r="G62" s="40">
        <v>0.57858219257412768</v>
      </c>
      <c r="H62" s="22">
        <v>-3.419294044226473E-2</v>
      </c>
      <c r="I62" s="22">
        <v>0.101641825854925</v>
      </c>
      <c r="J62" s="22">
        <v>0.21240813792826191</v>
      </c>
      <c r="K62" s="20">
        <v>2.1175382697345011</v>
      </c>
      <c r="L62" s="23">
        <v>7.1131225701767091</v>
      </c>
      <c r="M62" s="33">
        <v>6.4529519037436089E-2</v>
      </c>
      <c r="N62" s="24">
        <v>12.00320999046833</v>
      </c>
      <c r="O62" s="25">
        <v>0.57858219257412768</v>
      </c>
      <c r="P62" s="26">
        <v>1.687474083575385</v>
      </c>
      <c r="Q62" s="27">
        <v>0.12517765585921339</v>
      </c>
      <c r="R62" s="27">
        <v>0.1005091900672449</v>
      </c>
      <c r="S62" s="28">
        <v>3.7620384923146809E-2</v>
      </c>
      <c r="T62" s="184">
        <v>5382.8</v>
      </c>
      <c r="U62" s="134">
        <f>C62*S62</f>
        <v>0.28605756626357942</v>
      </c>
      <c r="V62" s="112">
        <f>(1+S62)*Q62*(1-U62)+S62</f>
        <v>0.13035214546422774</v>
      </c>
      <c r="W62" s="134">
        <f>V62+I62/3</f>
        <v>0.16423275408253607</v>
      </c>
      <c r="X62" s="134">
        <f>V62+I62/5</f>
        <v>0.15068051063521273</v>
      </c>
      <c r="Y62" s="134">
        <f>V62-E62</f>
        <v>-0.12416796633896915</v>
      </c>
      <c r="AB62" s="110"/>
      <c r="AC62" s="134"/>
      <c r="AD62" s="134"/>
      <c r="AE62" s="134"/>
      <c r="AF62" s="134"/>
      <c r="AH62" s="28"/>
      <c r="AI62" s="67"/>
    </row>
    <row r="63" spans="1:35" s="184" customFormat="1">
      <c r="A63" s="184" t="s">
        <v>69</v>
      </c>
      <c r="B63" s="184" t="s">
        <v>32</v>
      </c>
      <c r="C63" s="187">
        <v>11.084009994994339</v>
      </c>
      <c r="D63" s="20">
        <v>9.8570304731741079</v>
      </c>
      <c r="E63" s="30">
        <v>0.1106981608979373</v>
      </c>
      <c r="F63" s="21">
        <v>29.154737823642311</v>
      </c>
      <c r="G63" s="40">
        <v>1.6303420726622331</v>
      </c>
      <c r="H63" s="22">
        <v>0.1161036238890929</v>
      </c>
      <c r="I63" s="22">
        <v>0.36474177343276598</v>
      </c>
      <c r="J63" s="22">
        <v>0.66423771720535463</v>
      </c>
      <c r="K63" s="20">
        <v>2.9577607478222658</v>
      </c>
      <c r="L63" s="23">
        <v>9.8570304731741079</v>
      </c>
      <c r="M63" s="33">
        <v>0.1106981608979373</v>
      </c>
      <c r="N63" s="24">
        <v>29.154737823642311</v>
      </c>
      <c r="O63" s="25">
        <v>1.6303420726622331</v>
      </c>
      <c r="P63" s="26">
        <v>2.9577607478222658</v>
      </c>
      <c r="Q63" s="27"/>
      <c r="R63" s="27"/>
      <c r="S63" s="28">
        <v>2.4958274758734571E-2</v>
      </c>
      <c r="U63" s="134">
        <f>C63*S63</f>
        <v>0.2766377668836289</v>
      </c>
      <c r="V63" s="134">
        <f>(1+S63)*R62*(1-U63)+S63</f>
        <v>9.9477407123907985E-2</v>
      </c>
      <c r="W63" s="134">
        <f>V63+I63/3</f>
        <v>0.2210579982681633</v>
      </c>
      <c r="X63" s="134">
        <f>V63+I63/5</f>
        <v>0.17242576181046118</v>
      </c>
      <c r="Y63" s="134">
        <f>V63-E63</f>
        <v>-1.1220753774029313E-2</v>
      </c>
      <c r="AB63" s="110"/>
      <c r="AC63" s="134"/>
      <c r="AD63" s="134"/>
      <c r="AE63" s="134"/>
      <c r="AF63" s="134"/>
      <c r="AH63" s="28"/>
      <c r="AI63" s="67"/>
    </row>
    <row r="64" spans="1:35" s="184" customFormat="1">
      <c r="A64" s="184" t="s">
        <v>55</v>
      </c>
      <c r="B64" s="184" t="s">
        <v>34</v>
      </c>
      <c r="C64" s="187">
        <v>0.95182480612086373</v>
      </c>
      <c r="D64" s="20">
        <v>0.92758901913455516</v>
      </c>
      <c r="E64" s="30">
        <v>2.546244522149077E-2</v>
      </c>
      <c r="F64" s="21">
        <v>1.924203345445207</v>
      </c>
      <c r="G64" s="40">
        <v>1.021594029774497</v>
      </c>
      <c r="H64" s="22">
        <v>0.13695459703541379</v>
      </c>
      <c r="I64" s="22">
        <v>0.27713597405435952</v>
      </c>
      <c r="J64" s="22">
        <v>0.52428912046331955</v>
      </c>
      <c r="K64" s="20">
        <v>2.074413674323675</v>
      </c>
      <c r="L64" s="23">
        <v>0.92758901913455516</v>
      </c>
      <c r="M64" s="33">
        <v>2.546244522149077E-2</v>
      </c>
      <c r="N64" s="24">
        <v>1.924203345445207</v>
      </c>
      <c r="O64" s="25">
        <v>1.021594029774497</v>
      </c>
      <c r="P64" s="26">
        <v>2.074413674323675</v>
      </c>
      <c r="Q64" s="27"/>
      <c r="R64" s="27"/>
      <c r="S64" s="28"/>
      <c r="V64" s="109"/>
      <c r="W64" s="112">
        <f>V62+I64/3</f>
        <v>0.22273080348234758</v>
      </c>
      <c r="X64" s="134">
        <f>V62+I64/5</f>
        <v>0.18577934027509965</v>
      </c>
      <c r="Y64" s="134">
        <f>V62-E64</f>
        <v>0.10488970024273697</v>
      </c>
      <c r="Z64" s="110"/>
      <c r="AA64" s="110"/>
      <c r="AB64" s="110"/>
      <c r="AC64" s="134"/>
      <c r="AD64" s="134"/>
      <c r="AE64" s="134"/>
      <c r="AF64" s="134"/>
      <c r="AH64" s="28"/>
      <c r="AI64" s="67"/>
    </row>
    <row r="65" spans="1:35" s="184" customFormat="1">
      <c r="A65" s="184">
        <v>2.36</v>
      </c>
      <c r="B65" s="184" t="s">
        <v>35</v>
      </c>
      <c r="C65" s="187">
        <v>1.1140448672941281</v>
      </c>
      <c r="D65" s="20">
        <v>1.0025960079001619</v>
      </c>
      <c r="E65" s="30">
        <v>0.1000398302311292</v>
      </c>
      <c r="F65" s="21">
        <v>3.5463638092484882</v>
      </c>
      <c r="G65" s="40">
        <v>2.1833222461337232</v>
      </c>
      <c r="H65" s="22">
        <v>0.2435802038849206</v>
      </c>
      <c r="I65" s="22">
        <v>0.5671679945567607</v>
      </c>
      <c r="J65" s="22">
        <v>0.78365804721473586</v>
      </c>
      <c r="K65" s="20">
        <v>3.53718125875645</v>
      </c>
      <c r="L65" s="23">
        <v>1.0025960079001619</v>
      </c>
      <c r="M65" s="33">
        <v>0.1000398302311292</v>
      </c>
      <c r="N65" s="24">
        <v>3.5463638092484882</v>
      </c>
      <c r="O65" s="25">
        <v>2.1833222461337232</v>
      </c>
      <c r="P65" s="26">
        <v>3.53718125875645</v>
      </c>
      <c r="Q65" s="27"/>
      <c r="R65" s="27"/>
      <c r="S65" s="28"/>
      <c r="T65" s="67">
        <f>T62/C64</f>
        <v>5655.2423990056068</v>
      </c>
      <c r="U65" s="67"/>
      <c r="V65" s="67">
        <f>T62/C62</f>
        <v>707.90998682315626</v>
      </c>
      <c r="W65" s="134">
        <f>V63+I65/3</f>
        <v>0.28853340530949489</v>
      </c>
      <c r="X65" s="134">
        <f>V63+I65/5</f>
        <v>0.21291100603526014</v>
      </c>
      <c r="Y65" s="134">
        <f>V63-E65</f>
        <v>-5.6242310722121047E-4</v>
      </c>
      <c r="Z65" s="110"/>
      <c r="AA65" s="110"/>
      <c r="AB65" s="110"/>
      <c r="AC65" s="134"/>
      <c r="AD65" s="134"/>
      <c r="AE65" s="134"/>
      <c r="AF65" s="134"/>
      <c r="AH65" s="28"/>
      <c r="AI65" s="67"/>
    </row>
    <row r="66" spans="1:35">
      <c r="C66" s="1"/>
      <c r="D66" s="98"/>
      <c r="K66" s="98"/>
      <c r="L66" s="103"/>
      <c r="M66" s="104"/>
      <c r="N66" s="105"/>
      <c r="P66" s="107"/>
      <c r="Q66" s="108"/>
      <c r="R66" s="108"/>
    </row>
    <row r="67" spans="1:35" s="184" customFormat="1">
      <c r="A67" s="184" t="s">
        <v>70</v>
      </c>
      <c r="B67" s="184" t="s">
        <v>30</v>
      </c>
      <c r="C67" s="190">
        <v>69.794815244986822</v>
      </c>
      <c r="D67" s="20">
        <v>27.928951033333501</v>
      </c>
      <c r="E67" s="30">
        <v>0.59984203790353086</v>
      </c>
      <c r="F67" s="21">
        <v>133.72097203570331</v>
      </c>
      <c r="G67" s="40">
        <v>0.91591555284341997</v>
      </c>
      <c r="H67" s="22">
        <v>-0.43684794685616829</v>
      </c>
      <c r="I67" s="22">
        <v>-0.24044004710487729</v>
      </c>
      <c r="J67" s="22">
        <v>-3.9413813453983759E-2</v>
      </c>
      <c r="K67" s="20">
        <v>4.7878981160483196</v>
      </c>
      <c r="L67" s="23">
        <v>27.928951033333501</v>
      </c>
      <c r="M67" s="33">
        <v>0.59984203790353086</v>
      </c>
      <c r="N67" s="24">
        <v>133.72097203570331</v>
      </c>
      <c r="O67" s="25">
        <v>0.91591555284341997</v>
      </c>
      <c r="P67" s="26">
        <v>4.7878981160483196</v>
      </c>
      <c r="Q67" s="27">
        <v>5.9163919787499603E-2</v>
      </c>
      <c r="R67" s="27">
        <v>-1.297995554351293E-2</v>
      </c>
      <c r="S67" s="28">
        <v>5.625997572919374E-3</v>
      </c>
      <c r="T67" s="184">
        <v>6023.31</v>
      </c>
      <c r="U67" s="134">
        <f>C67*S67</f>
        <v>0.39266546117065199</v>
      </c>
      <c r="V67" s="134">
        <f>(1+S67)*Q67*(1-U67)+S67</f>
        <v>4.1760444499637915E-2</v>
      </c>
      <c r="W67" s="134">
        <f>V67+I67/3</f>
        <v>-3.838623786865452E-2</v>
      </c>
      <c r="X67" s="134">
        <f>V67+I67/5</f>
        <v>-6.3275649213375418E-3</v>
      </c>
      <c r="Y67" s="134">
        <f>V67-E67</f>
        <v>-0.55808159340389296</v>
      </c>
      <c r="Z67" s="110"/>
      <c r="AA67" s="110"/>
      <c r="AB67" s="110"/>
      <c r="AC67" s="134"/>
      <c r="AD67" s="134"/>
      <c r="AE67" s="134"/>
      <c r="AF67" s="134"/>
      <c r="AH67" s="28"/>
      <c r="AI67" s="67"/>
    </row>
    <row r="68" spans="1:35" s="184" customFormat="1">
      <c r="A68" s="184" t="s">
        <v>71</v>
      </c>
      <c r="B68" s="184" t="s">
        <v>32</v>
      </c>
      <c r="C68" s="187">
        <v>-237.01644478527371</v>
      </c>
      <c r="D68" s="20">
        <v>34.05908305989729</v>
      </c>
      <c r="E68" s="30">
        <v>1.143699240323824</v>
      </c>
      <c r="F68" s="21">
        <v>-66.945477462144567</v>
      </c>
      <c r="G68" s="40">
        <v>-0.71754922945201471</v>
      </c>
      <c r="H68" s="22">
        <v>-1.1845689466841709</v>
      </c>
      <c r="I68" s="22">
        <v>-1.284140700829556</v>
      </c>
      <c r="J68" s="22">
        <v>-1.3727931696968041</v>
      </c>
      <c r="K68" s="20">
        <v>-1.9655689891713271</v>
      </c>
      <c r="L68" s="23">
        <v>35.415017323763543</v>
      </c>
      <c r="M68" s="33">
        <v>1.1494200849896641</v>
      </c>
      <c r="N68" s="24">
        <v>-66.945477462144567</v>
      </c>
      <c r="O68" s="25">
        <v>-0.71754922945201471</v>
      </c>
      <c r="P68" s="26">
        <v>-1.8903132772781119</v>
      </c>
      <c r="Q68" s="27"/>
      <c r="R68" s="27"/>
      <c r="S68" s="28">
        <v>5.2358469754463111E-3</v>
      </c>
      <c r="U68" s="134">
        <f>C68*S68</f>
        <v>-1.2409818355600128</v>
      </c>
      <c r="V68" s="134">
        <f>(1+S68)*R67*(1-U68)+S68</f>
        <v>-2.4004297127110621E-2</v>
      </c>
      <c r="W68" s="134">
        <f>V68+I68/3</f>
        <v>-0.45205119740362926</v>
      </c>
      <c r="X68" s="134">
        <f>V68+I68/5</f>
        <v>-0.28083243729302182</v>
      </c>
      <c r="Y68" s="134">
        <f>V68-E68</f>
        <v>-1.1677035374509346</v>
      </c>
      <c r="Z68" s="110"/>
      <c r="AA68" s="110"/>
      <c r="AB68" s="110"/>
      <c r="AC68" s="134"/>
      <c r="AD68" s="134"/>
      <c r="AE68" s="134"/>
      <c r="AF68" s="134"/>
      <c r="AH68" s="28"/>
      <c r="AI68" s="67"/>
    </row>
    <row r="69" spans="1:35" s="184" customFormat="1">
      <c r="A69" s="184" t="s">
        <v>55</v>
      </c>
      <c r="B69" s="184" t="s">
        <v>34</v>
      </c>
      <c r="C69" s="189">
        <v>4.1293348507377541</v>
      </c>
      <c r="D69" s="20">
        <v>2.3339892780303599</v>
      </c>
      <c r="E69" s="30">
        <v>0.43477839351939068</v>
      </c>
      <c r="F69" s="21">
        <v>11.234635001338271</v>
      </c>
      <c r="G69" s="40">
        <v>1.720688780986378</v>
      </c>
      <c r="H69" s="22">
        <v>-0.2270086753597641</v>
      </c>
      <c r="I69" s="22">
        <v>-1.2742617847569471E-2</v>
      </c>
      <c r="J69" s="22">
        <v>0.17551989380428609</v>
      </c>
      <c r="K69" s="20">
        <v>4.8134904076419369</v>
      </c>
      <c r="L69" s="23">
        <v>2.5265329965380099</v>
      </c>
      <c r="M69" s="33">
        <v>0.38815012880667321</v>
      </c>
      <c r="N69" s="24">
        <v>11.234635001338271</v>
      </c>
      <c r="O69" s="25">
        <v>1.720688780986378</v>
      </c>
      <c r="P69" s="26">
        <v>4.4466607072745781</v>
      </c>
      <c r="Q69" s="27"/>
      <c r="R69" s="27"/>
      <c r="S69" s="28"/>
      <c r="V69" s="109"/>
      <c r="W69" s="134">
        <f>V67+I69/3</f>
        <v>3.7512905217114756E-2</v>
      </c>
      <c r="X69" s="134">
        <f>V67+I69/5</f>
        <v>3.9211920930124024E-2</v>
      </c>
      <c r="Y69" s="134">
        <f>V67-E69</f>
        <v>-0.39301794901975279</v>
      </c>
      <c r="Z69" s="110"/>
      <c r="AA69" s="110"/>
      <c r="AB69" s="110"/>
      <c r="AC69" s="134"/>
      <c r="AD69" s="134"/>
      <c r="AE69" s="134"/>
      <c r="AF69" s="134"/>
      <c r="AH69" s="28"/>
      <c r="AI69" s="67"/>
    </row>
    <row r="70" spans="1:35" s="184" customFormat="1">
      <c r="A70" s="184">
        <v>3.34</v>
      </c>
      <c r="B70" s="184" t="s">
        <v>35</v>
      </c>
      <c r="C70" s="188">
        <v>3.0764629163943402</v>
      </c>
      <c r="D70" s="20">
        <v>1.973582699506399</v>
      </c>
      <c r="E70" s="30">
        <v>0.35848968339931531</v>
      </c>
      <c r="F70" s="21">
        <v>10.42479831392837</v>
      </c>
      <c r="G70" s="40">
        <v>2.388566219464265</v>
      </c>
      <c r="H70" s="22">
        <v>-7.536966076154894E-2</v>
      </c>
      <c r="I70" s="22">
        <v>0.1681591181142417</v>
      </c>
      <c r="J70" s="22">
        <v>0.59227087886593899</v>
      </c>
      <c r="K70" s="20">
        <v>5.2821694862524176</v>
      </c>
      <c r="L70" s="23">
        <v>2.1092329189035359</v>
      </c>
      <c r="M70" s="33">
        <v>0.31439676790397059</v>
      </c>
      <c r="N70" s="24">
        <v>10.42479831392837</v>
      </c>
      <c r="O70" s="25">
        <v>2.388566219464265</v>
      </c>
      <c r="P70" s="26">
        <v>4.9424595171535648</v>
      </c>
      <c r="Q70" s="27"/>
      <c r="R70" s="27"/>
      <c r="S70" s="28"/>
      <c r="V70" s="109"/>
      <c r="W70" s="134">
        <f>V68+I70/3</f>
        <v>3.2048742244303277E-2</v>
      </c>
      <c r="X70" s="134">
        <f>V68+I70/5</f>
        <v>9.6275264957377191E-3</v>
      </c>
      <c r="Y70" s="134">
        <f>V68-E70</f>
        <v>-0.38249398052642591</v>
      </c>
      <c r="Z70" s="110"/>
      <c r="AA70" s="110"/>
      <c r="AB70" s="110"/>
      <c r="AC70" s="134"/>
      <c r="AD70" s="134"/>
      <c r="AE70" s="134"/>
      <c r="AF70" s="134"/>
      <c r="AH70" s="28"/>
      <c r="AI70" s="67"/>
    </row>
    <row r="71" spans="1:35">
      <c r="C71" s="109"/>
      <c r="D71" s="13"/>
      <c r="K71" s="98"/>
      <c r="L71" s="103"/>
      <c r="M71" s="104"/>
      <c r="N71" s="105"/>
      <c r="P71" s="107"/>
      <c r="Q71" s="108"/>
      <c r="R71" s="108"/>
    </row>
    <row r="72" spans="1:35" s="184" customFormat="1">
      <c r="A72" s="184" t="s">
        <v>72</v>
      </c>
      <c r="B72" s="184" t="s">
        <v>30</v>
      </c>
      <c r="C72" s="189">
        <v>25.760041116626599</v>
      </c>
      <c r="D72" s="20">
        <v>10.30814432108231</v>
      </c>
      <c r="E72" s="30">
        <v>0.59983975668311329</v>
      </c>
      <c r="F72" s="21">
        <v>57.364009860112077</v>
      </c>
      <c r="G72" s="40">
        <v>1.226860182419778</v>
      </c>
      <c r="H72" s="22">
        <v>-0.25509969703166119</v>
      </c>
      <c r="I72" s="22">
        <v>-1.551976765573226E-2</v>
      </c>
      <c r="J72" s="22">
        <v>0.20247842986765049</v>
      </c>
      <c r="K72" s="20">
        <v>5.5649211025102456</v>
      </c>
      <c r="L72" s="23">
        <v>10.30814432108231</v>
      </c>
      <c r="M72" s="33">
        <v>0.59983975668311329</v>
      </c>
      <c r="N72" s="24">
        <v>51.908183082300077</v>
      </c>
      <c r="O72" s="25">
        <v>1.0150660027012299</v>
      </c>
      <c r="P72" s="26">
        <v>5.0356476845339673</v>
      </c>
      <c r="Q72" s="27">
        <v>6.4491433275564891E-2</v>
      </c>
      <c r="R72" s="27">
        <v>5.0778931933793431E-2</v>
      </c>
      <c r="S72" s="28">
        <v>1.268790908714304E-2</v>
      </c>
      <c r="T72" s="184">
        <v>710.11</v>
      </c>
      <c r="U72" s="134">
        <f>C72*S72</f>
        <v>0.32684105976882499</v>
      </c>
      <c r="V72" s="134">
        <f>(1+S72)*Q72*(1-U72)+S72</f>
        <v>5.665171397024249E-2</v>
      </c>
      <c r="W72" s="134">
        <f>V72+I72/3</f>
        <v>5.1478458084998402E-2</v>
      </c>
      <c r="X72" s="134">
        <f>V72+I72/5</f>
        <v>5.3547760439096037E-2</v>
      </c>
      <c r="Y72" s="134">
        <f>V72-E72</f>
        <v>-0.5431880427128708</v>
      </c>
      <c r="Z72" s="110">
        <v>10.5</v>
      </c>
      <c r="AA72" s="85">
        <f>Z72*E74</f>
        <v>3.8381647175304185</v>
      </c>
      <c r="AB72" s="110"/>
      <c r="AC72" s="134"/>
      <c r="AD72" s="134"/>
      <c r="AE72" s="134"/>
      <c r="AF72" s="134"/>
      <c r="AH72" s="28"/>
      <c r="AI72" s="67"/>
    </row>
    <row r="73" spans="1:35" s="184" customFormat="1">
      <c r="A73" s="184" t="s">
        <v>73</v>
      </c>
      <c r="B73" s="184" t="s">
        <v>32</v>
      </c>
      <c r="C73" s="189">
        <v>32.205119791051622</v>
      </c>
      <c r="D73" s="20">
        <v>11.390210553827551</v>
      </c>
      <c r="E73" s="30">
        <v>0.64632298753341733</v>
      </c>
      <c r="F73" s="21">
        <v>66.825497724784654</v>
      </c>
      <c r="G73" s="40">
        <v>1.074996092495595</v>
      </c>
      <c r="H73" s="22">
        <v>-0.29014633790427458</v>
      </c>
      <c r="I73" s="22">
        <v>-3.264934443037093E-2</v>
      </c>
      <c r="J73" s="22">
        <v>0.21698768967539731</v>
      </c>
      <c r="K73" s="20">
        <v>5.8669238298082824</v>
      </c>
      <c r="L73" s="23">
        <v>11.390210553827551</v>
      </c>
      <c r="M73" s="33">
        <v>0.64632298753341733</v>
      </c>
      <c r="N73" s="24">
        <v>66.825497724784654</v>
      </c>
      <c r="O73" s="25">
        <v>1.074996092495595</v>
      </c>
      <c r="P73" s="26">
        <v>5.8669238298082824</v>
      </c>
      <c r="Q73" s="27"/>
      <c r="R73" s="27"/>
      <c r="S73" s="28">
        <v>9.3003330234811658E-3</v>
      </c>
      <c r="U73" s="134">
        <f>C73*S73</f>
        <v>0.29951833911788428</v>
      </c>
      <c r="V73" s="134">
        <f>(1+S73)*R72*(1-U73)+S73</f>
        <v>4.5200853756216408E-2</v>
      </c>
      <c r="W73" s="134">
        <f>V73+I73/3</f>
        <v>3.4317738946092767E-2</v>
      </c>
      <c r="X73" s="134">
        <f>V73+I73/5</f>
        <v>3.8670984870142221E-2</v>
      </c>
      <c r="Y73" s="134">
        <f>V73-E73</f>
        <v>-0.60112213377720092</v>
      </c>
      <c r="Z73" s="110"/>
      <c r="AA73" s="134">
        <f>AA72/($AB$2)</f>
        <v>7.3810859952508037E-2</v>
      </c>
      <c r="AB73" s="110"/>
      <c r="AC73" s="134"/>
      <c r="AD73" s="134"/>
      <c r="AE73" s="134"/>
      <c r="AF73" s="134"/>
      <c r="AH73" s="28"/>
      <c r="AI73" s="67"/>
    </row>
    <row r="74" spans="1:35" s="184" customFormat="1">
      <c r="A74" s="184" t="s">
        <v>74</v>
      </c>
      <c r="B74" s="184" t="s">
        <v>34</v>
      </c>
      <c r="C74" s="188">
        <v>1.661301972848733</v>
      </c>
      <c r="D74" s="20">
        <v>1.054030485481906</v>
      </c>
      <c r="E74" s="30">
        <v>0.36553949690765891</v>
      </c>
      <c r="F74" s="21">
        <v>5.5183506203486967</v>
      </c>
      <c r="G74" s="40">
        <v>2.321702321755541</v>
      </c>
      <c r="H74" s="22">
        <v>-2.697462517998472E-2</v>
      </c>
      <c r="I74" s="22">
        <v>0.12739916565633361</v>
      </c>
      <c r="J74" s="22">
        <v>0.28163281399745532</v>
      </c>
      <c r="K74" s="20">
        <v>5.2354753456923886</v>
      </c>
      <c r="L74" s="23">
        <v>1.054030485481906</v>
      </c>
      <c r="M74" s="33">
        <v>0.36553949690765891</v>
      </c>
      <c r="N74" s="24">
        <v>5.5183506203486967</v>
      </c>
      <c r="O74" s="25">
        <v>2.321702321755541</v>
      </c>
      <c r="P74" s="26">
        <v>5.2354753456923886</v>
      </c>
      <c r="Q74" s="27"/>
      <c r="R74" s="27"/>
      <c r="S74" s="28"/>
      <c r="V74" s="109"/>
      <c r="W74" s="134">
        <f>V72+I74/3</f>
        <v>9.9118102522353702E-2</v>
      </c>
      <c r="X74" s="134">
        <f>V72+I74/5</f>
        <v>8.2131547101509217E-2</v>
      </c>
      <c r="Y74" s="134">
        <f>V72-E74</f>
        <v>-0.30888778293741642</v>
      </c>
      <c r="Z74" s="110"/>
      <c r="AA74" s="110"/>
      <c r="AB74" s="110"/>
      <c r="AC74" s="134"/>
      <c r="AD74" s="134"/>
      <c r="AE74" s="134"/>
      <c r="AF74" s="134"/>
      <c r="AH74" s="28"/>
      <c r="AI74" s="67"/>
    </row>
    <row r="75" spans="1:35" s="184" customFormat="1">
      <c r="A75" s="184">
        <v>2.72</v>
      </c>
      <c r="B75" s="184" t="s">
        <v>35</v>
      </c>
      <c r="C75" s="187">
        <v>1.635341585789474</v>
      </c>
      <c r="D75" s="20">
        <v>1.0299969084815259</v>
      </c>
      <c r="E75" s="30">
        <v>0.37016405781408251</v>
      </c>
      <c r="F75" s="21">
        <v>5.8355818875013981</v>
      </c>
      <c r="G75" s="40">
        <v>2.5684177166473909</v>
      </c>
      <c r="H75" s="22">
        <v>7.2782998327052262E-3</v>
      </c>
      <c r="I75" s="22">
        <v>0.25324218491827089</v>
      </c>
      <c r="J75" s="22">
        <v>0.41636213236790159</v>
      </c>
      <c r="K75" s="20">
        <v>5.6656304882550694</v>
      </c>
      <c r="L75" s="23">
        <v>1.0299969084815259</v>
      </c>
      <c r="M75" s="33">
        <v>0.37016405781408251</v>
      </c>
      <c r="N75" s="24">
        <v>5.8355818875013981</v>
      </c>
      <c r="O75" s="25">
        <v>2.5684177166473909</v>
      </c>
      <c r="P75" s="26">
        <v>5.6656304882550694</v>
      </c>
      <c r="Q75" s="27"/>
      <c r="R75" s="27"/>
      <c r="S75" s="28"/>
      <c r="T75" s="67">
        <f>T72/C74</f>
        <v>427.44185681205943</v>
      </c>
      <c r="U75" s="67"/>
      <c r="V75" s="67">
        <f>T72/C72</f>
        <v>27.566337987778503</v>
      </c>
      <c r="W75" s="134">
        <f>V73+I75/3</f>
        <v>0.12961491539564002</v>
      </c>
      <c r="X75" s="134">
        <f>V73+I75/5</f>
        <v>9.5849290739870585E-2</v>
      </c>
      <c r="Y75" s="134">
        <f>V73-E75</f>
        <v>-0.32496320405786611</v>
      </c>
      <c r="Z75" s="110"/>
      <c r="AA75" s="110"/>
      <c r="AB75" s="110"/>
      <c r="AC75" s="134"/>
      <c r="AD75" s="134"/>
      <c r="AE75" s="134"/>
      <c r="AF75" s="134"/>
      <c r="AH75" s="28"/>
      <c r="AI75" s="67"/>
    </row>
    <row r="76" spans="1:35">
      <c r="M76" s="104"/>
      <c r="N76" s="105"/>
      <c r="P76" s="107"/>
      <c r="Q76" s="108"/>
      <c r="R76" s="108"/>
    </row>
    <row r="77" spans="1:35" s="184" customFormat="1">
      <c r="A77" s="184" t="s">
        <v>75</v>
      </c>
      <c r="B77" s="184" t="s">
        <v>30</v>
      </c>
      <c r="C77" s="188">
        <v>25.954089182217871</v>
      </c>
      <c r="D77" s="20">
        <v>18.527065718247879</v>
      </c>
      <c r="E77" s="30">
        <v>0.28616005022663349</v>
      </c>
      <c r="F77" s="21">
        <v>64.568835216617501</v>
      </c>
      <c r="G77" s="40">
        <v>1.4878097151972509</v>
      </c>
      <c r="H77" s="22">
        <v>-2.0934785269849931E-2</v>
      </c>
      <c r="I77" s="22">
        <v>0.16363480629627511</v>
      </c>
      <c r="J77" s="22">
        <v>0.3383535263920705</v>
      </c>
      <c r="K77" s="20">
        <v>3.4851085540772742</v>
      </c>
      <c r="L77" s="23">
        <v>18.527065718247879</v>
      </c>
      <c r="M77" s="33">
        <v>0.28616005022663349</v>
      </c>
      <c r="N77" s="24">
        <v>64.568835216617501</v>
      </c>
      <c r="O77" s="25">
        <v>1.4878097151972509</v>
      </c>
      <c r="P77" s="26">
        <v>3.4851085540772742</v>
      </c>
      <c r="Q77" s="27">
        <v>0.13305673551816069</v>
      </c>
      <c r="R77" s="27">
        <v>0.11425909198196881</v>
      </c>
      <c r="S77" s="28">
        <v>1.190926938482237E-2</v>
      </c>
      <c r="T77" s="184">
        <v>6705.05</v>
      </c>
      <c r="U77" s="134">
        <f>C77*S77</f>
        <v>0.30909423970873673</v>
      </c>
      <c r="V77" s="112">
        <f>(1+S77)*Q77*(1-U77)+S77</f>
        <v>0.10493374954499142</v>
      </c>
      <c r="W77" s="112">
        <f>V77+I77/3</f>
        <v>0.15947868497708312</v>
      </c>
      <c r="X77" s="134">
        <f>V77+I77/5</f>
        <v>0.13766071080424644</v>
      </c>
      <c r="Y77" s="134">
        <f>V77-E77</f>
        <v>-0.18122630068164208</v>
      </c>
      <c r="Z77" s="110"/>
      <c r="AA77" s="110"/>
      <c r="AB77" s="110"/>
      <c r="AC77" s="134"/>
      <c r="AD77" s="37"/>
      <c r="AE77" s="134"/>
      <c r="AF77" s="134"/>
      <c r="AH77" s="28"/>
      <c r="AI77" s="67"/>
    </row>
    <row r="78" spans="1:35" s="184" customFormat="1">
      <c r="A78" s="184" t="s">
        <v>76</v>
      </c>
      <c r="B78" s="184" t="s">
        <v>32</v>
      </c>
      <c r="C78" s="187">
        <v>24.366905572639411</v>
      </c>
      <c r="D78" s="20">
        <v>17.454615305836761</v>
      </c>
      <c r="E78" s="30">
        <v>0.28367534179490461</v>
      </c>
      <c r="F78" s="21">
        <v>76.579307710778835</v>
      </c>
      <c r="G78" s="40">
        <v>2.1427588325686528</v>
      </c>
      <c r="H78" s="22">
        <v>9.2101151183391794E-2</v>
      </c>
      <c r="I78" s="22">
        <v>0.31732183800320518</v>
      </c>
      <c r="J78" s="22">
        <v>0.6515292818565277</v>
      </c>
      <c r="K78" s="20">
        <v>4.3873386132532506</v>
      </c>
      <c r="L78" s="23">
        <v>17.454615305836761</v>
      </c>
      <c r="M78" s="33">
        <v>0.28367534179490461</v>
      </c>
      <c r="N78" s="24">
        <v>76.579307710778835</v>
      </c>
      <c r="O78" s="25">
        <v>2.1427588325686528</v>
      </c>
      <c r="P78" s="26">
        <v>4.3873386132532506</v>
      </c>
      <c r="Q78" s="27"/>
      <c r="R78" s="27"/>
      <c r="S78" s="28">
        <v>1.397221937032977E-2</v>
      </c>
      <c r="U78" s="134">
        <f>C78*S78</f>
        <v>0.34045975003702877</v>
      </c>
      <c r="V78" s="134">
        <f>(1+S78)*R77*(1-U78)+S78</f>
        <v>9.0383614532118239E-2</v>
      </c>
      <c r="W78" s="134">
        <f>V78+I78/3</f>
        <v>0.19615756053318661</v>
      </c>
      <c r="X78" s="134">
        <f>V78+I78/5</f>
        <v>0.15384798213275927</v>
      </c>
      <c r="Y78" s="134">
        <f>V78-E78</f>
        <v>-0.19329172726278637</v>
      </c>
      <c r="Z78" s="110"/>
      <c r="AA78" s="110"/>
      <c r="AB78" s="110"/>
      <c r="AC78" s="134"/>
      <c r="AD78" s="134"/>
      <c r="AE78" s="134"/>
      <c r="AF78" s="134"/>
      <c r="AH78" s="28"/>
      <c r="AI78" s="67"/>
    </row>
    <row r="79" spans="1:35" s="184" customFormat="1">
      <c r="A79" s="184" t="s">
        <v>77</v>
      </c>
      <c r="B79" s="184" t="s">
        <v>34</v>
      </c>
      <c r="C79" s="188">
        <v>3.4533663799331191</v>
      </c>
      <c r="D79" s="20">
        <v>2.5572448872323021</v>
      </c>
      <c r="E79" s="30">
        <v>0.25949215753880478</v>
      </c>
      <c r="F79" s="21">
        <v>7.672171499985196</v>
      </c>
      <c r="G79" s="40">
        <v>1.221650023746911</v>
      </c>
      <c r="H79" s="22">
        <v>-1.279273475619291E-3</v>
      </c>
      <c r="I79" s="22">
        <v>0.15247958683741891</v>
      </c>
      <c r="J79" s="22">
        <v>0.38552555895770962</v>
      </c>
      <c r="K79" s="20">
        <v>3.0001708237996572</v>
      </c>
      <c r="L79" s="23">
        <v>2.5572448872323021</v>
      </c>
      <c r="M79" s="33">
        <v>0.25949215753880478</v>
      </c>
      <c r="N79" s="24">
        <v>7.672171499985196</v>
      </c>
      <c r="O79" s="25">
        <v>1.221650023746911</v>
      </c>
      <c r="P79" s="26">
        <v>3.0001708237996572</v>
      </c>
      <c r="Q79" s="27"/>
      <c r="R79" s="27"/>
      <c r="S79" s="28"/>
      <c r="V79" s="109"/>
      <c r="W79" s="112">
        <f>V77+I79/3</f>
        <v>0.15576027849079771</v>
      </c>
      <c r="X79" s="134">
        <f>V77+I79/5</f>
        <v>0.13542966691247521</v>
      </c>
      <c r="Y79" s="134">
        <f>V77-E79</f>
        <v>-0.15455840799381337</v>
      </c>
      <c r="Z79" s="110"/>
      <c r="AA79" s="110"/>
      <c r="AB79" s="110"/>
      <c r="AC79" s="134"/>
      <c r="AD79" s="134"/>
      <c r="AE79" s="134"/>
      <c r="AF79" s="134"/>
      <c r="AH79" s="28"/>
      <c r="AI79" s="67"/>
    </row>
    <row r="80" spans="1:35" s="184" customFormat="1">
      <c r="A80" s="184">
        <v>5.21</v>
      </c>
      <c r="B80" s="184" t="s">
        <v>35</v>
      </c>
      <c r="C80" s="187">
        <v>2.7841405051401549</v>
      </c>
      <c r="D80" s="20">
        <v>2.1483822889954278</v>
      </c>
      <c r="E80" s="30">
        <v>0.2283499036672082</v>
      </c>
      <c r="F80" s="21">
        <v>7.4650365900973421</v>
      </c>
      <c r="G80" s="40">
        <v>1.681271500599625</v>
      </c>
      <c r="H80" s="22">
        <v>5.3375249529256541E-2</v>
      </c>
      <c r="I80" s="22">
        <v>0.30848636677589703</v>
      </c>
      <c r="J80" s="22">
        <v>0.57774561113063361</v>
      </c>
      <c r="K80" s="20">
        <v>3.4747245070559361</v>
      </c>
      <c r="L80" s="23">
        <v>2.1483822889954278</v>
      </c>
      <c r="M80" s="33">
        <v>0.2283499036672082</v>
      </c>
      <c r="N80" s="24">
        <v>7.4650365900973421</v>
      </c>
      <c r="O80" s="25">
        <v>1.681271500599625</v>
      </c>
      <c r="P80" s="26">
        <v>3.4747245070559361</v>
      </c>
      <c r="Q80" s="27"/>
      <c r="R80" s="27"/>
      <c r="S80" s="28"/>
      <c r="V80" s="109"/>
      <c r="W80" s="134">
        <f>V78+I80/3</f>
        <v>0.19321240345741725</v>
      </c>
      <c r="X80" s="134">
        <f>V78+I80/5</f>
        <v>0.15208088788729765</v>
      </c>
      <c r="Y80" s="134">
        <f>V78-E80</f>
        <v>-0.13796628913508996</v>
      </c>
      <c r="Z80" s="110"/>
      <c r="AA80" s="110"/>
      <c r="AB80" s="110"/>
      <c r="AC80" s="134"/>
      <c r="AD80" s="134"/>
      <c r="AE80" s="134"/>
      <c r="AF80" s="134"/>
      <c r="AH80" s="28"/>
      <c r="AI80" s="67"/>
    </row>
    <row r="81" spans="1:35">
      <c r="C81" s="1"/>
      <c r="D81" s="98"/>
      <c r="K81" s="98"/>
      <c r="L81" s="103"/>
      <c r="M81" s="104"/>
      <c r="N81" s="105"/>
      <c r="P81" s="107"/>
      <c r="Q81" s="108"/>
      <c r="R81" s="108"/>
    </row>
    <row r="82" spans="1:35">
      <c r="A82" t="s">
        <v>78</v>
      </c>
      <c r="B82" t="s">
        <v>30</v>
      </c>
      <c r="C82" s="193">
        <v>57.235678996552892</v>
      </c>
      <c r="D82" s="98">
        <v>27.220752475369501</v>
      </c>
      <c r="E82" s="99">
        <v>0.52440937274442201</v>
      </c>
      <c r="F82" s="100">
        <v>138.1733604886787</v>
      </c>
      <c r="G82" s="101">
        <v>1.414112366815818</v>
      </c>
      <c r="H82" s="102">
        <v>-0.32986111512262623</v>
      </c>
      <c r="I82" s="102">
        <v>-0.13230463700520059</v>
      </c>
      <c r="J82" s="102">
        <v>8.0863350310300453E-2</v>
      </c>
      <c r="K82" s="98">
        <v>5.0760301580091811</v>
      </c>
      <c r="L82" s="103">
        <v>27.220752475369501</v>
      </c>
      <c r="M82" s="104">
        <v>0.52440937274442201</v>
      </c>
      <c r="N82" s="105">
        <v>138.1733604886787</v>
      </c>
      <c r="O82" s="106">
        <v>1.414112366815818</v>
      </c>
      <c r="P82" s="107">
        <v>5.0760301580091811</v>
      </c>
      <c r="Q82" s="108">
        <v>0.1040872879182658</v>
      </c>
      <c r="R82" s="108">
        <v>6.8524932655310192E-2</v>
      </c>
      <c r="S82" s="109">
        <v>5.2589234134767116E-3</v>
      </c>
      <c r="T82">
        <v>1949.88</v>
      </c>
      <c r="U82" s="134">
        <f>C82*S82</f>
        <v>0.30099805236120925</v>
      </c>
      <c r="V82" s="134">
        <f>(1+S82)*Q82*(1-U82)+S82</f>
        <v>7.8398765024655967E-2</v>
      </c>
      <c r="W82" s="134">
        <f>V82+I82/3</f>
        <v>3.4297219356255772E-2</v>
      </c>
      <c r="X82" s="134">
        <f>V82+I82/5</f>
        <v>5.1937837623615847E-2</v>
      </c>
      <c r="Y82" s="134">
        <f>V82-E82</f>
        <v>-0.44601060771976603</v>
      </c>
      <c r="Z82" s="110"/>
      <c r="AA82" s="110"/>
      <c r="AB82" s="110"/>
      <c r="AI82" s="67"/>
    </row>
    <row r="83" spans="1:35">
      <c r="A83" t="s">
        <v>79</v>
      </c>
      <c r="B83" t="s">
        <v>32</v>
      </c>
      <c r="C83" s="193">
        <v>58.800529622962387</v>
      </c>
      <c r="D83" s="98">
        <v>25.553319270160131</v>
      </c>
      <c r="E83" s="99">
        <v>0.56542365461651856</v>
      </c>
      <c r="F83" s="100">
        <v>145.91227344892201</v>
      </c>
      <c r="G83" s="101">
        <v>1.481478897971376</v>
      </c>
      <c r="H83" s="102">
        <v>-0.3089164477574895</v>
      </c>
      <c r="I83" s="102">
        <v>-6.8698069464788958E-2</v>
      </c>
      <c r="J83" s="102">
        <v>0.1031319317556811</v>
      </c>
      <c r="K83" s="98">
        <v>5.7101103737748424</v>
      </c>
      <c r="L83" s="103">
        <v>25.553319270160131</v>
      </c>
      <c r="M83" s="104">
        <v>0.56542365461651856</v>
      </c>
      <c r="N83" s="105">
        <v>145.91227344892201</v>
      </c>
      <c r="O83" s="106">
        <v>1.481478897971376</v>
      </c>
      <c r="P83" s="107">
        <v>5.7101103737748424</v>
      </c>
      <c r="Q83" s="108"/>
      <c r="R83" s="108"/>
      <c r="S83" s="109">
        <v>5.2035327667065137E-3</v>
      </c>
      <c r="U83" s="134">
        <f>C83*S83</f>
        <v>0.30597048259278176</v>
      </c>
      <c r="V83" s="134">
        <f>(1+S83)*R82*(1-U83)+S83</f>
        <v>5.300933001519794E-2</v>
      </c>
      <c r="W83" s="134">
        <f>V83+I83/3</f>
        <v>3.0109973526934956E-2</v>
      </c>
      <c r="X83" s="134">
        <f>V83+I83/5</f>
        <v>3.9269716122240145E-2</v>
      </c>
      <c r="Y83" s="134">
        <f>V83-E83</f>
        <v>-0.51241432460132064</v>
      </c>
      <c r="Z83" s="110"/>
      <c r="AA83" s="110"/>
      <c r="AB83" s="110"/>
      <c r="AI83" s="67"/>
    </row>
    <row r="84" spans="1:35">
      <c r="A84" t="s">
        <v>80</v>
      </c>
      <c r="B84" t="s">
        <v>34</v>
      </c>
      <c r="C84" s="193">
        <v>5.9575065989116407</v>
      </c>
      <c r="D84" s="98">
        <v>2.509690845865606</v>
      </c>
      <c r="E84" s="99">
        <v>0.57873469308047532</v>
      </c>
      <c r="F84" s="100">
        <v>15.04658790429591</v>
      </c>
      <c r="G84" s="101">
        <v>1.5256519073004</v>
      </c>
      <c r="H84" s="102">
        <v>-0.36918118630293961</v>
      </c>
      <c r="I84" s="102">
        <v>-0.20539447300980601</v>
      </c>
      <c r="J84" s="102">
        <v>4.1805083427236989E-2</v>
      </c>
      <c r="K84" s="98">
        <v>5.9953949822478059</v>
      </c>
      <c r="L84" s="103">
        <v>3.1572712445385789</v>
      </c>
      <c r="M84" s="104">
        <v>0.47003478852790997</v>
      </c>
      <c r="N84" s="105">
        <v>15.04658790429591</v>
      </c>
      <c r="O84" s="106">
        <v>1.5256519073004</v>
      </c>
      <c r="P84" s="107">
        <v>4.7656937712663634</v>
      </c>
      <c r="Q84" s="108"/>
      <c r="R84" s="108"/>
      <c r="W84" s="134">
        <f>V82+I84/3</f>
        <v>9.9339406880539632E-3</v>
      </c>
      <c r="X84" s="134">
        <f>V82+I84/5</f>
        <v>3.7319870422694766E-2</v>
      </c>
      <c r="Y84" s="134">
        <f>V82-E84</f>
        <v>-0.50033592805581939</v>
      </c>
      <c r="Z84" s="110"/>
      <c r="AA84" s="110"/>
      <c r="AB84" s="110"/>
      <c r="AI84" s="67"/>
    </row>
    <row r="85" spans="1:35">
      <c r="A85">
        <v>5.13</v>
      </c>
      <c r="B85" t="s">
        <v>35</v>
      </c>
      <c r="C85" s="191">
        <v>4.0293023325100696</v>
      </c>
      <c r="D85" s="98">
        <v>2.0484640801039209</v>
      </c>
      <c r="E85" s="99">
        <v>0.49160824602907821</v>
      </c>
      <c r="F85" s="100">
        <v>12.525966435214491</v>
      </c>
      <c r="G85" s="101">
        <v>2.1087184334989799</v>
      </c>
      <c r="H85" s="102">
        <v>-0.25186465199813562</v>
      </c>
      <c r="I85" s="102">
        <v>1.254203466696269E-2</v>
      </c>
      <c r="J85" s="102">
        <v>0.37585618268033277</v>
      </c>
      <c r="K85" s="98">
        <v>6.1148089228779803</v>
      </c>
      <c r="L85" s="103">
        <v>2.428096719071096</v>
      </c>
      <c r="M85" s="104">
        <v>0.39739028777259722</v>
      </c>
      <c r="N85" s="105">
        <v>12.525966435214491</v>
      </c>
      <c r="O85" s="106">
        <v>2.1087184334989799</v>
      </c>
      <c r="P85" s="107">
        <v>5.1587592606304744</v>
      </c>
      <c r="Q85" s="108"/>
      <c r="R85" s="108"/>
      <c r="W85" s="134">
        <f>V83+I85/3</f>
        <v>5.7190008237518838E-2</v>
      </c>
      <c r="X85" s="134">
        <f>V83+I85/5</f>
        <v>5.5517736948590482E-2</v>
      </c>
      <c r="Y85" s="134">
        <f>V83-E85</f>
        <v>-0.43859891601388029</v>
      </c>
      <c r="Z85" s="110"/>
      <c r="AA85" s="110"/>
      <c r="AB85" s="110"/>
      <c r="AI85" s="67"/>
    </row>
    <row r="86" spans="1:35">
      <c r="C86" s="1"/>
      <c r="D86" s="98"/>
      <c r="K86" s="98"/>
      <c r="L86" s="103"/>
      <c r="M86" s="104"/>
      <c r="N86" s="105"/>
      <c r="P86" s="107"/>
      <c r="Q86" s="108"/>
      <c r="R86" s="108"/>
    </row>
    <row r="87" spans="1:35">
      <c r="A87" t="s">
        <v>81</v>
      </c>
      <c r="B87" t="s">
        <v>30</v>
      </c>
      <c r="C87" s="194">
        <v>67.676124386751326</v>
      </c>
      <c r="D87" s="98">
        <v>27.428408322944431</v>
      </c>
      <c r="E87" s="99">
        <v>0.59471071117787044</v>
      </c>
      <c r="F87" s="100">
        <v>142.3028730323945</v>
      </c>
      <c r="G87" s="101">
        <v>1.10270423021228</v>
      </c>
      <c r="H87" s="102">
        <v>-0.40250749422447352</v>
      </c>
      <c r="I87" s="102">
        <v>-0.24136907566058721</v>
      </c>
      <c r="J87" s="102">
        <v>-1.585745248890635E-2</v>
      </c>
      <c r="K87" s="98">
        <v>5.188156430986016</v>
      </c>
      <c r="L87" s="103">
        <v>27.428408322944431</v>
      </c>
      <c r="M87" s="104">
        <v>0.59471071117787044</v>
      </c>
      <c r="N87" s="105">
        <v>142.3028730323945</v>
      </c>
      <c r="O87" s="106">
        <v>1.10270423021228</v>
      </c>
      <c r="P87" s="107">
        <v>5.188156430986016</v>
      </c>
      <c r="Q87" s="108">
        <v>0.10027776767786641</v>
      </c>
      <c r="R87" s="108">
        <v>5.6846720418868901E-2</v>
      </c>
      <c r="S87" s="109">
        <v>3.6099253707567529E-3</v>
      </c>
      <c r="T87">
        <v>1654.93</v>
      </c>
      <c r="U87" s="134">
        <f>C87*S87</f>
        <v>0.24430575841822341</v>
      </c>
      <c r="V87" s="134">
        <f>(1+S87)*Q87*(1-U87)+S87</f>
        <v>7.9662814695291573E-2</v>
      </c>
      <c r="W87" s="134">
        <f>V87+I87/3</f>
        <v>-7.9354385823750262E-4</v>
      </c>
      <c r="X87" s="134">
        <f>V87+I87/5</f>
        <v>3.1388999563174133E-2</v>
      </c>
      <c r="Y87" s="134">
        <f>V87-E87</f>
        <v>-0.51504789648257887</v>
      </c>
      <c r="Z87" s="110"/>
      <c r="AA87" s="110"/>
      <c r="AB87" s="110"/>
      <c r="AI87" s="67"/>
    </row>
    <row r="88" spans="1:35">
      <c r="A88" t="s">
        <v>82</v>
      </c>
      <c r="B88" t="s">
        <v>32</v>
      </c>
      <c r="C88" s="193">
        <v>77.333866956799298</v>
      </c>
      <c r="D88" s="98">
        <v>24.49127033110247</v>
      </c>
      <c r="E88" s="99">
        <v>0.68330472411545218</v>
      </c>
      <c r="F88" s="100">
        <v>132.41774221514231</v>
      </c>
      <c r="G88" s="101">
        <v>0.71228657541610185</v>
      </c>
      <c r="H88" s="102">
        <v>-0.42995524474243141</v>
      </c>
      <c r="I88" s="102">
        <v>-0.2473185172242249</v>
      </c>
      <c r="J88" s="102">
        <v>2.7093753668249398E-2</v>
      </c>
      <c r="K88" s="98">
        <v>5.4067322937912117</v>
      </c>
      <c r="L88" s="103">
        <v>24.49127033110247</v>
      </c>
      <c r="M88" s="104">
        <v>0.68330472411545218</v>
      </c>
      <c r="N88" s="105">
        <v>132.41774221514231</v>
      </c>
      <c r="O88" s="106">
        <v>0.71228657541610185</v>
      </c>
      <c r="P88" s="107">
        <v>5.4067322937912117</v>
      </c>
      <c r="Q88" s="108"/>
      <c r="R88" s="108"/>
      <c r="S88" s="109">
        <v>3.6432630620236439E-3</v>
      </c>
      <c r="U88" s="134">
        <f>C88*S88</f>
        <v>0.28174762092715772</v>
      </c>
      <c r="V88" s="134">
        <f>(1+S88)*R87*(1-U88)+S88</f>
        <v>4.4622310740688155E-2</v>
      </c>
      <c r="W88" s="134">
        <f>V88+I88/3</f>
        <v>-3.7817195000720151E-2</v>
      </c>
      <c r="X88" s="134">
        <f>V88+I88/5</f>
        <v>-4.841392704156823E-3</v>
      </c>
      <c r="Y88" s="134">
        <f>V88-E88</f>
        <v>-0.63868241337476406</v>
      </c>
      <c r="Z88" s="110"/>
      <c r="AA88" s="110"/>
      <c r="AB88" s="110"/>
      <c r="AI88" s="67"/>
    </row>
    <row r="89" spans="1:35">
      <c r="A89" t="s">
        <v>83</v>
      </c>
      <c r="B89" t="s">
        <v>34</v>
      </c>
      <c r="C89" s="193">
        <v>6.7864106785930387</v>
      </c>
      <c r="D89" s="98">
        <v>3.14732632607552</v>
      </c>
      <c r="E89" s="99">
        <v>0.53623108368560657</v>
      </c>
      <c r="F89" s="100">
        <v>16.238171368219149</v>
      </c>
      <c r="G89" s="101">
        <v>1.392748116385089</v>
      </c>
      <c r="H89" s="102">
        <v>-0.33385255212281578</v>
      </c>
      <c r="I89" s="102">
        <v>-0.19189065867124561</v>
      </c>
      <c r="J89" s="102">
        <v>6.1205845770363247E-2</v>
      </c>
      <c r="K89" s="98">
        <v>5.1593542219268143</v>
      </c>
      <c r="L89" s="103">
        <v>3.14732632607552</v>
      </c>
      <c r="M89" s="104">
        <v>0.53623108368560657</v>
      </c>
      <c r="N89" s="105">
        <v>16.238171368219149</v>
      </c>
      <c r="O89" s="106">
        <v>1.392748116385089</v>
      </c>
      <c r="P89" s="107">
        <v>5.1593542219268143</v>
      </c>
      <c r="Q89" s="108"/>
      <c r="R89" s="108"/>
      <c r="W89" s="134">
        <f>V87+I89/3</f>
        <v>1.5699261804876366E-2</v>
      </c>
      <c r="X89" s="134">
        <f>V87+I89/5</f>
        <v>4.128468296104245E-2</v>
      </c>
      <c r="Y89" s="134">
        <f>V87-E89</f>
        <v>-0.456568268990315</v>
      </c>
      <c r="Z89" s="110"/>
      <c r="AA89" s="110"/>
      <c r="AB89" s="110"/>
      <c r="AI89" s="67"/>
    </row>
    <row r="90" spans="1:35">
      <c r="A90">
        <v>3.37</v>
      </c>
      <c r="B90" t="s">
        <v>35</v>
      </c>
      <c r="C90" s="191">
        <v>4.3961767138031744</v>
      </c>
      <c r="D90" s="98">
        <v>2.60957623713522</v>
      </c>
      <c r="E90" s="99">
        <v>0.40639869436057052</v>
      </c>
      <c r="F90" s="100">
        <v>13.04346469936333</v>
      </c>
      <c r="G90" s="101">
        <v>1.967001908364896</v>
      </c>
      <c r="H90" s="102">
        <v>-0.19376703692164321</v>
      </c>
      <c r="I90" s="102">
        <v>7.0271522680768417E-2</v>
      </c>
      <c r="J90" s="102">
        <v>0.42734369779560349</v>
      </c>
      <c r="K90" s="98">
        <v>4.9983075848676419</v>
      </c>
      <c r="L90" s="103">
        <v>2.60957623713522</v>
      </c>
      <c r="M90" s="104">
        <v>0.40639869436057052</v>
      </c>
      <c r="N90" s="105">
        <v>13.04346469936333</v>
      </c>
      <c r="O90" s="106">
        <v>1.967001908364896</v>
      </c>
      <c r="P90" s="107">
        <v>4.9983075848676419</v>
      </c>
      <c r="Q90" s="108"/>
      <c r="R90" s="108"/>
      <c r="W90" s="134">
        <f>V88+I90/3</f>
        <v>6.804615163427763E-2</v>
      </c>
      <c r="X90" s="134">
        <f>V88+I90/5</f>
        <v>5.8676615276841843E-2</v>
      </c>
      <c r="Y90" s="134">
        <f>V88-E90</f>
        <v>-0.36177638361988235</v>
      </c>
      <c r="Z90" s="110"/>
      <c r="AA90" s="110"/>
      <c r="AB90" s="110"/>
      <c r="AI90" s="67"/>
    </row>
    <row r="91" spans="1:35">
      <c r="M91" s="104"/>
      <c r="N91" s="105"/>
      <c r="P91" s="107"/>
      <c r="Q91" s="108"/>
      <c r="R91" s="108"/>
    </row>
    <row r="92" spans="1:35" s="184" customFormat="1">
      <c r="A92" s="34" t="s">
        <v>84</v>
      </c>
      <c r="B92" s="184" t="s">
        <v>30</v>
      </c>
      <c r="C92" s="187">
        <v>17.805007674348889</v>
      </c>
      <c r="D92" s="20">
        <v>17.03623931364481</v>
      </c>
      <c r="E92" s="30">
        <v>4.317708673676246E-2</v>
      </c>
      <c r="F92" s="21">
        <v>36.188208734029409</v>
      </c>
      <c r="G92" s="40">
        <v>1.0324736386474349</v>
      </c>
      <c r="H92" s="22">
        <v>0.1263676366878379</v>
      </c>
      <c r="I92" s="22">
        <v>0.29170418855653862</v>
      </c>
      <c r="J92" s="22">
        <v>0.51282441558824732</v>
      </c>
      <c r="K92" s="20">
        <v>2.1241899733731282</v>
      </c>
      <c r="L92" s="23">
        <v>17.03623931364481</v>
      </c>
      <c r="M92" s="33">
        <v>4.317708673676246E-2</v>
      </c>
      <c r="N92" s="24">
        <v>36.188208734029409</v>
      </c>
      <c r="O92" s="25">
        <v>1.0324736386474349</v>
      </c>
      <c r="P92" s="26">
        <v>2.1241899733731282</v>
      </c>
      <c r="Q92" s="27">
        <v>0.16339786096155989</v>
      </c>
      <c r="R92" s="27">
        <v>0.10784382583078141</v>
      </c>
      <c r="S92" s="28">
        <v>1.8015073536267339E-2</v>
      </c>
      <c r="T92" s="184">
        <v>7560.25</v>
      </c>
      <c r="U92" s="134">
        <f>C92*S92</f>
        <v>0.32075852256719956</v>
      </c>
      <c r="V92" s="134">
        <f>(1+S92)*Q92*(1-U92)+S92</f>
        <v>0.13100110986656455</v>
      </c>
      <c r="W92" s="134">
        <f>V92+I92/3</f>
        <v>0.22823583938541075</v>
      </c>
      <c r="X92" s="134">
        <f>V92+I92/5</f>
        <v>0.18934194757787226</v>
      </c>
      <c r="Y92" s="134">
        <f>V92-E92</f>
        <v>8.7824023129802087E-2</v>
      </c>
      <c r="Z92" s="110"/>
      <c r="AA92" s="110"/>
      <c r="AB92" s="110"/>
      <c r="AC92" s="134"/>
      <c r="AD92" s="134"/>
      <c r="AE92" s="134"/>
      <c r="AF92" s="134"/>
      <c r="AH92" s="28"/>
      <c r="AI92" s="67"/>
    </row>
    <row r="93" spans="1:35" s="184" customFormat="1">
      <c r="A93" s="184" t="s">
        <v>85</v>
      </c>
      <c r="B93" s="184" t="s">
        <v>32</v>
      </c>
      <c r="C93" s="187">
        <v>27.307920614866379</v>
      </c>
      <c r="D93" s="20">
        <v>19.174839827452221</v>
      </c>
      <c r="E93" s="30">
        <v>0.29782863741688631</v>
      </c>
      <c r="F93" s="21">
        <v>54.35587377119797</v>
      </c>
      <c r="G93" s="40">
        <v>0.99048014448990096</v>
      </c>
      <c r="H93" s="22">
        <v>1.474242125560443E-2</v>
      </c>
      <c r="I93" s="22">
        <v>0.13790875777879699</v>
      </c>
      <c r="J93" s="22">
        <v>0.27368218399488059</v>
      </c>
      <c r="K93" s="20">
        <v>2.8347498211368509</v>
      </c>
      <c r="L93" s="23">
        <v>19.174839827452221</v>
      </c>
      <c r="M93" s="33">
        <v>0.29782863741688631</v>
      </c>
      <c r="N93" s="24">
        <v>54.35587377119797</v>
      </c>
      <c r="O93" s="25">
        <v>0.99048014448990096</v>
      </c>
      <c r="P93" s="26">
        <v>2.8347498211368509</v>
      </c>
      <c r="Q93" s="27"/>
      <c r="R93" s="27"/>
      <c r="S93" s="28">
        <v>1.538600821126446E-2</v>
      </c>
      <c r="U93" s="134">
        <f>C93*S93</f>
        <v>0.42015989081289212</v>
      </c>
      <c r="V93" s="112">
        <f>(1+S93)*R92*(1-U93)+S93</f>
        <v>7.8880304525619088E-2</v>
      </c>
      <c r="W93" s="112">
        <f>V93+I93/3</f>
        <v>0.12484989045188474</v>
      </c>
      <c r="X93" s="134">
        <f>V93+I93/5</f>
        <v>0.10646205608137849</v>
      </c>
      <c r="Y93" s="134">
        <f>V93-E93</f>
        <v>-0.21894833289126722</v>
      </c>
      <c r="Z93" s="110"/>
      <c r="AA93" s="110"/>
      <c r="AB93" s="110"/>
      <c r="AC93" s="134"/>
      <c r="AD93" s="134"/>
      <c r="AE93" s="134"/>
      <c r="AF93" s="134"/>
      <c r="AH93" s="28"/>
      <c r="AI93" s="67"/>
    </row>
    <row r="94" spans="1:35" s="184" customFormat="1">
      <c r="A94" s="184" t="s">
        <v>86</v>
      </c>
      <c r="B94" s="184" t="s">
        <v>34</v>
      </c>
      <c r="C94" s="188">
        <v>2.9093001683927682</v>
      </c>
      <c r="D94" s="20">
        <v>2.423359219312001</v>
      </c>
      <c r="E94" s="30">
        <v>0.1670301862833298</v>
      </c>
      <c r="F94" s="21">
        <v>4.7576043906201892</v>
      </c>
      <c r="G94" s="40">
        <v>0.63530887679029346</v>
      </c>
      <c r="H94" s="22">
        <v>-4.378326480586292E-2</v>
      </c>
      <c r="I94" s="22">
        <v>4.8288724629458768E-2</v>
      </c>
      <c r="J94" s="22">
        <v>0.16719467234864821</v>
      </c>
      <c r="K94" s="20">
        <v>1.963227058005411</v>
      </c>
      <c r="L94" s="23">
        <v>2.423359219312001</v>
      </c>
      <c r="M94" s="33">
        <v>0.1670301862833298</v>
      </c>
      <c r="N94" s="24">
        <v>4.7576043906201892</v>
      </c>
      <c r="O94" s="25">
        <v>0.63530887679029346</v>
      </c>
      <c r="P94" s="26">
        <v>1.963227058005411</v>
      </c>
      <c r="Q94" s="27"/>
      <c r="R94" s="27"/>
      <c r="S94" s="28"/>
      <c r="V94" s="109"/>
      <c r="W94" s="134">
        <f>V92+I94/3</f>
        <v>0.14709735140971747</v>
      </c>
      <c r="X94" s="134">
        <f>V92+I94/5</f>
        <v>0.14065885479245629</v>
      </c>
      <c r="Y94" s="134">
        <f>V92-E94</f>
        <v>-3.6029076416765254E-2</v>
      </c>
      <c r="Z94" s="110"/>
      <c r="AA94" s="110"/>
      <c r="AB94" s="110"/>
      <c r="AC94" s="134"/>
      <c r="AD94" s="134"/>
      <c r="AE94" s="134"/>
      <c r="AF94" s="134"/>
      <c r="AH94" s="28"/>
      <c r="AI94" s="67"/>
    </row>
    <row r="95" spans="1:35" s="184" customFormat="1">
      <c r="A95" s="184">
        <v>3.11</v>
      </c>
      <c r="B95" s="184" t="s">
        <v>35</v>
      </c>
      <c r="C95" s="187">
        <v>2.9449906345904542</v>
      </c>
      <c r="D95" s="20">
        <v>2.3202786306014911</v>
      </c>
      <c r="E95" s="30">
        <v>0.21212699173009061</v>
      </c>
      <c r="F95" s="21">
        <v>6.7690966009853044</v>
      </c>
      <c r="G95" s="40">
        <v>1.298512097620524</v>
      </c>
      <c r="H95" s="22">
        <v>5.0157962369379527E-2</v>
      </c>
      <c r="I95" s="22">
        <v>0.2374785419301888</v>
      </c>
      <c r="J95" s="22">
        <v>0.34999301516758607</v>
      </c>
      <c r="K95" s="20">
        <v>2.9173636785296502</v>
      </c>
      <c r="L95" s="23">
        <v>2.3202786306014911</v>
      </c>
      <c r="M95" s="33">
        <v>0.21212699173009061</v>
      </c>
      <c r="N95" s="24">
        <v>6.7690966009853044</v>
      </c>
      <c r="O95" s="25">
        <v>1.298512097620524</v>
      </c>
      <c r="P95" s="26">
        <v>2.9173636785296502</v>
      </c>
      <c r="Q95" s="27"/>
      <c r="R95" s="27"/>
      <c r="S95" s="28"/>
      <c r="T95" s="67">
        <f>T92/C95</f>
        <v>2567.1558718051297</v>
      </c>
      <c r="U95" s="67"/>
      <c r="V95" s="67">
        <f>T92/C93</f>
        <v>276.85191071942018</v>
      </c>
      <c r="W95" s="112">
        <f>V93+I95/3</f>
        <v>0.15803981850234869</v>
      </c>
      <c r="X95" s="134">
        <f>V93+I95/5</f>
        <v>0.12637601291165684</v>
      </c>
      <c r="Y95" s="134">
        <f>V93-E95</f>
        <v>-0.13324668720447153</v>
      </c>
      <c r="Z95" s="110"/>
      <c r="AA95" s="110"/>
      <c r="AB95" s="110"/>
      <c r="AC95" s="134"/>
      <c r="AD95" s="134"/>
      <c r="AE95" s="134"/>
      <c r="AF95" s="134"/>
      <c r="AH95" s="28"/>
      <c r="AI95" s="67"/>
    </row>
    <row r="96" spans="1:35">
      <c r="Q96" s="108"/>
      <c r="R96" s="108"/>
    </row>
    <row r="97" spans="1:35" s="184" customFormat="1">
      <c r="A97" s="184" t="s">
        <v>87</v>
      </c>
      <c r="B97" s="184" t="s">
        <v>30</v>
      </c>
      <c r="C97" s="187">
        <v>56.572247050513091</v>
      </c>
      <c r="D97" s="20">
        <v>44.824153541046982</v>
      </c>
      <c r="E97" s="30">
        <v>0.2076653150965754</v>
      </c>
      <c r="F97" s="21">
        <v>248.7878627924928</v>
      </c>
      <c r="G97" s="40">
        <v>3.3977016251511332</v>
      </c>
      <c r="H97" s="22">
        <v>7.5394774452851365E-2</v>
      </c>
      <c r="I97" s="22">
        <v>0.45198117819392181</v>
      </c>
      <c r="J97" s="22">
        <v>1.3802830768728389</v>
      </c>
      <c r="K97" s="20">
        <v>5.5503081070938558</v>
      </c>
      <c r="L97" s="23">
        <v>44.824153541046982</v>
      </c>
      <c r="M97" s="33">
        <v>0.2076653150965754</v>
      </c>
      <c r="N97" s="24">
        <v>248.7878627924928</v>
      </c>
      <c r="O97" s="25">
        <v>3.3977016251511332</v>
      </c>
      <c r="P97" s="26">
        <v>5.5503081070938558</v>
      </c>
      <c r="Q97" s="27">
        <v>4.5697341882016497E-2</v>
      </c>
      <c r="R97" s="27">
        <v>5.8333291880186267E-2</v>
      </c>
      <c r="S97" s="28">
        <v>3.646591693015708E-3</v>
      </c>
      <c r="T97" s="184">
        <v>8072.65</v>
      </c>
      <c r="U97" s="134">
        <f>C97*S97</f>
        <v>0.20629588614963343</v>
      </c>
      <c r="V97" s="134">
        <f>(1+S97)*Q97*(1-U97)+S97</f>
        <v>4.004902243102091E-2</v>
      </c>
      <c r="W97" s="134">
        <f>V97+I97/3</f>
        <v>0.19070941516232817</v>
      </c>
      <c r="X97" s="134">
        <f>V97+I97/5</f>
        <v>0.13044525806980528</v>
      </c>
      <c r="Y97" s="134">
        <f>V97-E97</f>
        <v>-0.1676162926655545</v>
      </c>
      <c r="Z97" s="110"/>
      <c r="AA97" s="110"/>
      <c r="AB97" s="110"/>
      <c r="AC97" s="134"/>
      <c r="AD97" s="134"/>
      <c r="AE97" s="134"/>
      <c r="AF97" s="134"/>
      <c r="AH97" s="28"/>
      <c r="AI97" s="67"/>
    </row>
    <row r="98" spans="1:35" s="184" customFormat="1">
      <c r="A98" s="184" t="s">
        <v>88</v>
      </c>
      <c r="B98" s="184" t="s">
        <v>32</v>
      </c>
      <c r="C98" s="187">
        <v>49.537130217527761</v>
      </c>
      <c r="D98" s="20">
        <v>42.823724225969201</v>
      </c>
      <c r="E98" s="30">
        <v>0.13552270715074949</v>
      </c>
      <c r="F98" s="21">
        <v>-774.88855052573751</v>
      </c>
      <c r="G98" s="40">
        <v>-16.642580567809279</v>
      </c>
      <c r="H98" s="22">
        <v>0.1963610163108396</v>
      </c>
      <c r="I98" s="22">
        <v>0.68920244870929537</v>
      </c>
      <c r="J98" s="22">
        <v>2.3849578817763621</v>
      </c>
      <c r="K98" s="20">
        <v>-18.094842625943979</v>
      </c>
      <c r="L98" s="23">
        <v>42.823724225969201</v>
      </c>
      <c r="M98" s="33">
        <v>0.13552270715074949</v>
      </c>
      <c r="N98" s="24">
        <v>-774.88855052573751</v>
      </c>
      <c r="O98" s="25">
        <v>-16.642580567809279</v>
      </c>
      <c r="P98" s="26">
        <v>-18.094842625943979</v>
      </c>
      <c r="Q98" s="27"/>
      <c r="R98" s="27"/>
      <c r="S98" s="28">
        <v>4.1353431883654089E-3</v>
      </c>
      <c r="U98" s="134">
        <f>C98*S98</f>
        <v>0.20485303401622368</v>
      </c>
      <c r="V98" s="134">
        <f>(1+S98)*R97*(1-U98)+S98</f>
        <v>5.0710695099157717E-2</v>
      </c>
      <c r="W98" s="134">
        <f>V98+I98/3</f>
        <v>0.28044484466892283</v>
      </c>
      <c r="X98" s="134">
        <f>V98+I98/5</f>
        <v>0.18855118484101679</v>
      </c>
      <c r="Y98" s="134">
        <f>V98-E98</f>
        <v>-8.4812012051591779E-2</v>
      </c>
      <c r="Z98" s="110"/>
      <c r="AA98" s="110"/>
      <c r="AB98" s="110"/>
      <c r="AC98" s="134"/>
      <c r="AD98" s="134"/>
      <c r="AE98" s="134"/>
      <c r="AF98" s="134"/>
      <c r="AH98" s="28"/>
      <c r="AI98" s="67"/>
    </row>
    <row r="99" spans="1:35" s="184" customFormat="1">
      <c r="A99" s="184" t="s">
        <v>89</v>
      </c>
      <c r="B99" s="184" t="s">
        <v>34</v>
      </c>
      <c r="C99" s="188">
        <v>2.5852013145011958</v>
      </c>
      <c r="D99" s="20">
        <v>2.0425068404811531</v>
      </c>
      <c r="E99" s="30">
        <v>0.2099234868000032</v>
      </c>
      <c r="F99" s="21">
        <v>9.2536167275160555</v>
      </c>
      <c r="G99" s="40">
        <v>2.5794569171884789</v>
      </c>
      <c r="H99" s="22">
        <v>-2.153740402762994E-2</v>
      </c>
      <c r="I99" s="22">
        <v>0.25248870541513441</v>
      </c>
      <c r="J99" s="22">
        <v>0.68023442721728267</v>
      </c>
      <c r="K99" s="20">
        <v>4.5305193324768398</v>
      </c>
      <c r="L99" s="23">
        <v>2.0425068404811531</v>
      </c>
      <c r="M99" s="33">
        <v>0.2099234868000032</v>
      </c>
      <c r="N99" s="24">
        <v>9.2536167275160555</v>
      </c>
      <c r="O99" s="25">
        <v>2.5794569171884789</v>
      </c>
      <c r="P99" s="26">
        <v>4.5305193324768398</v>
      </c>
      <c r="Q99" s="27"/>
      <c r="R99" s="27"/>
      <c r="S99" s="28"/>
      <c r="V99" s="109"/>
      <c r="W99" s="134">
        <f>V97+I99/3</f>
        <v>0.12421192423606572</v>
      </c>
      <c r="X99" s="134">
        <f>V97+I99/5</f>
        <v>9.0546763514047793E-2</v>
      </c>
      <c r="Y99" s="134">
        <f>V97-E99</f>
        <v>-0.16987446436898229</v>
      </c>
      <c r="Z99" s="110"/>
      <c r="AA99" s="110"/>
      <c r="AB99" s="110"/>
      <c r="AC99" s="134"/>
      <c r="AD99" s="134"/>
      <c r="AE99" s="134"/>
      <c r="AF99" s="134"/>
      <c r="AH99" s="28"/>
      <c r="AI99" s="67"/>
    </row>
    <row r="100" spans="1:35" s="184" customFormat="1">
      <c r="A100" s="184">
        <v>2.16</v>
      </c>
      <c r="B100" s="184" t="s">
        <v>35</v>
      </c>
      <c r="C100" s="187">
        <v>2.8896638758858422</v>
      </c>
      <c r="D100" s="20">
        <v>2.2233469280210629</v>
      </c>
      <c r="E100" s="30">
        <v>0.23058631608512459</v>
      </c>
      <c r="F100" s="21">
        <v>9.7701348151032708</v>
      </c>
      <c r="G100" s="40">
        <v>2.3810627238118429</v>
      </c>
      <c r="H100" s="22">
        <v>1.059946039517556E-2</v>
      </c>
      <c r="I100" s="22">
        <v>0.28005108789133648</v>
      </c>
      <c r="J100" s="22">
        <v>0.65059886105396036</v>
      </c>
      <c r="K100" s="20">
        <v>4.3943366156533141</v>
      </c>
      <c r="L100" s="23">
        <v>2.2233469280210629</v>
      </c>
      <c r="M100" s="33">
        <v>0.23058631608512459</v>
      </c>
      <c r="N100" s="24">
        <v>9.7701348151032708</v>
      </c>
      <c r="O100" s="25">
        <v>2.3810627238118429</v>
      </c>
      <c r="P100" s="26">
        <v>4.3943366156533141</v>
      </c>
      <c r="Q100" s="27"/>
      <c r="R100" s="27"/>
      <c r="S100" s="28"/>
      <c r="V100" s="109"/>
      <c r="W100" s="134">
        <f>V98+I100/3</f>
        <v>0.1440610577296032</v>
      </c>
      <c r="X100" s="134">
        <f>V98+I100/5</f>
        <v>0.10672091267742501</v>
      </c>
      <c r="Y100" s="134">
        <f>V98-E100</f>
        <v>-0.17987562098596688</v>
      </c>
      <c r="Z100" s="110"/>
      <c r="AA100" s="110"/>
      <c r="AB100" s="110"/>
      <c r="AC100" s="134"/>
      <c r="AD100" s="134"/>
      <c r="AE100" s="134"/>
      <c r="AF100" s="134"/>
      <c r="AH100" s="28"/>
      <c r="AI100" s="67"/>
    </row>
    <row r="101" spans="1:35">
      <c r="A101" s="109">
        <f>1.02/C104-1</f>
        <v>0.40774711152556264</v>
      </c>
      <c r="B101" s="109">
        <f>1.07/C104-1</f>
        <v>0.47675432287485497</v>
      </c>
      <c r="C101" s="109">
        <f>1.13/C104-1</f>
        <v>0.55956297649400555</v>
      </c>
      <c r="D101" s="109">
        <f>1.2/C104-1</f>
        <v>0.65617307238301481</v>
      </c>
      <c r="F101" s="100"/>
      <c r="K101" s="98"/>
      <c r="L101" s="103"/>
      <c r="M101" s="104"/>
      <c r="N101" s="105"/>
      <c r="P101" s="107"/>
      <c r="Q101" s="108"/>
      <c r="R101" s="108"/>
    </row>
    <row r="102" spans="1:35" s="184" customFormat="1">
      <c r="A102" s="184" t="s">
        <v>90</v>
      </c>
      <c r="B102" s="184" t="s">
        <v>30</v>
      </c>
      <c r="C102" s="188">
        <v>5.8491167182951997</v>
      </c>
      <c r="D102" s="20">
        <v>4.4631972226313348</v>
      </c>
      <c r="E102" s="30">
        <v>0.23694509144071399</v>
      </c>
      <c r="F102" s="21">
        <v>13.99648353472349</v>
      </c>
      <c r="G102" s="40">
        <v>1.3929225913622989</v>
      </c>
      <c r="H102" s="22">
        <v>-6.9172127413675843E-3</v>
      </c>
      <c r="I102" s="22">
        <v>0.114739963681632</v>
      </c>
      <c r="J102" s="22">
        <v>0.26342636477854348</v>
      </c>
      <c r="K102" s="20">
        <v>3.1359769323551618</v>
      </c>
      <c r="L102" s="23">
        <v>5.350070919289581</v>
      </c>
      <c r="M102" s="33">
        <v>8.5319856491267276E-2</v>
      </c>
      <c r="N102" s="24">
        <v>9.0846383936529342</v>
      </c>
      <c r="O102" s="25">
        <v>0.55316414959501259</v>
      </c>
      <c r="P102" s="26">
        <v>1.698040742020529</v>
      </c>
      <c r="Q102" s="27">
        <v>0.1238754482792951</v>
      </c>
      <c r="R102" s="27">
        <v>0.1213039789599424</v>
      </c>
      <c r="S102" s="28">
        <v>4.8285244364700941E-2</v>
      </c>
      <c r="T102" s="184">
        <v>5835.17</v>
      </c>
      <c r="U102" s="134">
        <f>C102*S102</f>
        <v>0.28242603006054134</v>
      </c>
      <c r="V102" s="112">
        <f>(1+S102)*Q102*(1-U102)+S102</f>
        <v>0.14146710714382604</v>
      </c>
      <c r="W102" s="112">
        <f>V102+I102/3</f>
        <v>0.17971376170437003</v>
      </c>
      <c r="X102" s="134">
        <f>V102+I102/5</f>
        <v>0.16441509988015243</v>
      </c>
      <c r="Y102" s="134">
        <f>V102-E102</f>
        <v>-9.5477984296887947E-2</v>
      </c>
      <c r="Z102" s="110">
        <v>2.2000000000000002</v>
      </c>
      <c r="AA102" s="85">
        <f>Z102*E104</f>
        <v>3.8935139217454201E-2</v>
      </c>
      <c r="AB102" s="110"/>
      <c r="AC102" s="134"/>
      <c r="AD102" s="134"/>
      <c r="AE102" s="134"/>
      <c r="AF102" s="134"/>
      <c r="AH102" s="28"/>
      <c r="AI102" s="67"/>
    </row>
    <row r="103" spans="1:35" s="184" customFormat="1">
      <c r="A103" s="184" t="s">
        <v>91</v>
      </c>
      <c r="B103" s="184" t="s">
        <v>32</v>
      </c>
      <c r="C103" s="188">
        <v>6.2833024359453429</v>
      </c>
      <c r="D103" s="20">
        <v>4.5719195833120541</v>
      </c>
      <c r="E103" s="30">
        <v>0.27236996310138722</v>
      </c>
      <c r="F103" s="21">
        <v>16.293143919559672</v>
      </c>
      <c r="G103" s="40">
        <v>1.593086053975423</v>
      </c>
      <c r="H103" s="22">
        <v>-4.7275794177880859E-2</v>
      </c>
      <c r="I103" s="22">
        <v>0.1054730391568144</v>
      </c>
      <c r="J103" s="22">
        <v>0.30171036941937429</v>
      </c>
      <c r="K103" s="20">
        <v>3.5637424549266381</v>
      </c>
      <c r="L103" s="23">
        <v>5.5655006361408477</v>
      </c>
      <c r="M103" s="33">
        <v>0.1142395749881646</v>
      </c>
      <c r="N103" s="24">
        <v>9.8264084516269357</v>
      </c>
      <c r="O103" s="25">
        <v>0.56389232442676795</v>
      </c>
      <c r="P103" s="26">
        <v>1.7655929078180159</v>
      </c>
      <c r="Q103" s="27"/>
      <c r="R103" s="27"/>
      <c r="S103" s="28">
        <v>4.0158959124061561E-2</v>
      </c>
      <c r="U103" s="134">
        <f>C103*S103</f>
        <v>0.25233088568924544</v>
      </c>
      <c r="V103" s="134">
        <f>(1+S103)*R102*(1-U103)+S103</f>
        <v>0.13449642401153644</v>
      </c>
      <c r="W103" s="134">
        <f>V103+I103/3</f>
        <v>0.16965410373047457</v>
      </c>
      <c r="X103" s="134">
        <f>V103+I103/5</f>
        <v>0.15559103184289932</v>
      </c>
      <c r="Y103" s="134">
        <f>V103-E103</f>
        <v>-0.13787353908985078</v>
      </c>
      <c r="Z103" s="110"/>
      <c r="AA103" s="134">
        <f>AA102/($AB$2)</f>
        <v>7.4875267725873454E-4</v>
      </c>
      <c r="AB103" s="110"/>
      <c r="AC103" s="134"/>
      <c r="AD103" s="134"/>
      <c r="AE103" s="134"/>
      <c r="AF103" s="134"/>
      <c r="AH103" s="28"/>
      <c r="AI103" s="67"/>
    </row>
    <row r="104" spans="1:35" s="184" customFormat="1">
      <c r="A104" s="184" t="s">
        <v>74</v>
      </c>
      <c r="B104" s="184" t="s">
        <v>34</v>
      </c>
      <c r="C104" s="187">
        <v>0.72456195551673719</v>
      </c>
      <c r="D104" s="20">
        <v>0.71173880978504855</v>
      </c>
      <c r="E104" s="30">
        <v>1.7697790553388271E-2</v>
      </c>
      <c r="F104" s="21">
        <v>2.4514826121973212</v>
      </c>
      <c r="G104" s="40">
        <v>2.3833995747803129</v>
      </c>
      <c r="H104" s="22">
        <v>0.22130084106705519</v>
      </c>
      <c r="I104" s="22">
        <v>0.42224656310261999</v>
      </c>
      <c r="J104" s="22">
        <v>0.88514721094585136</v>
      </c>
      <c r="K104" s="20">
        <v>3.4443570850628338</v>
      </c>
      <c r="L104" s="23">
        <v>0.71173880978504855</v>
      </c>
      <c r="M104" s="33">
        <v>1.7697790553388271E-2</v>
      </c>
      <c r="N104" s="24">
        <v>1.431324950837465</v>
      </c>
      <c r="O104" s="25">
        <v>0.97543486783912647</v>
      </c>
      <c r="P104" s="26">
        <v>2.0110255773037551</v>
      </c>
      <c r="Q104" s="27"/>
      <c r="R104" s="27"/>
      <c r="S104" s="28"/>
      <c r="V104" s="109"/>
      <c r="W104" s="112">
        <f>V102+I104/3</f>
        <v>0.28221596151136608</v>
      </c>
      <c r="X104" s="134">
        <f>V102+I104/5</f>
        <v>0.22591641976435003</v>
      </c>
      <c r="Y104" s="134">
        <f>V102-E104</f>
        <v>0.12376931659043777</v>
      </c>
      <c r="Z104" s="110"/>
      <c r="AA104" s="110"/>
      <c r="AB104" s="110"/>
      <c r="AC104" s="134"/>
      <c r="AD104" s="134"/>
      <c r="AE104" s="134"/>
      <c r="AF104" s="134"/>
      <c r="AH104" s="28"/>
      <c r="AI104" s="67"/>
    </row>
    <row r="105" spans="1:35" s="184" customFormat="1">
      <c r="A105" s="184">
        <v>3.13</v>
      </c>
      <c r="B105" s="184" t="s">
        <v>35</v>
      </c>
      <c r="C105" s="187">
        <v>0.76218958648886881</v>
      </c>
      <c r="D105" s="20">
        <v>0.749459243380731</v>
      </c>
      <c r="E105" s="30">
        <v>1.670233145900335E-2</v>
      </c>
      <c r="F105" s="21">
        <v>2.64946827115328</v>
      </c>
      <c r="G105" s="40">
        <v>2.4761276172224029</v>
      </c>
      <c r="H105" s="22">
        <v>0.19041613861306159</v>
      </c>
      <c r="I105" s="22">
        <v>0.35175588276181968</v>
      </c>
      <c r="J105" s="22">
        <v>0.75309289847604077</v>
      </c>
      <c r="K105" s="20">
        <v>3.53517325265322</v>
      </c>
      <c r="L105" s="23">
        <v>0.749459243380731</v>
      </c>
      <c r="M105" s="33">
        <v>1.670233145900335E-2</v>
      </c>
      <c r="N105" s="24">
        <v>1.521258747308089</v>
      </c>
      <c r="O105" s="25">
        <v>0.99590597178843177</v>
      </c>
      <c r="P105" s="26">
        <v>2.029808506258262</v>
      </c>
      <c r="Q105" s="27"/>
      <c r="R105" s="27"/>
      <c r="S105" s="28"/>
      <c r="T105" s="67">
        <f>T102/C104</f>
        <v>8053.3761889809975</v>
      </c>
      <c r="U105" s="67"/>
      <c r="V105" s="67">
        <f>T102/C102</f>
        <v>997.61558557182207</v>
      </c>
      <c r="W105" s="134">
        <f>V103+I105/3</f>
        <v>0.25174838493214302</v>
      </c>
      <c r="X105" s="134">
        <f>V103+I105/5</f>
        <v>0.20484760056390039</v>
      </c>
      <c r="Y105" s="134">
        <f>V103-E105</f>
        <v>0.11779409255253309</v>
      </c>
      <c r="Z105" s="110"/>
      <c r="AA105" s="110"/>
      <c r="AB105" s="110"/>
      <c r="AC105" s="134"/>
      <c r="AD105" s="134"/>
      <c r="AE105" s="134"/>
      <c r="AF105" s="134"/>
      <c r="AH105" s="28"/>
      <c r="AI105" s="67"/>
    </row>
    <row r="106" spans="1:35">
      <c r="C106" s="1"/>
      <c r="D106" s="98"/>
      <c r="F106" s="100"/>
      <c r="K106" s="98"/>
      <c r="L106" s="103"/>
      <c r="M106" s="104"/>
      <c r="N106" s="105"/>
      <c r="P106" s="107"/>
      <c r="Q106" s="108"/>
      <c r="R106" s="108"/>
    </row>
    <row r="107" spans="1:35" s="184" customFormat="1">
      <c r="A107" s="184" t="s">
        <v>92</v>
      </c>
      <c r="B107" s="184" t="s">
        <v>30</v>
      </c>
      <c r="C107" s="188">
        <v>35.696757856037692</v>
      </c>
      <c r="D107" s="20">
        <v>19.16838160341743</v>
      </c>
      <c r="E107" s="30">
        <v>0.46302177691536989</v>
      </c>
      <c r="F107" s="21">
        <v>121.6112449066021</v>
      </c>
      <c r="G107" s="40">
        <v>2.4067868403357808</v>
      </c>
      <c r="H107" s="22">
        <v>-0.1223547714700491</v>
      </c>
      <c r="I107" s="22">
        <v>9.9565200371230844E-2</v>
      </c>
      <c r="J107" s="22">
        <v>0.50393654140308408</v>
      </c>
      <c r="K107" s="20">
        <v>6.3443668548898611</v>
      </c>
      <c r="L107" s="23">
        <v>19.16838160341743</v>
      </c>
      <c r="M107" s="33">
        <v>0.46302177691536989</v>
      </c>
      <c r="N107" s="24">
        <v>121.6112449066021</v>
      </c>
      <c r="O107" s="25">
        <v>2.4067868403357808</v>
      </c>
      <c r="P107" s="26">
        <v>6.3443668548898611</v>
      </c>
      <c r="Q107" s="27">
        <v>7.8814630348664261E-2</v>
      </c>
      <c r="R107" s="27">
        <v>5.3712171973849927E-2</v>
      </c>
      <c r="S107" s="28">
        <v>9.2342805306205103E-3</v>
      </c>
      <c r="T107" s="184">
        <v>1321.45</v>
      </c>
      <c r="U107" s="134">
        <f>C107*S107</f>
        <v>0.32963387607628358</v>
      </c>
      <c r="V107" s="112">
        <f>(1+S107)*Q107*(1-U107)+S107</f>
        <v>6.2556828842004114E-2</v>
      </c>
      <c r="W107" s="112">
        <f>V107+I107/3</f>
        <v>9.574522896574772E-2</v>
      </c>
      <c r="X107" s="134">
        <f>V107+I107/5</f>
        <v>8.2469868916250286E-2</v>
      </c>
      <c r="Y107" s="134">
        <f>V107-E107</f>
        <v>-0.40046494807336575</v>
      </c>
      <c r="Z107" s="110"/>
      <c r="AA107" s="110"/>
      <c r="AB107" s="110"/>
      <c r="AC107" s="134"/>
      <c r="AD107" s="37"/>
      <c r="AE107" s="134"/>
      <c r="AF107" s="134"/>
      <c r="AH107" s="28"/>
      <c r="AI107" s="67"/>
    </row>
    <row r="108" spans="1:35" s="184" customFormat="1">
      <c r="A108" s="184" t="s">
        <v>93</v>
      </c>
      <c r="B108" s="184" t="s">
        <v>32</v>
      </c>
      <c r="C108" s="188">
        <v>39.665561312383069</v>
      </c>
      <c r="D108" s="20">
        <v>18.036978676437901</v>
      </c>
      <c r="E108" s="30">
        <v>0.54527358041427765</v>
      </c>
      <c r="F108" s="21">
        <v>-17.96663430299807</v>
      </c>
      <c r="G108" s="40">
        <v>-1.452952982601285</v>
      </c>
      <c r="H108" s="22">
        <v>-0.25355232190215687</v>
      </c>
      <c r="I108" s="22">
        <v>0.1268193533648021</v>
      </c>
      <c r="J108" s="22">
        <v>0.38835075091005322</v>
      </c>
      <c r="K108" s="20">
        <v>-0.99609999131774085</v>
      </c>
      <c r="L108" s="23">
        <v>18.036978676437901</v>
      </c>
      <c r="M108" s="33">
        <v>0.54527358041427765</v>
      </c>
      <c r="N108" s="24">
        <v>-17.96663430299807</v>
      </c>
      <c r="O108" s="25">
        <v>-1.452952982601285</v>
      </c>
      <c r="P108" s="26">
        <v>-0.99609999131774085</v>
      </c>
      <c r="Q108" s="27"/>
      <c r="R108" s="27"/>
      <c r="S108" s="28">
        <v>1.056242453622719E-2</v>
      </c>
      <c r="U108" s="134">
        <f>C108*S108</f>
        <v>0.41896449804913893</v>
      </c>
      <c r="V108" s="134">
        <f>(1+S108)*R107*(1-U108)+S108</f>
        <v>4.2100742654663459E-2</v>
      </c>
      <c r="W108" s="134">
        <f>V108+I108/3</f>
        <v>8.4373860442930826E-2</v>
      </c>
      <c r="X108" s="134">
        <f>V108+I108/5</f>
        <v>6.7464613327623879E-2</v>
      </c>
      <c r="Y108" s="134">
        <f>V108-E108</f>
        <v>-0.50317283775961419</v>
      </c>
      <c r="Z108" s="110"/>
      <c r="AA108" s="110"/>
      <c r="AB108" s="110"/>
      <c r="AC108" s="134"/>
      <c r="AD108" s="134"/>
      <c r="AE108" s="134"/>
      <c r="AF108" s="134"/>
      <c r="AH108" s="28"/>
      <c r="AI108" s="67"/>
    </row>
    <row r="109" spans="1:35" s="184" customFormat="1">
      <c r="A109" s="184" t="s">
        <v>94</v>
      </c>
      <c r="B109" s="184" t="s">
        <v>34</v>
      </c>
      <c r="C109" s="187">
        <v>2.8134267750693871</v>
      </c>
      <c r="D109" s="20">
        <v>2.2475961099548032</v>
      </c>
      <c r="E109" s="30">
        <v>0.20111796408869709</v>
      </c>
      <c r="F109" s="21">
        <v>10.816707265906629</v>
      </c>
      <c r="G109" s="40">
        <v>2.844673464316434</v>
      </c>
      <c r="H109" s="22">
        <v>1.9127438616274531E-2</v>
      </c>
      <c r="I109" s="22">
        <v>0.45497019803063288</v>
      </c>
      <c r="J109" s="22">
        <v>0.87850226691253752</v>
      </c>
      <c r="K109" s="20">
        <v>4.8125671769934426</v>
      </c>
      <c r="L109" s="23">
        <v>2.2475961099548032</v>
      </c>
      <c r="M109" s="33">
        <v>0.20111796408869709</v>
      </c>
      <c r="N109" s="24">
        <v>10.816707265906629</v>
      </c>
      <c r="O109" s="25">
        <v>2.844673464316434</v>
      </c>
      <c r="P109" s="26">
        <v>4.8125671769934426</v>
      </c>
      <c r="Q109" s="27"/>
      <c r="R109" s="27"/>
      <c r="S109" s="28"/>
      <c r="V109" s="109"/>
      <c r="W109" s="112">
        <f>V107+I109/3</f>
        <v>0.21421356151888174</v>
      </c>
      <c r="X109" s="134">
        <f>V107+I109/5</f>
        <v>0.15355086844813071</v>
      </c>
      <c r="Y109" s="134">
        <f>V107-E109</f>
        <v>-0.13856113524669297</v>
      </c>
      <c r="Z109" s="110"/>
      <c r="AA109" s="110"/>
      <c r="AB109" s="110"/>
      <c r="AC109" s="134"/>
      <c r="AD109" s="134"/>
      <c r="AE109" s="134"/>
      <c r="AF109" s="134"/>
      <c r="AH109" s="28"/>
      <c r="AI109" s="67"/>
    </row>
    <row r="110" spans="1:35" s="184" customFormat="1">
      <c r="A110" s="67">
        <v>4.0999999999999996</v>
      </c>
      <c r="B110" s="184" t="s">
        <v>35</v>
      </c>
      <c r="C110" s="187">
        <v>2.1305234506500081</v>
      </c>
      <c r="D110" s="20">
        <v>1.567295758368104</v>
      </c>
      <c r="E110" s="30">
        <v>0.26436117946041232</v>
      </c>
      <c r="F110" s="21">
        <v>10.19979417958062</v>
      </c>
      <c r="G110" s="40">
        <v>3.7874592398730651</v>
      </c>
      <c r="H110" s="22">
        <v>1.8187689478500468E-2</v>
      </c>
      <c r="I110" s="22">
        <v>0.77422617820901052</v>
      </c>
      <c r="J110" s="22">
        <v>1.2786407891085461</v>
      </c>
      <c r="K110" s="20">
        <v>6.5078936921266406</v>
      </c>
      <c r="L110" s="23">
        <v>1.567295758368104</v>
      </c>
      <c r="M110" s="33">
        <v>0.26436117946041232</v>
      </c>
      <c r="N110" s="24">
        <v>10.19979417958062</v>
      </c>
      <c r="O110" s="25">
        <v>3.7874592398730651</v>
      </c>
      <c r="P110" s="26">
        <v>6.5078936921266406</v>
      </c>
      <c r="Q110" s="27"/>
      <c r="R110" s="27"/>
      <c r="S110" s="28"/>
      <c r="T110" s="67">
        <f>T107/C109</f>
        <v>469.69411527243653</v>
      </c>
      <c r="U110" s="67"/>
      <c r="V110" s="67">
        <f>T107/C107</f>
        <v>37.018768072139977</v>
      </c>
      <c r="W110" s="134">
        <f>V108+I110/3</f>
        <v>0.3001761353910003</v>
      </c>
      <c r="X110" s="134">
        <f>V108+I110/5</f>
        <v>0.19694597829646557</v>
      </c>
      <c r="Y110" s="134">
        <f>V108-E110</f>
        <v>-0.22226043680574886</v>
      </c>
      <c r="Z110" s="110"/>
      <c r="AA110" s="110"/>
      <c r="AB110" s="110"/>
      <c r="AC110" s="134"/>
      <c r="AD110" s="134"/>
      <c r="AE110" s="134"/>
      <c r="AF110" s="134"/>
      <c r="AH110" s="28"/>
      <c r="AI110" s="67"/>
    </row>
    <row r="111" spans="1:35">
      <c r="Q111" s="108"/>
      <c r="R111" s="108"/>
    </row>
    <row r="112" spans="1:35">
      <c r="A112" t="s">
        <v>95</v>
      </c>
      <c r="B112" t="s">
        <v>30</v>
      </c>
      <c r="C112" s="194">
        <v>42.679766174547531</v>
      </c>
      <c r="D112" s="98">
        <v>21.667708850820262</v>
      </c>
      <c r="E112" s="99">
        <v>0.49231894190315417</v>
      </c>
      <c r="F112" s="100">
        <v>62.34215749473848</v>
      </c>
      <c r="G112" s="101">
        <v>0.46069585385678141</v>
      </c>
      <c r="H112" s="102">
        <v>-0.32017626934585708</v>
      </c>
      <c r="I112" s="102">
        <v>-0.22263411539368241</v>
      </c>
      <c r="J112" s="102">
        <v>-0.14453981478659239</v>
      </c>
      <c r="K112" s="98">
        <v>2.8771919506560302</v>
      </c>
      <c r="L112" s="103">
        <v>22.66510868394845</v>
      </c>
      <c r="M112" s="104">
        <v>0.46894955817576639</v>
      </c>
      <c r="N112" s="105">
        <v>62.34215749473848</v>
      </c>
      <c r="O112" s="106">
        <v>0.46069585385678141</v>
      </c>
      <c r="P112" s="107">
        <v>2.7505783609539689</v>
      </c>
      <c r="Q112" s="108">
        <v>0.1042940990360328</v>
      </c>
      <c r="R112" s="108">
        <v>7.3772857363408981E-2</v>
      </c>
      <c r="S112" s="109">
        <v>8.9300841003736187E-3</v>
      </c>
      <c r="T112">
        <v>11230.27</v>
      </c>
      <c r="U112" s="134">
        <f>C112*S112</f>
        <v>0.38113390132299069</v>
      </c>
      <c r="V112" s="134">
        <f>(1+S112)*Q112*(1-U112)+S112</f>
        <v>7.4050550367934495E-2</v>
      </c>
      <c r="W112" s="134">
        <f>V112+I112/3</f>
        <v>-1.6082142995964277E-4</v>
      </c>
      <c r="X112" s="134">
        <f>V112+I112/5</f>
        <v>2.9523727289198012E-2</v>
      </c>
      <c r="Y112" s="134">
        <f>V112-E112</f>
        <v>-0.41826839153521966</v>
      </c>
      <c r="Z112" s="110"/>
      <c r="AA112" s="110"/>
      <c r="AB112" s="110"/>
      <c r="AI112" s="67"/>
    </row>
    <row r="113" spans="1:35">
      <c r="A113" t="s">
        <v>96</v>
      </c>
      <c r="B113" t="s">
        <v>32</v>
      </c>
      <c r="C113" s="194">
        <v>39.20793729298785</v>
      </c>
      <c r="D113" s="98">
        <v>18.25543697943797</v>
      </c>
      <c r="E113" s="99">
        <v>0.53439435380083444</v>
      </c>
      <c r="F113" s="100">
        <v>69.175727202907794</v>
      </c>
      <c r="G113" s="101">
        <v>0.76432967350413361</v>
      </c>
      <c r="H113" s="102">
        <v>-0.22377855478205111</v>
      </c>
      <c r="I113" s="102">
        <v>-0.1362764173509029</v>
      </c>
      <c r="J113" s="102">
        <v>-2.3982175395047212E-2</v>
      </c>
      <c r="K113" s="98">
        <v>3.7893219034320542</v>
      </c>
      <c r="L113" s="103">
        <v>18.25543697943797</v>
      </c>
      <c r="M113" s="104">
        <v>0.53439435380083444</v>
      </c>
      <c r="N113" s="105">
        <v>69.175727202907794</v>
      </c>
      <c r="O113" s="106">
        <v>0.76432967350413361</v>
      </c>
      <c r="P113" s="107">
        <v>3.7893219034320542</v>
      </c>
      <c r="Q113" s="108"/>
      <c r="R113" s="108"/>
      <c r="S113" s="109">
        <v>1.030697017025003E-2</v>
      </c>
      <c r="U113" s="134">
        <f>C113*S113</f>
        <v>0.40411504011585947</v>
      </c>
      <c r="V113" s="134">
        <f>(1+S113)*R112*(1-U113)+S113</f>
        <v>5.4720202132767091E-2</v>
      </c>
      <c r="W113" s="134">
        <f>V113+I113/3</f>
        <v>9.2947296824661269E-3</v>
      </c>
      <c r="X113" s="134">
        <f>V113+I113/5</f>
        <v>2.7464918662586511E-2</v>
      </c>
      <c r="Y113" s="134">
        <f>V113-E113</f>
        <v>-0.47967415166806737</v>
      </c>
      <c r="Z113" s="110"/>
      <c r="AA113" s="110"/>
      <c r="AB113" s="110"/>
      <c r="AI113" s="67"/>
    </row>
    <row r="114" spans="1:35">
      <c r="A114" t="s">
        <v>67</v>
      </c>
      <c r="B114" t="s">
        <v>34</v>
      </c>
      <c r="C114" s="193">
        <v>4.4512477602429819</v>
      </c>
      <c r="D114" s="98">
        <v>2.9449336593563742</v>
      </c>
      <c r="E114" s="99">
        <v>0.33840266415643933</v>
      </c>
      <c r="F114" s="100">
        <v>7.7547177209651661</v>
      </c>
      <c r="G114" s="101">
        <v>0.74214470608166194</v>
      </c>
      <c r="H114" s="102">
        <v>-0.13477550972524949</v>
      </c>
      <c r="I114" s="102">
        <v>-4.5239520135274769E-2</v>
      </c>
      <c r="J114" s="102">
        <v>8.6016034568989763E-2</v>
      </c>
      <c r="K114" s="98">
        <v>2.6332402077471548</v>
      </c>
      <c r="L114" s="103">
        <v>2.9449336593563742</v>
      </c>
      <c r="M114" s="104">
        <v>0.33840266415643933</v>
      </c>
      <c r="N114" s="105">
        <v>7.7547177209651661</v>
      </c>
      <c r="O114" s="106">
        <v>0.74214470608166194</v>
      </c>
      <c r="P114" s="107">
        <v>2.6332402077471548</v>
      </c>
      <c r="Q114" s="108"/>
      <c r="R114" s="108"/>
      <c r="W114" s="134">
        <f>V112+I114/3</f>
        <v>5.8970710322842908E-2</v>
      </c>
      <c r="X114" s="134">
        <f>V112+I114/5</f>
        <v>6.5002646340879544E-2</v>
      </c>
      <c r="Y114" s="134">
        <f>V112-E114</f>
        <v>-0.26435211378850482</v>
      </c>
      <c r="Z114" s="110"/>
      <c r="AA114" s="110"/>
      <c r="AB114" s="110"/>
      <c r="AI114" s="67"/>
    </row>
    <row r="115" spans="1:35">
      <c r="A115">
        <v>3.94</v>
      </c>
      <c r="B115" t="s">
        <v>35</v>
      </c>
      <c r="C115" s="192">
        <v>2.892481565429077</v>
      </c>
      <c r="D115" s="98">
        <v>2.1802267280630612</v>
      </c>
      <c r="E115" s="99">
        <v>0.24624351832657509</v>
      </c>
      <c r="F115" s="100">
        <v>7.4332648395962986</v>
      </c>
      <c r="G115" s="101">
        <v>1.569857290860083</v>
      </c>
      <c r="H115" s="102">
        <v>8.4925956892379251E-2</v>
      </c>
      <c r="I115" s="102">
        <v>0.26101202490891828</v>
      </c>
      <c r="J115" s="102">
        <v>0.4982251934017432</v>
      </c>
      <c r="K115" s="98">
        <v>3.4093999233740688</v>
      </c>
      <c r="L115" s="103">
        <v>2.1802267280630612</v>
      </c>
      <c r="M115" s="104">
        <v>0.24624351832657509</v>
      </c>
      <c r="N115" s="105">
        <v>7.4332648395962986</v>
      </c>
      <c r="O115" s="106">
        <v>1.569857290860083</v>
      </c>
      <c r="P115" s="107">
        <v>3.4093999233740688</v>
      </c>
      <c r="Q115" s="108"/>
      <c r="R115" s="108"/>
      <c r="W115" s="134">
        <f>V113+I115/3</f>
        <v>0.14172421043573985</v>
      </c>
      <c r="X115" s="134">
        <f>V113+I115/5</f>
        <v>0.10692260711455075</v>
      </c>
      <c r="Y115" s="134">
        <f>V113-E115</f>
        <v>-0.191523316193808</v>
      </c>
      <c r="Z115" s="110"/>
      <c r="AA115" s="110"/>
      <c r="AB115" s="110"/>
      <c r="AI115" s="67"/>
    </row>
    <row r="116" spans="1:35">
      <c r="C116" s="66"/>
      <c r="D116" s="98"/>
      <c r="F116" s="100"/>
      <c r="K116" s="98"/>
      <c r="L116" s="103"/>
      <c r="M116" s="104"/>
      <c r="N116" s="105"/>
      <c r="P116" s="107"/>
      <c r="Q116" s="108"/>
      <c r="R116" s="108"/>
    </row>
    <row r="117" spans="1:35">
      <c r="A117" t="s">
        <v>97</v>
      </c>
      <c r="B117" t="s">
        <v>30</v>
      </c>
      <c r="C117" s="193">
        <v>61.533272725151292</v>
      </c>
      <c r="D117" s="98">
        <v>31.5015585100663</v>
      </c>
      <c r="E117" s="99">
        <v>0.48805650804933931</v>
      </c>
      <c r="F117" s="100">
        <v>138.36494252004749</v>
      </c>
      <c r="G117" s="101">
        <v>1.248619915571171</v>
      </c>
      <c r="H117" s="102">
        <v>-0.2495791202478187</v>
      </c>
      <c r="I117" s="102">
        <v>-2.709945357006505E-2</v>
      </c>
      <c r="J117" s="102">
        <v>6.5502350611384097E-2</v>
      </c>
      <c r="K117" s="98">
        <v>4.3923205410879307</v>
      </c>
      <c r="L117" s="103">
        <v>31.5015585100663</v>
      </c>
      <c r="M117" s="104">
        <v>0.48805650804933931</v>
      </c>
      <c r="N117" s="105">
        <v>138.36494252004749</v>
      </c>
      <c r="O117" s="106">
        <v>1.248619915571171</v>
      </c>
      <c r="P117" s="107">
        <v>4.3923205410879307</v>
      </c>
      <c r="Q117" s="108">
        <v>0.15029414488023099</v>
      </c>
      <c r="R117" s="108">
        <v>0.1143796983882206</v>
      </c>
      <c r="S117" s="109">
        <v>4.4288255687973416E-3</v>
      </c>
      <c r="T117">
        <v>10963.48</v>
      </c>
      <c r="U117" s="134">
        <f>C117*S117</f>
        <v>0.27252013157693011</v>
      </c>
      <c r="V117" s="112">
        <f>(1+S117)*Q117*(1-U117)+S117</f>
        <v>0.1142490202272651</v>
      </c>
      <c r="W117" s="112">
        <f>V117+I117/3</f>
        <v>0.10521586903724342</v>
      </c>
      <c r="X117" s="134">
        <f>V117+I117/5</f>
        <v>0.10882912951325209</v>
      </c>
      <c r="Y117" s="134">
        <f>V117-E117</f>
        <v>-0.37380748782207418</v>
      </c>
      <c r="Z117" s="110"/>
      <c r="AA117" s="110"/>
      <c r="AB117" s="110"/>
      <c r="AI117" s="67"/>
    </row>
    <row r="118" spans="1:35">
      <c r="A118" t="s">
        <v>98</v>
      </c>
      <c r="B118" t="s">
        <v>32</v>
      </c>
      <c r="C118" s="191">
        <v>44.182351251298037</v>
      </c>
      <c r="D118" s="98">
        <v>29.24042948707309</v>
      </c>
      <c r="E118" s="99">
        <v>0.33818756451504989</v>
      </c>
      <c r="F118" s="100">
        <v>141.92515593643461</v>
      </c>
      <c r="G118" s="101">
        <v>2.2122590110517262</v>
      </c>
      <c r="H118" s="102">
        <v>-0.15670752270957269</v>
      </c>
      <c r="I118" s="102">
        <v>0.3076110254651605</v>
      </c>
      <c r="J118" s="102">
        <v>0.51736853360053825</v>
      </c>
      <c r="K118" s="98">
        <v>4.8537302093725527</v>
      </c>
      <c r="L118" s="103">
        <v>29.24042948707309</v>
      </c>
      <c r="M118" s="104">
        <v>0.33818756451504989</v>
      </c>
      <c r="N118" s="105">
        <v>141.92515593643461</v>
      </c>
      <c r="O118" s="106">
        <v>2.2122590110517262</v>
      </c>
      <c r="P118" s="107">
        <v>4.8537302093725527</v>
      </c>
      <c r="Q118" s="108"/>
      <c r="R118" s="108"/>
      <c r="S118" s="109">
        <v>4.8662889888569944E-3</v>
      </c>
      <c r="U118" s="134">
        <f>C118*S118</f>
        <v>0.21500408939600368</v>
      </c>
      <c r="V118" s="134">
        <f>(1+S118)*R117*(1-U118)+S118</f>
        <v>9.5090816867001854E-2</v>
      </c>
      <c r="W118" s="134">
        <f>V118+I118/3</f>
        <v>0.1976278253553887</v>
      </c>
      <c r="X118" s="134">
        <f>V118+I118/5</f>
        <v>0.15661302196003396</v>
      </c>
      <c r="Y118" s="134">
        <f>V118-E118</f>
        <v>-0.24309674764804803</v>
      </c>
      <c r="Z118" s="110"/>
      <c r="AA118" s="110"/>
      <c r="AB118" s="110"/>
      <c r="AI118" s="67"/>
    </row>
    <row r="119" spans="1:35">
      <c r="A119" t="s">
        <v>99</v>
      </c>
      <c r="B119" t="s">
        <v>34</v>
      </c>
      <c r="C119" s="194">
        <v>9.2480906059086578</v>
      </c>
      <c r="D119" s="98">
        <v>4.2060711511053119</v>
      </c>
      <c r="E119" s="99">
        <v>0.54519572414028583</v>
      </c>
      <c r="F119" s="100">
        <v>16.282811281472501</v>
      </c>
      <c r="G119" s="101">
        <v>0.76066736100847843</v>
      </c>
      <c r="H119" s="102">
        <v>-0.43807172719760651</v>
      </c>
      <c r="I119" s="102">
        <v>-0.35726485684456871</v>
      </c>
      <c r="J119" s="102">
        <v>-0.19977483237284421</v>
      </c>
      <c r="K119" s="98">
        <v>3.8712638698928199</v>
      </c>
      <c r="L119" s="103">
        <v>4.2060711511053119</v>
      </c>
      <c r="M119" s="104">
        <v>0.54519572414028583</v>
      </c>
      <c r="N119" s="105">
        <v>16.282811281472501</v>
      </c>
      <c r="O119" s="106">
        <v>0.76066736100847843</v>
      </c>
      <c r="P119" s="107">
        <v>3.8712638698928199</v>
      </c>
      <c r="Q119" s="108"/>
      <c r="R119" s="108"/>
      <c r="W119" s="112">
        <f>V117+I119/3</f>
        <v>-4.8392653875911351E-3</v>
      </c>
      <c r="X119" s="134">
        <f>V117+I119/5</f>
        <v>4.2796048858351365E-2</v>
      </c>
      <c r="Y119" s="134">
        <f>V117-E119</f>
        <v>-0.4309467039130207</v>
      </c>
      <c r="Z119" s="110"/>
      <c r="AA119" s="110"/>
      <c r="AB119" s="110"/>
      <c r="AI119" s="67"/>
    </row>
    <row r="120" spans="1:35">
      <c r="B120" t="s">
        <v>35</v>
      </c>
      <c r="C120" s="193">
        <v>5.0535640102058892</v>
      </c>
      <c r="D120" s="98">
        <v>2.5485344966424899</v>
      </c>
      <c r="E120" s="99">
        <v>0.49569561373010912</v>
      </c>
      <c r="F120" s="100">
        <v>13.92178025474899</v>
      </c>
      <c r="G120" s="101">
        <v>1.7548439530266871</v>
      </c>
      <c r="H120" s="102">
        <v>-0.32355737769892351</v>
      </c>
      <c r="I120" s="102">
        <v>-8.1376534368119757E-2</v>
      </c>
      <c r="J120" s="102">
        <v>0.23222046831026871</v>
      </c>
      <c r="K120" s="98">
        <v>5.462661099188546</v>
      </c>
      <c r="L120" s="103">
        <v>2.5485344966424899</v>
      </c>
      <c r="M120" s="104">
        <v>0.49569561373010912</v>
      </c>
      <c r="N120" s="105">
        <v>13.92178025474899</v>
      </c>
      <c r="O120" s="106">
        <v>1.7548439530266871</v>
      </c>
      <c r="P120" s="107">
        <v>5.462661099188546</v>
      </c>
      <c r="Q120" s="108"/>
      <c r="R120" s="108"/>
      <c r="W120" s="134">
        <f>V118+I120/3</f>
        <v>6.7965305410961935E-2</v>
      </c>
      <c r="X120" s="134">
        <f>V118+I120/5</f>
        <v>7.88155099933779E-2</v>
      </c>
      <c r="Y120" s="134">
        <f>V118-E120</f>
        <v>-0.40060479686310724</v>
      </c>
      <c r="Z120" s="110"/>
      <c r="AA120" s="110"/>
      <c r="AB120" s="110"/>
      <c r="AI120" s="67"/>
    </row>
    <row r="121" spans="1:35">
      <c r="C121" s="66"/>
      <c r="D121" s="98"/>
      <c r="F121" s="100"/>
      <c r="K121" s="98"/>
      <c r="L121" s="103"/>
      <c r="M121" s="104"/>
      <c r="N121" s="105"/>
      <c r="P121" s="107"/>
      <c r="Q121" s="108"/>
      <c r="R121" s="108"/>
    </row>
    <row r="122" spans="1:35">
      <c r="A122" t="s">
        <v>100</v>
      </c>
      <c r="B122" t="s">
        <v>30</v>
      </c>
      <c r="C122" s="194">
        <v>32.720519126121673</v>
      </c>
      <c r="D122" s="98">
        <v>15.177925556585681</v>
      </c>
      <c r="E122" s="99">
        <v>0.53613432910149861</v>
      </c>
      <c r="F122" s="100">
        <v>38.630340349139637</v>
      </c>
      <c r="G122" s="101">
        <v>0.18061514245047541</v>
      </c>
      <c r="H122" s="102">
        <v>-0.41929338144372402</v>
      </c>
      <c r="I122" s="102">
        <v>-0.17610162109554939</v>
      </c>
      <c r="J122" s="102">
        <v>-4.6809923084022431E-2</v>
      </c>
      <c r="K122" s="98">
        <v>2.5451660179198869</v>
      </c>
      <c r="L122" s="103">
        <v>20.66172180045394</v>
      </c>
      <c r="M122" s="104">
        <v>0.36853930340123708</v>
      </c>
      <c r="N122" s="105">
        <v>38.630340349139637</v>
      </c>
      <c r="O122" s="106">
        <v>0.18061514245047541</v>
      </c>
      <c r="P122" s="107">
        <v>1.8696573655488351</v>
      </c>
      <c r="Q122" s="108">
        <v>0.2284399602702181</v>
      </c>
      <c r="R122" s="108">
        <v>0.13172472474114011</v>
      </c>
      <c r="S122" s="109">
        <v>1.471040992916667E-2</v>
      </c>
      <c r="T122">
        <v>19256.504799999999</v>
      </c>
      <c r="U122" s="134">
        <f>C122*S122</f>
        <v>0.48133224944038816</v>
      </c>
      <c r="V122" s="112">
        <f>(1+S122)*Q122*(1-U122)+S122</f>
        <v>0.13493780494794883</v>
      </c>
      <c r="W122" s="134">
        <f>V122+I122/3</f>
        <v>7.6237264582765696E-2</v>
      </c>
      <c r="X122" s="134">
        <f>V122+I122/5</f>
        <v>9.9717480728838945E-2</v>
      </c>
      <c r="Y122" s="134">
        <f>V122-E122</f>
        <v>-0.40119652415354978</v>
      </c>
      <c r="Z122" s="110"/>
      <c r="AA122" s="110"/>
      <c r="AB122" s="110"/>
      <c r="AI122" s="67"/>
    </row>
    <row r="123" spans="1:35">
      <c r="A123" t="s">
        <v>101</v>
      </c>
      <c r="B123" t="s">
        <v>32</v>
      </c>
      <c r="C123" s="191">
        <v>29.784157854647709</v>
      </c>
      <c r="D123" s="98">
        <v>23.915343511481069</v>
      </c>
      <c r="E123" s="99">
        <v>0.19704483073879589</v>
      </c>
      <c r="F123" s="100">
        <v>66.219637387448302</v>
      </c>
      <c r="G123" s="101">
        <v>1.2233174330666861</v>
      </c>
      <c r="H123" s="102">
        <v>-1.257104301527179E-2</v>
      </c>
      <c r="I123" s="102">
        <v>0.36963466764428482</v>
      </c>
      <c r="J123" s="102">
        <v>0.63514575841486365</v>
      </c>
      <c r="K123" s="98">
        <v>2.7689185127388258</v>
      </c>
      <c r="L123" s="103">
        <v>23.915343511481069</v>
      </c>
      <c r="M123" s="104">
        <v>0.19704483073879589</v>
      </c>
      <c r="N123" s="105">
        <v>66.219637387448302</v>
      </c>
      <c r="O123" s="106">
        <v>1.2233174330666861</v>
      </c>
      <c r="P123" s="107">
        <v>2.7689185127388258</v>
      </c>
      <c r="Q123" s="108"/>
      <c r="R123" s="108"/>
      <c r="S123" s="109">
        <v>1.5340660149908E-2</v>
      </c>
      <c r="U123" s="134">
        <f>C123*S123</f>
        <v>0.45690864349936344</v>
      </c>
      <c r="V123" s="134">
        <f>(1+S123)*R122*(1-U123)+S123</f>
        <v>8.7976668322296336E-2</v>
      </c>
      <c r="W123" s="134">
        <f>V123+I123/3</f>
        <v>0.21118822420372463</v>
      </c>
      <c r="X123" s="134">
        <f>V123+I123/5</f>
        <v>0.16190360185115329</v>
      </c>
      <c r="Y123" s="134">
        <f>V123-E123</f>
        <v>-0.10906816241649955</v>
      </c>
      <c r="Z123" s="110"/>
      <c r="AA123" s="110"/>
      <c r="AB123" s="110"/>
      <c r="AI123" s="67"/>
    </row>
    <row r="124" spans="1:35">
      <c r="A124" t="s">
        <v>102</v>
      </c>
      <c r="B124" t="s">
        <v>34</v>
      </c>
      <c r="C124" s="194">
        <v>7.4746740891921446</v>
      </c>
      <c r="D124" s="98">
        <v>3.0285502782345932</v>
      </c>
      <c r="E124" s="99">
        <v>0.5948251064733826</v>
      </c>
      <c r="F124" s="100">
        <v>7.8523900453353361</v>
      </c>
      <c r="G124" s="101">
        <v>5.0532765928797067E-2</v>
      </c>
      <c r="H124" s="102">
        <v>-0.48345463290291352</v>
      </c>
      <c r="I124" s="102">
        <v>-0.37073957157061282</v>
      </c>
      <c r="J124" s="102">
        <v>-0.15262822522151939</v>
      </c>
      <c r="K124" s="98">
        <v>2.592788404989816</v>
      </c>
      <c r="L124" s="103">
        <v>3.4899835088013198</v>
      </c>
      <c r="M124" s="104">
        <v>0.53309221684359565</v>
      </c>
      <c r="N124" s="105">
        <v>7.8523900453353361</v>
      </c>
      <c r="O124" s="106">
        <v>5.0532765928797067E-2</v>
      </c>
      <c r="P124" s="107">
        <v>2.2499791261284039</v>
      </c>
      <c r="Q124" s="108"/>
      <c r="R124" s="108"/>
      <c r="W124" s="134">
        <f>V122+I124/3</f>
        <v>1.1357947757744555E-2</v>
      </c>
      <c r="X124" s="134">
        <f>V122+I124/5</f>
        <v>6.0789890633826255E-2</v>
      </c>
      <c r="Y124" s="134">
        <f>V122-E124</f>
        <v>-0.45988730152543378</v>
      </c>
      <c r="Z124" s="110"/>
      <c r="AA124" s="110"/>
      <c r="AB124" s="110"/>
      <c r="AI124" s="67"/>
    </row>
    <row r="125" spans="1:35">
      <c r="A125">
        <v>3.82</v>
      </c>
      <c r="B125" t="s">
        <v>35</v>
      </c>
      <c r="C125" s="193">
        <v>3.9233099950501349</v>
      </c>
      <c r="D125" s="98">
        <v>2.3785929489317179</v>
      </c>
      <c r="E125" s="99">
        <v>0.39372801233328941</v>
      </c>
      <c r="F125" s="100">
        <v>6.2876415427427634</v>
      </c>
      <c r="G125" s="101">
        <v>0.60263694448707827</v>
      </c>
      <c r="H125" s="102">
        <v>-0.17495913658475301</v>
      </c>
      <c r="I125" s="102">
        <v>-6.1080298346261268E-2</v>
      </c>
      <c r="J125" s="102">
        <v>3.7092385770801213E-2</v>
      </c>
      <c r="K125" s="98">
        <v>2.6434289841675902</v>
      </c>
      <c r="L125" s="103">
        <v>2.3785929489317179</v>
      </c>
      <c r="M125" s="104">
        <v>0.39372801233328941</v>
      </c>
      <c r="N125" s="105">
        <v>6.2876415427427634</v>
      </c>
      <c r="O125" s="106">
        <v>0.60263694448707827</v>
      </c>
      <c r="P125" s="107">
        <v>2.6434289841675902</v>
      </c>
      <c r="Q125" s="108"/>
      <c r="R125" s="108"/>
      <c r="W125" s="134">
        <f>V123+I125/3</f>
        <v>6.7616568873542587E-2</v>
      </c>
      <c r="X125" s="134">
        <f>V123+I125/5</f>
        <v>7.5760608653044084E-2</v>
      </c>
      <c r="Y125" s="134">
        <f>V123-E125</f>
        <v>-0.30575134401099308</v>
      </c>
      <c r="Z125" s="110"/>
      <c r="AA125" s="110"/>
      <c r="AB125" s="110"/>
      <c r="AI125" s="67"/>
    </row>
    <row r="126" spans="1:35">
      <c r="C126" s="66"/>
      <c r="D126" s="98"/>
      <c r="F126" s="100"/>
      <c r="K126" s="98"/>
      <c r="L126" s="103"/>
      <c r="M126" s="104"/>
      <c r="N126" s="105"/>
      <c r="P126" s="107"/>
      <c r="Q126" s="108"/>
      <c r="R126" s="108"/>
    </row>
    <row r="127" spans="1:35">
      <c r="A127" t="s">
        <v>103</v>
      </c>
      <c r="B127" t="s">
        <v>30</v>
      </c>
      <c r="C127" s="192">
        <v>26.610794914140872</v>
      </c>
      <c r="D127" s="98">
        <v>17.01722848173306</v>
      </c>
      <c r="E127" s="99">
        <v>0.36051408698467058</v>
      </c>
      <c r="F127" s="100">
        <v>69.169519453440486</v>
      </c>
      <c r="G127" s="101">
        <v>1.5993030150589029</v>
      </c>
      <c r="H127" s="102">
        <v>1.9242151028481699E-2</v>
      </c>
      <c r="I127" s="102">
        <v>0.36737105971575512</v>
      </c>
      <c r="J127" s="102">
        <v>0.73194334701683084</v>
      </c>
      <c r="K127" s="98">
        <v>4.0646759563515102</v>
      </c>
      <c r="L127" s="103">
        <v>17.01722848173306</v>
      </c>
      <c r="M127" s="104">
        <v>0.36051408698467058</v>
      </c>
      <c r="N127" s="105">
        <v>69.169519453440486</v>
      </c>
      <c r="O127" s="106">
        <v>1.5993030150589029</v>
      </c>
      <c r="P127" s="107">
        <v>4.0646759563515102</v>
      </c>
      <c r="Q127" s="108">
        <v>6.0671915378128251E-2</v>
      </c>
      <c r="R127" s="108">
        <v>5.0358080850924122E-2</v>
      </c>
      <c r="S127" s="109">
        <v>1.0178255059349181E-2</v>
      </c>
      <c r="T127">
        <v>1399.19</v>
      </c>
      <c r="U127" s="134">
        <f>C127*S127</f>
        <v>0.27085145796815779</v>
      </c>
      <c r="V127" s="134">
        <f>(1+S127)*Q127*(1-U127)+S127</f>
        <v>5.4867367882800479E-2</v>
      </c>
      <c r="W127" s="134">
        <f>V127+I127/3</f>
        <v>0.17732438778805218</v>
      </c>
      <c r="X127" s="134">
        <f>V127+I127/5</f>
        <v>0.12834157982595151</v>
      </c>
      <c r="Y127" s="134">
        <f>V127-E127</f>
        <v>-0.30564671910187008</v>
      </c>
      <c r="Z127" s="110"/>
      <c r="AA127" s="110"/>
      <c r="AB127" s="110"/>
      <c r="AI127" s="67"/>
    </row>
    <row r="128" spans="1:35">
      <c r="A128" t="s">
        <v>104</v>
      </c>
      <c r="B128" t="s">
        <v>32</v>
      </c>
      <c r="C128" s="191">
        <v>31.72391262268038</v>
      </c>
      <c r="D128" s="98">
        <v>21.216556103790911</v>
      </c>
      <c r="E128" s="99">
        <v>0.3312125034469251</v>
      </c>
      <c r="F128" s="100">
        <v>77.028401674039628</v>
      </c>
      <c r="G128" s="101">
        <v>1.428086427743144</v>
      </c>
      <c r="H128" s="102">
        <v>-3.7858911464399243E-2</v>
      </c>
      <c r="I128" s="102">
        <v>0.48407347452262561</v>
      </c>
      <c r="J128" s="102">
        <v>0.73854258988731969</v>
      </c>
      <c r="K128" s="98">
        <v>3.630579878148859</v>
      </c>
      <c r="L128" s="103">
        <v>21.216556103790911</v>
      </c>
      <c r="M128" s="104">
        <v>0.3312125034469251</v>
      </c>
      <c r="N128" s="105">
        <v>77.028401674039628</v>
      </c>
      <c r="O128" s="106">
        <v>1.428086427743144</v>
      </c>
      <c r="P128" s="107">
        <v>3.630579878148859</v>
      </c>
      <c r="Q128" s="108"/>
      <c r="R128" s="108"/>
      <c r="S128" s="109">
        <v>9.7081721438065094E-3</v>
      </c>
      <c r="U128" s="134">
        <f>C128*S128</f>
        <v>0.3079812048160574</v>
      </c>
      <c r="V128" s="134">
        <f>(1+S128)*R127*(1-U128)+S128</f>
        <v>4.4895228133791439E-2</v>
      </c>
      <c r="W128" s="134">
        <f>V128+I128/3</f>
        <v>0.20625305297466665</v>
      </c>
      <c r="X128" s="134">
        <f>V128+I128/5</f>
        <v>0.14170992303831656</v>
      </c>
      <c r="Y128" s="134">
        <f>V128-E128</f>
        <v>-0.28631727531313367</v>
      </c>
      <c r="Z128" s="110"/>
      <c r="AA128" s="110"/>
      <c r="AB128" s="110"/>
      <c r="AI128" s="67"/>
    </row>
    <row r="129" spans="1:35">
      <c r="A129" t="s">
        <v>105</v>
      </c>
      <c r="B129" t="s">
        <v>34</v>
      </c>
      <c r="C129" s="192">
        <v>1.6145278971754811</v>
      </c>
      <c r="D129" s="98">
        <v>1.5140461729996619</v>
      </c>
      <c r="E129" s="99">
        <v>6.2235978920900159E-2</v>
      </c>
      <c r="F129" s="100">
        <v>6.1034116055328944</v>
      </c>
      <c r="G129" s="101">
        <v>2.7803073060616939</v>
      </c>
      <c r="H129" s="102">
        <v>9.9069142140770339E-2</v>
      </c>
      <c r="I129" s="102">
        <v>1.1646898535839709</v>
      </c>
      <c r="J129" s="102">
        <v>1.528370001964908</v>
      </c>
      <c r="K129" s="98">
        <v>4.0311925186803768</v>
      </c>
      <c r="L129" s="103">
        <v>1.5140461729996619</v>
      </c>
      <c r="M129" s="104">
        <v>6.2235978920900159E-2</v>
      </c>
      <c r="N129" s="105">
        <v>6.1034116055328944</v>
      </c>
      <c r="O129" s="106">
        <v>2.7803073060616939</v>
      </c>
      <c r="P129" s="107">
        <v>4.0311925186803768</v>
      </c>
      <c r="Q129" s="108"/>
      <c r="R129" s="108"/>
      <c r="W129" s="134">
        <f>V127+I129/3</f>
        <v>0.44309731907745747</v>
      </c>
      <c r="X129" s="134">
        <f>V127+I129/5</f>
        <v>0.28780533859959467</v>
      </c>
      <c r="Y129" s="134">
        <f>V127-E129</f>
        <v>-7.3686110380996803E-3</v>
      </c>
      <c r="Z129" s="110"/>
      <c r="AA129" s="110"/>
      <c r="AB129" s="110"/>
      <c r="AI129" s="67"/>
    </row>
    <row r="130" spans="1:35">
      <c r="A130">
        <v>2.75</v>
      </c>
      <c r="B130" t="s">
        <v>35</v>
      </c>
      <c r="C130" s="192">
        <v>1.5975553567605909</v>
      </c>
      <c r="D130" s="98">
        <v>1.4373100953290701</v>
      </c>
      <c r="E130" s="99">
        <v>0.1003065469709009</v>
      </c>
      <c r="F130" s="100">
        <v>5.9914650966604688</v>
      </c>
      <c r="G130" s="101">
        <v>2.7503959229366139</v>
      </c>
      <c r="H130" s="102">
        <v>0.1049673907900497</v>
      </c>
      <c r="I130" s="102">
        <v>1.0034587233160299</v>
      </c>
      <c r="J130" s="102">
        <v>1.420408993835238</v>
      </c>
      <c r="K130" s="98">
        <v>4.1685264134241891</v>
      </c>
      <c r="L130" s="103">
        <v>1.4373100953290701</v>
      </c>
      <c r="M130" s="104">
        <v>0.1003065469709009</v>
      </c>
      <c r="N130" s="105">
        <v>5.9914650966604688</v>
      </c>
      <c r="O130" s="106">
        <v>2.7503959229366139</v>
      </c>
      <c r="P130" s="107">
        <v>4.1685264134241891</v>
      </c>
      <c r="Q130" s="108"/>
      <c r="R130" s="108"/>
      <c r="W130" s="134">
        <f>V128+I130/3</f>
        <v>0.37938146923913474</v>
      </c>
      <c r="X130" s="134">
        <f>V128+I130/5</f>
        <v>0.24558697279699743</v>
      </c>
      <c r="Y130" s="134">
        <f>V128-E130</f>
        <v>-5.5411318837109459E-2</v>
      </c>
      <c r="Z130" s="110"/>
      <c r="AA130" s="110"/>
      <c r="AB130" s="110"/>
      <c r="AI130" s="67"/>
    </row>
    <row r="131" spans="1:35">
      <c r="C131" s="66"/>
      <c r="D131" s="98"/>
      <c r="F131" s="100"/>
      <c r="K131" s="98"/>
      <c r="L131" s="103"/>
      <c r="M131" s="104"/>
      <c r="N131" s="105"/>
      <c r="P131" s="107"/>
      <c r="Q131" s="108"/>
      <c r="R131" s="108"/>
    </row>
    <row r="132" spans="1:35">
      <c r="A132" t="s">
        <v>106</v>
      </c>
      <c r="B132" t="s">
        <v>30</v>
      </c>
      <c r="C132" s="193">
        <v>54.462163329610448</v>
      </c>
      <c r="D132" s="98">
        <v>24.724774532978739</v>
      </c>
      <c r="E132" s="99">
        <v>0.54601923571522604</v>
      </c>
      <c r="F132" s="100">
        <v>185.3678716723791</v>
      </c>
      <c r="G132" s="101">
        <v>2.4036083096904219</v>
      </c>
      <c r="H132" s="102">
        <v>-0.3381951729973306</v>
      </c>
      <c r="I132" s="102">
        <v>-0.16889468467202171</v>
      </c>
      <c r="J132" s="102">
        <v>4.1156286093271037E-2</v>
      </c>
      <c r="K132" s="98">
        <v>7.4972522570480544</v>
      </c>
      <c r="L132" s="103">
        <v>24.724774532978739</v>
      </c>
      <c r="M132" s="104">
        <v>0.54601923571522604</v>
      </c>
      <c r="N132" s="105">
        <v>100.95515073020761</v>
      </c>
      <c r="O132" s="106">
        <v>0.85367500220688841</v>
      </c>
      <c r="P132" s="107">
        <v>4.0831575873644539</v>
      </c>
      <c r="Q132" s="108">
        <v>8.0246410465486709E-2</v>
      </c>
      <c r="R132" s="108">
        <v>1.1600226326507019E-2</v>
      </c>
      <c r="S132" s="109">
        <v>6.6486167789232093E-3</v>
      </c>
      <c r="T132">
        <v>4777.72</v>
      </c>
      <c r="U132" s="134">
        <f>C132*S132</f>
        <v>0.36209805292970432</v>
      </c>
      <c r="V132" s="134">
        <f>(1+S132)*Q132*(1-U132)+S132</f>
        <v>5.8178296574934181E-2</v>
      </c>
      <c r="W132" s="134">
        <f>V132+I132/3</f>
        <v>1.8800683509269459E-3</v>
      </c>
      <c r="X132" s="134">
        <f>V132+I132/5</f>
        <v>2.439935964052984E-2</v>
      </c>
      <c r="Y132" s="134">
        <f>V132-E132</f>
        <v>-0.48784093914029186</v>
      </c>
      <c r="Z132" s="110"/>
      <c r="AA132" s="110"/>
      <c r="AB132" s="110"/>
      <c r="AI132" s="67"/>
    </row>
    <row r="133" spans="1:35">
      <c r="A133" t="s">
        <v>107</v>
      </c>
      <c r="B133" t="s">
        <v>32</v>
      </c>
      <c r="C133" s="194">
        <v>259.58254572834932</v>
      </c>
      <c r="D133" s="98">
        <v>25.805276432260751</v>
      </c>
      <c r="E133" s="99">
        <v>0.90058932367792655</v>
      </c>
      <c r="F133" s="100">
        <v>-46.7814283072112</v>
      </c>
      <c r="G133" s="101">
        <v>-1.180217927118133</v>
      </c>
      <c r="H133" s="102">
        <v>-0.84903924846316137</v>
      </c>
      <c r="I133" s="102">
        <v>-0.80154232284017835</v>
      </c>
      <c r="J133" s="102">
        <v>-0.73509752408249296</v>
      </c>
      <c r="K133" s="98">
        <v>-1.81286290150827</v>
      </c>
      <c r="L133" s="103">
        <v>25.805276432260751</v>
      </c>
      <c r="M133" s="104">
        <v>0.90058932367792655</v>
      </c>
      <c r="N133" s="105">
        <v>-46.7814283072112</v>
      </c>
      <c r="O133" s="106">
        <v>-1.180217927118133</v>
      </c>
      <c r="P133" s="107">
        <v>-1.81286290150827</v>
      </c>
      <c r="Q133" s="108"/>
      <c r="R133" s="108"/>
      <c r="S133" s="109">
        <v>7.3036851148463667E-3</v>
      </c>
      <c r="U133" s="134">
        <f>C133*S133</f>
        <v>1.8959091753100712</v>
      </c>
      <c r="V133" s="134">
        <f>(1+S133)*R132*(1-U133)+S133</f>
        <v>-3.1649694543907066E-3</v>
      </c>
      <c r="W133" s="134">
        <f>V133+I133/3</f>
        <v>-0.27034574373445014</v>
      </c>
      <c r="X133" s="134">
        <f>V133+I133/5</f>
        <v>-0.16347343402242637</v>
      </c>
      <c r="Y133" s="134">
        <f>V133-E133</f>
        <v>-0.90375429313231725</v>
      </c>
      <c r="Z133" s="110"/>
      <c r="AA133" s="110"/>
      <c r="AB133" s="110"/>
      <c r="AI133" s="67"/>
    </row>
    <row r="134" spans="1:35">
      <c r="A134" t="s">
        <v>67</v>
      </c>
      <c r="B134" t="s">
        <v>34</v>
      </c>
      <c r="C134" s="193">
        <v>4.3703931133862994</v>
      </c>
      <c r="D134" s="98">
        <v>2.2740371637836558</v>
      </c>
      <c r="E134" s="99">
        <v>0.47967217026349579</v>
      </c>
      <c r="F134" s="100">
        <v>9.5083830610505977</v>
      </c>
      <c r="G134" s="101">
        <v>1.1756356497832861</v>
      </c>
      <c r="H134" s="102">
        <v>-0.22102308767208051</v>
      </c>
      <c r="I134" s="102">
        <v>-7.86126386044943E-2</v>
      </c>
      <c r="J134" s="102">
        <v>5.1090641211843479E-2</v>
      </c>
      <c r="K134" s="98">
        <v>4.1812786582740262</v>
      </c>
      <c r="L134" s="103">
        <v>2.6646706847081312</v>
      </c>
      <c r="M134" s="104">
        <v>0.39029038908505143</v>
      </c>
      <c r="N134" s="105">
        <v>9.5083830610505977</v>
      </c>
      <c r="O134" s="106">
        <v>1.1756356497832861</v>
      </c>
      <c r="P134" s="107">
        <v>3.5683145071609772</v>
      </c>
      <c r="Q134" s="108"/>
      <c r="R134" s="108"/>
      <c r="W134" s="134">
        <f>V132+I134/3</f>
        <v>3.1974083706769414E-2</v>
      </c>
      <c r="X134" s="134">
        <f>V132+I134/5</f>
        <v>4.245576885403532E-2</v>
      </c>
      <c r="Y134" s="134">
        <f>V132-E134</f>
        <v>-0.42149387368856162</v>
      </c>
      <c r="Z134" s="110"/>
      <c r="AA134" s="110"/>
      <c r="AB134" s="110"/>
      <c r="AI134" s="67"/>
    </row>
    <row r="135" spans="1:35">
      <c r="A135">
        <v>6.72</v>
      </c>
      <c r="B135" t="s">
        <v>35</v>
      </c>
      <c r="C135" s="191">
        <v>3.011216280859708</v>
      </c>
      <c r="D135" s="98">
        <v>1.923745439133816</v>
      </c>
      <c r="E135" s="99">
        <v>0.36114006444446339</v>
      </c>
      <c r="F135" s="100">
        <v>9.1035717929322129</v>
      </c>
      <c r="G135" s="101">
        <v>2.0232208329894941</v>
      </c>
      <c r="H135" s="102">
        <v>-6.6576912267854893E-2</v>
      </c>
      <c r="I135" s="102">
        <v>0.1791077455095296</v>
      </c>
      <c r="J135" s="102">
        <v>0.47904693554352362</v>
      </c>
      <c r="K135" s="98">
        <v>4.7322122811795619</v>
      </c>
      <c r="L135" s="103">
        <v>1.975252444766938</v>
      </c>
      <c r="M135" s="104">
        <v>0.34403501424912619</v>
      </c>
      <c r="N135" s="105">
        <v>9.1035717929322129</v>
      </c>
      <c r="O135" s="106">
        <v>2.0232208329894941</v>
      </c>
      <c r="P135" s="107">
        <v>4.6088143401874646</v>
      </c>
      <c r="Q135" s="108"/>
      <c r="R135" s="108"/>
      <c r="W135" s="134">
        <f>V133+I135/3</f>
        <v>5.6537612382119157E-2</v>
      </c>
      <c r="X135" s="134">
        <f>V133+I135/5</f>
        <v>3.2656579647515213E-2</v>
      </c>
      <c r="Y135" s="134">
        <f>V133-E135</f>
        <v>-0.3643050338988541</v>
      </c>
      <c r="Z135" s="110"/>
      <c r="AA135" s="110"/>
      <c r="AB135" s="110"/>
      <c r="AI135" s="67"/>
    </row>
    <row r="136" spans="1:35">
      <c r="C136" s="66"/>
      <c r="D136" s="98"/>
      <c r="F136" s="100"/>
      <c r="K136" s="98"/>
      <c r="L136" s="103"/>
      <c r="M136" s="104"/>
      <c r="N136" s="105"/>
      <c r="P136" s="107"/>
      <c r="Q136" s="108"/>
      <c r="R136" s="108"/>
    </row>
    <row r="137" spans="1:35" s="184" customFormat="1">
      <c r="A137" s="184" t="s">
        <v>108</v>
      </c>
      <c r="B137" s="184" t="s">
        <v>30</v>
      </c>
      <c r="C137" s="189">
        <v>25.188060995836111</v>
      </c>
      <c r="D137" s="20">
        <v>14.820477881949101</v>
      </c>
      <c r="E137" s="30">
        <v>0.41160703539668658</v>
      </c>
      <c r="F137" s="21">
        <v>44.672912041706773</v>
      </c>
      <c r="G137" s="40">
        <v>0.77357487140799508</v>
      </c>
      <c r="H137" s="22">
        <v>-0.26020988674229811</v>
      </c>
      <c r="I137" s="22">
        <v>-0.1047943315721428</v>
      </c>
      <c r="J137" s="22">
        <v>7.4739754158868132E-2</v>
      </c>
      <c r="K137" s="20">
        <v>3.0142693371660481</v>
      </c>
      <c r="L137" s="23">
        <v>14.820477881949101</v>
      </c>
      <c r="M137" s="33">
        <v>0.41160703539668658</v>
      </c>
      <c r="N137" s="24">
        <v>44.672912041706773</v>
      </c>
      <c r="O137" s="25">
        <v>0.77357487140799508</v>
      </c>
      <c r="P137" s="26">
        <v>3.0142693371660481</v>
      </c>
      <c r="Q137" s="27">
        <v>7.4293891069179926E-2</v>
      </c>
      <c r="R137" s="27">
        <v>-4.8061077119785876E-3</v>
      </c>
      <c r="S137" s="28">
        <v>1.980766477685611E-2</v>
      </c>
      <c r="T137" s="184">
        <v>4151.67</v>
      </c>
      <c r="U137" s="134">
        <f>C137*S137</f>
        <v>0.49891666858452616</v>
      </c>
      <c r="V137" s="134">
        <f>(1+S137)*Q137*(1-U137)+S137</f>
        <v>5.7772483680293474E-2</v>
      </c>
      <c r="W137" s="134">
        <f>V137+I137/3</f>
        <v>2.2841039822912544E-2</v>
      </c>
      <c r="X137" s="134">
        <f>V137+I137/5</f>
        <v>3.6813617365864915E-2</v>
      </c>
      <c r="Y137" s="134">
        <f>V137-E137</f>
        <v>-0.35383455171639311</v>
      </c>
      <c r="Z137" s="110"/>
      <c r="AA137" s="110"/>
      <c r="AB137" s="110"/>
      <c r="AC137" s="134"/>
      <c r="AD137" s="134"/>
      <c r="AE137" s="134"/>
      <c r="AF137" s="134"/>
      <c r="AH137" s="28"/>
      <c r="AI137" s="67"/>
    </row>
    <row r="138" spans="1:35" s="184" customFormat="1">
      <c r="A138" s="184" t="s">
        <v>109</v>
      </c>
      <c r="B138" s="184" t="s">
        <v>32</v>
      </c>
      <c r="C138" s="187">
        <v>-343.97888837078978</v>
      </c>
      <c r="D138" s="20">
        <v>21.51306448499891</v>
      </c>
      <c r="E138" s="30">
        <v>1.0625418164088289</v>
      </c>
      <c r="F138" s="21">
        <v>-41.704524656926353</v>
      </c>
      <c r="G138" s="40">
        <v>-0.87875847597957457</v>
      </c>
      <c r="H138" s="22">
        <v>-1.077966902736091</v>
      </c>
      <c r="I138" s="22">
        <v>-1.0952806927611249</v>
      </c>
      <c r="J138" s="22">
        <v>-1.1372329894798909</v>
      </c>
      <c r="K138" s="20">
        <v>-1.938567361521506</v>
      </c>
      <c r="L138" s="23">
        <v>21.51306448499891</v>
      </c>
      <c r="M138" s="33">
        <v>1.0625418164088289</v>
      </c>
      <c r="N138" s="24">
        <v>-41.704524656926353</v>
      </c>
      <c r="O138" s="25">
        <v>-0.87875847597957457</v>
      </c>
      <c r="P138" s="26">
        <v>-1.938567361521506</v>
      </c>
      <c r="Q138" s="27"/>
      <c r="R138" s="27"/>
      <c r="S138" s="28">
        <v>1.484039134587406E-2</v>
      </c>
      <c r="U138" s="134">
        <f>C138*S138</f>
        <v>-5.1047813181412476</v>
      </c>
      <c r="V138" s="134">
        <f>(1+S138)*R137*(1-U138)+S138</f>
        <v>-1.4935265820112158E-2</v>
      </c>
      <c r="W138" s="134">
        <f>V138+I138/3</f>
        <v>-0.38002883007382049</v>
      </c>
      <c r="X138" s="134">
        <f>V138+I138/5</f>
        <v>-0.23399140437233715</v>
      </c>
      <c r="Y138" s="134">
        <f>V138-E138</f>
        <v>-1.077477082228941</v>
      </c>
      <c r="Z138" s="110"/>
      <c r="AA138" s="110"/>
      <c r="AB138" s="110"/>
      <c r="AC138" s="134"/>
      <c r="AD138" s="134"/>
      <c r="AE138" s="134"/>
      <c r="AF138" s="134"/>
      <c r="AH138" s="28"/>
      <c r="AI138" s="67"/>
    </row>
    <row r="139" spans="1:35" s="184" customFormat="1">
      <c r="A139" s="184" t="s">
        <v>55</v>
      </c>
      <c r="B139" s="184" t="s">
        <v>34</v>
      </c>
      <c r="C139" s="187">
        <v>1.8713190598685081</v>
      </c>
      <c r="D139" s="20">
        <v>1.6598724211109011</v>
      </c>
      <c r="E139" s="30">
        <v>0.1129933656382813</v>
      </c>
      <c r="F139" s="21">
        <v>5.4470463656450923</v>
      </c>
      <c r="G139" s="40">
        <v>1.9108057960077851</v>
      </c>
      <c r="H139" s="22">
        <v>9.936884401428836E-2</v>
      </c>
      <c r="I139" s="22">
        <v>0.33374745622099811</v>
      </c>
      <c r="J139" s="22">
        <v>0.60681298894240143</v>
      </c>
      <c r="K139" s="20">
        <v>3.2816054392900602</v>
      </c>
      <c r="L139" s="23">
        <v>1.6598724211109011</v>
      </c>
      <c r="M139" s="33">
        <v>0.1129933656382813</v>
      </c>
      <c r="N139" s="24">
        <v>5.4470463656450923</v>
      </c>
      <c r="O139" s="25">
        <v>1.9108057960077851</v>
      </c>
      <c r="P139" s="26">
        <v>3.2816054392900602</v>
      </c>
      <c r="Q139" s="27"/>
      <c r="R139" s="27"/>
      <c r="S139" s="28"/>
      <c r="V139" s="109"/>
      <c r="W139" s="134">
        <f>V137+I139/3</f>
        <v>0.16902163575395951</v>
      </c>
      <c r="X139" s="134">
        <f>V137+I139/5</f>
        <v>0.1245219749244931</v>
      </c>
      <c r="Y139" s="134">
        <f>V137-E139</f>
        <v>-5.5220881957987827E-2</v>
      </c>
      <c r="Z139" s="110"/>
      <c r="AA139" s="110"/>
      <c r="AB139" s="110"/>
      <c r="AC139" s="134"/>
      <c r="AD139" s="134"/>
      <c r="AE139" s="134"/>
      <c r="AF139" s="134"/>
      <c r="AH139" s="28"/>
      <c r="AI139" s="67"/>
    </row>
    <row r="140" spans="1:35" s="184" customFormat="1">
      <c r="A140" s="184">
        <v>3.48</v>
      </c>
      <c r="B140" s="184" t="s">
        <v>35</v>
      </c>
      <c r="C140" s="187">
        <v>1.653199588156675</v>
      </c>
      <c r="D140" s="20">
        <v>1.4494673827425311</v>
      </c>
      <c r="E140" s="30">
        <v>0.12323509325411</v>
      </c>
      <c r="F140" s="21">
        <v>5.981965327963513</v>
      </c>
      <c r="G140" s="40">
        <v>2.6184168994582389</v>
      </c>
      <c r="H140" s="22">
        <v>0.17167206574478919</v>
      </c>
      <c r="I140" s="22">
        <v>0.4423983130430269</v>
      </c>
      <c r="J140" s="22">
        <v>0.99051753113424956</v>
      </c>
      <c r="K140" s="20">
        <v>4.1270092719472329</v>
      </c>
      <c r="L140" s="23">
        <v>1.4494673827425311</v>
      </c>
      <c r="M140" s="33">
        <v>0.12323509325411</v>
      </c>
      <c r="N140" s="24">
        <v>5.981965327963513</v>
      </c>
      <c r="O140" s="25">
        <v>2.6184168994582389</v>
      </c>
      <c r="P140" s="26">
        <v>4.1270092719472329</v>
      </c>
      <c r="Q140" s="27"/>
      <c r="R140" s="27"/>
      <c r="S140" s="28"/>
      <c r="V140" s="109"/>
      <c r="W140" s="134">
        <f>V138+I140/3</f>
        <v>0.13253083852756348</v>
      </c>
      <c r="X140" s="134">
        <f>V138+I140/5</f>
        <v>7.3544396788493213E-2</v>
      </c>
      <c r="Y140" s="134">
        <f>V138-E140</f>
        <v>-0.13817035907422215</v>
      </c>
      <c r="Z140" s="110"/>
      <c r="AA140" s="110"/>
      <c r="AB140" s="110"/>
      <c r="AC140" s="134"/>
      <c r="AD140" s="134"/>
      <c r="AE140" s="134"/>
      <c r="AF140" s="134"/>
      <c r="AH140" s="28"/>
      <c r="AI140" s="67"/>
    </row>
    <row r="141" spans="1:35">
      <c r="C141" s="66"/>
      <c r="D141" s="98"/>
      <c r="F141" s="100"/>
      <c r="K141" s="98"/>
      <c r="L141" s="103"/>
      <c r="M141" s="104"/>
      <c r="N141" s="105"/>
      <c r="P141" s="107"/>
      <c r="Q141" s="108"/>
      <c r="R141" s="108"/>
    </row>
    <row r="142" spans="1:35">
      <c r="A142" t="s">
        <v>110</v>
      </c>
      <c r="B142" t="s">
        <v>30</v>
      </c>
      <c r="C142" s="193">
        <v>31.021952456553191</v>
      </c>
      <c r="D142" s="98">
        <v>16.56330034519187</v>
      </c>
      <c r="E142" s="99">
        <v>0.46607808233898002</v>
      </c>
      <c r="F142" s="100">
        <v>39.385752357249807</v>
      </c>
      <c r="G142" s="101">
        <v>0.2696090748127562</v>
      </c>
      <c r="H142" s="102">
        <v>-0.3390959753847711</v>
      </c>
      <c r="I142" s="102">
        <v>-0.15057040504584909</v>
      </c>
      <c r="J142" s="102">
        <v>8.3876112080951692E-3</v>
      </c>
      <c r="K142" s="98">
        <v>2.3778927832268062</v>
      </c>
      <c r="L142" s="103">
        <v>16.587811276859441</v>
      </c>
      <c r="M142" s="104">
        <v>0.46528796663939931</v>
      </c>
      <c r="N142" s="105">
        <v>39.385752357249807</v>
      </c>
      <c r="O142" s="106">
        <v>0.2696090748127562</v>
      </c>
      <c r="P142" s="107">
        <v>2.3743790967886329</v>
      </c>
      <c r="Q142" s="108">
        <v>0.26216124782180988</v>
      </c>
      <c r="R142" s="108">
        <v>0.13574202676243299</v>
      </c>
      <c r="S142" s="109">
        <v>1.4388260835895931E-2</v>
      </c>
      <c r="T142">
        <v>7698.1</v>
      </c>
      <c r="U142" s="134">
        <f>C142*S142</f>
        <v>0.44635194358364982</v>
      </c>
      <c r="V142" s="112">
        <f>(1+S142)*Q142*(1-U142)+S142</f>
        <v>0.16162171121905425</v>
      </c>
      <c r="W142" s="134">
        <f>V142+I142/3</f>
        <v>0.11143157620377123</v>
      </c>
      <c r="X142" s="134">
        <f>V142+I142/5</f>
        <v>0.13150763020988443</v>
      </c>
      <c r="Y142" s="134">
        <f>V142-E142</f>
        <v>-0.30445637111992574</v>
      </c>
      <c r="Z142" s="110"/>
      <c r="AA142" s="110"/>
      <c r="AB142" s="110"/>
      <c r="AI142" s="67"/>
    </row>
    <row r="143" spans="1:35">
      <c r="A143" t="s">
        <v>111</v>
      </c>
      <c r="B143" t="s">
        <v>32</v>
      </c>
      <c r="C143" s="192">
        <v>25.00823484077441</v>
      </c>
      <c r="D143" s="98">
        <v>19.10126991179925</v>
      </c>
      <c r="E143" s="99">
        <v>0.23620079412179101</v>
      </c>
      <c r="F143" s="100">
        <v>58.645848675340737</v>
      </c>
      <c r="G143" s="101">
        <v>1.3450614986917131</v>
      </c>
      <c r="H143" s="102">
        <v>0.12154071240984381</v>
      </c>
      <c r="I143" s="102">
        <v>0.25574211231920341</v>
      </c>
      <c r="J143" s="102">
        <v>0.4697148332476011</v>
      </c>
      <c r="K143" s="98">
        <v>3.0702591474880929</v>
      </c>
      <c r="L143" s="103">
        <v>19.10126991179925</v>
      </c>
      <c r="M143" s="104">
        <v>0.23620079412179101</v>
      </c>
      <c r="N143" s="105">
        <v>58.645848675340737</v>
      </c>
      <c r="O143" s="106">
        <v>1.3450614986917131</v>
      </c>
      <c r="P143" s="107">
        <v>3.0702591474880929</v>
      </c>
      <c r="Q143" s="108"/>
      <c r="R143" s="108"/>
      <c r="S143" s="109">
        <v>1.7133656295518149E-2</v>
      </c>
      <c r="U143" s="134">
        <f>C143*S143</f>
        <v>0.4284825003194308</v>
      </c>
      <c r="V143" s="134">
        <f>(1+S143)*R142*(1-U143)+S143</f>
        <v>9.6041810990113108E-2</v>
      </c>
      <c r="W143" s="134">
        <f>V143+I143/3</f>
        <v>0.18128918176318093</v>
      </c>
      <c r="X143" s="134">
        <f>V143+I143/5</f>
        <v>0.14719023345395379</v>
      </c>
      <c r="Y143" s="134">
        <f>V143-E143</f>
        <v>-0.14015898313167791</v>
      </c>
      <c r="Z143" s="110"/>
      <c r="AA143" s="110"/>
      <c r="AB143" s="110"/>
      <c r="AI143" s="67"/>
    </row>
    <row r="144" spans="1:35">
      <c r="A144" t="s">
        <v>112</v>
      </c>
      <c r="B144" t="s">
        <v>34</v>
      </c>
      <c r="C144" s="194">
        <v>8.1327537658788458</v>
      </c>
      <c r="D144" s="98">
        <v>3.3533559554339272</v>
      </c>
      <c r="E144" s="99">
        <v>0.58767275489109128</v>
      </c>
      <c r="F144" s="100">
        <v>9.2377956602317504</v>
      </c>
      <c r="G144" s="101">
        <v>0.13587548893821591</v>
      </c>
      <c r="H144" s="102">
        <v>-0.50600492536288799</v>
      </c>
      <c r="I144" s="102">
        <v>-0.32226769101370573</v>
      </c>
      <c r="J144" s="102">
        <v>-6.8978655878783157E-2</v>
      </c>
      <c r="K144" s="98">
        <v>2.7547912547913129</v>
      </c>
      <c r="L144" s="103">
        <v>3.3533559554339272</v>
      </c>
      <c r="M144" s="104">
        <v>0.58767275489109128</v>
      </c>
      <c r="N144" s="105">
        <v>9.2377956602317504</v>
      </c>
      <c r="O144" s="106">
        <v>0.13587548893821591</v>
      </c>
      <c r="P144" s="107">
        <v>2.7547912547913129</v>
      </c>
      <c r="Q144" s="108"/>
      <c r="R144" s="108"/>
      <c r="W144" s="134">
        <f>V142+I144/3</f>
        <v>5.4199147547819002E-2</v>
      </c>
      <c r="X144" s="134">
        <f>V142+I144/5</f>
        <v>9.71681730163131E-2</v>
      </c>
      <c r="Y144" s="134">
        <f>V142-E144</f>
        <v>-0.42605104367203706</v>
      </c>
      <c r="Z144" s="110"/>
      <c r="AA144" s="110"/>
      <c r="AB144" s="110"/>
      <c r="AI144" s="67"/>
    </row>
    <row r="145" spans="1:35">
      <c r="B145" t="s">
        <v>35</v>
      </c>
      <c r="C145" s="192">
        <v>3.394668483037611</v>
      </c>
      <c r="D145" s="98">
        <v>2.8496349731388859</v>
      </c>
      <c r="E145" s="99">
        <v>0.16055573986742261</v>
      </c>
      <c r="F145" s="100">
        <v>5.1423523256783108</v>
      </c>
      <c r="G145" s="101">
        <v>0.51483196411475252</v>
      </c>
      <c r="H145" s="102">
        <v>2.735851111970455E-2</v>
      </c>
      <c r="I145" s="102">
        <v>0.15547466073431199</v>
      </c>
      <c r="J145" s="102">
        <v>0.28508796519402457</v>
      </c>
      <c r="K145" s="98">
        <v>1.8045652773604139</v>
      </c>
      <c r="L145" s="103">
        <v>2.8496349731388859</v>
      </c>
      <c r="M145" s="104">
        <v>0.16055573986742261</v>
      </c>
      <c r="N145" s="105">
        <v>5.1423523256783108</v>
      </c>
      <c r="O145" s="106">
        <v>0.51483196411475252</v>
      </c>
      <c r="P145" s="107">
        <v>1.8045652773604139</v>
      </c>
      <c r="Q145" s="108"/>
      <c r="R145" s="108"/>
      <c r="W145" s="134">
        <f>V143+I145/3</f>
        <v>0.14786669790155044</v>
      </c>
      <c r="X145" s="134">
        <f>V143+I145/5</f>
        <v>0.12713674313697551</v>
      </c>
      <c r="Y145" s="134">
        <f>V143-E145</f>
        <v>-6.4513928877309501E-2</v>
      </c>
      <c r="Z145" s="110"/>
      <c r="AA145" s="110"/>
      <c r="AB145" s="110"/>
      <c r="AI145" s="67"/>
    </row>
    <row r="146" spans="1:35">
      <c r="C146" s="66"/>
      <c r="D146" s="98"/>
      <c r="F146" s="100"/>
      <c r="K146" s="98"/>
      <c r="L146" s="103"/>
      <c r="M146" s="104"/>
      <c r="N146" s="105"/>
      <c r="P146" s="107"/>
      <c r="Q146" s="108"/>
      <c r="R146" s="108"/>
    </row>
    <row r="147" spans="1:35">
      <c r="A147" t="s">
        <v>113</v>
      </c>
      <c r="B147" t="s">
        <v>30</v>
      </c>
      <c r="C147" s="191">
        <v>17.406919436589991</v>
      </c>
      <c r="D147" s="98">
        <v>12.99608421956319</v>
      </c>
      <c r="E147" s="99">
        <v>0.25339550936020638</v>
      </c>
      <c r="F147" s="100">
        <v>35.621500100927697</v>
      </c>
      <c r="G147" s="101">
        <v>1.046398860561736</v>
      </c>
      <c r="H147" s="102">
        <v>-5.1016275956377477E-2</v>
      </c>
      <c r="I147" s="102">
        <v>0.1090494539073741</v>
      </c>
      <c r="J147" s="102">
        <v>0.24618543455951911</v>
      </c>
      <c r="K147" s="98">
        <v>2.7409410018523999</v>
      </c>
      <c r="L147" s="103">
        <v>12.99608421956319</v>
      </c>
      <c r="M147" s="104">
        <v>0.25339550936020638</v>
      </c>
      <c r="N147" s="105">
        <v>35.621500100927697</v>
      </c>
      <c r="O147" s="106">
        <v>1.046398860561736</v>
      </c>
      <c r="P147" s="107">
        <v>2.7409410018523999</v>
      </c>
      <c r="Q147" s="108">
        <v>0.1090974854637419</v>
      </c>
      <c r="R147" s="108">
        <v>5.9123875482555863E-2</v>
      </c>
      <c r="S147" s="109">
        <v>2.3087243865271681E-2</v>
      </c>
      <c r="T147">
        <v>4408.6606000000002</v>
      </c>
      <c r="U147" s="134">
        <f>C147*S147</f>
        <v>0.40187779397569068</v>
      </c>
      <c r="V147" s="112">
        <f>(1+S147)*Q147*(1-U147)+S147</f>
        <v>8.9847398980916218E-2</v>
      </c>
      <c r="W147" s="112">
        <f>V147+I147/3</f>
        <v>0.12619721695004091</v>
      </c>
      <c r="X147" s="134">
        <f>V147+I147/5</f>
        <v>0.11165728976239103</v>
      </c>
      <c r="Y147" s="134">
        <f>V147-E147</f>
        <v>-0.16354811037929018</v>
      </c>
      <c r="Z147" s="110"/>
      <c r="AA147" s="110"/>
      <c r="AB147" s="110"/>
      <c r="AD147" s="37"/>
      <c r="AI147" s="67"/>
    </row>
    <row r="148" spans="1:35">
      <c r="A148" t="s">
        <v>114</v>
      </c>
      <c r="B148" t="s">
        <v>32</v>
      </c>
      <c r="C148" s="191">
        <v>24.60753035488219</v>
      </c>
      <c r="D148" s="98">
        <v>17.674154129416721</v>
      </c>
      <c r="E148" s="99">
        <v>0.28175831241390198</v>
      </c>
      <c r="F148" s="100">
        <v>126.2351689262364</v>
      </c>
      <c r="G148" s="101">
        <v>4.1299405956514867</v>
      </c>
      <c r="H148" s="102">
        <v>-0.13803752224027521</v>
      </c>
      <c r="I148" s="102">
        <v>7.0131212126988807E-2</v>
      </c>
      <c r="J148" s="102">
        <v>0.33257780606482212</v>
      </c>
      <c r="K148" s="98">
        <v>7.1423598550683458</v>
      </c>
      <c r="L148" s="103">
        <v>17.674154129416721</v>
      </c>
      <c r="M148" s="104">
        <v>0.28175831241390198</v>
      </c>
      <c r="N148" s="105">
        <v>126.2351689262364</v>
      </c>
      <c r="O148" s="106">
        <v>4.1299405956514867</v>
      </c>
      <c r="P148" s="107">
        <v>7.1423598550683458</v>
      </c>
      <c r="Q148" s="108"/>
      <c r="R148" s="108"/>
      <c r="S148" s="109">
        <v>1.9949679818156221E-2</v>
      </c>
      <c r="U148" s="134">
        <f>C148*S148</f>
        <v>0.49091235169545983</v>
      </c>
      <c r="V148" s="134">
        <f>(1+S148)*R147*(1-U148)+S148</f>
        <v>5.0649384641817466E-2</v>
      </c>
      <c r="W148" s="134">
        <f>V148+I148/3</f>
        <v>7.402645535081373E-2</v>
      </c>
      <c r="X148" s="134">
        <f>V148+I148/5</f>
        <v>6.4675627067215233E-2</v>
      </c>
      <c r="Y148" s="134">
        <f>V148-E148</f>
        <v>-0.23110892777208453</v>
      </c>
      <c r="Z148" s="110"/>
      <c r="AA148" s="110"/>
      <c r="AB148" s="110"/>
      <c r="AI148" s="67"/>
    </row>
    <row r="149" spans="1:35">
      <c r="A149" t="s">
        <v>67</v>
      </c>
      <c r="B149" t="s">
        <v>34</v>
      </c>
      <c r="C149" s="192">
        <v>1.899051140201903</v>
      </c>
      <c r="D149" s="98">
        <v>1.699097706201397</v>
      </c>
      <c r="E149" s="99">
        <v>0.10529123190397451</v>
      </c>
      <c r="F149" s="100">
        <v>4.8909051119501497</v>
      </c>
      <c r="G149" s="101">
        <v>1.575446763076723</v>
      </c>
      <c r="H149" s="102">
        <v>9.4356908894100311E-2</v>
      </c>
      <c r="I149" s="102">
        <v>0.33073342848433041</v>
      </c>
      <c r="J149" s="102">
        <v>0.59626189723666667</v>
      </c>
      <c r="K149" s="98">
        <v>2.8785308190925321</v>
      </c>
      <c r="L149" s="103">
        <v>1.699097706201397</v>
      </c>
      <c r="M149" s="104">
        <v>0.10529123190397451</v>
      </c>
      <c r="N149" s="105">
        <v>4.8909051119501497</v>
      </c>
      <c r="O149" s="106">
        <v>1.575446763076723</v>
      </c>
      <c r="P149" s="107">
        <v>2.8785308190925321</v>
      </c>
      <c r="Q149" s="108"/>
      <c r="R149" s="108"/>
      <c r="W149" s="112">
        <f>V147+I149/3</f>
        <v>0.20009187514235968</v>
      </c>
      <c r="X149" s="134">
        <f>V147+I149/5</f>
        <v>0.15599408467778231</v>
      </c>
      <c r="Y149" s="134">
        <f>V147-E149</f>
        <v>-1.5443832923058287E-2</v>
      </c>
      <c r="Z149" s="110"/>
      <c r="AA149" s="110"/>
      <c r="AB149" s="110"/>
      <c r="AI149" s="67"/>
    </row>
    <row r="150" spans="1:35">
      <c r="A150">
        <v>3.26</v>
      </c>
      <c r="B150" t="s">
        <v>35</v>
      </c>
      <c r="C150" s="192">
        <v>1.4548925606352681</v>
      </c>
      <c r="D150" s="98">
        <v>1.3387882440085119</v>
      </c>
      <c r="E150" s="99">
        <v>7.9802673934946999E-2</v>
      </c>
      <c r="F150" s="100">
        <v>5.2046008338503924</v>
      </c>
      <c r="G150" s="101">
        <v>2.5773094004809831</v>
      </c>
      <c r="H150" s="102">
        <v>0.29008869002822069</v>
      </c>
      <c r="I150" s="102">
        <v>0.6453325219851902</v>
      </c>
      <c r="J150" s="102">
        <v>1.077145262344896</v>
      </c>
      <c r="K150" s="98">
        <v>3.8875459634057732</v>
      </c>
      <c r="L150" s="103">
        <v>1.3387882440085119</v>
      </c>
      <c r="M150" s="104">
        <v>7.9802673934946999E-2</v>
      </c>
      <c r="N150" s="105">
        <v>5.2046008338503924</v>
      </c>
      <c r="O150" s="106">
        <v>2.5773094004809831</v>
      </c>
      <c r="P150" s="107">
        <v>3.8875459634057732</v>
      </c>
      <c r="Q150" s="108"/>
      <c r="R150" s="108"/>
      <c r="W150" s="134">
        <f>V148+I150/3</f>
        <v>0.26576022530354754</v>
      </c>
      <c r="X150" s="134">
        <f>V148+I150/5</f>
        <v>0.17971588903885549</v>
      </c>
      <c r="Y150" s="134">
        <f>V148-E150</f>
        <v>-2.9153289293129533E-2</v>
      </c>
      <c r="Z150" s="110"/>
      <c r="AA150" s="110"/>
      <c r="AB150" s="110"/>
      <c r="AI150" s="67"/>
    </row>
    <row r="151" spans="1:35">
      <c r="C151" s="66"/>
      <c r="D151" s="98"/>
      <c r="F151" s="100"/>
      <c r="K151" s="98"/>
      <c r="L151" s="103"/>
      <c r="M151" s="104"/>
      <c r="N151" s="105"/>
      <c r="P151" s="107"/>
      <c r="Q151" s="108"/>
      <c r="R151" s="108"/>
    </row>
    <row r="152" spans="1:35">
      <c r="A152" t="s">
        <v>115</v>
      </c>
      <c r="B152" t="s">
        <v>30</v>
      </c>
      <c r="C152" s="192">
        <v>7.4792840798499114</v>
      </c>
      <c r="D152" s="98">
        <v>5.6409023709508812</v>
      </c>
      <c r="E152" s="99">
        <v>0.24579648122363079</v>
      </c>
      <c r="F152" s="100">
        <v>16.990993427334431</v>
      </c>
      <c r="G152" s="101">
        <v>1.2717406166066361</v>
      </c>
      <c r="H152" s="102">
        <v>2.041526240644576E-3</v>
      </c>
      <c r="I152" s="102">
        <v>0.13093148905305729</v>
      </c>
      <c r="J152" s="102">
        <v>0.31952161111860061</v>
      </c>
      <c r="K152" s="98">
        <v>3.012105565739525</v>
      </c>
      <c r="L152" s="103">
        <v>6.9083473154707358</v>
      </c>
      <c r="M152" s="104">
        <v>7.6335750625831533E-2</v>
      </c>
      <c r="N152" s="105">
        <v>11.695157540620331</v>
      </c>
      <c r="O152" s="106">
        <v>0.56367339651244008</v>
      </c>
      <c r="P152" s="107">
        <v>1.692902369634758</v>
      </c>
      <c r="Q152" s="108">
        <v>0.12610777964452191</v>
      </c>
      <c r="R152" s="108">
        <v>0.1058298569999801</v>
      </c>
      <c r="S152" s="109">
        <v>3.8178519855651523E-2</v>
      </c>
      <c r="T152">
        <v>5643.3</v>
      </c>
      <c r="U152" s="134">
        <f>C152*S152</f>
        <v>0.28554799574860817</v>
      </c>
      <c r="V152" s="134">
        <f>(1+S152)*Q152*(1-U152)+S152</f>
        <v>0.13171628237336958</v>
      </c>
      <c r="W152" s="134">
        <f>V152+I152/3</f>
        <v>0.17536011205772201</v>
      </c>
      <c r="X152" s="134">
        <f>V152+I152/5</f>
        <v>0.15790258018398104</v>
      </c>
      <c r="Y152" s="134">
        <f>V152-E152</f>
        <v>-0.11408019885026122</v>
      </c>
      <c r="Z152" s="110"/>
      <c r="AA152" s="110"/>
      <c r="AB152" s="110"/>
      <c r="AI152" s="67"/>
    </row>
    <row r="153" spans="1:35">
      <c r="A153" t="s">
        <v>116</v>
      </c>
      <c r="B153" t="s">
        <v>32</v>
      </c>
      <c r="C153" s="192">
        <v>10.269320663512829</v>
      </c>
      <c r="D153" s="98">
        <v>9.9803075978202784</v>
      </c>
      <c r="E153" s="99">
        <v>2.8143348052166561E-2</v>
      </c>
      <c r="F153" s="100">
        <v>29.313846660441961</v>
      </c>
      <c r="G153" s="101">
        <v>1.8545068968967779</v>
      </c>
      <c r="H153" s="102">
        <v>0.19142794813075481</v>
      </c>
      <c r="I153" s="102">
        <v>0.43584846292957558</v>
      </c>
      <c r="J153" s="102">
        <v>0.70610244658623711</v>
      </c>
      <c r="K153" s="98">
        <v>2.9371686566899169</v>
      </c>
      <c r="L153" s="103">
        <v>9.9803075978202784</v>
      </c>
      <c r="M153" s="104">
        <v>2.8143348052166561E-2</v>
      </c>
      <c r="N153" s="105">
        <v>27.571188930835309</v>
      </c>
      <c r="O153" s="106">
        <v>1.684811374991579</v>
      </c>
      <c r="P153" s="107">
        <v>2.762559035440642</v>
      </c>
      <c r="Q153" s="108"/>
      <c r="R153" s="108"/>
      <c r="S153" s="109">
        <v>2.6497861312064549E-2</v>
      </c>
      <c r="U153" s="134">
        <f>C153*S153</f>
        <v>0.27211503471088166</v>
      </c>
      <c r="V153" s="134">
        <f>(1+S153)*R152*(1-U153)+S153</f>
        <v>0.10557100534112815</v>
      </c>
      <c r="W153" s="134">
        <f>V153+I153/3</f>
        <v>0.25085382631765335</v>
      </c>
      <c r="X153" s="134">
        <f>V153+I153/5</f>
        <v>0.19274069792704326</v>
      </c>
      <c r="Y153" s="134">
        <f>V153-E153</f>
        <v>7.7427657288961588E-2</v>
      </c>
      <c r="Z153" s="110"/>
      <c r="AA153" s="110"/>
      <c r="AB153" s="110"/>
      <c r="AI153" s="67"/>
    </row>
    <row r="154" spans="1:35">
      <c r="A154" t="s">
        <v>67</v>
      </c>
      <c r="B154" t="s">
        <v>34</v>
      </c>
      <c r="C154" s="192">
        <v>0.94319590864049307</v>
      </c>
      <c r="D154" s="98">
        <v>0.91992853948202113</v>
      </c>
      <c r="E154" s="99">
        <v>2.4668649371061391E-2</v>
      </c>
      <c r="F154" s="100">
        <v>2.7549957916935282</v>
      </c>
      <c r="G154" s="101">
        <v>1.920915757220081</v>
      </c>
      <c r="H154" s="102">
        <v>0.16000754745361689</v>
      </c>
      <c r="I154" s="102">
        <v>0.31893704943302842</v>
      </c>
      <c r="J154" s="102">
        <v>0.70295635447362126</v>
      </c>
      <c r="K154" s="98">
        <v>2.994793262142696</v>
      </c>
      <c r="L154" s="103">
        <v>0.91992853948202113</v>
      </c>
      <c r="M154" s="104">
        <v>2.4668649371061391E-2</v>
      </c>
      <c r="N154" s="105">
        <v>1.8844032099967509</v>
      </c>
      <c r="O154" s="106">
        <v>0.99789162859378644</v>
      </c>
      <c r="P154" s="107">
        <v>2.048423468911825</v>
      </c>
      <c r="Q154" s="108"/>
      <c r="R154" s="108"/>
      <c r="W154" s="134">
        <f>V152+I154/3</f>
        <v>0.23802863218437903</v>
      </c>
      <c r="X154" s="134">
        <f>V152+I154/5</f>
        <v>0.19550369225997527</v>
      </c>
      <c r="Y154" s="134">
        <f>V152-E154</f>
        <v>0.10704763300230818</v>
      </c>
      <c r="Z154" s="110"/>
      <c r="AA154" s="110"/>
      <c r="AB154" s="110"/>
      <c r="AI154" s="67"/>
    </row>
    <row r="155" spans="1:35">
      <c r="A155">
        <v>6.4</v>
      </c>
      <c r="B155" t="s">
        <v>35</v>
      </c>
      <c r="C155" s="192">
        <v>1.086800737306503</v>
      </c>
      <c r="D155" s="98">
        <v>0.99621242196263526</v>
      </c>
      <c r="E155" s="99">
        <v>8.3353196436339427E-2</v>
      </c>
      <c r="F155" s="100">
        <v>3.4278316477247679</v>
      </c>
      <c r="G155" s="101">
        <v>2.1540571606716168</v>
      </c>
      <c r="H155" s="102">
        <v>0.28339293790183467</v>
      </c>
      <c r="I155" s="102">
        <v>0.61256425153837002</v>
      </c>
      <c r="J155" s="102">
        <v>1.0649655085565179</v>
      </c>
      <c r="K155" s="98">
        <v>3.440864189357935</v>
      </c>
      <c r="L155" s="103">
        <v>0.99621242196263526</v>
      </c>
      <c r="M155" s="104">
        <v>8.3353196436339427E-2</v>
      </c>
      <c r="N155" s="105">
        <v>3.2298588307510241</v>
      </c>
      <c r="O155" s="106">
        <v>1.971896061421359</v>
      </c>
      <c r="P155" s="107">
        <v>3.2421386840247268</v>
      </c>
      <c r="Q155" s="108"/>
      <c r="R155" s="108"/>
      <c r="W155" s="134">
        <f>V153+I155/3</f>
        <v>0.30975908918725148</v>
      </c>
      <c r="X155" s="134">
        <f>V153+I155/5</f>
        <v>0.22808385564880215</v>
      </c>
      <c r="Y155" s="134">
        <f>V153-E155</f>
        <v>2.2217808904788722E-2</v>
      </c>
      <c r="Z155" s="110"/>
      <c r="AA155" s="110"/>
      <c r="AB155" s="110"/>
      <c r="AI155" s="67"/>
    </row>
    <row r="156" spans="1:35">
      <c r="C156" s="66"/>
      <c r="D156" s="98"/>
      <c r="F156" s="100"/>
      <c r="K156" s="98"/>
      <c r="L156" s="103"/>
      <c r="M156" s="104"/>
      <c r="N156" s="105"/>
      <c r="P156" s="107"/>
      <c r="Q156" s="108"/>
      <c r="R156" s="108"/>
    </row>
    <row r="157" spans="1:35">
      <c r="A157" t="s">
        <v>117</v>
      </c>
      <c r="B157" t="s">
        <v>30</v>
      </c>
      <c r="C157" s="192">
        <v>7.5606968771565208</v>
      </c>
      <c r="D157" s="98">
        <v>6.9925248984157493</v>
      </c>
      <c r="E157" s="99">
        <v>7.5148096527638319E-2</v>
      </c>
      <c r="F157" s="100">
        <v>-63.997446227397262</v>
      </c>
      <c r="G157" s="101">
        <v>-9.4644904123528182</v>
      </c>
      <c r="H157" s="102">
        <v>0.22942015138373309</v>
      </c>
      <c r="I157" s="102">
        <v>1.000748461178101</v>
      </c>
      <c r="J157" s="102">
        <v>6.3694623998900353</v>
      </c>
      <c r="K157" s="98">
        <v>-9.1522657633863762</v>
      </c>
      <c r="L157" s="103">
        <v>6.9925248984157493</v>
      </c>
      <c r="M157" s="104">
        <v>7.5148096527638319E-2</v>
      </c>
      <c r="N157" s="105">
        <v>-63.997446227397262</v>
      </c>
      <c r="O157" s="106">
        <v>-9.4644904123528182</v>
      </c>
      <c r="P157" s="107">
        <v>-9.1522657633863762</v>
      </c>
      <c r="Q157" s="108">
        <v>0.1138012961231645</v>
      </c>
      <c r="R157" s="108">
        <v>8.4696261079966098E-2</v>
      </c>
      <c r="S157" s="109">
        <v>6.2557135661867935E-2</v>
      </c>
      <c r="T157">
        <v>1062.42</v>
      </c>
      <c r="U157" s="134">
        <f>C157*S157</f>
        <v>0.47297554024254174</v>
      </c>
      <c r="V157" s="134">
        <f>(1+S157)*Q157*(1-U157)+S157</f>
        <v>0.12628513320620227</v>
      </c>
      <c r="W157" s="134">
        <f>V157+I157/3</f>
        <v>0.45986795359890259</v>
      </c>
      <c r="X157" s="134">
        <f>V157+I157/5</f>
        <v>0.32643482544182245</v>
      </c>
      <c r="Y157" s="134">
        <f>V157-E157</f>
        <v>5.1137036678563952E-2</v>
      </c>
      <c r="Z157" s="110"/>
      <c r="AA157" s="110"/>
      <c r="AB157" s="110"/>
      <c r="AI157" s="67"/>
    </row>
    <row r="158" spans="1:35">
      <c r="A158" t="s">
        <v>118</v>
      </c>
      <c r="B158" t="s">
        <v>32</v>
      </c>
      <c r="C158" s="194">
        <v>9.6567815841060405</v>
      </c>
      <c r="D158" s="98">
        <v>9.1537073842869976</v>
      </c>
      <c r="E158" s="99">
        <v>5.2095431116205959E-2</v>
      </c>
      <c r="F158" s="100">
        <v>-17.180297281134049</v>
      </c>
      <c r="G158" s="101">
        <v>-2.779091422074913</v>
      </c>
      <c r="H158" s="102">
        <v>0.1679029998162074</v>
      </c>
      <c r="I158" s="102">
        <v>2.3338839066375829</v>
      </c>
      <c r="J158" s="102">
        <v>-4.831733395542086</v>
      </c>
      <c r="K158" s="98">
        <v>-1.8768676515293981</v>
      </c>
      <c r="L158" s="103">
        <v>9.1537073842869976</v>
      </c>
      <c r="M158" s="104">
        <v>5.2095431116205959E-2</v>
      </c>
      <c r="N158" s="105">
        <v>-17.180297281134049</v>
      </c>
      <c r="O158" s="106">
        <v>-2.779091422074913</v>
      </c>
      <c r="P158" s="107">
        <v>-1.8768676515293981</v>
      </c>
      <c r="Q158" s="108"/>
      <c r="R158" s="108"/>
      <c r="S158" s="109">
        <v>3.6792200726867098E-2</v>
      </c>
      <c r="U158" s="134">
        <f>C158*S158</f>
        <v>0.35529424641794305</v>
      </c>
      <c r="V158" s="134">
        <f>(1+S158)*R157*(1-U158)+S158</f>
        <v>9.340537501836324E-2</v>
      </c>
      <c r="W158" s="134">
        <f>V158+I158/3</f>
        <v>0.8713666772308909</v>
      </c>
      <c r="X158" s="134">
        <f>V158+I158/5</f>
        <v>0.56018215634587987</v>
      </c>
      <c r="Y158" s="134">
        <f>V158-E158</f>
        <v>4.1309943902157281E-2</v>
      </c>
      <c r="Z158" s="110"/>
      <c r="AA158" s="110"/>
      <c r="AB158" s="110"/>
      <c r="AI158" s="67"/>
    </row>
    <row r="159" spans="1:35">
      <c r="A159" t="s">
        <v>119</v>
      </c>
      <c r="B159" t="s">
        <v>34</v>
      </c>
      <c r="C159" s="192">
        <v>0.86041710421477458</v>
      </c>
      <c r="D159" s="98">
        <v>0.8265183829700391</v>
      </c>
      <c r="E159" s="99">
        <v>3.9398009498743947E-2</v>
      </c>
      <c r="F159" s="100">
        <v>3.8980098500045171</v>
      </c>
      <c r="G159" s="101">
        <v>3.5303723402405871</v>
      </c>
      <c r="H159" s="102">
        <v>0.28735294669263539</v>
      </c>
      <c r="I159" s="102">
        <v>0.46080286166561152</v>
      </c>
      <c r="J159" s="102">
        <v>0.68213663680820402</v>
      </c>
      <c r="K159" s="98">
        <v>4.7161804629163564</v>
      </c>
      <c r="L159" s="103">
        <v>0.8265183829700391</v>
      </c>
      <c r="M159" s="104">
        <v>3.9398009498743947E-2</v>
      </c>
      <c r="N159" s="105">
        <v>3.8980098500045171</v>
      </c>
      <c r="O159" s="106">
        <v>3.5303723402405871</v>
      </c>
      <c r="P159" s="107">
        <v>4.7161804629163564</v>
      </c>
      <c r="Q159" s="108"/>
      <c r="R159" s="108"/>
      <c r="W159" s="134">
        <f>V157+I159/3</f>
        <v>0.27988608709473944</v>
      </c>
      <c r="X159" s="134">
        <f>V157+I159/5</f>
        <v>0.21844570553932458</v>
      </c>
      <c r="Y159" s="134">
        <f>V157-E159</f>
        <v>8.6887123707458325E-2</v>
      </c>
      <c r="Z159" s="110"/>
      <c r="AA159" s="110"/>
      <c r="AB159" s="110"/>
      <c r="AI159" s="67"/>
    </row>
    <row r="160" spans="1:35">
      <c r="B160" t="s">
        <v>35</v>
      </c>
      <c r="C160" s="192">
        <v>0.81789329423965385</v>
      </c>
      <c r="D160" s="98">
        <v>0.80066400230786283</v>
      </c>
      <c r="E160" s="99">
        <v>2.1065452001056029E-2</v>
      </c>
      <c r="F160" s="100">
        <v>4.2816211280838257</v>
      </c>
      <c r="G160" s="101">
        <v>4.2349385405637676</v>
      </c>
      <c r="H160" s="102">
        <v>0.28512494501116947</v>
      </c>
      <c r="I160" s="102">
        <v>0.76519429865185251</v>
      </c>
      <c r="J160" s="102">
        <v>1.024562473258249</v>
      </c>
      <c r="K160" s="98">
        <v>5.3475878967236277</v>
      </c>
      <c r="L160" s="103">
        <v>0.80066400230786283</v>
      </c>
      <c r="M160" s="104">
        <v>2.1065452001056029E-2</v>
      </c>
      <c r="N160" s="105">
        <v>4.2816211280838257</v>
      </c>
      <c r="O160" s="106">
        <v>4.2349385405637676</v>
      </c>
      <c r="P160" s="107">
        <v>5.3475878967236277</v>
      </c>
      <c r="Q160" s="108"/>
      <c r="R160" s="108"/>
      <c r="W160" s="134">
        <f>V158+I160/3</f>
        <v>0.34847014123564746</v>
      </c>
      <c r="X160" s="134">
        <f>V158+I160/5</f>
        <v>0.24644423474873375</v>
      </c>
      <c r="Y160" s="134">
        <f>V158-E160</f>
        <v>7.2339923017307212E-2</v>
      </c>
      <c r="Z160" s="110"/>
      <c r="AA160" s="110"/>
      <c r="AB160" s="110"/>
      <c r="AI160" s="67"/>
    </row>
    <row r="161" spans="1:35">
      <c r="C161" s="66"/>
      <c r="D161" s="98"/>
      <c r="F161" s="100"/>
      <c r="K161" s="98"/>
      <c r="L161" s="103"/>
      <c r="M161" s="104"/>
      <c r="N161" s="105"/>
      <c r="P161" s="107"/>
      <c r="Q161" s="108"/>
      <c r="R161" s="108"/>
    </row>
    <row r="162" spans="1:35">
      <c r="A162" t="s">
        <v>120</v>
      </c>
      <c r="B162" t="s">
        <v>30</v>
      </c>
      <c r="C162" s="193">
        <v>43.374042196463641</v>
      </c>
      <c r="D162" s="98">
        <v>24.19637426723158</v>
      </c>
      <c r="E162" s="99">
        <v>0.44214619984843478</v>
      </c>
      <c r="F162" s="100">
        <v>105.8214398935113</v>
      </c>
      <c r="G162" s="101">
        <v>1.4397412492520489</v>
      </c>
      <c r="H162" s="102">
        <v>-0.22276156987890719</v>
      </c>
      <c r="I162" s="102">
        <v>-3.0938489909555059E-2</v>
      </c>
      <c r="J162" s="102">
        <v>0.23923393363216561</v>
      </c>
      <c r="K162" s="98">
        <v>4.3734420175845141</v>
      </c>
      <c r="L162" s="103">
        <v>24.19637426723158</v>
      </c>
      <c r="M162" s="104">
        <v>0.44214619984843478</v>
      </c>
      <c r="N162" s="105">
        <v>105.8214398935113</v>
      </c>
      <c r="O162" s="106">
        <v>1.4397412492520489</v>
      </c>
      <c r="P162" s="107">
        <v>4.3734420175845141</v>
      </c>
      <c r="Q162" s="108">
        <v>0.12732680109873981</v>
      </c>
      <c r="R162" s="108">
        <v>0.1017508806098907</v>
      </c>
      <c r="S162" s="109">
        <v>6.4184242985431093E-3</v>
      </c>
      <c r="T162">
        <v>2778.13</v>
      </c>
      <c r="U162" s="134">
        <f>C162*S162</f>
        <v>0.2783930063598164</v>
      </c>
      <c r="V162" s="134">
        <f>(1+S162)*Q162*(1-U162)+S162</f>
        <v>9.8888058697085474E-2</v>
      </c>
      <c r="W162" s="134">
        <f>V162+I162/3</f>
        <v>8.8575228727233793E-2</v>
      </c>
      <c r="X162" s="134">
        <f>V162+I162/5</f>
        <v>9.2700360715174457E-2</v>
      </c>
      <c r="Y162" s="134">
        <f>V162-E162</f>
        <v>-0.34325814115134934</v>
      </c>
      <c r="Z162" s="110"/>
      <c r="AA162" s="110"/>
      <c r="AB162" s="110"/>
      <c r="AI162" s="67"/>
    </row>
    <row r="163" spans="1:35">
      <c r="A163" t="s">
        <v>121</v>
      </c>
      <c r="B163" t="s">
        <v>32</v>
      </c>
      <c r="C163" s="193">
        <v>47.817431376007413</v>
      </c>
      <c r="D163" s="98">
        <v>22.137947905203159</v>
      </c>
      <c r="E163" s="99">
        <v>0.53703184658490533</v>
      </c>
      <c r="F163" s="100">
        <v>107.53952679744491</v>
      </c>
      <c r="G163" s="101">
        <v>1.2489607597660151</v>
      </c>
      <c r="H163" s="102">
        <v>-0.3206144564176836</v>
      </c>
      <c r="I163" s="102">
        <v>-0.14837766607352659</v>
      </c>
      <c r="J163" s="102">
        <v>0.13881192181910401</v>
      </c>
      <c r="K163" s="98">
        <v>4.8577007795817222</v>
      </c>
      <c r="L163" s="103">
        <v>22.137947905203159</v>
      </c>
      <c r="M163" s="104">
        <v>0.53703184658490533</v>
      </c>
      <c r="N163" s="105">
        <v>107.53952679744491</v>
      </c>
      <c r="O163" s="106">
        <v>1.2489607597660151</v>
      </c>
      <c r="P163" s="107">
        <v>4.8577007795817222</v>
      </c>
      <c r="Q163" s="108"/>
      <c r="R163" s="108"/>
      <c r="S163" s="109">
        <v>6.0654896361817109E-3</v>
      </c>
      <c r="U163" s="134">
        <f>C163*S163</f>
        <v>0.29003613444000315</v>
      </c>
      <c r="V163" s="134">
        <f>(1+S163)*R162*(1-U163)+S163</f>
        <v>7.874310578444671E-2</v>
      </c>
      <c r="W163" s="134">
        <f>V163+I163/3</f>
        <v>2.9283883759937845E-2</v>
      </c>
      <c r="X163" s="134">
        <f>V163+I163/5</f>
        <v>4.906757256974139E-2</v>
      </c>
      <c r="Y163" s="134">
        <f>V163-E163</f>
        <v>-0.45828874080045862</v>
      </c>
      <c r="Z163" s="110"/>
      <c r="AA163" s="110"/>
      <c r="AB163" s="110"/>
      <c r="AI163" s="67"/>
    </row>
    <row r="164" spans="1:35">
      <c r="A164" t="s">
        <v>122</v>
      </c>
      <c r="B164" t="s">
        <v>34</v>
      </c>
      <c r="C164" s="193">
        <v>5.5226780435974732</v>
      </c>
      <c r="D164" s="98">
        <v>2.9967112772356641</v>
      </c>
      <c r="E164" s="99">
        <v>0.45738077548992773</v>
      </c>
      <c r="F164" s="100">
        <v>11.50354065039641</v>
      </c>
      <c r="G164" s="101">
        <v>1.082964199539505</v>
      </c>
      <c r="H164" s="102">
        <v>-0.30344165538760892</v>
      </c>
      <c r="I164" s="102">
        <v>-0.2057909389890438</v>
      </c>
      <c r="J164" s="102">
        <v>2.98115333939406E-2</v>
      </c>
      <c r="K164" s="98">
        <v>3.838721713961021</v>
      </c>
      <c r="L164" s="103">
        <v>2.9967112772356641</v>
      </c>
      <c r="M164" s="104">
        <v>0.45738077548992773</v>
      </c>
      <c r="N164" s="105">
        <v>11.50354065039641</v>
      </c>
      <c r="O164" s="106">
        <v>1.082964199539505</v>
      </c>
      <c r="P164" s="107">
        <v>3.838721713961021</v>
      </c>
      <c r="Q164" s="108"/>
      <c r="R164" s="108"/>
      <c r="W164" s="134">
        <f>V162+I164/3</f>
        <v>3.029107903407087E-2</v>
      </c>
      <c r="X164" s="134">
        <f>V162+I164/5</f>
        <v>5.7729870899276711E-2</v>
      </c>
      <c r="Y164" s="134">
        <f>V162-E164</f>
        <v>-0.35849271679284223</v>
      </c>
      <c r="Z164" s="110"/>
      <c r="AA164" s="110"/>
      <c r="AB164" s="110"/>
      <c r="AI164" s="67"/>
    </row>
    <row r="165" spans="1:35">
      <c r="B165" t="s">
        <v>35</v>
      </c>
      <c r="C165" s="193">
        <v>4.8654657510117714</v>
      </c>
      <c r="D165" s="98">
        <v>2.6704932635495089</v>
      </c>
      <c r="E165" s="99">
        <v>0.45113306716953439</v>
      </c>
      <c r="F165" s="100">
        <v>11.35037603208613</v>
      </c>
      <c r="G165" s="101">
        <v>1.332844708592559</v>
      </c>
      <c r="H165" s="102">
        <v>-0.29198087179077692</v>
      </c>
      <c r="I165" s="102">
        <v>-0.14853417739962499</v>
      </c>
      <c r="J165" s="102">
        <v>7.3772350915630502E-2</v>
      </c>
      <c r="K165" s="98">
        <v>4.2502919543034849</v>
      </c>
      <c r="L165" s="103">
        <v>2.6704932635495089</v>
      </c>
      <c r="M165" s="104">
        <v>0.45113306716953439</v>
      </c>
      <c r="N165" s="105">
        <v>11.35037603208613</v>
      </c>
      <c r="O165" s="106">
        <v>1.332844708592559</v>
      </c>
      <c r="P165" s="107">
        <v>4.2502919543034849</v>
      </c>
      <c r="Q165" s="108"/>
      <c r="R165" s="108"/>
      <c r="W165" s="134">
        <f>V163+I165/3</f>
        <v>2.9231713317905049E-2</v>
      </c>
      <c r="X165" s="134">
        <f>V163+I165/5</f>
        <v>4.9036270304521713E-2</v>
      </c>
      <c r="Y165" s="134">
        <f>V163-E165</f>
        <v>-0.37238996138508768</v>
      </c>
      <c r="Z165" s="110"/>
      <c r="AA165" s="110"/>
      <c r="AB165" s="110"/>
      <c r="AI165" s="67"/>
    </row>
    <row r="166" spans="1:35">
      <c r="C166" s="66"/>
      <c r="D166" s="98"/>
      <c r="F166" s="100"/>
      <c r="K166" s="98"/>
      <c r="L166" s="103"/>
      <c r="M166" s="104"/>
      <c r="N166" s="105"/>
      <c r="P166" s="107"/>
      <c r="Q166" s="108"/>
      <c r="R166" s="108"/>
    </row>
    <row r="167" spans="1:35" s="184" customFormat="1">
      <c r="A167" s="184" t="s">
        <v>123</v>
      </c>
      <c r="B167" s="184" t="s">
        <v>30</v>
      </c>
      <c r="C167" s="187">
        <v>11.298992141671651</v>
      </c>
      <c r="D167" s="20">
        <v>10.290704753971511</v>
      </c>
      <c r="E167" s="30">
        <v>8.9236931494224847E-2</v>
      </c>
      <c r="F167" s="21">
        <v>75.014635087549749</v>
      </c>
      <c r="G167" s="40">
        <v>5.6390554260932166</v>
      </c>
      <c r="H167" s="22">
        <v>4.0580261769006087E-2</v>
      </c>
      <c r="I167" s="22">
        <v>0.26717231841065853</v>
      </c>
      <c r="J167" s="22">
        <v>1.579118869937912</v>
      </c>
      <c r="K167" s="20">
        <v>7.2895527450245066</v>
      </c>
      <c r="L167" s="23">
        <v>11.105527280320089</v>
      </c>
      <c r="M167" s="33">
        <v>1.7122311346517431E-2</v>
      </c>
      <c r="N167" s="24">
        <v>75.014635087549749</v>
      </c>
      <c r="O167" s="25">
        <v>5.6390554260932166</v>
      </c>
      <c r="P167" s="26">
        <v>6.7547117029266923</v>
      </c>
      <c r="Q167" s="27">
        <v>7.0858334663349787E-2</v>
      </c>
      <c r="R167" s="27">
        <v>8.0070455410861829E-2</v>
      </c>
      <c r="S167" s="28">
        <v>4.6872063230245627E-2</v>
      </c>
      <c r="T167" s="184">
        <v>1315.41</v>
      </c>
      <c r="U167" s="134">
        <f>C167*S167</f>
        <v>0.52960707410248209</v>
      </c>
      <c r="V167" s="134">
        <f>(1+S167)*Q167*(1-U167)+S167</f>
        <v>8.1765627493335435E-2</v>
      </c>
      <c r="W167" s="134">
        <f>V167+I167/3</f>
        <v>0.17082306696355493</v>
      </c>
      <c r="X167" s="134">
        <f>V167+I167/5</f>
        <v>0.13520009117546714</v>
      </c>
      <c r="Y167" s="134">
        <f>V167-E167</f>
        <v>-7.4713040008894116E-3</v>
      </c>
      <c r="Z167" s="110"/>
      <c r="AA167" s="110"/>
      <c r="AB167" s="110"/>
      <c r="AC167" s="134"/>
      <c r="AD167" s="134"/>
      <c r="AE167" s="134"/>
      <c r="AF167" s="134"/>
      <c r="AH167" s="28"/>
      <c r="AI167" s="67"/>
    </row>
    <row r="168" spans="1:35" s="184" customFormat="1">
      <c r="A168" s="184" t="s">
        <v>124</v>
      </c>
      <c r="B168" s="184" t="s">
        <v>32</v>
      </c>
      <c r="C168" s="187">
        <v>11.76989300371508</v>
      </c>
      <c r="D168" s="20">
        <v>11.447069022756841</v>
      </c>
      <c r="E168" s="30">
        <v>2.7427945254586691E-2</v>
      </c>
      <c r="F168" s="21">
        <v>-36.820870345087172</v>
      </c>
      <c r="G168" s="40">
        <v>-4.1283946534998179</v>
      </c>
      <c r="H168" s="22">
        <v>0.51195148241457233</v>
      </c>
      <c r="I168" s="22">
        <v>1.2555163579028701</v>
      </c>
      <c r="J168" s="22">
        <v>33.063453772242291</v>
      </c>
      <c r="K168" s="20">
        <v>-3.2166199288120878</v>
      </c>
      <c r="L168" s="23">
        <v>11.447069022756841</v>
      </c>
      <c r="M168" s="33">
        <v>2.7427945254586691E-2</v>
      </c>
      <c r="N168" s="24">
        <v>-36.820870345087172</v>
      </c>
      <c r="O168" s="25">
        <v>-4.1283946534998179</v>
      </c>
      <c r="P168" s="26">
        <v>-3.2166199288120878</v>
      </c>
      <c r="Q168" s="27"/>
      <c r="R168" s="27"/>
      <c r="S168" s="28">
        <v>2.8843880674424959E-2</v>
      </c>
      <c r="U168" s="134">
        <f>C168*S168</f>
        <v>0.33948938934990691</v>
      </c>
      <c r="V168" s="134">
        <f>(1+S168)*R167*(1-U168)+S168</f>
        <v>8.3256743506499836E-2</v>
      </c>
      <c r="W168" s="134">
        <f>V168+I168/3</f>
        <v>0.50176219614078987</v>
      </c>
      <c r="X168" s="134">
        <f>V168+I168/5</f>
        <v>0.3343600150870738</v>
      </c>
      <c r="Y168" s="134">
        <f>V168-E168</f>
        <v>5.5828798251913142E-2</v>
      </c>
      <c r="Z168" s="110"/>
      <c r="AA168" s="110"/>
      <c r="AB168" s="110"/>
      <c r="AC168" s="134"/>
      <c r="AD168" s="134"/>
      <c r="AE168" s="134"/>
      <c r="AF168" s="134"/>
      <c r="AH168" s="28"/>
      <c r="AI168" s="67"/>
    </row>
    <row r="169" spans="1:35" s="184" customFormat="1">
      <c r="A169" s="184" t="s">
        <v>55</v>
      </c>
      <c r="B169" s="184" t="s">
        <v>34</v>
      </c>
      <c r="C169" s="187">
        <v>0.80062776653312884</v>
      </c>
      <c r="D169" s="20">
        <v>0.78724426646591261</v>
      </c>
      <c r="E169" s="30">
        <v>1.6716257700091219E-2</v>
      </c>
      <c r="F169" s="21">
        <v>2.296241631165179</v>
      </c>
      <c r="G169" s="40">
        <v>1.8680514555576111</v>
      </c>
      <c r="H169" s="22">
        <v>0.43923357277503378</v>
      </c>
      <c r="I169" s="22">
        <v>0.59312173027647663</v>
      </c>
      <c r="J169" s="22">
        <v>1.0327938053179579</v>
      </c>
      <c r="K169" s="20">
        <v>2.916809596433696</v>
      </c>
      <c r="L169" s="23">
        <v>0.78724426646591261</v>
      </c>
      <c r="M169" s="33">
        <v>1.6716257700091219E-2</v>
      </c>
      <c r="N169" s="24">
        <v>2.1663641754899272</v>
      </c>
      <c r="O169" s="25">
        <v>1.7058319309492569</v>
      </c>
      <c r="P169" s="26">
        <v>2.751832268293477</v>
      </c>
      <c r="Q169" s="27"/>
      <c r="R169" s="27"/>
      <c r="S169" s="28"/>
      <c r="V169" s="109"/>
      <c r="W169" s="134">
        <f>V167+I169/3</f>
        <v>0.27947287091882766</v>
      </c>
      <c r="X169" s="134">
        <f>V167+I169/5</f>
        <v>0.20038997354863075</v>
      </c>
      <c r="Y169" s="134">
        <f>V167-E169</f>
        <v>6.5049369793244216E-2</v>
      </c>
      <c r="Z169" s="110"/>
      <c r="AA169" s="110"/>
      <c r="AB169" s="110"/>
      <c r="AC169" s="134"/>
      <c r="AD169" s="134"/>
      <c r="AE169" s="134"/>
      <c r="AF169" s="134"/>
      <c r="AH169" s="28"/>
      <c r="AI169" s="67"/>
    </row>
    <row r="170" spans="1:35" s="184" customFormat="1">
      <c r="B170" s="184" t="s">
        <v>35</v>
      </c>
      <c r="C170" s="187">
        <v>0.94242069294458308</v>
      </c>
      <c r="D170" s="20">
        <v>0.91837662169135281</v>
      </c>
      <c r="E170" s="30">
        <v>2.5513097742054899E-2</v>
      </c>
      <c r="F170" s="21">
        <v>3.5643341179124071</v>
      </c>
      <c r="G170" s="40">
        <v>2.782105109317671</v>
      </c>
      <c r="H170" s="22">
        <v>0.42297712897358841</v>
      </c>
      <c r="I170" s="22">
        <v>0.86383553502530641</v>
      </c>
      <c r="J170" s="22">
        <v>1.2902800395791101</v>
      </c>
      <c r="K170" s="20">
        <v>3.8811246211255419</v>
      </c>
      <c r="L170" s="23">
        <v>0.91837662169135281</v>
      </c>
      <c r="M170" s="33">
        <v>2.5513097742054899E-2</v>
      </c>
      <c r="N170" s="24">
        <v>3.253310955441056</v>
      </c>
      <c r="O170" s="25">
        <v>2.4520792887899381</v>
      </c>
      <c r="P170" s="26">
        <v>3.5424583755730952</v>
      </c>
      <c r="Q170" s="27"/>
      <c r="R170" s="27"/>
      <c r="S170" s="28"/>
      <c r="V170" s="109"/>
      <c r="W170" s="134">
        <f>V168+I170/3</f>
        <v>0.37120192184826861</v>
      </c>
      <c r="X170" s="134">
        <f>V168+I170/5</f>
        <v>0.25602385051156112</v>
      </c>
      <c r="Y170" s="134">
        <f>V168-E170</f>
        <v>5.7743645764444934E-2</v>
      </c>
      <c r="Z170" s="110"/>
      <c r="AA170" s="110"/>
      <c r="AB170" s="110"/>
      <c r="AC170" s="134"/>
      <c r="AD170" s="134"/>
      <c r="AE170" s="134"/>
      <c r="AF170" s="134"/>
      <c r="AH170" s="28"/>
      <c r="AI170" s="67"/>
    </row>
    <row r="171" spans="1:35">
      <c r="C171" s="66"/>
      <c r="D171" s="98"/>
      <c r="F171" s="100"/>
      <c r="K171" s="98"/>
      <c r="L171" s="103"/>
      <c r="M171" s="104"/>
      <c r="N171" s="105"/>
      <c r="P171" s="107"/>
      <c r="Q171" s="108"/>
      <c r="R171" s="108"/>
    </row>
    <row r="172" spans="1:35">
      <c r="A172" t="s">
        <v>125</v>
      </c>
      <c r="B172" t="s">
        <v>30</v>
      </c>
      <c r="C172" s="192">
        <v>15.376961665284099</v>
      </c>
      <c r="D172" s="98">
        <v>9.9125837496832201</v>
      </c>
      <c r="E172" s="99">
        <v>0.35536135385819201</v>
      </c>
      <c r="F172" s="100">
        <v>1750.0704856230341</v>
      </c>
      <c r="G172" s="101">
        <v>112.8112017001442</v>
      </c>
      <c r="H172" s="102">
        <v>0.22513534613110051</v>
      </c>
      <c r="I172" s="102">
        <v>0.96304470017058752</v>
      </c>
      <c r="J172" s="102">
        <v>2.58901462782132</v>
      </c>
      <c r="K172" s="98">
        <v>176.5503858344664</v>
      </c>
      <c r="L172" s="103">
        <v>9.9125837496832201</v>
      </c>
      <c r="M172" s="104">
        <v>0.35536135385819201</v>
      </c>
      <c r="N172" s="105">
        <v>1750.0704856230341</v>
      </c>
      <c r="O172" s="106">
        <v>112.8112017001442</v>
      </c>
      <c r="P172" s="107">
        <v>176.5503858344664</v>
      </c>
      <c r="Q172" s="108">
        <v>9.9446381458305491E-2</v>
      </c>
      <c r="R172" s="108">
        <v>8.4074540055958533E-2</v>
      </c>
      <c r="S172" s="109">
        <v>2.2850530941061559E-2</v>
      </c>
      <c r="T172">
        <v>2331.5309000000002</v>
      </c>
      <c r="U172" s="134">
        <f>C172*S172</f>
        <v>0.35137173831209179</v>
      </c>
      <c r="V172" s="134">
        <f>(1+S172)*Q172*(1-U172)+S172</f>
        <v>8.8828209036503597E-2</v>
      </c>
      <c r="W172" s="134">
        <f>V172+I172/3</f>
        <v>0.40984310909336608</v>
      </c>
      <c r="X172" s="134">
        <f>V172+I172/5</f>
        <v>0.28143714907062112</v>
      </c>
      <c r="Y172" s="134">
        <f>V172-E172</f>
        <v>-0.26653314482168844</v>
      </c>
      <c r="Z172" s="110"/>
      <c r="AA172" s="110"/>
      <c r="AB172" s="110"/>
      <c r="AI172" s="67"/>
    </row>
    <row r="173" spans="1:35">
      <c r="A173" t="s">
        <v>126</v>
      </c>
      <c r="B173" t="s">
        <v>32</v>
      </c>
      <c r="C173" s="192">
        <v>15.823031261344649</v>
      </c>
      <c r="D173" s="98">
        <v>10.785882693904639</v>
      </c>
      <c r="E173" s="99">
        <v>0.31834283104436889</v>
      </c>
      <c r="F173" s="100">
        <v>-182.07268671527581</v>
      </c>
      <c r="G173" s="101">
        <v>-12.50681457351827</v>
      </c>
      <c r="H173" s="102">
        <v>0.39014048524925632</v>
      </c>
      <c r="I173" s="102">
        <v>1.526436013577499</v>
      </c>
      <c r="J173" s="102">
        <v>4.1370189775505919</v>
      </c>
      <c r="K173" s="98">
        <v>-16.880647776576449</v>
      </c>
      <c r="L173" s="103">
        <v>10.785882693904639</v>
      </c>
      <c r="M173" s="104">
        <v>0.31834283104436889</v>
      </c>
      <c r="N173" s="105">
        <v>-182.07268671527581</v>
      </c>
      <c r="O173" s="106">
        <v>-12.50681457351827</v>
      </c>
      <c r="P173" s="107">
        <v>-16.880647776576449</v>
      </c>
      <c r="Q173" s="108"/>
      <c r="R173" s="108"/>
      <c r="S173" s="109">
        <v>2.058039680560023E-2</v>
      </c>
      <c r="U173" s="134">
        <f>C173*S173</f>
        <v>0.32564426202588997</v>
      </c>
      <c r="V173" s="134">
        <f>(1+S173)*R172*(1-U173)+S173</f>
        <v>7.8443374543437125E-2</v>
      </c>
      <c r="W173" s="134">
        <f>V173+I173/3</f>
        <v>0.58725537906927006</v>
      </c>
      <c r="X173" s="134">
        <f>V173+I173/5</f>
        <v>0.38373057725893694</v>
      </c>
      <c r="Y173" s="134">
        <f>V173-E173</f>
        <v>-0.23989945650093175</v>
      </c>
      <c r="Z173" s="110"/>
      <c r="AA173" s="110"/>
      <c r="AB173" s="110"/>
      <c r="AI173" s="67"/>
    </row>
    <row r="174" spans="1:35">
      <c r="A174" t="s">
        <v>67</v>
      </c>
      <c r="B174" t="s">
        <v>34</v>
      </c>
      <c r="C174" s="192">
        <v>1.529183195435583</v>
      </c>
      <c r="D174" s="98">
        <v>1.3605599990774639</v>
      </c>
      <c r="E174" s="99">
        <v>0.1102701081606422</v>
      </c>
      <c r="F174" s="100">
        <v>3.6830344425710728</v>
      </c>
      <c r="G174" s="101">
        <v>1.4084978526866261</v>
      </c>
      <c r="H174" s="102">
        <v>7.2427288904539422E-2</v>
      </c>
      <c r="I174" s="102">
        <v>0.28720157717817058</v>
      </c>
      <c r="J174" s="102">
        <v>0.59759510256013337</v>
      </c>
      <c r="K174" s="98">
        <v>2.7069989159378318</v>
      </c>
      <c r="L174" s="103">
        <v>1.4110389309814531</v>
      </c>
      <c r="M174" s="104">
        <v>7.7259719310789787E-2</v>
      </c>
      <c r="N174" s="105">
        <v>3.6830344425710728</v>
      </c>
      <c r="O174" s="106">
        <v>1.4084978526866261</v>
      </c>
      <c r="P174" s="107">
        <v>2.6101579210215879</v>
      </c>
      <c r="Q174" s="108"/>
      <c r="R174" s="108"/>
      <c r="W174" s="134">
        <f>V172+I174/3</f>
        <v>0.18456206809589379</v>
      </c>
      <c r="X174" s="134">
        <f>V172+I174/5</f>
        <v>0.14626852447213773</v>
      </c>
      <c r="Y174" s="134">
        <f>V172-E174</f>
        <v>-2.1441899124138603E-2</v>
      </c>
      <c r="Z174" s="110"/>
      <c r="AA174" s="110"/>
      <c r="AB174" s="110"/>
      <c r="AI174" s="67"/>
    </row>
    <row r="175" spans="1:35">
      <c r="A175">
        <v>3.16</v>
      </c>
      <c r="B175" t="s">
        <v>35</v>
      </c>
      <c r="C175" s="192">
        <v>1.3303140755886049</v>
      </c>
      <c r="D175" s="98">
        <v>1.29404943848517</v>
      </c>
      <c r="E175" s="99">
        <v>2.7260207020954219E-2</v>
      </c>
      <c r="F175" s="100">
        <v>4.1357789929094766</v>
      </c>
      <c r="G175" s="101">
        <v>2.108874113866364</v>
      </c>
      <c r="H175" s="102">
        <v>0.19766159643497749</v>
      </c>
      <c r="I175" s="102">
        <v>0.51361117696100167</v>
      </c>
      <c r="J175" s="102">
        <v>0.86893831453843462</v>
      </c>
      <c r="K175" s="98">
        <v>3.1959976720447929</v>
      </c>
      <c r="L175" s="103">
        <v>1.29404943848517</v>
      </c>
      <c r="M175" s="104">
        <v>2.7260207020954219E-2</v>
      </c>
      <c r="N175" s="105">
        <v>4.1357789929094766</v>
      </c>
      <c r="O175" s="106">
        <v>2.108874113866364</v>
      </c>
      <c r="P175" s="107">
        <v>3.1959976720447929</v>
      </c>
      <c r="Q175" s="108"/>
      <c r="R175" s="108"/>
      <c r="W175" s="134">
        <f>V173+I175/3</f>
        <v>0.24964710019710434</v>
      </c>
      <c r="X175" s="134">
        <f>V173+I175/5</f>
        <v>0.18116560993563746</v>
      </c>
      <c r="Y175" s="134">
        <f>V173-E175</f>
        <v>5.1183167522482906E-2</v>
      </c>
      <c r="Z175" s="110"/>
      <c r="AA175" s="110"/>
      <c r="AB175" s="110"/>
      <c r="AI175" s="67"/>
    </row>
    <row r="176" spans="1:35">
      <c r="C176" s="66"/>
      <c r="D176" s="98"/>
      <c r="F176" s="100"/>
      <c r="K176" s="98"/>
      <c r="L176" s="103"/>
      <c r="M176" s="104"/>
      <c r="N176" s="105"/>
      <c r="P176" s="107"/>
      <c r="Q176" s="108"/>
      <c r="R176" s="108"/>
    </row>
    <row r="177" spans="1:35" s="184" customFormat="1">
      <c r="A177" s="184" t="s">
        <v>127</v>
      </c>
      <c r="B177" s="184" t="s">
        <v>30</v>
      </c>
      <c r="C177" s="187">
        <v>18.08478485383905</v>
      </c>
      <c r="D177" s="20">
        <v>11.85337913580334</v>
      </c>
      <c r="E177" s="30">
        <v>0.34456620680853178</v>
      </c>
      <c r="F177" s="21">
        <v>-1000.9274666401531</v>
      </c>
      <c r="G177" s="40">
        <v>-56.346385081693448</v>
      </c>
      <c r="H177" s="22">
        <v>8.5623331681826009E-2</v>
      </c>
      <c r="I177" s="22">
        <v>0.98034378996186033</v>
      </c>
      <c r="J177" s="22">
        <v>3.5633183365216929</v>
      </c>
      <c r="K177" s="20">
        <v>-84.442373366497165</v>
      </c>
      <c r="L177" s="23">
        <v>11.85337913580334</v>
      </c>
      <c r="M177" s="33">
        <v>0.34456620680853178</v>
      </c>
      <c r="N177" s="24">
        <v>-1000.9274666401531</v>
      </c>
      <c r="O177" s="25">
        <v>-56.346385081693448</v>
      </c>
      <c r="P177" s="26">
        <v>-84.442373366497165</v>
      </c>
      <c r="Q177" s="27">
        <v>9.3254342982511021E-2</v>
      </c>
      <c r="R177" s="27">
        <v>6.417642797164462E-2</v>
      </c>
      <c r="S177" s="28">
        <v>1.9176625725177459E-2</v>
      </c>
      <c r="T177" s="184">
        <v>2575.9499999999998</v>
      </c>
      <c r="U177" s="134">
        <f>C177*S177</f>
        <v>0.3468051504624296</v>
      </c>
      <c r="V177" s="134">
        <f>(1+S177)*Q177*(1-U177)+S177</f>
        <v>8.1257992980602364E-2</v>
      </c>
      <c r="W177" s="134">
        <f>V177+I177/3</f>
        <v>0.40803925630122251</v>
      </c>
      <c r="X177" s="134">
        <f>V177+I177/5</f>
        <v>0.27732675097297443</v>
      </c>
      <c r="Y177" s="134">
        <f>V177-E177</f>
        <v>-0.2633082138279294</v>
      </c>
      <c r="Z177" s="110"/>
      <c r="AA177" s="110"/>
      <c r="AB177" s="110"/>
      <c r="AC177" s="134"/>
      <c r="AD177" s="134"/>
      <c r="AE177" s="134"/>
      <c r="AF177" s="134"/>
      <c r="AH177" s="28"/>
      <c r="AI177" s="67"/>
    </row>
    <row r="178" spans="1:35" s="184" customFormat="1">
      <c r="A178" s="184" t="s">
        <v>128</v>
      </c>
      <c r="B178" s="184" t="s">
        <v>32</v>
      </c>
      <c r="C178" s="187">
        <v>25.999289444698249</v>
      </c>
      <c r="D178" s="20">
        <v>17.04035476903745</v>
      </c>
      <c r="E178" s="30">
        <v>0.34458382775101959</v>
      </c>
      <c r="F178" s="21">
        <v>-624.70708981424195</v>
      </c>
      <c r="G178" s="40">
        <v>-25.02785242046804</v>
      </c>
      <c r="H178" s="22">
        <v>8.9199157296909082E-2</v>
      </c>
      <c r="I178" s="22">
        <v>1.0676301240393391</v>
      </c>
      <c r="J178" s="22">
        <v>3.295974770995199</v>
      </c>
      <c r="K178" s="20">
        <v>-36.660450928483193</v>
      </c>
      <c r="L178" s="23">
        <v>17.04035476903745</v>
      </c>
      <c r="M178" s="33">
        <v>0.34458382775101959</v>
      </c>
      <c r="N178" s="24">
        <v>-624.70708981424195</v>
      </c>
      <c r="O178" s="25">
        <v>-25.02785242046804</v>
      </c>
      <c r="P178" s="26">
        <v>-36.660450928483193</v>
      </c>
      <c r="Q178" s="27"/>
      <c r="R178" s="27"/>
      <c r="S178" s="28">
        <v>1.438678961464147E-2</v>
      </c>
      <c r="U178" s="134">
        <f>C178*S178</f>
        <v>0.37404630737104239</v>
      </c>
      <c r="V178" s="134">
        <f>(1+S178)*R177*(1-U178)+S178</f>
        <v>5.5136200200389951E-2</v>
      </c>
      <c r="W178" s="134">
        <f>V178+I178/3</f>
        <v>0.411012908213503</v>
      </c>
      <c r="X178" s="134">
        <f>V178+I178/5</f>
        <v>0.26866222500825776</v>
      </c>
      <c r="Y178" s="134">
        <f>V178-E178</f>
        <v>-0.28944762755062964</v>
      </c>
      <c r="Z178" s="110"/>
      <c r="AA178" s="110"/>
      <c r="AB178" s="110"/>
      <c r="AC178" s="134"/>
      <c r="AD178" s="134"/>
      <c r="AE178" s="134"/>
      <c r="AF178" s="134"/>
      <c r="AH178" s="28"/>
      <c r="AI178" s="67"/>
    </row>
    <row r="179" spans="1:35" s="184" customFormat="1">
      <c r="A179" s="184" t="s">
        <v>55</v>
      </c>
      <c r="B179" s="184" t="s">
        <v>34</v>
      </c>
      <c r="C179" s="187">
        <v>1.686484729524828</v>
      </c>
      <c r="D179" s="20">
        <v>1.46475622375033</v>
      </c>
      <c r="E179" s="30">
        <v>0.13147377019949069</v>
      </c>
      <c r="F179" s="21">
        <v>4.2591582880124941</v>
      </c>
      <c r="G179" s="40">
        <v>1.5254650774172891</v>
      </c>
      <c r="H179" s="22">
        <v>1.8376177383573111E-2</v>
      </c>
      <c r="I179" s="22">
        <v>0.22387794515585499</v>
      </c>
      <c r="J179" s="22">
        <v>0.50112374652933789</v>
      </c>
      <c r="K179" s="20">
        <v>2.9077591335351611</v>
      </c>
      <c r="L179" s="23">
        <v>1.503570359178934</v>
      </c>
      <c r="M179" s="33">
        <v>0.1084589543822497</v>
      </c>
      <c r="N179" s="24">
        <v>4.2591582880124941</v>
      </c>
      <c r="O179" s="25">
        <v>1.5254650774172891</v>
      </c>
      <c r="P179" s="26">
        <v>2.832696363034402</v>
      </c>
      <c r="Q179" s="27"/>
      <c r="R179" s="27"/>
      <c r="S179" s="28"/>
      <c r="V179" s="109"/>
      <c r="W179" s="134">
        <f>V177+I179/3</f>
        <v>0.15588397469922069</v>
      </c>
      <c r="X179" s="134">
        <f>V177+I179/5</f>
        <v>0.12603358201177337</v>
      </c>
      <c r="Y179" s="134">
        <f>V177-E179</f>
        <v>-5.0215777218888327E-2</v>
      </c>
      <c r="Z179" s="110"/>
      <c r="AA179" s="110"/>
      <c r="AB179" s="110"/>
      <c r="AC179" s="134"/>
      <c r="AD179" s="134"/>
      <c r="AE179" s="134"/>
      <c r="AF179" s="134"/>
      <c r="AH179" s="28"/>
      <c r="AI179" s="67"/>
    </row>
    <row r="180" spans="1:35" s="184" customFormat="1">
      <c r="A180" s="184">
        <v>3.4</v>
      </c>
      <c r="B180" s="184" t="s">
        <v>35</v>
      </c>
      <c r="C180" s="187">
        <v>1.6685415263616179</v>
      </c>
      <c r="D180" s="20">
        <v>1.5574864694516291</v>
      </c>
      <c r="E180" s="30">
        <v>6.655816181701657E-2</v>
      </c>
      <c r="F180" s="21">
        <v>4.9986916922163136</v>
      </c>
      <c r="G180" s="40">
        <v>1.9958449419693749</v>
      </c>
      <c r="H180" s="22">
        <v>9.3111676631830731E-2</v>
      </c>
      <c r="I180" s="22">
        <v>0.33309316210989048</v>
      </c>
      <c r="J180" s="22">
        <v>0.71063485236884083</v>
      </c>
      <c r="K180" s="20">
        <v>3.209460749907052</v>
      </c>
      <c r="L180" s="23">
        <v>1.5793376387599141</v>
      </c>
      <c r="M180" s="33">
        <v>5.3462192095523942E-2</v>
      </c>
      <c r="N180" s="24">
        <v>4.9986916922163136</v>
      </c>
      <c r="O180" s="25">
        <v>1.9958449419693749</v>
      </c>
      <c r="P180" s="26">
        <v>3.1650557610602221</v>
      </c>
      <c r="Q180" s="27"/>
      <c r="R180" s="27"/>
      <c r="S180" s="28"/>
      <c r="V180" s="109"/>
      <c r="W180" s="134">
        <f>V178+I180/3</f>
        <v>0.16616725423702011</v>
      </c>
      <c r="X180" s="134">
        <f>V178+I180/5</f>
        <v>0.12175483262236805</v>
      </c>
      <c r="Y180" s="134">
        <f>V178-E180</f>
        <v>-1.1421961616626619E-2</v>
      </c>
      <c r="Z180" s="110"/>
      <c r="AA180" s="110"/>
      <c r="AB180" s="110"/>
      <c r="AC180" s="134"/>
      <c r="AD180" s="134"/>
      <c r="AE180" s="134"/>
      <c r="AF180" s="134"/>
      <c r="AH180" s="28"/>
      <c r="AI180" s="67"/>
    </row>
    <row r="181" spans="1:35">
      <c r="C181" s="66"/>
      <c r="D181" s="98"/>
      <c r="F181" s="100"/>
      <c r="K181" s="98"/>
      <c r="L181" s="103"/>
      <c r="M181" s="104"/>
      <c r="N181" s="105"/>
      <c r="P181" s="107"/>
      <c r="Q181" s="108"/>
      <c r="R181" s="108"/>
    </row>
    <row r="182" spans="1:35">
      <c r="A182" t="s">
        <v>129</v>
      </c>
      <c r="B182" t="s">
        <v>30</v>
      </c>
      <c r="C182" s="192">
        <v>11.00802748646797</v>
      </c>
      <c r="D182" s="98">
        <v>10.191405181277011</v>
      </c>
      <c r="E182" s="99">
        <v>7.418425382702043E-2</v>
      </c>
      <c r="F182" s="100">
        <v>68.964749522038332</v>
      </c>
      <c r="G182" s="101">
        <v>5.2649507013691439</v>
      </c>
      <c r="H182" s="102">
        <v>8.4399657548607232E-2</v>
      </c>
      <c r="I182" s="102">
        <v>0.3375755112928196</v>
      </c>
      <c r="J182" s="102">
        <v>1.355643456067239</v>
      </c>
      <c r="K182" s="98">
        <v>6.7669519850644226</v>
      </c>
      <c r="L182" s="103">
        <v>10.84067280144529</v>
      </c>
      <c r="M182" s="104">
        <v>1.520296758237627E-2</v>
      </c>
      <c r="N182" s="105">
        <v>68.964749522038332</v>
      </c>
      <c r="O182" s="106">
        <v>5.2649507013691439</v>
      </c>
      <c r="P182" s="107">
        <v>6.3616669172824647</v>
      </c>
      <c r="Q182" s="108">
        <v>7.0545110957524165E-2</v>
      </c>
      <c r="R182" s="108">
        <v>9.1027830283443495E-2</v>
      </c>
      <c r="S182" s="109">
        <v>4.9755899815855861E-2</v>
      </c>
      <c r="T182">
        <v>1455.2</v>
      </c>
      <c r="U182" s="134">
        <f>C182*S182</f>
        <v>0.54771431278688798</v>
      </c>
      <c r="V182" s="134">
        <f>(1+S182)*Q182*(1-U182)+S182</f>
        <v>8.3249982610989259E-2</v>
      </c>
      <c r="W182" s="134">
        <f>V182+I182/3</f>
        <v>0.19577515304192911</v>
      </c>
      <c r="X182" s="134">
        <f>V182+I182/5</f>
        <v>0.15076508486955317</v>
      </c>
      <c r="Y182" s="134">
        <f>V182-E182</f>
        <v>9.0657287839688294E-3</v>
      </c>
      <c r="Z182" s="110"/>
      <c r="AA182" s="110"/>
      <c r="AB182" s="110"/>
      <c r="AI182" s="67"/>
    </row>
    <row r="183" spans="1:35">
      <c r="A183" t="s">
        <v>130</v>
      </c>
      <c r="B183" t="s">
        <v>32</v>
      </c>
      <c r="C183" s="192">
        <v>9.8092687795172022</v>
      </c>
      <c r="D183" s="98">
        <v>9.6777081075737055</v>
      </c>
      <c r="E183" s="99">
        <v>1.3411873494404539E-2</v>
      </c>
      <c r="F183" s="100">
        <v>-86.85644566637211</v>
      </c>
      <c r="G183" s="101">
        <v>-9.8545280610250607</v>
      </c>
      <c r="H183" s="102">
        <v>0.74684959346634416</v>
      </c>
      <c r="I183" s="102">
        <v>1.4200251389805001</v>
      </c>
      <c r="J183" s="102">
        <v>5.6336186428080737</v>
      </c>
      <c r="K183" s="98">
        <v>-8.974898261128466</v>
      </c>
      <c r="L183" s="103">
        <v>9.6777081075737055</v>
      </c>
      <c r="M183" s="104">
        <v>1.3411873494404539E-2</v>
      </c>
      <c r="N183" s="105">
        <v>-86.85644566637211</v>
      </c>
      <c r="O183" s="106">
        <v>-9.8545280610250607</v>
      </c>
      <c r="P183" s="107">
        <v>-8.974898261128466</v>
      </c>
      <c r="Q183" s="108"/>
      <c r="R183" s="108"/>
      <c r="S183" s="109">
        <v>3.7889591105598773E-2</v>
      </c>
      <c r="U183" s="134">
        <f>C183*S183</f>
        <v>0.3716691831008227</v>
      </c>
      <c r="V183" s="134">
        <f>(1+S183)*R182*(1-U183)+S183</f>
        <v>9.7252299622768795E-2</v>
      </c>
      <c r="W183" s="134">
        <f>V183+I183/3</f>
        <v>0.57059401261626885</v>
      </c>
      <c r="X183" s="134">
        <f>V183+I183/5</f>
        <v>0.38125732741886886</v>
      </c>
      <c r="Y183" s="134">
        <f>V183-E183</f>
        <v>8.3840426128364259E-2</v>
      </c>
      <c r="Z183" s="110"/>
      <c r="AA183" s="110"/>
      <c r="AB183" s="110"/>
      <c r="AI183" s="67"/>
    </row>
    <row r="184" spans="1:35">
      <c r="A184" t="s">
        <v>67</v>
      </c>
      <c r="B184" t="s">
        <v>34</v>
      </c>
      <c r="C184" s="192">
        <v>0.77656252045635898</v>
      </c>
      <c r="D184" s="98">
        <v>0.76447561831258948</v>
      </c>
      <c r="E184" s="99">
        <v>1.556462206889209E-2</v>
      </c>
      <c r="F184" s="100">
        <v>3.0642954222285921</v>
      </c>
      <c r="G184" s="101">
        <v>2.945973880413145</v>
      </c>
      <c r="H184" s="102">
        <v>0.48163658336935589</v>
      </c>
      <c r="I184" s="102">
        <v>0.66182457043233622</v>
      </c>
      <c r="J184" s="102">
        <v>1.425988941251678</v>
      </c>
      <c r="K184" s="98">
        <v>4.008362528280947</v>
      </c>
      <c r="L184" s="103">
        <v>0.76447561831258948</v>
      </c>
      <c r="M184" s="104">
        <v>1.556462206889209E-2</v>
      </c>
      <c r="N184" s="105">
        <v>2.1424342880215379</v>
      </c>
      <c r="O184" s="106">
        <v>1.7588690306126331</v>
      </c>
      <c r="P184" s="107">
        <v>2.8024887082082319</v>
      </c>
      <c r="Q184" s="108"/>
      <c r="R184" s="108"/>
      <c r="W184" s="134">
        <f>V182+I184/3</f>
        <v>0.3038581727551013</v>
      </c>
      <c r="X184" s="134">
        <f>V182+I184/5</f>
        <v>0.21561489669745651</v>
      </c>
      <c r="Y184" s="134">
        <f>V182-E184</f>
        <v>6.7685360542097173E-2</v>
      </c>
      <c r="Z184" s="110"/>
      <c r="AA184" s="110"/>
      <c r="AB184" s="110"/>
      <c r="AI184" s="67"/>
    </row>
    <row r="185" spans="1:35">
      <c r="A185">
        <v>6.44</v>
      </c>
      <c r="B185" t="s">
        <v>35</v>
      </c>
      <c r="C185" s="192">
        <v>0.8929164536665728</v>
      </c>
      <c r="D185" s="98">
        <v>0.873126152125972</v>
      </c>
      <c r="E185" s="99">
        <v>2.216366543514359E-2</v>
      </c>
      <c r="F185" s="100">
        <v>4.1684274926930991</v>
      </c>
      <c r="G185" s="101">
        <v>3.6683286835810138</v>
      </c>
      <c r="H185" s="102">
        <v>0.41158520409512361</v>
      </c>
      <c r="I185" s="102">
        <v>0.84833751734263818</v>
      </c>
      <c r="J185" s="102">
        <v>1.804194163811331</v>
      </c>
      <c r="K185" s="98">
        <v>4.7741411507872131</v>
      </c>
      <c r="L185" s="103">
        <v>0.873126152125972</v>
      </c>
      <c r="M185" s="104">
        <v>2.216366543514359E-2</v>
      </c>
      <c r="N185" s="105">
        <v>2.9044086780326079</v>
      </c>
      <c r="O185" s="106">
        <v>2.252721647256323</v>
      </c>
      <c r="P185" s="107">
        <v>3.3264479261795938</v>
      </c>
      <c r="Q185" s="108"/>
      <c r="R185" s="108"/>
      <c r="W185" s="134">
        <f>V183+I185/3</f>
        <v>0.38003147207031485</v>
      </c>
      <c r="X185" s="134">
        <f>V183+I185/5</f>
        <v>0.26691980309129643</v>
      </c>
      <c r="Y185" s="134">
        <f>V183-E185</f>
        <v>7.5088634187625208E-2</v>
      </c>
      <c r="Z185" s="110"/>
      <c r="AA185" s="110"/>
      <c r="AB185" s="110"/>
      <c r="AI185" s="67"/>
    </row>
    <row r="186" spans="1:35">
      <c r="C186" s="66"/>
      <c r="D186" s="98"/>
      <c r="F186" s="100"/>
      <c r="K186" s="98"/>
      <c r="L186" s="103"/>
      <c r="M186" s="104"/>
      <c r="N186" s="105"/>
      <c r="P186" s="107"/>
      <c r="Q186" s="108"/>
      <c r="R186" s="108"/>
    </row>
    <row r="187" spans="1:35">
      <c r="A187" t="s">
        <v>131</v>
      </c>
      <c r="B187" t="s">
        <v>30</v>
      </c>
      <c r="C187" s="191">
        <v>19.472836409880621</v>
      </c>
      <c r="D187" s="98">
        <v>14.67349386959412</v>
      </c>
      <c r="E187" s="99">
        <v>0.2464634550029543</v>
      </c>
      <c r="F187" s="100">
        <v>59.767741575183557</v>
      </c>
      <c r="G187" s="101">
        <v>2.0692879207292618</v>
      </c>
      <c r="H187" s="102">
        <v>-5.4245046531409491E-2</v>
      </c>
      <c r="I187" s="102">
        <v>8.6698794565201132E-2</v>
      </c>
      <c r="J187" s="102">
        <v>0.63638475604603117</v>
      </c>
      <c r="K187" s="98">
        <v>4.0731772614177526</v>
      </c>
      <c r="L187" s="103">
        <v>15.875058643839809</v>
      </c>
      <c r="M187" s="104">
        <v>0.18475879375309059</v>
      </c>
      <c r="N187" s="105">
        <v>59.767741575183557</v>
      </c>
      <c r="O187" s="106">
        <v>2.0692879207292618</v>
      </c>
      <c r="P187" s="107">
        <v>3.7648831992426022</v>
      </c>
      <c r="Q187" s="108">
        <v>8.161274762750903E-2</v>
      </c>
      <c r="R187" s="108">
        <v>4.553923396074451E-2</v>
      </c>
      <c r="S187" s="109">
        <v>1.406114382449378E-2</v>
      </c>
      <c r="T187">
        <v>2791.8339000000001</v>
      </c>
      <c r="U187" s="134">
        <f>C187*S187</f>
        <v>0.27381035343017052</v>
      </c>
      <c r="V187" s="134">
        <f>(1+S187)*Q187*(1-U187)+S187</f>
        <v>7.4160828602904155E-2</v>
      </c>
      <c r="W187" s="134">
        <f>V187+I187/3</f>
        <v>0.10306042679130453</v>
      </c>
      <c r="X187" s="134">
        <f>V187+I187/5</f>
        <v>9.1500587515944379E-2</v>
      </c>
      <c r="Y187" s="134">
        <f>V187-E187</f>
        <v>-0.17230262640005015</v>
      </c>
      <c r="Z187" s="110"/>
      <c r="AA187" s="110"/>
      <c r="AB187" s="110"/>
      <c r="AI187" s="67"/>
    </row>
    <row r="188" spans="1:35">
      <c r="A188" t="s">
        <v>132</v>
      </c>
      <c r="B188" t="s">
        <v>32</v>
      </c>
      <c r="C188" s="191">
        <v>37.734396568335029</v>
      </c>
      <c r="D188" s="98">
        <v>21.923635219944671</v>
      </c>
      <c r="E188" s="99">
        <v>0.41900130348600878</v>
      </c>
      <c r="F188" s="100">
        <v>122.33863016721661</v>
      </c>
      <c r="G188" s="101">
        <v>2.2420984908468782</v>
      </c>
      <c r="H188" s="102">
        <v>-0.21472278037055861</v>
      </c>
      <c r="I188" s="102">
        <v>2.7918888637969319E-2</v>
      </c>
      <c r="J188" s="102">
        <v>0.45960962121950838</v>
      </c>
      <c r="K188" s="98">
        <v>5.5802164622736017</v>
      </c>
      <c r="L188" s="103">
        <v>25.297295541018809</v>
      </c>
      <c r="M188" s="104">
        <v>0.32959586367820348</v>
      </c>
      <c r="N188" s="105">
        <v>122.33863016721661</v>
      </c>
      <c r="O188" s="106">
        <v>2.2420984908468782</v>
      </c>
      <c r="P188" s="107">
        <v>4.8360359299612936</v>
      </c>
      <c r="Q188" s="108"/>
      <c r="R188" s="108"/>
      <c r="S188" s="109">
        <v>1.0735885863570591E-2</v>
      </c>
      <c r="U188" s="134">
        <f>C188*S188</f>
        <v>0.40511217468835464</v>
      </c>
      <c r="V188" s="134">
        <f>(1+S188)*R187*(1-U188)+S188</f>
        <v>3.8117464768959865E-2</v>
      </c>
      <c r="W188" s="134">
        <f>V188+I188/3</f>
        <v>4.7423760981616304E-2</v>
      </c>
      <c r="X188" s="134">
        <f>V188+I188/5</f>
        <v>4.370124249655373E-2</v>
      </c>
      <c r="Y188" s="134">
        <f>V188-E188</f>
        <v>-0.38088383871704889</v>
      </c>
      <c r="Z188" s="110"/>
      <c r="AA188" s="110"/>
      <c r="AB188" s="110"/>
      <c r="AI188" s="67"/>
    </row>
    <row r="189" spans="1:35">
      <c r="A189" t="s">
        <v>55</v>
      </c>
      <c r="B189" t="s">
        <v>34</v>
      </c>
      <c r="C189" s="192">
        <v>1.589231683511356</v>
      </c>
      <c r="D189" s="98">
        <v>1.441065177431359</v>
      </c>
      <c r="E189" s="99">
        <v>9.3231532958510055E-2</v>
      </c>
      <c r="F189" s="100">
        <v>5.0371757010997724</v>
      </c>
      <c r="G189" s="101">
        <v>2.1695666235210558</v>
      </c>
      <c r="H189" s="102">
        <v>5.6397237798430533E-2</v>
      </c>
      <c r="I189" s="102">
        <v>0.23878480226630769</v>
      </c>
      <c r="J189" s="102">
        <v>0.62192272009977545</v>
      </c>
      <c r="K189" s="98">
        <v>3.495453071788424</v>
      </c>
      <c r="L189" s="103">
        <v>1.477857773851931</v>
      </c>
      <c r="M189" s="104">
        <v>7.008034814241082E-2</v>
      </c>
      <c r="N189" s="105">
        <v>5.0371757010997724</v>
      </c>
      <c r="O189" s="106">
        <v>2.1695666235210558</v>
      </c>
      <c r="P189" s="107">
        <v>3.408430628592042</v>
      </c>
      <c r="Q189" s="108"/>
      <c r="R189" s="108"/>
      <c r="W189" s="134">
        <f>V187+I189/3</f>
        <v>0.1537557626916734</v>
      </c>
      <c r="X189" s="134">
        <f>V187+I189/5</f>
        <v>0.1219177890561657</v>
      </c>
      <c r="Y189" s="134">
        <f>V187-E189</f>
        <v>-1.90707043556059E-2</v>
      </c>
      <c r="Z189" s="110"/>
      <c r="AA189" s="110"/>
      <c r="AB189" s="110"/>
      <c r="AI189" s="67"/>
    </row>
    <row r="190" spans="1:35">
      <c r="B190" t="s">
        <v>35</v>
      </c>
      <c r="C190" s="192">
        <v>1.7183955136929241</v>
      </c>
      <c r="D190" s="98">
        <v>1.534175556432102</v>
      </c>
      <c r="E190" s="99">
        <v>0.10720463117651161</v>
      </c>
      <c r="F190" s="100">
        <v>6.1125253437035711</v>
      </c>
      <c r="G190" s="101">
        <v>2.5571120239760332</v>
      </c>
      <c r="H190" s="102">
        <v>0.1128156136008638</v>
      </c>
      <c r="I190" s="102">
        <v>0.31671123482271368</v>
      </c>
      <c r="J190" s="102">
        <v>0.82820708039011626</v>
      </c>
      <c r="K190" s="98">
        <v>3.9842411242158882</v>
      </c>
      <c r="L190" s="103">
        <v>1.534175556432102</v>
      </c>
      <c r="M190" s="104">
        <v>0.10720463117651161</v>
      </c>
      <c r="N190" s="105">
        <v>6.1125253437035711</v>
      </c>
      <c r="O190" s="106">
        <v>2.5571120239760332</v>
      </c>
      <c r="P190" s="107">
        <v>3.9842411242158882</v>
      </c>
      <c r="Q190" s="108"/>
      <c r="R190" s="108"/>
      <c r="W190" s="134">
        <f>V188+I190/3</f>
        <v>0.1436878763765311</v>
      </c>
      <c r="X190" s="134">
        <f>V188+I190/5</f>
        <v>0.1014597117335026</v>
      </c>
      <c r="Y190" s="134">
        <f>V188-E190</f>
        <v>-6.9087166407551748E-2</v>
      </c>
      <c r="Z190" s="110"/>
      <c r="AA190" s="110"/>
      <c r="AB190" s="110"/>
      <c r="AI190" s="67"/>
    </row>
    <row r="191" spans="1:35">
      <c r="C191" s="66"/>
      <c r="D191" s="98"/>
      <c r="F191" s="100"/>
      <c r="K191" s="98"/>
      <c r="L191" s="103"/>
      <c r="M191" s="104"/>
      <c r="N191" s="105"/>
      <c r="P191" s="107"/>
      <c r="Q191" s="108"/>
      <c r="R191" s="108"/>
    </row>
    <row r="192" spans="1:35">
      <c r="A192" t="s">
        <v>133</v>
      </c>
      <c r="B192" t="s">
        <v>30</v>
      </c>
      <c r="C192" s="192">
        <v>15.23077954121735</v>
      </c>
      <c r="D192" s="98">
        <v>13.278987218382261</v>
      </c>
      <c r="E192" s="99">
        <v>0.12814789404266391</v>
      </c>
      <c r="F192" s="100">
        <v>59.264197540199397</v>
      </c>
      <c r="G192" s="101">
        <v>2.8910810428198599</v>
      </c>
      <c r="H192" s="102">
        <v>4.1271130174038273E-2</v>
      </c>
      <c r="I192" s="102">
        <v>0.21405860073650171</v>
      </c>
      <c r="J192" s="102">
        <v>0.70984464679323911</v>
      </c>
      <c r="K192" s="98">
        <v>4.4630058426563801</v>
      </c>
      <c r="L192" s="103">
        <v>13.840127533330801</v>
      </c>
      <c r="M192" s="104">
        <v>9.1305373052192662E-2</v>
      </c>
      <c r="N192" s="105">
        <v>49.646963774497543</v>
      </c>
      <c r="O192" s="106">
        <v>2.259646930095963</v>
      </c>
      <c r="P192" s="107">
        <v>3.58717530997703</v>
      </c>
      <c r="Q192" s="108">
        <v>9.3246557269741487E-2</v>
      </c>
      <c r="R192" s="108">
        <v>6.8054247132978474E-2</v>
      </c>
      <c r="S192" s="109">
        <v>1.606541221389066E-2</v>
      </c>
      <c r="T192">
        <v>2542.4859000000001</v>
      </c>
      <c r="U192" s="134">
        <f>C192*S192</f>
        <v>0.2446887516685492</v>
      </c>
      <c r="V192" s="134">
        <f>(1+S192)*Q192*(1-U192)+S192</f>
        <v>8.7627075558671691E-2</v>
      </c>
      <c r="W192" s="134">
        <f>V192+I192/3</f>
        <v>0.15897994247083891</v>
      </c>
      <c r="X192" s="134">
        <f>V192+I192/5</f>
        <v>0.13043879570597203</v>
      </c>
      <c r="Y192" s="134">
        <f>V192-E192</f>
        <v>-4.0520818483992221E-2</v>
      </c>
      <c r="Z192" s="110"/>
      <c r="AA192" s="110"/>
      <c r="AB192" s="110"/>
      <c r="AI192" s="67"/>
    </row>
    <row r="193" spans="1:35">
      <c r="A193" t="s">
        <v>134</v>
      </c>
      <c r="B193" t="s">
        <v>32</v>
      </c>
      <c r="C193" s="192">
        <v>20.890019673306149</v>
      </c>
      <c r="D193" s="98">
        <v>17.42851126664771</v>
      </c>
      <c r="E193" s="99">
        <v>0.16570153885884811</v>
      </c>
      <c r="F193" s="100">
        <v>65.662717489365008</v>
      </c>
      <c r="G193" s="101">
        <v>2.1432578100091821</v>
      </c>
      <c r="H193" s="102">
        <v>6.5244009375940992E-2</v>
      </c>
      <c r="I193" s="102">
        <v>0.29185263474233469</v>
      </c>
      <c r="J193" s="102">
        <v>0.75722442663766132</v>
      </c>
      <c r="K193" s="98">
        <v>3.767545975944675</v>
      </c>
      <c r="L193" s="103">
        <v>17.941767426279281</v>
      </c>
      <c r="M193" s="104">
        <v>0.1411320952844399</v>
      </c>
      <c r="N193" s="105">
        <v>65.662717489365008</v>
      </c>
      <c r="O193" s="106">
        <v>2.1432578100091821</v>
      </c>
      <c r="P193" s="107">
        <v>3.6597686241985792</v>
      </c>
      <c r="Q193" s="108"/>
      <c r="R193" s="108"/>
      <c r="S193" s="109">
        <v>1.3673111184121969E-2</v>
      </c>
      <c r="U193" s="134">
        <f>C193*S193</f>
        <v>0.2856315616316103</v>
      </c>
      <c r="V193" s="134">
        <f>(1+S193)*R192*(1-U193)+S193</f>
        <v>6.2953646756988779E-2</v>
      </c>
      <c r="W193" s="134">
        <f>V193+I193/3</f>
        <v>0.16023785833776699</v>
      </c>
      <c r="X193" s="134">
        <f>V193+I193/5</f>
        <v>0.12132417370545572</v>
      </c>
      <c r="Y193" s="134">
        <f>V193-E193</f>
        <v>-0.10274789210185933</v>
      </c>
      <c r="Z193" s="110"/>
      <c r="AA193" s="110"/>
      <c r="AB193" s="110"/>
      <c r="AI193" s="67"/>
    </row>
    <row r="194" spans="1:35">
      <c r="A194" t="s">
        <v>67</v>
      </c>
      <c r="B194" t="s">
        <v>34</v>
      </c>
      <c r="C194" s="192">
        <v>1.420217756752931</v>
      </c>
      <c r="D194" s="98">
        <v>1.3393384069733401</v>
      </c>
      <c r="E194" s="99">
        <v>5.6948555526095117E-2</v>
      </c>
      <c r="F194" s="100">
        <v>4.529801610964455</v>
      </c>
      <c r="G194" s="101">
        <v>2.1895120233681782</v>
      </c>
      <c r="H194" s="102">
        <v>8.5730483435227489E-2</v>
      </c>
      <c r="I194" s="102">
        <v>0.36479736932165152</v>
      </c>
      <c r="J194" s="102">
        <v>0.82816616096686158</v>
      </c>
      <c r="K194" s="98">
        <v>3.3821188038659908</v>
      </c>
      <c r="L194" s="103">
        <v>1.380893045178933</v>
      </c>
      <c r="M194" s="104">
        <v>2.7689212718975179E-2</v>
      </c>
      <c r="N194" s="105">
        <v>4.529801610964455</v>
      </c>
      <c r="O194" s="106">
        <v>2.1895120233681782</v>
      </c>
      <c r="P194" s="107">
        <v>3.2803421139524191</v>
      </c>
      <c r="Q194" s="108"/>
      <c r="R194" s="108"/>
      <c r="W194" s="134">
        <f>V192+I194/3</f>
        <v>0.20922619866588887</v>
      </c>
      <c r="X194" s="134">
        <f>V192+I194/5</f>
        <v>0.16058654942300199</v>
      </c>
      <c r="Y194" s="134">
        <f>V192-E194</f>
        <v>3.0678520032576574E-2</v>
      </c>
      <c r="Z194" s="110"/>
      <c r="AA194" s="110"/>
      <c r="AB194" s="110"/>
      <c r="AI194" s="67"/>
    </row>
    <row r="195" spans="1:35">
      <c r="A195">
        <v>7.4</v>
      </c>
      <c r="B195" t="s">
        <v>35</v>
      </c>
      <c r="C195" s="192">
        <v>1.4216545614599589</v>
      </c>
      <c r="D195" s="98">
        <v>1.350924184895923</v>
      </c>
      <c r="E195" s="99">
        <v>4.9752153920851187E-2</v>
      </c>
      <c r="F195" s="100">
        <v>5.0203618371853151</v>
      </c>
      <c r="G195" s="101">
        <v>2.5313514079184518</v>
      </c>
      <c r="H195" s="102">
        <v>0.1656312174038963</v>
      </c>
      <c r="I195" s="102">
        <v>0.50034840536109804</v>
      </c>
      <c r="J195" s="102">
        <v>0.94626464022694212</v>
      </c>
      <c r="K195" s="98">
        <v>3.716242475570227</v>
      </c>
      <c r="L195" s="103">
        <v>1.350924184895923</v>
      </c>
      <c r="M195" s="104">
        <v>4.9752153920851187E-2</v>
      </c>
      <c r="N195" s="105">
        <v>5.0203618371853151</v>
      </c>
      <c r="O195" s="106">
        <v>2.5313514079184518</v>
      </c>
      <c r="P195" s="107">
        <v>3.716242475570227</v>
      </c>
      <c r="Q195" s="108"/>
      <c r="R195" s="108"/>
      <c r="W195" s="134">
        <f>V193+I195/3</f>
        <v>0.22973644854402145</v>
      </c>
      <c r="X195" s="134">
        <f>V193+I195/5</f>
        <v>0.16302332782920839</v>
      </c>
      <c r="Y195" s="134">
        <f>V193-E195</f>
        <v>1.3201492836137592E-2</v>
      </c>
      <c r="Z195" s="110"/>
      <c r="AA195" s="110"/>
      <c r="AB195" s="110"/>
      <c r="AI195" s="67"/>
    </row>
    <row r="196" spans="1:35">
      <c r="C196" s="66"/>
      <c r="D196" s="98"/>
      <c r="F196" s="100"/>
      <c r="K196" s="98"/>
      <c r="L196" s="103"/>
      <c r="M196" s="104"/>
      <c r="N196" s="105"/>
      <c r="P196" s="107"/>
      <c r="Q196" s="108"/>
      <c r="R196" s="108"/>
    </row>
    <row r="197" spans="1:35">
      <c r="A197" t="s">
        <v>135</v>
      </c>
      <c r="B197" t="s">
        <v>30</v>
      </c>
      <c r="C197" s="192">
        <v>14.87601256686936</v>
      </c>
      <c r="D197" s="98">
        <v>9.2438671892600777</v>
      </c>
      <c r="E197" s="99">
        <v>0.37860584967188982</v>
      </c>
      <c r="F197" s="100">
        <v>34.857074338418833</v>
      </c>
      <c r="G197" s="101">
        <v>1.3431732247961159</v>
      </c>
      <c r="H197" s="102">
        <v>2.066768072747727E-2</v>
      </c>
      <c r="I197" s="102">
        <v>0.26713230438563529</v>
      </c>
      <c r="J197" s="102">
        <v>0.42445618248528483</v>
      </c>
      <c r="K197" s="98">
        <v>3.7708324475839801</v>
      </c>
      <c r="L197" s="103">
        <v>13.45837198446617</v>
      </c>
      <c r="M197" s="104">
        <v>9.5297081528449956E-2</v>
      </c>
      <c r="N197" s="105">
        <v>26.258984943681281</v>
      </c>
      <c r="O197" s="106">
        <v>0.76518975267358513</v>
      </c>
      <c r="P197" s="107">
        <v>1.951126404738236</v>
      </c>
      <c r="Q197" s="108">
        <v>9.2213646576898303E-2</v>
      </c>
      <c r="R197" s="108">
        <v>7.3654000423006988E-2</v>
      </c>
      <c r="S197" s="109">
        <v>3.2790983378933367E-2</v>
      </c>
      <c r="T197">
        <v>1766.0830000000001</v>
      </c>
      <c r="U197" s="134">
        <f>C197*S197</f>
        <v>0.48779908082501705</v>
      </c>
      <c r="V197" s="134">
        <f>(1+S197)*Q197*(1-U197)+S197</f>
        <v>8.1571678840641065E-2</v>
      </c>
      <c r="W197" s="134">
        <f>V197+I197/3</f>
        <v>0.1706157803025195</v>
      </c>
      <c r="X197" s="134">
        <f>V197+I197/5</f>
        <v>0.13499813971776814</v>
      </c>
      <c r="Y197" s="134">
        <f>V197-E197</f>
        <v>-0.29703417083124872</v>
      </c>
      <c r="Z197" s="110"/>
      <c r="AA197" s="110"/>
      <c r="AB197" s="110"/>
      <c r="AI197" s="67"/>
    </row>
    <row r="198" spans="1:35">
      <c r="A198" t="s">
        <v>136</v>
      </c>
      <c r="B198" t="s">
        <v>32</v>
      </c>
      <c r="C198" s="192">
        <v>15.40223251294481</v>
      </c>
      <c r="D198" s="98">
        <v>11.42439488780953</v>
      </c>
      <c r="E198" s="99">
        <v>0.2582637044202587</v>
      </c>
      <c r="F198" s="100">
        <v>-10.48732618175894</v>
      </c>
      <c r="G198" s="101">
        <v>-1.6808964981501779</v>
      </c>
      <c r="H198" s="102">
        <v>0.23271909341773539</v>
      </c>
      <c r="I198" s="102">
        <v>0.69022051399141882</v>
      </c>
      <c r="J198" s="102">
        <v>1.632792604028193</v>
      </c>
      <c r="K198" s="98">
        <v>-0.91797651295733007</v>
      </c>
      <c r="L198" s="103">
        <v>14.179432333151</v>
      </c>
      <c r="M198" s="104">
        <v>7.9391099878936555E-2</v>
      </c>
      <c r="N198" s="105">
        <v>-10.48732618175894</v>
      </c>
      <c r="O198" s="106">
        <v>-1.6808964981501779</v>
      </c>
      <c r="P198" s="107">
        <v>-0.73961537636735653</v>
      </c>
      <c r="Q198" s="108"/>
      <c r="R198" s="108"/>
      <c r="S198" s="109">
        <v>2.433164117944427E-2</v>
      </c>
      <c r="U198" s="134">
        <f>C198*S198</f>
        <v>0.37476159486734334</v>
      </c>
      <c r="V198" s="134">
        <f>(1+S198)*R197*(1-U198)+S198</f>
        <v>7.1503454880394557E-2</v>
      </c>
      <c r="W198" s="134">
        <f>V198+I198/3</f>
        <v>0.30157695954420083</v>
      </c>
      <c r="X198" s="134">
        <f>V198+I198/5</f>
        <v>0.20954755767867833</v>
      </c>
      <c r="Y198" s="134">
        <f>V198-E198</f>
        <v>-0.18676024953986414</v>
      </c>
      <c r="Z198" s="110"/>
      <c r="AA198" s="110"/>
      <c r="AB198" s="110"/>
      <c r="AI198" s="67"/>
    </row>
    <row r="199" spans="1:35">
      <c r="A199" t="s">
        <v>67</v>
      </c>
      <c r="B199" t="s">
        <v>34</v>
      </c>
      <c r="C199" s="192">
        <v>1.3717713653147889</v>
      </c>
      <c r="D199" s="98">
        <v>1.354798290647272</v>
      </c>
      <c r="E199" s="99">
        <v>1.2373107572209659E-2</v>
      </c>
      <c r="F199" s="100">
        <v>3.697861535206115</v>
      </c>
      <c r="G199" s="101">
        <v>1.6956835728653239</v>
      </c>
      <c r="H199" s="102">
        <v>0.14707641772059629</v>
      </c>
      <c r="I199" s="102">
        <v>0.30283172260876762</v>
      </c>
      <c r="J199" s="102">
        <v>0.60559942965954949</v>
      </c>
      <c r="K199" s="98">
        <v>2.729455418370371</v>
      </c>
      <c r="L199" s="103">
        <v>1.354798290647272</v>
      </c>
      <c r="M199" s="104">
        <v>1.2373107572209659E-2</v>
      </c>
      <c r="N199" s="105">
        <v>3.697861535206115</v>
      </c>
      <c r="O199" s="106">
        <v>1.6956835728653239</v>
      </c>
      <c r="P199" s="107">
        <v>2.729455418370371</v>
      </c>
      <c r="Q199" s="108"/>
      <c r="R199" s="108"/>
      <c r="W199" s="134">
        <f>V197+I199/3</f>
        <v>0.18251558637689694</v>
      </c>
      <c r="X199" s="134">
        <f>V197+I199/5</f>
        <v>0.14213802336239459</v>
      </c>
      <c r="Y199" s="134">
        <f>V197-E199</f>
        <v>6.9198571268431402E-2</v>
      </c>
      <c r="Z199" s="110"/>
      <c r="AA199" s="110"/>
      <c r="AB199" s="110"/>
      <c r="AI199" s="67"/>
    </row>
    <row r="200" spans="1:35">
      <c r="A200">
        <v>4.2699999999999996</v>
      </c>
      <c r="B200" t="s">
        <v>35</v>
      </c>
      <c r="C200" s="192">
        <v>1.134436040023689</v>
      </c>
      <c r="D200" s="98">
        <v>1.122937157854873</v>
      </c>
      <c r="E200" s="99">
        <v>1.0136210207651991E-2</v>
      </c>
      <c r="F200" s="100">
        <v>4.5980775089174291</v>
      </c>
      <c r="G200" s="101">
        <v>3.0531835614297069</v>
      </c>
      <c r="H200" s="102">
        <v>0.40700516959555721</v>
      </c>
      <c r="I200" s="102">
        <v>0.67162364548473596</v>
      </c>
      <c r="J200" s="102">
        <v>1.166431738979621</v>
      </c>
      <c r="K200" s="98">
        <v>4.0946881815729181</v>
      </c>
      <c r="L200" s="103">
        <v>1.122937157854873</v>
      </c>
      <c r="M200" s="104">
        <v>1.0136210207651991E-2</v>
      </c>
      <c r="N200" s="105">
        <v>4.5980775089174291</v>
      </c>
      <c r="O200" s="106">
        <v>3.0531835614297069</v>
      </c>
      <c r="P200" s="107">
        <v>4.0946881815729181</v>
      </c>
      <c r="Q200" s="108"/>
      <c r="R200" s="108"/>
      <c r="W200" s="134">
        <f>V198+I200/3</f>
        <v>0.29537800337530651</v>
      </c>
      <c r="X200" s="134">
        <f>V198+I200/5</f>
        <v>0.20582818397734176</v>
      </c>
      <c r="Y200" s="134">
        <f>V198-E200</f>
        <v>6.1367244672742564E-2</v>
      </c>
      <c r="Z200" s="110"/>
      <c r="AA200" s="110"/>
      <c r="AB200" s="110"/>
      <c r="AI200" s="67"/>
    </row>
    <row r="201" spans="1:35">
      <c r="C201" s="66"/>
      <c r="D201" s="98"/>
      <c r="F201" s="100"/>
      <c r="K201" s="98"/>
      <c r="L201" s="103"/>
      <c r="M201" s="104"/>
      <c r="N201" s="105"/>
      <c r="P201" s="107"/>
      <c r="Q201" s="108"/>
      <c r="R201" s="108"/>
    </row>
    <row r="202" spans="1:35" s="184" customFormat="1">
      <c r="A202" s="184" t="s">
        <v>137</v>
      </c>
      <c r="B202" s="184" t="s">
        <v>30</v>
      </c>
      <c r="C202" s="188">
        <v>15.889196013537671</v>
      </c>
      <c r="D202" s="20">
        <v>9.8037151423269755</v>
      </c>
      <c r="E202" s="30">
        <v>0.38299488948502092</v>
      </c>
      <c r="F202" s="21">
        <v>28.4024921032095</v>
      </c>
      <c r="G202" s="40">
        <v>0.78753488087191093</v>
      </c>
      <c r="H202" s="22">
        <v>-4.3345381435306307E-2</v>
      </c>
      <c r="I202" s="22">
        <v>0.1958031255215622</v>
      </c>
      <c r="J202" s="22">
        <v>0.43309984530020351</v>
      </c>
      <c r="K202" s="20">
        <v>2.8971151946860818</v>
      </c>
      <c r="L202" s="23">
        <v>13.915700819801399</v>
      </c>
      <c r="M202" s="33">
        <v>0.12420359041796961</v>
      </c>
      <c r="N202" s="24">
        <v>28.4024921032095</v>
      </c>
      <c r="O202" s="25">
        <v>0.78753488087191093</v>
      </c>
      <c r="P202" s="26">
        <v>2.0410392887143751</v>
      </c>
      <c r="Q202" s="27">
        <v>8.2634035245384638E-2</v>
      </c>
      <c r="R202" s="27">
        <v>4.1372652249430743E-2</v>
      </c>
      <c r="S202" s="28">
        <v>2.9734128451271921E-2</v>
      </c>
      <c r="T202" s="184">
        <v>1812.0156999999999</v>
      </c>
      <c r="U202" s="134">
        <f>C202*S202</f>
        <v>0.47245139525396684</v>
      </c>
      <c r="V202" s="134">
        <f>(1+S202)*Q202*(1-U202)+S202</f>
        <v>7.4623812286073371E-2</v>
      </c>
      <c r="W202" s="134">
        <f>V202+I202/3</f>
        <v>0.13989152079326078</v>
      </c>
      <c r="X202" s="134">
        <f>V202+I202/5</f>
        <v>0.11378443739038581</v>
      </c>
      <c r="Y202" s="134">
        <f>V202-E202</f>
        <v>-0.30837107719894752</v>
      </c>
      <c r="Z202" s="110"/>
      <c r="AA202" s="110"/>
      <c r="AB202" s="110"/>
      <c r="AC202" s="134"/>
      <c r="AD202" s="134"/>
      <c r="AE202" s="134"/>
      <c r="AF202" s="134"/>
      <c r="AH202" s="28"/>
      <c r="AI202" s="67"/>
    </row>
    <row r="203" spans="1:35" s="184" customFormat="1">
      <c r="A203" s="184" t="s">
        <v>138</v>
      </c>
      <c r="B203" s="184" t="s">
        <v>32</v>
      </c>
      <c r="C203" s="189">
        <v>27.620710625022738</v>
      </c>
      <c r="D203" s="20">
        <v>13.72045966249147</v>
      </c>
      <c r="E203" s="30">
        <v>0.50325464653101504</v>
      </c>
      <c r="F203" s="21">
        <v>42.325647537170752</v>
      </c>
      <c r="G203" s="40">
        <v>0.53238807327521109</v>
      </c>
      <c r="H203" s="22">
        <v>-0.26078196686635519</v>
      </c>
      <c r="I203" s="22">
        <v>-4.6053604739736298E-2</v>
      </c>
      <c r="J203" s="22">
        <v>0.15310966571078419</v>
      </c>
      <c r="K203" s="20">
        <v>3.0848563807872389</v>
      </c>
      <c r="L203" s="23">
        <v>17.80598297969588</v>
      </c>
      <c r="M203" s="33">
        <v>0.35533943273839208</v>
      </c>
      <c r="N203" s="24">
        <v>40.844402590336259</v>
      </c>
      <c r="O203" s="25">
        <v>0.47876001978506788</v>
      </c>
      <c r="P203" s="26">
        <v>2.2938583417108189</v>
      </c>
      <c r="Q203" s="27"/>
      <c r="R203" s="27"/>
      <c r="S203" s="28">
        <v>1.827727485157523E-2</v>
      </c>
      <c r="U203" s="134">
        <f>C203*S203</f>
        <v>0.5048313196893649</v>
      </c>
      <c r="V203" s="134">
        <f>(1+S203)*R202*(1-U203)+S203</f>
        <v>3.9138152791010294E-2</v>
      </c>
      <c r="W203" s="134">
        <f>V203+I203/3</f>
        <v>2.3786951211098195E-2</v>
      </c>
      <c r="X203" s="134">
        <f>V203+I203/5</f>
        <v>2.9927431843063033E-2</v>
      </c>
      <c r="Y203" s="134">
        <f>V203-E203</f>
        <v>-0.46411649374000474</v>
      </c>
      <c r="Z203" s="110"/>
      <c r="AA203" s="110"/>
      <c r="AB203" s="110"/>
      <c r="AC203" s="134"/>
      <c r="AD203" s="134"/>
      <c r="AE203" s="134"/>
      <c r="AF203" s="134"/>
      <c r="AH203" s="28"/>
      <c r="AI203" s="67"/>
    </row>
    <row r="204" spans="1:35" s="184" customFormat="1">
      <c r="A204" s="184" t="s">
        <v>55</v>
      </c>
      <c r="B204" s="184" t="s">
        <v>34</v>
      </c>
      <c r="C204" s="187">
        <v>1.312988383403497</v>
      </c>
      <c r="D204" s="20">
        <v>1.2979490825855411</v>
      </c>
      <c r="E204" s="30">
        <v>1.1454252762672311E-2</v>
      </c>
      <c r="F204" s="21">
        <v>3.7279169006191628</v>
      </c>
      <c r="G204" s="40">
        <v>1.839261144836442</v>
      </c>
      <c r="H204" s="22">
        <v>0.16479574447001899</v>
      </c>
      <c r="I204" s="22">
        <v>0.30390448660931391</v>
      </c>
      <c r="J204" s="22">
        <v>0.45687465755310841</v>
      </c>
      <c r="K204" s="20">
        <v>2.8721595867174359</v>
      </c>
      <c r="L204" s="23">
        <v>1.2979490825855411</v>
      </c>
      <c r="M204" s="33">
        <v>1.1454252762672311E-2</v>
      </c>
      <c r="N204" s="24">
        <v>3.7279169006191628</v>
      </c>
      <c r="O204" s="25">
        <v>1.839261144836442</v>
      </c>
      <c r="P204" s="26">
        <v>2.8721595867174359</v>
      </c>
      <c r="Q204" s="27"/>
      <c r="R204" s="27"/>
      <c r="S204" s="28"/>
      <c r="V204" s="109"/>
      <c r="W204" s="134">
        <f>V202+I204/3</f>
        <v>0.17592530782251134</v>
      </c>
      <c r="X204" s="134">
        <f>V202+I204/5</f>
        <v>0.13540470960793616</v>
      </c>
      <c r="Y204" s="134">
        <f>V202-E204</f>
        <v>6.3169559523401059E-2</v>
      </c>
      <c r="Z204" s="110"/>
      <c r="AA204" s="110"/>
      <c r="AB204" s="110"/>
      <c r="AC204" s="134"/>
      <c r="AD204" s="134"/>
      <c r="AE204" s="134"/>
      <c r="AF204" s="134"/>
      <c r="AH204" s="28"/>
      <c r="AI204" s="67"/>
    </row>
    <row r="205" spans="1:35" s="184" customFormat="1">
      <c r="A205" s="184">
        <v>2.4</v>
      </c>
      <c r="B205" s="184" t="s">
        <v>35</v>
      </c>
      <c r="C205" s="187">
        <v>1.142742055571222</v>
      </c>
      <c r="D205" s="20">
        <v>1.1074782220235539</v>
      </c>
      <c r="E205" s="30">
        <v>3.0858961894109301E-2</v>
      </c>
      <c r="F205" s="21">
        <v>4.4197416517387316</v>
      </c>
      <c r="G205" s="40">
        <v>2.867663424296953</v>
      </c>
      <c r="H205" s="22">
        <v>0.31685881987592041</v>
      </c>
      <c r="I205" s="22">
        <v>0.63801502457489101</v>
      </c>
      <c r="J205" s="22">
        <v>0.85935146139552598</v>
      </c>
      <c r="K205" s="20">
        <v>3.990815858810389</v>
      </c>
      <c r="L205" s="23">
        <v>1.1074782220235539</v>
      </c>
      <c r="M205" s="33">
        <v>3.0858961894109301E-2</v>
      </c>
      <c r="N205" s="24">
        <v>4.4197416517387316</v>
      </c>
      <c r="O205" s="25">
        <v>2.867663424296953</v>
      </c>
      <c r="P205" s="26">
        <v>3.990815858810389</v>
      </c>
      <c r="Q205" s="27"/>
      <c r="R205" s="27"/>
      <c r="S205" s="28"/>
      <c r="V205" s="109"/>
      <c r="W205" s="134">
        <f>V203+I205/3</f>
        <v>0.25180982764930726</v>
      </c>
      <c r="X205" s="134">
        <f>V203+I205/5</f>
        <v>0.16674115770598849</v>
      </c>
      <c r="Y205" s="134">
        <f>V203-E205</f>
        <v>8.2791908969009932E-3</v>
      </c>
      <c r="Z205" s="110"/>
      <c r="AA205" s="110"/>
      <c r="AB205" s="110"/>
      <c r="AC205" s="134"/>
      <c r="AD205" s="134"/>
      <c r="AE205" s="134"/>
      <c r="AF205" s="134"/>
      <c r="AH205" s="28"/>
      <c r="AI205" s="67"/>
    </row>
    <row r="206" spans="1:35">
      <c r="C206" s="66"/>
      <c r="D206" s="98"/>
      <c r="F206" s="100"/>
      <c r="K206" s="98"/>
      <c r="L206" s="103"/>
      <c r="M206" s="104"/>
      <c r="N206" s="105"/>
      <c r="P206" s="107"/>
      <c r="Q206" s="108"/>
      <c r="R206" s="108"/>
    </row>
    <row r="207" spans="1:35" s="184" customFormat="1">
      <c r="A207" s="184" t="s">
        <v>139</v>
      </c>
      <c r="B207" s="184" t="s">
        <v>30</v>
      </c>
      <c r="C207" s="187">
        <v>37.162213083993429</v>
      </c>
      <c r="D207" s="20">
        <v>31.263350875685891</v>
      </c>
      <c r="E207" s="30">
        <v>0.15873280191830949</v>
      </c>
      <c r="F207" s="21">
        <v>109.2407332180785</v>
      </c>
      <c r="G207" s="40">
        <v>1.93956479317242</v>
      </c>
      <c r="H207" s="22">
        <v>4.053975874401794E-2</v>
      </c>
      <c r="I207" s="22">
        <v>0.32723483129333147</v>
      </c>
      <c r="J207" s="22">
        <v>0.82625718283986949</v>
      </c>
      <c r="K207" s="20">
        <v>3.4942106382792502</v>
      </c>
      <c r="L207" s="23">
        <v>33.332261153214333</v>
      </c>
      <c r="M207" s="33">
        <v>0.10306038346324289</v>
      </c>
      <c r="N207" s="24">
        <v>109.2407332180785</v>
      </c>
      <c r="O207" s="25">
        <v>1.93956479317242</v>
      </c>
      <c r="P207" s="26">
        <v>3.2773274131012302</v>
      </c>
      <c r="Q207" s="27">
        <v>7.6843834271245512E-2</v>
      </c>
      <c r="R207" s="27">
        <v>1.261000515124126E-3</v>
      </c>
      <c r="S207" s="28">
        <v>7.2308015556351501E-3</v>
      </c>
      <c r="T207" s="184">
        <v>6134.7275</v>
      </c>
      <c r="U207" s="134">
        <f>C207*S207</f>
        <v>0.26871258817858462</v>
      </c>
      <c r="V207" s="134">
        <f>(1+S207)*Q207*(1-U207)+S207</f>
        <v>6.3832064611996461E-2</v>
      </c>
      <c r="W207" s="134">
        <f>V207+I207/3</f>
        <v>0.17291034170977362</v>
      </c>
      <c r="X207" s="134">
        <f>V207+I207/5</f>
        <v>0.12927903087066275</v>
      </c>
      <c r="Y207" s="134">
        <f>V207-E207</f>
        <v>-9.4900737306313029E-2</v>
      </c>
      <c r="Z207" s="110"/>
      <c r="AA207" s="110"/>
      <c r="AB207" s="110"/>
      <c r="AC207" s="134"/>
      <c r="AD207" s="134"/>
      <c r="AE207" s="134"/>
      <c r="AF207" s="134"/>
      <c r="AH207" s="28"/>
      <c r="AI207" s="67"/>
    </row>
    <row r="208" spans="1:35" s="184" customFormat="1">
      <c r="A208" s="184" t="s">
        <v>140</v>
      </c>
      <c r="B208" s="184" t="s">
        <v>32</v>
      </c>
      <c r="C208" s="190">
        <v>2288.0934193828029</v>
      </c>
      <c r="D208" s="20">
        <v>33.181042692299251</v>
      </c>
      <c r="E208" s="30">
        <v>0.98549838812907842</v>
      </c>
      <c r="F208" s="21">
        <v>-123.747219521213</v>
      </c>
      <c r="G208" s="40">
        <v>-1.0540831149956249</v>
      </c>
      <c r="H208" s="22">
        <v>-0.97916046995512773</v>
      </c>
      <c r="I208" s="22">
        <v>-0.9671610033013458</v>
      </c>
      <c r="J208" s="22">
        <v>-0.95349052999970629</v>
      </c>
      <c r="K208" s="20">
        <v>-3.729455420336524</v>
      </c>
      <c r="L208" s="23">
        <v>40.492670478156853</v>
      </c>
      <c r="M208" s="33">
        <v>0.9823028770874751</v>
      </c>
      <c r="N208" s="24">
        <v>-123.747219521213</v>
      </c>
      <c r="O208" s="25">
        <v>-1.0540831149956249</v>
      </c>
      <c r="P208" s="26">
        <v>-3.0560399711835902</v>
      </c>
      <c r="Q208" s="27"/>
      <c r="R208" s="27"/>
      <c r="S208" s="28">
        <v>4.9830910445493367E-3</v>
      </c>
      <c r="U208" s="134">
        <f>C208*S208</f>
        <v>11.401777827218716</v>
      </c>
      <c r="V208" s="134">
        <f>(1+S208)*R207*(1-U208)+S208</f>
        <v>-8.198917600968688E-3</v>
      </c>
      <c r="W208" s="134">
        <f>V208+I208/3</f>
        <v>-0.33058591870141729</v>
      </c>
      <c r="X208" s="134">
        <f>V208+I208/5</f>
        <v>-0.20163111826123786</v>
      </c>
      <c r="Y208" s="134">
        <f>V208-E208</f>
        <v>-0.99369730573004711</v>
      </c>
      <c r="Z208" s="110"/>
      <c r="AA208" s="110"/>
      <c r="AB208" s="110"/>
      <c r="AC208" s="134"/>
      <c r="AD208" s="134"/>
      <c r="AE208" s="134"/>
      <c r="AF208" s="134"/>
      <c r="AH208" s="28"/>
      <c r="AI208" s="67"/>
    </row>
    <row r="209" spans="1:35" s="184" customFormat="1">
      <c r="A209" s="184" t="s">
        <v>55</v>
      </c>
      <c r="B209" s="184" t="s">
        <v>34</v>
      </c>
      <c r="C209" s="189">
        <v>2.8556869433791028</v>
      </c>
      <c r="D209" s="20">
        <v>1.360568852112489</v>
      </c>
      <c r="E209" s="30">
        <v>0.52355812135956936</v>
      </c>
      <c r="F209" s="21">
        <v>6.2790467339203309</v>
      </c>
      <c r="G209" s="40">
        <v>1.1987867922561579</v>
      </c>
      <c r="H209" s="22">
        <v>-0.27906627608857082</v>
      </c>
      <c r="I209" s="22">
        <v>-4.1280680141380643E-2</v>
      </c>
      <c r="J209" s="22">
        <v>0.15436643956014559</v>
      </c>
      <c r="K209" s="20">
        <v>4.615015788558706</v>
      </c>
      <c r="L209" s="23">
        <v>1.8239419892962661</v>
      </c>
      <c r="M209" s="33">
        <v>0.36129483887403441</v>
      </c>
      <c r="N209" s="24">
        <v>6.2790467339203309</v>
      </c>
      <c r="O209" s="25">
        <v>1.1987867922561579</v>
      </c>
      <c r="P209" s="26">
        <v>3.4425693200598908</v>
      </c>
      <c r="Q209" s="27"/>
      <c r="R209" s="27"/>
      <c r="S209" s="28"/>
      <c r="V209" s="109"/>
      <c r="W209" s="134">
        <f>V207+I209/3</f>
        <v>5.0071837898202916E-2</v>
      </c>
      <c r="X209" s="134">
        <f>V207+I209/5</f>
        <v>5.5575928583720333E-2</v>
      </c>
      <c r="Y209" s="134">
        <f>V207-E209</f>
        <v>-0.45972605674757289</v>
      </c>
      <c r="Z209" s="110"/>
      <c r="AA209" s="110"/>
      <c r="AB209" s="110"/>
      <c r="AC209" s="134"/>
      <c r="AD209" s="134"/>
      <c r="AE209" s="134"/>
      <c r="AF209" s="134"/>
      <c r="AH209" s="28"/>
      <c r="AI209" s="67"/>
    </row>
    <row r="210" spans="1:35" s="184" customFormat="1">
      <c r="B210" s="184" t="s">
        <v>35</v>
      </c>
      <c r="C210" s="188">
        <v>2.8852869804938379</v>
      </c>
      <c r="D210" s="20">
        <v>1.810501836076885</v>
      </c>
      <c r="E210" s="30">
        <v>0.37250545671300789</v>
      </c>
      <c r="F210" s="21">
        <v>8.5882106558206566</v>
      </c>
      <c r="G210" s="40">
        <v>1.9765533598154319</v>
      </c>
      <c r="H210" s="22">
        <v>-8.4306419721768222E-2</v>
      </c>
      <c r="I210" s="22">
        <v>0.1052499850934283</v>
      </c>
      <c r="J210" s="22">
        <v>0.4557244530743696</v>
      </c>
      <c r="K210" s="20">
        <v>4.7435525801123504</v>
      </c>
      <c r="L210" s="23">
        <v>1.986583876335948</v>
      </c>
      <c r="M210" s="33">
        <v>0.31147789118851188</v>
      </c>
      <c r="N210" s="24">
        <v>8.5882106558206566</v>
      </c>
      <c r="O210" s="25">
        <v>1.9765533598154319</v>
      </c>
      <c r="P210" s="26">
        <v>4.3231049834456208</v>
      </c>
      <c r="Q210" s="27"/>
      <c r="R210" s="27"/>
      <c r="S210" s="28"/>
      <c r="V210" s="109"/>
      <c r="W210" s="134">
        <f>V208+I210/3</f>
        <v>2.6884410763507411E-2</v>
      </c>
      <c r="X210" s="134">
        <f>V208+I210/5</f>
        <v>1.285107941771697E-2</v>
      </c>
      <c r="Y210" s="134">
        <f>V208-E210</f>
        <v>-0.38070437431397658</v>
      </c>
      <c r="Z210" s="110"/>
      <c r="AA210" s="110"/>
      <c r="AB210" s="110"/>
      <c r="AC210" s="134"/>
      <c r="AD210" s="134"/>
      <c r="AE210" s="134"/>
      <c r="AF210" s="134"/>
      <c r="AH210" s="28"/>
      <c r="AI210" s="67"/>
    </row>
    <row r="211" spans="1:35">
      <c r="C211" s="66"/>
      <c r="D211" s="98"/>
      <c r="F211" s="100"/>
      <c r="K211" s="98"/>
      <c r="L211" s="103"/>
      <c r="M211" s="104"/>
      <c r="N211" s="105"/>
      <c r="P211" s="107"/>
      <c r="Q211" s="108"/>
      <c r="R211" s="108"/>
    </row>
    <row r="212" spans="1:35">
      <c r="A212" t="s">
        <v>141</v>
      </c>
      <c r="B212" t="s">
        <v>30</v>
      </c>
      <c r="C212" s="192">
        <v>28.10504443670014</v>
      </c>
      <c r="D212" s="98">
        <v>23.271042580531169</v>
      </c>
      <c r="E212" s="99">
        <v>0.17199765924784091</v>
      </c>
      <c r="F212" s="100">
        <v>123.17247267363391</v>
      </c>
      <c r="G212" s="101">
        <v>3.382575268687094</v>
      </c>
      <c r="H212" s="102">
        <v>0.1119140604485389</v>
      </c>
      <c r="I212" s="102">
        <v>0.42861408921371758</v>
      </c>
      <c r="J212" s="102">
        <v>1.215582431300154</v>
      </c>
      <c r="K212" s="98">
        <v>5.2929503372006819</v>
      </c>
      <c r="L212" s="103">
        <v>24.808207695270369</v>
      </c>
      <c r="M212" s="104">
        <v>0.1173040928241587</v>
      </c>
      <c r="N212" s="105">
        <v>123.17247267363391</v>
      </c>
      <c r="O212" s="106">
        <v>3.382575268687094</v>
      </c>
      <c r="P212" s="107">
        <v>4.9649887725309734</v>
      </c>
      <c r="Q212" s="108">
        <v>9.5774362974079097E-2</v>
      </c>
      <c r="R212" s="108">
        <v>7.5450291170855985E-2</v>
      </c>
      <c r="S212" s="109">
        <v>7.8606783489249075E-3</v>
      </c>
      <c r="T212">
        <v>5239.8486999999996</v>
      </c>
      <c r="U212" s="134">
        <f>C212*S212</f>
        <v>0.22092471429914121</v>
      </c>
      <c r="V212" s="134">
        <f>(1+S212)*Q212*(1-U212)+S212</f>
        <v>8.3062645513163544E-2</v>
      </c>
      <c r="W212" s="134">
        <f>V212+I212/3</f>
        <v>0.22593400858440271</v>
      </c>
      <c r="X212" s="134">
        <f>V212+I212/5</f>
        <v>0.16878546335590705</v>
      </c>
      <c r="Y212" s="134">
        <f>V212-E212</f>
        <v>-8.8935013734677368E-2</v>
      </c>
      <c r="Z212" s="110"/>
      <c r="AA212" s="110"/>
      <c r="AB212" s="110"/>
      <c r="AI212" s="67"/>
    </row>
    <row r="213" spans="1:35">
      <c r="A213" t="s">
        <v>142</v>
      </c>
      <c r="B213" t="s">
        <v>32</v>
      </c>
      <c r="C213" s="191">
        <v>34.577941748569579</v>
      </c>
      <c r="D213" s="98">
        <v>25.908950768651462</v>
      </c>
      <c r="E213" s="99">
        <v>0.25070870449588678</v>
      </c>
      <c r="F213" s="100">
        <v>280.68834214661717</v>
      </c>
      <c r="G213" s="101">
        <v>7.1175549484008478</v>
      </c>
      <c r="H213" s="102">
        <v>-1.2489828468175699E-2</v>
      </c>
      <c r="I213" s="102">
        <v>0.1996433722332418</v>
      </c>
      <c r="J213" s="102">
        <v>0.52228199440847378</v>
      </c>
      <c r="K213" s="98">
        <v>10.83364373389586</v>
      </c>
      <c r="L213" s="103">
        <v>25.908950768651462</v>
      </c>
      <c r="M213" s="104">
        <v>0.25070870449588678</v>
      </c>
      <c r="N213" s="105">
        <v>280.68834214661717</v>
      </c>
      <c r="O213" s="106">
        <v>7.1175549484008478</v>
      </c>
      <c r="P213" s="107">
        <v>10.83364373389586</v>
      </c>
      <c r="Q213" s="108"/>
      <c r="R213" s="108"/>
      <c r="S213" s="109">
        <v>5.8253928767892926E-3</v>
      </c>
      <c r="U213" s="134">
        <f>C213*S213</f>
        <v>0.20143009555615232</v>
      </c>
      <c r="V213" s="134">
        <f>(1+S213)*R212*(1-U213)+S213</f>
        <v>6.6428718191899494E-2</v>
      </c>
      <c r="W213" s="134">
        <f>V213+I213/3</f>
        <v>0.13297650893631341</v>
      </c>
      <c r="X213" s="134">
        <f>V213+I213/5</f>
        <v>0.10635739263854785</v>
      </c>
      <c r="Y213" s="134">
        <f>V213-E213</f>
        <v>-0.18427998630398729</v>
      </c>
      <c r="Z213" s="110"/>
      <c r="AA213" s="110"/>
      <c r="AB213" s="110"/>
      <c r="AI213" s="67"/>
    </row>
    <row r="214" spans="1:35">
      <c r="A214" t="s">
        <v>67</v>
      </c>
      <c r="B214" t="s">
        <v>34</v>
      </c>
      <c r="C214" s="193">
        <v>2.6917427272831418</v>
      </c>
      <c r="D214" s="98">
        <v>1.1521590832238839</v>
      </c>
      <c r="E214" s="99">
        <v>0.57196537709724082</v>
      </c>
      <c r="F214" s="100">
        <v>4.9414165263693999</v>
      </c>
      <c r="G214" s="101">
        <v>0.83576850650839218</v>
      </c>
      <c r="H214" s="102">
        <v>-0.37555369603461791</v>
      </c>
      <c r="I214" s="102">
        <v>-0.1389340317406855</v>
      </c>
      <c r="J214" s="102">
        <v>5.946842418081788E-2</v>
      </c>
      <c r="K214" s="98">
        <v>4.2888318100506604</v>
      </c>
      <c r="L214" s="103">
        <v>1.680458769690423</v>
      </c>
      <c r="M214" s="104">
        <v>0.37569859383011639</v>
      </c>
      <c r="N214" s="105">
        <v>4.9414165263693999</v>
      </c>
      <c r="O214" s="106">
        <v>0.83576850650839218</v>
      </c>
      <c r="P214" s="107">
        <v>2.9405163729662438</v>
      </c>
      <c r="Q214" s="108"/>
      <c r="R214" s="108"/>
      <c r="W214" s="134">
        <f>V212+I214/3</f>
        <v>3.6751301599601709E-2</v>
      </c>
      <c r="X214" s="134">
        <f>V212+I214/5</f>
        <v>5.5275839165026444E-2</v>
      </c>
      <c r="Y214" s="134">
        <f>V212-E214</f>
        <v>-0.48890273158407727</v>
      </c>
      <c r="Z214" s="110"/>
      <c r="AA214" s="110"/>
      <c r="AB214" s="110"/>
      <c r="AI214" s="67"/>
    </row>
    <row r="215" spans="1:35">
      <c r="B215" t="s">
        <v>35</v>
      </c>
      <c r="C215" s="191">
        <v>2.608915773018472</v>
      </c>
      <c r="D215" s="98">
        <v>1.4578383260063119</v>
      </c>
      <c r="E215" s="99">
        <v>0.44120912561327452</v>
      </c>
      <c r="F215" s="100">
        <v>6.2512487987058467</v>
      </c>
      <c r="G215" s="101">
        <v>1.396109856575882</v>
      </c>
      <c r="H215" s="102">
        <v>-0.13470494075973621</v>
      </c>
      <c r="I215" s="102">
        <v>8.8237791551050382E-2</v>
      </c>
      <c r="J215" s="102">
        <v>0.35513053787612581</v>
      </c>
      <c r="K215" s="98">
        <v>4.2880261049460016</v>
      </c>
      <c r="L215" s="103">
        <v>1.909026145108119</v>
      </c>
      <c r="M215" s="104">
        <v>0.26826838763774752</v>
      </c>
      <c r="N215" s="105">
        <v>6.2512487987058467</v>
      </c>
      <c r="O215" s="106">
        <v>1.396109856575882</v>
      </c>
      <c r="P215" s="107">
        <v>3.2745747431090342</v>
      </c>
      <c r="Q215" s="108"/>
      <c r="R215" s="108"/>
      <c r="W215" s="134">
        <f>V213+I215/3</f>
        <v>9.584131537558295E-2</v>
      </c>
      <c r="X215" s="134">
        <f>V213+I215/5</f>
        <v>8.4076276502109568E-2</v>
      </c>
      <c r="Y215" s="134">
        <f>V213-E215</f>
        <v>-0.37478040742137503</v>
      </c>
      <c r="Z215" s="110"/>
      <c r="AA215" s="110"/>
      <c r="AB215" s="110"/>
      <c r="AI215" s="67"/>
    </row>
    <row r="216" spans="1:35">
      <c r="C216" s="66"/>
      <c r="D216" s="98"/>
      <c r="F216" s="100"/>
      <c r="K216" s="98"/>
      <c r="L216" s="103"/>
      <c r="M216" s="104"/>
      <c r="N216" s="105"/>
      <c r="P216" s="107"/>
      <c r="Q216" s="108"/>
      <c r="R216" s="108"/>
    </row>
    <row r="217" spans="1:35">
      <c r="A217" t="s">
        <v>143</v>
      </c>
      <c r="B217" t="s">
        <v>30</v>
      </c>
      <c r="C217" s="194">
        <v>42.885810889058547</v>
      </c>
      <c r="D217" s="98">
        <v>23.470525379107311</v>
      </c>
      <c r="E217" s="99">
        <v>0.45272049443525048</v>
      </c>
      <c r="F217" s="100">
        <v>63.485642140748993</v>
      </c>
      <c r="G217" s="101">
        <v>0.48034141886649229</v>
      </c>
      <c r="H217" s="102">
        <v>-0.25239608881419229</v>
      </c>
      <c r="I217" s="102">
        <v>-0.17961682667942869</v>
      </c>
      <c r="J217" s="102">
        <v>-0.12386071093858091</v>
      </c>
      <c r="K217" s="98">
        <v>2.7049092900690588</v>
      </c>
      <c r="L217" s="103">
        <v>23.470525379107311</v>
      </c>
      <c r="M217" s="104">
        <v>0.45272049443525048</v>
      </c>
      <c r="N217" s="105">
        <v>63.485642140748993</v>
      </c>
      <c r="O217" s="106">
        <v>0.48034141886649229</v>
      </c>
      <c r="P217" s="107">
        <v>2.7049092900690588</v>
      </c>
      <c r="Q217" s="108">
        <v>0.1164160232799773</v>
      </c>
      <c r="R217" s="108">
        <v>9.9180868521460283E-2</v>
      </c>
      <c r="S217" s="109">
        <v>8.1880165843804652E-3</v>
      </c>
      <c r="T217">
        <v>11512.96</v>
      </c>
      <c r="U217" s="134">
        <f>C217*S217</f>
        <v>0.35114973079421574</v>
      </c>
      <c r="V217" s="134">
        <f>(1+S217)*Q217*(1-U217)+S217</f>
        <v>8.434307930134087E-2</v>
      </c>
      <c r="W217" s="134">
        <f>V217+I217/3</f>
        <v>2.4470803741531308E-2</v>
      </c>
      <c r="X217" s="134">
        <f>V217+I217/5</f>
        <v>4.8419713965455136E-2</v>
      </c>
      <c r="Y217" s="134">
        <f>V217-E217</f>
        <v>-0.36837741513390959</v>
      </c>
      <c r="Z217" s="110"/>
      <c r="AA217" s="110"/>
      <c r="AB217" s="110"/>
      <c r="AI217" s="67"/>
    </row>
    <row r="218" spans="1:35">
      <c r="A218" t="s">
        <v>144</v>
      </c>
      <c r="B218" t="s">
        <v>32</v>
      </c>
      <c r="C218" s="191">
        <v>33.224196025779953</v>
      </c>
      <c r="D218" s="98">
        <v>19.468922976719821</v>
      </c>
      <c r="E218" s="99">
        <v>0.41401372175828932</v>
      </c>
      <c r="F218" s="100">
        <v>72.973142209207978</v>
      </c>
      <c r="G218" s="101">
        <v>1.1963854942519989</v>
      </c>
      <c r="H218" s="102">
        <v>-2.1570630309373558E-2</v>
      </c>
      <c r="I218" s="102">
        <v>0.1274552288992199</v>
      </c>
      <c r="J218" s="102">
        <v>0.21598493320016671</v>
      </c>
      <c r="K218" s="98">
        <v>3.7481858804653139</v>
      </c>
      <c r="L218" s="103">
        <v>19.468922976719821</v>
      </c>
      <c r="M218" s="104">
        <v>0.41401372175828932</v>
      </c>
      <c r="N218" s="105">
        <v>72.973142209207978</v>
      </c>
      <c r="O218" s="106">
        <v>1.1963854942519989</v>
      </c>
      <c r="P218" s="107">
        <v>3.7481858804653139</v>
      </c>
      <c r="Q218" s="108"/>
      <c r="R218" s="108"/>
      <c r="S218" s="109">
        <v>1.011835188506938E-2</v>
      </c>
      <c r="U218" s="134">
        <f>C218*S218</f>
        <v>0.33617410648736518</v>
      </c>
      <c r="V218" s="134">
        <f>(1+S218)*R217*(1-U218)+S218</f>
        <v>7.6623360986826414E-2</v>
      </c>
      <c r="W218" s="134">
        <f>V218+I218/3</f>
        <v>0.11910843728656638</v>
      </c>
      <c r="X218" s="134">
        <f>V218+I218/5</f>
        <v>0.10211440676667038</v>
      </c>
      <c r="Y218" s="134">
        <f>V218-E218</f>
        <v>-0.33739036077146289</v>
      </c>
      <c r="Z218" s="110"/>
      <c r="AA218" s="110"/>
      <c r="AB218" s="110"/>
      <c r="AI218" s="67"/>
    </row>
    <row r="219" spans="1:35">
      <c r="A219" t="s">
        <v>102</v>
      </c>
      <c r="B219" t="s">
        <v>34</v>
      </c>
      <c r="C219" s="194">
        <v>4.9925955588413418</v>
      </c>
      <c r="D219" s="98">
        <v>3.1018707162521069</v>
      </c>
      <c r="E219" s="99">
        <v>0.37870578946475392</v>
      </c>
      <c r="F219" s="100">
        <v>7.8006077921644517</v>
      </c>
      <c r="G219" s="101">
        <v>0.56243535055637084</v>
      </c>
      <c r="H219" s="102">
        <v>-0.20808530164227471</v>
      </c>
      <c r="I219" s="102">
        <v>-0.1343189901915581</v>
      </c>
      <c r="J219" s="102">
        <v>-6.9754176608323726E-2</v>
      </c>
      <c r="K219" s="98">
        <v>2.5148075164105101</v>
      </c>
      <c r="L219" s="103">
        <v>3.1032218687213158</v>
      </c>
      <c r="M219" s="104">
        <v>0.37843515819625151</v>
      </c>
      <c r="N219" s="105">
        <v>7.8006077921644517</v>
      </c>
      <c r="O219" s="106">
        <v>0.56243535055637084</v>
      </c>
      <c r="P219" s="107">
        <v>2.5137125613834042</v>
      </c>
      <c r="Q219" s="108"/>
      <c r="R219" s="108"/>
      <c r="W219" s="134">
        <f>V217+I219/3</f>
        <v>3.9570082570821501E-2</v>
      </c>
      <c r="X219" s="134">
        <f>V217+I219/5</f>
        <v>5.7479281263029251E-2</v>
      </c>
      <c r="Y219" s="134">
        <f>V217-E219</f>
        <v>-0.29436271016341303</v>
      </c>
      <c r="Z219" s="110"/>
      <c r="AA219" s="110"/>
      <c r="AB219" s="110"/>
      <c r="AI219" s="67"/>
    </row>
    <row r="220" spans="1:35">
      <c r="B220" t="s">
        <v>35</v>
      </c>
      <c r="C220" s="191">
        <v>3.2952046177641039</v>
      </c>
      <c r="D220" s="98">
        <v>2.4297959159506699</v>
      </c>
      <c r="E220" s="99">
        <v>0.26262669612324102</v>
      </c>
      <c r="F220" s="100">
        <v>8.0811948838257912</v>
      </c>
      <c r="G220" s="101">
        <v>1.4524106455365211</v>
      </c>
      <c r="H220" s="102">
        <v>-6.3301868141418796E-3</v>
      </c>
      <c r="I220" s="102">
        <v>0.17807594778527819</v>
      </c>
      <c r="J220" s="102">
        <v>0.32661436059354121</v>
      </c>
      <c r="K220" s="98">
        <v>3.325873926602589</v>
      </c>
      <c r="L220" s="103">
        <v>2.4297959159506699</v>
      </c>
      <c r="M220" s="104">
        <v>0.26262669612324102</v>
      </c>
      <c r="N220" s="105">
        <v>8.0811948838257912</v>
      </c>
      <c r="O220" s="106">
        <v>1.4524106455365211</v>
      </c>
      <c r="P220" s="107">
        <v>3.325873926602589</v>
      </c>
      <c r="Q220" s="108"/>
      <c r="R220" s="108"/>
      <c r="W220" s="134">
        <f>V218+I220/3</f>
        <v>0.13598201024858581</v>
      </c>
      <c r="X220" s="134">
        <f>V218+I220/5</f>
        <v>0.11223855054388204</v>
      </c>
      <c r="Y220" s="134">
        <f>V218-E220</f>
        <v>-0.18600333513641459</v>
      </c>
      <c r="Z220" s="110"/>
      <c r="AA220" s="110"/>
      <c r="AB220" s="110"/>
      <c r="AI220" s="67"/>
    </row>
    <row r="221" spans="1:35">
      <c r="Q221" s="108"/>
      <c r="R221" s="108"/>
    </row>
    <row r="222" spans="1:35" s="184" customFormat="1">
      <c r="A222" s="184" t="s">
        <v>145</v>
      </c>
      <c r="B222" s="184" t="s">
        <v>30</v>
      </c>
      <c r="C222" s="189">
        <v>32.302985482624997</v>
      </c>
      <c r="D222" s="20">
        <v>18.939651804139181</v>
      </c>
      <c r="E222" s="30">
        <v>0.41368726384976529</v>
      </c>
      <c r="F222" s="21">
        <v>48.818342720701892</v>
      </c>
      <c r="G222" s="40">
        <v>0.51126411355879453</v>
      </c>
      <c r="H222" s="22">
        <v>-0.28877351387970601</v>
      </c>
      <c r="I222" s="22">
        <v>-8.735049442323306E-2</v>
      </c>
      <c r="J222" s="22">
        <v>3.8358566911595338E-2</v>
      </c>
      <c r="K222" s="20">
        <v>2.5775734013247731</v>
      </c>
      <c r="L222" s="23">
        <v>21.65856572653254</v>
      </c>
      <c r="M222" s="33">
        <v>0.32951814196300361</v>
      </c>
      <c r="N222" s="24">
        <v>48.818342720701892</v>
      </c>
      <c r="O222" s="25">
        <v>0.51126411355879453</v>
      </c>
      <c r="P222" s="26">
        <v>2.2539970253384611</v>
      </c>
      <c r="Q222" s="27">
        <v>0.18075449629103249</v>
      </c>
      <c r="R222" s="27">
        <v>8.5276648096167113E-2</v>
      </c>
      <c r="S222" s="28">
        <v>1.3706529936759519E-2</v>
      </c>
      <c r="T222" s="184">
        <v>15037.58</v>
      </c>
      <c r="U222" s="134">
        <f>C222*S222</f>
        <v>0.44276183756430765</v>
      </c>
      <c r="V222" s="134">
        <f>(1+S222)*Q222*(1-U222)+S222</f>
        <v>0.11581040027486811</v>
      </c>
      <c r="W222" s="134">
        <f>V222+I222/3</f>
        <v>8.6693568800457088E-2</v>
      </c>
      <c r="X222" s="134">
        <f>V222+I222/5</f>
        <v>9.8340301390221499E-2</v>
      </c>
      <c r="Y222" s="134">
        <f>V222-E222</f>
        <v>-0.29787686357489718</v>
      </c>
      <c r="Z222" s="110"/>
      <c r="AA222" s="110"/>
      <c r="AB222" s="110"/>
      <c r="AC222" s="134"/>
      <c r="AD222" s="134"/>
      <c r="AE222" s="134"/>
      <c r="AF222" s="134"/>
      <c r="AH222" s="28"/>
      <c r="AI222" s="67"/>
    </row>
    <row r="223" spans="1:35" s="184" customFormat="1">
      <c r="A223" s="184" t="s">
        <v>146</v>
      </c>
      <c r="B223" s="184" t="s">
        <v>32</v>
      </c>
      <c r="C223" s="187">
        <v>32.819649295491587</v>
      </c>
      <c r="D223" s="20">
        <v>28.765937065970839</v>
      </c>
      <c r="E223" s="30">
        <v>0.1235147942326615</v>
      </c>
      <c r="F223" s="21">
        <v>-299.30408638577728</v>
      </c>
      <c r="G223" s="40">
        <v>-10.11966132517121</v>
      </c>
      <c r="H223" s="22">
        <v>0.14997093053564289</v>
      </c>
      <c r="I223" s="22">
        <v>0.34245334583005071</v>
      </c>
      <c r="J223" s="22">
        <v>0.72994648680189966</v>
      </c>
      <c r="K223" s="20">
        <v>-10.404809191487949</v>
      </c>
      <c r="L223" s="23">
        <v>28.765937065970839</v>
      </c>
      <c r="M223" s="33">
        <v>0.1235147942326615</v>
      </c>
      <c r="N223" s="24">
        <v>-299.30408638577728</v>
      </c>
      <c r="O223" s="25">
        <v>-10.11966132517121</v>
      </c>
      <c r="P223" s="26">
        <v>-10.404809191487949</v>
      </c>
      <c r="Q223" s="27"/>
      <c r="R223" s="27"/>
      <c r="S223" s="28">
        <v>1.178953799101237E-2</v>
      </c>
      <c r="U223" s="134">
        <f>C223*S223</f>
        <v>0.38692850222090042</v>
      </c>
      <c r="V223" s="134">
        <f>(1+S223)*R222*(1-U223)+S223</f>
        <v>6.4686585455953877E-2</v>
      </c>
      <c r="W223" s="134">
        <f>V223+I223/3</f>
        <v>0.17883770073263744</v>
      </c>
      <c r="X223" s="134">
        <f>V223+I223/5</f>
        <v>0.133177254621964</v>
      </c>
      <c r="Y223" s="134">
        <f>V223-E223</f>
        <v>-5.8828208776707622E-2</v>
      </c>
      <c r="Z223" s="110"/>
      <c r="AA223" s="110"/>
      <c r="AB223" s="110"/>
      <c r="AC223" s="134"/>
      <c r="AD223" s="134"/>
      <c r="AE223" s="134"/>
      <c r="AF223" s="134"/>
      <c r="AH223" s="28"/>
      <c r="AI223" s="67"/>
    </row>
    <row r="224" spans="1:35" s="184" customFormat="1">
      <c r="A224" s="184" t="s">
        <v>55</v>
      </c>
      <c r="B224" s="184" t="s">
        <v>34</v>
      </c>
      <c r="C224" s="190">
        <v>5.8389098696084174</v>
      </c>
      <c r="D224" s="20">
        <v>2.7646654123247409</v>
      </c>
      <c r="E224" s="30">
        <v>0.52651000373976464</v>
      </c>
      <c r="F224" s="21">
        <v>6.8171383972272226</v>
      </c>
      <c r="G224" s="40">
        <v>0.1675361581980388</v>
      </c>
      <c r="H224" s="22">
        <v>-0.39922737092481658</v>
      </c>
      <c r="I224" s="22">
        <v>-0.30236511366184621</v>
      </c>
      <c r="J224" s="22">
        <v>-0.16428341333209079</v>
      </c>
      <c r="K224" s="20">
        <v>2.4658095575821801</v>
      </c>
      <c r="L224" s="23">
        <v>3.2959469521448921</v>
      </c>
      <c r="M224" s="33">
        <v>0.43552015260582649</v>
      </c>
      <c r="N224" s="24">
        <v>5.9765771057555677</v>
      </c>
      <c r="O224" s="25">
        <v>2.357755800679695E-2</v>
      </c>
      <c r="P224" s="26">
        <v>1.81331107342799</v>
      </c>
      <c r="Q224" s="27"/>
      <c r="R224" s="27"/>
      <c r="S224" s="28"/>
      <c r="V224" s="109"/>
      <c r="W224" s="134">
        <f>V222+I224/3</f>
        <v>1.5022029054252706E-2</v>
      </c>
      <c r="X224" s="134">
        <f>V222+I224/5</f>
        <v>5.5337377542498865E-2</v>
      </c>
      <c r="Y224" s="134">
        <f>V222-E224</f>
        <v>-0.41069960346489653</v>
      </c>
      <c r="Z224" s="110"/>
      <c r="AA224" s="110"/>
      <c r="AB224" s="110"/>
      <c r="AC224" s="134"/>
      <c r="AD224" s="134"/>
      <c r="AE224" s="134"/>
      <c r="AF224" s="134"/>
      <c r="AH224" s="28"/>
      <c r="AI224" s="67"/>
    </row>
    <row r="225" spans="1:35" s="184" customFormat="1">
      <c r="B225" s="184" t="s">
        <v>35</v>
      </c>
      <c r="C225" s="188">
        <v>2.798749683611256</v>
      </c>
      <c r="D225" s="20">
        <v>1.9642037363701941</v>
      </c>
      <c r="E225" s="30">
        <v>0.29818527613524859</v>
      </c>
      <c r="F225" s="21">
        <v>6.4414366592750589</v>
      </c>
      <c r="G225" s="40">
        <v>1.3015408262462429</v>
      </c>
      <c r="H225" s="22">
        <v>-4.4325390718377489E-2</v>
      </c>
      <c r="I225" s="22">
        <v>0.1065618479699029</v>
      </c>
      <c r="J225" s="22">
        <v>0.32280021152996091</v>
      </c>
      <c r="K225" s="20">
        <v>3.2794137084672772</v>
      </c>
      <c r="L225" s="23">
        <v>1.9642037363701941</v>
      </c>
      <c r="M225" s="33">
        <v>0.29818527613524859</v>
      </c>
      <c r="N225" s="24">
        <v>6.4414366592750589</v>
      </c>
      <c r="O225" s="25">
        <v>1.3015408262462429</v>
      </c>
      <c r="P225" s="26">
        <v>3.2794137084672772</v>
      </c>
      <c r="Q225" s="27"/>
      <c r="R225" s="27"/>
      <c r="S225" s="28"/>
      <c r="V225" s="109"/>
      <c r="W225" s="134">
        <f>V223+I225/3</f>
        <v>0.10020720144592152</v>
      </c>
      <c r="X225" s="134">
        <f>V223+I225/5</f>
        <v>8.5998955049934461E-2</v>
      </c>
      <c r="Y225" s="134">
        <f>V223-E225</f>
        <v>-0.23349869067929471</v>
      </c>
      <c r="Z225" s="110"/>
      <c r="AA225" s="110"/>
      <c r="AB225" s="110"/>
      <c r="AC225" s="134"/>
      <c r="AD225" s="134"/>
      <c r="AE225" s="134"/>
      <c r="AF225" s="134"/>
      <c r="AH225" s="28"/>
      <c r="AI225" s="67"/>
    </row>
    <row r="227" spans="1:35">
      <c r="A227" t="s">
        <v>147</v>
      </c>
      <c r="B227" t="s">
        <v>30</v>
      </c>
      <c r="C227" s="193">
        <v>45.800900670197009</v>
      </c>
      <c r="D227" s="98">
        <v>15.356589988788659</v>
      </c>
      <c r="E227" s="99">
        <v>0.66470986893099893</v>
      </c>
      <c r="F227" s="100">
        <v>95.3089638964464</v>
      </c>
      <c r="G227" s="101">
        <v>1.0809408221630159</v>
      </c>
      <c r="H227" s="102">
        <v>-0.33181064865818122</v>
      </c>
      <c r="I227" s="102">
        <v>-0.1095464999800768</v>
      </c>
      <c r="J227" s="102">
        <v>0.15725309593807249</v>
      </c>
      <c r="K227" s="98">
        <v>6.2063885254492277</v>
      </c>
      <c r="L227" s="103">
        <v>15.356589988788659</v>
      </c>
      <c r="M227" s="104">
        <v>0.66470986893099893</v>
      </c>
      <c r="N227" s="105">
        <v>95.3089638964464</v>
      </c>
      <c r="O227" s="106">
        <v>1.0809408221630159</v>
      </c>
      <c r="P227" s="107">
        <v>6.2063885254492277</v>
      </c>
      <c r="Q227" s="108">
        <v>9.578339606479494E-2</v>
      </c>
      <c r="R227" s="108">
        <v>9.3787666517281654E-2</v>
      </c>
      <c r="S227" s="109">
        <v>6.2263788995614378E-3</v>
      </c>
      <c r="T227">
        <v>1924.31</v>
      </c>
      <c r="U227" s="134">
        <f>C227*S227</f>
        <v>0.28517376151382395</v>
      </c>
      <c r="V227" s="134">
        <f>(1+S227)*Q227*(1-U227)+S227</f>
        <v>7.5121174346526182E-2</v>
      </c>
      <c r="W227" s="134">
        <f>V227+I227/3</f>
        <v>3.8605674353167245E-2</v>
      </c>
      <c r="X227" s="134">
        <f>V227+I227/5</f>
        <v>5.3211874350510821E-2</v>
      </c>
      <c r="Y227" s="134">
        <f>V227-E227</f>
        <v>-0.58958869458447272</v>
      </c>
      <c r="Z227" s="110"/>
      <c r="AA227" s="110"/>
      <c r="AB227" s="110"/>
    </row>
    <row r="228" spans="1:35">
      <c r="A228" t="s">
        <v>148</v>
      </c>
      <c r="B228" t="s">
        <v>32</v>
      </c>
      <c r="C228" s="191">
        <v>39.140458171746907</v>
      </c>
      <c r="D228" s="98">
        <v>16.724585538049311</v>
      </c>
      <c r="E228" s="99">
        <v>0.5727033785689879</v>
      </c>
      <c r="F228" s="100">
        <v>113.6036279108276</v>
      </c>
      <c r="G228" s="101">
        <v>1.9024603496550541</v>
      </c>
      <c r="H228" s="102">
        <v>-0.2406309177849846</v>
      </c>
      <c r="I228" s="102">
        <v>0.1917726067618748</v>
      </c>
      <c r="J228" s="102">
        <v>0.43985043393110712</v>
      </c>
      <c r="K228" s="98">
        <v>6.7926124478465164</v>
      </c>
      <c r="L228" s="103">
        <v>16.724585538049311</v>
      </c>
      <c r="M228" s="104">
        <v>0.5727033785689879</v>
      </c>
      <c r="N228" s="105">
        <v>113.6036279108276</v>
      </c>
      <c r="O228" s="106">
        <v>1.9024603496550541</v>
      </c>
      <c r="P228" s="107">
        <v>6.7926124478465164</v>
      </c>
      <c r="Q228" s="108"/>
      <c r="R228" s="108"/>
      <c r="S228" s="109">
        <v>8.2818132372365055E-3</v>
      </c>
      <c r="U228" s="134">
        <f>C228*S228</f>
        <v>0.32415396459827528</v>
      </c>
      <c r="V228" s="112">
        <f>(1+S228)*R227*(1-U228)+S228</f>
        <v>7.2192787023422966E-2</v>
      </c>
      <c r="W228" s="112">
        <f>V228+I228/3</f>
        <v>0.13611698927738125</v>
      </c>
      <c r="X228" s="134">
        <f>V228+I228/5</f>
        <v>0.11054730837579793</v>
      </c>
      <c r="Y228" s="134">
        <f>V228-E228</f>
        <v>-0.50051059154556499</v>
      </c>
      <c r="Z228" s="110"/>
      <c r="AA228" s="110"/>
      <c r="AB228" s="110"/>
    </row>
    <row r="229" spans="1:35">
      <c r="A229" t="s">
        <v>149</v>
      </c>
      <c r="B229" t="s">
        <v>34</v>
      </c>
      <c r="C229" s="193">
        <v>4.3869658090178119</v>
      </c>
      <c r="D229" s="98">
        <v>2.0895775055925192</v>
      </c>
      <c r="E229" s="99">
        <v>0.52368502592447841</v>
      </c>
      <c r="F229" s="100">
        <v>7.4276716044234314</v>
      </c>
      <c r="G229" s="101">
        <v>0.69312274765286941</v>
      </c>
      <c r="H229" s="102">
        <v>-0.23843556925331891</v>
      </c>
      <c r="I229" s="102">
        <v>-0.14207219481899069</v>
      </c>
      <c r="J229" s="102">
        <v>4.1461417600565431E-2</v>
      </c>
      <c r="K229" s="98">
        <v>3.554628428256001</v>
      </c>
      <c r="L229" s="103">
        <v>2.0895775055925192</v>
      </c>
      <c r="M229" s="104">
        <v>0.52368502592447841</v>
      </c>
      <c r="N229" s="105">
        <v>7.4276716044234314</v>
      </c>
      <c r="O229" s="106">
        <v>0.69312274765286941</v>
      </c>
      <c r="P229" s="107">
        <v>3.554628428256001</v>
      </c>
      <c r="Q229" s="108"/>
      <c r="R229" s="108"/>
      <c r="W229" s="134">
        <f>V227+I229/3</f>
        <v>2.7763776073529284E-2</v>
      </c>
      <c r="X229" s="134">
        <f>V227+I229/5</f>
        <v>4.6706735382728043E-2</v>
      </c>
      <c r="Y229" s="134">
        <f>V227-E229</f>
        <v>-0.4485638515779522</v>
      </c>
      <c r="Z229" s="110"/>
      <c r="AA229" s="110"/>
      <c r="AB229" s="110"/>
    </row>
    <row r="230" spans="1:35">
      <c r="B230" t="s">
        <v>35</v>
      </c>
      <c r="C230" s="193">
        <v>3.6708922383454108</v>
      </c>
      <c r="D230" s="98">
        <v>1.995135210265554</v>
      </c>
      <c r="E230" s="99">
        <v>0.4564985620049623</v>
      </c>
      <c r="F230" s="100">
        <v>7.3267087747259998</v>
      </c>
      <c r="G230" s="101">
        <v>0.99589317773827712</v>
      </c>
      <c r="H230" s="102">
        <v>-0.17042553643164299</v>
      </c>
      <c r="I230" s="102">
        <v>-2.251374121369687E-2</v>
      </c>
      <c r="J230" s="102">
        <v>0.16045577920276369</v>
      </c>
      <c r="K230" s="98">
        <v>3.672286839021206</v>
      </c>
      <c r="L230" s="103">
        <v>1.995135210265554</v>
      </c>
      <c r="M230" s="104">
        <v>0.4564985620049623</v>
      </c>
      <c r="N230" s="105">
        <v>7.3267087747259998</v>
      </c>
      <c r="O230" s="106">
        <v>0.99589317773827712</v>
      </c>
      <c r="P230" s="107">
        <v>3.672286839021206</v>
      </c>
      <c r="Q230" s="108"/>
      <c r="R230" s="108"/>
      <c r="W230" s="112">
        <f>V228+I230/3</f>
        <v>6.4688206618857338E-2</v>
      </c>
      <c r="X230" s="134">
        <f>V228+I230/5</f>
        <v>6.7690038780683595E-2</v>
      </c>
      <c r="Y230" s="134">
        <f>V228-E230</f>
        <v>-0.38430577498153934</v>
      </c>
      <c r="Z230" s="110"/>
      <c r="AA230" s="110"/>
      <c r="AB230" s="110"/>
    </row>
    <row r="231" spans="1:35">
      <c r="C231" s="109">
        <f>C230/C228</f>
        <v>9.3787666517281668E-2</v>
      </c>
    </row>
    <row r="232" spans="1:35" s="184" customFormat="1">
      <c r="A232" s="184" t="s">
        <v>150</v>
      </c>
      <c r="B232" s="184" t="s">
        <v>30</v>
      </c>
      <c r="C232" s="187">
        <v>6.3539682067486316</v>
      </c>
      <c r="D232" s="20">
        <v>5.6893582839444754</v>
      </c>
      <c r="E232" s="30">
        <v>0.1045976154080006</v>
      </c>
      <c r="F232" s="21">
        <v>14.801144522469279</v>
      </c>
      <c r="G232" s="40">
        <v>1.3294332047095849</v>
      </c>
      <c r="H232" s="22">
        <v>0.1350070633838247</v>
      </c>
      <c r="I232" s="22">
        <v>0.27613267331267061</v>
      </c>
      <c r="J232" s="22">
        <v>0.49018049717682038</v>
      </c>
      <c r="K232" s="20">
        <v>2.6015490295695591</v>
      </c>
      <c r="L232" s="23">
        <v>6.1825938158508871</v>
      </c>
      <c r="M232" s="33">
        <v>2.697123833822879E-2</v>
      </c>
      <c r="N232" s="24">
        <v>11.100516839759701</v>
      </c>
      <c r="O232" s="25">
        <v>0.74702114939286246</v>
      </c>
      <c r="P232" s="26">
        <v>1.7954465666659649</v>
      </c>
      <c r="Q232" s="27">
        <v>0.12181952264325981</v>
      </c>
      <c r="R232" s="27">
        <v>0.1280534729486307</v>
      </c>
      <c r="S232" s="28">
        <v>5.3713741131527513E-2</v>
      </c>
      <c r="T232" s="184">
        <v>2414.7399999999998</v>
      </c>
      <c r="U232" s="134">
        <f>C232*S232</f>
        <v>0.34129540341525211</v>
      </c>
      <c r="V232" s="112">
        <f>(1+S232)*Q232*(1-U232)+S232</f>
        <v>0.13826697665127596</v>
      </c>
      <c r="W232" s="112">
        <f>V232+I232/3</f>
        <v>0.23031120108883285</v>
      </c>
      <c r="X232" s="134">
        <f>V232+I232/5</f>
        <v>0.1934935113138101</v>
      </c>
      <c r="Y232" s="134">
        <f>V232-E232</f>
        <v>3.3669361243275367E-2</v>
      </c>
      <c r="Z232" s="110"/>
      <c r="AA232" s="110"/>
      <c r="AB232" s="110"/>
      <c r="AC232" s="134"/>
      <c r="AD232" s="37"/>
      <c r="AE232" s="134"/>
      <c r="AF232" s="134"/>
      <c r="AH232" s="28"/>
      <c r="AI232" s="67"/>
    </row>
    <row r="233" spans="1:35" s="184" customFormat="1">
      <c r="A233" s="184" t="s">
        <v>151</v>
      </c>
      <c r="B233" s="184" t="s">
        <v>32</v>
      </c>
      <c r="C233" s="187">
        <v>7.7498070891630837</v>
      </c>
      <c r="D233" s="20">
        <v>7.392735430818715</v>
      </c>
      <c r="E233" s="30">
        <v>4.6074909250796492E-2</v>
      </c>
      <c r="F233" s="21">
        <v>27.207984890483289</v>
      </c>
      <c r="G233" s="40">
        <v>2.510795117536472</v>
      </c>
      <c r="H233" s="22">
        <v>0.2414768539139458</v>
      </c>
      <c r="I233" s="22">
        <v>0.50539141576726099</v>
      </c>
      <c r="J233" s="22">
        <v>0.86101051297490461</v>
      </c>
      <c r="K233" s="20">
        <v>3.6803677265466699</v>
      </c>
      <c r="L233" s="23">
        <v>7.392735430818715</v>
      </c>
      <c r="M233" s="33">
        <v>4.6074909250796492E-2</v>
      </c>
      <c r="N233" s="24">
        <v>17.12889494014097</v>
      </c>
      <c r="O233" s="25">
        <v>1.2102350088292011</v>
      </c>
      <c r="P233" s="26">
        <v>2.3169901182631691</v>
      </c>
      <c r="Q233" s="27"/>
      <c r="R233" s="27"/>
      <c r="S233" s="28">
        <v>5.8236762803283361E-2</v>
      </c>
      <c r="U233" s="134">
        <f>C233*S233</f>
        <v>0.45132367722279437</v>
      </c>
      <c r="V233" s="134">
        <f>(1+S233)*R232*(1-U233)+S233</f>
        <v>0.13258838109458601</v>
      </c>
      <c r="W233" s="134">
        <f>V233+I233/3</f>
        <v>0.3010521863503397</v>
      </c>
      <c r="X233" s="134">
        <f>V233+I233/5</f>
        <v>0.23366666424803822</v>
      </c>
      <c r="Y233" s="134">
        <f>V233-E233</f>
        <v>8.6513471843789519E-2</v>
      </c>
      <c r="Z233" s="110"/>
      <c r="AA233" s="110"/>
      <c r="AB233" s="110"/>
      <c r="AC233" s="134"/>
      <c r="AD233" s="134"/>
      <c r="AE233" s="134"/>
      <c r="AF233" s="134"/>
      <c r="AH233" s="28"/>
      <c r="AI233" s="67"/>
    </row>
    <row r="234" spans="1:35" s="184" customFormat="1">
      <c r="A234" s="184" t="s">
        <v>152</v>
      </c>
      <c r="B234" s="184" t="s">
        <v>34</v>
      </c>
      <c r="C234" s="187">
        <v>0.77403737383656812</v>
      </c>
      <c r="D234" s="20">
        <v>0.75897217400870953</v>
      </c>
      <c r="E234" s="30">
        <v>1.9463142655744E-2</v>
      </c>
      <c r="F234" s="21">
        <v>2.4304970767856409</v>
      </c>
      <c r="G234" s="40">
        <v>2.1400254806027261</v>
      </c>
      <c r="H234" s="22">
        <v>0.28923893926223521</v>
      </c>
      <c r="I234" s="22">
        <v>0.49555268397073399</v>
      </c>
      <c r="J234" s="22">
        <v>1.004617010469508</v>
      </c>
      <c r="K234" s="20">
        <v>3.2023533405030351</v>
      </c>
      <c r="L234" s="23">
        <v>0.75897217400870953</v>
      </c>
      <c r="M234" s="33">
        <v>1.9463142655744E-2</v>
      </c>
      <c r="N234" s="24">
        <v>1.630099307524989</v>
      </c>
      <c r="O234" s="25">
        <v>1.1059697666086761</v>
      </c>
      <c r="P234" s="26">
        <v>2.1477721626014228</v>
      </c>
      <c r="Q234" s="27"/>
      <c r="R234" s="27"/>
      <c r="S234" s="28"/>
      <c r="V234" s="109"/>
      <c r="W234" s="112">
        <f>V232+I234/3</f>
        <v>0.30345120464152064</v>
      </c>
      <c r="X234" s="134">
        <f>V232+I234/5</f>
        <v>0.23737751344542277</v>
      </c>
      <c r="Y234" s="134">
        <f>V232-E234</f>
        <v>0.11880383399553196</v>
      </c>
      <c r="Z234" s="110"/>
      <c r="AA234" s="110"/>
      <c r="AB234" s="110"/>
      <c r="AC234" s="134"/>
      <c r="AD234" s="134"/>
      <c r="AE234" s="134"/>
      <c r="AF234" s="134"/>
      <c r="AH234" s="28"/>
      <c r="AI234" s="67"/>
    </row>
    <row r="235" spans="1:35" s="184" customFormat="1">
      <c r="B235" s="184" t="s">
        <v>35</v>
      </c>
      <c r="C235" s="187">
        <v>0.99238971244925112</v>
      </c>
      <c r="D235" s="20">
        <v>0.96217007539180066</v>
      </c>
      <c r="E235" s="30">
        <v>3.0451380821821861E-2</v>
      </c>
      <c r="F235" s="21">
        <v>2.66225453126044</v>
      </c>
      <c r="G235" s="40">
        <v>1.6826704245955011</v>
      </c>
      <c r="H235" s="22">
        <v>0.2369319832925296</v>
      </c>
      <c r="I235" s="22">
        <v>0.4490876682006848</v>
      </c>
      <c r="J235" s="22">
        <v>0.77680712836516963</v>
      </c>
      <c r="K235" s="20">
        <v>2.766927177792716</v>
      </c>
      <c r="L235" s="23">
        <v>0.96217007539180066</v>
      </c>
      <c r="M235" s="33">
        <v>3.0451380821821861E-2</v>
      </c>
      <c r="N235" s="24">
        <v>2.4145464970706558</v>
      </c>
      <c r="O235" s="25">
        <v>1.4330628046430209</v>
      </c>
      <c r="P235" s="26">
        <v>2.5094799337710021</v>
      </c>
      <c r="Q235" s="27"/>
      <c r="R235" s="27"/>
      <c r="S235" s="28"/>
      <c r="V235" s="109"/>
      <c r="W235" s="134">
        <f>V233+I235/3</f>
        <v>0.2822842704948143</v>
      </c>
      <c r="X235" s="134">
        <f>V233+I235/5</f>
        <v>0.22240591473472299</v>
      </c>
      <c r="Y235" s="134">
        <f>V233-E235</f>
        <v>0.10213700027276415</v>
      </c>
      <c r="Z235" s="110"/>
      <c r="AA235" s="110"/>
      <c r="AB235" s="110"/>
      <c r="AC235" s="134"/>
      <c r="AD235" s="134"/>
      <c r="AE235" s="134"/>
      <c r="AF235" s="134"/>
      <c r="AH235" s="28"/>
      <c r="AI235" s="67"/>
    </row>
    <row r="236" spans="1:35">
      <c r="Q236" s="108"/>
      <c r="R236" s="108"/>
    </row>
    <row r="237" spans="1:35" s="184" customFormat="1">
      <c r="A237" s="184" t="s">
        <v>153</v>
      </c>
      <c r="B237" s="184" t="s">
        <v>30</v>
      </c>
      <c r="C237" s="190">
        <v>43.524436949961263</v>
      </c>
      <c r="D237" s="20">
        <v>23.071523003154891</v>
      </c>
      <c r="E237" s="30">
        <v>0.46991794449450258</v>
      </c>
      <c r="F237" s="21">
        <v>63.143172036636713</v>
      </c>
      <c r="G237" s="40">
        <v>0.45075218570272407</v>
      </c>
      <c r="H237" s="22">
        <v>-0.30112870706343708</v>
      </c>
      <c r="I237" s="22">
        <v>-0.2037098356657214</v>
      </c>
      <c r="J237" s="22">
        <v>-0.14027467792074619</v>
      </c>
      <c r="K237" s="20">
        <v>2.736844551961406</v>
      </c>
      <c r="L237" s="23">
        <v>23.746698269305799</v>
      </c>
      <c r="M237" s="33">
        <v>0.45440538848080542</v>
      </c>
      <c r="N237" s="24">
        <v>63.143172036636713</v>
      </c>
      <c r="O237" s="25">
        <v>0.45075218570272407</v>
      </c>
      <c r="P237" s="26">
        <v>2.6590295341501649</v>
      </c>
      <c r="Q237" s="27">
        <v>0.1169161343690959</v>
      </c>
      <c r="R237" s="27">
        <v>9.9922838387167742E-2</v>
      </c>
      <c r="S237" s="28">
        <v>8.2081815810600024E-3</v>
      </c>
      <c r="T237" s="184">
        <v>14851.9894</v>
      </c>
      <c r="U237" s="134">
        <f>C237*S237</f>
        <v>0.35725648169867941</v>
      </c>
      <c r="V237" s="112">
        <f>(1+S237)*Q237*(1-U237)+S237</f>
        <v>8.3972090071545644E-2</v>
      </c>
      <c r="W237" s="134">
        <f>V237+I237/3</f>
        <v>1.6068811516305181E-2</v>
      </c>
      <c r="X237" s="134">
        <f>V237+I237/5</f>
        <v>4.3230122938401366E-2</v>
      </c>
      <c r="Y237" s="134">
        <f>V237-E237</f>
        <v>-0.38594585442295692</v>
      </c>
      <c r="Z237" s="110"/>
      <c r="AA237" s="110"/>
      <c r="AB237" s="110"/>
      <c r="AC237" s="134"/>
      <c r="AD237" s="134"/>
      <c r="AE237" s="134"/>
      <c r="AF237" s="134"/>
      <c r="AH237" s="28"/>
      <c r="AI237" s="67"/>
    </row>
    <row r="238" spans="1:35" s="184" customFormat="1">
      <c r="A238" s="184" t="s">
        <v>154</v>
      </c>
      <c r="B238" s="184" t="s">
        <v>32</v>
      </c>
      <c r="C238" s="188">
        <v>33.561035861261132</v>
      </c>
      <c r="D238" s="20">
        <v>19.701689822851669</v>
      </c>
      <c r="E238" s="30">
        <v>0.4129594240089306</v>
      </c>
      <c r="F238" s="21">
        <v>71.983934543592213</v>
      </c>
      <c r="G238" s="40">
        <v>1.1448662920050661</v>
      </c>
      <c r="H238" s="22">
        <v>-4.4001882720123953E-2</v>
      </c>
      <c r="I238" s="22">
        <v>8.2741862996235094E-2</v>
      </c>
      <c r="J238" s="22">
        <v>0.19951890876510131</v>
      </c>
      <c r="K238" s="20">
        <v>3.6536934238046541</v>
      </c>
      <c r="L238" s="23">
        <v>19.701689822851669</v>
      </c>
      <c r="M238" s="33">
        <v>0.4129594240089306</v>
      </c>
      <c r="N238" s="24">
        <v>71.983934543592213</v>
      </c>
      <c r="O238" s="25">
        <v>1.1448662920050661</v>
      </c>
      <c r="P238" s="26">
        <v>3.6536934238046541</v>
      </c>
      <c r="Q238" s="27"/>
      <c r="R238" s="27"/>
      <c r="S238" s="28">
        <v>1.0167503761526369E-2</v>
      </c>
      <c r="U238" s="134">
        <f>C238*S238</f>
        <v>0.34123195836009396</v>
      </c>
      <c r="V238" s="134">
        <f>(1+S238)*R237*(1-U238)+S238</f>
        <v>7.6662762144545663E-2</v>
      </c>
      <c r="W238" s="112">
        <f>V238+I238/3</f>
        <v>0.10424338314329069</v>
      </c>
      <c r="X238" s="134">
        <f>V238+I238/5</f>
        <v>9.3211134743792681E-2</v>
      </c>
      <c r="Y238" s="134">
        <f>V238-E238</f>
        <v>-0.33629666186438495</v>
      </c>
      <c r="Z238" s="110"/>
      <c r="AA238" s="110"/>
      <c r="AB238" s="110"/>
      <c r="AC238" s="134"/>
      <c r="AD238" s="134"/>
      <c r="AE238" s="134"/>
      <c r="AF238" s="134"/>
      <c r="AH238" s="28"/>
      <c r="AI238" s="67"/>
    </row>
    <row r="239" spans="1:35" s="184" customFormat="1">
      <c r="A239" s="184" t="s">
        <v>155</v>
      </c>
      <c r="B239" s="184" t="s">
        <v>34</v>
      </c>
      <c r="C239" s="190">
        <v>5.0887089187809149</v>
      </c>
      <c r="D239" s="20">
        <v>3.0387131526398501</v>
      </c>
      <c r="E239" s="30">
        <v>0.40285184294490473</v>
      </c>
      <c r="F239" s="21">
        <v>7.7859312915098684</v>
      </c>
      <c r="G239" s="40">
        <v>0.53004060868451419</v>
      </c>
      <c r="H239" s="22">
        <v>-0.2405593511990726</v>
      </c>
      <c r="I239" s="22">
        <v>-0.15539832384696209</v>
      </c>
      <c r="J239" s="22">
        <v>-8.46016304948084E-2</v>
      </c>
      <c r="K239" s="20">
        <v>2.5622462208207839</v>
      </c>
      <c r="L239" s="23">
        <v>3.06662020436768</v>
      </c>
      <c r="M239" s="33">
        <v>0.39736773053579572</v>
      </c>
      <c r="N239" s="24">
        <v>7.7859312915098684</v>
      </c>
      <c r="O239" s="25">
        <v>0.53004060868451419</v>
      </c>
      <c r="P239" s="26">
        <v>2.5389291052151282</v>
      </c>
      <c r="Q239" s="27"/>
      <c r="R239" s="27"/>
      <c r="S239" s="28"/>
      <c r="V239" s="109"/>
      <c r="W239" s="134">
        <f>V237+I239/3</f>
        <v>3.2172648789224947E-2</v>
      </c>
      <c r="X239" s="134">
        <f>V237+I239/5</f>
        <v>5.2892425302153226E-2</v>
      </c>
      <c r="Y239" s="134">
        <f>V237-E239</f>
        <v>-0.31887975287335907</v>
      </c>
      <c r="Z239" s="110"/>
      <c r="AA239" s="110"/>
      <c r="AB239" s="110"/>
      <c r="AC239" s="134"/>
      <c r="AD239" s="134"/>
      <c r="AE239" s="134"/>
      <c r="AF239" s="134"/>
      <c r="AH239" s="28"/>
      <c r="AI239" s="67"/>
    </row>
    <row r="240" spans="1:35" s="184" customFormat="1">
      <c r="B240" s="184" t="s">
        <v>35</v>
      </c>
      <c r="C240" s="188">
        <v>3.3535139624707369</v>
      </c>
      <c r="D240" s="20">
        <v>2.438323168460808</v>
      </c>
      <c r="E240" s="30">
        <v>0.27290501970525638</v>
      </c>
      <c r="F240" s="21">
        <v>7.9860810757868048</v>
      </c>
      <c r="G240" s="40">
        <v>1.3814068362795711</v>
      </c>
      <c r="H240" s="22">
        <v>-1.7277413984640441E-2</v>
      </c>
      <c r="I240" s="22">
        <v>0.14738780013586311</v>
      </c>
      <c r="J240" s="22">
        <v>0.30913351158088398</v>
      </c>
      <c r="K240" s="20">
        <v>3.275234874148377</v>
      </c>
      <c r="L240" s="23">
        <v>2.438323168460808</v>
      </c>
      <c r="M240" s="33">
        <v>0.27290501970525638</v>
      </c>
      <c r="N240" s="24">
        <v>7.9860810757868048</v>
      </c>
      <c r="O240" s="25">
        <v>1.3814068362795711</v>
      </c>
      <c r="P240" s="26">
        <v>3.275234874148377</v>
      </c>
      <c r="Q240" s="27"/>
      <c r="R240" s="27"/>
      <c r="S240" s="28"/>
      <c r="T240" s="67">
        <f>T237/C240</f>
        <v>4428.7841250130477</v>
      </c>
      <c r="U240" s="67"/>
      <c r="V240" s="67">
        <f>T237/C238</f>
        <v>442.53668037533282</v>
      </c>
      <c r="W240" s="112">
        <f>V238+I240/3</f>
        <v>0.12579202885650004</v>
      </c>
      <c r="X240" s="134">
        <f>V238+I240/5</f>
        <v>0.10614032217171829</v>
      </c>
      <c r="Y240" s="134">
        <f>V238-E240</f>
        <v>-0.19624225756071073</v>
      </c>
      <c r="Z240" s="110"/>
      <c r="AA240" s="110"/>
      <c r="AB240" s="110"/>
      <c r="AC240" s="134"/>
      <c r="AD240" s="134"/>
      <c r="AE240" s="134"/>
      <c r="AF240" s="134"/>
      <c r="AH240" s="28"/>
      <c r="AI240" s="67"/>
    </row>
    <row r="241" spans="1:35">
      <c r="C241" s="109">
        <f>C240/C238</f>
        <v>9.9922838387167742E-2</v>
      </c>
    </row>
    <row r="242" spans="1:35" s="184" customFormat="1">
      <c r="A242" s="184" t="s">
        <v>156</v>
      </c>
      <c r="B242" s="184" t="s">
        <v>30</v>
      </c>
      <c r="C242" s="188">
        <v>11.07758914028074</v>
      </c>
      <c r="D242" s="20">
        <v>8.5408167707206566</v>
      </c>
      <c r="E242" s="30">
        <v>0.22900040229293039</v>
      </c>
      <c r="F242" s="21">
        <v>59.740246936035831</v>
      </c>
      <c r="G242" s="40">
        <v>4.3928924587757203</v>
      </c>
      <c r="H242" s="22">
        <v>-7.4580036155548313E-2</v>
      </c>
      <c r="I242" s="22">
        <v>0.54754341800581052</v>
      </c>
      <c r="J242" s="22">
        <v>0.83170963718280744</v>
      </c>
      <c r="K242" s="20">
        <v>6.994676099461044</v>
      </c>
      <c r="L242" s="23">
        <v>8.5408167707206566</v>
      </c>
      <c r="M242" s="33">
        <v>0.22900040229293039</v>
      </c>
      <c r="N242" s="24">
        <v>59.740246936035831</v>
      </c>
      <c r="O242" s="25">
        <v>4.3928924587757203</v>
      </c>
      <c r="P242" s="26">
        <v>6.994676099461044</v>
      </c>
      <c r="Q242" s="27">
        <v>0.1301202009445365</v>
      </c>
      <c r="R242" s="27">
        <v>0.1079626444673189</v>
      </c>
      <c r="S242" s="28">
        <v>2.8462155749629139E-2</v>
      </c>
      <c r="T242" s="184">
        <v>1449.95</v>
      </c>
      <c r="U242" s="134">
        <f>C242*S242</f>
        <v>0.31529206744107074</v>
      </c>
      <c r="V242" s="134">
        <f>(1+S242)*Q242*(1-U242)+S242</f>
        <v>0.12009230632676848</v>
      </c>
      <c r="W242" s="134">
        <f>V242+I242/3</f>
        <v>0.30260677899537203</v>
      </c>
      <c r="X242" s="134">
        <f>V242+I242/5</f>
        <v>0.2296009899279306</v>
      </c>
      <c r="Y242" s="134">
        <f>V242-E242</f>
        <v>-0.10890809596616191</v>
      </c>
      <c r="Z242" s="110"/>
      <c r="AA242" s="110"/>
      <c r="AB242" s="110"/>
      <c r="AC242" s="134"/>
      <c r="AD242" s="134"/>
      <c r="AE242" s="134"/>
      <c r="AF242" s="134"/>
      <c r="AH242" s="28"/>
      <c r="AI242" s="67"/>
    </row>
    <row r="243" spans="1:35" s="184" customFormat="1">
      <c r="A243" s="184" t="s">
        <v>157</v>
      </c>
      <c r="B243" s="184" t="s">
        <v>32</v>
      </c>
      <c r="C243" s="187">
        <v>17.936663666744749</v>
      </c>
      <c r="D243" s="20">
        <v>14.615540494500051</v>
      </c>
      <c r="E243" s="30">
        <v>0.185158356868908</v>
      </c>
      <c r="F243" s="21">
        <v>63.433264496027583</v>
      </c>
      <c r="G243" s="40">
        <v>2.5365141296391278</v>
      </c>
      <c r="H243" s="22">
        <v>1.6464672632942271E-2</v>
      </c>
      <c r="I243" s="22">
        <v>0.46868253742643229</v>
      </c>
      <c r="J243" s="22">
        <v>1.046643746565729</v>
      </c>
      <c r="K243" s="20">
        <v>4.3401244394552538</v>
      </c>
      <c r="L243" s="23">
        <v>14.615540494500051</v>
      </c>
      <c r="M243" s="33">
        <v>0.185158356868908</v>
      </c>
      <c r="N243" s="24">
        <v>63.433264496027583</v>
      </c>
      <c r="O243" s="25">
        <v>2.5365141296391278</v>
      </c>
      <c r="P243" s="26">
        <v>4.3401244394552538</v>
      </c>
      <c r="Q243" s="27"/>
      <c r="R243" s="27"/>
      <c r="S243" s="28">
        <v>1.8882096473824609E-2</v>
      </c>
      <c r="U243" s="134">
        <f>C243*S243</f>
        <v>0.33868181377401901</v>
      </c>
      <c r="V243" s="134">
        <f>(1+S243)*R242*(1-U243)+S243</f>
        <v>9.1627894201378318E-2</v>
      </c>
      <c r="W243" s="134">
        <f>V243+I243/3</f>
        <v>0.24785540667685574</v>
      </c>
      <c r="X243" s="134">
        <f>V243+I243/5</f>
        <v>0.18536440168666479</v>
      </c>
      <c r="Y243" s="134">
        <f>V243-E243</f>
        <v>-9.3530462667529679E-2</v>
      </c>
      <c r="Z243" s="110"/>
      <c r="AA243" s="110"/>
      <c r="AB243" s="110"/>
      <c r="AC243" s="134"/>
      <c r="AD243" s="134"/>
      <c r="AE243" s="134"/>
      <c r="AF243" s="134"/>
      <c r="AH243" s="28"/>
      <c r="AI243" s="67"/>
    </row>
    <row r="244" spans="1:35" s="184" customFormat="1">
      <c r="A244" s="184" t="s">
        <v>158</v>
      </c>
      <c r="B244" s="184" t="s">
        <v>34</v>
      </c>
      <c r="C244" s="188">
        <v>1.441418124914345</v>
      </c>
      <c r="D244" s="20">
        <v>1.0768143093495131</v>
      </c>
      <c r="E244" s="30">
        <v>0.25294798869446622</v>
      </c>
      <c r="F244" s="21">
        <v>4.6893536897815542</v>
      </c>
      <c r="G244" s="40">
        <v>2.2532917470149152</v>
      </c>
      <c r="H244" s="22">
        <v>-9.546879471541736E-2</v>
      </c>
      <c r="I244" s="22">
        <v>0.23516855226091571</v>
      </c>
      <c r="J244" s="22">
        <v>0.37235601117173078</v>
      </c>
      <c r="K244" s="20">
        <v>4.3548396869041621</v>
      </c>
      <c r="L244" s="23">
        <v>1.0768143093495131</v>
      </c>
      <c r="M244" s="33">
        <v>0.25294798869446622</v>
      </c>
      <c r="N244" s="24">
        <v>4.6893536897815542</v>
      </c>
      <c r="O244" s="25">
        <v>2.2532917470149152</v>
      </c>
      <c r="P244" s="26">
        <v>4.3548396869041621</v>
      </c>
      <c r="Q244" s="27"/>
      <c r="R244" s="27"/>
      <c r="S244" s="28"/>
      <c r="V244" s="109"/>
      <c r="W244" s="134">
        <f>V242+I244/3</f>
        <v>0.19848182374707374</v>
      </c>
      <c r="X244" s="134">
        <f>V242+I244/5</f>
        <v>0.16712601677895161</v>
      </c>
      <c r="Y244" s="134">
        <f>V242-E244</f>
        <v>-0.13285568236769774</v>
      </c>
      <c r="Z244" s="110"/>
      <c r="AA244" s="110"/>
      <c r="AB244" s="110"/>
      <c r="AC244" s="134"/>
      <c r="AD244" s="134"/>
      <c r="AE244" s="134"/>
      <c r="AF244" s="134"/>
      <c r="AH244" s="28"/>
      <c r="AI244" s="67"/>
    </row>
    <row r="245" spans="1:35" s="184" customFormat="1">
      <c r="B245" s="184" t="s">
        <v>35</v>
      </c>
      <c r="C245" s="188">
        <v>1.9364896423826401</v>
      </c>
      <c r="D245" s="20">
        <v>1.6482574695379331</v>
      </c>
      <c r="E245" s="30">
        <v>0.1488426101210997</v>
      </c>
      <c r="F245" s="21">
        <v>4.815466453796061</v>
      </c>
      <c r="G245" s="40">
        <v>1.4866987916708669</v>
      </c>
      <c r="H245" s="22">
        <v>-1.469828592048106E-2</v>
      </c>
      <c r="I245" s="22">
        <v>0.1101965997480219</v>
      </c>
      <c r="J245" s="22">
        <v>0.30665114716427588</v>
      </c>
      <c r="K245" s="20">
        <v>2.9215499051528711</v>
      </c>
      <c r="L245" s="23">
        <v>1.6482574695379331</v>
      </c>
      <c r="M245" s="33">
        <v>0.1488426101210997</v>
      </c>
      <c r="N245" s="24">
        <v>4.815466453796061</v>
      </c>
      <c r="O245" s="25">
        <v>1.4866987916708669</v>
      </c>
      <c r="P245" s="26">
        <v>2.9215499051528711</v>
      </c>
      <c r="Q245" s="27"/>
      <c r="R245" s="27"/>
      <c r="S245" s="28"/>
      <c r="V245" s="109"/>
      <c r="W245" s="134">
        <f>V243+I245/3</f>
        <v>0.12836009411738561</v>
      </c>
      <c r="X245" s="134">
        <f>V243+I245/5</f>
        <v>0.1136672141509827</v>
      </c>
      <c r="Y245" s="134">
        <f>V243-E245</f>
        <v>-5.7214715919721382E-2</v>
      </c>
      <c r="Z245" s="110"/>
      <c r="AA245" s="110"/>
      <c r="AB245" s="110"/>
      <c r="AC245" s="134"/>
      <c r="AD245" s="134"/>
      <c r="AE245" s="134"/>
      <c r="AF245" s="134"/>
      <c r="AH245" s="28"/>
      <c r="AI245" s="67"/>
    </row>
    <row r="247" spans="1:35" s="184" customFormat="1">
      <c r="A247" s="184" t="s">
        <v>159</v>
      </c>
      <c r="B247" s="184" t="s">
        <v>30</v>
      </c>
      <c r="C247" s="187">
        <v>9.002719222651967</v>
      </c>
      <c r="D247" s="20">
        <v>8.7555499569066981</v>
      </c>
      <c r="E247" s="30">
        <v>2.7454956622812391E-2</v>
      </c>
      <c r="F247" s="21">
        <v>22.872485127995269</v>
      </c>
      <c r="G247" s="40">
        <v>1.5406196241736869</v>
      </c>
      <c r="H247" s="22">
        <v>0.21059353324084659</v>
      </c>
      <c r="I247" s="22">
        <v>0.51892513949380037</v>
      </c>
      <c r="J247" s="22">
        <v>1.0401612132230089</v>
      </c>
      <c r="K247" s="20">
        <v>2.6123413424136328</v>
      </c>
      <c r="L247" s="23">
        <v>8.7555499569066981</v>
      </c>
      <c r="M247" s="33">
        <v>2.7454956622812391E-2</v>
      </c>
      <c r="N247" s="24">
        <v>22.872485127995269</v>
      </c>
      <c r="O247" s="25">
        <v>1.5406196241736869</v>
      </c>
      <c r="P247" s="26">
        <v>2.6123413424136328</v>
      </c>
      <c r="Q247" s="27">
        <v>0.14592954593460369</v>
      </c>
      <c r="R247" s="27">
        <v>8.0442652662645858E-2</v>
      </c>
      <c r="S247" s="28">
        <v>2.9338341765079389E-2</v>
      </c>
      <c r="T247" s="184">
        <v>1960.73</v>
      </c>
      <c r="U247" s="134">
        <f>C247*S247</f>
        <v>0.26412485336921326</v>
      </c>
      <c r="V247" s="134">
        <f>(1+S247)*Q247*(1-U247)+S247</f>
        <v>0.13987479277558107</v>
      </c>
      <c r="W247" s="134">
        <f>V247+I247/3</f>
        <v>0.31284983927351451</v>
      </c>
      <c r="X247" s="134">
        <f>V247+I247/5</f>
        <v>0.24365982067434114</v>
      </c>
      <c r="Y247" s="134">
        <f>V247-E247</f>
        <v>0.11241983615276868</v>
      </c>
      <c r="Z247" s="110"/>
      <c r="AA247" s="110"/>
      <c r="AB247" s="110"/>
      <c r="AC247" s="134"/>
      <c r="AD247" s="134"/>
      <c r="AE247" s="134"/>
      <c r="AF247" s="134"/>
      <c r="AH247" s="28"/>
      <c r="AI247" s="67"/>
    </row>
    <row r="248" spans="1:35" s="184" customFormat="1">
      <c r="A248" s="184" t="s">
        <v>160</v>
      </c>
      <c r="B248" s="184" t="s">
        <v>32</v>
      </c>
      <c r="C248" s="187">
        <v>11.93873028668497</v>
      </c>
      <c r="D248" s="20">
        <v>11.78274144544697</v>
      </c>
      <c r="E248" s="30">
        <v>1.306578149369597E-2</v>
      </c>
      <c r="F248" s="21">
        <v>30.582226172378508</v>
      </c>
      <c r="G248" s="40">
        <v>1.5615978783343709</v>
      </c>
      <c r="H248" s="22">
        <v>0.15982077962082239</v>
      </c>
      <c r="I248" s="22">
        <v>0.2864560235413951</v>
      </c>
      <c r="J248" s="22">
        <v>0.62685815522320154</v>
      </c>
      <c r="K248" s="20">
        <v>2.595510248100704</v>
      </c>
      <c r="L248" s="23">
        <v>11.78274144544697</v>
      </c>
      <c r="M248" s="33">
        <v>1.306578149369597E-2</v>
      </c>
      <c r="N248" s="24">
        <v>30.582226172378508</v>
      </c>
      <c r="O248" s="25">
        <v>1.5615978783343709</v>
      </c>
      <c r="P248" s="26">
        <v>2.595510248100704</v>
      </c>
      <c r="Q248" s="27"/>
      <c r="R248" s="27"/>
      <c r="S248" s="28">
        <v>2.5542087679224688E-2</v>
      </c>
      <c r="U248" s="134">
        <f>C248*S248</f>
        <v>0.3049400957611228</v>
      </c>
      <c r="V248" s="134">
        <f>(1+S248)*R247*(1-U248)+S248</f>
        <v>8.2882671154067805E-2</v>
      </c>
      <c r="W248" s="134">
        <f>V248+I248/3</f>
        <v>0.17836801233453284</v>
      </c>
      <c r="X248" s="134">
        <f>V248+I248/5</f>
        <v>0.14017387586234681</v>
      </c>
      <c r="Y248" s="134">
        <f>V248-E248</f>
        <v>6.9816889660371834E-2</v>
      </c>
      <c r="Z248" s="110"/>
      <c r="AA248" s="110"/>
      <c r="AB248" s="110"/>
      <c r="AC248" s="134"/>
      <c r="AD248" s="134"/>
      <c r="AE248" s="134"/>
      <c r="AF248" s="134"/>
      <c r="AH248" s="28"/>
      <c r="AI248" s="67"/>
    </row>
    <row r="249" spans="1:35" s="184" customFormat="1">
      <c r="A249" s="184" t="s">
        <v>119</v>
      </c>
      <c r="B249" s="184" t="s">
        <v>34</v>
      </c>
      <c r="C249" s="188">
        <v>1.31376272833833</v>
      </c>
      <c r="D249" s="20">
        <v>1.1400724843126619</v>
      </c>
      <c r="E249" s="30">
        <v>0.13220822929369719</v>
      </c>
      <c r="F249" s="21">
        <v>2.1283105407902569</v>
      </c>
      <c r="G249" s="40">
        <v>0.62001135736449298</v>
      </c>
      <c r="H249" s="22">
        <v>-1.3621656429815171E-2</v>
      </c>
      <c r="I249" s="22">
        <v>0.12769995584462229</v>
      </c>
      <c r="J249" s="22">
        <v>0.32391884494155693</v>
      </c>
      <c r="K249" s="20">
        <v>1.8668203733321329</v>
      </c>
      <c r="L249" s="23">
        <v>1.1400724843126619</v>
      </c>
      <c r="M249" s="33">
        <v>0.13220822929369719</v>
      </c>
      <c r="N249" s="24">
        <v>2.1283105407902569</v>
      </c>
      <c r="O249" s="25">
        <v>0.62001135736449298</v>
      </c>
      <c r="P249" s="26">
        <v>1.8668203733321329</v>
      </c>
      <c r="Q249" s="27"/>
      <c r="R249" s="27"/>
      <c r="S249" s="28"/>
      <c r="V249" s="109"/>
      <c r="W249" s="134">
        <f>V247+I249/3</f>
        <v>0.18244144472378851</v>
      </c>
      <c r="X249" s="134">
        <f>V247+I249/5</f>
        <v>0.16541478394450554</v>
      </c>
      <c r="Y249" s="134">
        <f>V247-E249</f>
        <v>7.6665634818838813E-3</v>
      </c>
      <c r="Z249" s="110"/>
      <c r="AA249" s="110"/>
      <c r="AB249" s="110"/>
      <c r="AC249" s="134"/>
      <c r="AD249" s="134"/>
      <c r="AE249" s="134"/>
      <c r="AF249" s="134"/>
      <c r="AH249" s="28"/>
      <c r="AI249" s="67"/>
    </row>
    <row r="250" spans="1:35" s="184" customFormat="1">
      <c r="B250" s="184" t="s">
        <v>35</v>
      </c>
      <c r="C250" s="187">
        <v>0.9603831336848091</v>
      </c>
      <c r="D250" s="20">
        <v>0.9528169380277669</v>
      </c>
      <c r="E250" s="30">
        <v>7.8783095950593074E-3</v>
      </c>
      <c r="F250" s="21">
        <v>3.0484673979792309</v>
      </c>
      <c r="G250" s="40">
        <v>2.174220049328476</v>
      </c>
      <c r="H250" s="22">
        <v>0.2170967737776508</v>
      </c>
      <c r="I250" s="22">
        <v>0.67392933618216211</v>
      </c>
      <c r="J250" s="22">
        <v>1.0572912707025779</v>
      </c>
      <c r="K250" s="20">
        <v>3.1994261188190518</v>
      </c>
      <c r="L250" s="23">
        <v>0.9528169380277669</v>
      </c>
      <c r="M250" s="33">
        <v>7.8783095950593074E-3</v>
      </c>
      <c r="N250" s="24">
        <v>3.0484673979792309</v>
      </c>
      <c r="O250" s="25">
        <v>2.174220049328476</v>
      </c>
      <c r="P250" s="26">
        <v>3.1994261188190518</v>
      </c>
      <c r="Q250" s="27"/>
      <c r="R250" s="27"/>
      <c r="S250" s="28"/>
      <c r="T250" s="67">
        <f>T247/C249</f>
        <v>1492.4536658761551</v>
      </c>
      <c r="U250" s="67"/>
      <c r="V250" s="67">
        <f>T247/C247</f>
        <v>217.79308578974209</v>
      </c>
      <c r="W250" s="134">
        <f>V248+I250/3</f>
        <v>0.30752578321478852</v>
      </c>
      <c r="X250" s="134">
        <f>V248+I250/5</f>
        <v>0.21766853839050024</v>
      </c>
      <c r="Y250" s="134">
        <f>V248-E250</f>
        <v>7.5004361559008498E-2</v>
      </c>
      <c r="Z250" s="110"/>
      <c r="AA250" s="110"/>
      <c r="AB250" s="110"/>
      <c r="AC250" s="134"/>
      <c r="AD250" s="134"/>
      <c r="AE250" s="134"/>
      <c r="AF250" s="134"/>
      <c r="AH250" s="28"/>
      <c r="AI250" s="67"/>
    </row>
    <row r="252" spans="1:35" s="184" customFormat="1">
      <c r="A252" s="184" t="s">
        <v>161</v>
      </c>
      <c r="B252" s="184" t="s">
        <v>30</v>
      </c>
      <c r="C252" s="188">
        <v>15.4623079141075</v>
      </c>
      <c r="D252" s="20">
        <v>12.04018926040354</v>
      </c>
      <c r="E252" s="30">
        <v>0.22132004308242259</v>
      </c>
      <c r="F252" s="21">
        <v>55.629752920985091</v>
      </c>
      <c r="G252" s="40">
        <v>2.5977651738670668</v>
      </c>
      <c r="H252" s="22">
        <v>-0.1070319402096941</v>
      </c>
      <c r="I252" s="22">
        <v>0.13586068756042929</v>
      </c>
      <c r="J252" s="22">
        <v>1.264154371862888</v>
      </c>
      <c r="K252" s="20">
        <v>4.6203387436719234</v>
      </c>
      <c r="L252" s="23">
        <v>13.581215297815261</v>
      </c>
      <c r="M252" s="33">
        <v>0.12165665221140549</v>
      </c>
      <c r="N252" s="24">
        <v>55.629752920985091</v>
      </c>
      <c r="O252" s="25">
        <v>2.5977651738670668</v>
      </c>
      <c r="P252" s="26">
        <v>4.0960806305702233</v>
      </c>
      <c r="Q252" s="27">
        <v>7.6308338138990586E-2</v>
      </c>
      <c r="R252" s="27">
        <v>7.9085411902051567E-2</v>
      </c>
      <c r="S252" s="28">
        <v>3.1347608654073468E-2</v>
      </c>
      <c r="T252" s="184">
        <v>3409.0344</v>
      </c>
      <c r="U252" s="134">
        <f>C252*S252</f>
        <v>0.48470637738022493</v>
      </c>
      <c r="V252" s="134">
        <f>(1+S252)*Q252*(1-U252)+S252</f>
        <v>7.1901434239083531E-2</v>
      </c>
      <c r="W252" s="134">
        <f>V252+I252/3</f>
        <v>0.11718833009255997</v>
      </c>
      <c r="X252" s="134">
        <f>V252+I252/5</f>
        <v>9.907357175116939E-2</v>
      </c>
      <c r="Y252" s="134">
        <f>V252-E252</f>
        <v>-0.14941860884333907</v>
      </c>
      <c r="Z252" s="110"/>
      <c r="AA252" s="110"/>
      <c r="AB252" s="110"/>
      <c r="AC252" s="134"/>
      <c r="AD252" s="134"/>
      <c r="AE252" s="134"/>
      <c r="AF252" s="134"/>
      <c r="AH252" s="28"/>
      <c r="AI252" s="67"/>
    </row>
    <row r="253" spans="1:35" s="184" customFormat="1">
      <c r="A253" s="184" t="s">
        <v>162</v>
      </c>
      <c r="B253" s="184" t="s">
        <v>32</v>
      </c>
      <c r="C253" s="187">
        <v>17.307845092871961</v>
      </c>
      <c r="D253" s="20">
        <v>15.42066811786167</v>
      </c>
      <c r="E253" s="30">
        <v>0.10903592936520499</v>
      </c>
      <c r="F253" s="21">
        <v>151.04355479733499</v>
      </c>
      <c r="G253" s="40">
        <v>7.7268839065089931</v>
      </c>
      <c r="H253" s="22">
        <v>0.2396909160041856</v>
      </c>
      <c r="I253" s="22">
        <v>0.70194942870087429</v>
      </c>
      <c r="J253" s="22">
        <v>2.9746365081485311</v>
      </c>
      <c r="K253" s="20">
        <v>9.7948774750156353</v>
      </c>
      <c r="L253" s="23">
        <v>15.42066811786167</v>
      </c>
      <c r="M253" s="33">
        <v>0.10903592936520499</v>
      </c>
      <c r="N253" s="24">
        <v>151.04355479733499</v>
      </c>
      <c r="O253" s="25">
        <v>7.7268839065089931</v>
      </c>
      <c r="P253" s="26">
        <v>9.7948774750156353</v>
      </c>
      <c r="Q253" s="27"/>
      <c r="R253" s="27"/>
      <c r="S253" s="28">
        <v>1.9929658877422981E-2</v>
      </c>
      <c r="U253" s="134">
        <f>C253*S253</f>
        <v>0.34493944860421744</v>
      </c>
      <c r="V253" s="134">
        <f>(1+S253)*R252*(1-U253)+S253</f>
        <v>7.2767863002449598E-2</v>
      </c>
      <c r="W253" s="134">
        <f>V253+I253/3</f>
        <v>0.30675100590274101</v>
      </c>
      <c r="X253" s="134">
        <f>V253+I253/5</f>
        <v>0.21315774874262444</v>
      </c>
      <c r="Y253" s="134">
        <f>V253-E253</f>
        <v>-3.6268066362755397E-2</v>
      </c>
      <c r="Z253" s="110"/>
      <c r="AA253" s="110"/>
      <c r="AB253" s="110"/>
      <c r="AC253" s="134"/>
      <c r="AD253" s="134"/>
      <c r="AE253" s="134"/>
      <c r="AF253" s="134"/>
      <c r="AH253" s="28"/>
      <c r="AI253" s="67"/>
    </row>
    <row r="254" spans="1:35" s="184" customFormat="1">
      <c r="A254" s="184" t="s">
        <v>163</v>
      </c>
      <c r="B254" s="184" t="s">
        <v>34</v>
      </c>
      <c r="C254" s="187">
        <v>1.179903020718905</v>
      </c>
      <c r="D254" s="20">
        <v>1.1380093576513231</v>
      </c>
      <c r="E254" s="30">
        <v>3.5506022386531777E-2</v>
      </c>
      <c r="F254" s="21">
        <v>2.4876371649350801</v>
      </c>
      <c r="G254" s="40">
        <v>1.108340364633851</v>
      </c>
      <c r="H254" s="22">
        <v>0.12798412047630439</v>
      </c>
      <c r="I254" s="22">
        <v>0.24715670961860511</v>
      </c>
      <c r="J254" s="22">
        <v>0.52426628881041126</v>
      </c>
      <c r="K254" s="20">
        <v>2.1859549292891409</v>
      </c>
      <c r="L254" s="23">
        <v>1.1380093576513231</v>
      </c>
      <c r="M254" s="33">
        <v>3.5506022386531777E-2</v>
      </c>
      <c r="N254" s="24">
        <v>2.468651114077467</v>
      </c>
      <c r="O254" s="25">
        <v>1.0922491685573761</v>
      </c>
      <c r="P254" s="26">
        <v>2.1692713662499079</v>
      </c>
      <c r="Q254" s="27"/>
      <c r="R254" s="27"/>
      <c r="S254" s="28"/>
      <c r="V254" s="109"/>
      <c r="W254" s="134">
        <f>V252+I254/3</f>
        <v>0.1542870041119519</v>
      </c>
      <c r="X254" s="134">
        <f>V252+I254/5</f>
        <v>0.12133277616280455</v>
      </c>
      <c r="Y254" s="134">
        <f>V252-E254</f>
        <v>3.6395411852551754E-2</v>
      </c>
      <c r="Z254" s="110"/>
      <c r="AA254" s="110"/>
      <c r="AB254" s="110"/>
      <c r="AC254" s="134"/>
      <c r="AD254" s="134"/>
      <c r="AE254" s="134"/>
      <c r="AF254" s="134"/>
      <c r="AH254" s="28"/>
      <c r="AI254" s="67"/>
    </row>
    <row r="255" spans="1:35" s="184" customFormat="1">
      <c r="B255" s="184" t="s">
        <v>35</v>
      </c>
      <c r="C255" s="187">
        <v>1.368798058306681</v>
      </c>
      <c r="D255" s="20">
        <v>1.323797617945738</v>
      </c>
      <c r="E255" s="30">
        <v>3.2875879745630443E-2</v>
      </c>
      <c r="F255" s="21">
        <v>4.1467441550480659</v>
      </c>
      <c r="G255" s="40">
        <v>2.029478402517563</v>
      </c>
      <c r="H255" s="22">
        <v>0.1866467176413236</v>
      </c>
      <c r="I255" s="22">
        <v>0.5427976801188259</v>
      </c>
      <c r="J255" s="22">
        <v>0.80957256137613842</v>
      </c>
      <c r="K255" s="20">
        <v>3.13246080732715</v>
      </c>
      <c r="L255" s="23">
        <v>1.323797617945738</v>
      </c>
      <c r="M255" s="33">
        <v>3.2875879745630443E-2</v>
      </c>
      <c r="N255" s="24">
        <v>4.1467441550480659</v>
      </c>
      <c r="O255" s="25">
        <v>2.029478402517563</v>
      </c>
      <c r="P255" s="26">
        <v>3.13246080732715</v>
      </c>
      <c r="Q255" s="27"/>
      <c r="R255" s="27"/>
      <c r="S255" s="28"/>
      <c r="V255" s="109"/>
      <c r="W255" s="134">
        <f>V253+I255/3</f>
        <v>0.25370042304205825</v>
      </c>
      <c r="X255" s="134">
        <f>V253+I255/5</f>
        <v>0.18132739902621478</v>
      </c>
      <c r="Y255" s="134">
        <f>V253-E255</f>
        <v>3.9891983256819155E-2</v>
      </c>
      <c r="Z255" s="110"/>
      <c r="AA255" s="110"/>
      <c r="AB255" s="110"/>
      <c r="AC255" s="134"/>
      <c r="AD255" s="134"/>
      <c r="AE255" s="134"/>
      <c r="AF255" s="134"/>
      <c r="AH255" s="28"/>
      <c r="AI255" s="67"/>
    </row>
    <row r="256" spans="1:35" ht="19" customHeight="1"/>
    <row r="257" spans="1:35" s="184" customFormat="1">
      <c r="A257" s="184" t="s">
        <v>164</v>
      </c>
      <c r="B257" s="184" t="s">
        <v>30</v>
      </c>
      <c r="C257" s="190">
        <v>44.822105167137103</v>
      </c>
      <c r="D257" s="20">
        <v>22.865594274252441</v>
      </c>
      <c r="E257" s="30">
        <v>0.48985898388777249</v>
      </c>
      <c r="F257" s="21">
        <v>67.149004276919996</v>
      </c>
      <c r="G257" s="40">
        <v>0.49812250063954272</v>
      </c>
      <c r="H257" s="22">
        <v>-0.27624235492403282</v>
      </c>
      <c r="I257" s="22">
        <v>-0.2058262674337776</v>
      </c>
      <c r="J257" s="22">
        <v>-0.1195451600058233</v>
      </c>
      <c r="K257" s="20">
        <v>2.9366831000116371</v>
      </c>
      <c r="L257" s="23">
        <v>22.865594274252441</v>
      </c>
      <c r="M257" s="33">
        <v>0.48985898388777249</v>
      </c>
      <c r="N257" s="24">
        <v>67.149004276919996</v>
      </c>
      <c r="O257" s="25">
        <v>0.49812250063954272</v>
      </c>
      <c r="P257" s="26">
        <v>2.9366831000116371</v>
      </c>
      <c r="Q257" s="27">
        <v>0.1222917075671706</v>
      </c>
      <c r="R257" s="27">
        <v>0.10767003600556579</v>
      </c>
      <c r="S257" s="28">
        <v>8.3762702169774238E-3</v>
      </c>
      <c r="T257" s="184">
        <v>11987.22</v>
      </c>
      <c r="U257" s="134">
        <f>C257*S257</f>
        <v>0.37544206457372042</v>
      </c>
      <c r="V257" s="112">
        <f>(1+S257)*Q257*(1-U257)+S257</f>
        <v>8.5394291529174271E-2</v>
      </c>
      <c r="W257" s="112">
        <f>V257+I257/3</f>
        <v>1.6785535717915065E-2</v>
      </c>
      <c r="X257" s="134">
        <f>V257+I257/5</f>
        <v>4.4229038042418747E-2</v>
      </c>
      <c r="Y257" s="134">
        <f>V257-E257</f>
        <v>-0.40446469235859822</v>
      </c>
      <c r="Z257" s="110"/>
      <c r="AA257" s="110"/>
      <c r="AB257" s="110"/>
      <c r="AC257" s="134"/>
      <c r="AD257" s="134"/>
      <c r="AE257" s="134"/>
      <c r="AF257" s="134"/>
      <c r="AH257" s="28"/>
      <c r="AI257" s="67"/>
    </row>
    <row r="258" spans="1:35" s="184" customFormat="1">
      <c r="A258" s="184" t="s">
        <v>165</v>
      </c>
      <c r="B258" s="184" t="s">
        <v>32</v>
      </c>
      <c r="C258" s="188">
        <v>35.128937137260287</v>
      </c>
      <c r="D258" s="20">
        <v>19.947766437949589</v>
      </c>
      <c r="E258" s="30">
        <v>0.43215570798492681</v>
      </c>
      <c r="F258" s="21">
        <v>78.197810539379191</v>
      </c>
      <c r="G258" s="40">
        <v>1.226022672813432</v>
      </c>
      <c r="H258" s="22">
        <v>-0.1052589079836144</v>
      </c>
      <c r="I258" s="22">
        <v>3.5388593406231017E-2</v>
      </c>
      <c r="J258" s="22">
        <v>0.22711840029170349</v>
      </c>
      <c r="K258" s="20">
        <v>3.9201286410999852</v>
      </c>
      <c r="L258" s="23">
        <v>19.947766437949589</v>
      </c>
      <c r="M258" s="33">
        <v>0.43215570798492681</v>
      </c>
      <c r="N258" s="24">
        <v>78.197810539379191</v>
      </c>
      <c r="O258" s="25">
        <v>1.226022672813432</v>
      </c>
      <c r="P258" s="26">
        <v>3.9201286410999852</v>
      </c>
      <c r="Q258" s="27"/>
      <c r="R258" s="27"/>
      <c r="S258" s="28">
        <v>1.068234620795637E-2</v>
      </c>
      <c r="U258" s="134"/>
      <c r="V258" s="134">
        <f>(1+S258)*R257*(1-U258)+S258</f>
        <v>0.11950255081435675</v>
      </c>
      <c r="W258" s="134">
        <f>V258+I258/3</f>
        <v>0.13129874861643376</v>
      </c>
      <c r="X258" s="134">
        <f>V258+I258/5</f>
        <v>0.12658026949560294</v>
      </c>
      <c r="Y258" s="134">
        <f>V258-E258</f>
        <v>-0.31265315717057007</v>
      </c>
      <c r="Z258" s="110"/>
      <c r="AA258" s="110"/>
      <c r="AB258" s="110"/>
      <c r="AC258" s="134"/>
      <c r="AD258" s="134"/>
      <c r="AE258" s="134"/>
      <c r="AF258" s="134"/>
      <c r="AH258" s="28"/>
      <c r="AI258" s="67"/>
    </row>
    <row r="259" spans="1:35" s="184" customFormat="1">
      <c r="A259" s="184" t="s">
        <v>166</v>
      </c>
      <c r="B259" s="184" t="s">
        <v>34</v>
      </c>
      <c r="C259" s="190">
        <v>5.4813717776444957</v>
      </c>
      <c r="D259" s="20">
        <v>3.1593079327851421</v>
      </c>
      <c r="E259" s="30">
        <v>0.42362823378078029</v>
      </c>
      <c r="F259" s="21">
        <v>8.264707689490427</v>
      </c>
      <c r="G259" s="40">
        <v>0.5077809031669096</v>
      </c>
      <c r="H259" s="22">
        <v>-0.21528611148014781</v>
      </c>
      <c r="I259" s="22">
        <v>-0.1531415574643312</v>
      </c>
      <c r="J259" s="22">
        <v>-7.6331758524590954E-2</v>
      </c>
      <c r="K259" s="20">
        <v>2.6159867494158862</v>
      </c>
      <c r="L259" s="23">
        <v>3.1593079327851421</v>
      </c>
      <c r="M259" s="33">
        <v>0.42362823378078029</v>
      </c>
      <c r="N259" s="24">
        <v>8.264707689490427</v>
      </c>
      <c r="O259" s="25">
        <v>0.5077809031669096</v>
      </c>
      <c r="P259" s="26">
        <v>2.6159867494158862</v>
      </c>
      <c r="Q259" s="27"/>
      <c r="R259" s="27"/>
      <c r="S259" s="28"/>
      <c r="V259" s="109"/>
      <c r="W259" s="112">
        <f>V257+I259/3</f>
        <v>3.4347105707730537E-2</v>
      </c>
      <c r="X259" s="134">
        <f>V257+I259/5</f>
        <v>5.4765980036308032E-2</v>
      </c>
      <c r="Y259" s="134">
        <f>V257-E259</f>
        <v>-0.33823394225160602</v>
      </c>
      <c r="Z259" s="110"/>
      <c r="AA259" s="110"/>
      <c r="AB259" s="110"/>
      <c r="AC259" s="134"/>
      <c r="AD259" s="134"/>
      <c r="AE259" s="134"/>
      <c r="AF259" s="134"/>
      <c r="AH259" s="28"/>
      <c r="AI259" s="67"/>
    </row>
    <row r="260" spans="1:35" s="184" customFormat="1">
      <c r="B260" s="184" t="s">
        <v>35</v>
      </c>
      <c r="C260" s="188">
        <v>3.7823339264060749</v>
      </c>
      <c r="D260" s="20">
        <v>2.5421172140499588</v>
      </c>
      <c r="E260" s="30">
        <v>0.32789720222681512</v>
      </c>
      <c r="F260" s="21">
        <v>8.175629099818714</v>
      </c>
      <c r="G260" s="40">
        <v>1.1615302241669321</v>
      </c>
      <c r="H260" s="22">
        <v>-6.6748587605964915E-2</v>
      </c>
      <c r="I260" s="22">
        <v>8.1721207975265608E-2</v>
      </c>
      <c r="J260" s="22">
        <v>0.21955467470755449</v>
      </c>
      <c r="K260" s="20">
        <v>3.2160708619701128</v>
      </c>
      <c r="L260" s="23">
        <v>2.5421172140499588</v>
      </c>
      <c r="M260" s="33">
        <v>0.32789720222681512</v>
      </c>
      <c r="N260" s="24">
        <v>8.175629099818714</v>
      </c>
      <c r="O260" s="25">
        <v>1.1615302241669321</v>
      </c>
      <c r="P260" s="26">
        <v>3.2160708619701128</v>
      </c>
      <c r="Q260" s="27"/>
      <c r="R260" s="27"/>
      <c r="S260" s="28"/>
      <c r="T260" s="67">
        <f>T257/C259</f>
        <v>2186.9014703380062</v>
      </c>
      <c r="U260" s="67"/>
      <c r="V260" s="67">
        <f>T257/C257</f>
        <v>267.43991508879083</v>
      </c>
      <c r="W260" s="134">
        <f>V258+I260/3</f>
        <v>0.1467429534727786</v>
      </c>
      <c r="X260" s="134">
        <f>V258+I260/5</f>
        <v>0.13584679240940986</v>
      </c>
      <c r="Y260" s="134">
        <f>V258-E260</f>
        <v>-0.20839465141245839</v>
      </c>
      <c r="Z260" s="110"/>
      <c r="AA260" s="110"/>
      <c r="AB260" s="110"/>
      <c r="AC260" s="134"/>
      <c r="AD260" s="134"/>
      <c r="AE260" s="134"/>
      <c r="AF260" s="134"/>
      <c r="AH260" s="28"/>
      <c r="AI260" s="67"/>
    </row>
    <row r="261" spans="1:35">
      <c r="E261" s="17"/>
      <c r="F261" s="17"/>
      <c r="G261" s="17"/>
      <c r="H261" s="17"/>
      <c r="I261" s="17"/>
      <c r="J261" s="17"/>
      <c r="M261" s="15"/>
      <c r="O261" s="88"/>
      <c r="P261" s="7"/>
      <c r="T261" s="109"/>
    </row>
    <row r="262" spans="1:35">
      <c r="A262" t="s">
        <v>167</v>
      </c>
      <c r="B262" t="s">
        <v>30</v>
      </c>
      <c r="C262" s="191">
        <v>14.81557956156024</v>
      </c>
      <c r="D262" s="98">
        <v>11.12635258750265</v>
      </c>
      <c r="E262" s="99">
        <v>0.24900996675347581</v>
      </c>
      <c r="F262" s="100">
        <v>52.149354665809327</v>
      </c>
      <c r="G262" s="101">
        <v>2.519899741290812</v>
      </c>
      <c r="H262" s="102">
        <v>-8.606488164838999E-2</v>
      </c>
      <c r="I262" s="102">
        <v>5.6612517658718893E-2</v>
      </c>
      <c r="J262" s="102">
        <v>0.22688253645403739</v>
      </c>
      <c r="K262" s="98">
        <v>4.6870125906655664</v>
      </c>
      <c r="L262" s="103">
        <v>11.70647641198922</v>
      </c>
      <c r="M262" s="104">
        <v>0.20985362986661321</v>
      </c>
      <c r="N262" s="105">
        <v>27.11262578695835</v>
      </c>
      <c r="O262" s="106">
        <v>0.83000777487661748</v>
      </c>
      <c r="P262" s="107">
        <v>2.3160364257165269</v>
      </c>
      <c r="Q262" s="108">
        <v>0.14685864036855689</v>
      </c>
      <c r="R262" s="108">
        <v>9.9513979210373082E-2</v>
      </c>
      <c r="S262" s="109">
        <v>2.4424513858402261E-2</v>
      </c>
      <c r="T262">
        <v>8990.5499999999993</v>
      </c>
      <c r="U262" s="134">
        <f>C262*S262</f>
        <v>0.36186332832158935</v>
      </c>
      <c r="V262" s="112">
        <f>(1+S262)*Q262*(1-U262)+S262</f>
        <v>0.12042936273723656</v>
      </c>
      <c r="W262" s="112">
        <f>V262+I262/3</f>
        <v>0.13930020195680953</v>
      </c>
      <c r="X262" s="134">
        <f>V262+I262/5</f>
        <v>0.13175186626898033</v>
      </c>
      <c r="Y262" s="134">
        <f>V262-E262</f>
        <v>-0.12858060401623925</v>
      </c>
      <c r="Z262" s="110"/>
      <c r="AA262" s="110"/>
      <c r="AB262" s="110"/>
      <c r="AI262" s="67"/>
    </row>
    <row r="263" spans="1:35">
      <c r="A263" t="s">
        <v>168</v>
      </c>
      <c r="B263" t="s">
        <v>32</v>
      </c>
      <c r="C263" s="191">
        <v>15.34746767865663</v>
      </c>
      <c r="D263" s="98">
        <v>11.689884539641101</v>
      </c>
      <c r="E263" s="99">
        <v>0.23831834772990251</v>
      </c>
      <c r="F263" s="100">
        <v>46.458264227604339</v>
      </c>
      <c r="G263" s="101">
        <v>2.0270964044584869</v>
      </c>
      <c r="H263" s="102">
        <v>-4.6074497191074593E-2</v>
      </c>
      <c r="I263" s="102">
        <v>0.1537636714514943</v>
      </c>
      <c r="J263" s="102">
        <v>0.31803865303866302</v>
      </c>
      <c r="K263" s="98">
        <v>3.974227809527251</v>
      </c>
      <c r="L263" s="103">
        <v>11.689884539641101</v>
      </c>
      <c r="M263" s="104">
        <v>0.23831834772990251</v>
      </c>
      <c r="N263" s="105">
        <v>33.688218505967242</v>
      </c>
      <c r="O263" s="106">
        <v>1.195034334740229</v>
      </c>
      <c r="P263" s="107">
        <v>2.8818264536085412</v>
      </c>
      <c r="Q263" s="108"/>
      <c r="R263" s="108"/>
      <c r="S263" s="109">
        <v>2.6135218674072279E-2</v>
      </c>
      <c r="U263" s="134"/>
      <c r="V263" s="134">
        <f>(1+S263)*R262*(1-U263)+S263</f>
        <v>0.12825001749223552</v>
      </c>
      <c r="W263" s="134">
        <f>V263+I263/3</f>
        <v>0.17950457464273362</v>
      </c>
      <c r="X263" s="134">
        <f>V263+I263/5</f>
        <v>0.1590027517825344</v>
      </c>
      <c r="Y263" s="134">
        <f>V263-E263</f>
        <v>-0.11006833023766699</v>
      </c>
      <c r="Z263" s="110"/>
      <c r="AA263" s="110"/>
      <c r="AB263" s="110"/>
      <c r="AI263" s="67"/>
    </row>
    <row r="264" spans="1:35">
      <c r="A264" t="s">
        <v>77</v>
      </c>
      <c r="B264" t="s">
        <v>34</v>
      </c>
      <c r="C264" s="193">
        <v>2.1757958706829168</v>
      </c>
      <c r="D264" s="98">
        <v>1.525620766574918</v>
      </c>
      <c r="E264" s="99">
        <v>0.29882173822856312</v>
      </c>
      <c r="F264" s="100">
        <v>3.8194066263697342</v>
      </c>
      <c r="G264" s="101">
        <v>0.75540668949377876</v>
      </c>
      <c r="H264" s="102">
        <v>-0.13392703392952149</v>
      </c>
      <c r="I264" s="102">
        <v>-1.3266134729753021E-2</v>
      </c>
      <c r="J264" s="102">
        <v>0.18628088989804439</v>
      </c>
      <c r="K264" s="98">
        <v>2.5035098564792482</v>
      </c>
      <c r="L264" s="103">
        <v>1.809474624508278</v>
      </c>
      <c r="M264" s="104">
        <v>0.1683619548646639</v>
      </c>
      <c r="N264" s="105">
        <v>3.8194066263697342</v>
      </c>
      <c r="O264" s="106">
        <v>0.75540668949377876</v>
      </c>
      <c r="P264" s="107">
        <v>2.1107820881476309</v>
      </c>
      <c r="Q264" s="108"/>
      <c r="R264" s="108"/>
      <c r="U264" s="184"/>
      <c r="W264" s="112">
        <f>V262+I264/3</f>
        <v>0.11600731782731889</v>
      </c>
      <c r="X264" s="134">
        <f>V262+I264/5</f>
        <v>0.11777613579128596</v>
      </c>
      <c r="Y264" s="134">
        <f>V262-E264</f>
        <v>-0.17839237549132655</v>
      </c>
      <c r="Z264" s="110"/>
      <c r="AA264" s="110"/>
      <c r="AB264" s="110"/>
      <c r="AI264" s="67"/>
    </row>
    <row r="265" spans="1:35">
      <c r="B265" t="s">
        <v>35</v>
      </c>
      <c r="C265" s="192">
        <v>1.527287579505709</v>
      </c>
      <c r="D265" s="98">
        <v>1.3166238359372451</v>
      </c>
      <c r="E265" s="99">
        <v>0.13793325264692041</v>
      </c>
      <c r="F265" s="100">
        <v>3.6135193001825519</v>
      </c>
      <c r="G265" s="101">
        <v>1.3659717715716839</v>
      </c>
      <c r="H265" s="102">
        <v>4.9480602099688957E-2</v>
      </c>
      <c r="I265" s="102">
        <v>0.22415708667148809</v>
      </c>
      <c r="J265" s="102">
        <v>0.49296230831614868</v>
      </c>
      <c r="K265" s="98">
        <v>2.7445343169032421</v>
      </c>
      <c r="L265" s="103">
        <v>1.3595627220929769</v>
      </c>
      <c r="M265" s="104">
        <v>0.1098187791633941</v>
      </c>
      <c r="N265" s="105">
        <v>3.6135193001825519</v>
      </c>
      <c r="O265" s="106">
        <v>1.3659717715716839</v>
      </c>
      <c r="P265" s="107">
        <v>2.657854059590369</v>
      </c>
      <c r="Q265" s="108"/>
      <c r="R265" s="108"/>
      <c r="U265" s="184"/>
      <c r="W265" s="134">
        <f>V263+I265/3</f>
        <v>0.20296904638273155</v>
      </c>
      <c r="X265" s="134">
        <f>V263+I265/5</f>
        <v>0.17308143482653315</v>
      </c>
      <c r="Y265" s="134">
        <f>V263-E265</f>
        <v>-9.6832351546848883E-3</v>
      </c>
      <c r="Z265" s="110"/>
      <c r="AA265" s="110"/>
      <c r="AB265" s="110"/>
      <c r="AI265" s="67"/>
    </row>
    <row r="266" spans="1:35">
      <c r="C266" s="97"/>
      <c r="D266" s="98"/>
      <c r="F266" s="100"/>
      <c r="K266" s="98"/>
      <c r="L266" s="103"/>
      <c r="M266" s="104"/>
      <c r="N266" s="105"/>
      <c r="P266" s="107"/>
      <c r="Q266" s="108"/>
      <c r="R266" s="108"/>
      <c r="Z266" s="110"/>
      <c r="AA266" s="110"/>
      <c r="AB266" s="110"/>
      <c r="AI266" s="67"/>
    </row>
    <row r="267" spans="1:35">
      <c r="A267" t="s">
        <v>169</v>
      </c>
      <c r="B267" t="s">
        <v>30</v>
      </c>
      <c r="C267" s="192">
        <v>7.2821395297309266</v>
      </c>
      <c r="D267" s="98">
        <v>6.0617010597527017</v>
      </c>
      <c r="E267" s="99">
        <v>0.16759339271041421</v>
      </c>
      <c r="F267" s="100">
        <v>18.128692408159001</v>
      </c>
      <c r="G267" s="101">
        <v>1.489473366191989</v>
      </c>
      <c r="H267" s="102">
        <v>9.1777852520033676E-2</v>
      </c>
      <c r="I267" s="102">
        <v>0.2438343961698837</v>
      </c>
      <c r="J267" s="102">
        <v>0.4695275499557614</v>
      </c>
      <c r="K267" s="98">
        <v>2.9906939041462062</v>
      </c>
      <c r="L267" s="103">
        <v>7.0667385944626586</v>
      </c>
      <c r="M267" s="104">
        <v>2.9579347441620382E-2</v>
      </c>
      <c r="N267" s="105">
        <v>13.96247570491461</v>
      </c>
      <c r="O267" s="106">
        <v>0.91735899153123146</v>
      </c>
      <c r="P267" s="107">
        <v>1.975801923090136</v>
      </c>
      <c r="Q267" s="108">
        <v>0.12072119924975939</v>
      </c>
      <c r="R267" s="108">
        <v>0.1118856836844833</v>
      </c>
      <c r="S267" s="109">
        <v>4.3437903494136607E-2</v>
      </c>
      <c r="T267">
        <v>4383.9209000000001</v>
      </c>
      <c r="U267" s="134">
        <f>C267*S267</f>
        <v>0.3163208741232893</v>
      </c>
      <c r="V267" s="112">
        <f>(1+S267)*Q267*(1-U267)+S267</f>
        <v>0.12955759589700144</v>
      </c>
      <c r="W267" s="112">
        <f>V267+I267/3</f>
        <v>0.21083572795362934</v>
      </c>
      <c r="X267" s="134">
        <f>V267+I267/5</f>
        <v>0.17832447513097818</v>
      </c>
      <c r="Y267" s="134">
        <f>V267-E267</f>
        <v>-3.8035796813412764E-2</v>
      </c>
      <c r="Z267" s="110"/>
      <c r="AA267" s="110"/>
      <c r="AB267" s="110"/>
      <c r="AI267" s="67"/>
    </row>
    <row r="268" spans="1:35">
      <c r="A268" t="s">
        <v>170</v>
      </c>
      <c r="B268" t="s">
        <v>32</v>
      </c>
      <c r="C268" s="192">
        <v>8.230605535138297</v>
      </c>
      <c r="D268" s="98">
        <v>7.7984009957642781</v>
      </c>
      <c r="E268" s="99">
        <v>5.251187625610787E-2</v>
      </c>
      <c r="F268" s="100">
        <v>26.19860023260313</v>
      </c>
      <c r="G268" s="101">
        <v>2.183070810617207</v>
      </c>
      <c r="H268" s="102">
        <v>0.1344121629534123</v>
      </c>
      <c r="I268" s="102">
        <v>0.40129907018188238</v>
      </c>
      <c r="J268" s="102">
        <v>0.66078769629254119</v>
      </c>
      <c r="K268" s="98">
        <v>3.3594835975776269</v>
      </c>
      <c r="L268" s="103">
        <v>7.8866605339322193</v>
      </c>
      <c r="M268" s="104">
        <v>4.1788541528044232E-2</v>
      </c>
      <c r="N268" s="105">
        <v>20.265599227195999</v>
      </c>
      <c r="O268" s="106">
        <v>1.4622245763908399</v>
      </c>
      <c r="P268" s="107">
        <v>2.5696046051435348</v>
      </c>
      <c r="Q268" s="108"/>
      <c r="R268" s="108"/>
      <c r="S268" s="109">
        <v>3.8561529513964278E-2</v>
      </c>
      <c r="U268" s="134"/>
      <c r="V268" s="134">
        <f>(1+S268)*R267*(1-U268)+S268</f>
        <v>0.15476169629203687</v>
      </c>
      <c r="W268" s="134">
        <f>V268+I268/3</f>
        <v>0.28852805301933099</v>
      </c>
      <c r="X268" s="134">
        <f>V268+I268/5</f>
        <v>0.23502151032841334</v>
      </c>
      <c r="Y268" s="134">
        <f>V268-E268</f>
        <v>0.102249820035929</v>
      </c>
      <c r="Z268" s="110"/>
      <c r="AA268" s="110"/>
      <c r="AB268" s="110"/>
      <c r="AI268" s="67"/>
    </row>
    <row r="269" spans="1:35">
      <c r="A269" t="s">
        <v>171</v>
      </c>
      <c r="B269" t="s">
        <v>34</v>
      </c>
      <c r="C269" s="192">
        <v>0.87910861713319677</v>
      </c>
      <c r="D269" s="98">
        <v>0.86037845145334946</v>
      </c>
      <c r="E269" s="99">
        <v>2.1305860635204569E-2</v>
      </c>
      <c r="F269" s="100">
        <v>2.600146570253393</v>
      </c>
      <c r="G269" s="101">
        <v>1.95770797780661</v>
      </c>
      <c r="H269" s="102">
        <v>0.21537277281646669</v>
      </c>
      <c r="I269" s="102">
        <v>0.4298800448658231</v>
      </c>
      <c r="J269" s="102">
        <v>0.84733523698784374</v>
      </c>
      <c r="K269" s="98">
        <v>3.022096341280085</v>
      </c>
      <c r="L269" s="103">
        <v>0.86037845145334946</v>
      </c>
      <c r="M269" s="104">
        <v>2.1305860635204569E-2</v>
      </c>
      <c r="N269" s="105">
        <v>1.935341701113203</v>
      </c>
      <c r="O269" s="106">
        <v>1.2014818913098799</v>
      </c>
      <c r="P269" s="107">
        <v>2.2494074530156212</v>
      </c>
      <c r="Q269" s="108"/>
      <c r="R269" s="108"/>
      <c r="U269" s="184"/>
      <c r="W269" s="112">
        <f>V267+I269/3</f>
        <v>0.27285094418560918</v>
      </c>
      <c r="X269" s="134">
        <f>V267+I269/5</f>
        <v>0.21553360487016607</v>
      </c>
      <c r="Y269" s="134">
        <f>V267-E269</f>
        <v>0.10825173526179688</v>
      </c>
      <c r="Z269" s="110"/>
      <c r="AA269" s="110"/>
      <c r="AB269" s="110"/>
      <c r="AI269" s="67"/>
    </row>
    <row r="270" spans="1:35">
      <c r="B270" t="s">
        <v>35</v>
      </c>
      <c r="C270" s="192">
        <v>0.92088692743624101</v>
      </c>
      <c r="D270" s="98">
        <v>0.90818377314254728</v>
      </c>
      <c r="E270" s="99">
        <v>1.3794477818313109E-2</v>
      </c>
      <c r="F270" s="100">
        <v>2.6246851139895968</v>
      </c>
      <c r="G270" s="101">
        <v>1.85017089046616</v>
      </c>
      <c r="H270" s="102">
        <v>0.24042283097219899</v>
      </c>
      <c r="I270" s="102">
        <v>0.57738173838611351</v>
      </c>
      <c r="J270" s="102">
        <v>0.85207337316761755</v>
      </c>
      <c r="K270" s="98">
        <v>2.8900374479358049</v>
      </c>
      <c r="L270" s="103">
        <v>0.90818377314254728</v>
      </c>
      <c r="M270" s="104">
        <v>1.3794477818313109E-2</v>
      </c>
      <c r="N270" s="105">
        <v>2.4640291850677341</v>
      </c>
      <c r="O270" s="106">
        <v>1.675713067105445</v>
      </c>
      <c r="P270" s="107">
        <v>2.7131394084939058</v>
      </c>
      <c r="Q270" s="108"/>
      <c r="R270" s="108"/>
      <c r="T270" s="67">
        <f>T267/C269</f>
        <v>4986.7795794063713</v>
      </c>
      <c r="U270" s="67"/>
      <c r="V270" s="67">
        <f>T267/C267</f>
        <v>602.01001122014827</v>
      </c>
      <c r="W270" s="134">
        <f>V268+I270/3</f>
        <v>0.34722227575407472</v>
      </c>
      <c r="X270" s="134">
        <f>V268+I270/5</f>
        <v>0.27023804396925954</v>
      </c>
      <c r="Y270" s="134">
        <f>V268-E270</f>
        <v>0.14096721847372376</v>
      </c>
      <c r="Z270" s="110"/>
      <c r="AA270" s="110"/>
      <c r="AB270" s="110"/>
      <c r="AI270" s="67"/>
    </row>
    <row r="271" spans="1:35">
      <c r="C271" s="150"/>
      <c r="D271" s="98"/>
      <c r="F271" s="100"/>
      <c r="K271" s="98"/>
      <c r="L271" s="103"/>
      <c r="M271" s="104"/>
      <c r="N271" s="105"/>
      <c r="P271" s="107"/>
      <c r="Q271" s="108"/>
      <c r="R271" s="108"/>
      <c r="T271" s="67"/>
      <c r="U271" s="67"/>
      <c r="V271" s="67"/>
      <c r="W271" s="134"/>
      <c r="X271" s="134"/>
      <c r="Y271" s="134"/>
      <c r="Z271" s="110"/>
      <c r="AA271" s="110"/>
      <c r="AB271" s="110"/>
      <c r="AI271" s="67"/>
    </row>
    <row r="272" spans="1:35">
      <c r="A272" t="s">
        <v>172</v>
      </c>
      <c r="B272" t="s">
        <v>30</v>
      </c>
      <c r="C272" s="164">
        <v>17.428417482784639</v>
      </c>
      <c r="D272" s="98">
        <v>16.09042914384753</v>
      </c>
      <c r="E272" s="99">
        <v>7.6770500836277789E-2</v>
      </c>
      <c r="F272" s="100">
        <v>34.720757928864991</v>
      </c>
      <c r="G272" s="101">
        <v>0.99219223220704311</v>
      </c>
      <c r="H272" s="102">
        <v>7.2861841657956949E-2</v>
      </c>
      <c r="I272" s="102">
        <v>0.49268468227074053</v>
      </c>
      <c r="J272" s="102">
        <v>0.65561284688459986</v>
      </c>
      <c r="K272" s="98">
        <v>2.1578515786287231</v>
      </c>
      <c r="L272" s="103">
        <v>16.09042914384753</v>
      </c>
      <c r="M272" s="104">
        <v>7.6770500836277789E-2</v>
      </c>
      <c r="N272" s="105">
        <v>34.720757928864991</v>
      </c>
      <c r="O272" s="106">
        <v>0.99219223220704311</v>
      </c>
      <c r="P272" s="107">
        <v>2.1578515786287231</v>
      </c>
      <c r="Q272" s="108">
        <v>8.5752686220814972E-2</v>
      </c>
      <c r="R272" s="108">
        <v>8.6542107972649621E-2</v>
      </c>
      <c r="S272" s="109">
        <v>2.0523999366951939E-2</v>
      </c>
      <c r="T272">
        <v>12632.7466</v>
      </c>
      <c r="U272" s="134"/>
      <c r="V272" s="112"/>
      <c r="W272" s="112"/>
      <c r="X272" s="134"/>
      <c r="Y272" s="134"/>
      <c r="Z272" s="110"/>
      <c r="AA272" s="110"/>
      <c r="AB272" s="110"/>
      <c r="AI272" s="67"/>
    </row>
    <row r="273" spans="1:35">
      <c r="A273" t="s">
        <v>173</v>
      </c>
      <c r="B273" t="s">
        <v>32</v>
      </c>
      <c r="C273" s="164">
        <v>15.237545367576329</v>
      </c>
      <c r="D273" s="98">
        <v>14.43916448547122</v>
      </c>
      <c r="E273" s="99">
        <v>5.2395636097922749E-2</v>
      </c>
      <c r="F273" s="100">
        <v>41.311762294819111</v>
      </c>
      <c r="G273" s="101">
        <v>1.7111822342938241</v>
      </c>
      <c r="H273" s="102">
        <v>0.2100090627415494</v>
      </c>
      <c r="I273" s="102">
        <v>0.79364523120306507</v>
      </c>
      <c r="J273" s="102">
        <v>1.001693266843116</v>
      </c>
      <c r="K273" s="98">
        <v>2.8610909125931272</v>
      </c>
      <c r="L273" s="103">
        <v>14.43916448547122</v>
      </c>
      <c r="M273" s="104">
        <v>5.2395636097922749E-2</v>
      </c>
      <c r="N273" s="105">
        <v>41.311762294819111</v>
      </c>
      <c r="O273" s="106">
        <v>1.7111822342938241</v>
      </c>
      <c r="P273" s="107">
        <v>2.8610909125931272</v>
      </c>
      <c r="Q273" s="108"/>
      <c r="R273" s="108"/>
      <c r="S273" s="109">
        <v>2.299426093405469E-2</v>
      </c>
      <c r="U273" s="134"/>
      <c r="V273" s="134"/>
      <c r="W273" s="134"/>
      <c r="X273" s="134"/>
      <c r="Y273" s="134"/>
      <c r="Z273" s="110"/>
      <c r="AA273" s="110"/>
      <c r="AB273" s="110"/>
      <c r="AI273" s="67"/>
    </row>
    <row r="274" spans="1:35">
      <c r="A274" t="s">
        <v>174</v>
      </c>
      <c r="B274" t="s">
        <v>34</v>
      </c>
      <c r="C274" s="163">
        <v>1.4945336157265969</v>
      </c>
      <c r="D274" s="98">
        <v>1.281454269532224</v>
      </c>
      <c r="E274" s="99">
        <v>0.1425724680610686</v>
      </c>
      <c r="F274" s="100">
        <v>2.7267054868671909</v>
      </c>
      <c r="G274" s="101">
        <v>0.82445242995859225</v>
      </c>
      <c r="H274" s="102">
        <v>-1.0173794390804011E-2</v>
      </c>
      <c r="I274" s="102">
        <v>0.34871266420505198</v>
      </c>
      <c r="J274" s="102">
        <v>0.5948837704043779</v>
      </c>
      <c r="K274" s="98">
        <v>2.1278211417271531</v>
      </c>
      <c r="L274" s="103">
        <v>1.281454269532224</v>
      </c>
      <c r="M274" s="104">
        <v>0.1425724680610686</v>
      </c>
      <c r="N274" s="105">
        <v>2.7267054868671909</v>
      </c>
      <c r="O274" s="106">
        <v>0.82445242995859225</v>
      </c>
      <c r="P274" s="107">
        <v>2.1278211417271531</v>
      </c>
      <c r="Q274" s="108"/>
      <c r="R274" s="108"/>
      <c r="U274" s="184"/>
      <c r="W274" s="112"/>
      <c r="X274" s="134"/>
      <c r="Y274" s="134"/>
      <c r="Z274" s="110"/>
      <c r="AA274" s="110"/>
      <c r="AB274" s="110"/>
      <c r="AI274" s="67"/>
    </row>
    <row r="275" spans="1:35">
      <c r="B275" t="s">
        <v>35</v>
      </c>
      <c r="C275" s="164">
        <v>1.3186892964389381</v>
      </c>
      <c r="D275" s="98">
        <v>1.191595638833119</v>
      </c>
      <c r="E275" s="99">
        <v>9.6378773945484997E-2</v>
      </c>
      <c r="F275" s="100">
        <v>2.51152880519171</v>
      </c>
      <c r="G275" s="101">
        <v>0.90456448837037051</v>
      </c>
      <c r="H275" s="102">
        <v>5.9480121345945047E-2</v>
      </c>
      <c r="I275" s="102">
        <v>0.44027856116990272</v>
      </c>
      <c r="J275" s="102">
        <v>0.72440634608410415</v>
      </c>
      <c r="K275" s="98">
        <v>2.1077022467547359</v>
      </c>
      <c r="L275" s="103">
        <v>1.191595638833119</v>
      </c>
      <c r="M275" s="104">
        <v>9.6378773945484997E-2</v>
      </c>
      <c r="N275" s="105">
        <v>2.51152880519171</v>
      </c>
      <c r="O275" s="106">
        <v>0.90456448837037051</v>
      </c>
      <c r="P275" s="107">
        <v>2.1077022467547359</v>
      </c>
      <c r="Q275" s="108"/>
      <c r="R275" s="108"/>
      <c r="U275" s="184"/>
      <c r="W275" s="134"/>
      <c r="X275" s="134"/>
      <c r="Y275" s="134"/>
      <c r="Z275" s="110"/>
      <c r="AA275" s="110"/>
      <c r="AB275" s="110"/>
      <c r="AI275" s="67"/>
    </row>
    <row r="276" spans="1:35">
      <c r="E276" s="17"/>
      <c r="F276" s="17"/>
      <c r="G276" s="17"/>
      <c r="H276" s="17"/>
      <c r="I276" s="17"/>
      <c r="J276" s="17"/>
      <c r="M276" s="15"/>
      <c r="O276" s="88"/>
      <c r="P276" s="7"/>
      <c r="Q276" s="109"/>
      <c r="T276" s="109"/>
      <c r="W276" s="134"/>
      <c r="X276" s="134"/>
      <c r="Y276" s="134"/>
      <c r="Z276" s="110"/>
      <c r="AA276" s="110"/>
      <c r="AB276" s="110"/>
    </row>
    <row r="277" spans="1:35" s="182" customFormat="1">
      <c r="D277" s="2"/>
      <c r="E277" s="17"/>
      <c r="F277" s="17"/>
      <c r="G277" s="17"/>
      <c r="H277" s="17"/>
      <c r="I277" s="17"/>
      <c r="J277" s="17"/>
      <c r="K277" s="2"/>
      <c r="L277" s="88"/>
      <c r="M277" s="15"/>
      <c r="N277" s="7"/>
      <c r="O277" s="88"/>
      <c r="P277" s="7"/>
      <c r="Q277" s="109"/>
      <c r="S277" s="109"/>
      <c r="T277" s="109"/>
      <c r="V277" s="109"/>
      <c r="W277" s="134"/>
      <c r="X277" s="134"/>
      <c r="Y277" s="134"/>
      <c r="Z277" s="110"/>
      <c r="AA277" s="110"/>
      <c r="AB277" s="110"/>
      <c r="AC277" s="134"/>
      <c r="AD277" s="134"/>
      <c r="AE277" s="134"/>
      <c r="AF277" s="134"/>
      <c r="AH277" s="109"/>
      <c r="AI277" s="111"/>
    </row>
    <row r="278" spans="1:35" s="182" customFormat="1">
      <c r="D278" s="2"/>
      <c r="E278" s="17"/>
      <c r="F278" s="17"/>
      <c r="G278" s="17"/>
      <c r="H278" s="17"/>
      <c r="I278" s="17"/>
      <c r="J278" s="17"/>
      <c r="K278" s="2"/>
      <c r="L278" s="88"/>
      <c r="M278" s="15"/>
      <c r="N278" s="7"/>
      <c r="O278" s="88"/>
      <c r="P278" s="7"/>
      <c r="Q278" s="109"/>
      <c r="S278" s="109"/>
      <c r="T278" s="109"/>
      <c r="V278" s="109"/>
      <c r="W278" s="134"/>
      <c r="X278" s="134"/>
      <c r="Y278" s="134"/>
      <c r="Z278" s="110"/>
      <c r="AA278" s="110"/>
      <c r="AB278" s="110"/>
      <c r="AC278" s="134"/>
      <c r="AD278" s="134"/>
      <c r="AE278" s="134"/>
      <c r="AF278" s="134"/>
      <c r="AH278" s="109"/>
      <c r="AI278" s="111"/>
    </row>
    <row r="279" spans="1:35" s="182" customFormat="1">
      <c r="D279" s="2"/>
      <c r="E279" s="17"/>
      <c r="F279" s="17"/>
      <c r="G279" s="17"/>
      <c r="H279" s="17"/>
      <c r="I279" s="17"/>
      <c r="J279" s="17"/>
      <c r="K279" s="2"/>
      <c r="L279" s="88"/>
      <c r="M279" s="15"/>
      <c r="N279" s="7"/>
      <c r="O279" s="88"/>
      <c r="P279" s="7"/>
      <c r="Q279" s="109"/>
      <c r="S279" s="109"/>
      <c r="T279" s="109"/>
      <c r="V279" s="109"/>
      <c r="W279" s="134"/>
      <c r="X279" s="134"/>
      <c r="Y279" s="134"/>
      <c r="Z279" s="110"/>
      <c r="AA279" s="110"/>
      <c r="AB279" s="110"/>
      <c r="AC279" s="134"/>
      <c r="AD279" s="134"/>
      <c r="AE279" s="134"/>
      <c r="AF279" s="134"/>
      <c r="AH279" s="109"/>
      <c r="AI279" s="111"/>
    </row>
    <row r="280" spans="1:35" s="182" customFormat="1">
      <c r="D280" s="2"/>
      <c r="E280" s="17"/>
      <c r="F280" s="17"/>
      <c r="G280" s="17"/>
      <c r="H280" s="17"/>
      <c r="I280" s="17"/>
      <c r="J280" s="17"/>
      <c r="K280" s="2"/>
      <c r="L280" s="88"/>
      <c r="M280" s="15"/>
      <c r="N280" s="7"/>
      <c r="O280" s="88"/>
      <c r="P280" s="7"/>
      <c r="Q280" s="109"/>
      <c r="S280" s="109"/>
      <c r="T280" s="109"/>
      <c r="V280" s="109"/>
      <c r="W280" s="134"/>
      <c r="X280" s="134"/>
      <c r="Y280" s="134"/>
      <c r="Z280" s="110"/>
      <c r="AA280" s="110"/>
      <c r="AB280" s="110"/>
      <c r="AC280" s="134"/>
      <c r="AD280" s="134"/>
      <c r="AE280" s="134"/>
      <c r="AF280" s="134"/>
      <c r="AH280" s="109"/>
      <c r="AI280" s="111"/>
    </row>
    <row r="281" spans="1:35" s="182" customFormat="1">
      <c r="D281" s="2"/>
      <c r="E281" s="17"/>
      <c r="F281" s="17"/>
      <c r="G281" s="17"/>
      <c r="H281" s="17"/>
      <c r="I281" s="17"/>
      <c r="J281" s="17"/>
      <c r="K281" s="2"/>
      <c r="L281" s="88"/>
      <c r="M281" s="15"/>
      <c r="N281" s="7"/>
      <c r="O281" s="88"/>
      <c r="P281" s="7"/>
      <c r="Q281" s="109"/>
      <c r="S281" s="109"/>
      <c r="T281" s="109"/>
      <c r="V281" s="109"/>
      <c r="W281" s="134"/>
      <c r="X281" s="134"/>
      <c r="Y281" s="134"/>
      <c r="Z281" s="110"/>
      <c r="AA281" s="110"/>
      <c r="AB281" s="110"/>
      <c r="AC281" s="134"/>
      <c r="AD281" s="134"/>
      <c r="AE281" s="134"/>
      <c r="AF281" s="134"/>
      <c r="AH281" s="109"/>
      <c r="AI281" s="111"/>
    </row>
    <row r="282" spans="1:35" s="182" customFormat="1">
      <c r="D282" s="2"/>
      <c r="E282" s="17"/>
      <c r="F282" s="17"/>
      <c r="G282" s="17"/>
      <c r="H282" s="17"/>
      <c r="I282" s="17"/>
      <c r="J282" s="17"/>
      <c r="K282" s="2"/>
      <c r="L282" s="88"/>
      <c r="M282" s="15"/>
      <c r="N282" s="7"/>
      <c r="O282" s="88"/>
      <c r="P282" s="7"/>
      <c r="Q282" s="109"/>
      <c r="S282" s="109"/>
      <c r="T282" s="109"/>
      <c r="V282" s="109"/>
      <c r="W282" s="134"/>
      <c r="X282" s="134"/>
      <c r="Y282" s="134"/>
      <c r="Z282" s="110"/>
      <c r="AA282" s="110"/>
      <c r="AB282" s="110"/>
      <c r="AC282" s="134"/>
      <c r="AD282" s="134"/>
      <c r="AE282" s="134"/>
      <c r="AF282" s="134"/>
      <c r="AH282" s="109"/>
      <c r="AI282" s="111"/>
    </row>
    <row r="283" spans="1:35" s="182" customFormat="1">
      <c r="C283" s="114"/>
      <c r="D283" s="98"/>
      <c r="E283" s="99"/>
      <c r="F283" s="3"/>
      <c r="G283" s="101"/>
      <c r="H283" s="102"/>
      <c r="I283" s="102"/>
      <c r="J283" s="102"/>
      <c r="K283" s="2"/>
      <c r="L283" s="88"/>
      <c r="M283" s="31"/>
      <c r="N283" s="7"/>
      <c r="O283" s="106"/>
      <c r="P283" s="88"/>
      <c r="Q283" s="108"/>
      <c r="S283" s="109"/>
      <c r="U283" s="134"/>
      <c r="V283" s="134"/>
      <c r="W283" s="134"/>
      <c r="X283" s="134"/>
      <c r="Y283" s="134"/>
      <c r="Z283" s="110"/>
      <c r="AA283" s="110"/>
      <c r="AB283" s="110"/>
      <c r="AC283" s="134"/>
      <c r="AD283" s="134"/>
      <c r="AE283" s="134"/>
      <c r="AF283" s="134"/>
      <c r="AH283" s="109"/>
      <c r="AI283" s="111"/>
    </row>
    <row r="284" spans="1:35" s="182" customFormat="1">
      <c r="D284" s="98"/>
      <c r="E284" s="99"/>
      <c r="F284" s="3"/>
      <c r="G284" s="101"/>
      <c r="H284" s="102"/>
      <c r="I284" s="102"/>
      <c r="J284" s="102"/>
      <c r="K284" s="2"/>
      <c r="L284" s="88"/>
      <c r="M284" s="31"/>
      <c r="N284" s="7"/>
      <c r="O284" s="106"/>
      <c r="P284" s="88"/>
      <c r="S284" s="109"/>
      <c r="U284" s="134"/>
      <c r="V284" s="134"/>
      <c r="W284" s="134"/>
      <c r="X284" s="134"/>
      <c r="Y284" s="134"/>
      <c r="Z284" s="110"/>
      <c r="AA284" s="110"/>
      <c r="AB284" s="110"/>
      <c r="AC284" s="134"/>
      <c r="AD284" s="134"/>
      <c r="AE284" s="134"/>
      <c r="AF284" s="134"/>
      <c r="AH284" s="109"/>
      <c r="AI284" s="111"/>
    </row>
    <row r="285" spans="1:35" s="182" customFormat="1">
      <c r="C285" s="113"/>
      <c r="D285" s="98"/>
      <c r="E285" s="99"/>
      <c r="F285" s="3"/>
      <c r="G285" s="101"/>
      <c r="H285" s="102"/>
      <c r="I285" s="102"/>
      <c r="J285" s="102"/>
      <c r="K285" s="2"/>
      <c r="L285" s="88"/>
      <c r="M285" s="31"/>
      <c r="N285" s="7"/>
      <c r="O285" s="106"/>
      <c r="P285" s="88"/>
      <c r="S285" s="109"/>
      <c r="V285" s="109"/>
      <c r="W285" s="134"/>
      <c r="X285" s="134"/>
      <c r="Y285" s="134"/>
      <c r="Z285" s="110"/>
      <c r="AA285" s="110"/>
      <c r="AB285" s="110"/>
      <c r="AC285" s="134"/>
      <c r="AD285" s="134"/>
      <c r="AE285" s="134"/>
      <c r="AF285" s="134"/>
      <c r="AH285" s="109"/>
      <c r="AI285" s="111"/>
    </row>
    <row r="286" spans="1:35" s="182" customFormat="1">
      <c r="D286" s="2"/>
      <c r="E286" s="99"/>
      <c r="F286" s="3"/>
      <c r="G286" s="101"/>
      <c r="H286" s="102"/>
      <c r="I286" s="102"/>
      <c r="J286" s="102"/>
      <c r="K286" s="2"/>
      <c r="L286" s="88"/>
      <c r="M286" s="31"/>
      <c r="N286" s="7"/>
      <c r="O286" s="106"/>
      <c r="P286" s="88"/>
      <c r="S286" s="109"/>
      <c r="V286" s="109"/>
      <c r="AC286" s="134"/>
      <c r="AD286" s="134"/>
      <c r="AE286" s="134"/>
      <c r="AF286" s="134"/>
      <c r="AH286" s="109"/>
      <c r="AI286" s="111"/>
    </row>
    <row r="287" spans="1:35" s="182" customFormat="1">
      <c r="D287" s="2"/>
      <c r="E287" s="99"/>
      <c r="F287" s="3"/>
      <c r="G287" s="101"/>
      <c r="H287" s="102"/>
      <c r="I287" s="102"/>
      <c r="J287" s="102"/>
      <c r="K287" s="2"/>
      <c r="L287" s="88"/>
      <c r="M287" s="31"/>
      <c r="N287" s="7"/>
      <c r="O287" s="106"/>
      <c r="P287" s="88"/>
      <c r="S287" s="109"/>
      <c r="V287" s="109"/>
      <c r="W287" s="134">
        <f>V284+I287/3</f>
        <v>0</v>
      </c>
      <c r="X287" s="134">
        <f>V284+I287/5</f>
        <v>0</v>
      </c>
      <c r="Y287" s="134">
        <f>V284-E287</f>
        <v>0</v>
      </c>
      <c r="Z287" s="110"/>
      <c r="AA287" s="110"/>
      <c r="AB287" s="110"/>
      <c r="AC287" s="134"/>
      <c r="AD287" s="134"/>
      <c r="AE287" s="134"/>
      <c r="AF287" s="134"/>
      <c r="AH287" s="109"/>
      <c r="AI287" s="111"/>
    </row>
    <row r="288" spans="1:35" s="182" customFormat="1" ht="18" customHeight="1">
      <c r="C288" s="162"/>
      <c r="D288" s="162"/>
      <c r="E288" s="99"/>
      <c r="F288" s="3"/>
      <c r="G288" s="101"/>
      <c r="H288" s="102"/>
      <c r="I288" s="102"/>
      <c r="J288" s="102"/>
      <c r="K288" s="2"/>
      <c r="L288" s="88"/>
      <c r="M288" s="31"/>
      <c r="N288" s="7"/>
      <c r="O288" s="106"/>
      <c r="P288" s="88"/>
      <c r="S288" s="109"/>
      <c r="V288" s="109"/>
      <c r="AC288" s="134"/>
      <c r="AD288" s="134"/>
      <c r="AE288" s="134"/>
      <c r="AF288" s="134"/>
      <c r="AH288" s="109"/>
      <c r="AI288" s="111"/>
    </row>
    <row r="289" spans="1:30">
      <c r="C289" s="114"/>
      <c r="D289" s="98"/>
      <c r="Q289" s="108"/>
      <c r="U289" s="134"/>
      <c r="V289" s="134"/>
      <c r="W289" s="134"/>
      <c r="X289" s="134"/>
      <c r="Y289" s="134"/>
      <c r="Z289" s="110"/>
      <c r="AA289" s="110"/>
      <c r="AB289" s="110"/>
    </row>
    <row r="290" spans="1:30">
      <c r="D290" s="98"/>
      <c r="U290" s="134"/>
      <c r="V290" s="134"/>
      <c r="W290" s="134"/>
      <c r="X290" s="134"/>
      <c r="Y290" s="134"/>
      <c r="Z290" s="110"/>
      <c r="AA290" s="110"/>
      <c r="AB290" s="110"/>
    </row>
    <row r="291" spans="1:30">
      <c r="C291" s="113"/>
      <c r="D291" s="98"/>
      <c r="W291" s="134"/>
      <c r="X291" s="134"/>
      <c r="Y291" s="134"/>
      <c r="Z291" s="110"/>
      <c r="AA291" s="110"/>
      <c r="AB291" s="110"/>
    </row>
    <row r="293" spans="1:30">
      <c r="W293" s="134">
        <f>V290+I293/3</f>
        <v>0</v>
      </c>
      <c r="X293" s="134">
        <f>V290+I293/5</f>
        <v>0</v>
      </c>
      <c r="Y293" s="134">
        <f>V290-E293</f>
        <v>0</v>
      </c>
      <c r="Z293" s="110"/>
      <c r="AA293" s="110"/>
      <c r="AB293" s="110"/>
    </row>
    <row r="294" spans="1:30" ht="18" customHeight="1">
      <c r="C294" s="162"/>
      <c r="D294" s="162"/>
    </row>
    <row r="295" spans="1:30">
      <c r="A295" t="s">
        <v>175</v>
      </c>
      <c r="B295" t="s">
        <v>30</v>
      </c>
      <c r="C295" s="70">
        <v>36.340000000000003</v>
      </c>
      <c r="D295" s="2">
        <v>22.08</v>
      </c>
      <c r="E295" s="99">
        <f>C295/D295-1</f>
        <v>0.6458333333333337</v>
      </c>
      <c r="F295" s="3">
        <v>63.09</v>
      </c>
      <c r="H295" s="102">
        <f>33.59/C295-1</f>
        <v>-7.5674188222344507E-2</v>
      </c>
      <c r="I295" s="102">
        <f>43.67/C295-1</f>
        <v>0.20170610897083097</v>
      </c>
      <c r="J295" s="102">
        <f>51.62/C295-1</f>
        <v>0.42047330764997226</v>
      </c>
      <c r="Q295" s="108">
        <f>C297/C295</f>
        <v>0.14034122179416619</v>
      </c>
      <c r="R295" s="108"/>
      <c r="S295" s="109">
        <v>8.0000000000000004E-4</v>
      </c>
      <c r="U295" s="134">
        <f>C295*S295</f>
        <v>2.9072000000000004E-2</v>
      </c>
      <c r="V295" s="112">
        <f>(1+S295)*Q295*(1-U295)+S295</f>
        <v>0.13717023077160151</v>
      </c>
      <c r="W295" s="112">
        <f>V295+I295/3</f>
        <v>0.20440560042854516</v>
      </c>
      <c r="X295" s="134">
        <f>V295+I295/5</f>
        <v>0.1775114525657677</v>
      </c>
      <c r="Y295" s="134">
        <f>V295-E295</f>
        <v>-0.50866310256173219</v>
      </c>
      <c r="Z295" s="110">
        <v>5.0999999999999996</v>
      </c>
      <c r="AA295" s="85">
        <f>Z295*E297</f>
        <v>0.64999999999999936</v>
      </c>
      <c r="AB295" s="110"/>
      <c r="AD295" s="37"/>
    </row>
    <row r="296" spans="1:30">
      <c r="C296" s="69"/>
      <c r="Q296" s="108"/>
      <c r="R296" s="108"/>
      <c r="U296" s="134"/>
      <c r="V296" s="134">
        <f>(1+S296)*R295*(1-U296)+S296</f>
        <v>0</v>
      </c>
      <c r="W296" s="134">
        <f>V296+I296/3</f>
        <v>0</v>
      </c>
      <c r="X296" s="134">
        <f>V296+I296/5</f>
        <v>0</v>
      </c>
      <c r="Y296" s="134">
        <f>V296-E296</f>
        <v>0</v>
      </c>
      <c r="Z296" s="110"/>
      <c r="AA296" s="134">
        <f>AA295/($AB$2)</f>
        <v>1.2499999999999985E-2</v>
      </c>
      <c r="AB296" s="110"/>
    </row>
    <row r="297" spans="1:30">
      <c r="B297" t="s">
        <v>34</v>
      </c>
      <c r="C297" s="69">
        <v>5.0999999999999996</v>
      </c>
      <c r="D297" s="2">
        <v>4.45</v>
      </c>
      <c r="E297" s="99">
        <f>1-D297/C297</f>
        <v>0.12745098039215674</v>
      </c>
      <c r="F297" s="3">
        <v>11.54</v>
      </c>
      <c r="H297" s="102">
        <f>6.25/C297-1</f>
        <v>0.22549019607843146</v>
      </c>
      <c r="I297" s="102">
        <f>7.17/C297-1</f>
        <v>0.40588235294117658</v>
      </c>
      <c r="J297" s="102">
        <f>8.09/C297-1</f>
        <v>0.58627450980392171</v>
      </c>
      <c r="Q297" s="108"/>
      <c r="R297" s="108"/>
      <c r="W297" s="112">
        <f>V295+I297/3</f>
        <v>0.27246434841866041</v>
      </c>
      <c r="X297" s="134">
        <f>V295+I297/5</f>
        <v>0.21834670135983683</v>
      </c>
      <c r="Y297" s="134">
        <f>V295-E297</f>
        <v>9.719250379444766E-3</v>
      </c>
      <c r="Z297" s="110"/>
      <c r="AA297" s="110"/>
      <c r="AB297" s="110"/>
    </row>
    <row r="298" spans="1:30">
      <c r="C298" s="69"/>
      <c r="Q298" s="108"/>
      <c r="R298" s="108"/>
      <c r="W298" s="134">
        <f>V296+I298/3</f>
        <v>0</v>
      </c>
      <c r="X298" s="134">
        <f>V296+I298/5</f>
        <v>0</v>
      </c>
      <c r="Y298" s="134">
        <f>V296-E298</f>
        <v>0</v>
      </c>
      <c r="Z298" s="110"/>
      <c r="AA298" s="110"/>
      <c r="AB298" s="110"/>
    </row>
    <row r="300" spans="1:30" ht="18" customHeight="1">
      <c r="A300" t="s">
        <v>176</v>
      </c>
      <c r="B300" t="s">
        <v>30</v>
      </c>
      <c r="C300" s="69">
        <v>10.52</v>
      </c>
      <c r="D300" s="39">
        <v>7.82</v>
      </c>
      <c r="E300" s="99">
        <f>1-D300/C300</f>
        <v>0.25665399239543718</v>
      </c>
      <c r="H300" s="102">
        <f>11.5/C300-1</f>
        <v>9.3155893536121637E-2</v>
      </c>
      <c r="I300" s="102">
        <f>13.42/C300-1</f>
        <v>0.2756653992395437</v>
      </c>
      <c r="J300" s="102">
        <f>15.64/C300-1</f>
        <v>0.48669201520912564</v>
      </c>
      <c r="Q300" s="108">
        <f>C302/C300</f>
        <v>0.1673003802281369</v>
      </c>
      <c r="R300" s="108"/>
      <c r="S300" s="109">
        <v>2.2100000000000002E-2</v>
      </c>
      <c r="U300" s="134">
        <f>C300*S300</f>
        <v>0.232492</v>
      </c>
      <c r="V300" s="112">
        <f>(1+S300)*Q300*(1-U300)+S300</f>
        <v>0.15334211703117873</v>
      </c>
      <c r="W300" s="112">
        <f>V300+I300/3</f>
        <v>0.24523058344435994</v>
      </c>
      <c r="X300" s="134">
        <f>V300+I300/5</f>
        <v>0.20847519687908747</v>
      </c>
      <c r="Y300" s="134">
        <f>V300-E300</f>
        <v>-0.10331187536425845</v>
      </c>
      <c r="Z300" s="110"/>
      <c r="AA300" s="110"/>
      <c r="AB300" s="110"/>
      <c r="AD300" s="37"/>
    </row>
    <row r="301" spans="1:30">
      <c r="A301" s="74">
        <v>399959</v>
      </c>
      <c r="C301" s="42" t="s">
        <v>177</v>
      </c>
      <c r="Q301" s="108"/>
      <c r="R301" s="108"/>
      <c r="U301" s="134"/>
      <c r="V301" s="134">
        <f>(1+S301)*R300*(1-U301)+S301</f>
        <v>0</v>
      </c>
      <c r="W301" s="134">
        <f>V301+I301/3</f>
        <v>0</v>
      </c>
      <c r="X301" s="134">
        <f>V301+I301/5</f>
        <v>0</v>
      </c>
      <c r="Y301" s="134">
        <f>V301-E301</f>
        <v>0</v>
      </c>
      <c r="Z301" s="110"/>
      <c r="AA301" s="110"/>
      <c r="AB301" s="110"/>
    </row>
    <row r="302" spans="1:30" ht="18" customHeight="1">
      <c r="A302" t="s">
        <v>178</v>
      </c>
      <c r="B302" t="s">
        <v>34</v>
      </c>
      <c r="C302" s="71">
        <v>1.76</v>
      </c>
      <c r="D302" s="39">
        <v>1.35</v>
      </c>
      <c r="E302" s="99">
        <f>1-D302/C302</f>
        <v>0.23295454545454541</v>
      </c>
      <c r="H302" s="102">
        <f>2.3/C302-1</f>
        <v>0.30681818181818166</v>
      </c>
      <c r="I302" s="102">
        <f>2.54/C302-1</f>
        <v>0.44318181818181812</v>
      </c>
      <c r="J302" s="102">
        <f>2.83/C302-1</f>
        <v>0.60795454545454541</v>
      </c>
      <c r="W302" s="112">
        <f>V300+I302/3</f>
        <v>0.30106938975845143</v>
      </c>
      <c r="X302" s="134">
        <f>V300+I302/5</f>
        <v>0.24197848066754235</v>
      </c>
      <c r="Y302" s="134">
        <f>V300-E302</f>
        <v>-7.9612428423366688E-2</v>
      </c>
      <c r="Z302" s="110"/>
      <c r="AA302" s="110"/>
      <c r="AB302" s="110"/>
    </row>
    <row r="303" spans="1:30" ht="18" customHeight="1">
      <c r="A303" s="128"/>
      <c r="C303" s="69"/>
      <c r="D303" s="39"/>
      <c r="W303" s="134">
        <f>V301+I303/3</f>
        <v>0</v>
      </c>
      <c r="X303" s="134">
        <f>V301+I303/5</f>
        <v>0</v>
      </c>
      <c r="Y303" s="134">
        <f>V301-E303</f>
        <v>0</v>
      </c>
      <c r="Z303" s="110"/>
      <c r="AA303" s="110"/>
      <c r="AB303" s="110"/>
    </row>
    <row r="305" spans="1:30">
      <c r="A305" t="s">
        <v>179</v>
      </c>
      <c r="B305" t="s">
        <v>30</v>
      </c>
      <c r="C305" s="69">
        <v>10.8</v>
      </c>
      <c r="D305" s="2">
        <v>7.76</v>
      </c>
      <c r="E305" s="99">
        <f>1-D305/C305</f>
        <v>0.28148148148148155</v>
      </c>
      <c r="H305" s="102">
        <f>11.2/C305-1</f>
        <v>3.7037037037036979E-2</v>
      </c>
      <c r="I305" s="102">
        <f>12.42/C305-1</f>
        <v>0.14999999999999991</v>
      </c>
      <c r="J305" s="102">
        <f>14.24/C305-1</f>
        <v>0.31851851851851842</v>
      </c>
      <c r="Q305" s="108">
        <f>C307/C305</f>
        <v>0.12685185185185185</v>
      </c>
      <c r="S305" s="109">
        <v>4.0500000000000001E-2</v>
      </c>
      <c r="U305" s="134">
        <f>C305*S305</f>
        <v>0.43740000000000007</v>
      </c>
      <c r="V305" s="112">
        <f>(1+S305)*Q305*(1-U305)+S305</f>
        <v>0.11475720935185185</v>
      </c>
      <c r="W305" s="112">
        <f>V305+I305/3</f>
        <v>0.16475720935185181</v>
      </c>
      <c r="X305" s="134">
        <f>V305+I305/5</f>
        <v>0.14475720935185182</v>
      </c>
      <c r="Y305" s="134">
        <f>V305-E305</f>
        <v>-0.1667242721296297</v>
      </c>
      <c r="Z305" s="110"/>
      <c r="AA305" s="110"/>
      <c r="AB305" s="110"/>
      <c r="AD305" s="37"/>
    </row>
    <row r="306" spans="1:30">
      <c r="A306" t="s">
        <v>180</v>
      </c>
      <c r="C306" s="69"/>
      <c r="Q306" s="108"/>
      <c r="U306" s="134"/>
      <c r="V306" s="134">
        <f>(1+S306)*R305*(1-U306)+S306</f>
        <v>0</v>
      </c>
      <c r="W306" s="134">
        <f>V306+I306/3</f>
        <v>0</v>
      </c>
      <c r="X306" s="134">
        <f>V306+I306/5</f>
        <v>0</v>
      </c>
      <c r="Y306" s="134">
        <f>V306-E306</f>
        <v>0</v>
      </c>
      <c r="Z306" s="110"/>
      <c r="AA306" s="110"/>
      <c r="AB306" s="110"/>
    </row>
    <row r="307" spans="1:30">
      <c r="A307" t="s">
        <v>181</v>
      </c>
      <c r="B307" t="s">
        <v>34</v>
      </c>
      <c r="C307" s="69">
        <v>1.37</v>
      </c>
      <c r="D307" s="2">
        <v>1.1499999999999999</v>
      </c>
      <c r="E307" s="99">
        <f>1-D307/C307</f>
        <v>0.16058394160583955</v>
      </c>
      <c r="H307" s="102">
        <f>1.61/C307-1</f>
        <v>0.17518248175182483</v>
      </c>
      <c r="I307" s="102">
        <f>1.78/C307-1</f>
        <v>0.2992700729927007</v>
      </c>
      <c r="J307" s="102">
        <f>2.02/C307-1</f>
        <v>0.47445255474452552</v>
      </c>
      <c r="W307" s="112">
        <f>V305+I307/3</f>
        <v>0.21451390034941875</v>
      </c>
      <c r="X307" s="134">
        <f>V305+I307/5</f>
        <v>0.174611223950392</v>
      </c>
      <c r="Y307" s="134">
        <f>V305-E307</f>
        <v>-4.5826732253987701E-2</v>
      </c>
      <c r="Z307" s="110"/>
      <c r="AA307" s="110"/>
      <c r="AB307" s="110"/>
    </row>
    <row r="308" spans="1:30">
      <c r="C308" s="69"/>
      <c r="W308" s="134">
        <f>V306+I308/3</f>
        <v>0</v>
      </c>
      <c r="X308" s="134">
        <f>V306+I308/5</f>
        <v>0</v>
      </c>
      <c r="Y308" s="134">
        <f>V306-E308</f>
        <v>0</v>
      </c>
      <c r="Z308" s="110"/>
      <c r="AA308" s="110"/>
      <c r="AB308" s="110"/>
    </row>
    <row r="310" spans="1:30">
      <c r="A310" t="s">
        <v>182</v>
      </c>
      <c r="B310" t="s">
        <v>30</v>
      </c>
      <c r="C310" s="69">
        <v>6.06</v>
      </c>
      <c r="D310" s="2">
        <v>5.75</v>
      </c>
      <c r="E310" s="99">
        <f>1-D310/C310</f>
        <v>5.1155115511551053E-2</v>
      </c>
      <c r="H310" s="102">
        <f>7.23/C310-1</f>
        <v>0.19306930693069324</v>
      </c>
      <c r="I310" s="102">
        <f>7.88/C310-1</f>
        <v>0.3003300330033003</v>
      </c>
      <c r="J310" s="102">
        <f>8.72/C310-1</f>
        <v>0.43894389438943904</v>
      </c>
      <c r="Q310" s="108">
        <f>C312/C310</f>
        <v>0.11056105610561058</v>
      </c>
      <c r="S310" s="109">
        <v>3.9399999999999998E-2</v>
      </c>
      <c r="U310" s="134">
        <f>C310*S310</f>
        <v>0.23876399999999998</v>
      </c>
      <c r="V310" s="112">
        <f>(1+S310)*Q310*(1-U310)+S310</f>
        <v>0.12687908051617164</v>
      </c>
      <c r="W310" s="112">
        <f>V310+I310/3</f>
        <v>0.22698909151727176</v>
      </c>
      <c r="X310" s="134">
        <f>V310+I310/5</f>
        <v>0.18694508711683169</v>
      </c>
      <c r="Y310" s="134">
        <f>V310-E310</f>
        <v>7.5723965004620586E-2</v>
      </c>
      <c r="Z310" s="110"/>
      <c r="AA310" s="110"/>
      <c r="AB310" s="110"/>
      <c r="AD310" s="37"/>
    </row>
    <row r="311" spans="1:30">
      <c r="A311" t="s">
        <v>183</v>
      </c>
      <c r="C311" s="69"/>
      <c r="Q311" s="108"/>
      <c r="U311" s="134"/>
      <c r="V311" s="134">
        <f>(1+S311)*R310*(1-U311)+S311</f>
        <v>0</v>
      </c>
      <c r="W311" s="134">
        <f>V311+I311/3</f>
        <v>0</v>
      </c>
      <c r="X311" s="134">
        <f>V311+I311/5</f>
        <v>0</v>
      </c>
      <c r="Y311" s="134">
        <f>V311-E311</f>
        <v>0</v>
      </c>
      <c r="Z311" s="110"/>
      <c r="AA311" s="110"/>
      <c r="AB311" s="110"/>
    </row>
    <row r="312" spans="1:30">
      <c r="A312" t="s">
        <v>184</v>
      </c>
      <c r="B312" t="s">
        <v>34</v>
      </c>
      <c r="C312" s="69">
        <v>0.67</v>
      </c>
      <c r="D312" s="2">
        <v>0.63</v>
      </c>
      <c r="E312" s="99">
        <f>1-D312/C312</f>
        <v>5.9701492537313494E-2</v>
      </c>
      <c r="H312" s="102">
        <f>0.88/C312-1</f>
        <v>0.31343283582089554</v>
      </c>
      <c r="I312" s="102">
        <f>0.95/C312-1</f>
        <v>0.4179104477611939</v>
      </c>
      <c r="J312" s="102">
        <f>1.02/C312-1</f>
        <v>0.52238805970149249</v>
      </c>
      <c r="W312" s="112">
        <f>V310+I312/3</f>
        <v>0.26618256310323629</v>
      </c>
      <c r="X312" s="134">
        <f>V310+I312/5</f>
        <v>0.21046117006841042</v>
      </c>
      <c r="Y312" s="134">
        <f>V310-E312</f>
        <v>6.7177587978858144E-2</v>
      </c>
      <c r="Z312" s="110"/>
      <c r="AA312" s="110"/>
      <c r="AB312" s="110"/>
    </row>
    <row r="313" spans="1:30">
      <c r="C313" s="69"/>
      <c r="W313" s="134">
        <f>V311+I313/3</f>
        <v>0</v>
      </c>
      <c r="X313" s="134">
        <f>V311+I313/5</f>
        <v>0</v>
      </c>
      <c r="Y313" s="134">
        <f>V311-E313</f>
        <v>0</v>
      </c>
      <c r="Z313" s="110"/>
      <c r="AA313" s="110"/>
      <c r="AB313" s="110"/>
    </row>
    <row r="315" spans="1:30">
      <c r="A315" t="s">
        <v>185</v>
      </c>
      <c r="B315" t="s">
        <v>30</v>
      </c>
      <c r="C315">
        <v>11.37</v>
      </c>
      <c r="D315" s="2">
        <v>10.68</v>
      </c>
      <c r="E315" s="99">
        <f>1-D315/C315</f>
        <v>6.0686015831134532E-2</v>
      </c>
      <c r="H315" s="102">
        <f>11.71/C315-1</f>
        <v>2.990325417766071E-2</v>
      </c>
      <c r="I315" s="102">
        <f>13.15/C315-1</f>
        <v>0.15655233069481111</v>
      </c>
      <c r="J315" s="102">
        <f>15.66/C315-1</f>
        <v>0.37730870712401066</v>
      </c>
      <c r="Q315" s="108">
        <f>C317/C315</f>
        <v>0.12664907651715041</v>
      </c>
      <c r="S315" s="109">
        <v>1.38E-2</v>
      </c>
      <c r="U315" s="134">
        <f>C315*S315</f>
        <v>0.15690599999999999</v>
      </c>
      <c r="V315" s="134">
        <f>(1+S315)*Q315*(1-U315)+S315</f>
        <v>0.12205060017308708</v>
      </c>
      <c r="W315" s="134">
        <f>V315+I315/3</f>
        <v>0.1742347104046908</v>
      </c>
      <c r="X315" s="134">
        <f>V315+I315/5</f>
        <v>0.15336106631204932</v>
      </c>
      <c r="Y315" s="134">
        <f>V315-E315</f>
        <v>6.1364584341952549E-2</v>
      </c>
      <c r="Z315" s="110"/>
      <c r="AA315" s="110"/>
      <c r="AB315" s="110"/>
    </row>
    <row r="316" spans="1:30">
      <c r="U316" s="134"/>
      <c r="V316" s="134">
        <f>(1+S316)*R315*(1-U316)+S316</f>
        <v>0</v>
      </c>
      <c r="W316" s="134">
        <f>V316+I316/3</f>
        <v>0</v>
      </c>
      <c r="X316" s="134">
        <f>V316+I316/5</f>
        <v>0</v>
      </c>
      <c r="Y316" s="134">
        <f>V316-E316</f>
        <v>0</v>
      </c>
      <c r="Z316" s="110"/>
      <c r="AA316" s="110"/>
      <c r="AB316" s="110"/>
    </row>
    <row r="317" spans="1:30">
      <c r="B317" t="s">
        <v>34</v>
      </c>
      <c r="C317">
        <v>1.44</v>
      </c>
      <c r="D317" s="2">
        <v>1.29</v>
      </c>
      <c r="E317" s="99">
        <f>1-D317/C317</f>
        <v>0.10416666666666663</v>
      </c>
      <c r="H317" s="102">
        <f>1.35/C317-1</f>
        <v>-6.2499999999999889E-2</v>
      </c>
      <c r="I317" s="102">
        <f>1.42/C317-1</f>
        <v>-1.3888888888888951E-2</v>
      </c>
      <c r="J317" s="102">
        <f>1.65/C317-1</f>
        <v>0.14583333333333326</v>
      </c>
      <c r="W317" s="134">
        <f>V315+I317/3</f>
        <v>0.11742097054345743</v>
      </c>
      <c r="X317" s="134">
        <f>V315+I317/5</f>
        <v>0.11927282239530929</v>
      </c>
      <c r="Y317" s="134">
        <f>V315-E317</f>
        <v>1.7883933506420452E-2</v>
      </c>
      <c r="Z317" s="110"/>
      <c r="AA317" s="110"/>
      <c r="AB317" s="110"/>
    </row>
    <row r="318" spans="1:30">
      <c r="W318" s="134">
        <f>V316+I318/3</f>
        <v>0</v>
      </c>
      <c r="X318" s="134">
        <f>V316+I318/5</f>
        <v>0</v>
      </c>
      <c r="Y318" s="134">
        <f>V316-E318</f>
        <v>0</v>
      </c>
      <c r="Z318" s="110"/>
      <c r="AA318" s="110"/>
      <c r="AB318" s="110"/>
    </row>
    <row r="320" spans="1:30">
      <c r="A320" t="s">
        <v>186</v>
      </c>
      <c r="B320" t="s">
        <v>30</v>
      </c>
      <c r="C320">
        <v>8.15</v>
      </c>
      <c r="D320" s="2">
        <v>5.92</v>
      </c>
      <c r="E320" s="99">
        <f>1-D320/C320</f>
        <v>0.27361963190184058</v>
      </c>
      <c r="H320" s="102">
        <f>9.7/C320-1</f>
        <v>0.19018404907975439</v>
      </c>
      <c r="I320" s="102">
        <f>11.76/C320-1</f>
        <v>0.4429447852760735</v>
      </c>
      <c r="J320" s="102">
        <f>13.5/C320-1</f>
        <v>0.65644171779141103</v>
      </c>
      <c r="Q320" s="108">
        <f>C322/C320</f>
        <v>0.12760736196319017</v>
      </c>
      <c r="S320" s="109">
        <v>1.38E-2</v>
      </c>
      <c r="U320" s="134">
        <f>C320*S320</f>
        <v>0.11247</v>
      </c>
      <c r="V320" s="134">
        <f>(1+S320)*Q320*(1-U320)+S320</f>
        <v>0.1286182859582822</v>
      </c>
      <c r="W320" s="134">
        <f>V320+I320/3</f>
        <v>0.27626654771697334</v>
      </c>
      <c r="X320" s="134">
        <f>V320+I320/5</f>
        <v>0.21720724301349692</v>
      </c>
      <c r="Y320" s="134">
        <f>V320-E320</f>
        <v>-0.14500134594355837</v>
      </c>
      <c r="Z320" s="110"/>
      <c r="AA320" s="110"/>
      <c r="AB320" s="110"/>
    </row>
    <row r="321" spans="1:28">
      <c r="U321" s="134"/>
      <c r="V321" s="134">
        <f>(1+S321)*R320*(1-U321)+S321</f>
        <v>0</v>
      </c>
      <c r="W321" s="134">
        <f>V321+I321/3</f>
        <v>0</v>
      </c>
      <c r="X321" s="134">
        <f>V321+I321/5</f>
        <v>0</v>
      </c>
      <c r="Y321" s="134">
        <f>V321-E321</f>
        <v>0</v>
      </c>
      <c r="Z321" s="110"/>
      <c r="AA321" s="110"/>
      <c r="AB321" s="110"/>
    </row>
    <row r="322" spans="1:28">
      <c r="B322" t="s">
        <v>34</v>
      </c>
      <c r="C322">
        <v>1.04</v>
      </c>
      <c r="D322" s="2">
        <v>0.96</v>
      </c>
      <c r="E322" s="99">
        <f>1-D322/C322</f>
        <v>7.6923076923076983E-2</v>
      </c>
      <c r="H322" s="102">
        <f>1.53/C322-1</f>
        <v>0.47115384615384603</v>
      </c>
      <c r="I322" s="102">
        <f>1.85/C322-1</f>
        <v>0.77884615384615397</v>
      </c>
      <c r="J322" s="102">
        <f>2.1/C322-1</f>
        <v>1.0192307692307692</v>
      </c>
      <c r="W322" s="134">
        <f>V320+I322/3</f>
        <v>0.38823367057366687</v>
      </c>
      <c r="X322" s="134">
        <f>V320+I322/5</f>
        <v>0.284387516727513</v>
      </c>
      <c r="Y322" s="134">
        <f>V320-E322</f>
        <v>5.169520903520522E-2</v>
      </c>
      <c r="Z322" s="110"/>
      <c r="AA322" s="110"/>
      <c r="AB322" s="110"/>
    </row>
    <row r="323" spans="1:28">
      <c r="W323" s="134">
        <f>V321+I323/3</f>
        <v>0</v>
      </c>
      <c r="X323" s="134">
        <f>V321+I323/5</f>
        <v>0</v>
      </c>
      <c r="Y323" s="134">
        <f>V321-E323</f>
        <v>0</v>
      </c>
      <c r="Z323" s="110"/>
      <c r="AA323" s="110"/>
      <c r="AB323" s="110"/>
    </row>
    <row r="324" spans="1:28">
      <c r="W324" s="134"/>
      <c r="X324" s="134"/>
      <c r="Y324" s="134"/>
      <c r="Z324" s="110"/>
      <c r="AA324" s="110"/>
      <c r="AB324" s="110"/>
    </row>
    <row r="325" spans="1:28">
      <c r="A325" t="s">
        <v>187</v>
      </c>
      <c r="B325" t="s">
        <v>30</v>
      </c>
      <c r="C325">
        <v>25.34</v>
      </c>
      <c r="D325" s="2">
        <v>17.190000000000001</v>
      </c>
      <c r="E325" s="99">
        <f>1-D325/C325</f>
        <v>0.32162588792423041</v>
      </c>
      <c r="I325" s="102">
        <f>29.87/C325-1</f>
        <v>0.17876874506708762</v>
      </c>
      <c r="Q325" s="108">
        <f>C327/C325</f>
        <v>0.11878453038674032</v>
      </c>
      <c r="S325" s="109">
        <v>1.38E-2</v>
      </c>
      <c r="U325" s="134">
        <f>C325*S325</f>
        <v>0.349692</v>
      </c>
      <c r="V325" s="134">
        <f>(1+S325)*Q325*(1-U325)+S325</f>
        <v>9.2112532506077344E-2</v>
      </c>
      <c r="W325" s="134">
        <f>V325+I325/3</f>
        <v>0.15170211419510654</v>
      </c>
      <c r="X325" s="134">
        <f>V325+I325/5</f>
        <v>0.12786628151949486</v>
      </c>
      <c r="Y325" s="134">
        <f>V325-E325</f>
        <v>-0.22951335541815307</v>
      </c>
      <c r="Z325" s="110"/>
      <c r="AA325" s="110"/>
      <c r="AB325" s="110"/>
    </row>
    <row r="326" spans="1:28">
      <c r="U326" s="134"/>
      <c r="V326" s="134">
        <f>(1+S326)*R325*(1-U326)+S326</f>
        <v>0</v>
      </c>
      <c r="W326" s="134">
        <f>V326+I326/3</f>
        <v>0</v>
      </c>
      <c r="X326" s="134">
        <f>V326+I326/5</f>
        <v>0</v>
      </c>
      <c r="Y326" s="134">
        <f>V326-E326</f>
        <v>0</v>
      </c>
      <c r="Z326" s="110"/>
      <c r="AA326" s="110"/>
      <c r="AB326" s="110"/>
    </row>
    <row r="327" spans="1:28">
      <c r="B327" t="s">
        <v>34</v>
      </c>
      <c r="C327">
        <v>3.01</v>
      </c>
      <c r="D327" s="2">
        <v>2.23</v>
      </c>
      <c r="E327" s="99">
        <f>1-D327/C327</f>
        <v>0.25913621262458464</v>
      </c>
      <c r="I327" s="102">
        <f>3.43/C327-1</f>
        <v>0.13953488372093026</v>
      </c>
      <c r="W327" s="134">
        <f>V325+I327/3</f>
        <v>0.13862416041305409</v>
      </c>
      <c r="X327" s="134">
        <f>V325+I327/5</f>
        <v>0.12001950925026339</v>
      </c>
      <c r="Y327" s="134">
        <f>V325-E327</f>
        <v>-0.1670236801185073</v>
      </c>
      <c r="Z327" s="110"/>
      <c r="AA327" s="110"/>
      <c r="AB327" s="110"/>
    </row>
    <row r="328" spans="1:28">
      <c r="W328" s="134">
        <f>V326+I328/3</f>
        <v>0</v>
      </c>
      <c r="X328" s="134">
        <f>V326+I328/5</f>
        <v>0</v>
      </c>
      <c r="Y328" s="134">
        <f>V326-E328</f>
        <v>0</v>
      </c>
      <c r="Z328" s="110"/>
      <c r="AA328" s="110"/>
      <c r="AB328" s="110"/>
    </row>
    <row r="332" spans="1:28">
      <c r="A332" t="s">
        <v>188</v>
      </c>
    </row>
    <row r="339" spans="5:28">
      <c r="E339" s="17"/>
      <c r="F339" s="17"/>
      <c r="G339" s="17"/>
      <c r="H339" s="17"/>
      <c r="I339" s="17"/>
      <c r="J339" s="17"/>
      <c r="M339" s="15"/>
      <c r="O339" s="88"/>
      <c r="P339" s="7"/>
      <c r="T339" s="109"/>
    </row>
    <row r="340" spans="5:28">
      <c r="E340" s="17"/>
      <c r="F340" s="17"/>
      <c r="G340" s="17"/>
      <c r="H340" s="17"/>
      <c r="I340" s="17"/>
      <c r="J340" s="17"/>
      <c r="M340" s="15"/>
      <c r="O340" s="88"/>
      <c r="P340" s="7"/>
      <c r="Q340" s="109"/>
      <c r="S340" s="108"/>
      <c r="T340" s="109"/>
      <c r="U340" s="134"/>
      <c r="V340" s="134"/>
      <c r="W340" s="134"/>
      <c r="X340" s="134"/>
      <c r="Y340" s="134"/>
      <c r="Z340" s="110"/>
      <c r="AA340" s="110"/>
      <c r="AB340" s="110"/>
    </row>
    <row r="341" spans="5:28">
      <c r="E341" s="17"/>
      <c r="F341" s="17"/>
      <c r="G341" s="17"/>
      <c r="H341" s="17"/>
      <c r="I341" s="17"/>
      <c r="J341" s="17"/>
      <c r="M341" s="15"/>
      <c r="O341" s="88"/>
      <c r="P341" s="7"/>
      <c r="Q341" s="109"/>
      <c r="T341" s="109"/>
      <c r="U341" s="134"/>
      <c r="V341" s="134"/>
      <c r="W341" s="134"/>
      <c r="X341" s="134"/>
      <c r="Y341" s="134"/>
      <c r="Z341" s="110"/>
      <c r="AA341" s="110"/>
      <c r="AB341" s="110"/>
    </row>
    <row r="342" spans="5:28">
      <c r="E342" s="17"/>
      <c r="F342" s="17"/>
      <c r="G342" s="17"/>
      <c r="H342" s="17"/>
      <c r="I342" s="17"/>
      <c r="J342" s="17"/>
      <c r="M342" s="15"/>
      <c r="O342" s="88"/>
      <c r="P342" s="7"/>
      <c r="Q342" s="109"/>
      <c r="T342" s="109"/>
      <c r="W342" s="134"/>
      <c r="X342" s="134"/>
      <c r="Y342" s="134"/>
      <c r="Z342" s="110"/>
      <c r="AA342" s="110"/>
      <c r="AB342" s="110"/>
    </row>
    <row r="343" spans="5:28">
      <c r="E343" s="17"/>
      <c r="F343" s="17"/>
      <c r="G343" s="17"/>
      <c r="H343" s="17"/>
      <c r="I343" s="17"/>
      <c r="J343" s="17"/>
      <c r="M343" s="15"/>
      <c r="O343" s="88"/>
      <c r="P343" s="7"/>
      <c r="Q343" s="109"/>
      <c r="T343" s="109"/>
      <c r="W343" s="134"/>
      <c r="X343" s="134"/>
      <c r="Y343" s="134"/>
      <c r="Z343" s="110"/>
      <c r="AA343" s="110"/>
      <c r="AB343" s="110"/>
    </row>
    <row r="344" spans="5:28">
      <c r="E344" s="17"/>
      <c r="F344" s="17"/>
      <c r="G344" s="17"/>
      <c r="H344" s="17"/>
      <c r="I344" s="17"/>
      <c r="J344" s="17"/>
      <c r="M344" s="15"/>
      <c r="O344" s="88"/>
      <c r="P344" s="7"/>
      <c r="Q344" s="109"/>
      <c r="T344" s="109"/>
      <c r="U344" s="134"/>
      <c r="V344" s="134"/>
    </row>
    <row r="345" spans="5:28">
      <c r="E345" s="17"/>
      <c r="F345" s="17"/>
      <c r="G345" s="17"/>
      <c r="H345" s="17"/>
      <c r="I345" s="17"/>
      <c r="J345" s="17"/>
      <c r="M345" s="15"/>
      <c r="O345" s="88"/>
      <c r="P345" s="7"/>
      <c r="Q345" s="109"/>
      <c r="S345" s="108"/>
      <c r="T345" s="109"/>
      <c r="U345" s="134"/>
      <c r="V345" s="134"/>
      <c r="W345" s="134"/>
      <c r="X345" s="134"/>
      <c r="Y345" s="134"/>
      <c r="Z345" s="110"/>
      <c r="AA345" s="110"/>
      <c r="AB345" s="110"/>
    </row>
    <row r="346" spans="5:28">
      <c r="E346" s="17"/>
      <c r="F346" s="17"/>
      <c r="G346" s="17"/>
      <c r="H346" s="17"/>
      <c r="I346" s="17"/>
      <c r="J346" s="17"/>
      <c r="M346" s="15"/>
      <c r="O346" s="88"/>
      <c r="P346" s="7"/>
      <c r="Q346" s="109"/>
      <c r="T346" s="109"/>
      <c r="U346" s="134"/>
      <c r="V346" s="134"/>
      <c r="W346" s="134"/>
      <c r="X346" s="134"/>
      <c r="Y346" s="134"/>
      <c r="Z346" s="110"/>
      <c r="AA346" s="110"/>
      <c r="AB346" s="110"/>
    </row>
    <row r="347" spans="5:28">
      <c r="E347" s="17"/>
      <c r="F347" s="17"/>
      <c r="G347" s="17"/>
      <c r="H347" s="17"/>
      <c r="I347" s="17"/>
      <c r="J347" s="17"/>
      <c r="M347" s="15"/>
      <c r="O347" s="88"/>
      <c r="P347" s="7"/>
      <c r="Q347" s="109"/>
      <c r="T347" s="109"/>
      <c r="W347" s="134"/>
      <c r="X347" s="134"/>
      <c r="Y347" s="134"/>
      <c r="Z347" s="110"/>
      <c r="AA347" s="110"/>
      <c r="AB347" s="110"/>
    </row>
    <row r="348" spans="5:28">
      <c r="E348" s="17"/>
      <c r="F348" s="17"/>
      <c r="G348" s="17"/>
      <c r="H348" s="17"/>
      <c r="I348" s="17"/>
      <c r="J348" s="17"/>
      <c r="M348" s="15"/>
      <c r="O348" s="88"/>
      <c r="P348" s="7"/>
      <c r="Q348" s="109"/>
      <c r="T348" s="109"/>
      <c r="W348" s="134"/>
      <c r="X348" s="134"/>
      <c r="Y348" s="134"/>
      <c r="Z348" s="110"/>
      <c r="AA348" s="110"/>
      <c r="AB348" s="110"/>
    </row>
    <row r="349" spans="5:28">
      <c r="E349" s="17"/>
      <c r="F349" s="17"/>
      <c r="G349" s="17"/>
      <c r="H349" s="17"/>
      <c r="I349" s="17"/>
      <c r="J349" s="17"/>
      <c r="M349" s="15"/>
      <c r="O349" s="88"/>
      <c r="P349" s="7"/>
      <c r="Q349" s="109"/>
      <c r="T349" s="109"/>
      <c r="U349" s="134"/>
      <c r="V349" s="134"/>
    </row>
    <row r="350" spans="5:28">
      <c r="E350" s="17"/>
      <c r="F350" s="17"/>
      <c r="G350" s="17"/>
      <c r="H350" s="17"/>
      <c r="I350" s="17"/>
      <c r="J350" s="17"/>
      <c r="M350" s="15"/>
      <c r="O350" s="88"/>
      <c r="P350" s="7"/>
      <c r="Q350" s="109"/>
      <c r="T350" s="109"/>
    </row>
    <row r="351" spans="5:28">
      <c r="E351" s="17"/>
      <c r="F351" s="17"/>
      <c r="G351" s="17"/>
      <c r="H351" s="17"/>
      <c r="I351" s="17"/>
      <c r="J351" s="17"/>
      <c r="M351" s="15"/>
      <c r="O351" s="88"/>
      <c r="P351" s="7"/>
      <c r="Q351" s="109"/>
      <c r="T351" s="109"/>
    </row>
    <row r="352" spans="5:28">
      <c r="E352" s="17"/>
      <c r="F352" s="17"/>
      <c r="G352" s="17"/>
      <c r="H352" s="17"/>
      <c r="I352" s="17"/>
      <c r="J352" s="17"/>
      <c r="M352" s="15"/>
      <c r="O352" s="88"/>
      <c r="P352" s="7"/>
      <c r="Q352" s="109"/>
      <c r="T352" s="109"/>
    </row>
    <row r="353" spans="1:18" ht="26" customHeight="1">
      <c r="A353" s="65"/>
      <c r="C353"/>
      <c r="Q353" s="108"/>
      <c r="R353" s="108"/>
    </row>
    <row r="354" spans="1:18">
      <c r="Q354" s="108"/>
      <c r="R354" s="108"/>
    </row>
    <row r="355" spans="1:18" ht="26" customHeight="1">
      <c r="A355" s="65"/>
      <c r="C355" s="39"/>
      <c r="Q355" s="108"/>
      <c r="R355" s="108"/>
    </row>
  </sheetData>
  <conditionalFormatting sqref="E353:E1048576 E1 E111 E3:E96 E221 E236 E295:E298">
    <cfRule type="dataBar" priority="809">
      <dataBar>
        <cfvo type="min"/>
        <cfvo type="max"/>
        <color rgb="FF638EC6"/>
      </dataBar>
    </cfRule>
  </conditionalFormatting>
  <conditionalFormatting sqref="E353:E1048576 M300:M303 E111 E1 M1 M111 M74:M96 M3:M72 E3:E96 M221 E221 M236 E236 E295:E298 M295:M298 M329 M353:M1048576">
    <cfRule type="dataBar" priority="825">
      <dataBar>
        <cfvo type="percent" val="0"/>
        <cfvo type="percentile" val="100"/>
        <color rgb="FF638EC6"/>
      </dataBar>
    </cfRule>
    <cfRule type="dataBar" priority="826">
      <dataBar>
        <cfvo type="percent" val="0"/>
        <cfvo type="percent" val="100"/>
        <color rgb="FF638EC6"/>
      </dataBar>
    </cfRule>
  </conditionalFormatting>
  <conditionalFormatting sqref="Q2:R75">
    <cfRule type="dataBar" priority="824">
      <dataBar>
        <cfvo type="min"/>
        <cfvo type="max"/>
        <color rgb="FF638EC6"/>
      </dataBar>
    </cfRule>
  </conditionalFormatting>
  <conditionalFormatting sqref="Q77:R87">
    <cfRule type="dataBar" priority="823">
      <dataBar>
        <cfvo type="min"/>
        <cfvo type="max"/>
        <color rgb="FF638EC6"/>
      </dataBar>
    </cfRule>
  </conditionalFormatting>
  <conditionalFormatting sqref="Q356:R1048576 Q302:R303 Q1:R111 Q329:R329 Q307:Q308">
    <cfRule type="dataBar" priority="822">
      <dataBar>
        <cfvo type="min"/>
        <cfvo type="max"/>
        <color rgb="FF638EC6"/>
      </dataBar>
    </cfRule>
  </conditionalFormatting>
  <conditionalFormatting sqref="M1">
    <cfRule type="dataBar" priority="821">
      <dataBar>
        <cfvo type="min"/>
        <cfvo type="max"/>
        <color rgb="FF638EC6"/>
      </dataBar>
    </cfRule>
  </conditionalFormatting>
  <conditionalFormatting sqref="G1">
    <cfRule type="dataBar" priority="818">
      <dataBar>
        <cfvo type="percent" val="0"/>
        <cfvo type="percentile" val="100"/>
        <color rgb="FF638EC6"/>
      </dataBar>
    </cfRule>
    <cfRule type="dataBar" priority="819">
      <dataBar>
        <cfvo type="percent" val="0"/>
        <cfvo type="percent" val="100"/>
        <color rgb="FF638EC6"/>
      </dataBar>
    </cfRule>
    <cfRule type="dataBar" priority="820">
      <dataBar>
        <cfvo type="min"/>
        <cfvo type="max"/>
        <color rgb="FF638EC6"/>
      </dataBar>
    </cfRule>
  </conditionalFormatting>
  <conditionalFormatting sqref="O1">
    <cfRule type="dataBar" priority="815">
      <dataBar>
        <cfvo type="percent" val="0"/>
        <cfvo type="percentile" val="100"/>
        <color rgb="FF638EC6"/>
      </dataBar>
    </cfRule>
    <cfRule type="dataBar" priority="816">
      <dataBar>
        <cfvo type="percent" val="0"/>
        <cfvo type="percent" val="100"/>
        <color rgb="FF638EC6"/>
      </dataBar>
    </cfRule>
    <cfRule type="dataBar" priority="817">
      <dataBar>
        <cfvo type="min"/>
        <cfvo type="max"/>
        <color rgb="FF638EC6"/>
      </dataBar>
    </cfRule>
  </conditionalFormatting>
  <conditionalFormatting sqref="O353:O1048576 O300:O303 O329 O1 O111 O74:O96 O3:O72 O221 O236 O295:O298">
    <cfRule type="dataBar" priority="814">
      <dataBar>
        <cfvo type="min"/>
        <cfvo type="max"/>
        <color rgb="FF638EC6"/>
      </dataBar>
    </cfRule>
  </conditionalFormatting>
  <conditionalFormatting sqref="G353:G1048576 G300:G303 G329 G1 G111 G74:G96 G3:G72 G221 G236 G295:G298">
    <cfRule type="dataBar" priority="813">
      <dataBar>
        <cfvo type="min"/>
        <cfvo type="max"/>
        <color rgb="FF638EC6"/>
      </dataBar>
    </cfRule>
  </conditionalFormatting>
  <conditionalFormatting sqref="P353:P1048576 P300:P303 P329 P1 P111 P3:P96 P221 P236 P295:P298">
    <cfRule type="dataBar" priority="812">
      <dataBar>
        <cfvo type="min"/>
        <cfvo type="max"/>
        <color rgb="FF638EC6"/>
      </dataBar>
    </cfRule>
  </conditionalFormatting>
  <conditionalFormatting sqref="K353:K1048576 K300:K303 K329 K1 K111 K74:K96 K3:K72 K221 K236 K295:K298">
    <cfRule type="dataBar" priority="811">
      <dataBar>
        <cfvo type="min"/>
        <cfvo type="max"/>
        <color rgb="FF638EC6"/>
      </dataBar>
    </cfRule>
  </conditionalFormatting>
  <conditionalFormatting sqref="M353:M1048576 M300:M303 M329 M1 M111 M74:M96 M3:M72 M221 M236 M295:M298">
    <cfRule type="dataBar" priority="810">
      <dataBar>
        <cfvo type="min"/>
        <cfvo type="max"/>
        <color rgb="FF638EC6"/>
      </dataBar>
    </cfRule>
  </conditionalFormatting>
  <conditionalFormatting sqref="E97:E110">
    <cfRule type="dataBar" priority="806">
      <dataBar>
        <cfvo type="min"/>
        <cfvo type="max"/>
        <color rgb="FF638EC6"/>
      </dataBar>
    </cfRule>
    <cfRule type="dataBar" priority="807">
      <dataBar>
        <cfvo type="percent" val="0"/>
        <cfvo type="percentile" val="100"/>
        <color rgb="FF638EC6"/>
      </dataBar>
    </cfRule>
    <cfRule type="dataBar" priority="808">
      <dataBar>
        <cfvo type="percent" val="0"/>
        <cfvo type="percent" val="100"/>
        <color rgb="FF638EC6"/>
      </dataBar>
    </cfRule>
  </conditionalFormatting>
  <conditionalFormatting sqref="M98:M110">
    <cfRule type="dataBar" priority="799">
      <dataBar>
        <cfvo type="min"/>
        <cfvo type="max"/>
        <color rgb="FF638EC6"/>
      </dataBar>
    </cfRule>
    <cfRule type="dataBar" priority="804">
      <dataBar>
        <cfvo type="percent" val="0"/>
        <cfvo type="percentile" val="100"/>
        <color rgb="FF638EC6"/>
      </dataBar>
    </cfRule>
    <cfRule type="dataBar" priority="805">
      <dataBar>
        <cfvo type="percent" val="0"/>
        <cfvo type="percent" val="100"/>
        <color rgb="FF638EC6"/>
      </dataBar>
    </cfRule>
  </conditionalFormatting>
  <conditionalFormatting sqref="O98:O110">
    <cfRule type="dataBar" priority="803">
      <dataBar>
        <cfvo type="min"/>
        <cfvo type="max"/>
        <color rgb="FF638EC6"/>
      </dataBar>
    </cfRule>
  </conditionalFormatting>
  <conditionalFormatting sqref="G98:G110">
    <cfRule type="dataBar" priority="802">
      <dataBar>
        <cfvo type="min"/>
        <cfvo type="max"/>
        <color rgb="FF638EC6"/>
      </dataBar>
    </cfRule>
  </conditionalFormatting>
  <conditionalFormatting sqref="P98:P110">
    <cfRule type="dataBar" priority="801">
      <dataBar>
        <cfvo type="min"/>
        <cfvo type="max"/>
        <color rgb="FF638EC6"/>
      </dataBar>
    </cfRule>
  </conditionalFormatting>
  <conditionalFormatting sqref="K98:K110">
    <cfRule type="dataBar" priority="800">
      <dataBar>
        <cfvo type="min"/>
        <cfvo type="max"/>
        <color rgb="FF638EC6"/>
      </dataBar>
    </cfRule>
  </conditionalFormatting>
  <conditionalFormatting sqref="M97">
    <cfRule type="dataBar" priority="792">
      <dataBar>
        <cfvo type="min"/>
        <cfvo type="max"/>
        <color rgb="FF638EC6"/>
      </dataBar>
    </cfRule>
    <cfRule type="dataBar" priority="797">
      <dataBar>
        <cfvo type="percent" val="0"/>
        <cfvo type="percentile" val="100"/>
        <color rgb="FF638EC6"/>
      </dataBar>
    </cfRule>
    <cfRule type="dataBar" priority="798">
      <dataBar>
        <cfvo type="percent" val="0"/>
        <cfvo type="percent" val="100"/>
        <color rgb="FF638EC6"/>
      </dataBar>
    </cfRule>
  </conditionalFormatting>
  <conditionalFormatting sqref="O97">
    <cfRule type="dataBar" priority="796">
      <dataBar>
        <cfvo type="min"/>
        <cfvo type="max"/>
        <color rgb="FF638EC6"/>
      </dataBar>
    </cfRule>
  </conditionalFormatting>
  <conditionalFormatting sqref="G97">
    <cfRule type="dataBar" priority="795">
      <dataBar>
        <cfvo type="min"/>
        <cfvo type="max"/>
        <color rgb="FF638EC6"/>
      </dataBar>
    </cfRule>
  </conditionalFormatting>
  <conditionalFormatting sqref="P97">
    <cfRule type="dataBar" priority="794">
      <dataBar>
        <cfvo type="min"/>
        <cfvo type="max"/>
        <color rgb="FF638EC6"/>
      </dataBar>
    </cfRule>
  </conditionalFormatting>
  <conditionalFormatting sqref="K97">
    <cfRule type="dataBar" priority="793">
      <dataBar>
        <cfvo type="min"/>
        <cfvo type="max"/>
        <color rgb="FF638EC6"/>
      </dataBar>
    </cfRule>
  </conditionalFormatting>
  <conditionalFormatting sqref="M73">
    <cfRule type="dataBar" priority="786">
      <dataBar>
        <cfvo type="min"/>
        <cfvo type="max"/>
        <color rgb="FF638EC6"/>
      </dataBar>
    </cfRule>
    <cfRule type="dataBar" priority="790">
      <dataBar>
        <cfvo type="percent" val="0"/>
        <cfvo type="percentile" val="100"/>
        <color rgb="FF638EC6"/>
      </dataBar>
    </cfRule>
    <cfRule type="dataBar" priority="791">
      <dataBar>
        <cfvo type="percent" val="0"/>
        <cfvo type="percent" val="100"/>
        <color rgb="FF638EC6"/>
      </dataBar>
    </cfRule>
  </conditionalFormatting>
  <conditionalFormatting sqref="O73">
    <cfRule type="dataBar" priority="789">
      <dataBar>
        <cfvo type="min"/>
        <cfvo type="max"/>
        <color rgb="FF638EC6"/>
      </dataBar>
    </cfRule>
  </conditionalFormatting>
  <conditionalFormatting sqref="G73">
    <cfRule type="dataBar" priority="788">
      <dataBar>
        <cfvo type="min"/>
        <cfvo type="max"/>
        <color rgb="FF638EC6"/>
      </dataBar>
    </cfRule>
  </conditionalFormatting>
  <conditionalFormatting sqref="K73">
    <cfRule type="dataBar" priority="787">
      <dataBar>
        <cfvo type="min"/>
        <cfvo type="max"/>
        <color rgb="FF638EC6"/>
      </dataBar>
    </cfRule>
  </conditionalFormatting>
  <conditionalFormatting sqref="E2">
    <cfRule type="dataBar" priority="778">
      <dataBar>
        <cfvo type="min"/>
        <cfvo type="max"/>
        <color rgb="FF638EC6"/>
      </dataBar>
    </cfRule>
  </conditionalFormatting>
  <conditionalFormatting sqref="M2 E2">
    <cfRule type="dataBar" priority="784">
      <dataBar>
        <cfvo type="percent" val="0"/>
        <cfvo type="percentile" val="100"/>
        <color rgb="FF638EC6"/>
      </dataBar>
    </cfRule>
    <cfRule type="dataBar" priority="785">
      <dataBar>
        <cfvo type="percent" val="0"/>
        <cfvo type="percent" val="100"/>
        <color rgb="FF638EC6"/>
      </dataBar>
    </cfRule>
  </conditionalFormatting>
  <conditionalFormatting sqref="O2">
    <cfRule type="dataBar" priority="783">
      <dataBar>
        <cfvo type="min"/>
        <cfvo type="max"/>
        <color rgb="FF638EC6"/>
      </dataBar>
    </cfRule>
  </conditionalFormatting>
  <conditionalFormatting sqref="G2">
    <cfRule type="dataBar" priority="782">
      <dataBar>
        <cfvo type="min"/>
        <cfvo type="max"/>
        <color rgb="FF638EC6"/>
      </dataBar>
    </cfRule>
  </conditionalFormatting>
  <conditionalFormatting sqref="P2">
    <cfRule type="dataBar" priority="781">
      <dataBar>
        <cfvo type="min"/>
        <cfvo type="max"/>
        <color rgb="FF638EC6"/>
      </dataBar>
    </cfRule>
  </conditionalFormatting>
  <conditionalFormatting sqref="K2">
    <cfRule type="dataBar" priority="780">
      <dataBar>
        <cfvo type="min"/>
        <cfvo type="max"/>
        <color rgb="FF638EC6"/>
      </dataBar>
    </cfRule>
  </conditionalFormatting>
  <conditionalFormatting sqref="M2">
    <cfRule type="dataBar" priority="779">
      <dataBar>
        <cfvo type="min"/>
        <cfvo type="max"/>
        <color rgb="FF638EC6"/>
      </dataBar>
    </cfRule>
  </conditionalFormatting>
  <conditionalFormatting sqref="E112:E220">
    <cfRule type="dataBar" priority="768">
      <dataBar>
        <cfvo type="min"/>
        <cfvo type="max"/>
        <color rgb="FF638EC6"/>
      </dataBar>
    </cfRule>
  </conditionalFormatting>
  <conditionalFormatting sqref="M112:M220 E112:E220">
    <cfRule type="dataBar" priority="775">
      <dataBar>
        <cfvo type="percent" val="0"/>
        <cfvo type="percentile" val="100"/>
        <color rgb="FF638EC6"/>
      </dataBar>
    </cfRule>
    <cfRule type="dataBar" priority="776">
      <dataBar>
        <cfvo type="percent" val="0"/>
        <cfvo type="percent" val="100"/>
        <color rgb="FF638EC6"/>
      </dataBar>
    </cfRule>
  </conditionalFormatting>
  <conditionalFormatting sqref="O112:O220">
    <cfRule type="dataBar" priority="773">
      <dataBar>
        <cfvo type="min"/>
        <cfvo type="max"/>
        <color rgb="FF638EC6"/>
      </dataBar>
    </cfRule>
  </conditionalFormatting>
  <conditionalFormatting sqref="G112:G220">
    <cfRule type="dataBar" priority="772">
      <dataBar>
        <cfvo type="min"/>
        <cfvo type="max"/>
        <color rgb="FF638EC6"/>
      </dataBar>
    </cfRule>
  </conditionalFormatting>
  <conditionalFormatting sqref="P112:P220">
    <cfRule type="dataBar" priority="771">
      <dataBar>
        <cfvo type="min"/>
        <cfvo type="max"/>
        <color rgb="FF638EC6"/>
      </dataBar>
    </cfRule>
  </conditionalFormatting>
  <conditionalFormatting sqref="K112:K220">
    <cfRule type="dataBar" priority="770">
      <dataBar>
        <cfvo type="min"/>
        <cfvo type="max"/>
        <color rgb="FF638EC6"/>
      </dataBar>
    </cfRule>
  </conditionalFormatting>
  <conditionalFormatting sqref="M112:M220">
    <cfRule type="dataBar" priority="769">
      <dataBar>
        <cfvo type="min"/>
        <cfvo type="max"/>
        <color rgb="FF638EC6"/>
      </dataBar>
    </cfRule>
  </conditionalFormatting>
  <conditionalFormatting sqref="Q353:R355 Q300:R301 Q112:R221 Q236:R236 Q295:R298 Q305:Q306">
    <cfRule type="dataBar" priority="765">
      <dataBar>
        <cfvo type="min"/>
        <cfvo type="max"/>
        <color rgb="FF638EC6"/>
      </dataBar>
    </cfRule>
  </conditionalFormatting>
  <conditionalFormatting sqref="E222:E225">
    <cfRule type="dataBar" priority="756">
      <dataBar>
        <cfvo type="min"/>
        <cfvo type="max"/>
        <color rgb="FF638EC6"/>
      </dataBar>
    </cfRule>
  </conditionalFormatting>
  <conditionalFormatting sqref="M222:M225 E222:E225">
    <cfRule type="dataBar" priority="762">
      <dataBar>
        <cfvo type="percent" val="0"/>
        <cfvo type="percentile" val="100"/>
        <color rgb="FF638EC6"/>
      </dataBar>
    </cfRule>
    <cfRule type="dataBar" priority="763">
      <dataBar>
        <cfvo type="percent" val="0"/>
        <cfvo type="percent" val="100"/>
        <color rgb="FF638EC6"/>
      </dataBar>
    </cfRule>
  </conditionalFormatting>
  <conditionalFormatting sqref="O222:O225">
    <cfRule type="dataBar" priority="761">
      <dataBar>
        <cfvo type="min"/>
        <cfvo type="max"/>
        <color rgb="FF638EC6"/>
      </dataBar>
    </cfRule>
  </conditionalFormatting>
  <conditionalFormatting sqref="G222:G225">
    <cfRule type="dataBar" priority="760">
      <dataBar>
        <cfvo type="min"/>
        <cfvo type="max"/>
        <color rgb="FF638EC6"/>
      </dataBar>
    </cfRule>
  </conditionalFormatting>
  <conditionalFormatting sqref="P222:P225">
    <cfRule type="dataBar" priority="759">
      <dataBar>
        <cfvo type="min"/>
        <cfvo type="max"/>
        <color rgb="FF638EC6"/>
      </dataBar>
    </cfRule>
  </conditionalFormatting>
  <conditionalFormatting sqref="K222:K225">
    <cfRule type="dataBar" priority="758">
      <dataBar>
        <cfvo type="min"/>
        <cfvo type="max"/>
        <color rgb="FF638EC6"/>
      </dataBar>
    </cfRule>
  </conditionalFormatting>
  <conditionalFormatting sqref="M222:M225">
    <cfRule type="dataBar" priority="757">
      <dataBar>
        <cfvo type="min"/>
        <cfvo type="max"/>
        <color rgb="FF638EC6"/>
      </dataBar>
    </cfRule>
  </conditionalFormatting>
  <conditionalFormatting sqref="Q222:R225">
    <cfRule type="dataBar" priority="755">
      <dataBar>
        <cfvo type="min"/>
        <cfvo type="max"/>
        <color rgb="FF638EC6"/>
      </dataBar>
    </cfRule>
  </conditionalFormatting>
  <conditionalFormatting sqref="E353:E1048576 E1:E225 E236 E295:E298">
    <cfRule type="dataBar" priority="704">
      <dataBar>
        <cfvo type="min"/>
        <cfvo type="max"/>
        <color rgb="FF638EC6"/>
      </dataBar>
    </cfRule>
  </conditionalFormatting>
  <conditionalFormatting sqref="I1">
    <cfRule type="dataBar" priority="736">
      <dataBar>
        <cfvo type="percent" val="0"/>
        <cfvo type="percentile" val="100"/>
        <color rgb="FF638EC6"/>
      </dataBar>
    </cfRule>
    <cfRule type="dataBar" priority="737">
      <dataBar>
        <cfvo type="percent" val="0"/>
        <cfvo type="percent" val="100"/>
        <color rgb="FF638EC6"/>
      </dataBar>
    </cfRule>
    <cfRule type="dataBar" priority="738">
      <dataBar>
        <cfvo type="min"/>
        <cfvo type="max"/>
        <color rgb="FF638EC6"/>
      </dataBar>
    </cfRule>
  </conditionalFormatting>
  <conditionalFormatting sqref="I353:I1048576 I300:I303 I329 I1 I111 I74:I96 I3:I72 I221 I236 I295:I298">
    <cfRule type="dataBar" priority="735">
      <dataBar>
        <cfvo type="min"/>
        <cfvo type="max"/>
        <color rgb="FF638EC6"/>
      </dataBar>
    </cfRule>
  </conditionalFormatting>
  <conditionalFormatting sqref="I98:I110">
    <cfRule type="dataBar" priority="734">
      <dataBar>
        <cfvo type="min"/>
        <cfvo type="max"/>
        <color rgb="FF638EC6"/>
      </dataBar>
    </cfRule>
  </conditionalFormatting>
  <conditionalFormatting sqref="I97">
    <cfRule type="dataBar" priority="733">
      <dataBar>
        <cfvo type="min"/>
        <cfvo type="max"/>
        <color rgb="FF638EC6"/>
      </dataBar>
    </cfRule>
  </conditionalFormatting>
  <conditionalFormatting sqref="I73">
    <cfRule type="dataBar" priority="732">
      <dataBar>
        <cfvo type="min"/>
        <cfvo type="max"/>
        <color rgb="FF638EC6"/>
      </dataBar>
    </cfRule>
  </conditionalFormatting>
  <conditionalFormatting sqref="I2">
    <cfRule type="dataBar" priority="731">
      <dataBar>
        <cfvo type="min"/>
        <cfvo type="max"/>
        <color rgb="FF638EC6"/>
      </dataBar>
    </cfRule>
  </conditionalFormatting>
  <conditionalFormatting sqref="I112:I220">
    <cfRule type="dataBar" priority="730">
      <dataBar>
        <cfvo type="min"/>
        <cfvo type="max"/>
        <color rgb="FF638EC6"/>
      </dataBar>
    </cfRule>
  </conditionalFormatting>
  <conditionalFormatting sqref="I222:I225">
    <cfRule type="dataBar" priority="729">
      <dataBar>
        <cfvo type="min"/>
        <cfvo type="max"/>
        <color rgb="FF638EC6"/>
      </dataBar>
    </cfRule>
  </conditionalFormatting>
  <conditionalFormatting sqref="H1">
    <cfRule type="dataBar" priority="726">
      <dataBar>
        <cfvo type="percent" val="0"/>
        <cfvo type="percentile" val="100"/>
        <color rgb="FF638EC6"/>
      </dataBar>
    </cfRule>
    <cfRule type="dataBar" priority="727">
      <dataBar>
        <cfvo type="percent" val="0"/>
        <cfvo type="percent" val="100"/>
        <color rgb="FF638EC6"/>
      </dataBar>
    </cfRule>
    <cfRule type="dataBar" priority="728">
      <dataBar>
        <cfvo type="min"/>
        <cfvo type="max"/>
        <color rgb="FF638EC6"/>
      </dataBar>
    </cfRule>
  </conditionalFormatting>
  <conditionalFormatting sqref="H353:H1048576 H302:H303 H329 H300 H1 H111 H74:H96 H3:H72 H221 H236 H295:H298">
    <cfRule type="dataBar" priority="725">
      <dataBar>
        <cfvo type="min"/>
        <cfvo type="max"/>
        <color rgb="FF638EC6"/>
      </dataBar>
    </cfRule>
  </conditionalFormatting>
  <conditionalFormatting sqref="H98:H110">
    <cfRule type="dataBar" priority="724">
      <dataBar>
        <cfvo type="min"/>
        <cfvo type="max"/>
        <color rgb="FF638EC6"/>
      </dataBar>
    </cfRule>
  </conditionalFormatting>
  <conditionalFormatting sqref="H97">
    <cfRule type="dataBar" priority="723">
      <dataBar>
        <cfvo type="min"/>
        <cfvo type="max"/>
        <color rgb="FF638EC6"/>
      </dataBar>
    </cfRule>
  </conditionalFormatting>
  <conditionalFormatting sqref="H73">
    <cfRule type="dataBar" priority="722">
      <dataBar>
        <cfvo type="min"/>
        <cfvo type="max"/>
        <color rgb="FF638EC6"/>
      </dataBar>
    </cfRule>
  </conditionalFormatting>
  <conditionalFormatting sqref="H2">
    <cfRule type="dataBar" priority="721">
      <dataBar>
        <cfvo type="min"/>
        <cfvo type="max"/>
        <color rgb="FF638EC6"/>
      </dataBar>
    </cfRule>
  </conditionalFormatting>
  <conditionalFormatting sqref="H112:H220">
    <cfRule type="dataBar" priority="720">
      <dataBar>
        <cfvo type="min"/>
        <cfvo type="max"/>
        <color rgb="FF638EC6"/>
      </dataBar>
    </cfRule>
  </conditionalFormatting>
  <conditionalFormatting sqref="H222:H225">
    <cfRule type="dataBar" priority="719">
      <dataBar>
        <cfvo type="min"/>
        <cfvo type="max"/>
        <color rgb="FF638EC6"/>
      </dataBar>
    </cfRule>
  </conditionalFormatting>
  <conditionalFormatting sqref="J1">
    <cfRule type="dataBar" priority="716">
      <dataBar>
        <cfvo type="percent" val="0"/>
        <cfvo type="percentile" val="100"/>
        <color rgb="FF638EC6"/>
      </dataBar>
    </cfRule>
    <cfRule type="dataBar" priority="717">
      <dataBar>
        <cfvo type="percent" val="0"/>
        <cfvo type="percent" val="100"/>
        <color rgb="FF638EC6"/>
      </dataBar>
    </cfRule>
    <cfRule type="dataBar" priority="718">
      <dataBar>
        <cfvo type="min"/>
        <cfvo type="max"/>
        <color rgb="FF638EC6"/>
      </dataBar>
    </cfRule>
  </conditionalFormatting>
  <conditionalFormatting sqref="J353:J1048576 J300:J303 J329 J1 J111 J74:J96 J3:J72 J221 J236 J295:J298">
    <cfRule type="dataBar" priority="715">
      <dataBar>
        <cfvo type="min"/>
        <cfvo type="max"/>
        <color rgb="FF638EC6"/>
      </dataBar>
    </cfRule>
  </conditionalFormatting>
  <conditionalFormatting sqref="J98:J110">
    <cfRule type="dataBar" priority="714">
      <dataBar>
        <cfvo type="min"/>
        <cfvo type="max"/>
        <color rgb="FF638EC6"/>
      </dataBar>
    </cfRule>
  </conditionalFormatting>
  <conditionalFormatting sqref="J97">
    <cfRule type="dataBar" priority="713">
      <dataBar>
        <cfvo type="min"/>
        <cfvo type="max"/>
        <color rgb="FF638EC6"/>
      </dataBar>
    </cfRule>
  </conditionalFormatting>
  <conditionalFormatting sqref="J73">
    <cfRule type="dataBar" priority="712">
      <dataBar>
        <cfvo type="min"/>
        <cfvo type="max"/>
        <color rgb="FF638EC6"/>
      </dataBar>
    </cfRule>
  </conditionalFormatting>
  <conditionalFormatting sqref="J2">
    <cfRule type="dataBar" priority="711">
      <dataBar>
        <cfvo type="min"/>
        <cfvo type="max"/>
        <color rgb="FF638EC6"/>
      </dataBar>
    </cfRule>
  </conditionalFormatting>
  <conditionalFormatting sqref="J112:J220">
    <cfRule type="dataBar" priority="710">
      <dataBar>
        <cfvo type="min"/>
        <cfvo type="max"/>
        <color rgb="FF638EC6"/>
      </dataBar>
    </cfRule>
  </conditionalFormatting>
  <conditionalFormatting sqref="J222:J225">
    <cfRule type="dataBar" priority="709">
      <dataBar>
        <cfvo type="min"/>
        <cfvo type="max"/>
        <color rgb="FF638EC6"/>
      </dataBar>
    </cfRule>
  </conditionalFormatting>
  <conditionalFormatting sqref="H353:H1048576 H302:H303 H329 H300 H1:H225 H236 H295:H298">
    <cfRule type="dataBar" priority="708">
      <dataBar>
        <cfvo type="min"/>
        <cfvo type="max"/>
        <color rgb="FF638EC6"/>
      </dataBar>
    </cfRule>
  </conditionalFormatting>
  <conditionalFormatting sqref="G353:G1048576 G300:G303 G329 G1:G225 G236 G295:G298">
    <cfRule type="dataBar" priority="707">
      <dataBar>
        <cfvo type="min"/>
        <cfvo type="max"/>
        <color rgb="FF638EC6"/>
      </dataBar>
    </cfRule>
  </conditionalFormatting>
  <conditionalFormatting sqref="I353:I1048576 I300:I303 I329 I236 I295:I298 I1:I225">
    <cfRule type="dataBar" priority="706">
      <dataBar>
        <cfvo type="min"/>
        <cfvo type="max"/>
        <color rgb="FF638EC6"/>
      </dataBar>
    </cfRule>
  </conditionalFormatting>
  <conditionalFormatting sqref="J353:J1048576 J300:J303 J329 J236 J295:J298 J1:J225">
    <cfRule type="dataBar" priority="705">
      <dataBar>
        <cfvo type="min"/>
        <cfvo type="max"/>
        <color rgb="FF638EC6"/>
      </dataBar>
    </cfRule>
  </conditionalFormatting>
  <conditionalFormatting sqref="E300:E303 E305:E308">
    <cfRule type="dataBar" priority="703">
      <dataBar>
        <cfvo type="min"/>
        <cfvo type="max"/>
        <color rgb="FF638EC6"/>
      </dataBar>
    </cfRule>
  </conditionalFormatting>
  <conditionalFormatting sqref="E226">
    <cfRule type="dataBar" priority="685">
      <dataBar>
        <cfvo type="min"/>
        <cfvo type="max"/>
        <color rgb="FF638EC6"/>
      </dataBar>
    </cfRule>
    <cfRule type="dataBar" priority="694">
      <dataBar>
        <cfvo type="min"/>
        <cfvo type="max"/>
        <color rgb="FF638EC6"/>
      </dataBar>
    </cfRule>
  </conditionalFormatting>
  <conditionalFormatting sqref="M226 E226">
    <cfRule type="dataBar" priority="701">
      <dataBar>
        <cfvo type="percent" val="0"/>
        <cfvo type="percentile" val="100"/>
        <color rgb="FF638EC6"/>
      </dataBar>
    </cfRule>
    <cfRule type="dataBar" priority="702">
      <dataBar>
        <cfvo type="percent" val="0"/>
        <cfvo type="percent" val="100"/>
        <color rgb="FF638EC6"/>
      </dataBar>
    </cfRule>
  </conditionalFormatting>
  <conditionalFormatting sqref="Q226:R226">
    <cfRule type="dataBar" priority="700">
      <dataBar>
        <cfvo type="min"/>
        <cfvo type="max"/>
        <color rgb="FF638EC6"/>
      </dataBar>
    </cfRule>
  </conditionalFormatting>
  <conditionalFormatting sqref="O226">
    <cfRule type="dataBar" priority="699">
      <dataBar>
        <cfvo type="min"/>
        <cfvo type="max"/>
        <color rgb="FF638EC6"/>
      </dataBar>
    </cfRule>
  </conditionalFormatting>
  <conditionalFormatting sqref="G226">
    <cfRule type="dataBar" priority="688">
      <dataBar>
        <cfvo type="min"/>
        <cfvo type="max"/>
        <color rgb="FF638EC6"/>
      </dataBar>
    </cfRule>
    <cfRule type="dataBar" priority="698">
      <dataBar>
        <cfvo type="min"/>
        <cfvo type="max"/>
        <color rgb="FF638EC6"/>
      </dataBar>
    </cfRule>
  </conditionalFormatting>
  <conditionalFormatting sqref="P226">
    <cfRule type="dataBar" priority="697">
      <dataBar>
        <cfvo type="min"/>
        <cfvo type="max"/>
        <color rgb="FF638EC6"/>
      </dataBar>
    </cfRule>
  </conditionalFormatting>
  <conditionalFormatting sqref="K226">
    <cfRule type="dataBar" priority="696">
      <dataBar>
        <cfvo type="min"/>
        <cfvo type="max"/>
        <color rgb="FF638EC6"/>
      </dataBar>
    </cfRule>
  </conditionalFormatting>
  <conditionalFormatting sqref="M226">
    <cfRule type="dataBar" priority="695">
      <dataBar>
        <cfvo type="min"/>
        <cfvo type="max"/>
        <color rgb="FF638EC6"/>
      </dataBar>
    </cfRule>
  </conditionalFormatting>
  <conditionalFormatting sqref="I226">
    <cfRule type="dataBar" priority="687">
      <dataBar>
        <cfvo type="min"/>
        <cfvo type="max"/>
        <color rgb="FF638EC6"/>
      </dataBar>
    </cfRule>
    <cfRule type="dataBar" priority="692">
      <dataBar>
        <cfvo type="min"/>
        <cfvo type="max"/>
        <color rgb="FF638EC6"/>
      </dataBar>
    </cfRule>
  </conditionalFormatting>
  <conditionalFormatting sqref="H226">
    <cfRule type="dataBar" priority="689">
      <dataBar>
        <cfvo type="min"/>
        <cfvo type="max"/>
        <color rgb="FF638EC6"/>
      </dataBar>
    </cfRule>
    <cfRule type="dataBar" priority="691">
      <dataBar>
        <cfvo type="min"/>
        <cfvo type="max"/>
        <color rgb="FF638EC6"/>
      </dataBar>
    </cfRule>
  </conditionalFormatting>
  <conditionalFormatting sqref="J226">
    <cfRule type="dataBar" priority="686">
      <dataBar>
        <cfvo type="min"/>
        <cfvo type="max"/>
        <color rgb="FF638EC6"/>
      </dataBar>
    </cfRule>
    <cfRule type="dataBar" priority="690">
      <dataBar>
        <cfvo type="min"/>
        <cfvo type="max"/>
        <color rgb="FF638EC6"/>
      </dataBar>
    </cfRule>
  </conditionalFormatting>
  <conditionalFormatting sqref="E227:E230">
    <cfRule type="dataBar" priority="667">
      <dataBar>
        <cfvo type="min"/>
        <cfvo type="max"/>
        <color rgb="FF638EC6"/>
      </dataBar>
    </cfRule>
    <cfRule type="dataBar" priority="677">
      <dataBar>
        <cfvo type="min"/>
        <cfvo type="max"/>
        <color rgb="FF638EC6"/>
      </dataBar>
    </cfRule>
  </conditionalFormatting>
  <conditionalFormatting sqref="M227:M230 E227:E230">
    <cfRule type="dataBar" priority="683">
      <dataBar>
        <cfvo type="percent" val="0"/>
        <cfvo type="percentile" val="100"/>
        <color rgb="FF638EC6"/>
      </dataBar>
    </cfRule>
    <cfRule type="dataBar" priority="684">
      <dataBar>
        <cfvo type="percent" val="0"/>
        <cfvo type="percent" val="100"/>
        <color rgb="FF638EC6"/>
      </dataBar>
    </cfRule>
  </conditionalFormatting>
  <conditionalFormatting sqref="O227:O230">
    <cfRule type="dataBar" priority="682">
      <dataBar>
        <cfvo type="min"/>
        <cfvo type="max"/>
        <color rgb="FF638EC6"/>
      </dataBar>
    </cfRule>
  </conditionalFormatting>
  <conditionalFormatting sqref="G227:G230">
    <cfRule type="dataBar" priority="670">
      <dataBar>
        <cfvo type="min"/>
        <cfvo type="max"/>
        <color rgb="FF638EC6"/>
      </dataBar>
    </cfRule>
    <cfRule type="dataBar" priority="681">
      <dataBar>
        <cfvo type="min"/>
        <cfvo type="max"/>
        <color rgb="FF638EC6"/>
      </dataBar>
    </cfRule>
  </conditionalFormatting>
  <conditionalFormatting sqref="P227:P230">
    <cfRule type="dataBar" priority="680">
      <dataBar>
        <cfvo type="min"/>
        <cfvo type="max"/>
        <color rgb="FF638EC6"/>
      </dataBar>
    </cfRule>
  </conditionalFormatting>
  <conditionalFormatting sqref="K227:K230">
    <cfRule type="dataBar" priority="679">
      <dataBar>
        <cfvo type="min"/>
        <cfvo type="max"/>
        <color rgb="FF638EC6"/>
      </dataBar>
    </cfRule>
  </conditionalFormatting>
  <conditionalFormatting sqref="M227:M230">
    <cfRule type="dataBar" priority="678">
      <dataBar>
        <cfvo type="min"/>
        <cfvo type="max"/>
        <color rgb="FF638EC6"/>
      </dataBar>
    </cfRule>
  </conditionalFormatting>
  <conditionalFormatting sqref="Q227:R230">
    <cfRule type="dataBar" priority="676">
      <dataBar>
        <cfvo type="min"/>
        <cfvo type="max"/>
        <color rgb="FF638EC6"/>
      </dataBar>
    </cfRule>
  </conditionalFormatting>
  <conditionalFormatting sqref="I227:I230">
    <cfRule type="dataBar" priority="669">
      <dataBar>
        <cfvo type="min"/>
        <cfvo type="max"/>
        <color rgb="FF638EC6"/>
      </dataBar>
    </cfRule>
    <cfRule type="dataBar" priority="674">
      <dataBar>
        <cfvo type="min"/>
        <cfvo type="max"/>
        <color rgb="FF638EC6"/>
      </dataBar>
    </cfRule>
  </conditionalFormatting>
  <conditionalFormatting sqref="H227:H230">
    <cfRule type="dataBar" priority="671">
      <dataBar>
        <cfvo type="min"/>
        <cfvo type="max"/>
        <color rgb="FF638EC6"/>
      </dataBar>
    </cfRule>
    <cfRule type="dataBar" priority="673">
      <dataBar>
        <cfvo type="min"/>
        <cfvo type="max"/>
        <color rgb="FF638EC6"/>
      </dataBar>
    </cfRule>
  </conditionalFormatting>
  <conditionalFormatting sqref="J227:J230">
    <cfRule type="dataBar" priority="668">
      <dataBar>
        <cfvo type="min"/>
        <cfvo type="max"/>
        <color rgb="FF638EC6"/>
      </dataBar>
    </cfRule>
    <cfRule type="dataBar" priority="672">
      <dataBar>
        <cfvo type="min"/>
        <cfvo type="max"/>
        <color rgb="FF638EC6"/>
      </dataBar>
    </cfRule>
  </conditionalFormatting>
  <conditionalFormatting sqref="E231">
    <cfRule type="dataBar" priority="649">
      <dataBar>
        <cfvo type="min"/>
        <cfvo type="max"/>
        <color rgb="FF638EC6"/>
      </dataBar>
    </cfRule>
    <cfRule type="dataBar" priority="658">
      <dataBar>
        <cfvo type="min"/>
        <cfvo type="max"/>
        <color rgb="FF638EC6"/>
      </dataBar>
    </cfRule>
  </conditionalFormatting>
  <conditionalFormatting sqref="E231 M231">
    <cfRule type="dataBar" priority="665">
      <dataBar>
        <cfvo type="percent" val="0"/>
        <cfvo type="percentile" val="100"/>
        <color rgb="FF638EC6"/>
      </dataBar>
    </cfRule>
    <cfRule type="dataBar" priority="666">
      <dataBar>
        <cfvo type="percent" val="0"/>
        <cfvo type="percent" val="100"/>
        <color rgb="FF638EC6"/>
      </dataBar>
    </cfRule>
  </conditionalFormatting>
  <conditionalFormatting sqref="Q231:R231">
    <cfRule type="dataBar" priority="664">
      <dataBar>
        <cfvo type="min"/>
        <cfvo type="max"/>
        <color rgb="FF638EC6"/>
      </dataBar>
    </cfRule>
  </conditionalFormatting>
  <conditionalFormatting sqref="O231">
    <cfRule type="dataBar" priority="663">
      <dataBar>
        <cfvo type="min"/>
        <cfvo type="max"/>
        <color rgb="FF638EC6"/>
      </dataBar>
    </cfRule>
  </conditionalFormatting>
  <conditionalFormatting sqref="G231">
    <cfRule type="dataBar" priority="652">
      <dataBar>
        <cfvo type="min"/>
        <cfvo type="max"/>
        <color rgb="FF638EC6"/>
      </dataBar>
    </cfRule>
    <cfRule type="dataBar" priority="662">
      <dataBar>
        <cfvo type="min"/>
        <cfvo type="max"/>
        <color rgb="FF638EC6"/>
      </dataBar>
    </cfRule>
  </conditionalFormatting>
  <conditionalFormatting sqref="P231">
    <cfRule type="dataBar" priority="661">
      <dataBar>
        <cfvo type="min"/>
        <cfvo type="max"/>
        <color rgb="FF638EC6"/>
      </dataBar>
    </cfRule>
  </conditionalFormatting>
  <conditionalFormatting sqref="K231">
    <cfRule type="dataBar" priority="660">
      <dataBar>
        <cfvo type="min"/>
        <cfvo type="max"/>
        <color rgb="FF638EC6"/>
      </dataBar>
    </cfRule>
  </conditionalFormatting>
  <conditionalFormatting sqref="M231">
    <cfRule type="dataBar" priority="659">
      <dataBar>
        <cfvo type="min"/>
        <cfvo type="max"/>
        <color rgb="FF638EC6"/>
      </dataBar>
    </cfRule>
  </conditionalFormatting>
  <conditionalFormatting sqref="I231">
    <cfRule type="dataBar" priority="651">
      <dataBar>
        <cfvo type="min"/>
        <cfvo type="max"/>
        <color rgb="FF638EC6"/>
      </dataBar>
    </cfRule>
    <cfRule type="dataBar" priority="656">
      <dataBar>
        <cfvo type="min"/>
        <cfvo type="max"/>
        <color rgb="FF638EC6"/>
      </dataBar>
    </cfRule>
  </conditionalFormatting>
  <conditionalFormatting sqref="H231">
    <cfRule type="dataBar" priority="653">
      <dataBar>
        <cfvo type="min"/>
        <cfvo type="max"/>
        <color rgb="FF638EC6"/>
      </dataBar>
    </cfRule>
    <cfRule type="dataBar" priority="655">
      <dataBar>
        <cfvo type="min"/>
        <cfvo type="max"/>
        <color rgb="FF638EC6"/>
      </dataBar>
    </cfRule>
  </conditionalFormatting>
  <conditionalFormatting sqref="J231">
    <cfRule type="dataBar" priority="650">
      <dataBar>
        <cfvo type="min"/>
        <cfvo type="max"/>
        <color rgb="FF638EC6"/>
      </dataBar>
    </cfRule>
    <cfRule type="dataBar" priority="654">
      <dataBar>
        <cfvo type="min"/>
        <cfvo type="max"/>
        <color rgb="FF638EC6"/>
      </dataBar>
    </cfRule>
  </conditionalFormatting>
  <conditionalFormatting sqref="E232:E235">
    <cfRule type="dataBar" priority="631">
      <dataBar>
        <cfvo type="min"/>
        <cfvo type="max"/>
        <color rgb="FF638EC6"/>
      </dataBar>
    </cfRule>
    <cfRule type="dataBar" priority="641">
      <dataBar>
        <cfvo type="min"/>
        <cfvo type="max"/>
        <color rgb="FF638EC6"/>
      </dataBar>
    </cfRule>
  </conditionalFormatting>
  <conditionalFormatting sqref="M232:M235 E232:E235">
    <cfRule type="dataBar" priority="647">
      <dataBar>
        <cfvo type="percent" val="0"/>
        <cfvo type="percentile" val="100"/>
        <color rgb="FF638EC6"/>
      </dataBar>
    </cfRule>
    <cfRule type="dataBar" priority="648">
      <dataBar>
        <cfvo type="percent" val="0"/>
        <cfvo type="percent" val="100"/>
        <color rgb="FF638EC6"/>
      </dataBar>
    </cfRule>
  </conditionalFormatting>
  <conditionalFormatting sqref="O232:O235">
    <cfRule type="dataBar" priority="646">
      <dataBar>
        <cfvo type="min"/>
        <cfvo type="max"/>
        <color rgb="FF638EC6"/>
      </dataBar>
    </cfRule>
  </conditionalFormatting>
  <conditionalFormatting sqref="G232:G235">
    <cfRule type="dataBar" priority="634">
      <dataBar>
        <cfvo type="min"/>
        <cfvo type="max"/>
        <color rgb="FF638EC6"/>
      </dataBar>
    </cfRule>
    <cfRule type="dataBar" priority="645">
      <dataBar>
        <cfvo type="min"/>
        <cfvo type="max"/>
        <color rgb="FF638EC6"/>
      </dataBar>
    </cfRule>
  </conditionalFormatting>
  <conditionalFormatting sqref="P232:P235">
    <cfRule type="dataBar" priority="644">
      <dataBar>
        <cfvo type="min"/>
        <cfvo type="max"/>
        <color rgb="FF638EC6"/>
      </dataBar>
    </cfRule>
  </conditionalFormatting>
  <conditionalFormatting sqref="K232:K235">
    <cfRule type="dataBar" priority="643">
      <dataBar>
        <cfvo type="min"/>
        <cfvo type="max"/>
        <color rgb="FF638EC6"/>
      </dataBar>
    </cfRule>
  </conditionalFormatting>
  <conditionalFormatting sqref="M232:M235">
    <cfRule type="dataBar" priority="642">
      <dataBar>
        <cfvo type="min"/>
        <cfvo type="max"/>
        <color rgb="FF638EC6"/>
      </dataBar>
    </cfRule>
  </conditionalFormatting>
  <conditionalFormatting sqref="Q232:R235">
    <cfRule type="dataBar" priority="640">
      <dataBar>
        <cfvo type="min"/>
        <cfvo type="max"/>
        <color rgb="FF638EC6"/>
      </dataBar>
    </cfRule>
  </conditionalFormatting>
  <conditionalFormatting sqref="I232:I235">
    <cfRule type="dataBar" priority="633">
      <dataBar>
        <cfvo type="min"/>
        <cfvo type="max"/>
        <color rgb="FF638EC6"/>
      </dataBar>
    </cfRule>
    <cfRule type="dataBar" priority="638">
      <dataBar>
        <cfvo type="min"/>
        <cfvo type="max"/>
        <color rgb="FF638EC6"/>
      </dataBar>
    </cfRule>
  </conditionalFormatting>
  <conditionalFormatting sqref="H232:H235">
    <cfRule type="dataBar" priority="635">
      <dataBar>
        <cfvo type="min"/>
        <cfvo type="max"/>
        <color rgb="FF638EC6"/>
      </dataBar>
    </cfRule>
    <cfRule type="dataBar" priority="637">
      <dataBar>
        <cfvo type="min"/>
        <cfvo type="max"/>
        <color rgb="FF638EC6"/>
      </dataBar>
    </cfRule>
  </conditionalFormatting>
  <conditionalFormatting sqref="J232:J235">
    <cfRule type="dataBar" priority="632">
      <dataBar>
        <cfvo type="min"/>
        <cfvo type="max"/>
        <color rgb="FF638EC6"/>
      </dataBar>
    </cfRule>
    <cfRule type="dataBar" priority="636">
      <dataBar>
        <cfvo type="min"/>
        <cfvo type="max"/>
        <color rgb="FF638EC6"/>
      </dataBar>
    </cfRule>
  </conditionalFormatting>
  <conditionalFormatting sqref="E241">
    <cfRule type="dataBar" priority="613">
      <dataBar>
        <cfvo type="min"/>
        <cfvo type="max"/>
        <color rgb="FF638EC6"/>
      </dataBar>
    </cfRule>
    <cfRule type="dataBar" priority="622">
      <dataBar>
        <cfvo type="min"/>
        <cfvo type="max"/>
        <color rgb="FF638EC6"/>
      </dataBar>
    </cfRule>
  </conditionalFormatting>
  <conditionalFormatting sqref="E241 M241">
    <cfRule type="dataBar" priority="629">
      <dataBar>
        <cfvo type="percent" val="0"/>
        <cfvo type="percentile" val="100"/>
        <color rgb="FF638EC6"/>
      </dataBar>
    </cfRule>
    <cfRule type="dataBar" priority="630">
      <dataBar>
        <cfvo type="percent" val="0"/>
        <cfvo type="percent" val="100"/>
        <color rgb="FF638EC6"/>
      </dataBar>
    </cfRule>
  </conditionalFormatting>
  <conditionalFormatting sqref="Q241:R241">
    <cfRule type="dataBar" priority="628">
      <dataBar>
        <cfvo type="min"/>
        <cfvo type="max"/>
        <color rgb="FF638EC6"/>
      </dataBar>
    </cfRule>
  </conditionalFormatting>
  <conditionalFormatting sqref="O241">
    <cfRule type="dataBar" priority="627">
      <dataBar>
        <cfvo type="min"/>
        <cfvo type="max"/>
        <color rgb="FF638EC6"/>
      </dataBar>
    </cfRule>
  </conditionalFormatting>
  <conditionalFormatting sqref="G241">
    <cfRule type="dataBar" priority="616">
      <dataBar>
        <cfvo type="min"/>
        <cfvo type="max"/>
        <color rgb="FF638EC6"/>
      </dataBar>
    </cfRule>
    <cfRule type="dataBar" priority="626">
      <dataBar>
        <cfvo type="min"/>
        <cfvo type="max"/>
        <color rgb="FF638EC6"/>
      </dataBar>
    </cfRule>
  </conditionalFormatting>
  <conditionalFormatting sqref="P241">
    <cfRule type="dataBar" priority="625">
      <dataBar>
        <cfvo type="min"/>
        <cfvo type="max"/>
        <color rgb="FF638EC6"/>
      </dataBar>
    </cfRule>
  </conditionalFormatting>
  <conditionalFormatting sqref="K241">
    <cfRule type="dataBar" priority="624">
      <dataBar>
        <cfvo type="min"/>
        <cfvo type="max"/>
        <color rgb="FF638EC6"/>
      </dataBar>
    </cfRule>
  </conditionalFormatting>
  <conditionalFormatting sqref="M241">
    <cfRule type="dataBar" priority="623">
      <dataBar>
        <cfvo type="min"/>
        <cfvo type="max"/>
        <color rgb="FF638EC6"/>
      </dataBar>
    </cfRule>
  </conditionalFormatting>
  <conditionalFormatting sqref="I241">
    <cfRule type="dataBar" priority="615">
      <dataBar>
        <cfvo type="min"/>
        <cfvo type="max"/>
        <color rgb="FF638EC6"/>
      </dataBar>
    </cfRule>
    <cfRule type="dataBar" priority="620">
      <dataBar>
        <cfvo type="min"/>
        <cfvo type="max"/>
        <color rgb="FF638EC6"/>
      </dataBar>
    </cfRule>
  </conditionalFormatting>
  <conditionalFormatting sqref="H241">
    <cfRule type="dataBar" priority="617">
      <dataBar>
        <cfvo type="min"/>
        <cfvo type="max"/>
        <color rgb="FF638EC6"/>
      </dataBar>
    </cfRule>
    <cfRule type="dataBar" priority="619">
      <dataBar>
        <cfvo type="min"/>
        <cfvo type="max"/>
        <color rgb="FF638EC6"/>
      </dataBar>
    </cfRule>
  </conditionalFormatting>
  <conditionalFormatting sqref="J241">
    <cfRule type="dataBar" priority="614">
      <dataBar>
        <cfvo type="min"/>
        <cfvo type="max"/>
        <color rgb="FF638EC6"/>
      </dataBar>
    </cfRule>
    <cfRule type="dataBar" priority="618">
      <dataBar>
        <cfvo type="min"/>
        <cfvo type="max"/>
        <color rgb="FF638EC6"/>
      </dataBar>
    </cfRule>
  </conditionalFormatting>
  <conditionalFormatting sqref="E237:E240">
    <cfRule type="dataBar" priority="595">
      <dataBar>
        <cfvo type="min"/>
        <cfvo type="max"/>
        <color rgb="FF638EC6"/>
      </dataBar>
    </cfRule>
    <cfRule type="dataBar" priority="605">
      <dataBar>
        <cfvo type="min"/>
        <cfvo type="max"/>
        <color rgb="FF638EC6"/>
      </dataBar>
    </cfRule>
  </conditionalFormatting>
  <conditionalFormatting sqref="M237:M240 E237:E240">
    <cfRule type="dataBar" priority="611">
      <dataBar>
        <cfvo type="percent" val="0"/>
        <cfvo type="percentile" val="100"/>
        <color rgb="FF638EC6"/>
      </dataBar>
    </cfRule>
    <cfRule type="dataBar" priority="612">
      <dataBar>
        <cfvo type="percent" val="0"/>
        <cfvo type="percent" val="100"/>
        <color rgb="FF638EC6"/>
      </dataBar>
    </cfRule>
  </conditionalFormatting>
  <conditionalFormatting sqref="O237:O240">
    <cfRule type="dataBar" priority="610">
      <dataBar>
        <cfvo type="min"/>
        <cfvo type="max"/>
        <color rgb="FF638EC6"/>
      </dataBar>
    </cfRule>
  </conditionalFormatting>
  <conditionalFormatting sqref="G237:G240">
    <cfRule type="dataBar" priority="598">
      <dataBar>
        <cfvo type="min"/>
        <cfvo type="max"/>
        <color rgb="FF638EC6"/>
      </dataBar>
    </cfRule>
    <cfRule type="dataBar" priority="609">
      <dataBar>
        <cfvo type="min"/>
        <cfvo type="max"/>
        <color rgb="FF638EC6"/>
      </dataBar>
    </cfRule>
  </conditionalFormatting>
  <conditionalFormatting sqref="P237:P240">
    <cfRule type="dataBar" priority="608">
      <dataBar>
        <cfvo type="min"/>
        <cfvo type="max"/>
        <color rgb="FF638EC6"/>
      </dataBar>
    </cfRule>
  </conditionalFormatting>
  <conditionalFormatting sqref="K237:K240">
    <cfRule type="dataBar" priority="607">
      <dataBar>
        <cfvo type="min"/>
        <cfvo type="max"/>
        <color rgb="FF638EC6"/>
      </dataBar>
    </cfRule>
  </conditionalFormatting>
  <conditionalFormatting sqref="M237:M240">
    <cfRule type="dataBar" priority="606">
      <dataBar>
        <cfvo type="min"/>
        <cfvo type="max"/>
        <color rgb="FF638EC6"/>
      </dataBar>
    </cfRule>
  </conditionalFormatting>
  <conditionalFormatting sqref="Q237:R240">
    <cfRule type="dataBar" priority="604">
      <dataBar>
        <cfvo type="min"/>
        <cfvo type="max"/>
        <color rgb="FF638EC6"/>
      </dataBar>
    </cfRule>
  </conditionalFormatting>
  <conditionalFormatting sqref="I237:I240">
    <cfRule type="dataBar" priority="597">
      <dataBar>
        <cfvo type="min"/>
        <cfvo type="max"/>
        <color rgb="FF638EC6"/>
      </dataBar>
    </cfRule>
    <cfRule type="dataBar" priority="602">
      <dataBar>
        <cfvo type="min"/>
        <cfvo type="max"/>
        <color rgb="FF638EC6"/>
      </dataBar>
    </cfRule>
  </conditionalFormatting>
  <conditionalFormatting sqref="H237:H240">
    <cfRule type="dataBar" priority="599">
      <dataBar>
        <cfvo type="min"/>
        <cfvo type="max"/>
        <color rgb="FF638EC6"/>
      </dataBar>
    </cfRule>
    <cfRule type="dataBar" priority="601">
      <dataBar>
        <cfvo type="min"/>
        <cfvo type="max"/>
        <color rgb="FF638EC6"/>
      </dataBar>
    </cfRule>
  </conditionalFormatting>
  <conditionalFormatting sqref="J237:J240">
    <cfRule type="dataBar" priority="596">
      <dataBar>
        <cfvo type="min"/>
        <cfvo type="max"/>
        <color rgb="FF638EC6"/>
      </dataBar>
    </cfRule>
    <cfRule type="dataBar" priority="600">
      <dataBar>
        <cfvo type="min"/>
        <cfvo type="max"/>
        <color rgb="FF638EC6"/>
      </dataBar>
    </cfRule>
  </conditionalFormatting>
  <conditionalFormatting sqref="E246">
    <cfRule type="dataBar" priority="577">
      <dataBar>
        <cfvo type="min"/>
        <cfvo type="max"/>
        <color rgb="FF638EC6"/>
      </dataBar>
    </cfRule>
    <cfRule type="dataBar" priority="586">
      <dataBar>
        <cfvo type="min"/>
        <cfvo type="max"/>
        <color rgb="FF638EC6"/>
      </dataBar>
    </cfRule>
  </conditionalFormatting>
  <conditionalFormatting sqref="E246 M246">
    <cfRule type="dataBar" priority="593">
      <dataBar>
        <cfvo type="percent" val="0"/>
        <cfvo type="percentile" val="100"/>
        <color rgb="FF638EC6"/>
      </dataBar>
    </cfRule>
    <cfRule type="dataBar" priority="594">
      <dataBar>
        <cfvo type="percent" val="0"/>
        <cfvo type="percent" val="100"/>
        <color rgb="FF638EC6"/>
      </dataBar>
    </cfRule>
  </conditionalFormatting>
  <conditionalFormatting sqref="Q246:R246">
    <cfRule type="dataBar" priority="592">
      <dataBar>
        <cfvo type="min"/>
        <cfvo type="max"/>
        <color rgb="FF638EC6"/>
      </dataBar>
    </cfRule>
  </conditionalFormatting>
  <conditionalFormatting sqref="O246">
    <cfRule type="dataBar" priority="591">
      <dataBar>
        <cfvo type="min"/>
        <cfvo type="max"/>
        <color rgb="FF638EC6"/>
      </dataBar>
    </cfRule>
  </conditionalFormatting>
  <conditionalFormatting sqref="G246">
    <cfRule type="dataBar" priority="580">
      <dataBar>
        <cfvo type="min"/>
        <cfvo type="max"/>
        <color rgb="FF638EC6"/>
      </dataBar>
    </cfRule>
    <cfRule type="dataBar" priority="590">
      <dataBar>
        <cfvo type="min"/>
        <cfvo type="max"/>
        <color rgb="FF638EC6"/>
      </dataBar>
    </cfRule>
  </conditionalFormatting>
  <conditionalFormatting sqref="P246">
    <cfRule type="dataBar" priority="589">
      <dataBar>
        <cfvo type="min"/>
        <cfvo type="max"/>
        <color rgb="FF638EC6"/>
      </dataBar>
    </cfRule>
  </conditionalFormatting>
  <conditionalFormatting sqref="K246">
    <cfRule type="dataBar" priority="588">
      <dataBar>
        <cfvo type="min"/>
        <cfvo type="max"/>
        <color rgb="FF638EC6"/>
      </dataBar>
    </cfRule>
  </conditionalFormatting>
  <conditionalFormatting sqref="M246">
    <cfRule type="dataBar" priority="587">
      <dataBar>
        <cfvo type="min"/>
        <cfvo type="max"/>
        <color rgb="FF638EC6"/>
      </dataBar>
    </cfRule>
  </conditionalFormatting>
  <conditionalFormatting sqref="I246">
    <cfRule type="dataBar" priority="579">
      <dataBar>
        <cfvo type="min"/>
        <cfvo type="max"/>
        <color rgb="FF638EC6"/>
      </dataBar>
    </cfRule>
    <cfRule type="dataBar" priority="584">
      <dataBar>
        <cfvo type="min"/>
        <cfvo type="max"/>
        <color rgb="FF638EC6"/>
      </dataBar>
    </cfRule>
  </conditionalFormatting>
  <conditionalFormatting sqref="H246">
    <cfRule type="dataBar" priority="581">
      <dataBar>
        <cfvo type="min"/>
        <cfvo type="max"/>
        <color rgb="FF638EC6"/>
      </dataBar>
    </cfRule>
    <cfRule type="dataBar" priority="583">
      <dataBar>
        <cfvo type="min"/>
        <cfvo type="max"/>
        <color rgb="FF638EC6"/>
      </dataBar>
    </cfRule>
  </conditionalFormatting>
  <conditionalFormatting sqref="J246">
    <cfRule type="dataBar" priority="578">
      <dataBar>
        <cfvo type="min"/>
        <cfvo type="max"/>
        <color rgb="FF638EC6"/>
      </dataBar>
    </cfRule>
    <cfRule type="dataBar" priority="582">
      <dataBar>
        <cfvo type="min"/>
        <cfvo type="max"/>
        <color rgb="FF638EC6"/>
      </dataBar>
    </cfRule>
  </conditionalFormatting>
  <conditionalFormatting sqref="E242:E245">
    <cfRule type="dataBar" priority="559">
      <dataBar>
        <cfvo type="min"/>
        <cfvo type="max"/>
        <color rgb="FF638EC6"/>
      </dataBar>
    </cfRule>
    <cfRule type="dataBar" priority="569">
      <dataBar>
        <cfvo type="min"/>
        <cfvo type="max"/>
        <color rgb="FF638EC6"/>
      </dataBar>
    </cfRule>
  </conditionalFormatting>
  <conditionalFormatting sqref="M242:M245 E242:E245">
    <cfRule type="dataBar" priority="575">
      <dataBar>
        <cfvo type="percent" val="0"/>
        <cfvo type="percentile" val="100"/>
        <color rgb="FF638EC6"/>
      </dataBar>
    </cfRule>
    <cfRule type="dataBar" priority="576">
      <dataBar>
        <cfvo type="percent" val="0"/>
        <cfvo type="percent" val="100"/>
        <color rgb="FF638EC6"/>
      </dataBar>
    </cfRule>
  </conditionalFormatting>
  <conditionalFormatting sqref="O242:O245">
    <cfRule type="dataBar" priority="574">
      <dataBar>
        <cfvo type="min"/>
        <cfvo type="max"/>
        <color rgb="FF638EC6"/>
      </dataBar>
    </cfRule>
  </conditionalFormatting>
  <conditionalFormatting sqref="G242:G245">
    <cfRule type="dataBar" priority="562">
      <dataBar>
        <cfvo type="min"/>
        <cfvo type="max"/>
        <color rgb="FF638EC6"/>
      </dataBar>
    </cfRule>
    <cfRule type="dataBar" priority="573">
      <dataBar>
        <cfvo type="min"/>
        <cfvo type="max"/>
        <color rgb="FF638EC6"/>
      </dataBar>
    </cfRule>
  </conditionalFormatting>
  <conditionalFormatting sqref="P242:P245">
    <cfRule type="dataBar" priority="572">
      <dataBar>
        <cfvo type="min"/>
        <cfvo type="max"/>
        <color rgb="FF638EC6"/>
      </dataBar>
    </cfRule>
  </conditionalFormatting>
  <conditionalFormatting sqref="K242:K245">
    <cfRule type="dataBar" priority="571">
      <dataBar>
        <cfvo type="min"/>
        <cfvo type="max"/>
        <color rgb="FF638EC6"/>
      </dataBar>
    </cfRule>
  </conditionalFormatting>
  <conditionalFormatting sqref="M242:M245">
    <cfRule type="dataBar" priority="570">
      <dataBar>
        <cfvo type="min"/>
        <cfvo type="max"/>
        <color rgb="FF638EC6"/>
      </dataBar>
    </cfRule>
  </conditionalFormatting>
  <conditionalFormatting sqref="Q242:R245">
    <cfRule type="dataBar" priority="568">
      <dataBar>
        <cfvo type="min"/>
        <cfvo type="max"/>
        <color rgb="FF638EC6"/>
      </dataBar>
    </cfRule>
  </conditionalFormatting>
  <conditionalFormatting sqref="I242:I245">
    <cfRule type="dataBar" priority="561">
      <dataBar>
        <cfvo type="min"/>
        <cfvo type="max"/>
        <color rgb="FF638EC6"/>
      </dataBar>
    </cfRule>
    <cfRule type="dataBar" priority="566">
      <dataBar>
        <cfvo type="min"/>
        <cfvo type="max"/>
        <color rgb="FF638EC6"/>
      </dataBar>
    </cfRule>
  </conditionalFormatting>
  <conditionalFormatting sqref="H242:H245">
    <cfRule type="dataBar" priority="563">
      <dataBar>
        <cfvo type="min"/>
        <cfvo type="max"/>
        <color rgb="FF638EC6"/>
      </dataBar>
    </cfRule>
    <cfRule type="dataBar" priority="565">
      <dataBar>
        <cfvo type="min"/>
        <cfvo type="max"/>
        <color rgb="FF638EC6"/>
      </dataBar>
    </cfRule>
  </conditionalFormatting>
  <conditionalFormatting sqref="J242:J245">
    <cfRule type="dataBar" priority="560">
      <dataBar>
        <cfvo type="min"/>
        <cfvo type="max"/>
        <color rgb="FF638EC6"/>
      </dataBar>
    </cfRule>
    <cfRule type="dataBar" priority="564">
      <dataBar>
        <cfvo type="min"/>
        <cfvo type="max"/>
        <color rgb="FF638EC6"/>
      </dataBar>
    </cfRule>
  </conditionalFormatting>
  <conditionalFormatting sqref="J98">
    <cfRule type="dataBar" priority="558">
      <dataBar>
        <cfvo type="min"/>
        <cfvo type="max"/>
        <color rgb="FF638EC6"/>
      </dataBar>
    </cfRule>
  </conditionalFormatting>
  <conditionalFormatting sqref="E304">
    <cfRule type="dataBar" priority="547">
      <dataBar>
        <cfvo type="min"/>
        <cfvo type="max"/>
        <color rgb="FF638EC6"/>
      </dataBar>
    </cfRule>
    <cfRule type="dataBar" priority="557">
      <dataBar>
        <cfvo type="min"/>
        <cfvo type="max"/>
        <color rgb="FF638EC6"/>
      </dataBar>
    </cfRule>
  </conditionalFormatting>
  <conditionalFormatting sqref="M304:M308 E304">
    <cfRule type="dataBar" priority="556">
      <dataBar>
        <cfvo type="percent" val="0"/>
        <cfvo type="percentile" val="100"/>
        <color rgb="FF638EC6"/>
      </dataBar>
    </cfRule>
    <cfRule type="dataBar" priority="827">
      <dataBar>
        <cfvo type="percent" val="0"/>
        <cfvo type="percent" val="100"/>
        <color rgb="FF638EC6"/>
      </dataBar>
    </cfRule>
  </conditionalFormatting>
  <conditionalFormatting sqref="Q304:R304 R305:R308">
    <cfRule type="dataBar" priority="555">
      <dataBar>
        <cfvo type="min"/>
        <cfvo type="max"/>
        <color rgb="FF638EC6"/>
      </dataBar>
    </cfRule>
  </conditionalFormatting>
  <conditionalFormatting sqref="O304:O308">
    <cfRule type="dataBar" priority="554">
      <dataBar>
        <cfvo type="min"/>
        <cfvo type="max"/>
        <color rgb="FF638EC6"/>
      </dataBar>
    </cfRule>
  </conditionalFormatting>
  <conditionalFormatting sqref="G304:G308">
    <cfRule type="dataBar" priority="543">
      <dataBar>
        <cfvo type="min"/>
        <cfvo type="max"/>
        <color rgb="FF638EC6"/>
      </dataBar>
    </cfRule>
    <cfRule type="dataBar" priority="553">
      <dataBar>
        <cfvo type="min"/>
        <cfvo type="max"/>
        <color rgb="FF638EC6"/>
      </dataBar>
    </cfRule>
  </conditionalFormatting>
  <conditionalFormatting sqref="P304:P308">
    <cfRule type="dataBar" priority="552">
      <dataBar>
        <cfvo type="min"/>
        <cfvo type="max"/>
        <color rgb="FF638EC6"/>
      </dataBar>
    </cfRule>
  </conditionalFormatting>
  <conditionalFormatting sqref="K304:K308">
    <cfRule type="dataBar" priority="551">
      <dataBar>
        <cfvo type="min"/>
        <cfvo type="max"/>
        <color rgb="FF638EC6"/>
      </dataBar>
    </cfRule>
  </conditionalFormatting>
  <conditionalFormatting sqref="M304:M308">
    <cfRule type="dataBar" priority="550">
      <dataBar>
        <cfvo type="min"/>
        <cfvo type="max"/>
        <color rgb="FF638EC6"/>
      </dataBar>
    </cfRule>
  </conditionalFormatting>
  <conditionalFormatting sqref="I304:I308">
    <cfRule type="dataBar" priority="542">
      <dataBar>
        <cfvo type="min"/>
        <cfvo type="max"/>
        <color rgb="FF638EC6"/>
      </dataBar>
    </cfRule>
    <cfRule type="dataBar" priority="828">
      <dataBar>
        <cfvo type="min"/>
        <cfvo type="max"/>
        <color rgb="FF638EC6"/>
      </dataBar>
    </cfRule>
  </conditionalFormatting>
  <conditionalFormatting sqref="H304:H308">
    <cfRule type="dataBar" priority="544">
      <dataBar>
        <cfvo type="min"/>
        <cfvo type="max"/>
        <color rgb="FF638EC6"/>
      </dataBar>
    </cfRule>
    <cfRule type="dataBar" priority="546">
      <dataBar>
        <cfvo type="min"/>
        <cfvo type="max"/>
        <color rgb="FF638EC6"/>
      </dataBar>
    </cfRule>
  </conditionalFormatting>
  <conditionalFormatting sqref="J304:J308">
    <cfRule type="dataBar" priority="541">
      <dataBar>
        <cfvo type="min"/>
        <cfvo type="max"/>
        <color rgb="FF638EC6"/>
      </dataBar>
    </cfRule>
    <cfRule type="dataBar" priority="545">
      <dataBar>
        <cfvo type="min"/>
        <cfvo type="max"/>
        <color rgb="FF638EC6"/>
      </dataBar>
    </cfRule>
  </conditionalFormatting>
  <conditionalFormatting sqref="E309 E329">
    <cfRule type="dataBar" priority="522">
      <dataBar>
        <cfvo type="min"/>
        <cfvo type="max"/>
        <color rgb="FF638EC6"/>
      </dataBar>
    </cfRule>
    <cfRule type="dataBar" priority="531">
      <dataBar>
        <cfvo type="min"/>
        <cfvo type="max"/>
        <color rgb="FF638EC6"/>
      </dataBar>
    </cfRule>
  </conditionalFormatting>
  <conditionalFormatting sqref="M309 E309 E329 M325:M328">
    <cfRule type="dataBar" priority="538">
      <dataBar>
        <cfvo type="percent" val="0"/>
        <cfvo type="percentile" val="100"/>
        <color rgb="FF638EC6"/>
      </dataBar>
    </cfRule>
    <cfRule type="dataBar" priority="539">
      <dataBar>
        <cfvo type="percent" val="0"/>
        <cfvo type="percent" val="100"/>
        <color rgb="FF638EC6"/>
      </dataBar>
    </cfRule>
  </conditionalFormatting>
  <conditionalFormatting sqref="Q326:R328 R309 R325">
    <cfRule type="dataBar" priority="537">
      <dataBar>
        <cfvo type="min"/>
        <cfvo type="max"/>
        <color rgb="FF638EC6"/>
      </dataBar>
    </cfRule>
  </conditionalFormatting>
  <conditionalFormatting sqref="O325:O328 O309">
    <cfRule type="dataBar" priority="536">
      <dataBar>
        <cfvo type="min"/>
        <cfvo type="max"/>
        <color rgb="FF638EC6"/>
      </dataBar>
    </cfRule>
  </conditionalFormatting>
  <conditionalFormatting sqref="G325:G328 G309">
    <cfRule type="dataBar" priority="525">
      <dataBar>
        <cfvo type="min"/>
        <cfvo type="max"/>
        <color rgb="FF638EC6"/>
      </dataBar>
    </cfRule>
    <cfRule type="dataBar" priority="535">
      <dataBar>
        <cfvo type="min"/>
        <cfvo type="max"/>
        <color rgb="FF638EC6"/>
      </dataBar>
    </cfRule>
  </conditionalFormatting>
  <conditionalFormatting sqref="P325:P328">
    <cfRule type="dataBar" priority="534">
      <dataBar>
        <cfvo type="min"/>
        <cfvo type="max"/>
        <color rgb="FF638EC6"/>
      </dataBar>
    </cfRule>
  </conditionalFormatting>
  <conditionalFormatting sqref="K325:K328 K309">
    <cfRule type="dataBar" priority="533">
      <dataBar>
        <cfvo type="min"/>
        <cfvo type="max"/>
        <color rgb="FF638EC6"/>
      </dataBar>
    </cfRule>
  </conditionalFormatting>
  <conditionalFormatting sqref="M325:M328 M309">
    <cfRule type="dataBar" priority="532">
      <dataBar>
        <cfvo type="min"/>
        <cfvo type="max"/>
        <color rgb="FF638EC6"/>
      </dataBar>
    </cfRule>
  </conditionalFormatting>
  <conditionalFormatting sqref="I325:I328 I309">
    <cfRule type="dataBar" priority="524">
      <dataBar>
        <cfvo type="min"/>
        <cfvo type="max"/>
        <color rgb="FF638EC6"/>
      </dataBar>
    </cfRule>
    <cfRule type="dataBar" priority="529">
      <dataBar>
        <cfvo type="min"/>
        <cfvo type="max"/>
        <color rgb="FF638EC6"/>
      </dataBar>
    </cfRule>
  </conditionalFormatting>
  <conditionalFormatting sqref="H325:H328 H309">
    <cfRule type="dataBar" priority="526">
      <dataBar>
        <cfvo type="min"/>
        <cfvo type="max"/>
        <color rgb="FF638EC6"/>
      </dataBar>
    </cfRule>
    <cfRule type="dataBar" priority="528">
      <dataBar>
        <cfvo type="min"/>
        <cfvo type="max"/>
        <color rgb="FF638EC6"/>
      </dataBar>
    </cfRule>
  </conditionalFormatting>
  <conditionalFormatting sqref="J325:J328 J309">
    <cfRule type="dataBar" priority="523">
      <dataBar>
        <cfvo type="min"/>
        <cfvo type="max"/>
        <color rgb="FF638EC6"/>
      </dataBar>
    </cfRule>
    <cfRule type="dataBar" priority="527">
      <dataBar>
        <cfvo type="min"/>
        <cfvo type="max"/>
        <color rgb="FF638EC6"/>
      </dataBar>
    </cfRule>
  </conditionalFormatting>
  <conditionalFormatting sqref="E256">
    <cfRule type="dataBar" priority="504">
      <dataBar>
        <cfvo type="min"/>
        <cfvo type="max"/>
        <color rgb="FF638EC6"/>
      </dataBar>
    </cfRule>
    <cfRule type="dataBar" priority="513">
      <dataBar>
        <cfvo type="min"/>
        <cfvo type="max"/>
        <color rgb="FF638EC6"/>
      </dataBar>
    </cfRule>
  </conditionalFormatting>
  <conditionalFormatting sqref="E256 M256">
    <cfRule type="dataBar" priority="520">
      <dataBar>
        <cfvo type="percent" val="0"/>
        <cfvo type="percentile" val="100"/>
        <color rgb="FF638EC6"/>
      </dataBar>
    </cfRule>
    <cfRule type="dataBar" priority="521">
      <dataBar>
        <cfvo type="percent" val="0"/>
        <cfvo type="percent" val="100"/>
        <color rgb="FF638EC6"/>
      </dataBar>
    </cfRule>
  </conditionalFormatting>
  <conditionalFormatting sqref="Q256:R256">
    <cfRule type="dataBar" priority="519">
      <dataBar>
        <cfvo type="min"/>
        <cfvo type="max"/>
        <color rgb="FF638EC6"/>
      </dataBar>
    </cfRule>
  </conditionalFormatting>
  <conditionalFormatting sqref="O256">
    <cfRule type="dataBar" priority="518">
      <dataBar>
        <cfvo type="min"/>
        <cfvo type="max"/>
        <color rgb="FF638EC6"/>
      </dataBar>
    </cfRule>
  </conditionalFormatting>
  <conditionalFormatting sqref="G256">
    <cfRule type="dataBar" priority="507">
      <dataBar>
        <cfvo type="min"/>
        <cfvo type="max"/>
        <color rgb="FF638EC6"/>
      </dataBar>
    </cfRule>
    <cfRule type="dataBar" priority="517">
      <dataBar>
        <cfvo type="min"/>
        <cfvo type="max"/>
        <color rgb="FF638EC6"/>
      </dataBar>
    </cfRule>
  </conditionalFormatting>
  <conditionalFormatting sqref="P256">
    <cfRule type="dataBar" priority="516">
      <dataBar>
        <cfvo type="min"/>
        <cfvo type="max"/>
        <color rgb="FF638EC6"/>
      </dataBar>
    </cfRule>
  </conditionalFormatting>
  <conditionalFormatting sqref="K256">
    <cfRule type="dataBar" priority="515">
      <dataBar>
        <cfvo type="min"/>
        <cfvo type="max"/>
        <color rgb="FF638EC6"/>
      </dataBar>
    </cfRule>
  </conditionalFormatting>
  <conditionalFormatting sqref="M256">
    <cfRule type="dataBar" priority="514">
      <dataBar>
        <cfvo type="min"/>
        <cfvo type="max"/>
        <color rgb="FF638EC6"/>
      </dataBar>
    </cfRule>
  </conditionalFormatting>
  <conditionalFormatting sqref="I256">
    <cfRule type="dataBar" priority="506">
      <dataBar>
        <cfvo type="min"/>
        <cfvo type="max"/>
        <color rgb="FF638EC6"/>
      </dataBar>
    </cfRule>
    <cfRule type="dataBar" priority="511">
      <dataBar>
        <cfvo type="min"/>
        <cfvo type="max"/>
        <color rgb="FF638EC6"/>
      </dataBar>
    </cfRule>
  </conditionalFormatting>
  <conditionalFormatting sqref="H256">
    <cfRule type="dataBar" priority="508">
      <dataBar>
        <cfvo type="min"/>
        <cfvo type="max"/>
        <color rgb="FF638EC6"/>
      </dataBar>
    </cfRule>
    <cfRule type="dataBar" priority="510">
      <dataBar>
        <cfvo type="min"/>
        <cfvo type="max"/>
        <color rgb="FF638EC6"/>
      </dataBar>
    </cfRule>
  </conditionalFormatting>
  <conditionalFormatting sqref="J256">
    <cfRule type="dataBar" priority="505">
      <dataBar>
        <cfvo type="min"/>
        <cfvo type="max"/>
        <color rgb="FF638EC6"/>
      </dataBar>
    </cfRule>
    <cfRule type="dataBar" priority="509">
      <dataBar>
        <cfvo type="min"/>
        <cfvo type="max"/>
        <color rgb="FF638EC6"/>
      </dataBar>
    </cfRule>
  </conditionalFormatting>
  <conditionalFormatting sqref="Q325">
    <cfRule type="dataBar" priority="503">
      <dataBar>
        <cfvo type="min"/>
        <cfvo type="max"/>
        <color rgb="FF638EC6"/>
      </dataBar>
    </cfRule>
  </conditionalFormatting>
  <conditionalFormatting sqref="Q350:Q352 Q344">
    <cfRule type="dataBar" priority="497">
      <dataBar>
        <cfvo type="min"/>
        <cfvo type="max"/>
        <color rgb="FF638EC6"/>
      </dataBar>
    </cfRule>
  </conditionalFormatting>
  <conditionalFormatting sqref="M344 M339 M350:M352">
    <cfRule type="dataBar" priority="502">
      <dataBar>
        <cfvo type="min"/>
        <cfvo type="max"/>
        <color rgb="FF638EC6"/>
      </dataBar>
    </cfRule>
  </conditionalFormatting>
  <conditionalFormatting sqref="E339 E344 E350:E352">
    <cfRule type="dataBar" priority="501">
      <dataBar>
        <cfvo type="min"/>
        <cfvo type="max"/>
        <color rgb="FF638EC6"/>
      </dataBar>
    </cfRule>
  </conditionalFormatting>
  <conditionalFormatting sqref="G339:J339 G344:J344 G350:J352">
    <cfRule type="dataBar" priority="500">
      <dataBar>
        <cfvo type="min"/>
        <cfvo type="max"/>
        <color rgb="FF638EC6"/>
      </dataBar>
    </cfRule>
  </conditionalFormatting>
  <conditionalFormatting sqref="O339 O344 O350:O352">
    <cfRule type="dataBar" priority="499">
      <dataBar>
        <cfvo type="min"/>
        <cfvo type="max"/>
        <color rgb="FF638EC6"/>
      </dataBar>
    </cfRule>
  </conditionalFormatting>
  <conditionalFormatting sqref="E251">
    <cfRule type="dataBar" priority="477">
      <dataBar>
        <cfvo type="min"/>
        <cfvo type="max"/>
        <color rgb="FF638EC6"/>
      </dataBar>
    </cfRule>
    <cfRule type="dataBar" priority="486">
      <dataBar>
        <cfvo type="min"/>
        <cfvo type="max"/>
        <color rgb="FF638EC6"/>
      </dataBar>
    </cfRule>
  </conditionalFormatting>
  <conditionalFormatting sqref="E251 M251">
    <cfRule type="dataBar" priority="493">
      <dataBar>
        <cfvo type="percent" val="0"/>
        <cfvo type="percentile" val="100"/>
        <color rgb="FF638EC6"/>
      </dataBar>
    </cfRule>
    <cfRule type="dataBar" priority="494">
      <dataBar>
        <cfvo type="percent" val="0"/>
        <cfvo type="percent" val="100"/>
        <color rgb="FF638EC6"/>
      </dataBar>
    </cfRule>
  </conditionalFormatting>
  <conditionalFormatting sqref="Q251:R251">
    <cfRule type="dataBar" priority="492">
      <dataBar>
        <cfvo type="min"/>
        <cfvo type="max"/>
        <color rgb="FF638EC6"/>
      </dataBar>
    </cfRule>
  </conditionalFormatting>
  <conditionalFormatting sqref="O251">
    <cfRule type="dataBar" priority="491">
      <dataBar>
        <cfvo type="min"/>
        <cfvo type="max"/>
        <color rgb="FF638EC6"/>
      </dataBar>
    </cfRule>
  </conditionalFormatting>
  <conditionalFormatting sqref="G251">
    <cfRule type="dataBar" priority="480">
      <dataBar>
        <cfvo type="min"/>
        <cfvo type="max"/>
        <color rgb="FF638EC6"/>
      </dataBar>
    </cfRule>
    <cfRule type="dataBar" priority="490">
      <dataBar>
        <cfvo type="min"/>
        <cfvo type="max"/>
        <color rgb="FF638EC6"/>
      </dataBar>
    </cfRule>
  </conditionalFormatting>
  <conditionalFormatting sqref="P251">
    <cfRule type="dataBar" priority="489">
      <dataBar>
        <cfvo type="min"/>
        <cfvo type="max"/>
        <color rgb="FF638EC6"/>
      </dataBar>
    </cfRule>
  </conditionalFormatting>
  <conditionalFormatting sqref="K251">
    <cfRule type="dataBar" priority="488">
      <dataBar>
        <cfvo type="min"/>
        <cfvo type="max"/>
        <color rgb="FF638EC6"/>
      </dataBar>
    </cfRule>
  </conditionalFormatting>
  <conditionalFormatting sqref="M251">
    <cfRule type="dataBar" priority="487">
      <dataBar>
        <cfvo type="min"/>
        <cfvo type="max"/>
        <color rgb="FF638EC6"/>
      </dataBar>
    </cfRule>
  </conditionalFormatting>
  <conditionalFormatting sqref="I251">
    <cfRule type="dataBar" priority="479">
      <dataBar>
        <cfvo type="min"/>
        <cfvo type="max"/>
        <color rgb="FF638EC6"/>
      </dataBar>
    </cfRule>
    <cfRule type="dataBar" priority="484">
      <dataBar>
        <cfvo type="min"/>
        <cfvo type="max"/>
        <color rgb="FF638EC6"/>
      </dataBar>
    </cfRule>
  </conditionalFormatting>
  <conditionalFormatting sqref="H251">
    <cfRule type="dataBar" priority="481">
      <dataBar>
        <cfvo type="min"/>
        <cfvo type="max"/>
        <color rgb="FF638EC6"/>
      </dataBar>
    </cfRule>
    <cfRule type="dataBar" priority="483">
      <dataBar>
        <cfvo type="min"/>
        <cfvo type="max"/>
        <color rgb="FF638EC6"/>
      </dataBar>
    </cfRule>
  </conditionalFormatting>
  <conditionalFormatting sqref="J251">
    <cfRule type="dataBar" priority="478">
      <dataBar>
        <cfvo type="min"/>
        <cfvo type="max"/>
        <color rgb="FF638EC6"/>
      </dataBar>
    </cfRule>
    <cfRule type="dataBar" priority="482">
      <dataBar>
        <cfvo type="min"/>
        <cfvo type="max"/>
        <color rgb="FF638EC6"/>
      </dataBar>
    </cfRule>
  </conditionalFormatting>
  <conditionalFormatting sqref="E247:E250">
    <cfRule type="dataBar" priority="458">
      <dataBar>
        <cfvo type="min"/>
        <cfvo type="max"/>
        <color rgb="FF638EC6"/>
      </dataBar>
    </cfRule>
    <cfRule type="dataBar" priority="468">
      <dataBar>
        <cfvo type="min"/>
        <cfvo type="max"/>
        <color rgb="FF638EC6"/>
      </dataBar>
    </cfRule>
  </conditionalFormatting>
  <conditionalFormatting sqref="M247:M250 E247:E250">
    <cfRule type="dataBar" priority="474">
      <dataBar>
        <cfvo type="percent" val="0"/>
        <cfvo type="percentile" val="100"/>
        <color rgb="FF638EC6"/>
      </dataBar>
    </cfRule>
    <cfRule type="dataBar" priority="475">
      <dataBar>
        <cfvo type="percent" val="0"/>
        <cfvo type="percent" val="100"/>
        <color rgb="FF638EC6"/>
      </dataBar>
    </cfRule>
  </conditionalFormatting>
  <conditionalFormatting sqref="O247:O250">
    <cfRule type="dataBar" priority="473">
      <dataBar>
        <cfvo type="min"/>
        <cfvo type="max"/>
        <color rgb="FF638EC6"/>
      </dataBar>
    </cfRule>
  </conditionalFormatting>
  <conditionalFormatting sqref="G247:G250">
    <cfRule type="dataBar" priority="461">
      <dataBar>
        <cfvo type="min"/>
        <cfvo type="max"/>
        <color rgb="FF638EC6"/>
      </dataBar>
    </cfRule>
    <cfRule type="dataBar" priority="472">
      <dataBar>
        <cfvo type="min"/>
        <cfvo type="max"/>
        <color rgb="FF638EC6"/>
      </dataBar>
    </cfRule>
  </conditionalFormatting>
  <conditionalFormatting sqref="P247:P250">
    <cfRule type="dataBar" priority="471">
      <dataBar>
        <cfvo type="min"/>
        <cfvo type="max"/>
        <color rgb="FF638EC6"/>
      </dataBar>
    </cfRule>
  </conditionalFormatting>
  <conditionalFormatting sqref="K247:K250">
    <cfRule type="dataBar" priority="470">
      <dataBar>
        <cfvo type="min"/>
        <cfvo type="max"/>
        <color rgb="FF638EC6"/>
      </dataBar>
    </cfRule>
  </conditionalFormatting>
  <conditionalFormatting sqref="M247:M250">
    <cfRule type="dataBar" priority="469">
      <dataBar>
        <cfvo type="min"/>
        <cfvo type="max"/>
        <color rgb="FF638EC6"/>
      </dataBar>
    </cfRule>
  </conditionalFormatting>
  <conditionalFormatting sqref="Q247:R250">
    <cfRule type="dataBar" priority="467">
      <dataBar>
        <cfvo type="min"/>
        <cfvo type="max"/>
        <color rgb="FF638EC6"/>
      </dataBar>
    </cfRule>
  </conditionalFormatting>
  <conditionalFormatting sqref="I247:I250">
    <cfRule type="dataBar" priority="460">
      <dataBar>
        <cfvo type="min"/>
        <cfvo type="max"/>
        <color rgb="FF638EC6"/>
      </dataBar>
    </cfRule>
    <cfRule type="dataBar" priority="465">
      <dataBar>
        <cfvo type="min"/>
        <cfvo type="max"/>
        <color rgb="FF638EC6"/>
      </dataBar>
    </cfRule>
  </conditionalFormatting>
  <conditionalFormatting sqref="H247:H250">
    <cfRule type="dataBar" priority="462">
      <dataBar>
        <cfvo type="min"/>
        <cfvo type="max"/>
        <color rgb="FF638EC6"/>
      </dataBar>
    </cfRule>
    <cfRule type="dataBar" priority="464">
      <dataBar>
        <cfvo type="min"/>
        <cfvo type="max"/>
        <color rgb="FF638EC6"/>
      </dataBar>
    </cfRule>
  </conditionalFormatting>
  <conditionalFormatting sqref="J247:J250">
    <cfRule type="dataBar" priority="459">
      <dataBar>
        <cfvo type="min"/>
        <cfvo type="max"/>
        <color rgb="FF638EC6"/>
      </dataBar>
    </cfRule>
    <cfRule type="dataBar" priority="463">
      <dataBar>
        <cfvo type="min"/>
        <cfvo type="max"/>
        <color rgb="FF638EC6"/>
      </dataBar>
    </cfRule>
  </conditionalFormatting>
  <conditionalFormatting sqref="E252:E255">
    <cfRule type="dataBar" priority="440">
      <dataBar>
        <cfvo type="min"/>
        <cfvo type="max"/>
        <color rgb="FF638EC6"/>
      </dataBar>
    </cfRule>
    <cfRule type="dataBar" priority="450">
      <dataBar>
        <cfvo type="min"/>
        <cfvo type="max"/>
        <color rgb="FF638EC6"/>
      </dataBar>
    </cfRule>
  </conditionalFormatting>
  <conditionalFormatting sqref="M252:M255 E252:E255">
    <cfRule type="dataBar" priority="456">
      <dataBar>
        <cfvo type="percent" val="0"/>
        <cfvo type="percentile" val="100"/>
        <color rgb="FF638EC6"/>
      </dataBar>
    </cfRule>
    <cfRule type="dataBar" priority="457">
      <dataBar>
        <cfvo type="percent" val="0"/>
        <cfvo type="percent" val="100"/>
        <color rgb="FF638EC6"/>
      </dataBar>
    </cfRule>
  </conditionalFormatting>
  <conditionalFormatting sqref="O252:O255">
    <cfRule type="dataBar" priority="455">
      <dataBar>
        <cfvo type="min"/>
        <cfvo type="max"/>
        <color rgb="FF638EC6"/>
      </dataBar>
    </cfRule>
  </conditionalFormatting>
  <conditionalFormatting sqref="G252:G255">
    <cfRule type="dataBar" priority="443">
      <dataBar>
        <cfvo type="min"/>
        <cfvo type="max"/>
        <color rgb="FF638EC6"/>
      </dataBar>
    </cfRule>
    <cfRule type="dataBar" priority="454">
      <dataBar>
        <cfvo type="min"/>
        <cfvo type="max"/>
        <color rgb="FF638EC6"/>
      </dataBar>
    </cfRule>
  </conditionalFormatting>
  <conditionalFormatting sqref="P252:P255">
    <cfRule type="dataBar" priority="453">
      <dataBar>
        <cfvo type="min"/>
        <cfvo type="max"/>
        <color rgb="FF638EC6"/>
      </dataBar>
    </cfRule>
  </conditionalFormatting>
  <conditionalFormatting sqref="K252:K255">
    <cfRule type="dataBar" priority="452">
      <dataBar>
        <cfvo type="min"/>
        <cfvo type="max"/>
        <color rgb="FF638EC6"/>
      </dataBar>
    </cfRule>
  </conditionalFormatting>
  <conditionalFormatting sqref="M252:M255">
    <cfRule type="dataBar" priority="451">
      <dataBar>
        <cfvo type="min"/>
        <cfvo type="max"/>
        <color rgb="FF638EC6"/>
      </dataBar>
    </cfRule>
  </conditionalFormatting>
  <conditionalFormatting sqref="Q252:R255">
    <cfRule type="dataBar" priority="449">
      <dataBar>
        <cfvo type="min"/>
        <cfvo type="max"/>
        <color rgb="FF638EC6"/>
      </dataBar>
    </cfRule>
  </conditionalFormatting>
  <conditionalFormatting sqref="I252:I255">
    <cfRule type="dataBar" priority="442">
      <dataBar>
        <cfvo type="min"/>
        <cfvo type="max"/>
        <color rgb="FF638EC6"/>
      </dataBar>
    </cfRule>
    <cfRule type="dataBar" priority="447">
      <dataBar>
        <cfvo type="min"/>
        <cfvo type="max"/>
        <color rgb="FF638EC6"/>
      </dataBar>
    </cfRule>
  </conditionalFormatting>
  <conditionalFormatting sqref="H252:H255">
    <cfRule type="dataBar" priority="444">
      <dataBar>
        <cfvo type="min"/>
        <cfvo type="max"/>
        <color rgb="FF638EC6"/>
      </dataBar>
    </cfRule>
    <cfRule type="dataBar" priority="446">
      <dataBar>
        <cfvo type="min"/>
        <cfvo type="max"/>
        <color rgb="FF638EC6"/>
      </dataBar>
    </cfRule>
  </conditionalFormatting>
  <conditionalFormatting sqref="J252:J255">
    <cfRule type="dataBar" priority="441">
      <dataBar>
        <cfvo type="min"/>
        <cfvo type="max"/>
        <color rgb="FF638EC6"/>
      </dataBar>
    </cfRule>
    <cfRule type="dataBar" priority="445">
      <dataBar>
        <cfvo type="min"/>
        <cfvo type="max"/>
        <color rgb="FF638EC6"/>
      </dataBar>
    </cfRule>
  </conditionalFormatting>
  <conditionalFormatting sqref="S356:S1048576 S302:S303 S329 S1:S111">
    <cfRule type="dataBar" priority="829">
      <dataBar>
        <cfvo type="min"/>
        <cfvo type="max"/>
        <color rgb="FF638EC6"/>
      </dataBar>
    </cfRule>
  </conditionalFormatting>
  <conditionalFormatting sqref="S353:S355 S300:S301 S236 S295:S298 S112:S221">
    <cfRule type="dataBar" priority="833">
      <dataBar>
        <cfvo type="min"/>
        <cfvo type="max"/>
        <color rgb="FF638EC6"/>
      </dataBar>
    </cfRule>
  </conditionalFormatting>
  <conditionalFormatting sqref="S222:S225">
    <cfRule type="dataBar" priority="838">
      <dataBar>
        <cfvo type="min"/>
        <cfvo type="max"/>
        <color rgb="FF638EC6"/>
      </dataBar>
    </cfRule>
  </conditionalFormatting>
  <conditionalFormatting sqref="S226">
    <cfRule type="dataBar" priority="839">
      <dataBar>
        <cfvo type="min"/>
        <cfvo type="max"/>
        <color rgb="FF638EC6"/>
      </dataBar>
    </cfRule>
  </conditionalFormatting>
  <conditionalFormatting sqref="S227:S230">
    <cfRule type="dataBar" priority="840">
      <dataBar>
        <cfvo type="min"/>
        <cfvo type="max"/>
        <color rgb="FF638EC6"/>
      </dataBar>
    </cfRule>
  </conditionalFormatting>
  <conditionalFormatting sqref="S231">
    <cfRule type="dataBar" priority="841">
      <dataBar>
        <cfvo type="min"/>
        <cfvo type="max"/>
        <color rgb="FF638EC6"/>
      </dataBar>
    </cfRule>
  </conditionalFormatting>
  <conditionalFormatting sqref="S232:S235">
    <cfRule type="dataBar" priority="842">
      <dataBar>
        <cfvo type="min"/>
        <cfvo type="max"/>
        <color rgb="FF638EC6"/>
      </dataBar>
    </cfRule>
  </conditionalFormatting>
  <conditionalFormatting sqref="S241">
    <cfRule type="dataBar" priority="843">
      <dataBar>
        <cfvo type="min"/>
        <cfvo type="max"/>
        <color rgb="FF638EC6"/>
      </dataBar>
    </cfRule>
  </conditionalFormatting>
  <conditionalFormatting sqref="S237:S240">
    <cfRule type="dataBar" priority="844">
      <dataBar>
        <cfvo type="min"/>
        <cfvo type="max"/>
        <color rgb="FF638EC6"/>
      </dataBar>
    </cfRule>
  </conditionalFormatting>
  <conditionalFormatting sqref="S246">
    <cfRule type="dataBar" priority="845">
      <dataBar>
        <cfvo type="min"/>
        <cfvo type="max"/>
        <color rgb="FF638EC6"/>
      </dataBar>
    </cfRule>
  </conditionalFormatting>
  <conditionalFormatting sqref="S242:S245">
    <cfRule type="dataBar" priority="846">
      <dataBar>
        <cfvo type="min"/>
        <cfvo type="max"/>
        <color rgb="FF638EC6"/>
      </dataBar>
    </cfRule>
  </conditionalFormatting>
  <conditionalFormatting sqref="S304:S308">
    <cfRule type="dataBar" priority="847">
      <dataBar>
        <cfvo type="min"/>
        <cfvo type="max"/>
        <color rgb="FF638EC6"/>
      </dataBar>
    </cfRule>
  </conditionalFormatting>
  <conditionalFormatting sqref="S325:S328 S309">
    <cfRule type="dataBar" priority="848">
      <dataBar>
        <cfvo type="min"/>
        <cfvo type="max"/>
        <color rgb="FF638EC6"/>
      </dataBar>
    </cfRule>
  </conditionalFormatting>
  <conditionalFormatting sqref="S256">
    <cfRule type="dataBar" priority="849">
      <dataBar>
        <cfvo type="min"/>
        <cfvo type="max"/>
        <color rgb="FF638EC6"/>
      </dataBar>
    </cfRule>
  </conditionalFormatting>
  <conditionalFormatting sqref="S350:S352 S344">
    <cfRule type="dataBar" priority="850">
      <dataBar>
        <cfvo type="min"/>
        <cfvo type="max"/>
        <color rgb="FF638EC6"/>
      </dataBar>
    </cfRule>
  </conditionalFormatting>
  <conditionalFormatting sqref="S251">
    <cfRule type="dataBar" priority="853">
      <dataBar>
        <cfvo type="min"/>
        <cfvo type="max"/>
        <color rgb="FF638EC6"/>
      </dataBar>
    </cfRule>
  </conditionalFormatting>
  <conditionalFormatting sqref="S247:S250">
    <cfRule type="dataBar" priority="854">
      <dataBar>
        <cfvo type="min"/>
        <cfvo type="max"/>
        <color rgb="FF638EC6"/>
      </dataBar>
    </cfRule>
  </conditionalFormatting>
  <conditionalFormatting sqref="S252:S255">
    <cfRule type="dataBar" priority="855">
      <dataBar>
        <cfvo type="min"/>
        <cfvo type="max"/>
        <color rgb="FF638EC6"/>
      </dataBar>
    </cfRule>
  </conditionalFormatting>
  <conditionalFormatting sqref="Q340:Q343">
    <cfRule type="dataBar" priority="432">
      <dataBar>
        <cfvo type="min"/>
        <cfvo type="max"/>
        <color rgb="FF638EC6"/>
      </dataBar>
    </cfRule>
  </conditionalFormatting>
  <conditionalFormatting sqref="M340:M343">
    <cfRule type="dataBar" priority="436">
      <dataBar>
        <cfvo type="min"/>
        <cfvo type="max"/>
        <color rgb="FF638EC6"/>
      </dataBar>
    </cfRule>
  </conditionalFormatting>
  <conditionalFormatting sqref="E340:E343">
    <cfRule type="dataBar" priority="435">
      <dataBar>
        <cfvo type="min"/>
        <cfvo type="max"/>
        <color rgb="FF638EC6"/>
      </dataBar>
    </cfRule>
  </conditionalFormatting>
  <conditionalFormatting sqref="G340:J343">
    <cfRule type="dataBar" priority="434">
      <dataBar>
        <cfvo type="min"/>
        <cfvo type="max"/>
        <color rgb="FF638EC6"/>
      </dataBar>
    </cfRule>
  </conditionalFormatting>
  <conditionalFormatting sqref="O340:O343">
    <cfRule type="dataBar" priority="433">
      <dataBar>
        <cfvo type="min"/>
        <cfvo type="max"/>
        <color rgb="FF638EC6"/>
      </dataBar>
    </cfRule>
  </conditionalFormatting>
  <conditionalFormatting sqref="S340:S343">
    <cfRule type="dataBar" priority="437">
      <dataBar>
        <cfvo type="min"/>
        <cfvo type="max"/>
        <color rgb="FF638EC6"/>
      </dataBar>
    </cfRule>
  </conditionalFormatting>
  <conditionalFormatting sqref="S340">
    <cfRule type="dataBar" priority="438">
      <dataBar>
        <cfvo type="min"/>
        <cfvo type="max"/>
        <color rgb="FF638EC6"/>
      </dataBar>
    </cfRule>
    <cfRule type="dataBar" priority="439">
      <dataBar>
        <cfvo type="min"/>
        <cfvo type="max"/>
        <color rgb="FF638EC6"/>
      </dataBar>
    </cfRule>
  </conditionalFormatting>
  <conditionalFormatting sqref="Q349">
    <cfRule type="dataBar" priority="426">
      <dataBar>
        <cfvo type="min"/>
        <cfvo type="max"/>
        <color rgb="FF638EC6"/>
      </dataBar>
    </cfRule>
  </conditionalFormatting>
  <conditionalFormatting sqref="M349">
    <cfRule type="dataBar" priority="430">
      <dataBar>
        <cfvo type="min"/>
        <cfvo type="max"/>
        <color rgb="FF638EC6"/>
      </dataBar>
    </cfRule>
  </conditionalFormatting>
  <conditionalFormatting sqref="E349">
    <cfRule type="dataBar" priority="429">
      <dataBar>
        <cfvo type="min"/>
        <cfvo type="max"/>
        <color rgb="FF638EC6"/>
      </dataBar>
    </cfRule>
  </conditionalFormatting>
  <conditionalFormatting sqref="G349:J349">
    <cfRule type="dataBar" priority="428">
      <dataBar>
        <cfvo type="min"/>
        <cfvo type="max"/>
        <color rgb="FF638EC6"/>
      </dataBar>
    </cfRule>
  </conditionalFormatting>
  <conditionalFormatting sqref="O349">
    <cfRule type="dataBar" priority="427">
      <dataBar>
        <cfvo type="min"/>
        <cfvo type="max"/>
        <color rgb="FF638EC6"/>
      </dataBar>
    </cfRule>
  </conditionalFormatting>
  <conditionalFormatting sqref="S349">
    <cfRule type="dataBar" priority="431">
      <dataBar>
        <cfvo type="min"/>
        <cfvo type="max"/>
        <color rgb="FF638EC6"/>
      </dataBar>
    </cfRule>
  </conditionalFormatting>
  <conditionalFormatting sqref="Q345:Q348">
    <cfRule type="dataBar" priority="418">
      <dataBar>
        <cfvo type="min"/>
        <cfvo type="max"/>
        <color rgb="FF638EC6"/>
      </dataBar>
    </cfRule>
  </conditionalFormatting>
  <conditionalFormatting sqref="M345:M348">
    <cfRule type="dataBar" priority="422">
      <dataBar>
        <cfvo type="min"/>
        <cfvo type="max"/>
        <color rgb="FF638EC6"/>
      </dataBar>
    </cfRule>
  </conditionalFormatting>
  <conditionalFormatting sqref="E345:E348">
    <cfRule type="dataBar" priority="421">
      <dataBar>
        <cfvo type="min"/>
        <cfvo type="max"/>
        <color rgb="FF638EC6"/>
      </dataBar>
    </cfRule>
  </conditionalFormatting>
  <conditionalFormatting sqref="G345:J348">
    <cfRule type="dataBar" priority="420">
      <dataBar>
        <cfvo type="min"/>
        <cfvo type="max"/>
        <color rgb="FF638EC6"/>
      </dataBar>
    </cfRule>
  </conditionalFormatting>
  <conditionalFormatting sqref="O345:O348">
    <cfRule type="dataBar" priority="419">
      <dataBar>
        <cfvo type="min"/>
        <cfvo type="max"/>
        <color rgb="FF638EC6"/>
      </dataBar>
    </cfRule>
  </conditionalFormatting>
  <conditionalFormatting sqref="S345:S348">
    <cfRule type="dataBar" priority="423">
      <dataBar>
        <cfvo type="min"/>
        <cfvo type="max"/>
        <color rgb="FF638EC6"/>
      </dataBar>
    </cfRule>
  </conditionalFormatting>
  <conditionalFormatting sqref="S345">
    <cfRule type="dataBar" priority="424">
      <dataBar>
        <cfvo type="min"/>
        <cfvo type="max"/>
        <color rgb="FF638EC6"/>
      </dataBar>
    </cfRule>
    <cfRule type="dataBar" priority="425">
      <dataBar>
        <cfvo type="min"/>
        <cfvo type="max"/>
        <color rgb="FF638EC6"/>
      </dataBar>
    </cfRule>
  </conditionalFormatting>
  <conditionalFormatting sqref="M261">
    <cfRule type="dataBar" priority="414">
      <dataBar>
        <cfvo type="min"/>
        <cfvo type="max"/>
        <color rgb="FF638EC6"/>
      </dataBar>
    </cfRule>
  </conditionalFormatting>
  <conditionalFormatting sqref="E261">
    <cfRule type="dataBar" priority="413">
      <dataBar>
        <cfvo type="min"/>
        <cfvo type="max"/>
        <color rgb="FF638EC6"/>
      </dataBar>
    </cfRule>
  </conditionalFormatting>
  <conditionalFormatting sqref="G261:J261">
    <cfRule type="dataBar" priority="412">
      <dataBar>
        <cfvo type="min"/>
        <cfvo type="max"/>
        <color rgb="FF638EC6"/>
      </dataBar>
    </cfRule>
  </conditionalFormatting>
  <conditionalFormatting sqref="O261">
    <cfRule type="dataBar" priority="411">
      <dataBar>
        <cfvo type="min"/>
        <cfvo type="max"/>
        <color rgb="FF638EC6"/>
      </dataBar>
    </cfRule>
  </conditionalFormatting>
  <conditionalFormatting sqref="E257:E260">
    <cfRule type="dataBar" priority="392">
      <dataBar>
        <cfvo type="min"/>
        <cfvo type="max"/>
        <color rgb="FF638EC6"/>
      </dataBar>
    </cfRule>
    <cfRule type="dataBar" priority="401">
      <dataBar>
        <cfvo type="min"/>
        <cfvo type="max"/>
        <color rgb="FF638EC6"/>
      </dataBar>
    </cfRule>
  </conditionalFormatting>
  <conditionalFormatting sqref="M257:M260 E257:E260">
    <cfRule type="dataBar" priority="407">
      <dataBar>
        <cfvo type="percent" val="0"/>
        <cfvo type="percentile" val="100"/>
        <color rgb="FF638EC6"/>
      </dataBar>
    </cfRule>
    <cfRule type="dataBar" priority="408">
      <dataBar>
        <cfvo type="percent" val="0"/>
        <cfvo type="percent" val="100"/>
        <color rgb="FF638EC6"/>
      </dataBar>
    </cfRule>
  </conditionalFormatting>
  <conditionalFormatting sqref="O257:O260">
    <cfRule type="dataBar" priority="406">
      <dataBar>
        <cfvo type="min"/>
        <cfvo type="max"/>
        <color rgb="FF638EC6"/>
      </dataBar>
    </cfRule>
  </conditionalFormatting>
  <conditionalFormatting sqref="G257:G260">
    <cfRule type="dataBar" priority="395">
      <dataBar>
        <cfvo type="min"/>
        <cfvo type="max"/>
        <color rgb="FF638EC6"/>
      </dataBar>
    </cfRule>
    <cfRule type="dataBar" priority="405">
      <dataBar>
        <cfvo type="min"/>
        <cfvo type="max"/>
        <color rgb="FF638EC6"/>
      </dataBar>
    </cfRule>
  </conditionalFormatting>
  <conditionalFormatting sqref="P257:P260">
    <cfRule type="dataBar" priority="404">
      <dataBar>
        <cfvo type="min"/>
        <cfvo type="max"/>
        <color rgb="FF638EC6"/>
      </dataBar>
    </cfRule>
  </conditionalFormatting>
  <conditionalFormatting sqref="K257:K260">
    <cfRule type="dataBar" priority="403">
      <dataBar>
        <cfvo type="min"/>
        <cfvo type="max"/>
        <color rgb="FF638EC6"/>
      </dataBar>
    </cfRule>
  </conditionalFormatting>
  <conditionalFormatting sqref="M257:M260">
    <cfRule type="dataBar" priority="402">
      <dataBar>
        <cfvo type="min"/>
        <cfvo type="max"/>
        <color rgb="FF638EC6"/>
      </dataBar>
    </cfRule>
  </conditionalFormatting>
  <conditionalFormatting sqref="Q257:R260">
    <cfRule type="dataBar" priority="400">
      <dataBar>
        <cfvo type="min"/>
        <cfvo type="max"/>
        <color rgb="FF638EC6"/>
      </dataBar>
    </cfRule>
  </conditionalFormatting>
  <conditionalFormatting sqref="I257:I260">
    <cfRule type="dataBar" priority="394">
      <dataBar>
        <cfvo type="min"/>
        <cfvo type="max"/>
        <color rgb="FF638EC6"/>
      </dataBar>
    </cfRule>
    <cfRule type="dataBar" priority="399">
      <dataBar>
        <cfvo type="min"/>
        <cfvo type="max"/>
        <color rgb="FF638EC6"/>
      </dataBar>
    </cfRule>
  </conditionalFormatting>
  <conditionalFormatting sqref="H257:H260">
    <cfRule type="dataBar" priority="396">
      <dataBar>
        <cfvo type="min"/>
        <cfvo type="max"/>
        <color rgb="FF638EC6"/>
      </dataBar>
    </cfRule>
    <cfRule type="dataBar" priority="398">
      <dataBar>
        <cfvo type="min"/>
        <cfvo type="max"/>
        <color rgb="FF638EC6"/>
      </dataBar>
    </cfRule>
  </conditionalFormatting>
  <conditionalFormatting sqref="J257:J260">
    <cfRule type="dataBar" priority="393">
      <dataBar>
        <cfvo type="min"/>
        <cfvo type="max"/>
        <color rgb="FF638EC6"/>
      </dataBar>
    </cfRule>
    <cfRule type="dataBar" priority="397">
      <dataBar>
        <cfvo type="min"/>
        <cfvo type="max"/>
        <color rgb="FF638EC6"/>
      </dataBar>
    </cfRule>
  </conditionalFormatting>
  <conditionalFormatting sqref="S257:S260">
    <cfRule type="dataBar" priority="409">
      <dataBar>
        <cfvo type="min"/>
        <cfvo type="max"/>
        <color rgb="FF638EC6"/>
      </dataBar>
    </cfRule>
  </conditionalFormatting>
  <conditionalFormatting sqref="Q312:Q313">
    <cfRule type="dataBar" priority="379">
      <dataBar>
        <cfvo type="min"/>
        <cfvo type="max"/>
        <color rgb="FF638EC6"/>
      </dataBar>
    </cfRule>
  </conditionalFormatting>
  <conditionalFormatting sqref="Q310:Q311">
    <cfRule type="dataBar" priority="378">
      <dataBar>
        <cfvo type="min"/>
        <cfvo type="max"/>
        <color rgb="FF638EC6"/>
      </dataBar>
    </cfRule>
  </conditionalFormatting>
  <conditionalFormatting sqref="E310:E313 E325:E328">
    <cfRule type="dataBar" priority="377">
      <dataBar>
        <cfvo type="min"/>
        <cfvo type="max"/>
        <color rgb="FF638EC6"/>
      </dataBar>
    </cfRule>
  </conditionalFormatting>
  <conditionalFormatting sqref="M310:M313">
    <cfRule type="dataBar" priority="370">
      <dataBar>
        <cfvo type="min"/>
        <cfvo type="max"/>
        <color rgb="FF638EC6"/>
      </dataBar>
    </cfRule>
    <cfRule type="dataBar" priority="376">
      <dataBar>
        <cfvo type="percent" val="0"/>
        <cfvo type="percentile" val="100"/>
        <color rgb="FF638EC6"/>
      </dataBar>
    </cfRule>
    <cfRule type="dataBar" priority="380">
      <dataBar>
        <cfvo type="percent" val="0"/>
        <cfvo type="percent" val="100"/>
        <color rgb="FF638EC6"/>
      </dataBar>
    </cfRule>
  </conditionalFormatting>
  <conditionalFormatting sqref="R310:R313">
    <cfRule type="dataBar" priority="375">
      <dataBar>
        <cfvo type="min"/>
        <cfvo type="max"/>
        <color rgb="FF638EC6"/>
      </dataBar>
    </cfRule>
  </conditionalFormatting>
  <conditionalFormatting sqref="O310:O313">
    <cfRule type="dataBar" priority="374">
      <dataBar>
        <cfvo type="min"/>
        <cfvo type="max"/>
        <color rgb="FF638EC6"/>
      </dataBar>
    </cfRule>
  </conditionalFormatting>
  <conditionalFormatting sqref="G310:G313">
    <cfRule type="dataBar" priority="366">
      <dataBar>
        <cfvo type="min"/>
        <cfvo type="max"/>
        <color rgb="FF638EC6"/>
      </dataBar>
    </cfRule>
    <cfRule type="dataBar" priority="373">
      <dataBar>
        <cfvo type="min"/>
        <cfvo type="max"/>
        <color rgb="FF638EC6"/>
      </dataBar>
    </cfRule>
  </conditionalFormatting>
  <conditionalFormatting sqref="P310:P313">
    <cfRule type="dataBar" priority="372">
      <dataBar>
        <cfvo type="min"/>
        <cfvo type="max"/>
        <color rgb="FF638EC6"/>
      </dataBar>
    </cfRule>
  </conditionalFormatting>
  <conditionalFormatting sqref="K310:K313">
    <cfRule type="dataBar" priority="371">
      <dataBar>
        <cfvo type="min"/>
        <cfvo type="max"/>
        <color rgb="FF638EC6"/>
      </dataBar>
    </cfRule>
  </conditionalFormatting>
  <conditionalFormatting sqref="I310:I313">
    <cfRule type="dataBar" priority="365">
      <dataBar>
        <cfvo type="min"/>
        <cfvo type="max"/>
        <color rgb="FF638EC6"/>
      </dataBar>
    </cfRule>
    <cfRule type="dataBar" priority="381">
      <dataBar>
        <cfvo type="min"/>
        <cfvo type="max"/>
        <color rgb="FF638EC6"/>
      </dataBar>
    </cfRule>
  </conditionalFormatting>
  <conditionalFormatting sqref="H310:H313">
    <cfRule type="dataBar" priority="367">
      <dataBar>
        <cfvo type="min"/>
        <cfvo type="max"/>
        <color rgb="FF638EC6"/>
      </dataBar>
    </cfRule>
    <cfRule type="dataBar" priority="369">
      <dataBar>
        <cfvo type="min"/>
        <cfvo type="max"/>
        <color rgb="FF638EC6"/>
      </dataBar>
    </cfRule>
  </conditionalFormatting>
  <conditionalFormatting sqref="J310:J313">
    <cfRule type="dataBar" priority="364">
      <dataBar>
        <cfvo type="min"/>
        <cfvo type="max"/>
        <color rgb="FF638EC6"/>
      </dataBar>
    </cfRule>
    <cfRule type="dataBar" priority="368">
      <dataBar>
        <cfvo type="min"/>
        <cfvo type="max"/>
        <color rgb="FF638EC6"/>
      </dataBar>
    </cfRule>
  </conditionalFormatting>
  <conditionalFormatting sqref="E314">
    <cfRule type="dataBar" priority="348">
      <dataBar>
        <cfvo type="min"/>
        <cfvo type="max"/>
        <color rgb="FF638EC6"/>
      </dataBar>
    </cfRule>
    <cfRule type="dataBar" priority="356">
      <dataBar>
        <cfvo type="min"/>
        <cfvo type="max"/>
        <color rgb="FF638EC6"/>
      </dataBar>
    </cfRule>
  </conditionalFormatting>
  <conditionalFormatting sqref="M314 E314">
    <cfRule type="dataBar" priority="362">
      <dataBar>
        <cfvo type="percent" val="0"/>
        <cfvo type="percentile" val="100"/>
        <color rgb="FF638EC6"/>
      </dataBar>
    </cfRule>
    <cfRule type="dataBar" priority="363">
      <dataBar>
        <cfvo type="percent" val="0"/>
        <cfvo type="percent" val="100"/>
        <color rgb="FF638EC6"/>
      </dataBar>
    </cfRule>
  </conditionalFormatting>
  <conditionalFormatting sqref="R314">
    <cfRule type="dataBar" priority="361">
      <dataBar>
        <cfvo type="min"/>
        <cfvo type="max"/>
        <color rgb="FF638EC6"/>
      </dataBar>
    </cfRule>
  </conditionalFormatting>
  <conditionalFormatting sqref="O314">
    <cfRule type="dataBar" priority="360">
      <dataBar>
        <cfvo type="min"/>
        <cfvo type="max"/>
        <color rgb="FF638EC6"/>
      </dataBar>
    </cfRule>
  </conditionalFormatting>
  <conditionalFormatting sqref="G314">
    <cfRule type="dataBar" priority="351">
      <dataBar>
        <cfvo type="min"/>
        <cfvo type="max"/>
        <color rgb="FF638EC6"/>
      </dataBar>
    </cfRule>
    <cfRule type="dataBar" priority="359">
      <dataBar>
        <cfvo type="min"/>
        <cfvo type="max"/>
        <color rgb="FF638EC6"/>
      </dataBar>
    </cfRule>
  </conditionalFormatting>
  <conditionalFormatting sqref="K314">
    <cfRule type="dataBar" priority="358">
      <dataBar>
        <cfvo type="min"/>
        <cfvo type="max"/>
        <color rgb="FF638EC6"/>
      </dataBar>
    </cfRule>
  </conditionalFormatting>
  <conditionalFormatting sqref="M314">
    <cfRule type="dataBar" priority="357">
      <dataBar>
        <cfvo type="min"/>
        <cfvo type="max"/>
        <color rgb="FF638EC6"/>
      </dataBar>
    </cfRule>
  </conditionalFormatting>
  <conditionalFormatting sqref="I314">
    <cfRule type="dataBar" priority="350">
      <dataBar>
        <cfvo type="min"/>
        <cfvo type="max"/>
        <color rgb="FF638EC6"/>
      </dataBar>
    </cfRule>
    <cfRule type="dataBar" priority="355">
      <dataBar>
        <cfvo type="min"/>
        <cfvo type="max"/>
        <color rgb="FF638EC6"/>
      </dataBar>
    </cfRule>
  </conditionalFormatting>
  <conditionalFormatting sqref="H314">
    <cfRule type="dataBar" priority="352">
      <dataBar>
        <cfvo type="min"/>
        <cfvo type="max"/>
        <color rgb="FF638EC6"/>
      </dataBar>
    </cfRule>
    <cfRule type="dataBar" priority="354">
      <dataBar>
        <cfvo type="min"/>
        <cfvo type="max"/>
        <color rgb="FF638EC6"/>
      </dataBar>
    </cfRule>
  </conditionalFormatting>
  <conditionalFormatting sqref="J314">
    <cfRule type="dataBar" priority="349">
      <dataBar>
        <cfvo type="min"/>
        <cfvo type="max"/>
        <color rgb="FF638EC6"/>
      </dataBar>
    </cfRule>
    <cfRule type="dataBar" priority="353">
      <dataBar>
        <cfvo type="min"/>
        <cfvo type="max"/>
        <color rgb="FF638EC6"/>
      </dataBar>
    </cfRule>
  </conditionalFormatting>
  <conditionalFormatting sqref="S310:S313">
    <cfRule type="dataBar" priority="382">
      <dataBar>
        <cfvo type="min"/>
        <cfvo type="max"/>
        <color rgb="FF638EC6"/>
      </dataBar>
    </cfRule>
  </conditionalFormatting>
  <conditionalFormatting sqref="S314">
    <cfRule type="dataBar" priority="383">
      <dataBar>
        <cfvo type="min"/>
        <cfvo type="max"/>
        <color rgb="FF638EC6"/>
      </dataBar>
    </cfRule>
  </conditionalFormatting>
  <conditionalFormatting sqref="W339:W1048576 W295:W314 W1:W271 W325:W329">
    <cfRule type="top10" dxfId="77" priority="346" percent="1" rank="30"/>
    <cfRule type="dataBar" priority="347">
      <dataBar>
        <cfvo type="min"/>
        <cfvo type="max"/>
        <color rgb="FF638EC6"/>
      </dataBar>
    </cfRule>
  </conditionalFormatting>
  <conditionalFormatting sqref="V339:V1048576 V295:V314 V1:V19 V26:V39 V41:V44 V46:V49 V76:V94 V66:V74 V106:V109 V21:V24 V111:V239 V51:V64 V96:V104 V251:V259 V241:V249 V261:V269 V325:V329">
    <cfRule type="top10" dxfId="76" priority="344" percent="1" rank="30"/>
    <cfRule type="dataBar" priority="345">
      <dataBar>
        <cfvo type="min"/>
        <cfvo type="max"/>
        <color rgb="FF638EC6"/>
      </dataBar>
    </cfRule>
  </conditionalFormatting>
  <conditionalFormatting sqref="W325:W1048576 W295:W314 W1:W271">
    <cfRule type="top10" dxfId="75" priority="342" percent="1" rank="20"/>
    <cfRule type="top10" dxfId="74" priority="343" percent="1" rank="10"/>
  </conditionalFormatting>
  <conditionalFormatting sqref="E325:E1048576 E295:E314 E1:E261">
    <cfRule type="dataBar" priority="341">
      <dataBar>
        <cfvo type="min"/>
        <cfvo type="max"/>
        <color rgb="FF638EC6"/>
      </dataBar>
    </cfRule>
  </conditionalFormatting>
  <conditionalFormatting sqref="H325:H1048576 H295:H314 H1:H261">
    <cfRule type="dataBar" priority="340">
      <dataBar>
        <cfvo type="min"/>
        <cfvo type="max"/>
        <color rgb="FF638EC6"/>
      </dataBar>
    </cfRule>
  </conditionalFormatting>
  <conditionalFormatting sqref="I325:I1048576 I295:I314 I1:I261">
    <cfRule type="dataBar" priority="339">
      <dataBar>
        <cfvo type="min"/>
        <cfvo type="max"/>
        <color rgb="FF638EC6"/>
      </dataBar>
    </cfRule>
  </conditionalFormatting>
  <conditionalFormatting sqref="J325:J1048576 J295:J314 J1:J261">
    <cfRule type="dataBar" priority="338">
      <dataBar>
        <cfvo type="min"/>
        <cfvo type="max"/>
        <color rgb="FF638EC6"/>
      </dataBar>
    </cfRule>
  </conditionalFormatting>
  <conditionalFormatting sqref="E262:E271">
    <cfRule type="dataBar" priority="301">
      <dataBar>
        <cfvo type="min"/>
        <cfvo type="max"/>
        <color rgb="FF638EC6"/>
      </dataBar>
    </cfRule>
    <cfRule type="dataBar" priority="308">
      <dataBar>
        <cfvo type="min"/>
        <cfvo type="max"/>
        <color rgb="FF638EC6"/>
      </dataBar>
    </cfRule>
    <cfRule type="dataBar" priority="317">
      <dataBar>
        <cfvo type="min"/>
        <cfvo type="max"/>
        <color rgb="FF638EC6"/>
      </dataBar>
    </cfRule>
  </conditionalFormatting>
  <conditionalFormatting sqref="M262:M271 E262:E271">
    <cfRule type="dataBar" priority="323">
      <dataBar>
        <cfvo type="percent" val="0"/>
        <cfvo type="percentile" val="100"/>
        <color rgb="FF638EC6"/>
      </dataBar>
    </cfRule>
    <cfRule type="dataBar" priority="324">
      <dataBar>
        <cfvo type="percent" val="0"/>
        <cfvo type="percent" val="100"/>
        <color rgb="FF638EC6"/>
      </dataBar>
    </cfRule>
  </conditionalFormatting>
  <conditionalFormatting sqref="O262:O271">
    <cfRule type="dataBar" priority="322">
      <dataBar>
        <cfvo type="min"/>
        <cfvo type="max"/>
        <color rgb="FF638EC6"/>
      </dataBar>
    </cfRule>
  </conditionalFormatting>
  <conditionalFormatting sqref="G262:G271">
    <cfRule type="dataBar" priority="311">
      <dataBar>
        <cfvo type="min"/>
        <cfvo type="max"/>
        <color rgb="FF638EC6"/>
      </dataBar>
    </cfRule>
    <cfRule type="dataBar" priority="321">
      <dataBar>
        <cfvo type="min"/>
        <cfvo type="max"/>
        <color rgb="FF638EC6"/>
      </dataBar>
    </cfRule>
  </conditionalFormatting>
  <conditionalFormatting sqref="P262:P271">
    <cfRule type="dataBar" priority="320">
      <dataBar>
        <cfvo type="min"/>
        <cfvo type="max"/>
        <color rgb="FF638EC6"/>
      </dataBar>
    </cfRule>
  </conditionalFormatting>
  <conditionalFormatting sqref="K262:K271">
    <cfRule type="dataBar" priority="319">
      <dataBar>
        <cfvo type="min"/>
        <cfvo type="max"/>
        <color rgb="FF638EC6"/>
      </dataBar>
    </cfRule>
  </conditionalFormatting>
  <conditionalFormatting sqref="M262:M271">
    <cfRule type="dataBar" priority="318">
      <dataBar>
        <cfvo type="min"/>
        <cfvo type="max"/>
        <color rgb="FF638EC6"/>
      </dataBar>
    </cfRule>
  </conditionalFormatting>
  <conditionalFormatting sqref="Q262:R271">
    <cfRule type="dataBar" priority="316">
      <dataBar>
        <cfvo type="min"/>
        <cfvo type="max"/>
        <color rgb="FF638EC6"/>
      </dataBar>
    </cfRule>
  </conditionalFormatting>
  <conditionalFormatting sqref="I262:I271">
    <cfRule type="dataBar" priority="299">
      <dataBar>
        <cfvo type="min"/>
        <cfvo type="max"/>
        <color rgb="FF638EC6"/>
      </dataBar>
    </cfRule>
    <cfRule type="dataBar" priority="310">
      <dataBar>
        <cfvo type="min"/>
        <cfvo type="max"/>
        <color rgb="FF638EC6"/>
      </dataBar>
    </cfRule>
    <cfRule type="dataBar" priority="315">
      <dataBar>
        <cfvo type="min"/>
        <cfvo type="max"/>
        <color rgb="FF638EC6"/>
      </dataBar>
    </cfRule>
  </conditionalFormatting>
  <conditionalFormatting sqref="H262:H271">
    <cfRule type="dataBar" priority="300">
      <dataBar>
        <cfvo type="min"/>
        <cfvo type="max"/>
        <color rgb="FF638EC6"/>
      </dataBar>
    </cfRule>
    <cfRule type="dataBar" priority="312">
      <dataBar>
        <cfvo type="min"/>
        <cfvo type="max"/>
        <color rgb="FF638EC6"/>
      </dataBar>
    </cfRule>
    <cfRule type="dataBar" priority="314">
      <dataBar>
        <cfvo type="min"/>
        <cfvo type="max"/>
        <color rgb="FF638EC6"/>
      </dataBar>
    </cfRule>
  </conditionalFormatting>
  <conditionalFormatting sqref="J262:J271">
    <cfRule type="dataBar" priority="298">
      <dataBar>
        <cfvo type="min"/>
        <cfvo type="max"/>
        <color rgb="FF638EC6"/>
      </dataBar>
    </cfRule>
    <cfRule type="dataBar" priority="309">
      <dataBar>
        <cfvo type="min"/>
        <cfvo type="max"/>
        <color rgb="FF638EC6"/>
      </dataBar>
    </cfRule>
    <cfRule type="dataBar" priority="313">
      <dataBar>
        <cfvo type="min"/>
        <cfvo type="max"/>
        <color rgb="FF638EC6"/>
      </dataBar>
    </cfRule>
  </conditionalFormatting>
  <conditionalFormatting sqref="S262:S271">
    <cfRule type="dataBar" priority="325">
      <dataBar>
        <cfvo type="min"/>
        <cfvo type="max"/>
        <color rgb="FF638EC6"/>
      </dataBar>
    </cfRule>
  </conditionalFormatting>
  <conditionalFormatting sqref="M294">
    <cfRule type="dataBar" priority="288">
      <dataBar>
        <cfvo type="min"/>
        <cfvo type="max"/>
        <color rgb="FF638EC6"/>
      </dataBar>
    </cfRule>
    <cfRule type="dataBar" priority="294">
      <dataBar>
        <cfvo type="percent" val="0"/>
        <cfvo type="percentile" val="100"/>
        <color rgb="FF638EC6"/>
      </dataBar>
    </cfRule>
    <cfRule type="dataBar" priority="295">
      <dataBar>
        <cfvo type="percent" val="0"/>
        <cfvo type="percent" val="100"/>
        <color rgb="FF638EC6"/>
      </dataBar>
    </cfRule>
  </conditionalFormatting>
  <conditionalFormatting sqref="Q294:R294">
    <cfRule type="dataBar" priority="293">
      <dataBar>
        <cfvo type="min"/>
        <cfvo type="max"/>
        <color rgb="FF638EC6"/>
      </dataBar>
    </cfRule>
  </conditionalFormatting>
  <conditionalFormatting sqref="O294">
    <cfRule type="dataBar" priority="292">
      <dataBar>
        <cfvo type="min"/>
        <cfvo type="max"/>
        <color rgb="FF638EC6"/>
      </dataBar>
    </cfRule>
  </conditionalFormatting>
  <conditionalFormatting sqref="G294">
    <cfRule type="dataBar" priority="283">
      <dataBar>
        <cfvo type="min"/>
        <cfvo type="max"/>
        <color rgb="FF638EC6"/>
      </dataBar>
    </cfRule>
    <cfRule type="dataBar" priority="291">
      <dataBar>
        <cfvo type="min"/>
        <cfvo type="max"/>
        <color rgb="FF638EC6"/>
      </dataBar>
    </cfRule>
  </conditionalFormatting>
  <conditionalFormatting sqref="P294">
    <cfRule type="dataBar" priority="290">
      <dataBar>
        <cfvo type="min"/>
        <cfvo type="max"/>
        <color rgb="FF638EC6"/>
      </dataBar>
    </cfRule>
  </conditionalFormatting>
  <conditionalFormatting sqref="K294">
    <cfRule type="dataBar" priority="289">
      <dataBar>
        <cfvo type="min"/>
        <cfvo type="max"/>
        <color rgb="FF638EC6"/>
      </dataBar>
    </cfRule>
  </conditionalFormatting>
  <conditionalFormatting sqref="I294">
    <cfRule type="dataBar" priority="282">
      <dataBar>
        <cfvo type="min"/>
        <cfvo type="max"/>
        <color rgb="FF638EC6"/>
      </dataBar>
    </cfRule>
    <cfRule type="dataBar" priority="287">
      <dataBar>
        <cfvo type="min"/>
        <cfvo type="max"/>
        <color rgb="FF638EC6"/>
      </dataBar>
    </cfRule>
  </conditionalFormatting>
  <conditionalFormatting sqref="H294">
    <cfRule type="dataBar" priority="284">
      <dataBar>
        <cfvo type="min"/>
        <cfvo type="max"/>
        <color rgb="FF638EC6"/>
      </dataBar>
    </cfRule>
    <cfRule type="dataBar" priority="286">
      <dataBar>
        <cfvo type="min"/>
        <cfvo type="max"/>
        <color rgb="FF638EC6"/>
      </dataBar>
    </cfRule>
  </conditionalFormatting>
  <conditionalFormatting sqref="J294">
    <cfRule type="dataBar" priority="281">
      <dataBar>
        <cfvo type="min"/>
        <cfvo type="max"/>
        <color rgb="FF638EC6"/>
      </dataBar>
    </cfRule>
    <cfRule type="dataBar" priority="285">
      <dataBar>
        <cfvo type="min"/>
        <cfvo type="max"/>
        <color rgb="FF638EC6"/>
      </dataBar>
    </cfRule>
  </conditionalFormatting>
  <conditionalFormatting sqref="E294">
    <cfRule type="dataBar" priority="264">
      <dataBar>
        <cfvo type="min"/>
        <cfvo type="max"/>
        <color rgb="FF638EC6"/>
      </dataBar>
    </cfRule>
    <cfRule type="dataBar" priority="272">
      <dataBar>
        <cfvo type="min"/>
        <cfvo type="max"/>
        <color rgb="FF638EC6"/>
      </dataBar>
    </cfRule>
  </conditionalFormatting>
  <conditionalFormatting sqref="Q293:R293 R289 Q290:R291">
    <cfRule type="dataBar" priority="278">
      <dataBar>
        <cfvo type="min"/>
        <cfvo type="max"/>
        <color rgb="FF638EC6"/>
      </dataBar>
    </cfRule>
  </conditionalFormatting>
  <conditionalFormatting sqref="H290 H293">
    <cfRule type="dataBar" priority="268">
      <dataBar>
        <cfvo type="min"/>
        <cfvo type="max"/>
        <color rgb="FF638EC6"/>
      </dataBar>
    </cfRule>
    <cfRule type="dataBar" priority="270">
      <dataBar>
        <cfvo type="min"/>
        <cfvo type="max"/>
        <color rgb="FF638EC6"/>
      </dataBar>
    </cfRule>
  </conditionalFormatting>
  <conditionalFormatting sqref="J293">
    <cfRule type="dataBar" priority="265">
      <dataBar>
        <cfvo type="min"/>
        <cfvo type="max"/>
        <color rgb="FF638EC6"/>
      </dataBar>
    </cfRule>
    <cfRule type="dataBar" priority="269">
      <dataBar>
        <cfvo type="min"/>
        <cfvo type="max"/>
        <color rgb="FF638EC6"/>
      </dataBar>
    </cfRule>
  </conditionalFormatting>
  <conditionalFormatting sqref="Q289">
    <cfRule type="dataBar" priority="263">
      <dataBar>
        <cfvo type="min"/>
        <cfvo type="max"/>
        <color rgb="FF638EC6"/>
      </dataBar>
    </cfRule>
  </conditionalFormatting>
  <conditionalFormatting sqref="S294">
    <cfRule type="dataBar" priority="296">
      <dataBar>
        <cfvo type="min"/>
        <cfvo type="max"/>
        <color rgb="FF638EC6"/>
      </dataBar>
    </cfRule>
  </conditionalFormatting>
  <conditionalFormatting sqref="H293:H294 H290">
    <cfRule type="dataBar" priority="254">
      <dataBar>
        <cfvo type="min"/>
        <cfvo type="max"/>
        <color rgb="FF638EC6"/>
      </dataBar>
    </cfRule>
  </conditionalFormatting>
  <conditionalFormatting sqref="J293:J294">
    <cfRule type="dataBar" priority="252">
      <dataBar>
        <cfvo type="min"/>
        <cfvo type="max"/>
        <color rgb="FF638EC6"/>
      </dataBar>
    </cfRule>
  </conditionalFormatting>
  <conditionalFormatting sqref="H289">
    <cfRule type="dataBar" priority="243">
      <dataBar>
        <cfvo type="min"/>
        <cfvo type="max"/>
        <color rgb="FF638EC6"/>
      </dataBar>
    </cfRule>
    <cfRule type="dataBar" priority="244">
      <dataBar>
        <cfvo type="min"/>
        <cfvo type="max"/>
        <color rgb="FF638EC6"/>
      </dataBar>
    </cfRule>
    <cfRule type="dataBar" priority="245">
      <dataBar>
        <cfvo type="min"/>
        <cfvo type="max"/>
        <color rgb="FF638EC6"/>
      </dataBar>
    </cfRule>
  </conditionalFormatting>
  <conditionalFormatting sqref="H291">
    <cfRule type="dataBar" priority="240">
      <dataBar>
        <cfvo type="min"/>
        <cfvo type="max"/>
        <color rgb="FF638EC6"/>
      </dataBar>
    </cfRule>
    <cfRule type="dataBar" priority="241">
      <dataBar>
        <cfvo type="min"/>
        <cfvo type="max"/>
        <color rgb="FF638EC6"/>
      </dataBar>
    </cfRule>
    <cfRule type="dataBar" priority="242">
      <dataBar>
        <cfvo type="min"/>
        <cfvo type="max"/>
        <color rgb="FF638EC6"/>
      </dataBar>
    </cfRule>
  </conditionalFormatting>
  <conditionalFormatting sqref="J290">
    <cfRule type="dataBar" priority="237">
      <dataBar>
        <cfvo type="min"/>
        <cfvo type="max"/>
        <color rgb="FF638EC6"/>
      </dataBar>
    </cfRule>
    <cfRule type="dataBar" priority="238">
      <dataBar>
        <cfvo type="min"/>
        <cfvo type="max"/>
        <color rgb="FF638EC6"/>
      </dataBar>
    </cfRule>
    <cfRule type="dataBar" priority="239">
      <dataBar>
        <cfvo type="min"/>
        <cfvo type="max"/>
        <color rgb="FF638EC6"/>
      </dataBar>
    </cfRule>
  </conditionalFormatting>
  <conditionalFormatting sqref="J289">
    <cfRule type="dataBar" priority="234">
      <dataBar>
        <cfvo type="min"/>
        <cfvo type="max"/>
        <color rgb="FF638EC6"/>
      </dataBar>
    </cfRule>
    <cfRule type="dataBar" priority="235">
      <dataBar>
        <cfvo type="min"/>
        <cfvo type="max"/>
        <color rgb="FF638EC6"/>
      </dataBar>
    </cfRule>
    <cfRule type="dataBar" priority="236">
      <dataBar>
        <cfvo type="min"/>
        <cfvo type="max"/>
        <color rgb="FF638EC6"/>
      </dataBar>
    </cfRule>
  </conditionalFormatting>
  <conditionalFormatting sqref="J291">
    <cfRule type="dataBar" priority="231">
      <dataBar>
        <cfvo type="min"/>
        <cfvo type="max"/>
        <color rgb="FF638EC6"/>
      </dataBar>
    </cfRule>
    <cfRule type="dataBar" priority="232">
      <dataBar>
        <cfvo type="min"/>
        <cfvo type="max"/>
        <color rgb="FF638EC6"/>
      </dataBar>
    </cfRule>
    <cfRule type="dataBar" priority="233">
      <dataBar>
        <cfvo type="min"/>
        <cfvo type="max"/>
        <color rgb="FF638EC6"/>
      </dataBar>
    </cfRule>
  </conditionalFormatting>
  <conditionalFormatting sqref="M319">
    <cfRule type="dataBar" priority="221">
      <dataBar>
        <cfvo type="min"/>
        <cfvo type="max"/>
        <color rgb="FF638EC6"/>
      </dataBar>
    </cfRule>
    <cfRule type="dataBar" priority="227">
      <dataBar>
        <cfvo type="percent" val="0"/>
        <cfvo type="percentile" val="100"/>
        <color rgb="FF638EC6"/>
      </dataBar>
    </cfRule>
    <cfRule type="dataBar" priority="228">
      <dataBar>
        <cfvo type="percent" val="0"/>
        <cfvo type="percent" val="100"/>
        <color rgb="FF638EC6"/>
      </dataBar>
    </cfRule>
  </conditionalFormatting>
  <conditionalFormatting sqref="Q319:R319">
    <cfRule type="dataBar" priority="226">
      <dataBar>
        <cfvo type="min"/>
        <cfvo type="max"/>
        <color rgb="FF638EC6"/>
      </dataBar>
    </cfRule>
  </conditionalFormatting>
  <conditionalFormatting sqref="O319">
    <cfRule type="dataBar" priority="225">
      <dataBar>
        <cfvo type="min"/>
        <cfvo type="max"/>
        <color rgb="FF638EC6"/>
      </dataBar>
    </cfRule>
  </conditionalFormatting>
  <conditionalFormatting sqref="G319">
    <cfRule type="dataBar" priority="216">
      <dataBar>
        <cfvo type="min"/>
        <cfvo type="max"/>
        <color rgb="FF638EC6"/>
      </dataBar>
    </cfRule>
    <cfRule type="dataBar" priority="224">
      <dataBar>
        <cfvo type="min"/>
        <cfvo type="max"/>
        <color rgb="FF638EC6"/>
      </dataBar>
    </cfRule>
  </conditionalFormatting>
  <conditionalFormatting sqref="P319">
    <cfRule type="dataBar" priority="223">
      <dataBar>
        <cfvo type="min"/>
        <cfvo type="max"/>
        <color rgb="FF638EC6"/>
      </dataBar>
    </cfRule>
  </conditionalFormatting>
  <conditionalFormatting sqref="K319">
    <cfRule type="dataBar" priority="222">
      <dataBar>
        <cfvo type="min"/>
        <cfvo type="max"/>
        <color rgb="FF638EC6"/>
      </dataBar>
    </cfRule>
  </conditionalFormatting>
  <conditionalFormatting sqref="I319">
    <cfRule type="dataBar" priority="215">
      <dataBar>
        <cfvo type="min"/>
        <cfvo type="max"/>
        <color rgb="FF638EC6"/>
      </dataBar>
    </cfRule>
    <cfRule type="dataBar" priority="220">
      <dataBar>
        <cfvo type="min"/>
        <cfvo type="max"/>
        <color rgb="FF638EC6"/>
      </dataBar>
    </cfRule>
  </conditionalFormatting>
  <conditionalFormatting sqref="H319">
    <cfRule type="dataBar" priority="217">
      <dataBar>
        <cfvo type="min"/>
        <cfvo type="max"/>
        <color rgb="FF638EC6"/>
      </dataBar>
    </cfRule>
    <cfRule type="dataBar" priority="219">
      <dataBar>
        <cfvo type="min"/>
        <cfvo type="max"/>
        <color rgb="FF638EC6"/>
      </dataBar>
    </cfRule>
  </conditionalFormatting>
  <conditionalFormatting sqref="J319">
    <cfRule type="dataBar" priority="214">
      <dataBar>
        <cfvo type="min"/>
        <cfvo type="max"/>
        <color rgb="FF638EC6"/>
      </dataBar>
    </cfRule>
    <cfRule type="dataBar" priority="218">
      <dataBar>
        <cfvo type="min"/>
        <cfvo type="max"/>
        <color rgb="FF638EC6"/>
      </dataBar>
    </cfRule>
  </conditionalFormatting>
  <conditionalFormatting sqref="E319">
    <cfRule type="dataBar" priority="197">
      <dataBar>
        <cfvo type="min"/>
        <cfvo type="max"/>
        <color rgb="FF638EC6"/>
      </dataBar>
    </cfRule>
    <cfRule type="dataBar" priority="205">
      <dataBar>
        <cfvo type="min"/>
        <cfvo type="max"/>
        <color rgb="FF638EC6"/>
      </dataBar>
    </cfRule>
  </conditionalFormatting>
  <conditionalFormatting sqref="M315:M318 E319">
    <cfRule type="dataBar" priority="212">
      <dataBar>
        <cfvo type="percent" val="0"/>
        <cfvo type="percentile" val="100"/>
        <color rgb="FF638EC6"/>
      </dataBar>
    </cfRule>
    <cfRule type="dataBar" priority="213">
      <dataBar>
        <cfvo type="percent" val="0"/>
        <cfvo type="percent" val="100"/>
        <color rgb="FF638EC6"/>
      </dataBar>
    </cfRule>
  </conditionalFormatting>
  <conditionalFormatting sqref="Q316:R318 R315">
    <cfRule type="dataBar" priority="211">
      <dataBar>
        <cfvo type="min"/>
        <cfvo type="max"/>
        <color rgb="FF638EC6"/>
      </dataBar>
    </cfRule>
  </conditionalFormatting>
  <conditionalFormatting sqref="O315:O318">
    <cfRule type="dataBar" priority="210">
      <dataBar>
        <cfvo type="min"/>
        <cfvo type="max"/>
        <color rgb="FF638EC6"/>
      </dataBar>
    </cfRule>
  </conditionalFormatting>
  <conditionalFormatting sqref="G315:G318">
    <cfRule type="dataBar" priority="200">
      <dataBar>
        <cfvo type="min"/>
        <cfvo type="max"/>
        <color rgb="FF638EC6"/>
      </dataBar>
    </cfRule>
    <cfRule type="dataBar" priority="209">
      <dataBar>
        <cfvo type="min"/>
        <cfvo type="max"/>
        <color rgb="FF638EC6"/>
      </dataBar>
    </cfRule>
  </conditionalFormatting>
  <conditionalFormatting sqref="P315:P318">
    <cfRule type="dataBar" priority="208">
      <dataBar>
        <cfvo type="min"/>
        <cfvo type="max"/>
        <color rgb="FF638EC6"/>
      </dataBar>
    </cfRule>
  </conditionalFormatting>
  <conditionalFormatting sqref="K315:K318">
    <cfRule type="dataBar" priority="207">
      <dataBar>
        <cfvo type="min"/>
        <cfvo type="max"/>
        <color rgb="FF638EC6"/>
      </dataBar>
    </cfRule>
  </conditionalFormatting>
  <conditionalFormatting sqref="M315:M318">
    <cfRule type="dataBar" priority="206">
      <dataBar>
        <cfvo type="min"/>
        <cfvo type="max"/>
        <color rgb="FF638EC6"/>
      </dataBar>
    </cfRule>
  </conditionalFormatting>
  <conditionalFormatting sqref="I318">
    <cfRule type="dataBar" priority="199">
      <dataBar>
        <cfvo type="min"/>
        <cfvo type="max"/>
        <color rgb="FF638EC6"/>
      </dataBar>
    </cfRule>
    <cfRule type="dataBar" priority="204">
      <dataBar>
        <cfvo type="min"/>
        <cfvo type="max"/>
        <color rgb="FF638EC6"/>
      </dataBar>
    </cfRule>
  </conditionalFormatting>
  <conditionalFormatting sqref="H318">
    <cfRule type="dataBar" priority="201">
      <dataBar>
        <cfvo type="min"/>
        <cfvo type="max"/>
        <color rgb="FF638EC6"/>
      </dataBar>
    </cfRule>
    <cfRule type="dataBar" priority="203">
      <dataBar>
        <cfvo type="min"/>
        <cfvo type="max"/>
        <color rgb="FF638EC6"/>
      </dataBar>
    </cfRule>
  </conditionalFormatting>
  <conditionalFormatting sqref="J318">
    <cfRule type="dataBar" priority="198">
      <dataBar>
        <cfvo type="min"/>
        <cfvo type="max"/>
        <color rgb="FF638EC6"/>
      </dataBar>
    </cfRule>
    <cfRule type="dataBar" priority="202">
      <dataBar>
        <cfvo type="min"/>
        <cfvo type="max"/>
        <color rgb="FF638EC6"/>
      </dataBar>
    </cfRule>
  </conditionalFormatting>
  <conditionalFormatting sqref="Q315">
    <cfRule type="dataBar" priority="196">
      <dataBar>
        <cfvo type="min"/>
        <cfvo type="max"/>
        <color rgb="FF638EC6"/>
      </dataBar>
    </cfRule>
  </conditionalFormatting>
  <conditionalFormatting sqref="S319">
    <cfRule type="dataBar" priority="229">
      <dataBar>
        <cfvo type="min"/>
        <cfvo type="max"/>
        <color rgb="FF638EC6"/>
      </dataBar>
    </cfRule>
  </conditionalFormatting>
  <conditionalFormatting sqref="S315:S318">
    <cfRule type="dataBar" priority="230">
      <dataBar>
        <cfvo type="min"/>
        <cfvo type="max"/>
        <color rgb="FF638EC6"/>
      </dataBar>
    </cfRule>
  </conditionalFormatting>
  <conditionalFormatting sqref="E315:E318">
    <cfRule type="dataBar" priority="195">
      <dataBar>
        <cfvo type="min"/>
        <cfvo type="max"/>
        <color rgb="FF638EC6"/>
      </dataBar>
    </cfRule>
  </conditionalFormatting>
  <conditionalFormatting sqref="W315:W319">
    <cfRule type="top10" dxfId="73" priority="189" percent="1" rank="20"/>
    <cfRule type="top10" dxfId="72" priority="190" percent="1" rank="10"/>
    <cfRule type="top10" dxfId="71" priority="193" percent="1" rank="30"/>
    <cfRule type="dataBar" priority="194">
      <dataBar>
        <cfvo type="min"/>
        <cfvo type="max"/>
        <color rgb="FF638EC6"/>
      </dataBar>
    </cfRule>
  </conditionalFormatting>
  <conditionalFormatting sqref="V315:V319">
    <cfRule type="top10" dxfId="70" priority="191" percent="1" rank="30"/>
    <cfRule type="dataBar" priority="192">
      <dataBar>
        <cfvo type="min"/>
        <cfvo type="max"/>
        <color rgb="FF638EC6"/>
      </dataBar>
    </cfRule>
  </conditionalFormatting>
  <conditionalFormatting sqref="E315:E319">
    <cfRule type="dataBar" priority="188">
      <dataBar>
        <cfvo type="min"/>
        <cfvo type="max"/>
        <color rgb="FF638EC6"/>
      </dataBar>
    </cfRule>
  </conditionalFormatting>
  <conditionalFormatting sqref="H318:H319">
    <cfRule type="dataBar" priority="187">
      <dataBar>
        <cfvo type="min"/>
        <cfvo type="max"/>
        <color rgb="FF638EC6"/>
      </dataBar>
    </cfRule>
  </conditionalFormatting>
  <conditionalFormatting sqref="I318:I319">
    <cfRule type="dataBar" priority="186">
      <dataBar>
        <cfvo type="min"/>
        <cfvo type="max"/>
        <color rgb="FF638EC6"/>
      </dataBar>
    </cfRule>
  </conditionalFormatting>
  <conditionalFormatting sqref="J318:J319">
    <cfRule type="dataBar" priority="185">
      <dataBar>
        <cfvo type="min"/>
        <cfvo type="max"/>
        <color rgb="FF638EC6"/>
      </dataBar>
    </cfRule>
  </conditionalFormatting>
  <conditionalFormatting sqref="I315:I316">
    <cfRule type="dataBar" priority="177">
      <dataBar>
        <cfvo type="min"/>
        <cfvo type="max"/>
        <color rgb="FF638EC6"/>
      </dataBar>
    </cfRule>
    <cfRule type="dataBar" priority="180">
      <dataBar>
        <cfvo type="min"/>
        <cfvo type="max"/>
        <color rgb="FF638EC6"/>
      </dataBar>
    </cfRule>
    <cfRule type="dataBar" priority="184">
      <dataBar>
        <cfvo type="min"/>
        <cfvo type="max"/>
        <color rgb="FF638EC6"/>
      </dataBar>
    </cfRule>
  </conditionalFormatting>
  <conditionalFormatting sqref="H315:H316">
    <cfRule type="dataBar" priority="178">
      <dataBar>
        <cfvo type="min"/>
        <cfvo type="max"/>
        <color rgb="FF638EC6"/>
      </dataBar>
    </cfRule>
    <cfRule type="dataBar" priority="181">
      <dataBar>
        <cfvo type="min"/>
        <cfvo type="max"/>
        <color rgb="FF638EC6"/>
      </dataBar>
    </cfRule>
    <cfRule type="dataBar" priority="183">
      <dataBar>
        <cfvo type="min"/>
        <cfvo type="max"/>
        <color rgb="FF638EC6"/>
      </dataBar>
    </cfRule>
  </conditionalFormatting>
  <conditionalFormatting sqref="J315:J316">
    <cfRule type="dataBar" priority="176">
      <dataBar>
        <cfvo type="min"/>
        <cfvo type="max"/>
        <color rgb="FF638EC6"/>
      </dataBar>
    </cfRule>
    <cfRule type="dataBar" priority="179">
      <dataBar>
        <cfvo type="min"/>
        <cfvo type="max"/>
        <color rgb="FF638EC6"/>
      </dataBar>
    </cfRule>
    <cfRule type="dataBar" priority="182">
      <dataBar>
        <cfvo type="min"/>
        <cfvo type="max"/>
        <color rgb="FF638EC6"/>
      </dataBar>
    </cfRule>
  </conditionalFormatting>
  <conditionalFormatting sqref="I317">
    <cfRule type="dataBar" priority="168">
      <dataBar>
        <cfvo type="min"/>
        <cfvo type="max"/>
        <color rgb="FF638EC6"/>
      </dataBar>
    </cfRule>
    <cfRule type="dataBar" priority="171">
      <dataBar>
        <cfvo type="min"/>
        <cfvo type="max"/>
        <color rgb="FF638EC6"/>
      </dataBar>
    </cfRule>
    <cfRule type="dataBar" priority="175">
      <dataBar>
        <cfvo type="min"/>
        <cfvo type="max"/>
        <color rgb="FF638EC6"/>
      </dataBar>
    </cfRule>
  </conditionalFormatting>
  <conditionalFormatting sqref="H317">
    <cfRule type="dataBar" priority="169">
      <dataBar>
        <cfvo type="min"/>
        <cfvo type="max"/>
        <color rgb="FF638EC6"/>
      </dataBar>
    </cfRule>
    <cfRule type="dataBar" priority="172">
      <dataBar>
        <cfvo type="min"/>
        <cfvo type="max"/>
        <color rgb="FF638EC6"/>
      </dataBar>
    </cfRule>
    <cfRule type="dataBar" priority="174">
      <dataBar>
        <cfvo type="min"/>
        <cfvo type="max"/>
        <color rgb="FF638EC6"/>
      </dataBar>
    </cfRule>
  </conditionalFormatting>
  <conditionalFormatting sqref="J317">
    <cfRule type="dataBar" priority="167">
      <dataBar>
        <cfvo type="min"/>
        <cfvo type="max"/>
        <color rgb="FF638EC6"/>
      </dataBar>
    </cfRule>
    <cfRule type="dataBar" priority="170">
      <dataBar>
        <cfvo type="min"/>
        <cfvo type="max"/>
        <color rgb="FF638EC6"/>
      </dataBar>
    </cfRule>
    <cfRule type="dataBar" priority="173">
      <dataBar>
        <cfvo type="min"/>
        <cfvo type="max"/>
        <color rgb="FF638EC6"/>
      </dataBar>
    </cfRule>
  </conditionalFormatting>
  <conditionalFormatting sqref="M320:M324">
    <cfRule type="dataBar" priority="158">
      <dataBar>
        <cfvo type="min"/>
        <cfvo type="max"/>
        <color rgb="FF638EC6"/>
      </dataBar>
    </cfRule>
    <cfRule type="dataBar" priority="164">
      <dataBar>
        <cfvo type="percent" val="0"/>
        <cfvo type="percentile" val="100"/>
        <color rgb="FF638EC6"/>
      </dataBar>
    </cfRule>
    <cfRule type="dataBar" priority="165">
      <dataBar>
        <cfvo type="percent" val="0"/>
        <cfvo type="percent" val="100"/>
        <color rgb="FF638EC6"/>
      </dataBar>
    </cfRule>
  </conditionalFormatting>
  <conditionalFormatting sqref="Q321:R324 R320">
    <cfRule type="dataBar" priority="163">
      <dataBar>
        <cfvo type="min"/>
        <cfvo type="max"/>
        <color rgb="FF638EC6"/>
      </dataBar>
    </cfRule>
  </conditionalFormatting>
  <conditionalFormatting sqref="O320:O324">
    <cfRule type="dataBar" priority="162">
      <dataBar>
        <cfvo type="min"/>
        <cfvo type="max"/>
        <color rgb="FF638EC6"/>
      </dataBar>
    </cfRule>
  </conditionalFormatting>
  <conditionalFormatting sqref="G320:G324">
    <cfRule type="dataBar" priority="153">
      <dataBar>
        <cfvo type="min"/>
        <cfvo type="max"/>
        <color rgb="FF638EC6"/>
      </dataBar>
    </cfRule>
    <cfRule type="dataBar" priority="161">
      <dataBar>
        <cfvo type="min"/>
        <cfvo type="max"/>
        <color rgb="FF638EC6"/>
      </dataBar>
    </cfRule>
  </conditionalFormatting>
  <conditionalFormatting sqref="P320:P324">
    <cfRule type="dataBar" priority="160">
      <dataBar>
        <cfvo type="min"/>
        <cfvo type="max"/>
        <color rgb="FF638EC6"/>
      </dataBar>
    </cfRule>
  </conditionalFormatting>
  <conditionalFormatting sqref="K320:K324">
    <cfRule type="dataBar" priority="159">
      <dataBar>
        <cfvo type="min"/>
        <cfvo type="max"/>
        <color rgb="FF638EC6"/>
      </dataBar>
    </cfRule>
  </conditionalFormatting>
  <conditionalFormatting sqref="I324">
    <cfRule type="dataBar" priority="140">
      <dataBar>
        <cfvo type="min"/>
        <cfvo type="max"/>
        <color rgb="FF638EC6"/>
      </dataBar>
    </cfRule>
    <cfRule type="dataBar" priority="152">
      <dataBar>
        <cfvo type="min"/>
        <cfvo type="max"/>
        <color rgb="FF638EC6"/>
      </dataBar>
    </cfRule>
    <cfRule type="dataBar" priority="157">
      <dataBar>
        <cfvo type="min"/>
        <cfvo type="max"/>
        <color rgb="FF638EC6"/>
      </dataBar>
    </cfRule>
  </conditionalFormatting>
  <conditionalFormatting sqref="H324">
    <cfRule type="dataBar" priority="141">
      <dataBar>
        <cfvo type="min"/>
        <cfvo type="max"/>
        <color rgb="FF638EC6"/>
      </dataBar>
    </cfRule>
    <cfRule type="dataBar" priority="154">
      <dataBar>
        <cfvo type="min"/>
        <cfvo type="max"/>
        <color rgb="FF638EC6"/>
      </dataBar>
    </cfRule>
    <cfRule type="dataBar" priority="156">
      <dataBar>
        <cfvo type="min"/>
        <cfvo type="max"/>
        <color rgb="FF638EC6"/>
      </dataBar>
    </cfRule>
  </conditionalFormatting>
  <conditionalFormatting sqref="J324">
    <cfRule type="dataBar" priority="139">
      <dataBar>
        <cfvo type="min"/>
        <cfvo type="max"/>
        <color rgb="FF638EC6"/>
      </dataBar>
    </cfRule>
    <cfRule type="dataBar" priority="151">
      <dataBar>
        <cfvo type="min"/>
        <cfvo type="max"/>
        <color rgb="FF638EC6"/>
      </dataBar>
    </cfRule>
    <cfRule type="dataBar" priority="155">
      <dataBar>
        <cfvo type="min"/>
        <cfvo type="max"/>
        <color rgb="FF638EC6"/>
      </dataBar>
    </cfRule>
  </conditionalFormatting>
  <conditionalFormatting sqref="Q320">
    <cfRule type="dataBar" priority="150">
      <dataBar>
        <cfvo type="min"/>
        <cfvo type="max"/>
        <color rgb="FF638EC6"/>
      </dataBar>
    </cfRule>
  </conditionalFormatting>
  <conditionalFormatting sqref="S320:S324">
    <cfRule type="dataBar" priority="166">
      <dataBar>
        <cfvo type="min"/>
        <cfvo type="max"/>
        <color rgb="FF638EC6"/>
      </dataBar>
    </cfRule>
  </conditionalFormatting>
  <conditionalFormatting sqref="E320:E324">
    <cfRule type="dataBar" priority="142">
      <dataBar>
        <cfvo type="min"/>
        <cfvo type="max"/>
        <color rgb="FF638EC6"/>
      </dataBar>
    </cfRule>
    <cfRule type="dataBar" priority="149">
      <dataBar>
        <cfvo type="min"/>
        <cfvo type="max"/>
        <color rgb="FF638EC6"/>
      </dataBar>
    </cfRule>
  </conditionalFormatting>
  <conditionalFormatting sqref="W320:W324">
    <cfRule type="top10" dxfId="69" priority="143" percent="1" rank="20"/>
    <cfRule type="top10" dxfId="68" priority="144" percent="1" rank="10"/>
    <cfRule type="top10" dxfId="67" priority="147" percent="1" rank="30"/>
    <cfRule type="dataBar" priority="148">
      <dataBar>
        <cfvo type="min"/>
        <cfvo type="max"/>
        <color rgb="FF638EC6"/>
      </dataBar>
    </cfRule>
  </conditionalFormatting>
  <conditionalFormatting sqref="V320:V324">
    <cfRule type="top10" dxfId="66" priority="145" percent="1" rank="30"/>
    <cfRule type="dataBar" priority="146">
      <dataBar>
        <cfvo type="min"/>
        <cfvo type="max"/>
        <color rgb="FF638EC6"/>
      </dataBar>
    </cfRule>
  </conditionalFormatting>
  <conditionalFormatting sqref="I323">
    <cfRule type="dataBar" priority="131">
      <dataBar>
        <cfvo type="min"/>
        <cfvo type="max"/>
        <color rgb="FF638EC6"/>
      </dataBar>
    </cfRule>
    <cfRule type="dataBar" priority="134">
      <dataBar>
        <cfvo type="min"/>
        <cfvo type="max"/>
        <color rgb="FF638EC6"/>
      </dataBar>
    </cfRule>
    <cfRule type="dataBar" priority="138">
      <dataBar>
        <cfvo type="min"/>
        <cfvo type="max"/>
        <color rgb="FF638EC6"/>
      </dataBar>
    </cfRule>
  </conditionalFormatting>
  <conditionalFormatting sqref="H323">
    <cfRule type="dataBar" priority="132">
      <dataBar>
        <cfvo type="min"/>
        <cfvo type="max"/>
        <color rgb="FF638EC6"/>
      </dataBar>
    </cfRule>
    <cfRule type="dataBar" priority="135">
      <dataBar>
        <cfvo type="min"/>
        <cfvo type="max"/>
        <color rgb="FF638EC6"/>
      </dataBar>
    </cfRule>
    <cfRule type="dataBar" priority="137">
      <dataBar>
        <cfvo type="min"/>
        <cfvo type="max"/>
        <color rgb="FF638EC6"/>
      </dataBar>
    </cfRule>
  </conditionalFormatting>
  <conditionalFormatting sqref="J323">
    <cfRule type="dataBar" priority="130">
      <dataBar>
        <cfvo type="min"/>
        <cfvo type="max"/>
        <color rgb="FF638EC6"/>
      </dataBar>
    </cfRule>
    <cfRule type="dataBar" priority="133">
      <dataBar>
        <cfvo type="min"/>
        <cfvo type="max"/>
        <color rgb="FF638EC6"/>
      </dataBar>
    </cfRule>
    <cfRule type="dataBar" priority="136">
      <dataBar>
        <cfvo type="min"/>
        <cfvo type="max"/>
        <color rgb="FF638EC6"/>
      </dataBar>
    </cfRule>
  </conditionalFormatting>
  <conditionalFormatting sqref="I320:I321">
    <cfRule type="dataBar" priority="122">
      <dataBar>
        <cfvo type="min"/>
        <cfvo type="max"/>
        <color rgb="FF638EC6"/>
      </dataBar>
    </cfRule>
    <cfRule type="dataBar" priority="125">
      <dataBar>
        <cfvo type="min"/>
        <cfvo type="max"/>
        <color rgb="FF638EC6"/>
      </dataBar>
    </cfRule>
    <cfRule type="dataBar" priority="129">
      <dataBar>
        <cfvo type="min"/>
        <cfvo type="max"/>
        <color rgb="FF638EC6"/>
      </dataBar>
    </cfRule>
  </conditionalFormatting>
  <conditionalFormatting sqref="H320:H321">
    <cfRule type="dataBar" priority="123">
      <dataBar>
        <cfvo type="min"/>
        <cfvo type="max"/>
        <color rgb="FF638EC6"/>
      </dataBar>
    </cfRule>
    <cfRule type="dataBar" priority="126">
      <dataBar>
        <cfvo type="min"/>
        <cfvo type="max"/>
        <color rgb="FF638EC6"/>
      </dataBar>
    </cfRule>
    <cfRule type="dataBar" priority="128">
      <dataBar>
        <cfvo type="min"/>
        <cfvo type="max"/>
        <color rgb="FF638EC6"/>
      </dataBar>
    </cfRule>
  </conditionalFormatting>
  <conditionalFormatting sqref="J320:J321">
    <cfRule type="dataBar" priority="121">
      <dataBar>
        <cfvo type="min"/>
        <cfvo type="max"/>
        <color rgb="FF638EC6"/>
      </dataBar>
    </cfRule>
    <cfRule type="dataBar" priority="124">
      <dataBar>
        <cfvo type="min"/>
        <cfvo type="max"/>
        <color rgb="FF638EC6"/>
      </dataBar>
    </cfRule>
    <cfRule type="dataBar" priority="127">
      <dataBar>
        <cfvo type="min"/>
        <cfvo type="max"/>
        <color rgb="FF638EC6"/>
      </dataBar>
    </cfRule>
  </conditionalFormatting>
  <conditionalFormatting sqref="I322">
    <cfRule type="dataBar" priority="113">
      <dataBar>
        <cfvo type="min"/>
        <cfvo type="max"/>
        <color rgb="FF638EC6"/>
      </dataBar>
    </cfRule>
    <cfRule type="dataBar" priority="116">
      <dataBar>
        <cfvo type="min"/>
        <cfvo type="max"/>
        <color rgb="FF638EC6"/>
      </dataBar>
    </cfRule>
    <cfRule type="dataBar" priority="120">
      <dataBar>
        <cfvo type="min"/>
        <cfvo type="max"/>
        <color rgb="FF638EC6"/>
      </dataBar>
    </cfRule>
  </conditionalFormatting>
  <conditionalFormatting sqref="H322">
    <cfRule type="dataBar" priority="114">
      <dataBar>
        <cfvo type="min"/>
        <cfvo type="max"/>
        <color rgb="FF638EC6"/>
      </dataBar>
    </cfRule>
    <cfRule type="dataBar" priority="117">
      <dataBar>
        <cfvo type="min"/>
        <cfvo type="max"/>
        <color rgb="FF638EC6"/>
      </dataBar>
    </cfRule>
    <cfRule type="dataBar" priority="119">
      <dataBar>
        <cfvo type="min"/>
        <cfvo type="max"/>
        <color rgb="FF638EC6"/>
      </dataBar>
    </cfRule>
  </conditionalFormatting>
  <conditionalFormatting sqref="J322">
    <cfRule type="dataBar" priority="112">
      <dataBar>
        <cfvo type="min"/>
        <cfvo type="max"/>
        <color rgb="FF638EC6"/>
      </dataBar>
    </cfRule>
    <cfRule type="dataBar" priority="115">
      <dataBar>
        <cfvo type="min"/>
        <cfvo type="max"/>
        <color rgb="FF638EC6"/>
      </dataBar>
    </cfRule>
    <cfRule type="dataBar" priority="118">
      <dataBar>
        <cfvo type="min"/>
        <cfvo type="max"/>
        <color rgb="FF638EC6"/>
      </dataBar>
    </cfRule>
  </conditionalFormatting>
  <conditionalFormatting sqref="Q276:Q282">
    <cfRule type="dataBar" priority="100">
      <dataBar>
        <cfvo type="min"/>
        <cfvo type="max"/>
        <color rgb="FF638EC6"/>
      </dataBar>
    </cfRule>
  </conditionalFormatting>
  <conditionalFormatting sqref="M276:M282">
    <cfRule type="dataBar" priority="104">
      <dataBar>
        <cfvo type="min"/>
        <cfvo type="max"/>
        <color rgb="FF638EC6"/>
      </dataBar>
    </cfRule>
  </conditionalFormatting>
  <conditionalFormatting sqref="E276:E282">
    <cfRule type="dataBar" priority="93">
      <dataBar>
        <cfvo type="min"/>
        <cfvo type="max"/>
        <color rgb="FF638EC6"/>
      </dataBar>
    </cfRule>
    <cfRule type="dataBar" priority="103">
      <dataBar>
        <cfvo type="min"/>
        <cfvo type="max"/>
        <color rgb="FF638EC6"/>
      </dataBar>
    </cfRule>
  </conditionalFormatting>
  <conditionalFormatting sqref="G276:J282">
    <cfRule type="dataBar" priority="102">
      <dataBar>
        <cfvo type="min"/>
        <cfvo type="max"/>
        <color rgb="FF638EC6"/>
      </dataBar>
    </cfRule>
  </conditionalFormatting>
  <conditionalFormatting sqref="O276:O282">
    <cfRule type="dataBar" priority="101">
      <dataBar>
        <cfvo type="min"/>
        <cfvo type="max"/>
        <color rgb="FF638EC6"/>
      </dataBar>
    </cfRule>
  </conditionalFormatting>
  <conditionalFormatting sqref="S276:S282">
    <cfRule type="dataBar" priority="105">
      <dataBar>
        <cfvo type="min"/>
        <cfvo type="max"/>
        <color rgb="FF638EC6"/>
      </dataBar>
    </cfRule>
  </conditionalFormatting>
  <conditionalFormatting sqref="W276:W282">
    <cfRule type="top10" dxfId="65" priority="94" percent="1" rank="20"/>
    <cfRule type="top10" dxfId="64" priority="95" percent="1" rank="10"/>
    <cfRule type="top10" dxfId="63" priority="98" percent="1" rank="30"/>
    <cfRule type="dataBar" priority="99">
      <dataBar>
        <cfvo type="min"/>
        <cfvo type="max"/>
        <color rgb="FF638EC6"/>
      </dataBar>
    </cfRule>
  </conditionalFormatting>
  <conditionalFormatting sqref="V276:V282">
    <cfRule type="top10" dxfId="62" priority="96" percent="1" rank="30"/>
    <cfRule type="dataBar" priority="97">
      <dataBar>
        <cfvo type="min"/>
        <cfvo type="max"/>
        <color rgb="FF638EC6"/>
      </dataBar>
    </cfRule>
  </conditionalFormatting>
  <conditionalFormatting sqref="H276:H282">
    <cfRule type="dataBar" priority="92">
      <dataBar>
        <cfvo type="min"/>
        <cfvo type="max"/>
        <color rgb="FF638EC6"/>
      </dataBar>
    </cfRule>
  </conditionalFormatting>
  <conditionalFormatting sqref="I276:I282">
    <cfRule type="dataBar" priority="91">
      <dataBar>
        <cfvo type="min"/>
        <cfvo type="max"/>
        <color rgb="FF638EC6"/>
      </dataBar>
    </cfRule>
  </conditionalFormatting>
  <conditionalFormatting sqref="J276:J282">
    <cfRule type="dataBar" priority="90">
      <dataBar>
        <cfvo type="min"/>
        <cfvo type="max"/>
        <color rgb="FF638EC6"/>
      </dataBar>
    </cfRule>
  </conditionalFormatting>
  <conditionalFormatting sqref="W272:W275">
    <cfRule type="top10" dxfId="61" priority="84" percent="1" rank="20"/>
    <cfRule type="top10" dxfId="60" priority="85" percent="1" rank="10"/>
    <cfRule type="top10" dxfId="59" priority="88" percent="1" rank="30"/>
    <cfRule type="dataBar" priority="89">
      <dataBar>
        <cfvo type="min"/>
        <cfvo type="max"/>
        <color rgb="FF638EC6"/>
      </dataBar>
    </cfRule>
  </conditionalFormatting>
  <conditionalFormatting sqref="V272:V275">
    <cfRule type="top10" dxfId="58" priority="86" percent="1" rank="30"/>
    <cfRule type="dataBar" priority="87">
      <dataBar>
        <cfvo type="min"/>
        <cfvo type="max"/>
        <color rgb="FF638EC6"/>
      </dataBar>
    </cfRule>
  </conditionalFormatting>
  <conditionalFormatting sqref="E272:E275">
    <cfRule type="dataBar" priority="65">
      <dataBar>
        <cfvo type="min"/>
        <cfvo type="max"/>
        <color rgb="FF638EC6"/>
      </dataBar>
    </cfRule>
    <cfRule type="dataBar" priority="66">
      <dataBar>
        <cfvo type="min"/>
        <cfvo type="max"/>
        <color rgb="FF638EC6"/>
      </dataBar>
    </cfRule>
    <cfRule type="dataBar" priority="75">
      <dataBar>
        <cfvo type="min"/>
        <cfvo type="max"/>
        <color rgb="FF638EC6"/>
      </dataBar>
    </cfRule>
  </conditionalFormatting>
  <conditionalFormatting sqref="M272:M275 E272:E275">
    <cfRule type="dataBar" priority="81">
      <dataBar>
        <cfvo type="percent" val="0"/>
        <cfvo type="percentile" val="100"/>
        <color rgb="FF638EC6"/>
      </dataBar>
    </cfRule>
    <cfRule type="dataBar" priority="82">
      <dataBar>
        <cfvo type="percent" val="0"/>
        <cfvo type="percent" val="100"/>
        <color rgb="FF638EC6"/>
      </dataBar>
    </cfRule>
  </conditionalFormatting>
  <conditionalFormatting sqref="O272:O275">
    <cfRule type="dataBar" priority="80">
      <dataBar>
        <cfvo type="min"/>
        <cfvo type="max"/>
        <color rgb="FF638EC6"/>
      </dataBar>
    </cfRule>
  </conditionalFormatting>
  <conditionalFormatting sqref="G272:G275">
    <cfRule type="dataBar" priority="69">
      <dataBar>
        <cfvo type="min"/>
        <cfvo type="max"/>
        <color rgb="FF638EC6"/>
      </dataBar>
    </cfRule>
    <cfRule type="dataBar" priority="79">
      <dataBar>
        <cfvo type="min"/>
        <cfvo type="max"/>
        <color rgb="FF638EC6"/>
      </dataBar>
    </cfRule>
  </conditionalFormatting>
  <conditionalFormatting sqref="P272:P275">
    <cfRule type="dataBar" priority="78">
      <dataBar>
        <cfvo type="min"/>
        <cfvo type="max"/>
        <color rgb="FF638EC6"/>
      </dataBar>
    </cfRule>
  </conditionalFormatting>
  <conditionalFormatting sqref="K272:K275">
    <cfRule type="dataBar" priority="77">
      <dataBar>
        <cfvo type="min"/>
        <cfvo type="max"/>
        <color rgb="FF638EC6"/>
      </dataBar>
    </cfRule>
  </conditionalFormatting>
  <conditionalFormatting sqref="M272:M275">
    <cfRule type="dataBar" priority="76">
      <dataBar>
        <cfvo type="min"/>
        <cfvo type="max"/>
        <color rgb="FF638EC6"/>
      </dataBar>
    </cfRule>
  </conditionalFormatting>
  <conditionalFormatting sqref="Q272:R275">
    <cfRule type="dataBar" priority="74">
      <dataBar>
        <cfvo type="min"/>
        <cfvo type="max"/>
        <color rgb="FF638EC6"/>
      </dataBar>
    </cfRule>
  </conditionalFormatting>
  <conditionalFormatting sqref="I272:I275">
    <cfRule type="dataBar" priority="63">
      <dataBar>
        <cfvo type="min"/>
        <cfvo type="max"/>
        <color rgb="FF638EC6"/>
      </dataBar>
    </cfRule>
    <cfRule type="dataBar" priority="68">
      <dataBar>
        <cfvo type="min"/>
        <cfvo type="max"/>
        <color rgb="FF638EC6"/>
      </dataBar>
    </cfRule>
    <cfRule type="dataBar" priority="73">
      <dataBar>
        <cfvo type="min"/>
        <cfvo type="max"/>
        <color rgb="FF638EC6"/>
      </dataBar>
    </cfRule>
  </conditionalFormatting>
  <conditionalFormatting sqref="H272:H275">
    <cfRule type="dataBar" priority="64">
      <dataBar>
        <cfvo type="min"/>
        <cfvo type="max"/>
        <color rgb="FF638EC6"/>
      </dataBar>
    </cfRule>
    <cfRule type="dataBar" priority="70">
      <dataBar>
        <cfvo type="min"/>
        <cfvo type="max"/>
        <color rgb="FF638EC6"/>
      </dataBar>
    </cfRule>
    <cfRule type="dataBar" priority="72">
      <dataBar>
        <cfvo type="min"/>
        <cfvo type="max"/>
        <color rgb="FF638EC6"/>
      </dataBar>
    </cfRule>
  </conditionalFormatting>
  <conditionalFormatting sqref="J272:J275">
    <cfRule type="dataBar" priority="62">
      <dataBar>
        <cfvo type="min"/>
        <cfvo type="max"/>
        <color rgb="FF638EC6"/>
      </dataBar>
    </cfRule>
    <cfRule type="dataBar" priority="67">
      <dataBar>
        <cfvo type="min"/>
        <cfvo type="max"/>
        <color rgb="FF638EC6"/>
      </dataBar>
    </cfRule>
    <cfRule type="dataBar" priority="71">
      <dataBar>
        <cfvo type="min"/>
        <cfvo type="max"/>
        <color rgb="FF638EC6"/>
      </dataBar>
    </cfRule>
  </conditionalFormatting>
  <conditionalFormatting sqref="S272:S275">
    <cfRule type="dataBar" priority="83">
      <dataBar>
        <cfvo type="min"/>
        <cfvo type="max"/>
        <color rgb="FF638EC6"/>
      </dataBar>
    </cfRule>
  </conditionalFormatting>
  <conditionalFormatting sqref="M289:M291 M293 E294">
    <cfRule type="dataBar" priority="1086">
      <dataBar>
        <cfvo type="percent" val="0"/>
        <cfvo type="percentile" val="100"/>
        <color rgb="FF638EC6"/>
      </dataBar>
    </cfRule>
    <cfRule type="dataBar" priority="1087">
      <dataBar>
        <cfvo type="percent" val="0"/>
        <cfvo type="percent" val="100"/>
        <color rgb="FF638EC6"/>
      </dataBar>
    </cfRule>
  </conditionalFormatting>
  <conditionalFormatting sqref="O289:O291 O293">
    <cfRule type="dataBar" priority="1097">
      <dataBar>
        <cfvo type="min"/>
        <cfvo type="max"/>
        <color rgb="FF638EC6"/>
      </dataBar>
    </cfRule>
  </conditionalFormatting>
  <conditionalFormatting sqref="G289:G291 G293">
    <cfRule type="dataBar" priority="1100">
      <dataBar>
        <cfvo type="min"/>
        <cfvo type="max"/>
        <color rgb="FF638EC6"/>
      </dataBar>
    </cfRule>
    <cfRule type="dataBar" priority="1101">
      <dataBar>
        <cfvo type="min"/>
        <cfvo type="max"/>
        <color rgb="FF638EC6"/>
      </dataBar>
    </cfRule>
  </conditionalFormatting>
  <conditionalFormatting sqref="P289:P291 P293">
    <cfRule type="dataBar" priority="1106">
      <dataBar>
        <cfvo type="min"/>
        <cfvo type="max"/>
        <color rgb="FF638EC6"/>
      </dataBar>
    </cfRule>
  </conditionalFormatting>
  <conditionalFormatting sqref="K289:K291 K293">
    <cfRule type="dataBar" priority="1109">
      <dataBar>
        <cfvo type="min"/>
        <cfvo type="max"/>
        <color rgb="FF638EC6"/>
      </dataBar>
    </cfRule>
  </conditionalFormatting>
  <conditionalFormatting sqref="M289:M291 M293">
    <cfRule type="dataBar" priority="1112">
      <dataBar>
        <cfvo type="min"/>
        <cfvo type="max"/>
        <color rgb="FF638EC6"/>
      </dataBar>
    </cfRule>
  </conditionalFormatting>
  <conditionalFormatting sqref="I289:I291 I293">
    <cfRule type="dataBar" priority="1115">
      <dataBar>
        <cfvo type="min"/>
        <cfvo type="max"/>
        <color rgb="FF638EC6"/>
      </dataBar>
    </cfRule>
    <cfRule type="dataBar" priority="1116">
      <dataBar>
        <cfvo type="min"/>
        <cfvo type="max"/>
        <color rgb="FF638EC6"/>
      </dataBar>
    </cfRule>
  </conditionalFormatting>
  <conditionalFormatting sqref="S289:S291 S293">
    <cfRule type="dataBar" priority="1123">
      <dataBar>
        <cfvo type="min"/>
        <cfvo type="max"/>
        <color rgb="FF638EC6"/>
      </dataBar>
    </cfRule>
  </conditionalFormatting>
  <conditionalFormatting sqref="E289:E291 E293">
    <cfRule type="dataBar" priority="1126">
      <dataBar>
        <cfvo type="min"/>
        <cfvo type="max"/>
        <color rgb="FF638EC6"/>
      </dataBar>
    </cfRule>
  </conditionalFormatting>
  <conditionalFormatting sqref="W293:W294 W289:W291">
    <cfRule type="top10" dxfId="57" priority="1129" percent="1" rank="20"/>
    <cfRule type="top10" dxfId="56" priority="1130" percent="1" rank="10"/>
    <cfRule type="top10" dxfId="55" priority="1131" percent="1" rank="30"/>
    <cfRule type="dataBar" priority="1132">
      <dataBar>
        <cfvo type="min"/>
        <cfvo type="max"/>
        <color rgb="FF638EC6"/>
      </dataBar>
    </cfRule>
  </conditionalFormatting>
  <conditionalFormatting sqref="V293:V294 V289:V291">
    <cfRule type="top10" dxfId="54" priority="1141" percent="1" rank="30"/>
    <cfRule type="dataBar" priority="1142">
      <dataBar>
        <cfvo type="min"/>
        <cfvo type="max"/>
        <color rgb="FF638EC6"/>
      </dataBar>
    </cfRule>
  </conditionalFormatting>
  <conditionalFormatting sqref="E293:E294 E289:E291">
    <cfRule type="dataBar" priority="1147">
      <dataBar>
        <cfvo type="min"/>
        <cfvo type="max"/>
        <color rgb="FF638EC6"/>
      </dataBar>
    </cfRule>
  </conditionalFormatting>
  <conditionalFormatting sqref="I293:I294 I289:I291">
    <cfRule type="dataBar" priority="1151">
      <dataBar>
        <cfvo type="min"/>
        <cfvo type="max"/>
        <color rgb="FF638EC6"/>
      </dataBar>
    </cfRule>
  </conditionalFormatting>
  <conditionalFormatting sqref="M288">
    <cfRule type="dataBar" priority="33">
      <dataBar>
        <cfvo type="min"/>
        <cfvo type="max"/>
        <color rgb="FF638EC6"/>
      </dataBar>
    </cfRule>
    <cfRule type="dataBar" priority="39">
      <dataBar>
        <cfvo type="percent" val="0"/>
        <cfvo type="percentile" val="100"/>
        <color rgb="FF638EC6"/>
      </dataBar>
    </cfRule>
    <cfRule type="dataBar" priority="40">
      <dataBar>
        <cfvo type="percent" val="0"/>
        <cfvo type="percent" val="100"/>
        <color rgb="FF638EC6"/>
      </dataBar>
    </cfRule>
  </conditionalFormatting>
  <conditionalFormatting sqref="Q288:R288">
    <cfRule type="dataBar" priority="38">
      <dataBar>
        <cfvo type="min"/>
        <cfvo type="max"/>
        <color rgb="FF638EC6"/>
      </dataBar>
    </cfRule>
  </conditionalFormatting>
  <conditionalFormatting sqref="O288">
    <cfRule type="dataBar" priority="37">
      <dataBar>
        <cfvo type="min"/>
        <cfvo type="max"/>
        <color rgb="FF638EC6"/>
      </dataBar>
    </cfRule>
  </conditionalFormatting>
  <conditionalFormatting sqref="G288">
    <cfRule type="dataBar" priority="28">
      <dataBar>
        <cfvo type="min"/>
        <cfvo type="max"/>
        <color rgb="FF638EC6"/>
      </dataBar>
    </cfRule>
    <cfRule type="dataBar" priority="36">
      <dataBar>
        <cfvo type="min"/>
        <cfvo type="max"/>
        <color rgb="FF638EC6"/>
      </dataBar>
    </cfRule>
  </conditionalFormatting>
  <conditionalFormatting sqref="P288">
    <cfRule type="dataBar" priority="35">
      <dataBar>
        <cfvo type="min"/>
        <cfvo type="max"/>
        <color rgb="FF638EC6"/>
      </dataBar>
    </cfRule>
  </conditionalFormatting>
  <conditionalFormatting sqref="K288">
    <cfRule type="dataBar" priority="34">
      <dataBar>
        <cfvo type="min"/>
        <cfvo type="max"/>
        <color rgb="FF638EC6"/>
      </dataBar>
    </cfRule>
  </conditionalFormatting>
  <conditionalFormatting sqref="I288">
    <cfRule type="dataBar" priority="27">
      <dataBar>
        <cfvo type="min"/>
        <cfvo type="max"/>
        <color rgb="FF638EC6"/>
      </dataBar>
    </cfRule>
    <cfRule type="dataBar" priority="32">
      <dataBar>
        <cfvo type="min"/>
        <cfvo type="max"/>
        <color rgb="FF638EC6"/>
      </dataBar>
    </cfRule>
  </conditionalFormatting>
  <conditionalFormatting sqref="H288">
    <cfRule type="dataBar" priority="29">
      <dataBar>
        <cfvo type="min"/>
        <cfvo type="max"/>
        <color rgb="FF638EC6"/>
      </dataBar>
    </cfRule>
    <cfRule type="dataBar" priority="31">
      <dataBar>
        <cfvo type="min"/>
        <cfvo type="max"/>
        <color rgb="FF638EC6"/>
      </dataBar>
    </cfRule>
  </conditionalFormatting>
  <conditionalFormatting sqref="J288">
    <cfRule type="dataBar" priority="26">
      <dataBar>
        <cfvo type="min"/>
        <cfvo type="max"/>
        <color rgb="FF638EC6"/>
      </dataBar>
    </cfRule>
    <cfRule type="dataBar" priority="30">
      <dataBar>
        <cfvo type="min"/>
        <cfvo type="max"/>
        <color rgb="FF638EC6"/>
      </dataBar>
    </cfRule>
  </conditionalFormatting>
  <conditionalFormatting sqref="E288">
    <cfRule type="dataBar" priority="19">
      <dataBar>
        <cfvo type="min"/>
        <cfvo type="max"/>
        <color rgb="FF638EC6"/>
      </dataBar>
    </cfRule>
    <cfRule type="dataBar" priority="24">
      <dataBar>
        <cfvo type="min"/>
        <cfvo type="max"/>
        <color rgb="FF638EC6"/>
      </dataBar>
    </cfRule>
  </conditionalFormatting>
  <conditionalFormatting sqref="Q287:R287 R283 Q284:R285">
    <cfRule type="dataBar" priority="25">
      <dataBar>
        <cfvo type="min"/>
        <cfvo type="max"/>
        <color rgb="FF638EC6"/>
      </dataBar>
    </cfRule>
  </conditionalFormatting>
  <conditionalFormatting sqref="H284 H287">
    <cfRule type="dataBar" priority="21">
      <dataBar>
        <cfvo type="min"/>
        <cfvo type="max"/>
        <color rgb="FF638EC6"/>
      </dataBar>
    </cfRule>
    <cfRule type="dataBar" priority="23">
      <dataBar>
        <cfvo type="min"/>
        <cfvo type="max"/>
        <color rgb="FF638EC6"/>
      </dataBar>
    </cfRule>
  </conditionalFormatting>
  <conditionalFormatting sqref="J287">
    <cfRule type="dataBar" priority="20">
      <dataBar>
        <cfvo type="min"/>
        <cfvo type="max"/>
        <color rgb="FF638EC6"/>
      </dataBar>
    </cfRule>
    <cfRule type="dataBar" priority="22">
      <dataBar>
        <cfvo type="min"/>
        <cfvo type="max"/>
        <color rgb="FF638EC6"/>
      </dataBar>
    </cfRule>
  </conditionalFormatting>
  <conditionalFormatting sqref="Q283">
    <cfRule type="dataBar" priority="18">
      <dataBar>
        <cfvo type="min"/>
        <cfvo type="max"/>
        <color rgb="FF638EC6"/>
      </dataBar>
    </cfRule>
  </conditionalFormatting>
  <conditionalFormatting sqref="S288">
    <cfRule type="dataBar" priority="41">
      <dataBar>
        <cfvo type="min"/>
        <cfvo type="max"/>
        <color rgb="FF638EC6"/>
      </dataBar>
    </cfRule>
  </conditionalFormatting>
  <conditionalFormatting sqref="H287:H288 H284">
    <cfRule type="dataBar" priority="17">
      <dataBar>
        <cfvo type="min"/>
        <cfvo type="max"/>
        <color rgb="FF638EC6"/>
      </dataBar>
    </cfRule>
  </conditionalFormatting>
  <conditionalFormatting sqref="J287:J288">
    <cfRule type="dataBar" priority="16">
      <dataBar>
        <cfvo type="min"/>
        <cfvo type="max"/>
        <color rgb="FF638EC6"/>
      </dataBar>
    </cfRule>
  </conditionalFormatting>
  <conditionalFormatting sqref="H283">
    <cfRule type="dataBar" priority="13">
      <dataBar>
        <cfvo type="min"/>
        <cfvo type="max"/>
        <color rgb="FF638EC6"/>
      </dataBar>
    </cfRule>
    <cfRule type="dataBar" priority="14">
      <dataBar>
        <cfvo type="min"/>
        <cfvo type="max"/>
        <color rgb="FF638EC6"/>
      </dataBar>
    </cfRule>
    <cfRule type="dataBar" priority="15">
      <dataBar>
        <cfvo type="min"/>
        <cfvo type="max"/>
        <color rgb="FF638EC6"/>
      </dataBar>
    </cfRule>
  </conditionalFormatting>
  <conditionalFormatting sqref="H285">
    <cfRule type="dataBar" priority="10">
      <dataBar>
        <cfvo type="min"/>
        <cfvo type="max"/>
        <color rgb="FF638EC6"/>
      </dataBar>
    </cfRule>
    <cfRule type="dataBar" priority="11">
      <dataBar>
        <cfvo type="min"/>
        <cfvo type="max"/>
        <color rgb="FF638EC6"/>
      </dataBar>
    </cfRule>
    <cfRule type="dataBar" priority="12">
      <dataBar>
        <cfvo type="min"/>
        <cfvo type="max"/>
        <color rgb="FF638EC6"/>
      </dataBar>
    </cfRule>
  </conditionalFormatting>
  <conditionalFormatting sqref="J284">
    <cfRule type="dataBar" priority="7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</cfRule>
    <cfRule type="dataBar" priority="9">
      <dataBar>
        <cfvo type="min"/>
        <cfvo type="max"/>
        <color rgb="FF638EC6"/>
      </dataBar>
    </cfRule>
  </conditionalFormatting>
  <conditionalFormatting sqref="J283">
    <cfRule type="dataBar" priority="4">
      <dataBar>
        <cfvo type="min"/>
        <cfvo type="max"/>
        <color rgb="FF638EC6"/>
      </dataBar>
    </cfRule>
    <cfRule type="dataBar" priority="5">
      <dataBar>
        <cfvo type="min"/>
        <cfvo type="max"/>
        <color rgb="FF638EC6"/>
      </dataBar>
    </cfRule>
    <cfRule type="dataBar" priority="6">
      <dataBar>
        <cfvo type="min"/>
        <cfvo type="max"/>
        <color rgb="FF638EC6"/>
      </dataBar>
    </cfRule>
  </conditionalFormatting>
  <conditionalFormatting sqref="J285">
    <cfRule type="dataBar" priority="1">
      <dataBar>
        <cfvo type="min"/>
        <cfvo type="max"/>
        <color rgb="FF638EC6"/>
      </dataBar>
    </cfRule>
    <cfRule type="dataBar" priority="2">
      <dataBar>
        <cfvo type="min"/>
        <cfvo type="max"/>
        <color rgb="FF638EC6"/>
      </dataBar>
    </cfRule>
    <cfRule type="dataBar" priority="3">
      <dataBar>
        <cfvo type="min"/>
        <cfvo type="max"/>
        <color rgb="FF638EC6"/>
      </dataBar>
    </cfRule>
  </conditionalFormatting>
  <conditionalFormatting sqref="M283:M285 M287 E288">
    <cfRule type="dataBar" priority="42">
      <dataBar>
        <cfvo type="percent" val="0"/>
        <cfvo type="percentile" val="100"/>
        <color rgb="FF638EC6"/>
      </dataBar>
    </cfRule>
    <cfRule type="dataBar" priority="43">
      <dataBar>
        <cfvo type="percent" val="0"/>
        <cfvo type="percent" val="100"/>
        <color rgb="FF638EC6"/>
      </dataBar>
    </cfRule>
  </conditionalFormatting>
  <conditionalFormatting sqref="O283:O285 O287">
    <cfRule type="dataBar" priority="44">
      <dataBar>
        <cfvo type="min"/>
        <cfvo type="max"/>
        <color rgb="FF638EC6"/>
      </dataBar>
    </cfRule>
  </conditionalFormatting>
  <conditionalFormatting sqref="G283:G285 G287">
    <cfRule type="dataBar" priority="45">
      <dataBar>
        <cfvo type="min"/>
        <cfvo type="max"/>
        <color rgb="FF638EC6"/>
      </dataBar>
    </cfRule>
    <cfRule type="dataBar" priority="46">
      <dataBar>
        <cfvo type="min"/>
        <cfvo type="max"/>
        <color rgb="FF638EC6"/>
      </dataBar>
    </cfRule>
  </conditionalFormatting>
  <conditionalFormatting sqref="P283:P285 P287">
    <cfRule type="dataBar" priority="47">
      <dataBar>
        <cfvo type="min"/>
        <cfvo type="max"/>
        <color rgb="FF638EC6"/>
      </dataBar>
    </cfRule>
  </conditionalFormatting>
  <conditionalFormatting sqref="K283:K285 K287">
    <cfRule type="dataBar" priority="48">
      <dataBar>
        <cfvo type="min"/>
        <cfvo type="max"/>
        <color rgb="FF638EC6"/>
      </dataBar>
    </cfRule>
  </conditionalFormatting>
  <conditionalFormatting sqref="M283:M285 M287">
    <cfRule type="dataBar" priority="49">
      <dataBar>
        <cfvo type="min"/>
        <cfvo type="max"/>
        <color rgb="FF638EC6"/>
      </dataBar>
    </cfRule>
  </conditionalFormatting>
  <conditionalFormatting sqref="I283:I285 I287">
    <cfRule type="dataBar" priority="50">
      <dataBar>
        <cfvo type="min"/>
        <cfvo type="max"/>
        <color rgb="FF638EC6"/>
      </dataBar>
    </cfRule>
    <cfRule type="dataBar" priority="51">
      <dataBar>
        <cfvo type="min"/>
        <cfvo type="max"/>
        <color rgb="FF638EC6"/>
      </dataBar>
    </cfRule>
  </conditionalFormatting>
  <conditionalFormatting sqref="S283:S285 S287">
    <cfRule type="dataBar" priority="52">
      <dataBar>
        <cfvo type="min"/>
        <cfvo type="max"/>
        <color rgb="FF638EC6"/>
      </dataBar>
    </cfRule>
  </conditionalFormatting>
  <conditionalFormatting sqref="E283:E285 E287">
    <cfRule type="dataBar" priority="53">
      <dataBar>
        <cfvo type="min"/>
        <cfvo type="max"/>
        <color rgb="FF638EC6"/>
      </dataBar>
    </cfRule>
  </conditionalFormatting>
  <conditionalFormatting sqref="W287:W288 W283:W285">
    <cfRule type="top10" dxfId="53" priority="54" percent="1" rank="20"/>
    <cfRule type="top10" dxfId="52" priority="55" percent="1" rank="10"/>
    <cfRule type="top10" dxfId="51" priority="56" percent="1" rank="30"/>
    <cfRule type="dataBar" priority="57">
      <dataBar>
        <cfvo type="min"/>
        <cfvo type="max"/>
        <color rgb="FF638EC6"/>
      </dataBar>
    </cfRule>
  </conditionalFormatting>
  <conditionalFormatting sqref="V287:V288 V283:V285">
    <cfRule type="top10" dxfId="50" priority="58" percent="1" rank="30"/>
    <cfRule type="dataBar" priority="59">
      <dataBar>
        <cfvo type="min"/>
        <cfvo type="max"/>
        <color rgb="FF638EC6"/>
      </dataBar>
    </cfRule>
  </conditionalFormatting>
  <conditionalFormatting sqref="E287:E288 E283:E285">
    <cfRule type="dataBar" priority="60">
      <dataBar>
        <cfvo type="min"/>
        <cfvo type="max"/>
        <color rgb="FF638EC6"/>
      </dataBar>
    </cfRule>
  </conditionalFormatting>
  <conditionalFormatting sqref="I287:I288 I283:I285">
    <cfRule type="dataBar" priority="61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80"/>
  <sheetViews>
    <sheetView zoomScale="120" zoomScaleNormal="120" workbookViewId="0">
      <pane xSplit="1" topLeftCell="B1" activePane="topRight" state="frozen"/>
      <selection pane="topRight" activeCell="A27" sqref="A27"/>
    </sheetView>
  </sheetViews>
  <sheetFormatPr baseColWidth="10" defaultRowHeight="16"/>
  <cols>
    <col min="4" max="4" width="10.83203125" style="2" customWidth="1"/>
    <col min="5" max="5" width="20.33203125" style="17" customWidth="1"/>
    <col min="6" max="6" width="17.6640625" style="17" customWidth="1"/>
    <col min="7" max="10" width="21.6640625" style="17" customWidth="1"/>
    <col min="11" max="11" width="21.83203125" style="2" customWidth="1"/>
    <col min="12" max="12" width="10.83203125" style="88" customWidth="1"/>
    <col min="13" max="13" width="17.6640625" style="15" customWidth="1"/>
    <col min="14" max="14" width="14" style="7" customWidth="1"/>
    <col min="15" max="15" width="22.5" style="88" customWidth="1"/>
    <col min="16" max="16" width="18.6640625" style="7" customWidth="1"/>
    <col min="17" max="17" width="12.83203125" style="109" customWidth="1"/>
    <col min="19" max="19" width="10.83203125" style="108" customWidth="1"/>
    <col min="20" max="20" width="14.5" style="109" customWidth="1"/>
    <col min="21" max="21" width="15.1640625" style="182" customWidth="1"/>
    <col min="22" max="22" width="19.1640625" style="109" customWidth="1"/>
    <col min="23" max="24" width="20.33203125" style="182" bestFit="1" customWidth="1"/>
    <col min="25" max="25" width="20.33203125" style="109" customWidth="1"/>
    <col min="26" max="27" width="20.33203125" style="134" customWidth="1"/>
  </cols>
  <sheetData>
    <row r="1" spans="1:27">
      <c r="A1" t="s">
        <v>189</v>
      </c>
      <c r="C1" t="s">
        <v>1</v>
      </c>
      <c r="D1" s="2" t="s">
        <v>2</v>
      </c>
      <c r="E1" s="2" t="s">
        <v>3</v>
      </c>
      <c r="F1" s="2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2" t="s">
        <v>9</v>
      </c>
      <c r="L1" s="88" t="s">
        <v>10</v>
      </c>
      <c r="M1" s="16" t="s">
        <v>11</v>
      </c>
      <c r="N1" s="7" t="s">
        <v>12</v>
      </c>
      <c r="O1" s="88" t="s">
        <v>13</v>
      </c>
      <c r="P1" s="7" t="s">
        <v>14</v>
      </c>
      <c r="Q1" s="109" t="s">
        <v>15</v>
      </c>
      <c r="R1" t="s">
        <v>16</v>
      </c>
      <c r="S1" s="108" t="s">
        <v>17</v>
      </c>
      <c r="T1" s="78" t="s">
        <v>18</v>
      </c>
      <c r="U1" s="77" t="s">
        <v>19</v>
      </c>
      <c r="V1" s="78" t="s">
        <v>20</v>
      </c>
      <c r="W1" s="86" t="s">
        <v>190</v>
      </c>
      <c r="X1" s="86" t="s">
        <v>191</v>
      </c>
      <c r="Y1" s="78"/>
      <c r="Z1" s="78"/>
      <c r="AA1" s="78"/>
    </row>
    <row r="2" spans="1:27">
      <c r="A2" t="s">
        <v>192</v>
      </c>
      <c r="B2" t="s">
        <v>30</v>
      </c>
      <c r="C2" s="180">
        <v>8.7842901833398344</v>
      </c>
      <c r="D2" s="98">
        <v>7.5280704593691103</v>
      </c>
      <c r="E2" s="17">
        <v>0.1430075393403161</v>
      </c>
      <c r="F2" s="100">
        <v>16.653428309911639</v>
      </c>
      <c r="G2" s="13">
        <v>0.89581946433148407</v>
      </c>
      <c r="H2" s="13">
        <v>4.1341908822767559E-2</v>
      </c>
      <c r="I2" s="13">
        <v>0.1414429227506655</v>
      </c>
      <c r="J2" s="13">
        <v>0.38770652100594338</v>
      </c>
      <c r="K2" s="100">
        <v>2.21217752939407</v>
      </c>
      <c r="L2" s="103">
        <v>7.5280704593691103</v>
      </c>
      <c r="M2" s="15">
        <v>0.1430075393403161</v>
      </c>
      <c r="N2" s="7">
        <v>15.021023031925219</v>
      </c>
      <c r="O2" s="15">
        <v>0.70998711545457449</v>
      </c>
      <c r="P2" s="7">
        <v>1.9953350746379781</v>
      </c>
      <c r="Q2" s="109">
        <v>0.1059781209610433</v>
      </c>
      <c r="R2" s="108">
        <v>9.1521134885051536E-2</v>
      </c>
      <c r="S2" s="108">
        <v>4.4146697326644703E-2</v>
      </c>
      <c r="T2">
        <v>23236.11</v>
      </c>
      <c r="U2" s="134">
        <f>C2*S2</f>
        <v>0.38779739995331997</v>
      </c>
      <c r="V2" s="134">
        <f>(1+S2)*Q2*(1-U2)+S2</f>
        <v>0.11189101983433969</v>
      </c>
      <c r="W2" s="134">
        <f>V2+I2/3</f>
        <v>0.15903866075122819</v>
      </c>
      <c r="X2" s="134">
        <f>V2+I2/5</f>
        <v>0.1401796043844728</v>
      </c>
      <c r="Y2" s="134"/>
    </row>
    <row r="3" spans="1:27">
      <c r="A3" t="s">
        <v>193</v>
      </c>
      <c r="B3" t="s">
        <v>32</v>
      </c>
      <c r="C3" s="180">
        <v>9.4716813994504072</v>
      </c>
      <c r="D3" s="98">
        <v>7.6349419613710312</v>
      </c>
      <c r="E3" s="17">
        <v>0.1939190478034821</v>
      </c>
      <c r="F3" s="100">
        <v>19.320758454108489</v>
      </c>
      <c r="G3" s="13">
        <v>1.039844631517016</v>
      </c>
      <c r="H3" s="13">
        <v>5.5912221221462673E-2</v>
      </c>
      <c r="I3" s="13">
        <v>0.1575794400040125</v>
      </c>
      <c r="J3" s="13">
        <v>0.41388048261369698</v>
      </c>
      <c r="K3" s="100">
        <v>2.53057044203634</v>
      </c>
      <c r="L3" s="103">
        <v>8.4449468631132198</v>
      </c>
      <c r="M3" s="15">
        <v>0.1084004510959125</v>
      </c>
      <c r="N3" s="7">
        <v>14.78461015246301</v>
      </c>
      <c r="O3" s="15">
        <v>0.56092773066890622</v>
      </c>
      <c r="P3" s="7">
        <v>1.7507049354023621</v>
      </c>
      <c r="R3" s="108"/>
      <c r="S3" s="108">
        <v>4.7820630958421137E-2</v>
      </c>
      <c r="U3" s="134">
        <f>C3*S3</f>
        <v>0.45294178075885977</v>
      </c>
      <c r="V3" s="134">
        <f>(1+S3)*R2*(1-U3)+S3</f>
        <v>0.10028227416748414</v>
      </c>
      <c r="W3" s="134">
        <f>V3+I3/3</f>
        <v>0.15280875416882164</v>
      </c>
      <c r="X3" s="134">
        <f>V3+I3/5</f>
        <v>0.13179816216828666</v>
      </c>
      <c r="Y3" s="134"/>
    </row>
    <row r="4" spans="1:27">
      <c r="A4" t="s">
        <v>194</v>
      </c>
      <c r="B4" t="s">
        <v>34</v>
      </c>
      <c r="C4" s="180">
        <v>0.9309425676068942</v>
      </c>
      <c r="D4" s="98">
        <v>0.88050527107227117</v>
      </c>
      <c r="E4" s="17">
        <v>5.4178741299024002E-2</v>
      </c>
      <c r="F4" s="100">
        <v>2.1752816295015611</v>
      </c>
      <c r="G4" s="13">
        <v>1.3366442841832851</v>
      </c>
      <c r="H4" s="13">
        <v>0.20508612840323059</v>
      </c>
      <c r="I4" s="13">
        <v>0.39233217772182449</v>
      </c>
      <c r="J4" s="13">
        <v>0.6156316123305603</v>
      </c>
      <c r="K4" s="100">
        <v>2.470492455828825</v>
      </c>
      <c r="L4" s="103">
        <v>0.88050527107227117</v>
      </c>
      <c r="M4" s="15">
        <v>5.4178741299024002E-2</v>
      </c>
      <c r="N4" s="7">
        <v>1.5065404491156851</v>
      </c>
      <c r="O4" s="15">
        <v>0.61829580205837864</v>
      </c>
      <c r="P4" s="7">
        <v>1.71099537800726</v>
      </c>
      <c r="R4" s="108"/>
      <c r="W4" s="134">
        <f>V2+I4/3</f>
        <v>0.24266841240828119</v>
      </c>
      <c r="X4" s="134">
        <f>V2+I4/5</f>
        <v>0.19035745537870458</v>
      </c>
      <c r="Y4" s="134"/>
    </row>
    <row r="5" spans="1:27">
      <c r="A5">
        <v>3.81</v>
      </c>
      <c r="B5" t="s">
        <v>35</v>
      </c>
      <c r="C5" s="180">
        <v>0.86685903094733441</v>
      </c>
      <c r="D5" s="98">
        <v>0.80471448432944848</v>
      </c>
      <c r="E5" s="17">
        <v>7.1689334020056505E-2</v>
      </c>
      <c r="F5" s="100">
        <v>1.936431151229822</v>
      </c>
      <c r="G5" s="13">
        <v>1.233847813886902</v>
      </c>
      <c r="H5" s="13">
        <v>0.28716333408492961</v>
      </c>
      <c r="I5" s="13">
        <v>0.44043166939732448</v>
      </c>
      <c r="J5" s="13">
        <v>0.62297116552549059</v>
      </c>
      <c r="K5" s="100">
        <v>2.4063580175811161</v>
      </c>
      <c r="L5" s="103">
        <v>0.80471448432944848</v>
      </c>
      <c r="M5" s="15">
        <v>7.1689334020056505E-2</v>
      </c>
      <c r="N5" s="7">
        <v>1.452441336742246</v>
      </c>
      <c r="O5" s="15">
        <v>0.67552195326957132</v>
      </c>
      <c r="P5" s="7">
        <v>1.8049151158904939</v>
      </c>
      <c r="R5" s="108"/>
      <c r="W5" s="134">
        <f>V3+I5/3</f>
        <v>0.24709283063325896</v>
      </c>
      <c r="X5" s="134">
        <f>V3+I5/5</f>
        <v>0.18836860804694905</v>
      </c>
      <c r="Y5" s="134"/>
    </row>
    <row r="6" spans="1:27">
      <c r="F6" s="3"/>
      <c r="K6" s="100"/>
      <c r="O6" s="15"/>
      <c r="R6" s="108"/>
    </row>
    <row r="7" spans="1:27">
      <c r="A7" t="s">
        <v>195</v>
      </c>
      <c r="B7" t="s">
        <v>30</v>
      </c>
      <c r="C7" s="179">
        <v>7.5645051042666216</v>
      </c>
      <c r="D7" s="98">
        <v>5.591450880589262</v>
      </c>
      <c r="E7" s="17">
        <v>0.26083057602334031</v>
      </c>
      <c r="F7" s="100">
        <v>17.900828920304772</v>
      </c>
      <c r="G7" s="13">
        <v>1.3664243296244361</v>
      </c>
      <c r="H7" s="13">
        <v>-2.0587660813748632E-2</v>
      </c>
      <c r="I7" s="13">
        <v>0.1142769132487049</v>
      </c>
      <c r="J7" s="13">
        <v>0.27427013726510041</v>
      </c>
      <c r="K7" s="100">
        <v>3.2014640390471021</v>
      </c>
      <c r="L7" s="103">
        <v>5.591450880589262</v>
      </c>
      <c r="M7" s="15">
        <v>0.26083057602334031</v>
      </c>
      <c r="N7" s="7">
        <v>11.87269566118195</v>
      </c>
      <c r="O7" s="15">
        <v>0.56952708703777244</v>
      </c>
      <c r="P7" s="7">
        <v>2.1233658159097941</v>
      </c>
      <c r="Q7" s="109">
        <v>0.1223495634122041</v>
      </c>
      <c r="R7" s="108">
        <v>0.122040026289126</v>
      </c>
      <c r="S7" s="108">
        <v>4.1949309969735879E-2</v>
      </c>
      <c r="T7" s="61">
        <v>9491.1</v>
      </c>
      <c r="U7" s="134">
        <f>C7*S7</f>
        <v>0.31732576938652973</v>
      </c>
      <c r="V7" s="134">
        <f>(1+S7)*Q7*(1-U7)+S7</f>
        <v>0.12897801570951761</v>
      </c>
      <c r="W7" s="134">
        <f>V7+I7/3</f>
        <v>0.16707032012575257</v>
      </c>
      <c r="X7" s="134">
        <f>V7+I7/5</f>
        <v>0.1518333983592586</v>
      </c>
      <c r="Y7" s="134"/>
    </row>
    <row r="8" spans="1:27">
      <c r="A8" t="s">
        <v>196</v>
      </c>
      <c r="B8" t="s">
        <v>32</v>
      </c>
      <c r="C8" s="180">
        <v>7.5976320601527814</v>
      </c>
      <c r="D8" s="98">
        <v>6.4979813194648361</v>
      </c>
      <c r="E8" s="17">
        <v>0.14473598247212729</v>
      </c>
      <c r="F8" s="100">
        <v>26.318404071976861</v>
      </c>
      <c r="G8" s="13">
        <v>2.4640271947372532</v>
      </c>
      <c r="H8" s="13">
        <v>0.1524646381611052</v>
      </c>
      <c r="I8" s="13">
        <v>0.30712554742316578</v>
      </c>
      <c r="J8" s="13">
        <v>0.48741881628528311</v>
      </c>
      <c r="K8" s="100">
        <v>4.0502431106010626</v>
      </c>
      <c r="L8" s="103">
        <v>6.4979813194648361</v>
      </c>
      <c r="M8" s="15">
        <v>0.14473598247212729</v>
      </c>
      <c r="N8" s="7">
        <v>12.709227933002239</v>
      </c>
      <c r="O8" s="15">
        <v>0.67278802558210016</v>
      </c>
      <c r="P8" s="7">
        <v>1.9558732640445551</v>
      </c>
      <c r="S8" s="108">
        <v>4.1507503890454843E-2</v>
      </c>
      <c r="T8" s="108"/>
      <c r="U8" s="134">
        <f>C8*S8</f>
        <v>0.31535874229503602</v>
      </c>
      <c r="V8" s="134">
        <f>(1+S8)*R7*(1-U8)+S8</f>
        <v>0.12852924389591952</v>
      </c>
      <c r="W8" s="134">
        <f>V8+I8/3</f>
        <v>0.23090442637030811</v>
      </c>
      <c r="X8" s="134">
        <f>V8+I8/5</f>
        <v>0.18995435338055267</v>
      </c>
      <c r="Y8" s="134"/>
    </row>
    <row r="9" spans="1:27">
      <c r="A9" t="s">
        <v>197</v>
      </c>
      <c r="B9" t="s">
        <v>34</v>
      </c>
      <c r="C9" s="180">
        <v>0.92551389693641062</v>
      </c>
      <c r="D9" s="98">
        <v>0.72752186960078447</v>
      </c>
      <c r="E9" s="17">
        <v>0.21392658499349321</v>
      </c>
      <c r="F9" s="100">
        <v>2.443506700601322</v>
      </c>
      <c r="G9" s="13">
        <v>1.6401620858311201</v>
      </c>
      <c r="H9" s="13">
        <v>5.7873828015898347E-2</v>
      </c>
      <c r="I9" s="13">
        <v>0.22041241459381239</v>
      </c>
      <c r="J9" s="13">
        <v>0.60425848125846082</v>
      </c>
      <c r="K9" s="100">
        <v>3.3586711310027781</v>
      </c>
      <c r="L9" s="103">
        <v>0.72752186960078447</v>
      </c>
      <c r="M9" s="15">
        <v>0.21392658499349321</v>
      </c>
      <c r="N9" s="7">
        <v>1.450240298440522</v>
      </c>
      <c r="O9" s="15">
        <v>0.56695680447482699</v>
      </c>
      <c r="P9" s="7">
        <v>1.993397530766075</v>
      </c>
      <c r="T9" s="108"/>
      <c r="W9" s="134">
        <f>V7+I9/3</f>
        <v>0.20244882057412172</v>
      </c>
      <c r="X9" s="134">
        <f>V7+I9/5</f>
        <v>0.1730604986282801</v>
      </c>
      <c r="Y9" s="134"/>
    </row>
    <row r="10" spans="1:27">
      <c r="B10" t="s">
        <v>35</v>
      </c>
      <c r="C10" s="180">
        <v>0.92721521635615223</v>
      </c>
      <c r="D10" s="98">
        <v>0.79472608936869027</v>
      </c>
      <c r="E10" s="17">
        <v>0.1428892932841728</v>
      </c>
      <c r="F10" s="100">
        <v>2.4028755748095061</v>
      </c>
      <c r="G10" s="13">
        <v>1.5914971329445251</v>
      </c>
      <c r="H10" s="13">
        <v>9.9644158473616073E-2</v>
      </c>
      <c r="I10" s="13">
        <v>0.25314986598486261</v>
      </c>
      <c r="J10" s="13">
        <v>0.58369706913434638</v>
      </c>
      <c r="K10" s="100">
        <v>3.0235267307233959</v>
      </c>
      <c r="L10" s="103">
        <v>0.79472608936869027</v>
      </c>
      <c r="M10" s="15">
        <v>0.1428892932841728</v>
      </c>
      <c r="N10" s="7">
        <v>1.585485793786281</v>
      </c>
      <c r="O10" s="15">
        <v>0.70994367415264792</v>
      </c>
      <c r="P10" s="7">
        <v>1.9950091169723021</v>
      </c>
      <c r="T10" s="108"/>
      <c r="W10" s="134">
        <f>V8+I10/3</f>
        <v>0.21291253255754039</v>
      </c>
      <c r="X10" s="134">
        <f>V8+I10/5</f>
        <v>0.17915921709289204</v>
      </c>
      <c r="Y10" s="134"/>
    </row>
    <row r="12" spans="1:27">
      <c r="A12" t="s">
        <v>198</v>
      </c>
      <c r="B12" t="s">
        <v>30</v>
      </c>
      <c r="C12" s="72">
        <v>13.41</v>
      </c>
      <c r="D12" s="2">
        <v>8.01</v>
      </c>
      <c r="E12" s="17">
        <f>1-D12/C12</f>
        <v>0.40268456375838924</v>
      </c>
      <c r="F12" s="76">
        <v>19.89</v>
      </c>
      <c r="G12" s="17">
        <f>F12/C12-1</f>
        <v>0.48322147651006708</v>
      </c>
      <c r="H12" s="17">
        <f>12.01/C12-1</f>
        <v>-0.10439970171513802</v>
      </c>
      <c r="I12" s="17">
        <f>12.9/C12-1</f>
        <v>-3.8031319910514561E-2</v>
      </c>
      <c r="J12" s="17">
        <f>13.85/C12-1</f>
        <v>3.2811334824757621E-2</v>
      </c>
      <c r="Q12" s="109">
        <f>C14/C12</f>
        <v>0.13049962714392244</v>
      </c>
      <c r="S12" s="108">
        <v>1.9E-2</v>
      </c>
      <c r="U12" s="134">
        <f>C12*S12</f>
        <v>0.25479000000000002</v>
      </c>
      <c r="V12" s="134">
        <f>(1+S12)*Q12*(1-U12)+S12</f>
        <v>0.11809737005965695</v>
      </c>
      <c r="W12" s="134">
        <f>V12+I12/3</f>
        <v>0.10542026342281877</v>
      </c>
      <c r="X12" s="134">
        <f>V12+I12/5</f>
        <v>0.11049110607755404</v>
      </c>
      <c r="Y12" s="134"/>
    </row>
    <row r="13" spans="1:27">
      <c r="U13" s="134">
        <f>C13*S13</f>
        <v>0</v>
      </c>
      <c r="V13" s="134">
        <f>(1+S13)*R12*(1-U13)+S13</f>
        <v>0</v>
      </c>
      <c r="W13" s="134">
        <f>V13+I13/3</f>
        <v>0</v>
      </c>
      <c r="X13" s="134">
        <f>V13+I13/5</f>
        <v>0</v>
      </c>
      <c r="Y13" s="134"/>
    </row>
    <row r="14" spans="1:27">
      <c r="A14" t="s">
        <v>199</v>
      </c>
      <c r="B14" t="s">
        <v>34</v>
      </c>
      <c r="C14" s="73">
        <v>1.75</v>
      </c>
      <c r="D14" s="2">
        <v>1.01</v>
      </c>
      <c r="E14" s="17">
        <f>1-D14/C14</f>
        <v>0.42285714285714282</v>
      </c>
      <c r="F14" s="76">
        <v>2.09</v>
      </c>
      <c r="G14" s="17">
        <f>F14/C14-1</f>
        <v>0.19428571428571417</v>
      </c>
      <c r="H14" s="17">
        <f>1.36/C14-1</f>
        <v>-0.22285714285714275</v>
      </c>
      <c r="I14" s="17">
        <f>1.43/C14-1</f>
        <v>-0.18285714285714294</v>
      </c>
      <c r="J14" s="17">
        <f>1.55/C14-1</f>
        <v>-0.11428571428571421</v>
      </c>
      <c r="W14" s="134">
        <f>V12+I14/3</f>
        <v>5.7144989107275973E-2</v>
      </c>
      <c r="X14" s="134">
        <f>V12+I14/5</f>
        <v>8.1525941488228365E-2</v>
      </c>
      <c r="Y14" s="134"/>
    </row>
    <row r="15" spans="1:27">
      <c r="W15" s="134">
        <f>V13+I15/3</f>
        <v>0</v>
      </c>
      <c r="X15" s="134">
        <f>V13+I15/5</f>
        <v>0</v>
      </c>
      <c r="Y15" s="134"/>
    </row>
    <row r="17" spans="1:35">
      <c r="A17" t="s">
        <v>200</v>
      </c>
      <c r="B17" t="s">
        <v>30</v>
      </c>
      <c r="C17" s="83">
        <v>9.68</v>
      </c>
      <c r="D17" s="2">
        <v>6.72</v>
      </c>
      <c r="E17" s="17">
        <f>1-D17/C17</f>
        <v>0.30578512396694213</v>
      </c>
      <c r="F17" s="76">
        <v>11.13</v>
      </c>
      <c r="G17" s="17">
        <f>F17/C17-1</f>
        <v>0.14979338842975221</v>
      </c>
      <c r="H17" s="17">
        <f>8.57/C17-1</f>
        <v>-0.11466942148760328</v>
      </c>
      <c r="I17" s="17">
        <f>9.31/C17-1</f>
        <v>-3.8223140495867725E-2</v>
      </c>
      <c r="J17" s="17">
        <f>10.28/C17-1</f>
        <v>6.198347107438007E-2</v>
      </c>
      <c r="Q17" s="109">
        <f>C19/C17</f>
        <v>0.11983471074380164</v>
      </c>
      <c r="S17" s="108">
        <v>3.4799999999999998E-2</v>
      </c>
      <c r="U17" s="134">
        <f>C17*S17</f>
        <v>0.33686399999999994</v>
      </c>
      <c r="V17" s="112">
        <f>(1+S17)*Q17*(1-U17)+S17</f>
        <v>0.11703215227768594</v>
      </c>
      <c r="W17" s="134">
        <f>V17+I17/3</f>
        <v>0.10429110544573003</v>
      </c>
      <c r="X17" s="134">
        <f>V17+I17/5</f>
        <v>0.1093875241785124</v>
      </c>
      <c r="Y17" s="134"/>
    </row>
    <row r="18" spans="1:35">
      <c r="U18" s="134">
        <f>C18*S18</f>
        <v>0</v>
      </c>
      <c r="V18" s="134">
        <f>(1+S18)*R17*(1-U18)+S18</f>
        <v>0</v>
      </c>
      <c r="W18" s="134">
        <f>V18+I18/3</f>
        <v>0</v>
      </c>
      <c r="X18" s="134">
        <f>V18+I18/5</f>
        <v>0</v>
      </c>
      <c r="Y18" s="134"/>
    </row>
    <row r="19" spans="1:35">
      <c r="A19" t="s">
        <v>201</v>
      </c>
      <c r="B19" t="s">
        <v>34</v>
      </c>
      <c r="C19" s="82">
        <v>1.1599999999999999</v>
      </c>
      <c r="D19" s="2">
        <v>0.86</v>
      </c>
      <c r="E19" s="17">
        <f>1-D19/C19</f>
        <v>0.25862068965517238</v>
      </c>
      <c r="F19" s="3">
        <v>1.68</v>
      </c>
      <c r="G19" s="17">
        <f>F19/C19-1</f>
        <v>0.44827586206896552</v>
      </c>
      <c r="H19" s="17">
        <f>1.18/C19-1</f>
        <v>1.7241379310344751E-2</v>
      </c>
      <c r="I19" s="17">
        <f>1.3/C19-1</f>
        <v>0.12068965517241392</v>
      </c>
      <c r="J19" s="17">
        <f>1.61/C19-1</f>
        <v>0.3879310344827589</v>
      </c>
      <c r="W19" s="112">
        <f>V17+I19/3</f>
        <v>0.15726203733515726</v>
      </c>
      <c r="X19" s="134">
        <f>V17+I19/5</f>
        <v>0.14117008331216874</v>
      </c>
      <c r="Y19" s="134"/>
    </row>
    <row r="20" spans="1:35">
      <c r="W20" s="134">
        <f>V18+I20/3</f>
        <v>0</v>
      </c>
      <c r="X20" s="134">
        <f>V18+I20/5</f>
        <v>0</v>
      </c>
      <c r="Y20" s="134"/>
    </row>
    <row r="22" spans="1:35">
      <c r="A22" t="s">
        <v>202</v>
      </c>
      <c r="B22" t="s">
        <v>30</v>
      </c>
      <c r="C22">
        <v>21.36</v>
      </c>
      <c r="Q22" s="109">
        <f>C24/C22</f>
        <v>0.2443820224719101</v>
      </c>
      <c r="S22" s="108">
        <v>1.6000000000000001E-3</v>
      </c>
      <c r="U22" s="134">
        <f>C22*S22</f>
        <v>3.4175999999999998E-2</v>
      </c>
      <c r="V22" s="134">
        <f>(1+S22)*Q22*(1-U22)+S22</f>
        <v>0.23800767050786514</v>
      </c>
      <c r="W22" s="134">
        <f>V22+I22/3</f>
        <v>0.23800767050786514</v>
      </c>
      <c r="X22" s="134">
        <f>V22+I22/5</f>
        <v>0.23800767050786514</v>
      </c>
      <c r="Y22" s="134"/>
    </row>
    <row r="23" spans="1:35">
      <c r="A23" t="s">
        <v>203</v>
      </c>
      <c r="U23" s="134">
        <f>C23*S23</f>
        <v>0</v>
      </c>
      <c r="V23" s="134">
        <f>(1+S23)*R22*(1-U23)+S23</f>
        <v>0</v>
      </c>
      <c r="W23" s="134">
        <f>V23+I23/3</f>
        <v>0</v>
      </c>
      <c r="X23" s="134">
        <f>V23+I23/5</f>
        <v>0</v>
      </c>
      <c r="Y23" s="134"/>
    </row>
    <row r="24" spans="1:35">
      <c r="B24" t="s">
        <v>34</v>
      </c>
      <c r="C24">
        <v>5.22</v>
      </c>
      <c r="W24" s="134">
        <f>V22+I24/3</f>
        <v>0.23800767050786514</v>
      </c>
      <c r="X24" s="134">
        <f>V22+I24/5</f>
        <v>0.23800767050786514</v>
      </c>
      <c r="Y24" s="134"/>
    </row>
    <row r="25" spans="1:35">
      <c r="W25" s="134">
        <f>V23+I25/3</f>
        <v>0</v>
      </c>
      <c r="X25" s="134">
        <f>V23+I25/5</f>
        <v>0</v>
      </c>
      <c r="Y25" s="134"/>
    </row>
    <row r="27" spans="1:35">
      <c r="A27" t="s">
        <v>204</v>
      </c>
      <c r="B27" t="s">
        <v>30</v>
      </c>
      <c r="C27">
        <v>21.57</v>
      </c>
      <c r="D27" s="2">
        <v>13.69</v>
      </c>
      <c r="E27" s="17">
        <f>1-D27/C27</f>
        <v>0.36532220676866023</v>
      </c>
      <c r="F27" s="3">
        <v>27.65</v>
      </c>
      <c r="H27" s="17">
        <f>18.04/C27-1</f>
        <v>-0.16365322206768662</v>
      </c>
      <c r="I27" s="17">
        <f>20.19/C27-1</f>
        <v>-6.3977746870653607E-2</v>
      </c>
      <c r="J27" s="17">
        <f>22.97/C27-1</f>
        <v>6.4904960593416661E-2</v>
      </c>
      <c r="Q27" s="109">
        <f>C29/C27</f>
        <v>0.15484469170143716</v>
      </c>
      <c r="S27" s="108">
        <v>1.8599999999999998E-2</v>
      </c>
      <c r="U27" s="134">
        <f>C27*S27</f>
        <v>0.40120199999999995</v>
      </c>
      <c r="V27" s="134">
        <f>(1+S27)*Q27*(1-U27)+S27</f>
        <v>0.1130452965670839</v>
      </c>
      <c r="W27" s="134">
        <f>V27+I27/3</f>
        <v>9.17193809435327E-2</v>
      </c>
      <c r="X27" s="134">
        <f>V27+J27/5</f>
        <v>0.12602628868576723</v>
      </c>
      <c r="Y27" s="134"/>
    </row>
    <row r="28" spans="1:35">
      <c r="U28" s="134">
        <f>C28*S28</f>
        <v>0</v>
      </c>
      <c r="V28" s="134">
        <f>(1+S28)*R27*(1-U28)+S28</f>
        <v>0</v>
      </c>
      <c r="W28" s="134">
        <f>V28+J28/3</f>
        <v>0</v>
      </c>
      <c r="X28" s="134">
        <f>V28+J28/5</f>
        <v>0</v>
      </c>
      <c r="Y28" s="134"/>
    </row>
    <row r="29" spans="1:35">
      <c r="B29" t="s">
        <v>34</v>
      </c>
      <c r="C29">
        <v>3.34</v>
      </c>
      <c r="D29" s="2">
        <v>1.96</v>
      </c>
      <c r="E29" s="17">
        <f>1-D29/C29</f>
        <v>0.41317365269461082</v>
      </c>
      <c r="F29" s="3">
        <v>3.49</v>
      </c>
      <c r="H29" s="17">
        <f>2.55/C29-1</f>
        <v>-0.23652694610778446</v>
      </c>
      <c r="I29" s="17">
        <f>2.73/C29-1</f>
        <v>-0.1826347305389221</v>
      </c>
      <c r="J29" s="17">
        <f>2.88/C29-1</f>
        <v>-0.13772455089820357</v>
      </c>
      <c r="W29" s="134">
        <f>V27+I29/3</f>
        <v>5.2167053054109867E-2</v>
      </c>
      <c r="X29" s="134">
        <f>V27+J29/5</f>
        <v>8.5500386387443186E-2</v>
      </c>
      <c r="Y29" s="134"/>
    </row>
    <row r="30" spans="1:35">
      <c r="W30" s="134">
        <f>V28+I30/3</f>
        <v>0</v>
      </c>
      <c r="X30" s="134">
        <f>V28+I30/5</f>
        <v>0</v>
      </c>
      <c r="Y30" s="134"/>
    </row>
    <row r="32" spans="1:35">
      <c r="A32" t="s">
        <v>205</v>
      </c>
      <c r="B32" t="s">
        <v>30</v>
      </c>
      <c r="C32" s="72">
        <v>15.05</v>
      </c>
      <c r="D32" s="2">
        <v>8.76</v>
      </c>
      <c r="E32" s="99">
        <f>1-D32/C32</f>
        <v>0.41794019933554827</v>
      </c>
      <c r="H32" s="17">
        <f>12.25/C32-1</f>
        <v>-0.18604651162790697</v>
      </c>
      <c r="I32" s="17">
        <f>16.5/C32-1</f>
        <v>9.6345514950165967E-2</v>
      </c>
      <c r="J32" s="17">
        <f>20/C32-1</f>
        <v>0.32890365448504988</v>
      </c>
      <c r="Q32" s="109">
        <f>C34/C32</f>
        <v>0.10498338870431893</v>
      </c>
      <c r="S32" s="108">
        <v>1.6500000000000001E-2</v>
      </c>
      <c r="U32" s="134">
        <f>C32*S32</f>
        <v>0.24832500000000002</v>
      </c>
      <c r="V32" s="134">
        <f>(1+S32)*Q32*(1-U32)+S32</f>
        <v>9.6715459617940189E-2</v>
      </c>
      <c r="W32" s="112">
        <f>V32+I32/3</f>
        <v>0.12883063126799552</v>
      </c>
      <c r="X32" s="134">
        <f>V32+I32/5</f>
        <v>0.11598456260797338</v>
      </c>
      <c r="Y32" s="134"/>
      <c r="Z32" s="110"/>
      <c r="AA32" s="110"/>
      <c r="AB32" s="110"/>
      <c r="AC32" s="134"/>
      <c r="AD32" s="134"/>
      <c r="AE32" s="134"/>
      <c r="AF32" s="134"/>
      <c r="AH32" s="109"/>
      <c r="AI32" s="111"/>
    </row>
    <row r="33" spans="1:35">
      <c r="E33" s="99"/>
      <c r="S33" s="109"/>
      <c r="U33" s="134"/>
      <c r="V33" s="134">
        <f>(1+S33)*R32*(1-U33)+S33</f>
        <v>0</v>
      </c>
      <c r="W33" s="134">
        <f>V33+I33/3</f>
        <v>0</v>
      </c>
      <c r="X33" s="134">
        <f>V33+I33/5</f>
        <v>0</v>
      </c>
      <c r="Y33" s="134"/>
      <c r="Z33" s="110"/>
      <c r="AA33" s="110"/>
      <c r="AB33" s="110"/>
      <c r="AC33" s="134"/>
      <c r="AD33" s="134"/>
      <c r="AE33" s="134"/>
      <c r="AF33" s="134"/>
      <c r="AH33" s="109"/>
      <c r="AI33" s="111"/>
    </row>
    <row r="34" spans="1:35">
      <c r="B34" t="s">
        <v>34</v>
      </c>
      <c r="C34" s="83">
        <v>1.58</v>
      </c>
      <c r="D34" s="2">
        <v>1.1399999999999999</v>
      </c>
      <c r="E34" s="99">
        <f>1-D34/C34</f>
        <v>0.27848101265822789</v>
      </c>
      <c r="H34" s="17">
        <f>1.2/C34-1</f>
        <v>-0.24050632911392411</v>
      </c>
      <c r="I34" s="17">
        <f>1.54/C34-1</f>
        <v>-2.5316455696202556E-2</v>
      </c>
      <c r="J34" s="17">
        <f>1.8/C34-1</f>
        <v>0.139240506329114</v>
      </c>
      <c r="S34" s="109"/>
      <c r="W34" s="134">
        <f>V32+I34/3</f>
        <v>8.8276641052539337E-2</v>
      </c>
      <c r="X34" s="134">
        <f>V32+I34/5</f>
        <v>9.1652168478699683E-2</v>
      </c>
      <c r="Y34" s="134"/>
      <c r="Z34" s="110"/>
      <c r="AA34" s="110"/>
      <c r="AB34" s="110"/>
      <c r="AC34" s="134"/>
      <c r="AD34" s="134"/>
      <c r="AE34" s="134"/>
      <c r="AF34" s="134"/>
      <c r="AH34" s="109"/>
      <c r="AI34" s="111"/>
    </row>
    <row r="35" spans="1:35">
      <c r="E35" s="99"/>
      <c r="S35" s="109"/>
      <c r="W35" s="134">
        <f>V33+I35/3</f>
        <v>0</v>
      </c>
      <c r="X35" s="134">
        <f>V33+I35/5</f>
        <v>0</v>
      </c>
      <c r="Y35" s="134"/>
      <c r="Z35" s="110"/>
      <c r="AA35" s="110"/>
      <c r="AB35" s="110"/>
      <c r="AC35" s="134"/>
      <c r="AD35" s="134"/>
      <c r="AE35" s="134"/>
      <c r="AF35" s="134"/>
      <c r="AH35" s="109"/>
      <c r="AI35" s="111"/>
    </row>
    <row r="36" spans="1:35">
      <c r="S36" s="109"/>
      <c r="AC36" s="134"/>
      <c r="AD36" s="134"/>
      <c r="AE36" s="134"/>
      <c r="AF36" s="134"/>
      <c r="AH36" s="109"/>
      <c r="AI36" s="111"/>
    </row>
    <row r="37" spans="1:35">
      <c r="A37" t="s">
        <v>206</v>
      </c>
      <c r="B37" t="s">
        <v>30</v>
      </c>
      <c r="C37">
        <v>29.97</v>
      </c>
      <c r="D37" s="2">
        <v>20.72</v>
      </c>
      <c r="E37" s="99">
        <f>1-D37/C37</f>
        <v>0.30864197530864201</v>
      </c>
      <c r="I37" s="17">
        <f>22.62/C37-1</f>
        <v>-0.24524524524524516</v>
      </c>
      <c r="Q37" s="109">
        <f>C39/C37</f>
        <v>0.14147480814147481</v>
      </c>
      <c r="S37" s="108">
        <v>1.4500000000000001E-2</v>
      </c>
      <c r="U37" s="134">
        <f>C37*S37</f>
        <v>0.43456499999999998</v>
      </c>
      <c r="V37" s="134">
        <f>(1+S37)*Q37*(1-U37)+S37</f>
        <v>9.5654732859526193E-2</v>
      </c>
      <c r="W37" s="134">
        <f>V37+I37/3</f>
        <v>1.3906317777777802E-2</v>
      </c>
      <c r="X37" s="134">
        <f>V37+I37/5</f>
        <v>4.660568381047716E-2</v>
      </c>
      <c r="Y37" s="134"/>
      <c r="Z37" s="110"/>
      <c r="AA37" s="110"/>
      <c r="AB37" s="110"/>
      <c r="AC37" s="134"/>
      <c r="AD37" s="134"/>
      <c r="AE37" s="134"/>
      <c r="AF37" s="134"/>
      <c r="AH37" s="109"/>
      <c r="AI37" s="111"/>
    </row>
    <row r="38" spans="1:35">
      <c r="E38" s="99"/>
      <c r="S38" s="109"/>
      <c r="U38" s="134"/>
      <c r="V38" s="134">
        <f>(1+S38)*R37*(1-U38)+S38</f>
        <v>0</v>
      </c>
      <c r="W38" s="134">
        <f>V38+I38/3</f>
        <v>0</v>
      </c>
      <c r="X38" s="134">
        <f>V38+I38/5</f>
        <v>0</v>
      </c>
      <c r="Y38" s="134"/>
      <c r="Z38" s="110"/>
      <c r="AA38" s="110"/>
      <c r="AB38" s="110"/>
      <c r="AC38" s="134"/>
      <c r="AD38" s="134"/>
      <c r="AE38" s="134"/>
      <c r="AF38" s="134"/>
      <c r="AH38" s="109"/>
      <c r="AI38" s="111"/>
    </row>
    <row r="39" spans="1:35">
      <c r="B39" t="s">
        <v>34</v>
      </c>
      <c r="C39">
        <v>4.24</v>
      </c>
      <c r="D39" s="2">
        <v>3.01</v>
      </c>
      <c r="E39" s="99">
        <f>1-D39/C39</f>
        <v>0.29009433962264164</v>
      </c>
      <c r="I39" s="17">
        <f>3.85/C39-1</f>
        <v>-9.1981132075471761E-2</v>
      </c>
      <c r="S39" s="109"/>
      <c r="W39" s="134">
        <f>V37+I39/3</f>
        <v>6.4994355501035606E-2</v>
      </c>
      <c r="X39" s="134">
        <f>V37+I39/5</f>
        <v>7.7258506444431843E-2</v>
      </c>
      <c r="Y39" s="134"/>
      <c r="Z39" s="110"/>
      <c r="AA39" s="110"/>
      <c r="AB39" s="110"/>
      <c r="AC39" s="134"/>
      <c r="AD39" s="134"/>
      <c r="AE39" s="134"/>
      <c r="AF39" s="134"/>
      <c r="AH39" s="109"/>
      <c r="AI39" s="111"/>
    </row>
    <row r="40" spans="1:35">
      <c r="S40" s="109"/>
      <c r="W40" s="134">
        <f>V38+I40/3</f>
        <v>0</v>
      </c>
      <c r="X40" s="134">
        <f>V38+I40/5</f>
        <v>0</v>
      </c>
      <c r="Y40" s="134"/>
      <c r="Z40" s="110"/>
      <c r="AA40" s="110"/>
      <c r="AB40" s="110"/>
      <c r="AC40" s="134"/>
      <c r="AD40" s="134"/>
      <c r="AE40" s="134"/>
      <c r="AF40" s="134"/>
      <c r="AH40" s="109"/>
      <c r="AI40" s="111"/>
    </row>
    <row r="42" spans="1:35">
      <c r="U42" s="134"/>
      <c r="V42" s="134"/>
      <c r="W42" s="134"/>
      <c r="X42" s="134"/>
      <c r="Y42" s="134"/>
    </row>
    <row r="43" spans="1:35">
      <c r="U43" s="134"/>
      <c r="V43" s="134"/>
      <c r="W43" s="134"/>
      <c r="X43" s="134"/>
      <c r="Y43" s="134"/>
    </row>
    <row r="44" spans="1:35">
      <c r="W44" s="134"/>
      <c r="X44" s="134"/>
      <c r="Y44" s="134"/>
    </row>
    <row r="45" spans="1:35">
      <c r="W45" s="134"/>
      <c r="X45" s="134"/>
      <c r="Y45" s="134"/>
    </row>
    <row r="47" spans="1:35">
      <c r="U47" s="134"/>
      <c r="V47" s="134"/>
      <c r="W47" s="134"/>
      <c r="X47" s="134"/>
      <c r="Y47" s="134"/>
    </row>
    <row r="48" spans="1:35">
      <c r="U48" s="134"/>
      <c r="V48" s="134"/>
      <c r="W48" s="134"/>
      <c r="X48" s="134"/>
      <c r="Y48" s="134"/>
    </row>
    <row r="49" spans="21:25">
      <c r="W49" s="134"/>
      <c r="X49" s="134"/>
      <c r="Y49" s="134"/>
    </row>
    <row r="50" spans="21:25">
      <c r="W50" s="134"/>
      <c r="X50" s="134"/>
      <c r="Y50" s="134"/>
    </row>
    <row r="52" spans="21:25">
      <c r="U52" s="134"/>
      <c r="V52" s="134"/>
      <c r="W52" s="134"/>
      <c r="X52" s="134"/>
      <c r="Y52" s="134"/>
    </row>
    <row r="53" spans="21:25">
      <c r="U53" s="134"/>
      <c r="V53" s="134"/>
      <c r="W53" s="134"/>
      <c r="X53" s="134"/>
      <c r="Y53" s="134"/>
    </row>
    <row r="54" spans="21:25">
      <c r="W54" s="134"/>
      <c r="X54" s="134"/>
      <c r="Y54" s="134"/>
    </row>
    <row r="55" spans="21:25">
      <c r="W55" s="134"/>
      <c r="X55" s="134"/>
      <c r="Y55" s="134"/>
    </row>
    <row r="57" spans="21:25">
      <c r="U57" s="134"/>
      <c r="V57" s="134"/>
      <c r="W57" s="134"/>
      <c r="X57" s="134"/>
      <c r="Y57" s="134"/>
    </row>
    <row r="58" spans="21:25">
      <c r="U58" s="134"/>
      <c r="V58" s="134"/>
      <c r="W58" s="134"/>
      <c r="X58" s="134"/>
      <c r="Y58" s="134"/>
    </row>
    <row r="59" spans="21:25">
      <c r="W59" s="134"/>
      <c r="X59" s="134"/>
      <c r="Y59" s="134"/>
    </row>
    <row r="60" spans="21:25">
      <c r="W60" s="134"/>
      <c r="X60" s="134"/>
      <c r="Y60" s="134"/>
    </row>
    <row r="62" spans="21:25">
      <c r="U62" s="134"/>
      <c r="V62" s="134"/>
      <c r="W62" s="134"/>
      <c r="X62" s="134"/>
      <c r="Y62" s="134"/>
    </row>
    <row r="63" spans="21:25">
      <c r="U63" s="134"/>
      <c r="V63" s="134"/>
      <c r="W63" s="134"/>
      <c r="X63" s="134"/>
      <c r="Y63" s="134"/>
    </row>
    <row r="64" spans="21:25">
      <c r="W64" s="134"/>
      <c r="X64" s="134"/>
      <c r="Y64" s="134"/>
    </row>
    <row r="65" spans="21:25">
      <c r="W65" s="134"/>
      <c r="X65" s="134"/>
      <c r="Y65" s="134"/>
    </row>
    <row r="67" spans="21:25">
      <c r="U67" s="134"/>
      <c r="V67" s="134"/>
      <c r="W67" s="134"/>
      <c r="X67" s="134"/>
      <c r="Y67" s="134"/>
    </row>
    <row r="68" spans="21:25">
      <c r="U68" s="134"/>
      <c r="V68" s="134"/>
      <c r="W68" s="134"/>
      <c r="X68" s="134"/>
      <c r="Y68" s="134"/>
    </row>
    <row r="69" spans="21:25">
      <c r="W69" s="134"/>
      <c r="X69" s="134"/>
      <c r="Y69" s="134"/>
    </row>
    <row r="70" spans="21:25">
      <c r="W70" s="134"/>
      <c r="X70" s="134"/>
      <c r="Y70" s="134"/>
    </row>
    <row r="72" spans="21:25">
      <c r="U72" s="134"/>
      <c r="V72" s="134"/>
      <c r="W72" s="134"/>
      <c r="X72" s="134"/>
      <c r="Y72" s="134"/>
    </row>
    <row r="73" spans="21:25">
      <c r="U73" s="134"/>
      <c r="V73" s="134"/>
      <c r="W73" s="134"/>
      <c r="X73" s="134"/>
      <c r="Y73" s="134"/>
    </row>
    <row r="74" spans="21:25">
      <c r="W74" s="134"/>
      <c r="X74" s="134"/>
      <c r="Y74" s="134"/>
    </row>
    <row r="75" spans="21:25">
      <c r="W75" s="134"/>
      <c r="X75" s="134"/>
      <c r="Y75" s="134"/>
    </row>
    <row r="77" spans="21:25">
      <c r="U77" s="134"/>
      <c r="V77" s="134"/>
      <c r="W77" s="134"/>
      <c r="X77" s="134"/>
      <c r="Y77" s="134"/>
    </row>
    <row r="78" spans="21:25">
      <c r="U78" s="134"/>
      <c r="V78" s="134"/>
      <c r="W78" s="134"/>
      <c r="X78" s="134"/>
      <c r="Y78" s="134"/>
    </row>
    <row r="79" spans="21:25">
      <c r="W79" s="134"/>
      <c r="X79" s="134"/>
      <c r="Y79" s="134"/>
    </row>
    <row r="80" spans="21:25">
      <c r="W80" s="134"/>
      <c r="X80" s="134"/>
      <c r="Y80" s="134"/>
    </row>
    <row r="82" spans="21:25">
      <c r="U82" s="134"/>
      <c r="V82" s="134"/>
      <c r="W82" s="134"/>
      <c r="X82" s="134"/>
      <c r="Y82" s="134"/>
    </row>
    <row r="83" spans="21:25">
      <c r="U83" s="134"/>
      <c r="V83" s="134"/>
      <c r="W83" s="134"/>
      <c r="X83" s="134"/>
      <c r="Y83" s="134"/>
    </row>
    <row r="84" spans="21:25">
      <c r="W84" s="134"/>
      <c r="X84" s="134"/>
      <c r="Y84" s="134"/>
    </row>
    <row r="85" spans="21:25">
      <c r="W85" s="134"/>
      <c r="X85" s="134"/>
      <c r="Y85" s="134"/>
    </row>
    <row r="87" spans="21:25">
      <c r="U87" s="134"/>
      <c r="V87" s="134"/>
      <c r="W87" s="134"/>
      <c r="X87" s="134"/>
      <c r="Y87" s="134"/>
    </row>
    <row r="88" spans="21:25">
      <c r="U88" s="134"/>
      <c r="V88" s="134"/>
      <c r="W88" s="134"/>
      <c r="X88" s="134"/>
      <c r="Y88" s="134"/>
    </row>
    <row r="89" spans="21:25">
      <c r="W89" s="134"/>
      <c r="X89" s="134"/>
      <c r="Y89" s="134"/>
    </row>
    <row r="90" spans="21:25">
      <c r="W90" s="134"/>
      <c r="X90" s="134"/>
      <c r="Y90" s="134"/>
    </row>
    <row r="92" spans="21:25">
      <c r="U92" s="134"/>
      <c r="V92" s="134"/>
      <c r="W92" s="134"/>
      <c r="X92" s="134"/>
      <c r="Y92" s="134"/>
    </row>
    <row r="93" spans="21:25">
      <c r="U93" s="134"/>
      <c r="V93" s="134"/>
      <c r="W93" s="134"/>
      <c r="X93" s="134"/>
      <c r="Y93" s="134"/>
    </row>
    <row r="94" spans="21:25">
      <c r="W94" s="134"/>
      <c r="X94" s="134"/>
      <c r="Y94" s="134"/>
    </row>
    <row r="95" spans="21:25">
      <c r="W95" s="134"/>
      <c r="X95" s="134"/>
      <c r="Y95" s="134"/>
    </row>
    <row r="97" spans="21:25">
      <c r="U97" s="134"/>
      <c r="V97" s="134"/>
      <c r="W97" s="134"/>
      <c r="X97" s="134"/>
      <c r="Y97" s="134"/>
    </row>
    <row r="98" spans="21:25">
      <c r="U98" s="134"/>
      <c r="V98" s="134"/>
      <c r="W98" s="134"/>
      <c r="X98" s="134"/>
      <c r="Y98" s="134"/>
    </row>
    <row r="99" spans="21:25">
      <c r="W99" s="134"/>
      <c r="X99" s="134"/>
      <c r="Y99" s="134"/>
    </row>
    <row r="100" spans="21:25">
      <c r="W100" s="134"/>
      <c r="X100" s="134"/>
      <c r="Y100" s="134"/>
    </row>
    <row r="102" spans="21:25">
      <c r="U102" s="134"/>
      <c r="V102" s="134"/>
      <c r="W102" s="134"/>
      <c r="X102" s="134"/>
      <c r="Y102" s="134"/>
    </row>
    <row r="103" spans="21:25">
      <c r="U103" s="134"/>
      <c r="V103" s="134"/>
      <c r="W103" s="134"/>
      <c r="X103" s="134"/>
      <c r="Y103" s="134"/>
    </row>
    <row r="104" spans="21:25">
      <c r="W104" s="134"/>
      <c r="X104" s="134"/>
      <c r="Y104" s="134"/>
    </row>
    <row r="105" spans="21:25">
      <c r="W105" s="134"/>
      <c r="X105" s="134"/>
      <c r="Y105" s="134"/>
    </row>
    <row r="107" spans="21:25">
      <c r="U107" s="134"/>
      <c r="V107" s="134"/>
      <c r="W107" s="134"/>
      <c r="X107" s="134"/>
      <c r="Y107" s="134"/>
    </row>
    <row r="108" spans="21:25">
      <c r="U108" s="134"/>
      <c r="V108" s="134"/>
      <c r="W108" s="134"/>
      <c r="X108" s="134"/>
      <c r="Y108" s="134"/>
    </row>
    <row r="109" spans="21:25">
      <c r="W109" s="134"/>
      <c r="X109" s="134"/>
      <c r="Y109" s="134"/>
    </row>
    <row r="110" spans="21:25">
      <c r="W110" s="134"/>
      <c r="X110" s="134"/>
      <c r="Y110" s="134"/>
    </row>
    <row r="112" spans="21:25">
      <c r="U112" s="134"/>
      <c r="V112" s="134"/>
      <c r="W112" s="134"/>
      <c r="X112" s="134"/>
      <c r="Y112" s="134"/>
    </row>
    <row r="113" spans="21:25">
      <c r="U113" s="134"/>
      <c r="V113" s="134"/>
      <c r="W113" s="134"/>
      <c r="X113" s="134"/>
      <c r="Y113" s="134"/>
    </row>
    <row r="114" spans="21:25">
      <c r="W114" s="134"/>
      <c r="X114" s="134"/>
      <c r="Y114" s="134"/>
    </row>
    <row r="115" spans="21:25">
      <c r="W115" s="134"/>
      <c r="X115" s="134"/>
      <c r="Y115" s="134"/>
    </row>
    <row r="117" spans="21:25">
      <c r="U117" s="134"/>
      <c r="V117" s="134"/>
      <c r="W117" s="134"/>
      <c r="X117" s="134"/>
      <c r="Y117" s="134"/>
    </row>
    <row r="118" spans="21:25">
      <c r="U118" s="134"/>
      <c r="V118" s="134"/>
      <c r="W118" s="134"/>
      <c r="X118" s="134"/>
      <c r="Y118" s="134"/>
    </row>
    <row r="119" spans="21:25">
      <c r="W119" s="134"/>
      <c r="X119" s="134"/>
      <c r="Y119" s="134"/>
    </row>
    <row r="120" spans="21:25">
      <c r="W120" s="134"/>
      <c r="X120" s="134"/>
      <c r="Y120" s="134"/>
    </row>
    <row r="122" spans="21:25">
      <c r="U122" s="134"/>
      <c r="V122" s="134"/>
      <c r="W122" s="134"/>
      <c r="X122" s="134"/>
      <c r="Y122" s="134"/>
    </row>
    <row r="123" spans="21:25">
      <c r="U123" s="134"/>
      <c r="V123" s="134"/>
      <c r="W123" s="134"/>
      <c r="X123" s="134"/>
      <c r="Y123" s="134"/>
    </row>
    <row r="124" spans="21:25">
      <c r="W124" s="134"/>
      <c r="X124" s="134"/>
      <c r="Y124" s="134"/>
    </row>
    <row r="125" spans="21:25">
      <c r="W125" s="134"/>
      <c r="X125" s="134"/>
      <c r="Y125" s="134"/>
    </row>
    <row r="127" spans="21:25">
      <c r="U127" s="134"/>
      <c r="V127" s="134"/>
      <c r="W127" s="134"/>
      <c r="X127" s="134"/>
      <c r="Y127" s="134"/>
    </row>
    <row r="128" spans="21:25">
      <c r="U128" s="134"/>
      <c r="V128" s="134"/>
      <c r="W128" s="134"/>
      <c r="X128" s="134"/>
      <c r="Y128" s="134"/>
    </row>
    <row r="129" spans="21:25">
      <c r="W129" s="134"/>
      <c r="X129" s="134"/>
      <c r="Y129" s="134"/>
    </row>
    <row r="130" spans="21:25">
      <c r="W130" s="134"/>
      <c r="X130" s="134"/>
      <c r="Y130" s="134"/>
    </row>
    <row r="132" spans="21:25">
      <c r="U132" s="134"/>
      <c r="V132" s="134"/>
      <c r="W132" s="134"/>
      <c r="X132" s="134"/>
      <c r="Y132" s="134"/>
    </row>
    <row r="133" spans="21:25">
      <c r="U133" s="134"/>
      <c r="V133" s="134"/>
      <c r="W133" s="134"/>
      <c r="X133" s="134"/>
      <c r="Y133" s="134"/>
    </row>
    <row r="134" spans="21:25">
      <c r="W134" s="134"/>
      <c r="X134" s="134"/>
      <c r="Y134" s="134"/>
    </row>
    <row r="135" spans="21:25">
      <c r="W135" s="134"/>
      <c r="X135" s="134"/>
      <c r="Y135" s="134"/>
    </row>
    <row r="137" spans="21:25">
      <c r="U137" s="134"/>
      <c r="V137" s="134"/>
      <c r="W137" s="134"/>
      <c r="X137" s="134"/>
      <c r="Y137" s="134"/>
    </row>
    <row r="138" spans="21:25">
      <c r="U138" s="134"/>
      <c r="V138" s="134"/>
      <c r="W138" s="134"/>
      <c r="X138" s="134"/>
      <c r="Y138" s="134"/>
    </row>
    <row r="139" spans="21:25">
      <c r="W139" s="134"/>
      <c r="X139" s="134"/>
      <c r="Y139" s="134"/>
    </row>
    <row r="140" spans="21:25">
      <c r="W140" s="134"/>
      <c r="X140" s="134"/>
      <c r="Y140" s="134"/>
    </row>
    <row r="142" spans="21:25">
      <c r="U142" s="134"/>
      <c r="V142" s="134"/>
      <c r="W142" s="134"/>
      <c r="X142" s="134"/>
      <c r="Y142" s="134"/>
    </row>
    <row r="143" spans="21:25">
      <c r="U143" s="134"/>
      <c r="V143" s="134"/>
      <c r="W143" s="134"/>
      <c r="X143" s="134"/>
      <c r="Y143" s="134"/>
    </row>
    <row r="144" spans="21:25">
      <c r="W144" s="134"/>
      <c r="X144" s="134"/>
      <c r="Y144" s="134"/>
    </row>
    <row r="145" spans="21:25">
      <c r="W145" s="134"/>
      <c r="X145" s="134"/>
      <c r="Y145" s="134"/>
    </row>
    <row r="147" spans="21:25">
      <c r="U147" s="134"/>
      <c r="V147" s="134"/>
      <c r="W147" s="134"/>
      <c r="X147" s="134"/>
      <c r="Y147" s="134"/>
    </row>
    <row r="148" spans="21:25">
      <c r="U148" s="134"/>
      <c r="V148" s="134"/>
      <c r="W148" s="134"/>
      <c r="X148" s="134"/>
      <c r="Y148" s="134"/>
    </row>
    <row r="149" spans="21:25">
      <c r="W149" s="134"/>
      <c r="X149" s="134"/>
      <c r="Y149" s="134"/>
    </row>
    <row r="150" spans="21:25">
      <c r="W150" s="134"/>
      <c r="X150" s="134"/>
      <c r="Y150" s="134"/>
    </row>
    <row r="152" spans="21:25">
      <c r="U152" s="134"/>
      <c r="V152" s="134"/>
      <c r="W152" s="134"/>
      <c r="X152" s="134"/>
      <c r="Y152" s="134"/>
    </row>
    <row r="153" spans="21:25">
      <c r="U153" s="134"/>
      <c r="V153" s="134"/>
      <c r="W153" s="134"/>
      <c r="X153" s="134"/>
      <c r="Y153" s="134"/>
    </row>
    <row r="154" spans="21:25">
      <c r="W154" s="134"/>
      <c r="X154" s="134"/>
      <c r="Y154" s="134"/>
    </row>
    <row r="155" spans="21:25">
      <c r="W155" s="134"/>
      <c r="X155" s="134"/>
      <c r="Y155" s="134"/>
    </row>
    <row r="157" spans="21:25">
      <c r="U157" s="134"/>
      <c r="V157" s="134"/>
      <c r="W157" s="134"/>
      <c r="X157" s="134"/>
      <c r="Y157" s="134"/>
    </row>
    <row r="158" spans="21:25">
      <c r="U158" s="134"/>
      <c r="V158" s="134"/>
      <c r="W158" s="134"/>
      <c r="X158" s="134"/>
      <c r="Y158" s="134"/>
    </row>
    <row r="159" spans="21:25">
      <c r="W159" s="134"/>
      <c r="X159" s="134"/>
      <c r="Y159" s="134"/>
    </row>
    <row r="160" spans="21:25">
      <c r="W160" s="134"/>
      <c r="X160" s="134"/>
      <c r="Y160" s="134"/>
    </row>
    <row r="162" spans="21:25">
      <c r="U162" s="134"/>
      <c r="V162" s="134"/>
      <c r="W162" s="134"/>
      <c r="X162" s="134"/>
      <c r="Y162" s="134"/>
    </row>
    <row r="163" spans="21:25">
      <c r="U163" s="134"/>
      <c r="V163" s="134"/>
      <c r="W163" s="134"/>
      <c r="X163" s="134"/>
      <c r="Y163" s="134"/>
    </row>
    <row r="164" spans="21:25">
      <c r="W164" s="134"/>
      <c r="X164" s="134"/>
      <c r="Y164" s="134"/>
    </row>
    <row r="165" spans="21:25">
      <c r="W165" s="134"/>
      <c r="X165" s="134"/>
      <c r="Y165" s="134"/>
    </row>
    <row r="167" spans="21:25">
      <c r="U167" s="134"/>
      <c r="V167" s="134"/>
      <c r="W167" s="134"/>
      <c r="X167" s="134"/>
      <c r="Y167" s="134"/>
    </row>
    <row r="168" spans="21:25">
      <c r="U168" s="134"/>
      <c r="V168" s="134"/>
      <c r="W168" s="134"/>
      <c r="X168" s="134"/>
      <c r="Y168" s="134"/>
    </row>
    <row r="169" spans="21:25">
      <c r="W169" s="134"/>
      <c r="X169" s="134"/>
      <c r="Y169" s="134"/>
    </row>
    <row r="170" spans="21:25">
      <c r="W170" s="134"/>
      <c r="X170" s="134"/>
      <c r="Y170" s="134"/>
    </row>
    <row r="172" spans="21:25">
      <c r="U172" s="134"/>
      <c r="V172" s="134"/>
      <c r="W172" s="134"/>
      <c r="X172" s="134"/>
      <c r="Y172" s="134"/>
    </row>
    <row r="173" spans="21:25">
      <c r="U173" s="134"/>
      <c r="V173" s="134"/>
      <c r="W173" s="134"/>
      <c r="X173" s="134"/>
      <c r="Y173" s="134"/>
    </row>
    <row r="174" spans="21:25">
      <c r="W174" s="134"/>
      <c r="X174" s="134"/>
      <c r="Y174" s="134"/>
    </row>
    <row r="175" spans="21:25">
      <c r="W175" s="134"/>
      <c r="X175" s="134"/>
      <c r="Y175" s="134"/>
    </row>
    <row r="177" spans="21:25">
      <c r="U177" s="134"/>
      <c r="V177" s="134"/>
      <c r="W177" s="134"/>
      <c r="X177" s="134"/>
      <c r="Y177" s="134"/>
    </row>
    <row r="178" spans="21:25">
      <c r="U178" s="134"/>
      <c r="V178" s="134"/>
      <c r="W178" s="134"/>
      <c r="X178" s="134"/>
      <c r="Y178" s="134"/>
    </row>
    <row r="179" spans="21:25">
      <c r="W179" s="134"/>
      <c r="X179" s="134"/>
      <c r="Y179" s="134"/>
    </row>
    <row r="180" spans="21:25">
      <c r="W180" s="134"/>
      <c r="X180" s="134"/>
      <c r="Y180" s="134"/>
    </row>
    <row r="182" spans="21:25">
      <c r="U182" s="134"/>
      <c r="V182" s="134"/>
      <c r="W182" s="134"/>
      <c r="X182" s="134"/>
      <c r="Y182" s="134"/>
    </row>
    <row r="183" spans="21:25">
      <c r="U183" s="134"/>
      <c r="V183" s="134"/>
      <c r="W183" s="134"/>
      <c r="X183" s="134"/>
      <c r="Y183" s="134"/>
    </row>
    <row r="184" spans="21:25">
      <c r="W184" s="134"/>
      <c r="X184" s="134"/>
      <c r="Y184" s="134"/>
    </row>
    <row r="185" spans="21:25">
      <c r="W185" s="134"/>
      <c r="X185" s="134"/>
      <c r="Y185" s="134"/>
    </row>
    <row r="187" spans="21:25">
      <c r="U187" s="134"/>
      <c r="V187" s="134"/>
      <c r="W187" s="134"/>
      <c r="X187" s="134"/>
      <c r="Y187" s="134"/>
    </row>
    <row r="188" spans="21:25">
      <c r="U188" s="134"/>
      <c r="V188" s="134"/>
      <c r="W188" s="134"/>
      <c r="X188" s="134"/>
      <c r="Y188" s="134"/>
    </row>
    <row r="189" spans="21:25">
      <c r="W189" s="134"/>
      <c r="X189" s="134"/>
      <c r="Y189" s="134"/>
    </row>
    <row r="190" spans="21:25">
      <c r="W190" s="134"/>
      <c r="X190" s="134"/>
      <c r="Y190" s="134"/>
    </row>
    <row r="192" spans="21:25">
      <c r="U192" s="134"/>
      <c r="V192" s="134"/>
      <c r="W192" s="134"/>
      <c r="X192" s="134"/>
      <c r="Y192" s="134"/>
    </row>
    <row r="193" spans="21:25">
      <c r="U193" s="134"/>
      <c r="V193" s="134"/>
      <c r="W193" s="134"/>
      <c r="X193" s="134"/>
      <c r="Y193" s="134"/>
    </row>
    <row r="194" spans="21:25">
      <c r="W194" s="134"/>
      <c r="X194" s="134"/>
      <c r="Y194" s="134"/>
    </row>
    <row r="195" spans="21:25">
      <c r="W195" s="134"/>
      <c r="X195" s="134"/>
      <c r="Y195" s="134"/>
    </row>
    <row r="197" spans="21:25">
      <c r="U197" s="134"/>
      <c r="V197" s="134"/>
      <c r="W197" s="134"/>
      <c r="X197" s="134"/>
      <c r="Y197" s="134"/>
    </row>
    <row r="198" spans="21:25">
      <c r="U198" s="134"/>
      <c r="V198" s="134"/>
      <c r="W198" s="134"/>
      <c r="X198" s="134"/>
      <c r="Y198" s="134"/>
    </row>
    <row r="199" spans="21:25">
      <c r="W199" s="134"/>
      <c r="X199" s="134"/>
      <c r="Y199" s="134"/>
    </row>
    <row r="200" spans="21:25">
      <c r="W200" s="134"/>
      <c r="X200" s="134"/>
      <c r="Y200" s="134"/>
    </row>
    <row r="202" spans="21:25">
      <c r="U202" s="134"/>
      <c r="V202" s="134"/>
      <c r="W202" s="134"/>
      <c r="X202" s="134"/>
      <c r="Y202" s="134"/>
    </row>
    <row r="203" spans="21:25">
      <c r="U203" s="134"/>
      <c r="V203" s="134"/>
      <c r="W203" s="134"/>
      <c r="X203" s="134"/>
      <c r="Y203" s="134"/>
    </row>
    <row r="204" spans="21:25">
      <c r="W204" s="134"/>
      <c r="X204" s="134"/>
      <c r="Y204" s="134"/>
    </row>
    <row r="205" spans="21:25">
      <c r="W205" s="134"/>
      <c r="X205" s="134"/>
      <c r="Y205" s="134"/>
    </row>
    <row r="207" spans="21:25">
      <c r="U207" s="134"/>
      <c r="V207" s="134"/>
      <c r="W207" s="134"/>
      <c r="X207" s="134"/>
      <c r="Y207" s="134"/>
    </row>
    <row r="208" spans="21:25">
      <c r="U208" s="134"/>
      <c r="V208" s="134"/>
      <c r="W208" s="134"/>
      <c r="X208" s="134"/>
      <c r="Y208" s="134"/>
    </row>
    <row r="209" spans="21:25">
      <c r="W209" s="134"/>
      <c r="X209" s="134"/>
      <c r="Y209" s="134"/>
    </row>
    <row r="210" spans="21:25">
      <c r="W210" s="134"/>
      <c r="X210" s="134"/>
      <c r="Y210" s="134"/>
    </row>
    <row r="212" spans="21:25">
      <c r="U212" s="134"/>
      <c r="V212" s="134"/>
      <c r="W212" s="134"/>
      <c r="X212" s="134"/>
      <c r="Y212" s="134"/>
    </row>
    <row r="213" spans="21:25">
      <c r="U213" s="134"/>
      <c r="V213" s="134"/>
      <c r="W213" s="134"/>
      <c r="X213" s="134"/>
      <c r="Y213" s="134"/>
    </row>
    <row r="214" spans="21:25">
      <c r="W214" s="134"/>
      <c r="X214" s="134"/>
      <c r="Y214" s="134"/>
    </row>
    <row r="215" spans="21:25">
      <c r="W215" s="134"/>
      <c r="X215" s="134"/>
      <c r="Y215" s="134"/>
    </row>
    <row r="217" spans="21:25">
      <c r="U217" s="134"/>
      <c r="V217" s="134"/>
      <c r="W217" s="134"/>
      <c r="X217" s="134"/>
      <c r="Y217" s="134"/>
    </row>
    <row r="218" spans="21:25">
      <c r="U218" s="134"/>
      <c r="V218" s="134"/>
      <c r="W218" s="134"/>
      <c r="X218" s="134"/>
      <c r="Y218" s="134"/>
    </row>
    <row r="219" spans="21:25">
      <c r="W219" s="134"/>
      <c r="X219" s="134"/>
      <c r="Y219" s="134"/>
    </row>
    <row r="220" spans="21:25">
      <c r="W220" s="134"/>
      <c r="X220" s="134"/>
      <c r="Y220" s="134"/>
    </row>
    <row r="222" spans="21:25">
      <c r="U222" s="134"/>
      <c r="V222" s="134"/>
      <c r="W222" s="134"/>
      <c r="X222" s="134"/>
      <c r="Y222" s="134"/>
    </row>
    <row r="223" spans="21:25">
      <c r="U223" s="134"/>
      <c r="V223" s="134"/>
      <c r="W223" s="134"/>
      <c r="X223" s="134"/>
      <c r="Y223" s="134"/>
    </row>
    <row r="224" spans="21:25">
      <c r="W224" s="134"/>
      <c r="X224" s="134"/>
      <c r="Y224" s="134"/>
    </row>
    <row r="225" spans="21:25">
      <c r="W225" s="134"/>
      <c r="X225" s="134"/>
      <c r="Y225" s="134"/>
    </row>
    <row r="227" spans="21:25">
      <c r="U227" s="134"/>
      <c r="V227" s="134"/>
      <c r="W227" s="134"/>
      <c r="X227" s="134"/>
      <c r="Y227" s="134"/>
    </row>
    <row r="228" spans="21:25">
      <c r="U228" s="134"/>
      <c r="V228" s="134"/>
      <c r="W228" s="134"/>
      <c r="X228" s="134"/>
      <c r="Y228" s="134"/>
    </row>
    <row r="229" spans="21:25">
      <c r="W229" s="134"/>
      <c r="X229" s="134"/>
      <c r="Y229" s="134"/>
    </row>
    <row r="230" spans="21:25">
      <c r="W230" s="134"/>
      <c r="X230" s="134"/>
      <c r="Y230" s="134"/>
    </row>
    <row r="232" spans="21:25">
      <c r="U232" s="134"/>
      <c r="V232" s="134"/>
      <c r="W232" s="134"/>
      <c r="X232" s="134"/>
      <c r="Y232" s="134"/>
    </row>
    <row r="233" spans="21:25">
      <c r="U233" s="134"/>
      <c r="V233" s="134"/>
      <c r="W233" s="134"/>
      <c r="X233" s="134"/>
      <c r="Y233" s="134"/>
    </row>
    <row r="234" spans="21:25">
      <c r="W234" s="134"/>
      <c r="X234" s="134"/>
      <c r="Y234" s="134"/>
    </row>
    <row r="235" spans="21:25">
      <c r="W235" s="134"/>
      <c r="X235" s="134"/>
      <c r="Y235" s="134"/>
    </row>
    <row r="237" spans="21:25">
      <c r="U237" s="134"/>
      <c r="V237" s="134"/>
      <c r="W237" s="134"/>
      <c r="X237" s="134"/>
      <c r="Y237" s="134"/>
    </row>
    <row r="238" spans="21:25">
      <c r="U238" s="134"/>
      <c r="V238" s="134"/>
      <c r="W238" s="134"/>
      <c r="X238" s="134"/>
      <c r="Y238" s="134"/>
    </row>
    <row r="239" spans="21:25">
      <c r="W239" s="134"/>
      <c r="X239" s="134"/>
      <c r="Y239" s="134"/>
    </row>
    <row r="240" spans="21:25">
      <c r="W240" s="134"/>
      <c r="X240" s="134"/>
      <c r="Y240" s="134"/>
    </row>
    <row r="242" spans="21:25">
      <c r="U242" s="134"/>
      <c r="V242" s="134"/>
      <c r="W242" s="134"/>
      <c r="X242" s="134"/>
      <c r="Y242" s="134"/>
    </row>
    <row r="243" spans="21:25">
      <c r="U243" s="134"/>
      <c r="V243" s="134"/>
      <c r="W243" s="134"/>
      <c r="X243" s="134"/>
      <c r="Y243" s="134"/>
    </row>
    <row r="244" spans="21:25">
      <c r="W244" s="134"/>
      <c r="X244" s="134"/>
      <c r="Y244" s="134"/>
    </row>
    <row r="245" spans="21:25">
      <c r="W245" s="134"/>
      <c r="X245" s="134"/>
      <c r="Y245" s="134"/>
    </row>
    <row r="247" spans="21:25">
      <c r="U247" s="134"/>
      <c r="V247" s="134"/>
      <c r="W247" s="134"/>
      <c r="X247" s="134"/>
      <c r="Y247" s="134"/>
    </row>
    <row r="248" spans="21:25">
      <c r="U248" s="134"/>
      <c r="V248" s="134"/>
      <c r="W248" s="134"/>
      <c r="X248" s="134"/>
      <c r="Y248" s="134"/>
    </row>
    <row r="249" spans="21:25">
      <c r="W249" s="134"/>
      <c r="X249" s="134"/>
      <c r="Y249" s="134"/>
    </row>
    <row r="250" spans="21:25">
      <c r="W250" s="134"/>
      <c r="X250" s="134"/>
      <c r="Y250" s="134"/>
    </row>
    <row r="252" spans="21:25">
      <c r="U252" s="134"/>
      <c r="V252" s="134"/>
      <c r="W252" s="134"/>
      <c r="X252" s="134"/>
      <c r="Y252" s="134"/>
    </row>
    <row r="253" spans="21:25">
      <c r="U253" s="134"/>
      <c r="V253" s="134"/>
      <c r="W253" s="134"/>
      <c r="X253" s="134"/>
      <c r="Y253" s="134"/>
    </row>
    <row r="254" spans="21:25">
      <c r="W254" s="134"/>
      <c r="X254" s="134"/>
      <c r="Y254" s="134"/>
    </row>
    <row r="255" spans="21:25">
      <c r="W255" s="134"/>
      <c r="X255" s="134"/>
      <c r="Y255" s="134"/>
    </row>
    <row r="257" spans="21:25">
      <c r="U257" s="134"/>
      <c r="V257" s="134"/>
      <c r="W257" s="134"/>
      <c r="X257" s="134"/>
      <c r="Y257" s="134"/>
    </row>
    <row r="258" spans="21:25">
      <c r="U258" s="134"/>
      <c r="V258" s="134"/>
      <c r="W258" s="134"/>
      <c r="X258" s="134"/>
      <c r="Y258" s="134"/>
    </row>
    <row r="259" spans="21:25">
      <c r="W259" s="134"/>
      <c r="X259" s="134"/>
      <c r="Y259" s="134"/>
    </row>
    <row r="260" spans="21:25">
      <c r="W260" s="134"/>
      <c r="X260" s="134"/>
      <c r="Y260" s="134"/>
    </row>
    <row r="262" spans="21:25">
      <c r="U262" s="134"/>
      <c r="V262" s="134"/>
      <c r="W262" s="134"/>
      <c r="X262" s="134"/>
      <c r="Y262" s="134"/>
    </row>
    <row r="263" spans="21:25">
      <c r="U263" s="134"/>
      <c r="V263" s="134"/>
      <c r="W263" s="134"/>
      <c r="X263" s="134"/>
      <c r="Y263" s="134"/>
    </row>
    <row r="264" spans="21:25">
      <c r="W264" s="134"/>
      <c r="X264" s="134"/>
      <c r="Y264" s="134"/>
    </row>
    <row r="265" spans="21:25">
      <c r="W265" s="134"/>
      <c r="X265" s="134"/>
      <c r="Y265" s="134"/>
    </row>
    <row r="267" spans="21:25">
      <c r="U267" s="134"/>
      <c r="V267" s="134"/>
      <c r="W267" s="134"/>
      <c r="X267" s="134"/>
      <c r="Y267" s="134"/>
    </row>
    <row r="268" spans="21:25">
      <c r="U268" s="134"/>
      <c r="V268" s="134"/>
      <c r="W268" s="134"/>
      <c r="X268" s="134"/>
      <c r="Y268" s="134"/>
    </row>
    <row r="269" spans="21:25">
      <c r="W269" s="134"/>
      <c r="X269" s="134"/>
      <c r="Y269" s="134"/>
    </row>
    <row r="270" spans="21:25">
      <c r="W270" s="134"/>
      <c r="X270" s="134"/>
      <c r="Y270" s="134"/>
    </row>
    <row r="272" spans="21:25">
      <c r="U272" s="134"/>
      <c r="V272" s="134"/>
      <c r="W272" s="134"/>
      <c r="X272" s="134"/>
      <c r="Y272" s="134"/>
    </row>
    <row r="273" spans="21:25">
      <c r="U273" s="134"/>
      <c r="V273" s="134"/>
      <c r="W273" s="134"/>
      <c r="X273" s="134"/>
      <c r="Y273" s="134"/>
    </row>
    <row r="274" spans="21:25">
      <c r="W274" s="134"/>
      <c r="X274" s="134"/>
      <c r="Y274" s="134"/>
    </row>
    <row r="275" spans="21:25">
      <c r="W275" s="134"/>
      <c r="X275" s="134"/>
      <c r="Y275" s="134"/>
    </row>
    <row r="277" spans="21:25">
      <c r="U277" s="134"/>
      <c r="V277" s="134"/>
      <c r="W277" s="134"/>
      <c r="X277" s="134"/>
      <c r="Y277" s="134"/>
    </row>
    <row r="278" spans="21:25">
      <c r="U278" s="134"/>
      <c r="V278" s="134"/>
      <c r="W278" s="134"/>
      <c r="X278" s="134"/>
      <c r="Y278" s="134"/>
    </row>
    <row r="279" spans="21:25">
      <c r="W279" s="134"/>
      <c r="X279" s="134"/>
      <c r="Y279" s="134"/>
    </row>
    <row r="280" spans="21:25">
      <c r="W280" s="134"/>
      <c r="X280" s="134"/>
      <c r="Y280" s="134"/>
    </row>
  </sheetData>
  <conditionalFormatting sqref="E1:E1048576">
    <cfRule type="dataBar" priority="1">
      <dataBar>
        <cfvo type="min"/>
        <cfvo type="max"/>
        <color rgb="FF638EC6"/>
      </dataBar>
    </cfRule>
  </conditionalFormatting>
  <conditionalFormatting sqref="G1:G1048576">
    <cfRule type="dataBar" priority="9">
      <dataBar>
        <cfvo type="min"/>
        <cfvo type="max"/>
        <color rgb="FF638EC6"/>
      </dataBar>
    </cfRule>
  </conditionalFormatting>
  <conditionalFormatting sqref="H1:H1048576">
    <cfRule type="dataBar" priority="8">
      <dataBar>
        <cfvo type="min"/>
        <cfvo type="max"/>
        <color rgb="FF638EC6"/>
      </dataBar>
    </cfRule>
  </conditionalFormatting>
  <conditionalFormatting sqref="I1:I1048576">
    <cfRule type="dataBar" priority="7">
      <dataBar>
        <cfvo type="min"/>
        <cfvo type="max"/>
        <color rgb="FF638EC6"/>
      </dataBar>
    </cfRule>
  </conditionalFormatting>
  <conditionalFormatting sqref="J1:J1048576">
    <cfRule type="dataBar" priority="6">
      <dataBar>
        <cfvo type="min"/>
        <cfvo type="max"/>
        <color rgb="FF638EC6"/>
      </dataBar>
    </cfRule>
  </conditionalFormatting>
  <conditionalFormatting sqref="Q1:Q1048576">
    <cfRule type="dataBar" priority="5">
      <dataBar>
        <cfvo type="min"/>
        <cfvo type="max"/>
        <color rgb="FF638EC6"/>
      </dataBar>
    </cfRule>
  </conditionalFormatting>
  <conditionalFormatting sqref="R1:R1048576">
    <cfRule type="dataBar" priority="4">
      <dataBar>
        <cfvo type="min"/>
        <cfvo type="max"/>
        <color rgb="FF638EC6"/>
      </dataBar>
    </cfRule>
  </conditionalFormatting>
  <conditionalFormatting sqref="V1:V1048576">
    <cfRule type="dataBar" priority="3">
      <dataBar>
        <cfvo type="min"/>
        <cfvo type="max"/>
        <color rgb="FF638EC6"/>
      </dataBar>
    </cfRule>
  </conditionalFormatting>
  <conditionalFormatting sqref="W1:W1048576">
    <cfRule type="dataBar" priority="2">
      <dataBar>
        <cfvo type="min"/>
        <cfvo type="max"/>
        <color rgb="FF638EC6"/>
      </dataBar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13"/>
  <sheetViews>
    <sheetView topLeftCell="A9" zoomScale="116" workbookViewId="0">
      <pane xSplit="1" topLeftCell="I1" activePane="topRight" state="frozen"/>
      <selection pane="topRight" activeCell="M18" sqref="M18"/>
    </sheetView>
  </sheetViews>
  <sheetFormatPr baseColWidth="10" defaultRowHeight="16"/>
  <cols>
    <col min="4" max="4" width="18.33203125" style="2" customWidth="1"/>
    <col min="5" max="5" width="19.6640625" style="13" customWidth="1"/>
    <col min="6" max="6" width="19.5" style="2" customWidth="1"/>
    <col min="7" max="7" width="21" style="13" customWidth="1"/>
    <col min="8" max="8" width="21.6640625" style="13" customWidth="1"/>
    <col min="9" max="10" width="19.6640625" style="13" customWidth="1"/>
    <col min="11" max="11" width="22.5" style="2" customWidth="1"/>
    <col min="12" max="12" width="16.5" style="88" customWidth="1"/>
    <col min="13" max="13" width="21" style="15" customWidth="1"/>
    <col min="14" max="14" width="10.83203125" style="88" customWidth="1"/>
    <col min="15" max="15" width="22.1640625" style="15" customWidth="1"/>
    <col min="16" max="16" width="22" style="88" customWidth="1"/>
    <col min="17" max="17" width="11.83203125" style="109" customWidth="1"/>
    <col min="18" max="19" width="10.83203125" style="109" customWidth="1"/>
    <col min="21" max="21" width="15.1640625" style="182" customWidth="1"/>
    <col min="22" max="22" width="19.1640625" style="109" customWidth="1"/>
    <col min="23" max="24" width="20.33203125" style="182" bestFit="1" customWidth="1"/>
    <col min="25" max="25" width="20.33203125" style="109" customWidth="1"/>
    <col min="26" max="26" width="20.33203125" style="134" customWidth="1"/>
    <col min="27" max="27" width="29" style="182" customWidth="1"/>
  </cols>
  <sheetData>
    <row r="1" spans="1:27" s="86" customFormat="1">
      <c r="A1" t="s">
        <v>0</v>
      </c>
      <c r="C1" s="86" t="s">
        <v>1</v>
      </c>
      <c r="D1" s="4" t="s">
        <v>2</v>
      </c>
      <c r="E1" s="14" t="s">
        <v>3</v>
      </c>
      <c r="F1" s="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4" t="s">
        <v>9</v>
      </c>
      <c r="L1" s="8" t="s">
        <v>10</v>
      </c>
      <c r="M1" s="16" t="s">
        <v>11</v>
      </c>
      <c r="N1" s="8" t="s">
        <v>12</v>
      </c>
      <c r="O1" s="16" t="s">
        <v>13</v>
      </c>
      <c r="P1" s="8" t="s">
        <v>14</v>
      </c>
      <c r="Q1" s="78" t="s">
        <v>15</v>
      </c>
      <c r="R1" s="78" t="s">
        <v>16</v>
      </c>
      <c r="S1" s="109" t="s">
        <v>17</v>
      </c>
      <c r="T1" t="s">
        <v>18</v>
      </c>
      <c r="U1" s="77" t="s">
        <v>19</v>
      </c>
      <c r="V1" s="78" t="s">
        <v>20</v>
      </c>
      <c r="W1" s="86" t="s">
        <v>190</v>
      </c>
      <c r="X1" s="86" t="s">
        <v>191</v>
      </c>
      <c r="Y1" s="78"/>
      <c r="Z1" s="78"/>
      <c r="AA1" s="78"/>
    </row>
    <row r="2" spans="1:27">
      <c r="A2" t="s">
        <v>207</v>
      </c>
      <c r="B2" t="s">
        <v>30</v>
      </c>
      <c r="C2" s="195">
        <v>11.998241860401301</v>
      </c>
      <c r="D2" s="100">
        <v>10.66829722912192</v>
      </c>
      <c r="E2" s="13">
        <v>0.1108449593493106</v>
      </c>
      <c r="F2" s="100">
        <v>95.600279441787677</v>
      </c>
      <c r="G2" s="13">
        <v>6.9678573372740971</v>
      </c>
      <c r="H2" s="13">
        <v>4.4664076681056653E-2</v>
      </c>
      <c r="I2" s="13">
        <v>0.29228839186906508</v>
      </c>
      <c r="J2" s="13">
        <v>1.5627790269563</v>
      </c>
      <c r="K2" s="100">
        <v>8.9611563484397134</v>
      </c>
      <c r="L2" s="7">
        <v>11.78762740398291</v>
      </c>
      <c r="M2" s="15">
        <v>1.7553776534001701E-2</v>
      </c>
      <c r="N2" s="7">
        <v>95.600279441787677</v>
      </c>
      <c r="O2" s="15">
        <v>6.9678573372740971</v>
      </c>
      <c r="P2" s="7">
        <v>8.1102223683695183</v>
      </c>
      <c r="Q2" s="109">
        <v>6.9031492818971682E-2</v>
      </c>
      <c r="R2" s="109">
        <v>4.1368743063567942E-2</v>
      </c>
      <c r="S2" s="109">
        <v>4.494541225190906E-2</v>
      </c>
      <c r="U2" s="134">
        <f>C2*S2</f>
        <v>0.53926592671384876</v>
      </c>
      <c r="V2" s="134">
        <f>(1+S2)*Q2*(1-U2)+S2</f>
        <v>7.8180069190525822E-2</v>
      </c>
      <c r="W2" s="134">
        <f>V2+I2/3</f>
        <v>0.17560953314688085</v>
      </c>
      <c r="X2" s="134">
        <f>V2+I2/5</f>
        <v>0.13663774756433883</v>
      </c>
      <c r="Y2" s="134"/>
      <c r="AA2" s="134"/>
    </row>
    <row r="3" spans="1:27">
      <c r="A3" t="s">
        <v>208</v>
      </c>
      <c r="B3" t="s">
        <v>32</v>
      </c>
      <c r="C3" s="196">
        <v>26.145793445877171</v>
      </c>
      <c r="D3" s="100">
        <v>22.033897213458321</v>
      </c>
      <c r="E3" s="13">
        <v>0.157267984271758</v>
      </c>
      <c r="F3" s="100">
        <v>-28.691838239533482</v>
      </c>
      <c r="G3" s="13">
        <v>-2.0973787542124791</v>
      </c>
      <c r="H3" s="13">
        <v>0.14763977722235591</v>
      </c>
      <c r="I3" s="13">
        <v>0.5465165170361681</v>
      </c>
      <c r="J3" s="13">
        <v>-11.38491804117494</v>
      </c>
      <c r="K3" s="100">
        <v>-1.3021681076922009</v>
      </c>
      <c r="L3" s="7">
        <v>22.318911640517982</v>
      </c>
      <c r="M3" s="15">
        <v>0.14636701744320699</v>
      </c>
      <c r="N3" s="7">
        <v>-28.691838239533482</v>
      </c>
      <c r="O3" s="15">
        <v>-2.0973787542124791</v>
      </c>
      <c r="P3" s="7">
        <v>-1.2855393086213951</v>
      </c>
      <c r="S3" s="109">
        <v>2.1284200167774159E-2</v>
      </c>
      <c r="U3" s="134">
        <f>C3*S3</f>
        <v>0.5564923012473274</v>
      </c>
      <c r="V3" s="134">
        <f>(1+S3)*R2*(1-U3)+S3</f>
        <v>4.0022065002616208E-2</v>
      </c>
      <c r="W3" s="134">
        <f>V3+I3/3</f>
        <v>0.22219423734800559</v>
      </c>
      <c r="X3" s="134">
        <f>V3+I3/5</f>
        <v>0.14932536840984983</v>
      </c>
      <c r="Y3" s="134"/>
      <c r="AA3" s="134"/>
    </row>
    <row r="4" spans="1:27">
      <c r="A4" s="18">
        <v>40879</v>
      </c>
      <c r="B4" t="s">
        <v>34</v>
      </c>
      <c r="C4" s="195">
        <v>0.82825654682657746</v>
      </c>
      <c r="D4" s="100">
        <v>0.81404730805335634</v>
      </c>
      <c r="E4" s="13">
        <v>1.7155600915758629E-2</v>
      </c>
      <c r="F4" s="100">
        <v>3.0994119656175751</v>
      </c>
      <c r="G4" s="13">
        <v>2.742091719640265</v>
      </c>
      <c r="H4" s="13">
        <v>0.45643076204384969</v>
      </c>
      <c r="I4" s="13">
        <v>0.62974041291050198</v>
      </c>
      <c r="J4" s="13">
        <v>1.343964327942186</v>
      </c>
      <c r="K4" s="100">
        <v>3.8074101283244159</v>
      </c>
      <c r="L4" s="7">
        <v>0.81404730805335634</v>
      </c>
      <c r="M4" s="15">
        <v>1.7155600915758629E-2</v>
      </c>
      <c r="N4" s="7">
        <v>2.2066386609601221</v>
      </c>
      <c r="O4" s="15">
        <v>1.6641970648040689</v>
      </c>
      <c r="P4" s="7">
        <v>2.710700765336219</v>
      </c>
      <c r="W4" s="134">
        <f>V2+I4/3</f>
        <v>0.28809354016069316</v>
      </c>
      <c r="X4" s="134">
        <f>V2+I4/5</f>
        <v>0.20412815177262622</v>
      </c>
      <c r="Y4" s="134"/>
      <c r="AA4" s="134"/>
    </row>
    <row r="5" spans="1:27">
      <c r="B5" t="s">
        <v>35</v>
      </c>
      <c r="C5" s="195">
        <v>1.081618611255611</v>
      </c>
      <c r="D5" s="100">
        <v>1.059401857596143</v>
      </c>
      <c r="E5" s="13">
        <v>2.054028418915366E-2</v>
      </c>
      <c r="F5" s="100">
        <v>4.7486432407568833</v>
      </c>
      <c r="G5" s="13">
        <v>3.390312066879432</v>
      </c>
      <c r="H5" s="13">
        <v>0.52904458716994474</v>
      </c>
      <c r="I5" s="13">
        <v>1.0335774281553971</v>
      </c>
      <c r="J5" s="13">
        <v>1.609818105803033</v>
      </c>
      <c r="K5" s="100">
        <v>4.482381455826296</v>
      </c>
      <c r="L5" s="7">
        <v>1.059401857596143</v>
      </c>
      <c r="M5" s="15">
        <v>2.054028418915366E-2</v>
      </c>
      <c r="N5" s="7">
        <v>3.9758279683175699</v>
      </c>
      <c r="O5" s="15">
        <v>2.6758131997212748</v>
      </c>
      <c r="P5" s="7">
        <v>3.7528988077659231</v>
      </c>
      <c r="W5" s="134">
        <f>V3+I5/3</f>
        <v>0.38454787438774862</v>
      </c>
      <c r="X5" s="134">
        <f>V3+I5/5</f>
        <v>0.24673755063369562</v>
      </c>
      <c r="Y5" s="134"/>
      <c r="AA5" s="134"/>
    </row>
    <row r="6" spans="1:27">
      <c r="C6" s="111"/>
      <c r="D6" s="100"/>
      <c r="F6" s="100"/>
      <c r="K6" s="100"/>
      <c r="L6" s="7"/>
      <c r="N6" s="7"/>
      <c r="P6" s="7"/>
      <c r="AA6" s="134"/>
    </row>
    <row r="7" spans="1:27" ht="17" customHeight="1">
      <c r="A7" s="12" t="s">
        <v>209</v>
      </c>
      <c r="B7" t="s">
        <v>30</v>
      </c>
      <c r="C7" s="195">
        <v>21.075277314917539</v>
      </c>
      <c r="D7" s="100">
        <v>12.82700516879205</v>
      </c>
      <c r="E7" s="13">
        <v>0.39137193892519678</v>
      </c>
      <c r="F7" s="100">
        <v>-426.83107796780229</v>
      </c>
      <c r="G7" s="13">
        <v>-21.252690941612521</v>
      </c>
      <c r="H7" s="13">
        <v>8.1734249269611814E-2</v>
      </c>
      <c r="I7" s="13">
        <v>1.0163808021019609</v>
      </c>
      <c r="J7" s="13">
        <v>3.2283578931401422</v>
      </c>
      <c r="K7" s="100">
        <v>-33.275973023405129</v>
      </c>
      <c r="L7" s="7">
        <v>12.82700516879205</v>
      </c>
      <c r="M7" s="15">
        <v>0.39137193892519678</v>
      </c>
      <c r="N7" s="7">
        <v>-426.83107796780229</v>
      </c>
      <c r="O7" s="15">
        <v>-21.252690941612521</v>
      </c>
      <c r="P7" s="7">
        <v>-33.275973023405129</v>
      </c>
      <c r="Q7" s="109">
        <v>8.2894371964392061E-2</v>
      </c>
      <c r="R7" s="109">
        <v>3.5273777527027733E-2</v>
      </c>
      <c r="S7" s="109">
        <v>1.7669880109349181E-2</v>
      </c>
      <c r="U7" s="134">
        <f>C7*S7</f>
        <v>0.37239762342587945</v>
      </c>
      <c r="V7" s="134">
        <f>(1+S7)*Q7*(1-U7)+S7</f>
        <v>7.0613855256235231E-2</v>
      </c>
      <c r="W7" s="134">
        <f>V7+I7/3</f>
        <v>0.40940745595688888</v>
      </c>
      <c r="X7" s="134">
        <f>V7+I7/5</f>
        <v>0.27389001567662741</v>
      </c>
      <c r="Y7" s="134"/>
      <c r="AA7" s="134"/>
    </row>
    <row r="8" spans="1:27">
      <c r="A8" t="s">
        <v>210</v>
      </c>
      <c r="B8" t="s">
        <v>32</v>
      </c>
      <c r="C8" s="197">
        <v>51.263531479735207</v>
      </c>
      <c r="D8" s="100">
        <v>22.534615942449129</v>
      </c>
      <c r="E8" s="13">
        <v>0.5604162395375123</v>
      </c>
      <c r="F8" s="100">
        <v>-197.16243069778869</v>
      </c>
      <c r="G8" s="13">
        <v>-4.8460563485706816</v>
      </c>
      <c r="H8" s="13">
        <v>-0.16581172462047911</v>
      </c>
      <c r="I8" s="13">
        <v>0.81404744971409948</v>
      </c>
      <c r="J8" s="13">
        <v>2.5341481638658632</v>
      </c>
      <c r="K8" s="100">
        <v>-8.7493139976877945</v>
      </c>
      <c r="L8" s="7">
        <v>22.534615942449129</v>
      </c>
      <c r="M8" s="15">
        <v>0.5604162395375123</v>
      </c>
      <c r="N8" s="7">
        <v>-197.16243069778869</v>
      </c>
      <c r="O8" s="15">
        <v>-4.8460563485706816</v>
      </c>
      <c r="P8" s="7">
        <v>-8.7493139976877945</v>
      </c>
      <c r="S8" s="109">
        <v>1.229713121402851E-2</v>
      </c>
      <c r="U8" s="134">
        <f>C8*S8</f>
        <v>0.63039437310078494</v>
      </c>
      <c r="V8" s="134">
        <f>(1+S8)*R7*(1-U8)+S8</f>
        <v>2.5494840324405656E-2</v>
      </c>
      <c r="W8" s="134">
        <f>V8+I8/3</f>
        <v>0.29684399022910546</v>
      </c>
      <c r="X8" s="134">
        <f>V8+I8/5</f>
        <v>0.18830433026722557</v>
      </c>
      <c r="Y8" s="134"/>
      <c r="AA8" s="134"/>
    </row>
    <row r="9" spans="1:27">
      <c r="A9" s="18">
        <v>40879</v>
      </c>
      <c r="B9" t="s">
        <v>34</v>
      </c>
      <c r="C9" s="195">
        <v>1.7470218769954891</v>
      </c>
      <c r="D9" s="100">
        <v>1.5244240259396229</v>
      </c>
      <c r="E9" s="13">
        <v>0.1274156059446073</v>
      </c>
      <c r="F9" s="100">
        <v>4.530439979620458</v>
      </c>
      <c r="G9" s="13">
        <v>1.593235974475526</v>
      </c>
      <c r="H9" s="13">
        <v>1.179310110051413E-2</v>
      </c>
      <c r="I9" s="13">
        <v>0.31189331813311161</v>
      </c>
      <c r="J9" s="13">
        <v>0.61032986851056203</v>
      </c>
      <c r="K9" s="100">
        <v>2.971902766245099</v>
      </c>
      <c r="L9" s="7">
        <v>1.551504572306597</v>
      </c>
      <c r="M9" s="15">
        <v>0.11191462869665959</v>
      </c>
      <c r="N9" s="7">
        <v>4.530439979620458</v>
      </c>
      <c r="O9" s="15">
        <v>1.593235974475526</v>
      </c>
      <c r="P9" s="7">
        <v>2.920030053720772</v>
      </c>
      <c r="W9" s="134">
        <f>V7+I9/3</f>
        <v>0.17457829463393909</v>
      </c>
      <c r="X9" s="134">
        <f>V7+I9/5</f>
        <v>0.13299251888285757</v>
      </c>
      <c r="Y9" s="134"/>
      <c r="AA9" s="134"/>
    </row>
    <row r="10" spans="1:27">
      <c r="B10" t="s">
        <v>35</v>
      </c>
      <c r="C10" s="195">
        <v>1.8082584046659631</v>
      </c>
      <c r="D10" s="100">
        <v>1.6602036220675289</v>
      </c>
      <c r="E10" s="13">
        <v>8.1877005087546584E-2</v>
      </c>
      <c r="F10" s="100">
        <v>5.3656044852095324</v>
      </c>
      <c r="G10" s="13">
        <v>1.9672775037927801</v>
      </c>
      <c r="H10" s="13">
        <v>7.1556707453114488E-2</v>
      </c>
      <c r="I10" s="13">
        <v>0.42155657657451201</v>
      </c>
      <c r="J10" s="13">
        <v>0.81685106567548793</v>
      </c>
      <c r="K10" s="100">
        <v>3.231895421675743</v>
      </c>
      <c r="L10" s="7">
        <v>1.6639487615012361</v>
      </c>
      <c r="M10" s="15">
        <v>7.9805874421684186E-2</v>
      </c>
      <c r="N10" s="7">
        <v>5.3656044852095324</v>
      </c>
      <c r="O10" s="15">
        <v>1.9672775037927801</v>
      </c>
      <c r="P10" s="7">
        <v>3.224621219927839</v>
      </c>
      <c r="W10" s="134">
        <f>V8+I10/3</f>
        <v>0.16601369918257633</v>
      </c>
      <c r="X10" s="134">
        <f>V8+I10/5</f>
        <v>0.10980615563930807</v>
      </c>
      <c r="Y10" s="134"/>
      <c r="AA10" s="134"/>
    </row>
    <row r="11" spans="1:27">
      <c r="C11" s="111"/>
      <c r="D11" s="100"/>
      <c r="F11" s="100"/>
      <c r="K11" s="100"/>
      <c r="L11" s="7"/>
      <c r="N11" s="7"/>
      <c r="P11" s="7"/>
      <c r="AA11" s="134"/>
    </row>
    <row r="12" spans="1:27" ht="17" customHeight="1">
      <c r="A12" s="12" t="s">
        <v>211</v>
      </c>
      <c r="B12" t="s">
        <v>30</v>
      </c>
      <c r="C12" s="197">
        <v>21.565465558273999</v>
      </c>
      <c r="D12" s="100">
        <v>15.072704972914829</v>
      </c>
      <c r="E12" s="13">
        <v>0.30107212699927538</v>
      </c>
      <c r="F12" s="100">
        <v>79.417154445788739</v>
      </c>
      <c r="G12" s="13">
        <v>2.682607928458046</v>
      </c>
      <c r="H12" s="13">
        <v>-7.2590134533058848E-2</v>
      </c>
      <c r="I12" s="13">
        <v>9.6079175404929051E-2</v>
      </c>
      <c r="J12" s="13">
        <v>0.59037105635549225</v>
      </c>
      <c r="K12" s="100">
        <v>5.2689384280060452</v>
      </c>
      <c r="L12" s="7">
        <v>16.95956339242198</v>
      </c>
      <c r="M12" s="15">
        <v>0.21357768295824611</v>
      </c>
      <c r="N12" s="7">
        <v>61.740558803369787</v>
      </c>
      <c r="O12" s="15">
        <v>1.8629365147038</v>
      </c>
      <c r="P12" s="7">
        <v>3.6404568546238201</v>
      </c>
      <c r="Q12" s="109">
        <v>7.5226029535359826E-2</v>
      </c>
      <c r="R12" s="109">
        <v>5.3349925838594324E-3</v>
      </c>
      <c r="S12" s="109">
        <v>1.406618720058629E-2</v>
      </c>
      <c r="U12" s="134">
        <f>C12*S12</f>
        <v>0.30334387561047821</v>
      </c>
      <c r="V12" s="134">
        <f>(1+S12)*Q12*(1-U12)+S12</f>
        <v>6.7210023479608805E-2</v>
      </c>
      <c r="W12" s="134">
        <f>V12+I12/3</f>
        <v>9.9236415281251822E-2</v>
      </c>
      <c r="X12" s="134">
        <f>V12+I12/5</f>
        <v>8.6425858560594621E-2</v>
      </c>
      <c r="Y12" s="134"/>
      <c r="AA12" s="134"/>
    </row>
    <row r="13" spans="1:27">
      <c r="A13" t="s">
        <v>212</v>
      </c>
      <c r="B13" t="s">
        <v>32</v>
      </c>
      <c r="C13" s="196">
        <v>343.72734042581709</v>
      </c>
      <c r="D13" s="100">
        <v>23.46469114930159</v>
      </c>
      <c r="E13" s="13">
        <v>0.93173458032103873</v>
      </c>
      <c r="F13" s="100">
        <v>-100.05727507057151</v>
      </c>
      <c r="G13" s="13">
        <v>-1.2910948979112871</v>
      </c>
      <c r="H13" s="13">
        <v>-0.89786300993838886</v>
      </c>
      <c r="I13" s="13">
        <v>-0.86163480408790916</v>
      </c>
      <c r="J13" s="13">
        <v>-0.76108774763706555</v>
      </c>
      <c r="K13" s="100">
        <v>-4.2641633096265856</v>
      </c>
      <c r="L13" s="7">
        <v>30.253222367239911</v>
      </c>
      <c r="M13" s="15">
        <v>0.91198482398938197</v>
      </c>
      <c r="N13" s="7">
        <v>-100.05727507057151</v>
      </c>
      <c r="O13" s="15">
        <v>-1.2910948979112871</v>
      </c>
      <c r="P13" s="7">
        <v>-3.3073262033375919</v>
      </c>
      <c r="S13" s="109">
        <v>1.0033632376878959E-2</v>
      </c>
      <c r="U13" s="134">
        <f>C13*S13</f>
        <v>3.4488337717149742</v>
      </c>
      <c r="V13" s="134">
        <f>(1+S13)*R12*(1-U13)+S13</f>
        <v>-3.1619621249614274E-3</v>
      </c>
      <c r="W13" s="134">
        <f>V13+I13/3</f>
        <v>-0.29037356348759785</v>
      </c>
      <c r="X13" s="134">
        <f>V13+I13/5</f>
        <v>-0.17548892294254326</v>
      </c>
      <c r="Y13" s="134"/>
      <c r="AA13" s="134"/>
    </row>
    <row r="14" spans="1:27">
      <c r="A14" s="18">
        <v>40879</v>
      </c>
      <c r="B14" t="s">
        <v>34</v>
      </c>
      <c r="C14" s="195">
        <v>1.622284349030505</v>
      </c>
      <c r="D14" s="100">
        <v>1.440171682322996</v>
      </c>
      <c r="E14" s="13">
        <v>0.1122569337590793</v>
      </c>
      <c r="F14" s="100">
        <v>5.1542779439406976</v>
      </c>
      <c r="G14" s="13">
        <v>2.1771729456805469</v>
      </c>
      <c r="H14" s="13">
        <v>5.3020792337271187E-2</v>
      </c>
      <c r="I14" s="13">
        <v>0.3434666798487036</v>
      </c>
      <c r="J14" s="13">
        <v>0.74237186489195328</v>
      </c>
      <c r="K14" s="100">
        <v>3.5789329891744921</v>
      </c>
      <c r="L14" s="7">
        <v>1.518276083370903</v>
      </c>
      <c r="M14" s="15">
        <v>6.4112228982396324E-2</v>
      </c>
      <c r="N14" s="7">
        <v>5.1542779439406976</v>
      </c>
      <c r="O14" s="15">
        <v>2.1771729456805469</v>
      </c>
      <c r="P14" s="7">
        <v>3.3948225888516141</v>
      </c>
      <c r="W14" s="134">
        <f>V12+I14/3</f>
        <v>0.18169891676250999</v>
      </c>
      <c r="X14" s="134">
        <f>V12+I14/5</f>
        <v>0.13590335944934953</v>
      </c>
      <c r="Y14" s="134"/>
      <c r="AA14" s="134"/>
    </row>
    <row r="15" spans="1:27">
      <c r="B15" t="s">
        <v>35</v>
      </c>
      <c r="C15" s="195">
        <v>1.833782812041461</v>
      </c>
      <c r="D15" s="100">
        <v>1.5995981002284689</v>
      </c>
      <c r="E15" s="13">
        <v>0.12770580587582539</v>
      </c>
      <c r="F15" s="100">
        <v>6.3344675831480162</v>
      </c>
      <c r="G15" s="13">
        <v>2.4543172405984999</v>
      </c>
      <c r="H15" s="13">
        <v>0.1014906166801488</v>
      </c>
      <c r="I15" s="13">
        <v>0.44074401147520859</v>
      </c>
      <c r="J15" s="13">
        <v>0.92845002526053277</v>
      </c>
      <c r="K15" s="100">
        <v>3.9600369506835951</v>
      </c>
      <c r="L15" s="7">
        <v>1.5995981002284689</v>
      </c>
      <c r="M15" s="15">
        <v>0.12770580587582539</v>
      </c>
      <c r="N15" s="7">
        <v>6.3344675831480162</v>
      </c>
      <c r="O15" s="15">
        <v>2.4543172405984999</v>
      </c>
      <c r="P15" s="7">
        <v>3.9600369506835951</v>
      </c>
      <c r="W15" s="134">
        <f>V13+I15/3</f>
        <v>0.14375270836677478</v>
      </c>
      <c r="X15" s="134">
        <f>V13+I15/5</f>
        <v>8.4986840170080291E-2</v>
      </c>
      <c r="Y15" s="134"/>
      <c r="AA15" s="134"/>
    </row>
    <row r="16" spans="1:27">
      <c r="C16" s="111"/>
      <c r="D16" s="100"/>
      <c r="F16" s="100"/>
      <c r="K16" s="100"/>
      <c r="L16" s="7"/>
      <c r="N16" s="7"/>
      <c r="P16" s="7"/>
      <c r="AA16" s="134"/>
    </row>
    <row r="17" spans="1:27" ht="17" customHeight="1">
      <c r="A17" s="19" t="s">
        <v>213</v>
      </c>
      <c r="B17" t="s">
        <v>30</v>
      </c>
      <c r="C17" s="198">
        <v>29.33723432364107</v>
      </c>
      <c r="D17" s="100">
        <v>14.955521741302521</v>
      </c>
      <c r="E17" s="13">
        <v>0.4902204626272223</v>
      </c>
      <c r="F17" s="100">
        <v>48.743640969524982</v>
      </c>
      <c r="G17" s="13">
        <v>0.66149407376977876</v>
      </c>
      <c r="H17" s="13">
        <v>-0.32405570173124032</v>
      </c>
      <c r="I17" s="13">
        <v>-0.14171943300494519</v>
      </c>
      <c r="J17" s="13">
        <v>4.8713946163853272E-2</v>
      </c>
      <c r="K17" s="100">
        <v>3.259240420540471</v>
      </c>
      <c r="L17" s="7">
        <v>14.955521741302521</v>
      </c>
      <c r="M17" s="15">
        <v>0.4902204626272223</v>
      </c>
      <c r="N17" s="7">
        <v>48.743640969524982</v>
      </c>
      <c r="O17" s="15">
        <v>0.66149407376977876</v>
      </c>
      <c r="P17" s="7">
        <v>3.259240420540471</v>
      </c>
      <c r="Q17" s="109">
        <v>6.1787850342292283E-2</v>
      </c>
      <c r="R17" s="109">
        <v>-4.8928880872833973E-2</v>
      </c>
      <c r="S17" s="109">
        <v>1.935287473917538E-2</v>
      </c>
      <c r="U17" s="134">
        <f>C17*S17</f>
        <v>0.56775982105926215</v>
      </c>
      <c r="V17" s="134">
        <f>(1+S17)*Q17*(1-U17)+S17</f>
        <v>4.6576927158999873E-2</v>
      </c>
      <c r="W17" s="37">
        <f>V17+I17/3</f>
        <v>-6.628838426485234E-4</v>
      </c>
      <c r="X17" s="134">
        <f>V17+I17/5</f>
        <v>1.8233040558010834E-2</v>
      </c>
      <c r="Y17" s="134"/>
      <c r="AA17" s="37"/>
    </row>
    <row r="18" spans="1:27">
      <c r="A18" t="s">
        <v>214</v>
      </c>
      <c r="B18" t="s">
        <v>32</v>
      </c>
      <c r="C18" s="195">
        <v>-34.708439056999012</v>
      </c>
      <c r="D18" s="100">
        <v>25.164978575025131</v>
      </c>
      <c r="E18" s="13">
        <v>1.725039191007657</v>
      </c>
      <c r="F18" s="100">
        <v>-24.65669804666171</v>
      </c>
      <c r="G18" s="13">
        <v>-0.28960510133659711</v>
      </c>
      <c r="H18" s="13">
        <v>-1.92382592705189</v>
      </c>
      <c r="I18" s="13">
        <v>-2.184683668311425</v>
      </c>
      <c r="J18" s="13">
        <v>-3.19229854436088</v>
      </c>
      <c r="K18" s="100">
        <v>-0.979802067907665</v>
      </c>
      <c r="L18" s="7">
        <v>28.68718409344531</v>
      </c>
      <c r="M18" s="15">
        <v>1.8265189928689829</v>
      </c>
      <c r="N18" s="7">
        <v>-24.65669804666171</v>
      </c>
      <c r="O18" s="15">
        <v>-0.28960510133659711</v>
      </c>
      <c r="P18" s="7">
        <v>-0.85950220719974668</v>
      </c>
      <c r="S18" s="109">
        <v>1.3298271727076301E-2</v>
      </c>
      <c r="U18" s="134">
        <f>C18*S18</f>
        <v>-0.46156225380264077</v>
      </c>
      <c r="V18" s="134">
        <f>(1+S18)*R17*(1-U18)+S18</f>
        <v>-5.916532773604459E-2</v>
      </c>
      <c r="W18" s="134">
        <f>V18+I18/3</f>
        <v>-0.78739321717318622</v>
      </c>
      <c r="X18" s="134">
        <f>V18+I18/5</f>
        <v>-0.49610206139832963</v>
      </c>
      <c r="Y18" s="134"/>
      <c r="AA18" s="134"/>
    </row>
    <row r="19" spans="1:27">
      <c r="A19" s="18">
        <v>40879</v>
      </c>
      <c r="B19" t="s">
        <v>34</v>
      </c>
      <c r="C19" s="195">
        <v>1.812684643845895</v>
      </c>
      <c r="D19" s="100">
        <v>1.6551860458838099</v>
      </c>
      <c r="E19" s="13">
        <v>8.6886926800420317E-2</v>
      </c>
      <c r="F19" s="100">
        <v>5.5726610100275353</v>
      </c>
      <c r="G19" s="13">
        <v>2.0742584094518839</v>
      </c>
      <c r="H19" s="13">
        <v>0.16691879183716751</v>
      </c>
      <c r="I19" s="13">
        <v>0.49704957491212531</v>
      </c>
      <c r="J19" s="13">
        <v>0.87976280307046295</v>
      </c>
      <c r="K19" s="100">
        <v>3.366788297838708</v>
      </c>
      <c r="L19" s="7">
        <v>1.6551860458838099</v>
      </c>
      <c r="M19" s="15">
        <v>8.6886926800420317E-2</v>
      </c>
      <c r="N19" s="7">
        <v>5.5726610100275353</v>
      </c>
      <c r="O19" s="15">
        <v>2.0742584094518839</v>
      </c>
      <c r="P19" s="7">
        <v>3.366788297838708</v>
      </c>
      <c r="W19" s="134">
        <f>V17+I19/3</f>
        <v>0.21226011879637496</v>
      </c>
      <c r="X19" s="134">
        <f>V17+I19/5</f>
        <v>0.14598684214142493</v>
      </c>
      <c r="Y19" s="134"/>
      <c r="AA19" s="134"/>
    </row>
    <row r="20" spans="1:27">
      <c r="B20" t="s">
        <v>35</v>
      </c>
      <c r="C20" s="195">
        <v>1.698245079901922</v>
      </c>
      <c r="D20" s="100">
        <v>1.518160397893201</v>
      </c>
      <c r="E20" s="13">
        <v>0.1060416332954259</v>
      </c>
      <c r="F20" s="100">
        <v>6.3149152836608362</v>
      </c>
      <c r="G20" s="13">
        <v>2.7184946733515849</v>
      </c>
      <c r="H20" s="13">
        <v>0.24311429690477279</v>
      </c>
      <c r="I20" s="13">
        <v>0.62421310427840671</v>
      </c>
      <c r="J20" s="13">
        <v>1.2091211749551001</v>
      </c>
      <c r="K20" s="100">
        <v>4.1595837254246923</v>
      </c>
      <c r="L20" s="7">
        <v>1.518160397893201</v>
      </c>
      <c r="M20" s="15">
        <v>0.1060416332954259</v>
      </c>
      <c r="N20" s="7">
        <v>6.3149152836608362</v>
      </c>
      <c r="O20" s="15">
        <v>2.7184946733515849</v>
      </c>
      <c r="P20" s="7">
        <v>4.1595837254246923</v>
      </c>
      <c r="W20" s="134">
        <f>V18+I20/3</f>
        <v>0.14890570702342432</v>
      </c>
      <c r="X20" s="134">
        <f>V18+I20/5</f>
        <v>6.5677293119636757E-2</v>
      </c>
      <c r="Y20" s="134"/>
      <c r="AA20" s="134"/>
    </row>
    <row r="21" spans="1:27">
      <c r="C21" s="111"/>
      <c r="D21" s="100"/>
      <c r="F21" s="100"/>
      <c r="K21" s="100"/>
      <c r="L21" s="7"/>
      <c r="N21" s="7"/>
      <c r="P21" s="7"/>
      <c r="AA21" s="134"/>
    </row>
    <row r="22" spans="1:27" ht="17" customHeight="1">
      <c r="A22" s="12" t="s">
        <v>215</v>
      </c>
      <c r="B22" t="s">
        <v>30</v>
      </c>
      <c r="C22" s="198">
        <v>35.60240848965951</v>
      </c>
      <c r="D22" s="100">
        <v>19.855295094134881</v>
      </c>
      <c r="E22" s="13">
        <v>0.44230472216783512</v>
      </c>
      <c r="F22" s="100">
        <v>55.23473481097048</v>
      </c>
      <c r="G22" s="13">
        <v>0.55143253375717682</v>
      </c>
      <c r="H22" s="13">
        <v>-0.27003380030859042</v>
      </c>
      <c r="I22" s="13">
        <v>-6.739493031129784E-2</v>
      </c>
      <c r="J22" s="13">
        <v>0.102822195499884</v>
      </c>
      <c r="K22" s="100">
        <v>2.7818642104839042</v>
      </c>
      <c r="L22" s="7">
        <v>23.39901857734619</v>
      </c>
      <c r="M22" s="15">
        <v>0.34276866172853759</v>
      </c>
      <c r="N22" s="7">
        <v>55.197746246993383</v>
      </c>
      <c r="O22" s="15">
        <v>0.55039359943935295</v>
      </c>
      <c r="P22" s="7">
        <v>2.3589769829249669</v>
      </c>
      <c r="Q22" s="109">
        <v>0.16108515706964169</v>
      </c>
      <c r="R22" s="109">
        <v>-2.677010864040669E-2</v>
      </c>
      <c r="S22" s="109">
        <v>1.333411993766199E-2</v>
      </c>
      <c r="U22" s="134">
        <f>C22*S22</f>
        <v>0.47472678487075537</v>
      </c>
      <c r="V22" s="134">
        <f>(1+S22)*Q22*(1-U22)+S22</f>
        <v>9.9076087770263457E-2</v>
      </c>
      <c r="W22" s="134">
        <f>V22+I22/3</f>
        <v>7.6611110999830839E-2</v>
      </c>
      <c r="X22" s="134">
        <f>V22+I22/5</f>
        <v>8.5597101708003887E-2</v>
      </c>
      <c r="Y22" s="134"/>
      <c r="AA22" s="134"/>
    </row>
    <row r="23" spans="1:27">
      <c r="A23" t="s">
        <v>216</v>
      </c>
      <c r="B23" t="s">
        <v>32</v>
      </c>
      <c r="C23" s="195">
        <v>-101.6602587235824</v>
      </c>
      <c r="D23" s="100">
        <v>37.088201917035462</v>
      </c>
      <c r="E23" s="13">
        <v>1.364824980604068</v>
      </c>
      <c r="F23" s="100">
        <v>-18.040663737806241</v>
      </c>
      <c r="G23" s="13">
        <v>-0.82253966334219752</v>
      </c>
      <c r="H23" s="13">
        <v>-1.5132253160113349</v>
      </c>
      <c r="I23" s="13">
        <v>-1.710045229709056</v>
      </c>
      <c r="J23" s="13">
        <v>-2.2048811844034168</v>
      </c>
      <c r="K23" s="100">
        <v>-0.48642594694027891</v>
      </c>
      <c r="L23" s="7">
        <v>47.750388381272373</v>
      </c>
      <c r="M23" s="15">
        <v>1.4697055563384629</v>
      </c>
      <c r="N23" s="7">
        <v>-18.040663737806241</v>
      </c>
      <c r="O23" s="15">
        <v>-0.82253966334219752</v>
      </c>
      <c r="P23" s="7">
        <v>-0.37781187440313602</v>
      </c>
      <c r="S23" s="109">
        <v>9.5810583811545835E-3</v>
      </c>
      <c r="U23" s="134">
        <f>C23*S23</f>
        <v>-0.97401287387392255</v>
      </c>
      <c r="V23" s="134">
        <f>(1+S23)*R22*(1-U23)+S23</f>
        <v>-4.3769787324169432E-2</v>
      </c>
      <c r="W23" s="134">
        <f>V23+I23/3</f>
        <v>-0.61378486389385478</v>
      </c>
      <c r="X23" s="134">
        <f>V23+I23/5</f>
        <v>-0.38577883326598061</v>
      </c>
      <c r="Y23" s="134"/>
      <c r="AA23" s="134"/>
    </row>
    <row r="24" spans="1:27">
      <c r="A24" s="18">
        <v>40879</v>
      </c>
      <c r="B24" t="s">
        <v>34</v>
      </c>
      <c r="C24" s="196">
        <v>5.7350195636143484</v>
      </c>
      <c r="D24" s="100">
        <v>2.777328641951232</v>
      </c>
      <c r="E24" s="13">
        <v>0.5157246438055928</v>
      </c>
      <c r="F24" s="100">
        <v>7.7218530318698244</v>
      </c>
      <c r="G24" s="13">
        <v>0.34643883010633081</v>
      </c>
      <c r="H24" s="13">
        <v>-0.37925749852963581</v>
      </c>
      <c r="I24" s="13">
        <v>-0.2579649814194418</v>
      </c>
      <c r="J24" s="13">
        <v>-4.7793384766303133E-2</v>
      </c>
      <c r="K24" s="100">
        <v>2.7803166378051611</v>
      </c>
      <c r="L24" s="7">
        <v>3.134496105684009</v>
      </c>
      <c r="M24" s="15">
        <v>0.4534463098311432</v>
      </c>
      <c r="N24" s="7">
        <v>6.0762761073440448</v>
      </c>
      <c r="O24" s="15">
        <v>5.9503989471071377E-2</v>
      </c>
      <c r="P24" s="7">
        <v>1.9385176763580889</v>
      </c>
      <c r="W24" s="134">
        <f>V22+I24/3</f>
        <v>1.308776063044953E-2</v>
      </c>
      <c r="X24" s="134">
        <f>V22+I24/5</f>
        <v>4.7483091486375098E-2</v>
      </c>
      <c r="Y24" s="134"/>
      <c r="AA24" s="134"/>
    </row>
    <row r="25" spans="1:27">
      <c r="B25" t="s">
        <v>35</v>
      </c>
      <c r="C25" s="195">
        <v>2.7214561704421532</v>
      </c>
      <c r="D25" s="100">
        <v>2.011797192342804</v>
      </c>
      <c r="E25" s="13">
        <v>0.26076443405812799</v>
      </c>
      <c r="F25" s="100">
        <v>6.7937132254280943</v>
      </c>
      <c r="G25" s="13">
        <v>1.4963522467180961</v>
      </c>
      <c r="H25" s="13">
        <v>3.7289668069528941E-3</v>
      </c>
      <c r="I25" s="13">
        <v>0.23229254127380591</v>
      </c>
      <c r="J25" s="13">
        <v>0.55173281287587606</v>
      </c>
      <c r="K25" s="100">
        <v>3.376937422562257</v>
      </c>
      <c r="L25" s="7">
        <v>2.011797192342804</v>
      </c>
      <c r="M25" s="15">
        <v>0.26076443405812799</v>
      </c>
      <c r="N25" s="7">
        <v>6.7937132254280943</v>
      </c>
      <c r="O25" s="15">
        <v>1.4963522467180961</v>
      </c>
      <c r="P25" s="7">
        <v>3.376937422562257</v>
      </c>
      <c r="W25" s="134">
        <f>V23+I25/3</f>
        <v>3.3661059767099211E-2</v>
      </c>
      <c r="X25" s="134">
        <f>V23+I25/5</f>
        <v>2.6887209305917481E-3</v>
      </c>
      <c r="Y25" s="134"/>
      <c r="AA25" s="134"/>
    </row>
    <row r="26" spans="1:27">
      <c r="C26" s="111"/>
      <c r="D26" s="100"/>
      <c r="F26" s="100"/>
      <c r="K26" s="100"/>
      <c r="L26" s="7"/>
      <c r="N26" s="7"/>
      <c r="P26" s="7"/>
      <c r="AA26" s="134"/>
    </row>
    <row r="27" spans="1:27" ht="17" customHeight="1">
      <c r="A27" s="19" t="s">
        <v>217</v>
      </c>
      <c r="B27" t="s">
        <v>30</v>
      </c>
      <c r="C27" s="196">
        <v>47.978726437195093</v>
      </c>
      <c r="D27" s="100">
        <v>25.144073352467259</v>
      </c>
      <c r="E27" s="13">
        <v>0.47593287234538723</v>
      </c>
      <c r="F27" s="100">
        <v>79.310927769537443</v>
      </c>
      <c r="G27" s="13">
        <v>0.65304362285140494</v>
      </c>
      <c r="H27" s="13">
        <v>-0.28138743876290601</v>
      </c>
      <c r="I27" s="13">
        <v>-0.17952020220561099</v>
      </c>
      <c r="J27" s="13">
        <v>-8.9401039498015256E-2</v>
      </c>
      <c r="K27" s="100">
        <v>3.1542593221776078</v>
      </c>
      <c r="L27" s="7">
        <v>25.925397668615862</v>
      </c>
      <c r="M27" s="15">
        <v>0.45964806501163352</v>
      </c>
      <c r="N27" s="7">
        <v>79.310927769537443</v>
      </c>
      <c r="O27" s="15">
        <v>0.65304362285140494</v>
      </c>
      <c r="P27" s="7">
        <v>3.0591981185132502</v>
      </c>
      <c r="Q27" s="109">
        <v>8.8408640836609598E-2</v>
      </c>
      <c r="R27" s="109">
        <v>4.9727359663672387E-2</v>
      </c>
      <c r="S27" s="109">
        <v>8.1473197666490048E-3</v>
      </c>
      <c r="U27" s="134">
        <f>C27*S27</f>
        <v>0.39089802628040476</v>
      </c>
      <c r="V27" s="134">
        <f>(1+S27)*Q27*(1-U27)+S27</f>
        <v>6.2435929566520443E-2</v>
      </c>
      <c r="W27" s="134">
        <f>V27+I27/3</f>
        <v>2.5958621646501104E-3</v>
      </c>
      <c r="X27" s="134">
        <f>V27+I27/5</f>
        <v>2.6531889125398243E-2</v>
      </c>
      <c r="Y27" s="134"/>
      <c r="AA27" s="134"/>
    </row>
    <row r="28" spans="1:27">
      <c r="A28" t="s">
        <v>218</v>
      </c>
      <c r="B28" t="s">
        <v>32</v>
      </c>
      <c r="C28" s="198">
        <v>54.836569972900392</v>
      </c>
      <c r="D28" s="100">
        <v>26.261429924710502</v>
      </c>
      <c r="E28" s="13">
        <v>0.52109641544522933</v>
      </c>
      <c r="F28" s="100">
        <v>104.6931186860914</v>
      </c>
      <c r="G28" s="13">
        <v>0.90918430415741813</v>
      </c>
      <c r="H28" s="13">
        <v>-0.25738975102805622</v>
      </c>
      <c r="I28" s="13">
        <v>-0.1199922413834076</v>
      </c>
      <c r="J28" s="13">
        <v>2.3232268919365359E-2</v>
      </c>
      <c r="K28" s="100">
        <v>3.9865734267417472</v>
      </c>
      <c r="L28" s="7">
        <v>26.261429924710502</v>
      </c>
      <c r="M28" s="15">
        <v>0.52109641544522933</v>
      </c>
      <c r="N28" s="7">
        <v>104.6931186860914</v>
      </c>
      <c r="O28" s="15">
        <v>0.90918430415741813</v>
      </c>
      <c r="P28" s="7">
        <v>3.9865734267417472</v>
      </c>
      <c r="S28" s="109">
        <v>8.8607665231246104E-3</v>
      </c>
      <c r="U28" s="134">
        <f>C28*S28</f>
        <v>0.48589404345885601</v>
      </c>
      <c r="V28" s="134">
        <f>(1+S28)*R27*(1-U28)+S28</f>
        <v>3.4652424993349674E-2</v>
      </c>
      <c r="W28" s="134">
        <f>V28+I28/3</f>
        <v>-5.3449888011195268E-3</v>
      </c>
      <c r="X28" s="134">
        <f>V28+I28/5</f>
        <v>1.0653976716668154E-2</v>
      </c>
      <c r="Y28" s="134"/>
      <c r="AA28" s="134"/>
    </row>
    <row r="29" spans="1:27">
      <c r="A29" s="18">
        <v>40879</v>
      </c>
      <c r="B29" t="s">
        <v>34</v>
      </c>
      <c r="C29" s="197">
        <v>4.2417339933839262</v>
      </c>
      <c r="D29" s="100">
        <v>2.9652490890629508</v>
      </c>
      <c r="E29" s="13">
        <v>0.30093468999045708</v>
      </c>
      <c r="F29" s="100">
        <v>8.5174207854961441</v>
      </c>
      <c r="G29" s="13">
        <v>1.008004462038697</v>
      </c>
      <c r="H29" s="13">
        <v>-0.10590256404155279</v>
      </c>
      <c r="I29" s="13">
        <v>4.427849107998072E-2</v>
      </c>
      <c r="J29" s="13">
        <v>0.2011740782975184</v>
      </c>
      <c r="K29" s="100">
        <v>2.8724132542226788</v>
      </c>
      <c r="L29" s="7">
        <v>2.9652490890629508</v>
      </c>
      <c r="M29" s="15">
        <v>0.30093468999045708</v>
      </c>
      <c r="N29" s="7">
        <v>8.5174207854961441</v>
      </c>
      <c r="O29" s="15">
        <v>1.008004462038697</v>
      </c>
      <c r="P29" s="7">
        <v>2.8724132542226788</v>
      </c>
      <c r="W29" s="134">
        <f>V27+I29/3</f>
        <v>7.7195426593180683E-2</v>
      </c>
      <c r="X29" s="134">
        <f>V27+I29/5</f>
        <v>7.1291627782516589E-2</v>
      </c>
      <c r="Y29" s="134"/>
      <c r="AA29" s="134"/>
    </row>
    <row r="30" spans="1:27">
      <c r="B30" t="s">
        <v>35</v>
      </c>
      <c r="C30" s="195">
        <v>2.7268778377645551</v>
      </c>
      <c r="D30" s="100">
        <v>2.143631790491956</v>
      </c>
      <c r="E30" s="13">
        <v>0.213887853425342</v>
      </c>
      <c r="F30" s="100">
        <v>8.5706285054399078</v>
      </c>
      <c r="G30" s="13">
        <v>2.1430188718926821</v>
      </c>
      <c r="H30" s="13">
        <v>0.17581875736630209</v>
      </c>
      <c r="I30" s="13">
        <v>0.45652092420783791</v>
      </c>
      <c r="J30" s="13">
        <v>0.79671268461870448</v>
      </c>
      <c r="K30" s="100">
        <v>3.9981812844233739</v>
      </c>
      <c r="L30" s="7">
        <v>2.143631790491956</v>
      </c>
      <c r="M30" s="15">
        <v>0.213887853425342</v>
      </c>
      <c r="N30" s="7">
        <v>8.5706285054399078</v>
      </c>
      <c r="O30" s="15">
        <v>2.1430188718926821</v>
      </c>
      <c r="P30" s="7">
        <v>3.9981812844233739</v>
      </c>
      <c r="W30" s="134">
        <f>V28+I30/3</f>
        <v>0.1868260663959623</v>
      </c>
      <c r="X30" s="134">
        <f>V28+I30/5</f>
        <v>0.12595660983491724</v>
      </c>
      <c r="Y30" s="134"/>
      <c r="AA30" s="134"/>
    </row>
    <row r="31" spans="1:27">
      <c r="C31" s="111"/>
      <c r="D31" s="100"/>
      <c r="F31" s="100"/>
      <c r="K31" s="100"/>
      <c r="L31" s="7"/>
      <c r="N31" s="7"/>
      <c r="P31" s="7"/>
      <c r="AA31" s="134"/>
    </row>
    <row r="32" spans="1:27" ht="17" customHeight="1">
      <c r="A32" s="19" t="s">
        <v>219</v>
      </c>
      <c r="B32" t="s">
        <v>30</v>
      </c>
      <c r="C32" s="197">
        <v>7.6517962237624539</v>
      </c>
      <c r="D32" s="100">
        <v>5.4233023820997497</v>
      </c>
      <c r="E32" s="13">
        <v>0.29123800170503422</v>
      </c>
      <c r="F32" s="100">
        <v>16.53270483278645</v>
      </c>
      <c r="G32" s="13">
        <v>1.160630569518379</v>
      </c>
      <c r="H32" s="13">
        <v>-6.8755169259886895E-2</v>
      </c>
      <c r="I32" s="13">
        <v>7.9389646804373326E-2</v>
      </c>
      <c r="J32" s="68">
        <v>0.26123933458636911</v>
      </c>
      <c r="K32" s="100">
        <v>3.048457133305825</v>
      </c>
      <c r="L32" s="7">
        <v>6.5472473837762557</v>
      </c>
      <c r="M32" s="15">
        <v>0.14435157545832841</v>
      </c>
      <c r="N32" s="7">
        <v>11.189019794918369</v>
      </c>
      <c r="O32" s="15">
        <v>0.46227362408987788</v>
      </c>
      <c r="P32" s="7">
        <v>1.7089654841276021</v>
      </c>
      <c r="Q32" s="109">
        <v>0.1219290184764881</v>
      </c>
      <c r="R32" s="109">
        <v>8.3858750849634456E-2</v>
      </c>
      <c r="S32" s="109">
        <v>3.7454212093106419E-2</v>
      </c>
      <c r="U32" s="134">
        <f>C32*S32</f>
        <v>0.28659199865802976</v>
      </c>
      <c r="V32" s="134">
        <f>(1+S32)*Q32*(1-U32)+S32</f>
        <v>0.12769730925426834</v>
      </c>
      <c r="W32" s="134">
        <f>V32+I32/3</f>
        <v>0.15416052485572612</v>
      </c>
      <c r="X32" s="134">
        <f>V32+I32/5</f>
        <v>0.14357523861514301</v>
      </c>
      <c r="Y32" s="134"/>
      <c r="AA32" s="134"/>
    </row>
    <row r="33" spans="1:27">
      <c r="A33" t="s">
        <v>220</v>
      </c>
      <c r="B33" t="s">
        <v>32</v>
      </c>
      <c r="C33" s="198">
        <v>14.672980491459731</v>
      </c>
      <c r="D33" s="100">
        <v>9.2745988618715067</v>
      </c>
      <c r="E33" s="13">
        <v>0.36791309255337018</v>
      </c>
      <c r="F33" s="100">
        <v>23.914363887262208</v>
      </c>
      <c r="G33" s="13">
        <v>0.62982319108114027</v>
      </c>
      <c r="H33" s="13">
        <v>-0.23618178595408931</v>
      </c>
      <c r="I33" s="13">
        <v>-4.7659429359914962E-2</v>
      </c>
      <c r="J33" s="13">
        <v>0.11086855008163871</v>
      </c>
      <c r="K33" s="100">
        <v>2.5784795917778989</v>
      </c>
      <c r="L33" s="7">
        <v>9.2745988618715067</v>
      </c>
      <c r="M33" s="15">
        <v>0.36791309255337018</v>
      </c>
      <c r="N33" s="7">
        <v>19.503677421758749</v>
      </c>
      <c r="O33" s="15">
        <v>0.32922397280570848</v>
      </c>
      <c r="P33" s="7">
        <v>2.102913313258179</v>
      </c>
      <c r="S33" s="109">
        <v>1.976064787170774E-2</v>
      </c>
      <c r="U33" s="134">
        <f>C33*S33</f>
        <v>0.28994760072017289</v>
      </c>
      <c r="V33" s="134">
        <f>(1+S33)*R32*(1-U33)+S33</f>
        <v>8.0481385249132287E-2</v>
      </c>
      <c r="W33" s="134">
        <f>V33+I33/3</f>
        <v>6.4594908795827299E-2</v>
      </c>
      <c r="X33" s="134">
        <f>V33+I33/5</f>
        <v>7.0949499377149297E-2</v>
      </c>
      <c r="Y33" s="134"/>
      <c r="AA33" s="134"/>
    </row>
    <row r="34" spans="1:27">
      <c r="A34" s="18">
        <v>40879</v>
      </c>
      <c r="B34" t="s">
        <v>34</v>
      </c>
      <c r="C34" s="195">
        <v>0.93297600314545415</v>
      </c>
      <c r="D34" s="100">
        <v>0.91113942889909094</v>
      </c>
      <c r="E34" s="13">
        <v>2.3405290353388449E-2</v>
      </c>
      <c r="F34" s="100">
        <v>2.743613249173626</v>
      </c>
      <c r="G34" s="13">
        <v>1.9407114866017481</v>
      </c>
      <c r="H34" s="13">
        <v>0.14025344901671799</v>
      </c>
      <c r="I34" s="13">
        <v>0.28548495559689679</v>
      </c>
      <c r="J34" s="13">
        <v>0.68846476538018764</v>
      </c>
      <c r="K34" s="100">
        <v>3.0111892451945259</v>
      </c>
      <c r="L34" s="7">
        <v>0.91113942889909094</v>
      </c>
      <c r="M34" s="15">
        <v>2.3405290353388449E-2</v>
      </c>
      <c r="N34" s="7">
        <v>1.8040399260410569</v>
      </c>
      <c r="O34" s="15">
        <v>0.9336402222124478</v>
      </c>
      <c r="P34" s="7">
        <v>1.979982282427222</v>
      </c>
      <c r="W34" s="134">
        <f>V32+I34/3</f>
        <v>0.22285896111990061</v>
      </c>
      <c r="X34" s="134">
        <f>V32+I34/5</f>
        <v>0.18479430037364769</v>
      </c>
      <c r="Y34" s="134"/>
      <c r="AA34" s="134"/>
    </row>
    <row r="35" spans="1:27">
      <c r="B35" t="s">
        <v>35</v>
      </c>
      <c r="C35" s="195">
        <v>1.230457815254868</v>
      </c>
      <c r="D35" s="100">
        <v>1.053259316243172</v>
      </c>
      <c r="E35" s="13">
        <v>0.14401021864775759</v>
      </c>
      <c r="F35" s="100">
        <v>3.5788427483521472</v>
      </c>
      <c r="G35" s="13">
        <v>1.9085456681104109</v>
      </c>
      <c r="H35" s="13">
        <v>0.13966044030541139</v>
      </c>
      <c r="I35" s="13">
        <v>0.33946131476084629</v>
      </c>
      <c r="J35" s="13">
        <v>0.6567746936879626</v>
      </c>
      <c r="K35" s="100">
        <v>3.3978742871388739</v>
      </c>
      <c r="L35" s="7">
        <v>1.053259316243172</v>
      </c>
      <c r="M35" s="15">
        <v>0.14401021864775759</v>
      </c>
      <c r="N35" s="7">
        <v>2.7616691128780282</v>
      </c>
      <c r="O35" s="15">
        <v>1.244424049845217</v>
      </c>
      <c r="P35" s="7">
        <v>2.6220220132763821</v>
      </c>
      <c r="W35" s="134">
        <f>V33+I35/3</f>
        <v>0.19363515683608107</v>
      </c>
      <c r="X35" s="134">
        <f>V33+I35/5</f>
        <v>0.14837364820130156</v>
      </c>
      <c r="Y35" s="134"/>
      <c r="AA35" s="134"/>
    </row>
    <row r="36" spans="1:27">
      <c r="C36" s="111"/>
      <c r="D36" s="100"/>
      <c r="F36" s="100"/>
      <c r="K36" s="100"/>
      <c r="L36" s="7"/>
      <c r="N36" s="7"/>
      <c r="P36" s="7"/>
      <c r="AA36" s="134"/>
    </row>
    <row r="37" spans="1:27" ht="17" customHeight="1">
      <c r="A37" s="19" t="s">
        <v>221</v>
      </c>
      <c r="B37" t="s">
        <v>30</v>
      </c>
      <c r="C37" s="196">
        <v>101.9564035323516</v>
      </c>
      <c r="D37" s="100">
        <v>30.80786782341093</v>
      </c>
      <c r="E37" s="13">
        <v>0.69783292901622063</v>
      </c>
      <c r="F37" s="100">
        <v>305.36905409094578</v>
      </c>
      <c r="G37" s="13">
        <v>1.995094408111892</v>
      </c>
      <c r="H37" s="13">
        <v>-0.54524905014079594</v>
      </c>
      <c r="I37" s="13">
        <v>-0.41024944937447572</v>
      </c>
      <c r="J37" s="13">
        <v>-0.19266210870978029</v>
      </c>
      <c r="K37" s="100">
        <v>9.9120476574784409</v>
      </c>
      <c r="L37" s="7">
        <v>33.893994720542018</v>
      </c>
      <c r="M37" s="15">
        <v>0.66756384546472169</v>
      </c>
      <c r="N37" s="7">
        <v>164.6618380506647</v>
      </c>
      <c r="O37" s="15">
        <v>0.61502203241620035</v>
      </c>
      <c r="P37" s="7">
        <v>4.8581419631504419</v>
      </c>
      <c r="Q37" s="109">
        <v>3.973256804512823E-2</v>
      </c>
      <c r="R37" s="109">
        <v>-0.13921593963221751</v>
      </c>
      <c r="S37" s="109">
        <v>5.5789657052251612E-3</v>
      </c>
      <c r="U37" s="134">
        <f>C37*S37</f>
        <v>0.56881127873508708</v>
      </c>
      <c r="V37" s="134">
        <f>(1+S37)*Q37*(1-U37)+S37</f>
        <v>2.280678106585415E-2</v>
      </c>
      <c r="W37" s="134">
        <f>V37+I37/3</f>
        <v>-0.11394303539230441</v>
      </c>
      <c r="X37" s="134">
        <f>V37+I37/5</f>
        <v>-5.924310880904099E-2</v>
      </c>
      <c r="Y37" s="134"/>
      <c r="AA37" s="134"/>
    </row>
    <row r="38" spans="1:27">
      <c r="A38" t="s">
        <v>222</v>
      </c>
      <c r="B38" t="s">
        <v>32</v>
      </c>
      <c r="C38" s="195">
        <v>-23.52739049341881</v>
      </c>
      <c r="D38" s="100">
        <v>35.978814692671683</v>
      </c>
      <c r="E38" s="13">
        <v>2.5292309915430629</v>
      </c>
      <c r="F38" s="100">
        <v>-17.461523052061899</v>
      </c>
      <c r="G38" s="13">
        <v>-0.2578215141646788</v>
      </c>
      <c r="H38" s="13">
        <v>-3.500084243016695</v>
      </c>
      <c r="I38" s="13">
        <v>-5.069430228518736</v>
      </c>
      <c r="J38" s="13">
        <v>-7.2993676772319009</v>
      </c>
      <c r="K38" s="100">
        <v>-0.48532791314046653</v>
      </c>
      <c r="L38" s="7">
        <v>50.619108120774541</v>
      </c>
      <c r="M38" s="15">
        <v>3.1514969173880099</v>
      </c>
      <c r="N38" s="7">
        <v>-17.461523052061899</v>
      </c>
      <c r="O38" s="15">
        <v>-0.2578215141646788</v>
      </c>
      <c r="P38" s="7">
        <v>-0.34495912117613009</v>
      </c>
      <c r="S38" s="109">
        <v>4.8586818264186021E-3</v>
      </c>
      <c r="U38" s="134">
        <f>C38*S38</f>
        <v>-0.11431210461342776</v>
      </c>
      <c r="V38" s="134">
        <f>(1+S38)*R37*(1-U38)+S38</f>
        <v>-0.15102505220511742</v>
      </c>
      <c r="W38" s="134">
        <f>V38+I38/3</f>
        <v>-1.8408351283780293</v>
      </c>
      <c r="X38" s="134">
        <f>V38+I38/5</f>
        <v>-1.1649110979088646</v>
      </c>
      <c r="Y38" s="134"/>
      <c r="AA38" s="134"/>
    </row>
    <row r="39" spans="1:27">
      <c r="A39" s="18">
        <v>40879</v>
      </c>
      <c r="B39" t="s">
        <v>34</v>
      </c>
      <c r="C39" s="197">
        <v>4.0509897409857114</v>
      </c>
      <c r="D39" s="100">
        <v>2.3798269830232002</v>
      </c>
      <c r="E39" s="13">
        <v>0.41253196497996403</v>
      </c>
      <c r="F39" s="100">
        <v>11.196203538522511</v>
      </c>
      <c r="G39" s="13">
        <v>1.763819277359655</v>
      </c>
      <c r="H39" s="13">
        <v>-0.19161753433026249</v>
      </c>
      <c r="I39" s="13">
        <v>3.2016248665541543E-2</v>
      </c>
      <c r="J39" s="13">
        <v>0.25439737584240391</v>
      </c>
      <c r="K39" s="100">
        <v>4.7046292097669511</v>
      </c>
      <c r="L39" s="7">
        <v>2.5571195627124119</v>
      </c>
      <c r="M39" s="15">
        <v>0.36876671475099848</v>
      </c>
      <c r="N39" s="7">
        <v>11.196203538522511</v>
      </c>
      <c r="O39" s="15">
        <v>1.763819277359655</v>
      </c>
      <c r="P39" s="7">
        <v>4.3784435040833074</v>
      </c>
      <c r="W39" s="134">
        <f>V37+I39/3</f>
        <v>3.3478863954367999E-2</v>
      </c>
      <c r="X39" s="134">
        <f>V37+I39/5</f>
        <v>2.9210030798962457E-2</v>
      </c>
      <c r="Y39" s="134"/>
      <c r="AA39" s="134"/>
    </row>
    <row r="40" spans="1:27">
      <c r="B40" t="s">
        <v>35</v>
      </c>
      <c r="C40" s="197">
        <v>3.275387774635401</v>
      </c>
      <c r="D40" s="100">
        <v>2.046839449151149</v>
      </c>
      <c r="E40" s="13">
        <v>0.37508484796766012</v>
      </c>
      <c r="F40" s="100">
        <v>10.46845598570062</v>
      </c>
      <c r="G40" s="13">
        <v>2.196096678008121</v>
      </c>
      <c r="H40" s="13">
        <v>-0.1007907628605503</v>
      </c>
      <c r="I40" s="13">
        <v>0.18412218805587391</v>
      </c>
      <c r="J40" s="13">
        <v>0.56750848067661086</v>
      </c>
      <c r="K40" s="100">
        <v>5.1144490057791403</v>
      </c>
      <c r="L40" s="7">
        <v>2.1810532783892871</v>
      </c>
      <c r="M40" s="15">
        <v>0.33410837786006281</v>
      </c>
      <c r="N40" s="7">
        <v>10.46845598570062</v>
      </c>
      <c r="O40" s="15">
        <v>2.196096678008121</v>
      </c>
      <c r="P40" s="7">
        <v>4.7997250179195996</v>
      </c>
      <c r="W40" s="134">
        <f>V38+I40/3</f>
        <v>-8.9650989519826113E-2</v>
      </c>
      <c r="X40" s="134">
        <f>V38+I40/5</f>
        <v>-0.11420061459394264</v>
      </c>
      <c r="Y40" s="134"/>
      <c r="AA40" s="134"/>
    </row>
    <row r="41" spans="1:27">
      <c r="C41" s="111"/>
      <c r="D41" s="100"/>
      <c r="F41" s="100"/>
      <c r="K41" s="100"/>
      <c r="L41" s="7"/>
      <c r="N41" s="7"/>
      <c r="P41" s="7"/>
      <c r="AA41" s="134"/>
    </row>
    <row r="42" spans="1:27" ht="17" customHeight="1">
      <c r="A42" s="12" t="s">
        <v>223</v>
      </c>
      <c r="B42" t="s">
        <v>30</v>
      </c>
      <c r="C42" s="196">
        <v>246.26584460717109</v>
      </c>
      <c r="D42" s="100">
        <v>32.378858996985457</v>
      </c>
      <c r="E42" s="13">
        <v>0.86852070757666655</v>
      </c>
      <c r="F42" s="100">
        <v>3390.0473198572472</v>
      </c>
      <c r="G42" s="13">
        <v>12.76580388264906</v>
      </c>
      <c r="H42" s="13">
        <v>-0.8139205812973912</v>
      </c>
      <c r="I42" s="13">
        <v>-0.7657586092717108</v>
      </c>
      <c r="J42" s="13">
        <v>-0.66494844918356311</v>
      </c>
      <c r="K42" s="100">
        <v>104.69940649152799</v>
      </c>
      <c r="L42" s="7">
        <v>50.433583184658168</v>
      </c>
      <c r="M42" s="15">
        <v>0.7952067479552154</v>
      </c>
      <c r="N42" s="7">
        <v>3390.0473198572472</v>
      </c>
      <c r="O42" s="15">
        <v>12.76580388264906</v>
      </c>
      <c r="P42" s="7">
        <v>67.218054038414934</v>
      </c>
      <c r="Q42" s="109">
        <v>1.2422017458873081E-2</v>
      </c>
      <c r="R42" s="109">
        <v>-0.1697449841131245</v>
      </c>
      <c r="S42" s="109">
        <v>4.878296613577515E-3</v>
      </c>
      <c r="U42" s="134">
        <f>C42*S42</f>
        <v>1.2013578357869692</v>
      </c>
      <c r="V42" s="134">
        <f>(1+S42)*Q42*(1-U42)+S42</f>
        <v>2.364824122289244E-3</v>
      </c>
      <c r="W42" s="134">
        <f>V42+I42/3</f>
        <v>-0.25288804563494771</v>
      </c>
      <c r="X42" s="134">
        <f>V42+I42/5</f>
        <v>-0.15078689773205292</v>
      </c>
      <c r="Y42" s="134"/>
      <c r="AA42" s="134"/>
    </row>
    <row r="43" spans="1:27">
      <c r="A43" t="s">
        <v>224</v>
      </c>
      <c r="B43" t="s">
        <v>32</v>
      </c>
      <c r="C43" s="195">
        <v>-19.20391596660609</v>
      </c>
      <c r="D43" s="100">
        <v>34.509738807412852</v>
      </c>
      <c r="E43" s="13">
        <v>2.7970157163477611</v>
      </c>
      <c r="F43" s="100">
        <v>-12.951914529495481</v>
      </c>
      <c r="G43" s="13">
        <v>-0.32555867501098679</v>
      </c>
      <c r="H43" s="13">
        <v>-3.698067086356545</v>
      </c>
      <c r="I43" s="13">
        <v>-5.8954143681731148</v>
      </c>
      <c r="J43" s="13">
        <v>-12.32711724578561</v>
      </c>
      <c r="K43" s="100">
        <v>-0.37531186781145232</v>
      </c>
      <c r="L43" s="7">
        <v>72.060174243923512</v>
      </c>
      <c r="M43" s="15">
        <v>4.7523687548534257</v>
      </c>
      <c r="N43" s="7">
        <v>-12.951914529495481</v>
      </c>
      <c r="O43" s="15">
        <v>-0.32555867501098679</v>
      </c>
      <c r="P43" s="7">
        <v>-0.17973748558605029</v>
      </c>
      <c r="S43" s="109">
        <v>4.2233117128352036E-3</v>
      </c>
      <c r="U43" s="134">
        <f>C43*S43</f>
        <v>-8.1104123234070485E-2</v>
      </c>
      <c r="V43" s="134">
        <f>(1+S43)*R42*(1-U43)+S43</f>
        <v>-0.18006371889859973</v>
      </c>
      <c r="W43" s="134">
        <f>V43+I43/3</f>
        <v>-2.1452018416229715</v>
      </c>
      <c r="X43" s="134">
        <f>V43+I43/5</f>
        <v>-1.3591465925332229</v>
      </c>
      <c r="Y43" s="134"/>
      <c r="AA43" s="134"/>
    </row>
    <row r="44" spans="1:27">
      <c r="A44" s="18">
        <v>40879</v>
      </c>
      <c r="B44" t="s">
        <v>34</v>
      </c>
      <c r="C44" s="198">
        <v>3.0591186212344059</v>
      </c>
      <c r="D44" s="100">
        <v>1.434412243106838</v>
      </c>
      <c r="E44" s="13">
        <v>0.53110277151396335</v>
      </c>
      <c r="F44" s="100">
        <v>7.1886479089227278</v>
      </c>
      <c r="G44" s="13">
        <v>1.349908192190987</v>
      </c>
      <c r="H44" s="13">
        <v>-0.25881549507673651</v>
      </c>
      <c r="I44" s="13">
        <v>-6.1662786943579517E-2</v>
      </c>
      <c r="J44" s="13">
        <v>0.18283173860131649</v>
      </c>
      <c r="K44" s="100">
        <v>5.011563407568671</v>
      </c>
      <c r="L44" s="7">
        <v>1.9273718346898789</v>
      </c>
      <c r="M44" s="15">
        <v>0.36995845100241592</v>
      </c>
      <c r="N44" s="7">
        <v>7.1886479089227278</v>
      </c>
      <c r="O44" s="15">
        <v>1.349908192190987</v>
      </c>
      <c r="P44" s="7">
        <v>3.7297670223967998</v>
      </c>
      <c r="W44" s="134">
        <f>V42+I44/3</f>
        <v>-1.8189438192237263E-2</v>
      </c>
      <c r="X44" s="134">
        <f>V42+I44/5</f>
        <v>-9.9677332664266597E-3</v>
      </c>
      <c r="Y44" s="134"/>
      <c r="AA44" s="134"/>
    </row>
    <row r="45" spans="1:27">
      <c r="B45" t="s">
        <v>35</v>
      </c>
      <c r="C45" s="197">
        <v>3.2597684106613278</v>
      </c>
      <c r="D45" s="100">
        <v>1.913264523780267</v>
      </c>
      <c r="E45" s="13">
        <v>0.41306734628055602</v>
      </c>
      <c r="F45" s="100">
        <v>9.4126542044717976</v>
      </c>
      <c r="G45" s="13">
        <v>1.8875223692845711</v>
      </c>
      <c r="H45" s="13">
        <v>-0.1063978291979292</v>
      </c>
      <c r="I45" s="13">
        <v>0.13350278867591239</v>
      </c>
      <c r="J45" s="13">
        <v>0.52950474779271528</v>
      </c>
      <c r="K45" s="100">
        <v>4.9196826092160437</v>
      </c>
      <c r="L45" s="7">
        <v>2.179438992948084</v>
      </c>
      <c r="M45" s="15">
        <v>0.33141293540361377</v>
      </c>
      <c r="N45" s="7">
        <v>9.4126542044717976</v>
      </c>
      <c r="O45" s="15">
        <v>1.8875223692845711</v>
      </c>
      <c r="P45" s="7">
        <v>4.3188427090310446</v>
      </c>
      <c r="W45" s="134">
        <f>V43+I45/3</f>
        <v>-0.13556278933996227</v>
      </c>
      <c r="X45" s="134">
        <f>V43+I45/5</f>
        <v>-0.15336316116341725</v>
      </c>
      <c r="Y45" s="134"/>
      <c r="AA45" s="134"/>
    </row>
    <row r="46" spans="1:27">
      <c r="C46" s="111"/>
      <c r="D46" s="100"/>
      <c r="F46" s="100"/>
      <c r="K46" s="100"/>
      <c r="L46" s="7"/>
      <c r="N46" s="7"/>
      <c r="P46" s="7"/>
      <c r="AA46" s="134"/>
    </row>
    <row r="47" spans="1:27" ht="17" customHeight="1">
      <c r="A47" s="12" t="s">
        <v>225</v>
      </c>
      <c r="B47" t="s">
        <v>30</v>
      </c>
      <c r="C47" s="197">
        <v>17.699196244537369</v>
      </c>
      <c r="D47" s="100">
        <v>10.44099953460197</v>
      </c>
      <c r="E47" s="13">
        <v>0.41008623271102179</v>
      </c>
      <c r="F47" s="100">
        <v>43.667399957441631</v>
      </c>
      <c r="G47" s="13">
        <v>1.467196778549706</v>
      </c>
      <c r="H47" s="13">
        <v>-6.2959917230843376E-2</v>
      </c>
      <c r="I47" s="13">
        <v>0.22220050871022859</v>
      </c>
      <c r="J47" s="13">
        <v>0.45129630384729569</v>
      </c>
      <c r="K47" s="100">
        <v>4.1823007282708691</v>
      </c>
      <c r="L47" s="7">
        <v>14.511027755388181</v>
      </c>
      <c r="M47" s="15">
        <v>0.18013069323038761</v>
      </c>
      <c r="N47" s="7">
        <v>29.866272453970961</v>
      </c>
      <c r="O47" s="15">
        <v>0.68743665199987913</v>
      </c>
      <c r="P47" s="7">
        <v>2.0581776120496449</v>
      </c>
      <c r="Q47" s="109">
        <v>7.75007626554646E-2</v>
      </c>
      <c r="R47" s="109">
        <v>1.5780883101944521E-2</v>
      </c>
      <c r="S47" s="109">
        <v>2.691800674402579E-2</v>
      </c>
      <c r="U47" s="134">
        <f>C47*S47</f>
        <v>0.47642708387429283</v>
      </c>
      <c r="V47" s="134">
        <f>(1+S47)*Q47*(1-U47)+S47</f>
        <v>6.858756709279118E-2</v>
      </c>
      <c r="W47" s="134">
        <f>V47+I47/3</f>
        <v>0.14265440332953405</v>
      </c>
      <c r="X47" s="134">
        <f>V47+I47/5</f>
        <v>0.11302766883483689</v>
      </c>
      <c r="Y47" s="134"/>
      <c r="AA47" s="134"/>
    </row>
    <row r="48" spans="1:27">
      <c r="A48" t="s">
        <v>226</v>
      </c>
      <c r="B48" t="s">
        <v>32</v>
      </c>
      <c r="C48" s="196">
        <v>80.060899289849985</v>
      </c>
      <c r="D48" s="100">
        <v>15.70196708506923</v>
      </c>
      <c r="E48" s="13">
        <v>0.80387471007261213</v>
      </c>
      <c r="F48" s="100">
        <v>-614.51095381930713</v>
      </c>
      <c r="G48" s="13">
        <v>-8.6755439830191108</v>
      </c>
      <c r="H48" s="13">
        <v>-0.69199905327552291</v>
      </c>
      <c r="I48" s="13">
        <v>-0.53841356752656711</v>
      </c>
      <c r="J48" s="13">
        <v>-0.31801434465338507</v>
      </c>
      <c r="K48" s="100">
        <v>-39.135921664466913</v>
      </c>
      <c r="L48" s="7">
        <v>22.184991098354409</v>
      </c>
      <c r="M48" s="15">
        <v>0.72289855228784583</v>
      </c>
      <c r="N48" s="7">
        <v>115.4449180252082</v>
      </c>
      <c r="O48" s="15">
        <v>0.44196379317767881</v>
      </c>
      <c r="P48" s="7">
        <v>5.2037396595471908</v>
      </c>
      <c r="S48" s="109">
        <v>1.5070643620481579E-2</v>
      </c>
      <c r="U48" s="134">
        <f>C48*S48</f>
        <v>1.2065692811325959</v>
      </c>
      <c r="V48" s="134">
        <f>(1+S48)*R47*(1-U48)+S48</f>
        <v>1.1761669970004371E-2</v>
      </c>
      <c r="W48" s="134">
        <f>V48+I48/3</f>
        <v>-0.16770951920551802</v>
      </c>
      <c r="X48" s="134">
        <f>V48+I48/5</f>
        <v>-9.5921043535309045E-2</v>
      </c>
      <c r="Y48" s="134"/>
      <c r="AA48" s="134"/>
    </row>
    <row r="49" spans="1:27">
      <c r="A49" s="18">
        <v>40879</v>
      </c>
      <c r="B49" t="s">
        <v>34</v>
      </c>
      <c r="C49" s="195">
        <v>1.3717012073403809</v>
      </c>
      <c r="D49" s="100">
        <v>1.3531007016567611</v>
      </c>
      <c r="E49" s="13">
        <v>1.3560173005668591E-2</v>
      </c>
      <c r="F49" s="100">
        <v>3.8243930784200231</v>
      </c>
      <c r="G49" s="13">
        <v>1.7880656938658059</v>
      </c>
      <c r="H49" s="13">
        <v>0.14595165707625449</v>
      </c>
      <c r="I49" s="13">
        <v>0.30380479952523781</v>
      </c>
      <c r="J49" s="13">
        <v>0.6286641275934659</v>
      </c>
      <c r="K49" s="100">
        <v>2.8263920591699989</v>
      </c>
      <c r="L49" s="7">
        <v>1.358915002587634</v>
      </c>
      <c r="M49" s="15">
        <v>9.3214212281242936E-3</v>
      </c>
      <c r="N49" s="7">
        <v>3.8243930784200231</v>
      </c>
      <c r="O49" s="15">
        <v>1.7880656938658059</v>
      </c>
      <c r="P49" s="7">
        <v>2.814298959933216</v>
      </c>
      <c r="W49" s="134">
        <f>V47+I49/3</f>
        <v>0.16985583360120377</v>
      </c>
      <c r="X49" s="134">
        <f>V47+I49/5</f>
        <v>0.12934852699783875</v>
      </c>
      <c r="Y49" s="134"/>
      <c r="AA49" s="134"/>
    </row>
    <row r="50" spans="1:27">
      <c r="B50" t="s">
        <v>35</v>
      </c>
      <c r="C50" s="195">
        <v>1.263431692729676</v>
      </c>
      <c r="D50" s="100">
        <v>1.193445359156259</v>
      </c>
      <c r="E50" s="13">
        <v>5.5393840423782037E-2</v>
      </c>
      <c r="F50" s="100">
        <v>4.6522789104622619</v>
      </c>
      <c r="G50" s="13">
        <v>2.6822559836305011</v>
      </c>
      <c r="H50" s="13">
        <v>0.2990984242817023</v>
      </c>
      <c r="I50" s="13">
        <v>0.62719553073260448</v>
      </c>
      <c r="J50" s="13">
        <v>1.090044368868172</v>
      </c>
      <c r="K50" s="100">
        <v>3.8981917980319811</v>
      </c>
      <c r="L50" s="7">
        <v>1.193445359156259</v>
      </c>
      <c r="M50" s="15">
        <v>5.5393840423782037E-2</v>
      </c>
      <c r="N50" s="7">
        <v>4.6522789104622619</v>
      </c>
      <c r="O50" s="15">
        <v>2.6822559836305011</v>
      </c>
      <c r="P50" s="7">
        <v>3.8981917980319811</v>
      </c>
      <c r="W50" s="134">
        <f>V48+I50/3</f>
        <v>0.22082684688087251</v>
      </c>
      <c r="X50" s="134">
        <f>V48+I50/5</f>
        <v>0.13720077611652526</v>
      </c>
      <c r="Y50" s="134"/>
      <c r="AA50" s="134"/>
    </row>
    <row r="51" spans="1:27">
      <c r="C51" s="111"/>
      <c r="D51" s="100"/>
      <c r="F51" s="100"/>
      <c r="K51" s="100"/>
      <c r="L51" s="7"/>
      <c r="N51" s="7"/>
      <c r="P51" s="7"/>
      <c r="AA51" s="134"/>
    </row>
    <row r="52" spans="1:27" ht="17" customHeight="1">
      <c r="A52" s="12" t="s">
        <v>227</v>
      </c>
      <c r="B52" t="s">
        <v>30</v>
      </c>
      <c r="C52" s="195">
        <v>9.261112293915625</v>
      </c>
      <c r="D52" s="100">
        <v>8.7534856581531564</v>
      </c>
      <c r="E52" s="13">
        <v>5.4812707118989328E-2</v>
      </c>
      <c r="F52" s="100">
        <v>40.037330443489111</v>
      </c>
      <c r="G52" s="13">
        <v>3.3231665023425832</v>
      </c>
      <c r="H52" s="13">
        <v>0.29456276965922812</v>
      </c>
      <c r="I52" s="13">
        <v>0.82344520362785834</v>
      </c>
      <c r="J52" s="13">
        <v>1.565998970461044</v>
      </c>
      <c r="K52" s="100">
        <v>4.5738728555746944</v>
      </c>
      <c r="L52" s="7">
        <v>8.7534856581531564</v>
      </c>
      <c r="M52" s="15">
        <v>5.4812707118989328E-2</v>
      </c>
      <c r="N52" s="7">
        <v>40.037330443489111</v>
      </c>
      <c r="O52" s="15">
        <v>3.3231665023425832</v>
      </c>
      <c r="P52" s="7">
        <v>4.5738728555746944</v>
      </c>
      <c r="Q52" s="109">
        <v>0.13998970831411589</v>
      </c>
      <c r="R52" s="109">
        <v>7.5552860051674886E-2</v>
      </c>
      <c r="S52" s="109">
        <v>3.2369740499489957E-2</v>
      </c>
      <c r="U52" s="134"/>
      <c r="V52" s="134"/>
      <c r="W52" s="134"/>
      <c r="X52" s="134"/>
      <c r="Y52" s="134"/>
      <c r="AA52" s="134"/>
    </row>
    <row r="53" spans="1:27">
      <c r="A53" t="s">
        <v>228</v>
      </c>
      <c r="B53" t="s">
        <v>32</v>
      </c>
      <c r="C53" s="195">
        <v>15.37920940497601</v>
      </c>
      <c r="D53" s="100">
        <v>13.296324059180749</v>
      </c>
      <c r="E53" s="13">
        <v>0.13543513785054079</v>
      </c>
      <c r="F53" s="100">
        <v>-8.1346896341720534</v>
      </c>
      <c r="G53" s="13">
        <v>-1.5289406899902169</v>
      </c>
      <c r="H53" s="13">
        <v>0.21364194915105661</v>
      </c>
      <c r="I53" s="13">
        <v>0.77710446736403815</v>
      </c>
      <c r="J53" s="13">
        <v>1.8443578464033901</v>
      </c>
      <c r="K53" s="100">
        <v>-0.61179989280986813</v>
      </c>
      <c r="L53" s="7">
        <v>13.296324059180749</v>
      </c>
      <c r="M53" s="15">
        <v>0.13543513785054079</v>
      </c>
      <c r="N53" s="7">
        <v>-8.1346896341720534</v>
      </c>
      <c r="O53" s="15">
        <v>-1.5289406899902169</v>
      </c>
      <c r="P53" s="7">
        <v>-0.61179989280986813</v>
      </c>
      <c r="S53" s="109">
        <v>2.073716739999713E-2</v>
      </c>
      <c r="U53" s="134"/>
      <c r="V53" s="134"/>
      <c r="W53" s="134"/>
      <c r="X53" s="134"/>
      <c r="Y53" s="134"/>
      <c r="AA53" s="134"/>
    </row>
    <row r="54" spans="1:27">
      <c r="A54" s="18"/>
      <c r="B54" t="s">
        <v>34</v>
      </c>
      <c r="C54" s="195">
        <v>1.2964604086895211</v>
      </c>
      <c r="D54" s="100">
        <v>1.2378545485660399</v>
      </c>
      <c r="E54" s="13">
        <v>4.5204512016468468E-2</v>
      </c>
      <c r="F54" s="100">
        <v>4.6266063130434096</v>
      </c>
      <c r="G54" s="13">
        <v>2.56864450470959</v>
      </c>
      <c r="H54" s="13">
        <v>0.28856335751462958</v>
      </c>
      <c r="I54" s="13">
        <v>0.64553878693932742</v>
      </c>
      <c r="J54" s="13">
        <v>1.102321107692847</v>
      </c>
      <c r="K54" s="100">
        <v>3.7376009309033762</v>
      </c>
      <c r="L54" s="7">
        <v>1.2378545485660399</v>
      </c>
      <c r="M54" s="15">
        <v>4.5204512016468468E-2</v>
      </c>
      <c r="N54" s="7">
        <v>4.6266063130434096</v>
      </c>
      <c r="O54" s="15">
        <v>2.56864450470959</v>
      </c>
      <c r="P54" s="7">
        <v>3.7376009309033762</v>
      </c>
      <c r="W54" s="134"/>
      <c r="X54" s="134"/>
      <c r="Y54" s="134"/>
      <c r="AA54" s="134"/>
    </row>
    <row r="55" spans="1:27">
      <c r="B55" t="s">
        <v>35</v>
      </c>
      <c r="C55" s="195">
        <v>1.161943255879555</v>
      </c>
      <c r="D55" s="100">
        <v>1.092865200775788</v>
      </c>
      <c r="E55" s="13">
        <v>5.9450454877400298E-2</v>
      </c>
      <c r="F55" s="100">
        <v>5.2569170387406254</v>
      </c>
      <c r="G55" s="13">
        <v>3.5242459234907328</v>
      </c>
      <c r="H55" s="13">
        <v>0.56167685009269586</v>
      </c>
      <c r="I55" s="13">
        <v>0.98569217159867506</v>
      </c>
      <c r="J55" s="13">
        <v>1.614874862682373</v>
      </c>
      <c r="K55" s="100">
        <v>4.8102154181585428</v>
      </c>
      <c r="L55" s="7">
        <v>1.092865200775788</v>
      </c>
      <c r="M55" s="15">
        <v>5.9450454877400298E-2</v>
      </c>
      <c r="N55" s="7">
        <v>5.2569170387406254</v>
      </c>
      <c r="O55" s="15">
        <v>3.5242459234907328</v>
      </c>
      <c r="P55" s="7">
        <v>4.8102154181585428</v>
      </c>
      <c r="W55" s="134"/>
      <c r="X55" s="134"/>
      <c r="Y55" s="134"/>
      <c r="AA55" s="134"/>
    </row>
    <row r="56" spans="1:27">
      <c r="C56" s="111"/>
      <c r="D56" s="100"/>
      <c r="F56" s="100"/>
      <c r="K56" s="100"/>
      <c r="L56" s="7"/>
      <c r="N56" s="7"/>
      <c r="P56" s="7"/>
    </row>
    <row r="57" spans="1:27">
      <c r="C57" s="111"/>
      <c r="D57" s="100"/>
      <c r="F57" s="100"/>
      <c r="K57" s="100"/>
      <c r="L57" s="7"/>
      <c r="N57" s="7"/>
      <c r="P57" s="7"/>
      <c r="U57" s="134"/>
      <c r="V57" s="134"/>
      <c r="W57" s="134"/>
      <c r="X57" s="134"/>
      <c r="Y57" s="134"/>
    </row>
    <row r="58" spans="1:27">
      <c r="C58" s="111"/>
      <c r="D58" s="100"/>
      <c r="F58" s="100"/>
      <c r="K58" s="100"/>
      <c r="L58" s="7"/>
      <c r="N58" s="7"/>
      <c r="P58" s="7"/>
      <c r="U58" s="134"/>
      <c r="V58" s="134"/>
      <c r="W58" s="134"/>
      <c r="X58" s="134"/>
      <c r="Y58" s="134"/>
    </row>
    <row r="59" spans="1:27">
      <c r="C59" s="111"/>
      <c r="D59" s="100"/>
      <c r="F59" s="100"/>
      <c r="K59" s="100"/>
      <c r="L59" s="7"/>
      <c r="N59" s="7"/>
      <c r="P59" s="7"/>
      <c r="W59" s="134"/>
      <c r="X59" s="134"/>
      <c r="Y59" s="134"/>
    </row>
    <row r="60" spans="1:27">
      <c r="C60" s="111"/>
      <c r="D60" s="100"/>
      <c r="F60" s="100"/>
      <c r="K60" s="100"/>
      <c r="L60" s="7"/>
      <c r="N60" s="7"/>
      <c r="P60" s="7"/>
      <c r="W60" s="134"/>
      <c r="X60" s="134"/>
      <c r="Y60" s="134"/>
    </row>
    <row r="61" spans="1:27">
      <c r="C61" s="111"/>
      <c r="D61" s="100"/>
      <c r="F61" s="100"/>
      <c r="K61" s="100"/>
      <c r="L61" s="7"/>
      <c r="N61" s="7"/>
      <c r="P61" s="7"/>
    </row>
    <row r="62" spans="1:27">
      <c r="C62" s="111"/>
      <c r="D62" s="100"/>
      <c r="F62" s="100"/>
      <c r="K62" s="100"/>
      <c r="L62" s="7"/>
      <c r="N62" s="7"/>
      <c r="P62" s="7"/>
      <c r="U62" s="134"/>
      <c r="V62" s="134"/>
      <c r="W62" s="134"/>
      <c r="X62" s="134"/>
      <c r="Y62" s="134"/>
    </row>
    <row r="63" spans="1:27">
      <c r="C63" s="111"/>
      <c r="D63" s="100"/>
      <c r="F63" s="100"/>
      <c r="K63" s="100"/>
      <c r="L63" s="7"/>
      <c r="N63" s="7"/>
      <c r="P63" s="7"/>
      <c r="U63" s="134"/>
      <c r="V63" s="134"/>
      <c r="W63" s="134"/>
      <c r="X63" s="134"/>
      <c r="Y63" s="134"/>
    </row>
    <row r="64" spans="1:27">
      <c r="C64" s="111"/>
      <c r="D64" s="100"/>
      <c r="F64" s="100"/>
      <c r="K64" s="100"/>
      <c r="L64" s="7"/>
      <c r="N64" s="7"/>
      <c r="P64" s="7"/>
      <c r="W64" s="134"/>
      <c r="X64" s="134"/>
      <c r="Y64" s="134"/>
    </row>
    <row r="65" spans="3:25">
      <c r="C65" s="111"/>
      <c r="D65" s="100"/>
      <c r="F65" s="100"/>
      <c r="K65" s="100"/>
      <c r="L65" s="7"/>
      <c r="N65" s="7"/>
      <c r="P65" s="7"/>
      <c r="W65" s="134"/>
      <c r="X65" s="134"/>
      <c r="Y65" s="134"/>
    </row>
    <row r="66" spans="3:25">
      <c r="C66" s="111"/>
      <c r="D66" s="100"/>
      <c r="F66" s="100"/>
      <c r="K66" s="100"/>
      <c r="L66" s="7"/>
      <c r="N66" s="7"/>
      <c r="P66" s="7"/>
    </row>
    <row r="67" spans="3:25">
      <c r="C67" s="111"/>
      <c r="D67" s="100"/>
      <c r="F67" s="100"/>
      <c r="K67" s="100"/>
      <c r="L67" s="7"/>
      <c r="N67" s="7"/>
      <c r="P67" s="7"/>
      <c r="U67" s="134"/>
      <c r="V67" s="134"/>
      <c r="W67" s="134"/>
      <c r="X67" s="134"/>
      <c r="Y67" s="134"/>
    </row>
    <row r="68" spans="3:25">
      <c r="C68" s="111"/>
      <c r="D68" s="100"/>
      <c r="F68" s="100"/>
      <c r="K68" s="100"/>
      <c r="L68" s="7"/>
      <c r="N68" s="7"/>
      <c r="P68" s="7"/>
      <c r="U68" s="134"/>
      <c r="V68" s="134"/>
      <c r="W68" s="134"/>
      <c r="X68" s="134"/>
      <c r="Y68" s="134"/>
    </row>
    <row r="69" spans="3:25">
      <c r="C69" s="111"/>
      <c r="D69" s="100"/>
      <c r="F69" s="100"/>
      <c r="K69" s="100"/>
      <c r="L69" s="7"/>
      <c r="N69" s="7"/>
      <c r="P69" s="7"/>
      <c r="W69" s="134"/>
      <c r="X69" s="134"/>
      <c r="Y69" s="134"/>
    </row>
    <row r="70" spans="3:25">
      <c r="C70" s="111"/>
      <c r="D70" s="100"/>
      <c r="F70" s="100"/>
      <c r="K70" s="100"/>
      <c r="L70" s="7"/>
      <c r="N70" s="7"/>
      <c r="P70" s="7"/>
      <c r="W70" s="134"/>
      <c r="X70" s="134"/>
      <c r="Y70" s="134"/>
    </row>
    <row r="71" spans="3:25">
      <c r="C71" s="111"/>
      <c r="D71" s="100"/>
      <c r="F71" s="100"/>
      <c r="K71" s="100"/>
      <c r="L71" s="7"/>
      <c r="N71" s="7"/>
      <c r="P71" s="7"/>
    </row>
    <row r="72" spans="3:25">
      <c r="C72" s="111"/>
      <c r="D72" s="100"/>
      <c r="F72" s="100"/>
      <c r="K72" s="100"/>
      <c r="L72" s="7"/>
      <c r="N72" s="7"/>
      <c r="P72" s="7"/>
      <c r="U72" s="134"/>
      <c r="V72" s="134"/>
      <c r="W72" s="134"/>
      <c r="X72" s="134"/>
      <c r="Y72" s="134"/>
    </row>
    <row r="73" spans="3:25">
      <c r="C73" s="111"/>
      <c r="D73" s="100"/>
      <c r="F73" s="100"/>
      <c r="K73" s="100"/>
      <c r="L73" s="7"/>
      <c r="N73" s="7"/>
      <c r="P73" s="7"/>
      <c r="U73" s="134"/>
      <c r="V73" s="134"/>
      <c r="W73" s="134"/>
      <c r="X73" s="134"/>
      <c r="Y73" s="134"/>
    </row>
    <row r="74" spans="3:25">
      <c r="C74" s="111"/>
      <c r="D74" s="100"/>
      <c r="F74" s="100"/>
      <c r="K74" s="100"/>
      <c r="L74" s="7"/>
      <c r="N74" s="7"/>
      <c r="P74" s="7"/>
      <c r="W74" s="134"/>
      <c r="X74" s="134"/>
      <c r="Y74" s="134"/>
    </row>
    <row r="75" spans="3:25">
      <c r="C75" s="111"/>
      <c r="D75" s="100"/>
      <c r="F75" s="100"/>
      <c r="K75" s="100"/>
      <c r="L75" s="7"/>
      <c r="N75" s="7"/>
      <c r="P75" s="7"/>
      <c r="W75" s="134"/>
      <c r="X75" s="134"/>
      <c r="Y75" s="134"/>
    </row>
    <row r="76" spans="3:25">
      <c r="C76" s="111"/>
      <c r="D76" s="100"/>
      <c r="F76" s="100"/>
      <c r="K76" s="100"/>
      <c r="L76" s="7"/>
      <c r="N76" s="7"/>
      <c r="P76" s="7"/>
    </row>
    <row r="77" spans="3:25">
      <c r="C77" s="111"/>
      <c r="D77" s="100"/>
      <c r="F77" s="100"/>
      <c r="K77" s="100"/>
      <c r="L77" s="7"/>
      <c r="N77" s="7"/>
      <c r="P77" s="7"/>
      <c r="U77" s="134"/>
      <c r="V77" s="134"/>
      <c r="W77" s="134"/>
      <c r="X77" s="134"/>
      <c r="Y77" s="134"/>
    </row>
    <row r="78" spans="3:25">
      <c r="C78" s="111"/>
      <c r="D78" s="100"/>
      <c r="F78" s="100"/>
      <c r="K78" s="100"/>
      <c r="L78" s="7"/>
      <c r="N78" s="7"/>
      <c r="P78" s="7"/>
      <c r="U78" s="134"/>
      <c r="V78" s="134"/>
      <c r="W78" s="134"/>
      <c r="X78" s="134"/>
      <c r="Y78" s="134"/>
    </row>
    <row r="79" spans="3:25">
      <c r="C79" s="111"/>
      <c r="D79" s="100"/>
      <c r="F79" s="100"/>
      <c r="K79" s="100"/>
      <c r="L79" s="7"/>
      <c r="N79" s="7"/>
      <c r="P79" s="7"/>
      <c r="W79" s="134"/>
      <c r="X79" s="134"/>
      <c r="Y79" s="134"/>
    </row>
    <row r="80" spans="3:25">
      <c r="C80" s="111"/>
      <c r="D80" s="100"/>
      <c r="F80" s="100"/>
      <c r="K80" s="100"/>
      <c r="L80" s="7"/>
      <c r="N80" s="7"/>
      <c r="P80" s="7"/>
      <c r="W80" s="134"/>
      <c r="X80" s="134"/>
      <c r="Y80" s="134"/>
    </row>
    <row r="81" spans="3:25">
      <c r="C81" s="111"/>
      <c r="D81" s="100"/>
      <c r="F81" s="100"/>
      <c r="K81" s="100"/>
      <c r="L81" s="7"/>
      <c r="N81" s="7"/>
      <c r="P81" s="7"/>
    </row>
    <row r="82" spans="3:25">
      <c r="C82" s="111"/>
      <c r="D82" s="100"/>
      <c r="F82" s="100"/>
      <c r="K82" s="100"/>
      <c r="L82" s="7"/>
      <c r="N82" s="7"/>
      <c r="P82" s="7"/>
      <c r="U82" s="134"/>
      <c r="V82" s="134"/>
      <c r="W82" s="134"/>
      <c r="X82" s="134"/>
      <c r="Y82" s="134"/>
    </row>
    <row r="83" spans="3:25">
      <c r="C83" s="111"/>
      <c r="D83" s="100"/>
      <c r="F83" s="100"/>
      <c r="K83" s="100"/>
      <c r="L83" s="7"/>
      <c r="N83" s="7"/>
      <c r="P83" s="7"/>
      <c r="U83" s="134"/>
      <c r="V83" s="134"/>
      <c r="W83" s="134"/>
      <c r="X83" s="134"/>
      <c r="Y83" s="134"/>
    </row>
    <row r="84" spans="3:25">
      <c r="C84" s="111"/>
      <c r="D84" s="100"/>
      <c r="F84" s="100"/>
      <c r="K84" s="100"/>
      <c r="L84" s="7"/>
      <c r="N84" s="7"/>
      <c r="P84" s="7"/>
      <c r="W84" s="134"/>
      <c r="X84" s="134"/>
      <c r="Y84" s="134"/>
    </row>
    <row r="85" spans="3:25">
      <c r="C85" s="111"/>
      <c r="D85" s="100"/>
      <c r="F85" s="100"/>
      <c r="K85" s="100"/>
      <c r="L85" s="7"/>
      <c r="N85" s="7"/>
      <c r="P85" s="7"/>
      <c r="W85" s="134"/>
      <c r="X85" s="134"/>
      <c r="Y85" s="134"/>
    </row>
    <row r="86" spans="3:25">
      <c r="C86" s="111"/>
      <c r="D86" s="100"/>
      <c r="F86" s="100"/>
      <c r="K86" s="100"/>
      <c r="L86" s="7"/>
      <c r="N86" s="7"/>
      <c r="P86" s="7"/>
    </row>
    <row r="87" spans="3:25">
      <c r="C87" s="111"/>
      <c r="D87" s="100"/>
      <c r="F87" s="100"/>
      <c r="K87" s="100"/>
      <c r="L87" s="7"/>
      <c r="N87" s="7"/>
      <c r="P87" s="7"/>
      <c r="U87" s="134"/>
      <c r="V87" s="134"/>
      <c r="W87" s="134"/>
      <c r="X87" s="134"/>
      <c r="Y87" s="134"/>
    </row>
    <row r="88" spans="3:25">
      <c r="C88" s="111"/>
      <c r="D88" s="100"/>
      <c r="F88" s="100"/>
      <c r="K88" s="100"/>
      <c r="L88" s="7"/>
      <c r="N88" s="7"/>
      <c r="P88" s="7"/>
      <c r="U88" s="134"/>
      <c r="V88" s="134"/>
      <c r="W88" s="134"/>
      <c r="X88" s="134"/>
      <c r="Y88" s="134"/>
    </row>
    <row r="89" spans="3:25">
      <c r="C89" s="111"/>
      <c r="D89" s="100"/>
      <c r="F89" s="100"/>
      <c r="K89" s="100"/>
      <c r="L89" s="7"/>
      <c r="N89" s="7"/>
      <c r="P89" s="7"/>
      <c r="W89" s="134"/>
      <c r="X89" s="134"/>
      <c r="Y89" s="134"/>
    </row>
    <row r="90" spans="3:25">
      <c r="C90" s="111"/>
      <c r="D90" s="100"/>
      <c r="F90" s="100"/>
      <c r="K90" s="100"/>
      <c r="L90" s="7"/>
      <c r="N90" s="7"/>
      <c r="P90" s="7"/>
      <c r="W90" s="134"/>
      <c r="X90" s="134"/>
      <c r="Y90" s="134"/>
    </row>
    <row r="91" spans="3:25">
      <c r="C91" s="111"/>
      <c r="D91" s="100"/>
      <c r="F91" s="100"/>
      <c r="K91" s="100"/>
      <c r="L91" s="7"/>
      <c r="N91" s="7"/>
      <c r="P91" s="7"/>
    </row>
    <row r="92" spans="3:25">
      <c r="C92" s="111"/>
      <c r="D92" s="100"/>
      <c r="F92" s="100"/>
      <c r="K92" s="100"/>
      <c r="L92" s="7"/>
      <c r="N92" s="7"/>
      <c r="P92" s="7"/>
      <c r="U92" s="134"/>
      <c r="V92" s="134"/>
      <c r="W92" s="134"/>
      <c r="X92" s="134"/>
      <c r="Y92" s="134"/>
    </row>
    <row r="93" spans="3:25">
      <c r="C93" s="111"/>
      <c r="D93" s="100"/>
      <c r="F93" s="100"/>
      <c r="K93" s="100"/>
      <c r="L93" s="7"/>
      <c r="N93" s="7"/>
      <c r="P93" s="7"/>
      <c r="U93" s="134"/>
      <c r="V93" s="134"/>
      <c r="W93" s="134"/>
      <c r="X93" s="134"/>
      <c r="Y93" s="134"/>
    </row>
    <row r="94" spans="3:25">
      <c r="C94" s="111"/>
      <c r="D94" s="100"/>
      <c r="F94" s="100"/>
      <c r="K94" s="100"/>
      <c r="L94" s="7"/>
      <c r="N94" s="7"/>
      <c r="P94" s="7"/>
      <c r="W94" s="134"/>
      <c r="X94" s="134"/>
      <c r="Y94" s="134"/>
    </row>
    <row r="95" spans="3:25">
      <c r="C95" s="111"/>
      <c r="D95" s="100"/>
      <c r="F95" s="100"/>
      <c r="K95" s="100"/>
      <c r="L95" s="7"/>
      <c r="N95" s="7"/>
      <c r="P95" s="7"/>
      <c r="W95" s="134"/>
      <c r="X95" s="134"/>
      <c r="Y95" s="134"/>
    </row>
    <row r="96" spans="3:25">
      <c r="C96" s="111"/>
      <c r="D96" s="100"/>
      <c r="F96" s="100"/>
      <c r="K96" s="100"/>
      <c r="L96" s="7"/>
      <c r="N96" s="7"/>
      <c r="P96" s="7"/>
    </row>
    <row r="97" spans="3:25">
      <c r="C97" s="111"/>
      <c r="D97" s="100"/>
      <c r="F97" s="100"/>
      <c r="K97" s="100"/>
      <c r="L97" s="7"/>
      <c r="N97" s="7"/>
      <c r="P97" s="7"/>
      <c r="U97" s="134"/>
      <c r="V97" s="134"/>
      <c r="W97" s="134"/>
      <c r="X97" s="134"/>
      <c r="Y97" s="134"/>
    </row>
    <row r="98" spans="3:25">
      <c r="C98" s="111"/>
      <c r="D98" s="100"/>
      <c r="F98" s="100"/>
      <c r="K98" s="100"/>
      <c r="L98" s="7"/>
      <c r="N98" s="7"/>
      <c r="P98" s="7"/>
      <c r="U98" s="134"/>
      <c r="V98" s="134"/>
      <c r="W98" s="134"/>
      <c r="X98" s="134"/>
      <c r="Y98" s="134"/>
    </row>
    <row r="99" spans="3:25">
      <c r="C99" s="111"/>
      <c r="D99" s="100"/>
      <c r="F99" s="100"/>
      <c r="K99" s="100"/>
      <c r="L99" s="7"/>
      <c r="N99" s="7"/>
      <c r="P99" s="7"/>
      <c r="W99" s="134"/>
      <c r="X99" s="134"/>
      <c r="Y99" s="134"/>
    </row>
    <row r="100" spans="3:25">
      <c r="C100" s="111"/>
      <c r="D100" s="100"/>
      <c r="F100" s="100"/>
      <c r="K100" s="100"/>
      <c r="L100" s="7"/>
      <c r="N100" s="7"/>
      <c r="P100" s="7"/>
      <c r="W100" s="134"/>
      <c r="X100" s="134"/>
      <c r="Y100" s="134"/>
    </row>
    <row r="101" spans="3:25">
      <c r="C101" s="111"/>
      <c r="D101" s="100"/>
      <c r="F101" s="100"/>
      <c r="K101" s="100"/>
      <c r="L101" s="7"/>
      <c r="N101" s="7"/>
      <c r="P101" s="7"/>
    </row>
    <row r="102" spans="3:25">
      <c r="C102" s="111"/>
      <c r="D102" s="100"/>
      <c r="F102" s="100"/>
      <c r="K102" s="100"/>
      <c r="L102" s="7"/>
      <c r="N102" s="7"/>
      <c r="P102" s="7"/>
      <c r="U102" s="134"/>
      <c r="V102" s="134"/>
      <c r="W102" s="134"/>
      <c r="X102" s="134"/>
      <c r="Y102" s="134"/>
    </row>
    <row r="103" spans="3:25">
      <c r="C103" s="111"/>
      <c r="D103" s="100"/>
      <c r="F103" s="100"/>
      <c r="K103" s="100"/>
      <c r="L103" s="7"/>
      <c r="N103" s="7"/>
      <c r="P103" s="7"/>
      <c r="U103" s="134"/>
      <c r="V103" s="134"/>
      <c r="W103" s="134"/>
      <c r="X103" s="134"/>
      <c r="Y103" s="134"/>
    </row>
    <row r="104" spans="3:25">
      <c r="C104" s="111"/>
      <c r="D104" s="100"/>
      <c r="F104" s="100"/>
      <c r="K104" s="100"/>
      <c r="L104" s="7"/>
      <c r="N104" s="7"/>
      <c r="P104" s="7"/>
      <c r="W104" s="134"/>
      <c r="X104" s="134"/>
      <c r="Y104" s="134"/>
    </row>
    <row r="105" spans="3:25">
      <c r="C105" s="111"/>
      <c r="D105" s="100"/>
      <c r="F105" s="100"/>
      <c r="K105" s="100"/>
      <c r="L105" s="7"/>
      <c r="N105" s="7"/>
      <c r="P105" s="7"/>
      <c r="W105" s="134"/>
      <c r="X105" s="134"/>
      <c r="Y105" s="134"/>
    </row>
    <row r="106" spans="3:25">
      <c r="C106" s="111"/>
      <c r="D106" s="100"/>
      <c r="F106" s="100"/>
      <c r="K106" s="100"/>
      <c r="L106" s="7"/>
      <c r="N106" s="7"/>
      <c r="P106" s="7"/>
    </row>
    <row r="107" spans="3:25">
      <c r="C107" s="111"/>
      <c r="D107" s="100"/>
      <c r="F107" s="100"/>
      <c r="K107" s="100"/>
      <c r="L107" s="7"/>
      <c r="N107" s="7"/>
      <c r="P107" s="7"/>
      <c r="U107" s="134"/>
      <c r="V107" s="134"/>
      <c r="W107" s="134"/>
      <c r="X107" s="134"/>
      <c r="Y107" s="134"/>
    </row>
    <row r="108" spans="3:25">
      <c r="C108" s="111"/>
      <c r="D108" s="100"/>
      <c r="F108" s="100"/>
      <c r="K108" s="100"/>
      <c r="L108" s="7"/>
      <c r="N108" s="7"/>
      <c r="P108" s="7"/>
      <c r="U108" s="134"/>
      <c r="V108" s="134"/>
      <c r="W108" s="134"/>
      <c r="X108" s="134"/>
      <c r="Y108" s="134"/>
    </row>
    <row r="109" spans="3:25">
      <c r="C109" s="111"/>
      <c r="D109" s="100"/>
      <c r="F109" s="100"/>
      <c r="K109" s="100"/>
      <c r="L109" s="7"/>
      <c r="N109" s="7"/>
      <c r="P109" s="7"/>
      <c r="W109" s="134"/>
      <c r="X109" s="134"/>
      <c r="Y109" s="134"/>
    </row>
    <row r="110" spans="3:25">
      <c r="C110" s="111"/>
      <c r="D110" s="100"/>
      <c r="F110" s="100"/>
      <c r="K110" s="100"/>
      <c r="L110" s="7"/>
      <c r="N110" s="7"/>
      <c r="P110" s="7"/>
      <c r="W110" s="134"/>
      <c r="X110" s="134"/>
      <c r="Y110" s="134"/>
    </row>
    <row r="111" spans="3:25">
      <c r="C111" s="111"/>
      <c r="D111" s="100"/>
      <c r="F111" s="100"/>
      <c r="K111" s="100"/>
      <c r="L111" s="7"/>
      <c r="N111" s="7"/>
      <c r="P111" s="7"/>
    </row>
    <row r="112" spans="3:25">
      <c r="C112" s="111"/>
      <c r="D112" s="100"/>
      <c r="F112" s="100"/>
      <c r="K112" s="100"/>
      <c r="L112" s="7"/>
      <c r="N112" s="7"/>
      <c r="P112" s="7"/>
      <c r="U112" s="134"/>
      <c r="V112" s="134"/>
      <c r="W112" s="134"/>
      <c r="X112" s="134"/>
      <c r="Y112" s="134"/>
    </row>
    <row r="113" spans="3:25">
      <c r="C113" s="111"/>
      <c r="D113" s="100"/>
      <c r="F113" s="100"/>
      <c r="K113" s="100"/>
      <c r="L113" s="7"/>
      <c r="N113" s="7"/>
      <c r="P113" s="7"/>
      <c r="U113" s="134"/>
      <c r="V113" s="134"/>
      <c r="W113" s="134"/>
      <c r="X113" s="134"/>
      <c r="Y113" s="134"/>
    </row>
    <row r="114" spans="3:25">
      <c r="C114" s="111"/>
      <c r="D114" s="100"/>
      <c r="F114" s="100"/>
      <c r="K114" s="100"/>
      <c r="L114" s="7"/>
      <c r="N114" s="7"/>
      <c r="P114" s="7"/>
      <c r="W114" s="134"/>
      <c r="X114" s="134"/>
      <c r="Y114" s="134"/>
    </row>
    <row r="115" spans="3:25">
      <c r="C115" s="111"/>
      <c r="D115" s="100"/>
      <c r="F115" s="100"/>
      <c r="K115" s="100"/>
      <c r="L115" s="7"/>
      <c r="N115" s="7"/>
      <c r="P115" s="7"/>
      <c r="W115" s="134"/>
      <c r="X115" s="134"/>
      <c r="Y115" s="134"/>
    </row>
    <row r="116" spans="3:25">
      <c r="C116" s="111"/>
      <c r="D116" s="100"/>
      <c r="F116" s="100"/>
      <c r="K116" s="100"/>
      <c r="L116" s="7"/>
      <c r="N116" s="7"/>
      <c r="P116" s="7"/>
    </row>
    <row r="117" spans="3:25">
      <c r="C117" s="111"/>
      <c r="D117" s="100"/>
      <c r="F117" s="100"/>
      <c r="K117" s="100"/>
      <c r="L117" s="7"/>
      <c r="N117" s="7"/>
      <c r="P117" s="7"/>
      <c r="U117" s="134"/>
      <c r="V117" s="134"/>
      <c r="W117" s="134"/>
      <c r="X117" s="134"/>
      <c r="Y117" s="134"/>
    </row>
    <row r="118" spans="3:25">
      <c r="C118" s="111"/>
      <c r="D118" s="100"/>
      <c r="F118" s="100"/>
      <c r="K118" s="100"/>
      <c r="L118" s="7"/>
      <c r="N118" s="7"/>
      <c r="P118" s="7"/>
      <c r="U118" s="134"/>
      <c r="V118" s="134"/>
      <c r="W118" s="134"/>
      <c r="X118" s="134"/>
      <c r="Y118" s="134"/>
    </row>
    <row r="119" spans="3:25">
      <c r="C119" s="111"/>
      <c r="D119" s="100"/>
      <c r="F119" s="100"/>
      <c r="K119" s="100"/>
      <c r="L119" s="7"/>
      <c r="N119" s="7"/>
      <c r="P119" s="7"/>
      <c r="W119" s="134"/>
      <c r="X119" s="134"/>
      <c r="Y119" s="134"/>
    </row>
    <row r="120" spans="3:25">
      <c r="C120" s="111"/>
      <c r="D120" s="100"/>
      <c r="F120" s="100"/>
      <c r="K120" s="100"/>
      <c r="L120" s="7"/>
      <c r="N120" s="7"/>
      <c r="P120" s="7"/>
      <c r="W120" s="134"/>
      <c r="X120" s="134"/>
      <c r="Y120" s="134"/>
    </row>
    <row r="121" spans="3:25">
      <c r="C121" s="111"/>
      <c r="D121" s="100"/>
      <c r="F121" s="100"/>
      <c r="K121" s="100"/>
      <c r="L121" s="7"/>
      <c r="N121" s="7"/>
      <c r="P121" s="7"/>
    </row>
    <row r="122" spans="3:25">
      <c r="C122" s="111"/>
      <c r="D122" s="100"/>
      <c r="F122" s="100"/>
      <c r="K122" s="100"/>
      <c r="L122" s="7"/>
      <c r="N122" s="7"/>
      <c r="P122" s="7"/>
      <c r="U122" s="134"/>
      <c r="V122" s="134"/>
      <c r="W122" s="134"/>
      <c r="X122" s="134"/>
      <c r="Y122" s="134"/>
    </row>
    <row r="123" spans="3:25">
      <c r="C123" s="111"/>
      <c r="D123" s="100"/>
      <c r="F123" s="100"/>
      <c r="K123" s="100"/>
      <c r="L123" s="7"/>
      <c r="N123" s="7"/>
      <c r="P123" s="7"/>
      <c r="U123" s="134"/>
      <c r="V123" s="134"/>
      <c r="W123" s="134"/>
      <c r="X123" s="134"/>
      <c r="Y123" s="134"/>
    </row>
    <row r="124" spans="3:25">
      <c r="C124" s="111"/>
      <c r="D124" s="100"/>
      <c r="F124" s="100"/>
      <c r="K124" s="100"/>
      <c r="L124" s="7"/>
      <c r="N124" s="7"/>
      <c r="P124" s="7"/>
      <c r="W124" s="134"/>
      <c r="X124" s="134"/>
      <c r="Y124" s="134"/>
    </row>
    <row r="125" spans="3:25">
      <c r="C125" s="111"/>
      <c r="D125" s="100"/>
      <c r="F125" s="100"/>
      <c r="K125" s="100"/>
      <c r="L125" s="7"/>
      <c r="N125" s="7"/>
      <c r="P125" s="7"/>
      <c r="W125" s="134"/>
      <c r="X125" s="134"/>
      <c r="Y125" s="134"/>
    </row>
    <row r="126" spans="3:25">
      <c r="C126" s="111"/>
      <c r="D126" s="100"/>
      <c r="F126" s="100"/>
      <c r="K126" s="100"/>
      <c r="L126" s="7"/>
      <c r="N126" s="7"/>
      <c r="P126" s="7"/>
    </row>
    <row r="127" spans="3:25">
      <c r="C127" s="111"/>
      <c r="D127" s="100"/>
      <c r="F127" s="100"/>
      <c r="K127" s="100"/>
      <c r="L127" s="7"/>
      <c r="N127" s="7"/>
      <c r="P127" s="7"/>
      <c r="U127" s="134"/>
      <c r="V127" s="134"/>
      <c r="W127" s="134"/>
      <c r="X127" s="134"/>
      <c r="Y127" s="134"/>
    </row>
    <row r="128" spans="3:25">
      <c r="C128" s="111"/>
      <c r="D128" s="100"/>
      <c r="F128" s="100"/>
      <c r="K128" s="100"/>
      <c r="L128" s="7"/>
      <c r="N128" s="7"/>
      <c r="P128" s="7"/>
      <c r="U128" s="134"/>
      <c r="V128" s="134"/>
      <c r="W128" s="134"/>
      <c r="X128" s="134"/>
      <c r="Y128" s="134"/>
    </row>
    <row r="129" spans="3:25">
      <c r="C129" s="111"/>
      <c r="D129" s="100"/>
      <c r="F129" s="100"/>
      <c r="K129" s="100"/>
      <c r="L129" s="7"/>
      <c r="N129" s="7"/>
      <c r="P129" s="7"/>
      <c r="W129" s="134"/>
      <c r="X129" s="134"/>
      <c r="Y129" s="134"/>
    </row>
    <row r="130" spans="3:25">
      <c r="C130" s="111"/>
      <c r="D130" s="100"/>
      <c r="F130" s="100"/>
      <c r="K130" s="100"/>
      <c r="L130" s="7"/>
      <c r="N130" s="7"/>
      <c r="P130" s="7"/>
      <c r="W130" s="134"/>
      <c r="X130" s="134"/>
      <c r="Y130" s="134"/>
    </row>
    <row r="131" spans="3:25">
      <c r="C131" s="111"/>
      <c r="D131" s="100"/>
      <c r="F131" s="100"/>
      <c r="K131" s="100"/>
      <c r="L131" s="7"/>
      <c r="N131" s="7"/>
      <c r="P131" s="7"/>
    </row>
    <row r="132" spans="3:25">
      <c r="C132" s="111"/>
      <c r="D132" s="100"/>
      <c r="F132" s="100"/>
      <c r="K132" s="100"/>
      <c r="L132" s="7"/>
      <c r="N132" s="7"/>
      <c r="P132" s="7"/>
      <c r="U132" s="134"/>
      <c r="V132" s="134"/>
      <c r="W132" s="134"/>
      <c r="X132" s="134"/>
      <c r="Y132" s="134"/>
    </row>
    <row r="133" spans="3:25">
      <c r="C133" s="111"/>
      <c r="D133" s="100"/>
      <c r="F133" s="100"/>
      <c r="K133" s="100"/>
      <c r="L133" s="7"/>
      <c r="N133" s="7"/>
      <c r="P133" s="7"/>
      <c r="U133" s="134"/>
      <c r="V133" s="134"/>
      <c r="W133" s="134"/>
      <c r="X133" s="134"/>
      <c r="Y133" s="134"/>
    </row>
    <row r="134" spans="3:25">
      <c r="C134" s="111"/>
      <c r="D134" s="100"/>
      <c r="F134" s="100"/>
      <c r="K134" s="100"/>
      <c r="L134" s="7"/>
      <c r="N134" s="7"/>
      <c r="P134" s="7"/>
      <c r="W134" s="134"/>
      <c r="X134" s="134"/>
      <c r="Y134" s="134"/>
    </row>
    <row r="135" spans="3:25">
      <c r="C135" s="111"/>
      <c r="D135" s="100"/>
      <c r="F135" s="100"/>
      <c r="K135" s="100"/>
      <c r="L135" s="7"/>
      <c r="N135" s="7"/>
      <c r="P135" s="7"/>
      <c r="W135" s="134"/>
      <c r="X135" s="134"/>
      <c r="Y135" s="134"/>
    </row>
    <row r="136" spans="3:25">
      <c r="C136" s="111"/>
      <c r="D136" s="100"/>
      <c r="F136" s="100"/>
      <c r="K136" s="100"/>
      <c r="L136" s="7"/>
      <c r="N136" s="7"/>
      <c r="P136" s="7"/>
    </row>
    <row r="137" spans="3:25">
      <c r="C137" s="111"/>
      <c r="D137" s="100"/>
      <c r="F137" s="100"/>
      <c r="K137" s="100"/>
      <c r="L137" s="7"/>
      <c r="N137" s="7"/>
      <c r="P137" s="7"/>
      <c r="U137" s="134"/>
      <c r="V137" s="134"/>
      <c r="W137" s="134"/>
      <c r="X137" s="134"/>
      <c r="Y137" s="134"/>
    </row>
    <row r="138" spans="3:25">
      <c r="C138" s="111"/>
      <c r="D138" s="100"/>
      <c r="F138" s="100"/>
      <c r="K138" s="100"/>
      <c r="L138" s="7"/>
      <c r="N138" s="7"/>
      <c r="P138" s="7"/>
      <c r="U138" s="134"/>
      <c r="V138" s="134"/>
      <c r="W138" s="134"/>
      <c r="X138" s="134"/>
      <c r="Y138" s="134"/>
    </row>
    <row r="139" spans="3:25">
      <c r="C139" s="111"/>
      <c r="D139" s="100"/>
      <c r="F139" s="100"/>
      <c r="K139" s="100"/>
      <c r="L139" s="7"/>
      <c r="N139" s="7"/>
      <c r="P139" s="7"/>
      <c r="W139" s="134"/>
      <c r="X139" s="134"/>
      <c r="Y139" s="134"/>
    </row>
    <row r="140" spans="3:25">
      <c r="C140" s="111"/>
      <c r="D140" s="100"/>
      <c r="F140" s="100"/>
      <c r="K140" s="100"/>
      <c r="L140" s="7"/>
      <c r="N140" s="7"/>
      <c r="P140" s="7"/>
      <c r="W140" s="134"/>
      <c r="X140" s="134"/>
      <c r="Y140" s="134"/>
    </row>
    <row r="141" spans="3:25">
      <c r="C141" s="111"/>
      <c r="D141" s="100"/>
      <c r="F141" s="100"/>
      <c r="K141" s="100"/>
      <c r="L141" s="7"/>
      <c r="N141" s="7"/>
      <c r="P141" s="7"/>
    </row>
    <row r="142" spans="3:25">
      <c r="C142" s="111"/>
      <c r="D142" s="100"/>
      <c r="F142" s="100"/>
      <c r="K142" s="100"/>
      <c r="L142" s="7"/>
      <c r="N142" s="7"/>
      <c r="P142" s="7"/>
      <c r="U142" s="134"/>
      <c r="V142" s="134"/>
      <c r="W142" s="134"/>
      <c r="X142" s="134"/>
      <c r="Y142" s="134"/>
    </row>
    <row r="143" spans="3:25">
      <c r="C143" s="111"/>
      <c r="D143" s="100"/>
      <c r="F143" s="100"/>
      <c r="K143" s="100"/>
      <c r="L143" s="7"/>
      <c r="N143" s="7"/>
      <c r="P143" s="7"/>
      <c r="U143" s="134"/>
      <c r="V143" s="134"/>
      <c r="W143" s="134"/>
      <c r="X143" s="134"/>
      <c r="Y143" s="134"/>
    </row>
    <row r="144" spans="3:25">
      <c r="C144" s="111"/>
      <c r="D144" s="100"/>
      <c r="F144" s="100"/>
      <c r="K144" s="100"/>
      <c r="L144" s="7"/>
      <c r="N144" s="7"/>
      <c r="P144" s="7"/>
      <c r="W144" s="134"/>
      <c r="X144" s="134"/>
      <c r="Y144" s="134"/>
    </row>
    <row r="145" spans="3:25">
      <c r="C145" s="111"/>
      <c r="D145" s="100"/>
      <c r="F145" s="100"/>
      <c r="K145" s="100"/>
      <c r="L145" s="7"/>
      <c r="N145" s="7"/>
      <c r="P145" s="7"/>
      <c r="W145" s="134"/>
      <c r="X145" s="134"/>
      <c r="Y145" s="134"/>
    </row>
    <row r="146" spans="3:25">
      <c r="C146" s="111"/>
      <c r="D146" s="100"/>
      <c r="F146" s="100"/>
      <c r="K146" s="100"/>
      <c r="L146" s="7"/>
      <c r="N146" s="7"/>
      <c r="P146" s="7"/>
    </row>
    <row r="147" spans="3:25">
      <c r="C147" s="111"/>
      <c r="D147" s="100"/>
      <c r="F147" s="100"/>
      <c r="K147" s="100"/>
      <c r="L147" s="7"/>
      <c r="N147" s="7"/>
      <c r="P147" s="7"/>
      <c r="U147" s="134"/>
      <c r="V147" s="134"/>
      <c r="W147" s="134"/>
      <c r="X147" s="134"/>
      <c r="Y147" s="134"/>
    </row>
    <row r="148" spans="3:25">
      <c r="C148" s="111"/>
      <c r="D148" s="100"/>
      <c r="F148" s="100"/>
      <c r="K148" s="100"/>
      <c r="L148" s="7"/>
      <c r="N148" s="7"/>
      <c r="P148" s="7"/>
      <c r="U148" s="134"/>
      <c r="V148" s="134"/>
      <c r="W148" s="134"/>
      <c r="X148" s="134"/>
      <c r="Y148" s="134"/>
    </row>
    <row r="149" spans="3:25">
      <c r="C149" s="111"/>
      <c r="D149" s="100"/>
      <c r="F149" s="100"/>
      <c r="K149" s="100"/>
      <c r="L149" s="7"/>
      <c r="N149" s="7"/>
      <c r="P149" s="7"/>
      <c r="W149" s="134"/>
      <c r="X149" s="134"/>
      <c r="Y149" s="134"/>
    </row>
    <row r="150" spans="3:25">
      <c r="C150" s="111"/>
      <c r="D150" s="100"/>
      <c r="F150" s="100"/>
      <c r="K150" s="100"/>
      <c r="L150" s="7"/>
      <c r="N150" s="7"/>
      <c r="P150" s="7"/>
      <c r="W150" s="134"/>
      <c r="X150" s="134"/>
      <c r="Y150" s="134"/>
    </row>
    <row r="151" spans="3:25">
      <c r="C151" s="111"/>
      <c r="D151" s="100"/>
      <c r="F151" s="100"/>
      <c r="K151" s="100"/>
      <c r="L151" s="7"/>
      <c r="N151" s="7"/>
      <c r="P151" s="7"/>
    </row>
    <row r="152" spans="3:25">
      <c r="C152" s="111"/>
      <c r="D152" s="100"/>
      <c r="F152" s="100"/>
      <c r="K152" s="100"/>
      <c r="L152" s="7"/>
      <c r="N152" s="7"/>
      <c r="P152" s="7"/>
      <c r="U152" s="134"/>
      <c r="V152" s="134"/>
      <c r="W152" s="134"/>
      <c r="X152" s="134"/>
      <c r="Y152" s="134"/>
    </row>
    <row r="153" spans="3:25">
      <c r="C153" s="111"/>
      <c r="D153" s="100"/>
      <c r="F153" s="100"/>
      <c r="K153" s="100"/>
      <c r="L153" s="7"/>
      <c r="N153" s="7"/>
      <c r="P153" s="7"/>
      <c r="U153" s="134"/>
      <c r="V153" s="134"/>
      <c r="W153" s="134"/>
      <c r="X153" s="134"/>
      <c r="Y153" s="134"/>
    </row>
    <row r="154" spans="3:25">
      <c r="C154" s="111"/>
      <c r="D154" s="100"/>
      <c r="F154" s="100"/>
      <c r="K154" s="100"/>
      <c r="L154" s="7"/>
      <c r="N154" s="7"/>
      <c r="P154" s="7"/>
      <c r="W154" s="134"/>
      <c r="X154" s="134"/>
      <c r="Y154" s="134"/>
    </row>
    <row r="155" spans="3:25">
      <c r="C155" s="111"/>
      <c r="D155" s="100"/>
      <c r="F155" s="100"/>
      <c r="K155" s="100"/>
      <c r="L155" s="7"/>
      <c r="N155" s="7"/>
      <c r="P155" s="7"/>
      <c r="W155" s="134"/>
      <c r="X155" s="134"/>
      <c r="Y155" s="134"/>
    </row>
    <row r="156" spans="3:25">
      <c r="C156" s="111"/>
      <c r="D156" s="100"/>
      <c r="F156" s="100"/>
      <c r="K156" s="100"/>
      <c r="L156" s="7"/>
      <c r="N156" s="7"/>
      <c r="P156" s="7"/>
    </row>
    <row r="157" spans="3:25">
      <c r="C157" s="111"/>
      <c r="D157" s="100"/>
      <c r="F157" s="100"/>
      <c r="K157" s="100"/>
      <c r="L157" s="7"/>
      <c r="N157" s="7"/>
      <c r="P157" s="7"/>
      <c r="U157" s="134"/>
      <c r="V157" s="134"/>
      <c r="W157" s="134"/>
      <c r="X157" s="134"/>
      <c r="Y157" s="134"/>
    </row>
    <row r="158" spans="3:25">
      <c r="C158" s="111"/>
      <c r="D158" s="100"/>
      <c r="F158" s="100"/>
      <c r="K158" s="100"/>
      <c r="L158" s="7"/>
      <c r="N158" s="7"/>
      <c r="P158" s="7"/>
      <c r="U158" s="134"/>
      <c r="V158" s="134"/>
      <c r="W158" s="134"/>
      <c r="X158" s="134"/>
      <c r="Y158" s="134"/>
    </row>
    <row r="159" spans="3:25">
      <c r="C159" s="111"/>
      <c r="D159" s="100"/>
      <c r="F159" s="100"/>
      <c r="K159" s="100"/>
      <c r="L159" s="7"/>
      <c r="N159" s="7"/>
      <c r="P159" s="7"/>
      <c r="W159" s="134"/>
      <c r="X159" s="134"/>
      <c r="Y159" s="134"/>
    </row>
    <row r="160" spans="3:25">
      <c r="C160" s="111"/>
      <c r="D160" s="100"/>
      <c r="F160" s="100"/>
      <c r="K160" s="100"/>
      <c r="L160" s="7"/>
      <c r="N160" s="7"/>
      <c r="P160" s="7"/>
      <c r="W160" s="134"/>
      <c r="X160" s="134"/>
      <c r="Y160" s="134"/>
    </row>
    <row r="161" spans="3:25">
      <c r="C161" s="111"/>
      <c r="D161" s="100"/>
      <c r="F161" s="100"/>
      <c r="K161" s="100"/>
      <c r="L161" s="7"/>
      <c r="N161" s="7"/>
      <c r="P161" s="7"/>
    </row>
    <row r="162" spans="3:25">
      <c r="C162" s="111"/>
      <c r="D162" s="100"/>
      <c r="F162" s="100"/>
      <c r="K162" s="100"/>
      <c r="L162" s="7"/>
      <c r="N162" s="7"/>
      <c r="P162" s="7"/>
      <c r="U162" s="134"/>
      <c r="V162" s="134"/>
      <c r="W162" s="134"/>
      <c r="X162" s="134"/>
      <c r="Y162" s="134"/>
    </row>
    <row r="163" spans="3:25">
      <c r="C163" s="111"/>
      <c r="D163" s="100"/>
      <c r="F163" s="100"/>
      <c r="K163" s="100"/>
      <c r="L163" s="7"/>
      <c r="N163" s="7"/>
      <c r="P163" s="7"/>
      <c r="U163" s="134"/>
      <c r="V163" s="134"/>
      <c r="W163" s="134"/>
      <c r="X163" s="134"/>
      <c r="Y163" s="134"/>
    </row>
    <row r="164" spans="3:25">
      <c r="C164" s="111"/>
      <c r="D164" s="100"/>
      <c r="F164" s="100"/>
      <c r="K164" s="100"/>
      <c r="L164" s="7"/>
      <c r="N164" s="7"/>
      <c r="P164" s="7"/>
      <c r="W164" s="134"/>
      <c r="X164" s="134"/>
      <c r="Y164" s="134"/>
    </row>
    <row r="165" spans="3:25">
      <c r="C165" s="111"/>
      <c r="D165" s="100"/>
      <c r="F165" s="100"/>
      <c r="K165" s="100"/>
      <c r="L165" s="7"/>
      <c r="N165" s="7"/>
      <c r="P165" s="7"/>
      <c r="W165" s="134"/>
      <c r="X165" s="134"/>
      <c r="Y165" s="134"/>
    </row>
    <row r="166" spans="3:25">
      <c r="C166" s="111"/>
      <c r="D166" s="100"/>
      <c r="F166" s="100"/>
      <c r="K166" s="100"/>
      <c r="L166" s="7"/>
      <c r="N166" s="7"/>
      <c r="P166" s="7"/>
    </row>
    <row r="167" spans="3:25">
      <c r="C167" s="111"/>
      <c r="D167" s="100"/>
      <c r="F167" s="100"/>
      <c r="K167" s="100"/>
      <c r="L167" s="7"/>
      <c r="N167" s="7"/>
      <c r="P167" s="7"/>
      <c r="U167" s="134"/>
      <c r="V167" s="134"/>
      <c r="W167" s="134"/>
      <c r="X167" s="134"/>
      <c r="Y167" s="134"/>
    </row>
    <row r="168" spans="3:25">
      <c r="C168" s="111"/>
      <c r="D168" s="100"/>
      <c r="F168" s="100"/>
      <c r="K168" s="100"/>
      <c r="L168" s="7"/>
      <c r="N168" s="7"/>
      <c r="P168" s="7"/>
      <c r="U168" s="134"/>
      <c r="V168" s="134"/>
      <c r="W168" s="134"/>
      <c r="X168" s="134"/>
      <c r="Y168" s="134"/>
    </row>
    <row r="169" spans="3:25">
      <c r="C169" s="111"/>
      <c r="D169" s="100"/>
      <c r="F169" s="100"/>
      <c r="K169" s="100"/>
      <c r="L169" s="7"/>
      <c r="N169" s="7"/>
      <c r="P169" s="7"/>
      <c r="W169" s="134"/>
      <c r="X169" s="134"/>
      <c r="Y169" s="134"/>
    </row>
    <row r="170" spans="3:25">
      <c r="C170" s="111"/>
      <c r="D170" s="100"/>
      <c r="F170" s="100"/>
      <c r="K170" s="100"/>
      <c r="L170" s="7"/>
      <c r="N170" s="7"/>
      <c r="P170" s="7"/>
      <c r="W170" s="134"/>
      <c r="X170" s="134"/>
      <c r="Y170" s="134"/>
    </row>
    <row r="171" spans="3:25">
      <c r="C171" s="111"/>
      <c r="D171" s="100"/>
      <c r="F171" s="100"/>
      <c r="K171" s="100"/>
      <c r="L171" s="7"/>
      <c r="N171" s="7"/>
      <c r="P171" s="7"/>
    </row>
    <row r="172" spans="3:25">
      <c r="C172" s="111"/>
      <c r="D172" s="100"/>
      <c r="F172" s="100"/>
      <c r="K172" s="100"/>
      <c r="L172" s="7"/>
      <c r="N172" s="7"/>
      <c r="P172" s="7"/>
      <c r="U172" s="134"/>
      <c r="V172" s="134"/>
      <c r="W172" s="134"/>
      <c r="X172" s="134"/>
      <c r="Y172" s="134"/>
    </row>
    <row r="173" spans="3:25">
      <c r="C173" s="111"/>
      <c r="D173" s="100"/>
      <c r="F173" s="100"/>
      <c r="K173" s="100"/>
      <c r="L173" s="7"/>
      <c r="N173" s="7"/>
      <c r="P173" s="7"/>
      <c r="U173" s="134"/>
      <c r="V173" s="134"/>
      <c r="W173" s="134"/>
      <c r="X173" s="134"/>
      <c r="Y173" s="134"/>
    </row>
    <row r="174" spans="3:25">
      <c r="C174" s="111"/>
      <c r="D174" s="100"/>
      <c r="F174" s="100"/>
      <c r="K174" s="100"/>
      <c r="L174" s="7"/>
      <c r="N174" s="7"/>
      <c r="P174" s="7"/>
      <c r="W174" s="134"/>
      <c r="X174" s="134"/>
      <c r="Y174" s="134"/>
    </row>
    <row r="175" spans="3:25">
      <c r="C175" s="111"/>
      <c r="D175" s="100"/>
      <c r="F175" s="100"/>
      <c r="K175" s="100"/>
      <c r="L175" s="7"/>
      <c r="N175" s="7"/>
      <c r="P175" s="7"/>
      <c r="W175" s="134"/>
      <c r="X175" s="134"/>
      <c r="Y175" s="134"/>
    </row>
    <row r="176" spans="3:25">
      <c r="C176" s="111"/>
      <c r="D176" s="100"/>
      <c r="F176" s="100"/>
      <c r="K176" s="100"/>
      <c r="L176" s="7"/>
      <c r="N176" s="7"/>
      <c r="P176" s="7"/>
    </row>
    <row r="177" spans="3:25">
      <c r="C177" s="111"/>
      <c r="D177" s="100"/>
      <c r="F177" s="100"/>
      <c r="K177" s="100"/>
      <c r="L177" s="7"/>
      <c r="N177" s="7"/>
      <c r="P177" s="7"/>
      <c r="U177" s="134"/>
      <c r="V177" s="134"/>
      <c r="W177" s="134"/>
      <c r="X177" s="134"/>
      <c r="Y177" s="134"/>
    </row>
    <row r="178" spans="3:25">
      <c r="C178" s="111"/>
      <c r="D178" s="100"/>
      <c r="F178" s="100"/>
      <c r="K178" s="100"/>
      <c r="L178" s="7"/>
      <c r="N178" s="7"/>
      <c r="P178" s="7"/>
      <c r="U178" s="134"/>
      <c r="V178" s="134"/>
      <c r="W178" s="134"/>
      <c r="X178" s="134"/>
      <c r="Y178" s="134"/>
    </row>
    <row r="179" spans="3:25">
      <c r="C179" s="111"/>
      <c r="D179" s="100"/>
      <c r="F179" s="100"/>
      <c r="K179" s="100"/>
      <c r="L179" s="7"/>
      <c r="N179" s="7"/>
      <c r="P179" s="7"/>
      <c r="W179" s="134"/>
      <c r="X179" s="134"/>
      <c r="Y179" s="134"/>
    </row>
    <row r="180" spans="3:25">
      <c r="C180" s="111"/>
      <c r="D180" s="100"/>
      <c r="F180" s="100"/>
      <c r="K180" s="100"/>
      <c r="L180" s="7"/>
      <c r="N180" s="7"/>
      <c r="P180" s="7"/>
      <c r="W180" s="134"/>
      <c r="X180" s="134"/>
      <c r="Y180" s="134"/>
    </row>
    <row r="181" spans="3:25">
      <c r="C181" s="111"/>
      <c r="D181" s="100"/>
      <c r="F181" s="100"/>
      <c r="K181" s="100"/>
      <c r="L181" s="7"/>
      <c r="N181" s="7"/>
      <c r="P181" s="7"/>
    </row>
    <row r="182" spans="3:25">
      <c r="C182" s="111"/>
      <c r="D182" s="100"/>
      <c r="F182" s="100"/>
      <c r="K182" s="100"/>
      <c r="L182" s="7"/>
      <c r="N182" s="7"/>
      <c r="P182" s="7"/>
      <c r="U182" s="134"/>
      <c r="V182" s="134"/>
      <c r="W182" s="134"/>
      <c r="X182" s="134"/>
      <c r="Y182" s="134"/>
    </row>
    <row r="183" spans="3:25">
      <c r="C183" s="111"/>
      <c r="D183" s="100"/>
      <c r="F183" s="100"/>
      <c r="K183" s="100"/>
      <c r="L183" s="7"/>
      <c r="N183" s="7"/>
      <c r="P183" s="7"/>
      <c r="U183" s="134"/>
      <c r="V183" s="134"/>
      <c r="W183" s="134"/>
      <c r="X183" s="134"/>
      <c r="Y183" s="134"/>
    </row>
    <row r="184" spans="3:25">
      <c r="C184" s="111"/>
      <c r="D184" s="100"/>
      <c r="F184" s="100"/>
      <c r="K184" s="100"/>
      <c r="L184" s="7"/>
      <c r="N184" s="7"/>
      <c r="P184" s="7"/>
      <c r="W184" s="134"/>
      <c r="X184" s="134"/>
      <c r="Y184" s="134"/>
    </row>
    <row r="185" spans="3:25">
      <c r="C185" s="111"/>
      <c r="D185" s="100"/>
      <c r="F185" s="100"/>
      <c r="K185" s="100"/>
      <c r="L185" s="7"/>
      <c r="N185" s="7"/>
      <c r="P185" s="7"/>
      <c r="W185" s="134"/>
      <c r="X185" s="134"/>
      <c r="Y185" s="134"/>
    </row>
    <row r="186" spans="3:25">
      <c r="C186" s="111"/>
      <c r="D186" s="100"/>
      <c r="F186" s="100"/>
      <c r="K186" s="100"/>
      <c r="L186" s="7"/>
      <c r="N186" s="7"/>
      <c r="P186" s="7"/>
    </row>
    <row r="187" spans="3:25">
      <c r="C187" s="111"/>
      <c r="D187" s="100"/>
      <c r="F187" s="100"/>
      <c r="K187" s="100"/>
      <c r="L187" s="7"/>
      <c r="N187" s="7"/>
      <c r="P187" s="7"/>
      <c r="U187" s="134"/>
      <c r="V187" s="134"/>
      <c r="W187" s="134"/>
      <c r="X187" s="134"/>
      <c r="Y187" s="134"/>
    </row>
    <row r="188" spans="3:25">
      <c r="C188" s="111"/>
      <c r="D188" s="100"/>
      <c r="F188" s="100"/>
      <c r="K188" s="100"/>
      <c r="L188" s="7"/>
      <c r="N188" s="7"/>
      <c r="P188" s="7"/>
      <c r="U188" s="134"/>
      <c r="V188" s="134"/>
      <c r="W188" s="134"/>
      <c r="X188" s="134"/>
      <c r="Y188" s="134"/>
    </row>
    <row r="189" spans="3:25">
      <c r="C189" s="111"/>
      <c r="D189" s="100"/>
      <c r="F189" s="100"/>
      <c r="K189" s="100"/>
      <c r="L189" s="7"/>
      <c r="N189" s="7"/>
      <c r="P189" s="7"/>
      <c r="W189" s="134"/>
      <c r="X189" s="134"/>
      <c r="Y189" s="134"/>
    </row>
    <row r="190" spans="3:25">
      <c r="C190" s="111"/>
      <c r="D190" s="100"/>
      <c r="F190" s="100"/>
      <c r="K190" s="100"/>
      <c r="L190" s="7"/>
      <c r="N190" s="7"/>
      <c r="P190" s="7"/>
      <c r="W190" s="134"/>
      <c r="X190" s="134"/>
      <c r="Y190" s="134"/>
    </row>
    <row r="191" spans="3:25">
      <c r="C191" s="111"/>
      <c r="D191" s="100"/>
      <c r="F191" s="100"/>
      <c r="K191" s="100"/>
      <c r="L191" s="7"/>
      <c r="N191" s="7"/>
      <c r="P191" s="7"/>
    </row>
    <row r="192" spans="3:25">
      <c r="C192" s="111"/>
      <c r="D192" s="100"/>
      <c r="F192" s="100"/>
      <c r="K192" s="100"/>
      <c r="L192" s="7"/>
      <c r="N192" s="7"/>
      <c r="P192" s="7"/>
      <c r="U192" s="134"/>
      <c r="V192" s="134"/>
      <c r="W192" s="134"/>
      <c r="X192" s="134"/>
      <c r="Y192" s="134"/>
    </row>
    <row r="193" spans="3:25">
      <c r="C193" s="111"/>
      <c r="D193" s="100"/>
      <c r="F193" s="100"/>
      <c r="K193" s="100"/>
      <c r="L193" s="7"/>
      <c r="N193" s="7"/>
      <c r="P193" s="7"/>
      <c r="U193" s="134"/>
      <c r="V193" s="134"/>
      <c r="W193" s="134"/>
      <c r="X193" s="134"/>
      <c r="Y193" s="134"/>
    </row>
    <row r="194" spans="3:25">
      <c r="C194" s="111"/>
      <c r="D194" s="100"/>
      <c r="F194" s="100"/>
      <c r="K194" s="100"/>
      <c r="L194" s="7"/>
      <c r="N194" s="7"/>
      <c r="P194" s="7"/>
      <c r="W194" s="134"/>
      <c r="X194" s="134"/>
      <c r="Y194" s="134"/>
    </row>
    <row r="195" spans="3:25">
      <c r="C195" s="111"/>
      <c r="D195" s="100"/>
      <c r="F195" s="100"/>
      <c r="K195" s="100"/>
      <c r="L195" s="7"/>
      <c r="N195" s="7"/>
      <c r="P195" s="7"/>
      <c r="W195" s="134"/>
      <c r="X195" s="134"/>
      <c r="Y195" s="134"/>
    </row>
    <row r="196" spans="3:25">
      <c r="C196" s="111"/>
      <c r="D196" s="100"/>
      <c r="F196" s="100"/>
      <c r="K196" s="100"/>
      <c r="L196" s="7"/>
      <c r="N196" s="7"/>
      <c r="P196" s="7"/>
    </row>
    <row r="197" spans="3:25">
      <c r="C197" s="111"/>
      <c r="D197" s="100"/>
      <c r="F197" s="100"/>
      <c r="K197" s="100"/>
      <c r="L197" s="7"/>
      <c r="N197" s="7"/>
      <c r="P197" s="7"/>
      <c r="U197" s="134"/>
      <c r="V197" s="134"/>
      <c r="W197" s="134"/>
      <c r="X197" s="134"/>
      <c r="Y197" s="134"/>
    </row>
    <row r="198" spans="3:25">
      <c r="C198" s="111"/>
      <c r="D198" s="100"/>
      <c r="F198" s="100"/>
      <c r="K198" s="100"/>
      <c r="L198" s="7"/>
      <c r="N198" s="7"/>
      <c r="P198" s="7"/>
      <c r="U198" s="134"/>
      <c r="V198" s="134"/>
      <c r="W198" s="134"/>
      <c r="X198" s="134"/>
      <c r="Y198" s="134"/>
    </row>
    <row r="199" spans="3:25">
      <c r="C199" s="111"/>
      <c r="D199" s="100"/>
      <c r="F199" s="100"/>
      <c r="K199" s="100"/>
      <c r="L199" s="7"/>
      <c r="N199" s="7"/>
      <c r="P199" s="7"/>
      <c r="W199" s="134"/>
      <c r="X199" s="134"/>
      <c r="Y199" s="134"/>
    </row>
    <row r="200" spans="3:25">
      <c r="C200" s="111"/>
      <c r="D200" s="100"/>
      <c r="F200" s="100"/>
      <c r="K200" s="100"/>
      <c r="L200" s="7"/>
      <c r="N200" s="7"/>
      <c r="P200" s="7"/>
      <c r="W200" s="134"/>
      <c r="X200" s="134"/>
      <c r="Y200" s="134"/>
    </row>
    <row r="201" spans="3:25">
      <c r="C201" s="111"/>
      <c r="D201" s="100"/>
      <c r="F201" s="100"/>
      <c r="K201" s="100"/>
      <c r="L201" s="7"/>
      <c r="N201" s="7"/>
      <c r="P201" s="7"/>
    </row>
    <row r="202" spans="3:25">
      <c r="C202" s="111"/>
      <c r="D202" s="100"/>
      <c r="F202" s="100"/>
      <c r="K202" s="100"/>
      <c r="L202" s="7"/>
      <c r="N202" s="7"/>
      <c r="P202" s="7"/>
      <c r="U202" s="134"/>
      <c r="V202" s="134"/>
      <c r="W202" s="134"/>
      <c r="X202" s="134"/>
      <c r="Y202" s="134"/>
    </row>
    <row r="203" spans="3:25">
      <c r="C203" s="111"/>
      <c r="D203" s="100"/>
      <c r="F203" s="100"/>
      <c r="K203" s="100"/>
      <c r="L203" s="7"/>
      <c r="N203" s="7"/>
      <c r="P203" s="7"/>
      <c r="U203" s="134"/>
      <c r="V203" s="134"/>
      <c r="W203" s="134"/>
      <c r="X203" s="134"/>
      <c r="Y203" s="134"/>
    </row>
    <row r="204" spans="3:25">
      <c r="C204" s="111"/>
      <c r="D204" s="100"/>
      <c r="F204" s="100"/>
      <c r="K204" s="100"/>
      <c r="L204" s="7"/>
      <c r="N204" s="7"/>
      <c r="P204" s="7"/>
      <c r="W204" s="134"/>
      <c r="X204" s="134"/>
      <c r="Y204" s="134"/>
    </row>
    <row r="205" spans="3:25">
      <c r="C205" s="111"/>
      <c r="D205" s="100"/>
      <c r="F205" s="100"/>
      <c r="K205" s="100"/>
      <c r="L205" s="7"/>
      <c r="N205" s="7"/>
      <c r="P205" s="7"/>
      <c r="W205" s="134"/>
      <c r="X205" s="134"/>
      <c r="Y205" s="134"/>
    </row>
    <row r="206" spans="3:25">
      <c r="C206" s="111"/>
      <c r="D206" s="100"/>
      <c r="F206" s="100"/>
      <c r="K206" s="100"/>
      <c r="L206" s="7"/>
      <c r="N206" s="7"/>
      <c r="P206" s="7"/>
    </row>
    <row r="207" spans="3:25">
      <c r="C207" s="111"/>
      <c r="D207" s="100"/>
      <c r="F207" s="100"/>
      <c r="K207" s="100"/>
      <c r="L207" s="7"/>
      <c r="N207" s="7"/>
      <c r="P207" s="7"/>
      <c r="U207" s="134"/>
      <c r="V207" s="134"/>
      <c r="W207" s="134"/>
      <c r="X207" s="134"/>
      <c r="Y207" s="134"/>
    </row>
    <row r="208" spans="3:25">
      <c r="C208" s="111"/>
      <c r="D208" s="100"/>
      <c r="F208" s="100"/>
      <c r="K208" s="100"/>
      <c r="L208" s="7"/>
      <c r="N208" s="7"/>
      <c r="P208" s="7"/>
      <c r="U208" s="134"/>
      <c r="V208" s="134"/>
      <c r="W208" s="134"/>
      <c r="X208" s="134"/>
      <c r="Y208" s="134"/>
    </row>
    <row r="209" spans="3:25">
      <c r="C209" s="111"/>
      <c r="D209" s="100"/>
      <c r="F209" s="100"/>
      <c r="K209" s="100"/>
      <c r="L209" s="7"/>
      <c r="N209" s="7"/>
      <c r="P209" s="7"/>
      <c r="W209" s="134"/>
      <c r="X209" s="134"/>
      <c r="Y209" s="134"/>
    </row>
    <row r="210" spans="3:25">
      <c r="C210" s="111"/>
      <c r="D210" s="100"/>
      <c r="F210" s="100"/>
      <c r="K210" s="100"/>
      <c r="L210" s="7"/>
      <c r="N210" s="7"/>
      <c r="P210" s="7"/>
      <c r="W210" s="134"/>
      <c r="X210" s="134"/>
      <c r="Y210" s="134"/>
    </row>
    <row r="211" spans="3:25">
      <c r="C211" s="111"/>
      <c r="D211" s="100"/>
      <c r="F211" s="100"/>
      <c r="K211" s="100"/>
      <c r="L211" s="7"/>
      <c r="N211" s="7"/>
      <c r="P211" s="7"/>
    </row>
    <row r="212" spans="3:25">
      <c r="C212" s="111"/>
      <c r="D212" s="100"/>
      <c r="F212" s="100"/>
      <c r="K212" s="100"/>
      <c r="L212" s="7"/>
      <c r="N212" s="7"/>
      <c r="P212" s="7"/>
      <c r="U212" s="134"/>
      <c r="V212" s="134"/>
      <c r="W212" s="134"/>
      <c r="X212" s="134"/>
      <c r="Y212" s="134"/>
    </row>
    <row r="213" spans="3:25">
      <c r="C213" s="111"/>
      <c r="D213" s="100"/>
      <c r="F213" s="100"/>
      <c r="K213" s="100"/>
      <c r="L213" s="7"/>
      <c r="N213" s="7"/>
      <c r="P213" s="7"/>
      <c r="U213" s="134"/>
      <c r="V213" s="134"/>
      <c r="W213" s="134"/>
      <c r="X213" s="134"/>
      <c r="Y213" s="134"/>
    </row>
    <row r="214" spans="3:25">
      <c r="C214" s="111"/>
      <c r="D214" s="100"/>
      <c r="F214" s="100"/>
      <c r="K214" s="100"/>
      <c r="L214" s="7"/>
      <c r="N214" s="7"/>
      <c r="P214" s="7"/>
      <c r="W214" s="134"/>
      <c r="X214" s="134"/>
      <c r="Y214" s="134"/>
    </row>
    <row r="215" spans="3:25">
      <c r="C215" s="111"/>
      <c r="D215" s="100"/>
      <c r="F215" s="100"/>
      <c r="K215" s="100"/>
      <c r="L215" s="7"/>
      <c r="N215" s="7"/>
      <c r="P215" s="7"/>
      <c r="W215" s="134"/>
      <c r="X215" s="134"/>
      <c r="Y215" s="134"/>
    </row>
    <row r="216" spans="3:25">
      <c r="C216" s="111"/>
      <c r="D216" s="100"/>
      <c r="F216" s="100"/>
      <c r="K216" s="100"/>
      <c r="L216" s="7"/>
      <c r="N216" s="7"/>
      <c r="P216" s="7"/>
    </row>
    <row r="217" spans="3:25">
      <c r="C217" s="111"/>
      <c r="D217" s="100"/>
      <c r="F217" s="100"/>
      <c r="K217" s="100"/>
      <c r="L217" s="7"/>
      <c r="N217" s="7"/>
      <c r="P217" s="7"/>
      <c r="U217" s="134"/>
      <c r="V217" s="134"/>
      <c r="W217" s="134"/>
      <c r="X217" s="134"/>
      <c r="Y217" s="134"/>
    </row>
    <row r="218" spans="3:25">
      <c r="C218" s="111"/>
      <c r="D218" s="100"/>
      <c r="F218" s="100"/>
      <c r="K218" s="100"/>
      <c r="L218" s="7"/>
      <c r="N218" s="7"/>
      <c r="P218" s="7"/>
      <c r="U218" s="134"/>
      <c r="V218" s="134"/>
      <c r="W218" s="134"/>
      <c r="X218" s="134"/>
      <c r="Y218" s="134"/>
    </row>
    <row r="219" spans="3:25">
      <c r="C219" s="111"/>
      <c r="D219" s="100"/>
      <c r="F219" s="100"/>
      <c r="K219" s="100"/>
      <c r="L219" s="7"/>
      <c r="N219" s="7"/>
      <c r="P219" s="7"/>
      <c r="W219" s="134"/>
      <c r="X219" s="134"/>
      <c r="Y219" s="134"/>
    </row>
    <row r="220" spans="3:25">
      <c r="C220" s="111"/>
      <c r="D220" s="100"/>
      <c r="F220" s="100"/>
      <c r="K220" s="100"/>
      <c r="L220" s="7"/>
      <c r="N220" s="7"/>
      <c r="P220" s="7"/>
      <c r="W220" s="134"/>
      <c r="X220" s="134"/>
      <c r="Y220" s="134"/>
    </row>
    <row r="221" spans="3:25">
      <c r="C221" s="111"/>
      <c r="D221" s="100"/>
      <c r="F221" s="100"/>
      <c r="K221" s="100"/>
      <c r="L221" s="7"/>
      <c r="N221" s="7"/>
      <c r="P221" s="7"/>
    </row>
    <row r="222" spans="3:25">
      <c r="C222" s="111"/>
      <c r="D222" s="100"/>
      <c r="F222" s="100"/>
      <c r="K222" s="100"/>
      <c r="L222" s="7"/>
      <c r="N222" s="7"/>
      <c r="P222" s="7"/>
      <c r="U222" s="134"/>
      <c r="V222" s="134"/>
      <c r="W222" s="134"/>
      <c r="X222" s="134"/>
      <c r="Y222" s="134"/>
    </row>
    <row r="223" spans="3:25">
      <c r="C223" s="111"/>
      <c r="D223" s="100"/>
      <c r="F223" s="100"/>
      <c r="K223" s="100"/>
      <c r="L223" s="7"/>
      <c r="N223" s="7"/>
      <c r="P223" s="7"/>
      <c r="U223" s="134"/>
      <c r="V223" s="134"/>
      <c r="W223" s="134"/>
      <c r="X223" s="134"/>
      <c r="Y223" s="134"/>
    </row>
    <row r="224" spans="3:25">
      <c r="C224" s="111"/>
      <c r="D224" s="100"/>
      <c r="F224" s="100"/>
      <c r="K224" s="100"/>
      <c r="L224" s="7"/>
      <c r="N224" s="7"/>
      <c r="P224" s="7"/>
      <c r="W224" s="134"/>
      <c r="X224" s="134"/>
      <c r="Y224" s="134"/>
    </row>
    <row r="225" spans="3:25">
      <c r="C225" s="111"/>
      <c r="D225" s="100"/>
      <c r="F225" s="100"/>
      <c r="K225" s="100"/>
      <c r="L225" s="7"/>
      <c r="N225" s="7"/>
      <c r="P225" s="7"/>
      <c r="W225" s="134"/>
      <c r="X225" s="134"/>
      <c r="Y225" s="134"/>
    </row>
    <row r="226" spans="3:25">
      <c r="C226" s="111"/>
      <c r="D226" s="100"/>
      <c r="F226" s="100"/>
      <c r="K226" s="100"/>
      <c r="L226" s="7"/>
      <c r="N226" s="7"/>
      <c r="P226" s="7"/>
    </row>
    <row r="227" spans="3:25">
      <c r="C227" s="111"/>
      <c r="D227" s="100"/>
      <c r="F227" s="100"/>
      <c r="K227" s="100"/>
      <c r="L227" s="7"/>
      <c r="N227" s="7"/>
      <c r="P227" s="7"/>
      <c r="U227" s="134"/>
      <c r="V227" s="134"/>
      <c r="W227" s="134"/>
      <c r="X227" s="134"/>
      <c r="Y227" s="134"/>
    </row>
    <row r="228" spans="3:25">
      <c r="C228" s="111"/>
      <c r="D228" s="100"/>
      <c r="F228" s="100"/>
      <c r="K228" s="100"/>
      <c r="L228" s="7"/>
      <c r="N228" s="7"/>
      <c r="P228" s="7"/>
      <c r="U228" s="134"/>
      <c r="V228" s="134"/>
      <c r="W228" s="134"/>
      <c r="X228" s="134"/>
      <c r="Y228" s="134"/>
    </row>
    <row r="229" spans="3:25">
      <c r="C229" s="111"/>
      <c r="D229" s="100"/>
      <c r="F229" s="100"/>
      <c r="K229" s="100"/>
      <c r="L229" s="7"/>
      <c r="N229" s="7"/>
      <c r="P229" s="7"/>
      <c r="W229" s="134"/>
      <c r="X229" s="134"/>
      <c r="Y229" s="134"/>
    </row>
    <row r="230" spans="3:25">
      <c r="C230" s="111"/>
      <c r="D230" s="100"/>
      <c r="F230" s="100"/>
      <c r="K230" s="100"/>
      <c r="L230" s="7"/>
      <c r="N230" s="7"/>
      <c r="P230" s="7"/>
      <c r="W230" s="134"/>
      <c r="X230" s="134"/>
      <c r="Y230" s="134"/>
    </row>
    <row r="231" spans="3:25">
      <c r="C231" s="111"/>
      <c r="D231" s="100"/>
      <c r="F231" s="100"/>
      <c r="K231" s="100"/>
      <c r="L231" s="7"/>
      <c r="N231" s="7"/>
      <c r="P231" s="7"/>
    </row>
    <row r="232" spans="3:25">
      <c r="C232" s="111"/>
      <c r="D232" s="100"/>
      <c r="F232" s="100"/>
      <c r="K232" s="100"/>
      <c r="L232" s="7"/>
      <c r="N232" s="7"/>
      <c r="P232" s="7"/>
      <c r="U232" s="134"/>
      <c r="V232" s="134"/>
      <c r="W232" s="134"/>
      <c r="X232" s="134"/>
      <c r="Y232" s="134"/>
    </row>
    <row r="233" spans="3:25">
      <c r="C233" s="111"/>
      <c r="D233" s="100"/>
      <c r="F233" s="100"/>
      <c r="K233" s="100"/>
      <c r="L233" s="7"/>
      <c r="N233" s="7"/>
      <c r="P233" s="7"/>
      <c r="U233" s="134"/>
      <c r="V233" s="134"/>
      <c r="W233" s="134"/>
      <c r="X233" s="134"/>
      <c r="Y233" s="134"/>
    </row>
    <row r="234" spans="3:25">
      <c r="C234" s="111"/>
      <c r="D234" s="100"/>
      <c r="F234" s="100"/>
      <c r="K234" s="100"/>
      <c r="L234" s="7"/>
      <c r="N234" s="7"/>
      <c r="P234" s="7"/>
      <c r="W234" s="134"/>
      <c r="X234" s="134"/>
      <c r="Y234" s="134"/>
    </row>
    <row r="235" spans="3:25">
      <c r="C235" s="111"/>
      <c r="D235" s="100"/>
      <c r="F235" s="100"/>
      <c r="K235" s="100"/>
      <c r="L235" s="7"/>
      <c r="N235" s="7"/>
      <c r="P235" s="7"/>
      <c r="W235" s="134"/>
      <c r="X235" s="134"/>
      <c r="Y235" s="134"/>
    </row>
    <row r="236" spans="3:25">
      <c r="C236" s="111"/>
      <c r="D236" s="100"/>
      <c r="F236" s="100"/>
      <c r="K236" s="100"/>
      <c r="L236" s="7"/>
      <c r="N236" s="7"/>
      <c r="P236" s="7"/>
    </row>
    <row r="237" spans="3:25">
      <c r="C237" s="111"/>
      <c r="D237" s="100"/>
      <c r="F237" s="100"/>
      <c r="K237" s="100"/>
      <c r="L237" s="7"/>
      <c r="N237" s="7"/>
      <c r="P237" s="7"/>
      <c r="U237" s="134"/>
      <c r="V237" s="134"/>
      <c r="W237" s="134"/>
      <c r="X237" s="134"/>
      <c r="Y237" s="134"/>
    </row>
    <row r="238" spans="3:25">
      <c r="C238" s="111"/>
      <c r="D238" s="100"/>
      <c r="F238" s="100"/>
      <c r="K238" s="100"/>
      <c r="L238" s="7"/>
      <c r="N238" s="7"/>
      <c r="P238" s="7"/>
      <c r="U238" s="134"/>
      <c r="V238" s="134"/>
      <c r="W238" s="134"/>
      <c r="X238" s="134"/>
      <c r="Y238" s="134"/>
    </row>
    <row r="239" spans="3:25">
      <c r="C239" s="111"/>
      <c r="D239" s="100"/>
      <c r="F239" s="100"/>
      <c r="K239" s="100"/>
      <c r="L239" s="7"/>
      <c r="N239" s="7"/>
      <c r="P239" s="7"/>
      <c r="W239" s="134"/>
      <c r="X239" s="134"/>
      <c r="Y239" s="134"/>
    </row>
    <row r="240" spans="3:25">
      <c r="C240" s="111"/>
      <c r="D240" s="100"/>
      <c r="F240" s="100"/>
      <c r="K240" s="100"/>
      <c r="L240" s="7"/>
      <c r="N240" s="7"/>
      <c r="P240" s="7"/>
      <c r="W240" s="134"/>
      <c r="X240" s="134"/>
      <c r="Y240" s="134"/>
    </row>
    <row r="241" spans="3:25">
      <c r="C241" s="111"/>
      <c r="D241" s="100"/>
      <c r="F241" s="100"/>
      <c r="K241" s="100"/>
      <c r="L241" s="7"/>
      <c r="N241" s="7"/>
      <c r="P241" s="7"/>
    </row>
    <row r="242" spans="3:25">
      <c r="C242" s="111"/>
      <c r="D242" s="100"/>
      <c r="F242" s="100"/>
      <c r="K242" s="100"/>
      <c r="L242" s="7"/>
      <c r="N242" s="7"/>
      <c r="P242" s="7"/>
      <c r="U242" s="134"/>
      <c r="V242" s="134"/>
      <c r="W242" s="134"/>
      <c r="X242" s="134"/>
      <c r="Y242" s="134"/>
    </row>
    <row r="243" spans="3:25">
      <c r="C243" s="111"/>
      <c r="D243" s="100"/>
      <c r="F243" s="100"/>
      <c r="K243" s="100"/>
      <c r="L243" s="7"/>
      <c r="N243" s="7"/>
      <c r="P243" s="7"/>
      <c r="U243" s="134"/>
      <c r="V243" s="134"/>
      <c r="W243" s="134"/>
      <c r="X243" s="134"/>
      <c r="Y243" s="134"/>
    </row>
    <row r="244" spans="3:25">
      <c r="C244" s="111"/>
      <c r="D244" s="100"/>
      <c r="F244" s="100"/>
      <c r="K244" s="100"/>
      <c r="L244" s="7"/>
      <c r="N244" s="7"/>
      <c r="P244" s="7"/>
      <c r="W244" s="134"/>
      <c r="X244" s="134"/>
      <c r="Y244" s="134"/>
    </row>
    <row r="245" spans="3:25">
      <c r="C245" s="111"/>
      <c r="D245" s="100"/>
      <c r="F245" s="100"/>
      <c r="K245" s="100"/>
      <c r="L245" s="7"/>
      <c r="N245" s="7"/>
      <c r="P245" s="7"/>
      <c r="W245" s="134"/>
      <c r="X245" s="134"/>
      <c r="Y245" s="134"/>
    </row>
    <row r="246" spans="3:25">
      <c r="C246" s="111"/>
      <c r="D246" s="100"/>
      <c r="F246" s="100"/>
      <c r="K246" s="100"/>
      <c r="L246" s="7"/>
      <c r="N246" s="7"/>
      <c r="P246" s="7"/>
    </row>
    <row r="247" spans="3:25">
      <c r="C247" s="111"/>
      <c r="D247" s="100"/>
      <c r="F247" s="100"/>
      <c r="K247" s="100"/>
      <c r="L247" s="7"/>
      <c r="N247" s="7"/>
      <c r="P247" s="7"/>
      <c r="U247" s="134"/>
      <c r="V247" s="134"/>
      <c r="W247" s="134"/>
      <c r="X247" s="134"/>
      <c r="Y247" s="134"/>
    </row>
    <row r="248" spans="3:25">
      <c r="C248" s="111"/>
      <c r="D248" s="100"/>
      <c r="F248" s="100"/>
      <c r="K248" s="100"/>
      <c r="L248" s="7"/>
      <c r="N248" s="7"/>
      <c r="P248" s="7"/>
      <c r="U248" s="134"/>
      <c r="V248" s="134"/>
      <c r="W248" s="134"/>
      <c r="X248" s="134"/>
      <c r="Y248" s="134"/>
    </row>
    <row r="249" spans="3:25">
      <c r="C249" s="111"/>
      <c r="D249" s="100"/>
      <c r="F249" s="100"/>
      <c r="K249" s="100"/>
      <c r="L249" s="7"/>
      <c r="N249" s="7"/>
      <c r="P249" s="7"/>
      <c r="W249" s="134"/>
      <c r="X249" s="134"/>
      <c r="Y249" s="134"/>
    </row>
    <row r="250" spans="3:25">
      <c r="C250" s="111"/>
      <c r="D250" s="100"/>
      <c r="F250" s="100"/>
      <c r="K250" s="100"/>
      <c r="L250" s="7"/>
      <c r="N250" s="7"/>
      <c r="P250" s="7"/>
      <c r="W250" s="134"/>
      <c r="X250" s="134"/>
      <c r="Y250" s="134"/>
    </row>
    <row r="251" spans="3:25">
      <c r="C251" s="111"/>
      <c r="D251" s="100"/>
      <c r="F251" s="100"/>
      <c r="K251" s="100"/>
      <c r="L251" s="7"/>
      <c r="N251" s="7"/>
      <c r="P251" s="7"/>
    </row>
    <row r="252" spans="3:25">
      <c r="C252" s="111"/>
      <c r="D252" s="100"/>
      <c r="F252" s="100"/>
      <c r="K252" s="100"/>
      <c r="L252" s="7"/>
      <c r="N252" s="7"/>
      <c r="P252" s="7"/>
      <c r="U252" s="134"/>
      <c r="V252" s="134"/>
      <c r="W252" s="134"/>
      <c r="X252" s="134"/>
      <c r="Y252" s="134"/>
    </row>
    <row r="253" spans="3:25">
      <c r="C253" s="111"/>
      <c r="D253" s="100"/>
      <c r="F253" s="100"/>
      <c r="K253" s="100"/>
      <c r="L253" s="7"/>
      <c r="N253" s="7"/>
      <c r="P253" s="7"/>
      <c r="U253" s="134"/>
      <c r="V253" s="134"/>
      <c r="W253" s="134"/>
      <c r="X253" s="134"/>
      <c r="Y253" s="134"/>
    </row>
    <row r="254" spans="3:25">
      <c r="C254" s="111"/>
      <c r="D254" s="100"/>
      <c r="F254" s="100"/>
      <c r="K254" s="100"/>
      <c r="L254" s="7"/>
      <c r="N254" s="7"/>
      <c r="P254" s="7"/>
      <c r="W254" s="134"/>
      <c r="X254" s="134"/>
      <c r="Y254" s="134"/>
    </row>
    <row r="255" spans="3:25">
      <c r="C255" s="111"/>
      <c r="D255" s="100"/>
      <c r="F255" s="100"/>
      <c r="K255" s="100"/>
      <c r="L255" s="7"/>
      <c r="N255" s="7"/>
      <c r="P255" s="7"/>
      <c r="W255" s="134"/>
      <c r="X255" s="134"/>
      <c r="Y255" s="134"/>
    </row>
    <row r="256" spans="3:25">
      <c r="C256" s="111"/>
      <c r="D256" s="100"/>
      <c r="F256" s="100"/>
      <c r="K256" s="100"/>
      <c r="L256" s="7"/>
      <c r="N256" s="7"/>
      <c r="P256" s="7"/>
    </row>
    <row r="257" spans="3:25">
      <c r="C257" s="111"/>
      <c r="D257" s="100"/>
      <c r="F257" s="100"/>
      <c r="K257" s="100"/>
      <c r="L257" s="7"/>
      <c r="N257" s="7"/>
      <c r="P257" s="7"/>
      <c r="U257" s="134"/>
      <c r="V257" s="134"/>
      <c r="W257" s="134"/>
      <c r="X257" s="134"/>
      <c r="Y257" s="134"/>
    </row>
    <row r="258" spans="3:25">
      <c r="C258" s="111"/>
      <c r="D258" s="100"/>
      <c r="F258" s="100"/>
      <c r="K258" s="100"/>
      <c r="L258" s="7"/>
      <c r="N258" s="7"/>
      <c r="P258" s="7"/>
      <c r="U258" s="134"/>
      <c r="V258" s="134"/>
      <c r="W258" s="134"/>
      <c r="X258" s="134"/>
      <c r="Y258" s="134"/>
    </row>
    <row r="259" spans="3:25">
      <c r="C259" s="111"/>
      <c r="D259" s="100"/>
      <c r="F259" s="100"/>
      <c r="K259" s="100"/>
      <c r="L259" s="7"/>
      <c r="N259" s="7"/>
      <c r="P259" s="7"/>
      <c r="W259" s="134"/>
      <c r="X259" s="134"/>
      <c r="Y259" s="134"/>
    </row>
    <row r="260" spans="3:25">
      <c r="C260" s="111"/>
      <c r="D260" s="100"/>
      <c r="F260" s="100"/>
      <c r="K260" s="100"/>
      <c r="L260" s="7"/>
      <c r="N260" s="7"/>
      <c r="P260" s="7"/>
      <c r="W260" s="134"/>
      <c r="X260" s="134"/>
      <c r="Y260" s="134"/>
    </row>
    <row r="261" spans="3:25">
      <c r="C261" s="111"/>
      <c r="D261" s="100"/>
      <c r="F261" s="100"/>
      <c r="K261" s="100"/>
      <c r="L261" s="7"/>
      <c r="N261" s="7"/>
      <c r="P261" s="7"/>
    </row>
    <row r="262" spans="3:25">
      <c r="C262" s="111"/>
      <c r="D262" s="100"/>
      <c r="F262" s="100"/>
      <c r="K262" s="100"/>
      <c r="L262" s="7"/>
      <c r="N262" s="7"/>
      <c r="P262" s="7"/>
      <c r="U262" s="134"/>
      <c r="V262" s="134"/>
      <c r="W262" s="134"/>
      <c r="X262" s="134"/>
      <c r="Y262" s="134"/>
    </row>
    <row r="263" spans="3:25">
      <c r="C263" s="111"/>
      <c r="D263" s="100"/>
      <c r="F263" s="100"/>
      <c r="K263" s="100"/>
      <c r="L263" s="7"/>
      <c r="N263" s="7"/>
      <c r="P263" s="7"/>
      <c r="U263" s="134"/>
      <c r="V263" s="134"/>
      <c r="W263" s="134"/>
      <c r="X263" s="134"/>
      <c r="Y263" s="134"/>
    </row>
    <row r="264" spans="3:25">
      <c r="C264" s="111"/>
      <c r="D264" s="100"/>
      <c r="F264" s="100"/>
      <c r="K264" s="100"/>
      <c r="L264" s="7"/>
      <c r="N264" s="7"/>
      <c r="P264" s="7"/>
      <c r="W264" s="134"/>
      <c r="X264" s="134"/>
      <c r="Y264" s="134"/>
    </row>
    <row r="265" spans="3:25">
      <c r="C265" s="111"/>
      <c r="D265" s="100"/>
      <c r="F265" s="100"/>
      <c r="K265" s="100"/>
      <c r="L265" s="7"/>
      <c r="N265" s="7"/>
      <c r="P265" s="7"/>
      <c r="W265" s="134"/>
      <c r="X265" s="134"/>
      <c r="Y265" s="134"/>
    </row>
    <row r="266" spans="3:25">
      <c r="C266" s="111"/>
      <c r="D266" s="100"/>
      <c r="F266" s="100"/>
      <c r="K266" s="100"/>
      <c r="L266" s="7"/>
      <c r="N266" s="7"/>
      <c r="P266" s="7"/>
    </row>
    <row r="267" spans="3:25">
      <c r="C267" s="111"/>
      <c r="D267" s="100"/>
      <c r="F267" s="100"/>
      <c r="K267" s="100"/>
      <c r="L267" s="7"/>
      <c r="N267" s="7"/>
      <c r="P267" s="7"/>
      <c r="U267" s="134"/>
      <c r="V267" s="134"/>
      <c r="W267" s="134"/>
      <c r="X267" s="134"/>
      <c r="Y267" s="134"/>
    </row>
    <row r="268" spans="3:25">
      <c r="C268" s="111"/>
      <c r="D268" s="100"/>
      <c r="F268" s="100"/>
      <c r="K268" s="100"/>
      <c r="L268" s="7"/>
      <c r="N268" s="7"/>
      <c r="P268" s="7"/>
      <c r="U268" s="134"/>
      <c r="V268" s="134"/>
      <c r="W268" s="134"/>
      <c r="X268" s="134"/>
      <c r="Y268" s="134"/>
    </row>
    <row r="269" spans="3:25">
      <c r="C269" s="111"/>
      <c r="D269" s="100"/>
      <c r="F269" s="100"/>
      <c r="K269" s="100"/>
      <c r="L269" s="7"/>
      <c r="N269" s="7"/>
      <c r="P269" s="7"/>
      <c r="W269" s="134"/>
      <c r="X269" s="134"/>
      <c r="Y269" s="134"/>
    </row>
    <row r="270" spans="3:25">
      <c r="C270" s="111"/>
      <c r="D270" s="100"/>
      <c r="F270" s="100"/>
      <c r="K270" s="100"/>
      <c r="L270" s="7"/>
      <c r="N270" s="7"/>
      <c r="P270" s="7"/>
      <c r="W270" s="134"/>
      <c r="X270" s="134"/>
      <c r="Y270" s="134"/>
    </row>
    <row r="271" spans="3:25">
      <c r="C271" s="111"/>
      <c r="D271" s="100"/>
      <c r="F271" s="100"/>
      <c r="K271" s="100"/>
      <c r="L271" s="7"/>
      <c r="N271" s="7"/>
      <c r="P271" s="7"/>
    </row>
    <row r="272" spans="3:25">
      <c r="C272" s="111"/>
      <c r="D272" s="100"/>
      <c r="F272" s="100"/>
      <c r="K272" s="100"/>
      <c r="L272" s="7"/>
      <c r="N272" s="7"/>
      <c r="P272" s="7"/>
      <c r="U272" s="134"/>
      <c r="V272" s="134"/>
      <c r="W272" s="134"/>
      <c r="X272" s="134"/>
      <c r="Y272" s="134"/>
    </row>
    <row r="273" spans="3:25">
      <c r="C273" s="111"/>
      <c r="D273" s="100"/>
      <c r="F273" s="100"/>
      <c r="K273" s="100"/>
      <c r="L273" s="7"/>
      <c r="N273" s="7"/>
      <c r="P273" s="7"/>
      <c r="U273" s="134"/>
      <c r="V273" s="134"/>
      <c r="W273" s="134"/>
      <c r="X273" s="134"/>
      <c r="Y273" s="134"/>
    </row>
    <row r="274" spans="3:25">
      <c r="C274" s="111"/>
      <c r="D274" s="100"/>
      <c r="F274" s="100"/>
      <c r="K274" s="100"/>
      <c r="L274" s="7"/>
      <c r="N274" s="7"/>
      <c r="P274" s="7"/>
      <c r="W274" s="134"/>
      <c r="X274" s="134"/>
      <c r="Y274" s="134"/>
    </row>
    <row r="275" spans="3:25">
      <c r="C275" s="111"/>
      <c r="D275" s="100"/>
      <c r="F275" s="100"/>
      <c r="K275" s="100"/>
      <c r="L275" s="7"/>
      <c r="N275" s="7"/>
      <c r="P275" s="7"/>
      <c r="W275" s="134"/>
      <c r="X275" s="134"/>
      <c r="Y275" s="134"/>
    </row>
    <row r="276" spans="3:25">
      <c r="C276" s="111"/>
      <c r="D276" s="100"/>
      <c r="F276" s="100"/>
      <c r="K276" s="100"/>
      <c r="L276" s="7"/>
      <c r="N276" s="7"/>
      <c r="P276" s="7"/>
    </row>
    <row r="277" spans="3:25">
      <c r="C277" s="111"/>
      <c r="D277" s="100"/>
      <c r="F277" s="100"/>
      <c r="K277" s="100"/>
      <c r="L277" s="7"/>
      <c r="N277" s="7"/>
      <c r="P277" s="7"/>
      <c r="U277" s="134"/>
      <c r="V277" s="134"/>
      <c r="W277" s="134"/>
      <c r="X277" s="134"/>
      <c r="Y277" s="134"/>
    </row>
    <row r="278" spans="3:25">
      <c r="C278" s="111"/>
      <c r="D278" s="100"/>
      <c r="F278" s="100"/>
      <c r="K278" s="100"/>
      <c r="L278" s="7"/>
      <c r="N278" s="7"/>
      <c r="P278" s="7"/>
      <c r="U278" s="134"/>
      <c r="V278" s="134"/>
      <c r="W278" s="134"/>
      <c r="X278" s="134"/>
      <c r="Y278" s="134"/>
    </row>
    <row r="279" spans="3:25">
      <c r="C279" s="111"/>
      <c r="D279" s="100"/>
      <c r="F279" s="100"/>
      <c r="K279" s="100"/>
      <c r="L279" s="7"/>
      <c r="N279" s="7"/>
      <c r="P279" s="7"/>
      <c r="W279" s="134"/>
      <c r="X279" s="134"/>
      <c r="Y279" s="134"/>
    </row>
    <row r="280" spans="3:25">
      <c r="C280" s="111"/>
      <c r="D280" s="100"/>
      <c r="F280" s="100"/>
      <c r="K280" s="100"/>
      <c r="L280" s="7"/>
      <c r="N280" s="7"/>
      <c r="P280" s="7"/>
      <c r="W280" s="134"/>
      <c r="X280" s="134"/>
      <c r="Y280" s="134"/>
    </row>
    <row r="281" spans="3:25">
      <c r="C281" s="111"/>
      <c r="D281" s="100"/>
      <c r="F281" s="100"/>
      <c r="K281" s="100"/>
      <c r="L281" s="7"/>
      <c r="N281" s="7"/>
      <c r="P281" s="7"/>
    </row>
    <row r="282" spans="3:25">
      <c r="C282" s="111"/>
      <c r="D282" s="100"/>
      <c r="F282" s="100"/>
      <c r="K282" s="100"/>
      <c r="L282" s="7"/>
      <c r="N282" s="7"/>
      <c r="P282" s="7"/>
    </row>
    <row r="283" spans="3:25">
      <c r="C283" s="111"/>
      <c r="D283" s="100"/>
      <c r="F283" s="100"/>
      <c r="K283" s="100"/>
      <c r="L283" s="7"/>
      <c r="N283" s="7"/>
      <c r="P283" s="7"/>
    </row>
    <row r="284" spans="3:25">
      <c r="C284" s="111"/>
      <c r="D284" s="100"/>
      <c r="F284" s="100"/>
      <c r="K284" s="100"/>
      <c r="L284" s="7"/>
      <c r="N284" s="7"/>
      <c r="P284" s="7"/>
    </row>
    <row r="285" spans="3:25">
      <c r="C285" s="111"/>
      <c r="D285" s="100"/>
      <c r="F285" s="100"/>
      <c r="K285" s="100"/>
      <c r="L285" s="7"/>
      <c r="N285" s="7"/>
      <c r="P285" s="7"/>
    </row>
    <row r="286" spans="3:25">
      <c r="C286" s="111"/>
      <c r="D286" s="100"/>
      <c r="F286" s="100"/>
      <c r="K286" s="100"/>
      <c r="L286" s="7"/>
      <c r="N286" s="7"/>
      <c r="P286" s="7"/>
    </row>
    <row r="287" spans="3:25">
      <c r="C287" s="111"/>
      <c r="D287" s="100"/>
      <c r="F287" s="100"/>
      <c r="K287" s="100"/>
      <c r="L287" s="7"/>
      <c r="N287" s="7"/>
      <c r="P287" s="7"/>
    </row>
    <row r="288" spans="3:25">
      <c r="C288" s="111"/>
      <c r="D288" s="100"/>
      <c r="F288" s="100"/>
      <c r="K288" s="100"/>
      <c r="L288" s="7"/>
      <c r="N288" s="7"/>
      <c r="P288" s="7"/>
    </row>
    <row r="289" spans="3:16">
      <c r="C289" s="111"/>
      <c r="D289" s="100"/>
      <c r="F289" s="100"/>
      <c r="K289" s="100"/>
      <c r="L289" s="7"/>
      <c r="N289" s="7"/>
      <c r="P289" s="7"/>
    </row>
    <row r="290" spans="3:16">
      <c r="C290" s="111"/>
      <c r="D290" s="100"/>
      <c r="F290" s="100"/>
      <c r="K290" s="100"/>
      <c r="L290" s="7"/>
      <c r="N290" s="7"/>
      <c r="P290" s="7"/>
    </row>
    <row r="291" spans="3:16">
      <c r="C291" s="111"/>
      <c r="D291" s="100"/>
      <c r="F291" s="100"/>
      <c r="K291" s="100"/>
      <c r="L291" s="7"/>
      <c r="N291" s="7"/>
      <c r="P291" s="7"/>
    </row>
    <row r="292" spans="3:16">
      <c r="C292" s="111"/>
      <c r="D292" s="100"/>
      <c r="F292" s="100"/>
      <c r="K292" s="100"/>
      <c r="L292" s="7"/>
      <c r="N292" s="7"/>
      <c r="P292" s="7"/>
    </row>
    <row r="293" spans="3:16">
      <c r="C293" s="111"/>
      <c r="D293" s="100"/>
      <c r="F293" s="100"/>
      <c r="K293" s="100"/>
      <c r="L293" s="7"/>
      <c r="N293" s="7"/>
      <c r="P293" s="7"/>
    </row>
    <row r="294" spans="3:16">
      <c r="C294" s="111"/>
      <c r="D294" s="100"/>
      <c r="F294" s="100"/>
      <c r="K294" s="100"/>
      <c r="L294" s="7"/>
      <c r="N294" s="7"/>
      <c r="P294" s="7"/>
    </row>
    <row r="295" spans="3:16">
      <c r="C295" s="111"/>
      <c r="D295" s="100"/>
      <c r="F295" s="100"/>
      <c r="K295" s="100"/>
      <c r="L295" s="7"/>
      <c r="N295" s="7"/>
      <c r="P295" s="7"/>
    </row>
    <row r="296" spans="3:16">
      <c r="C296" s="111"/>
      <c r="D296" s="100"/>
      <c r="F296" s="100"/>
      <c r="K296" s="100"/>
      <c r="L296" s="7"/>
      <c r="N296" s="7"/>
      <c r="P296" s="7"/>
    </row>
    <row r="297" spans="3:16">
      <c r="C297" s="111"/>
      <c r="D297" s="100"/>
      <c r="F297" s="100"/>
      <c r="K297" s="100"/>
      <c r="L297" s="7"/>
      <c r="N297" s="7"/>
      <c r="P297" s="7"/>
    </row>
    <row r="298" spans="3:16">
      <c r="C298" s="111"/>
      <c r="D298" s="100"/>
      <c r="F298" s="100"/>
      <c r="K298" s="100"/>
      <c r="L298" s="7"/>
      <c r="N298" s="7"/>
      <c r="P298" s="7"/>
    </row>
    <row r="299" spans="3:16">
      <c r="C299" s="111"/>
      <c r="D299" s="100"/>
      <c r="F299" s="100"/>
      <c r="K299" s="100"/>
      <c r="L299" s="7"/>
      <c r="N299" s="7"/>
      <c r="P299" s="7"/>
    </row>
    <row r="300" spans="3:16">
      <c r="C300" s="111"/>
      <c r="D300" s="100"/>
      <c r="F300" s="100"/>
      <c r="K300" s="100"/>
      <c r="L300" s="7"/>
      <c r="N300" s="7"/>
      <c r="P300" s="7"/>
    </row>
    <row r="301" spans="3:16">
      <c r="C301" s="111"/>
      <c r="D301" s="100"/>
      <c r="F301" s="100"/>
      <c r="K301" s="100"/>
      <c r="L301" s="7"/>
      <c r="N301" s="7"/>
      <c r="P301" s="7"/>
    </row>
    <row r="302" spans="3:16">
      <c r="C302" s="111"/>
      <c r="D302" s="100"/>
      <c r="F302" s="100"/>
      <c r="K302" s="100"/>
      <c r="L302" s="7"/>
      <c r="N302" s="7"/>
      <c r="P302" s="7"/>
    </row>
    <row r="303" spans="3:16">
      <c r="C303" s="111"/>
      <c r="D303" s="100"/>
      <c r="F303" s="100"/>
      <c r="K303" s="100"/>
      <c r="L303" s="7"/>
      <c r="N303" s="7"/>
      <c r="P303" s="7"/>
    </row>
    <row r="304" spans="3:16">
      <c r="C304" s="111"/>
      <c r="D304" s="100"/>
      <c r="F304" s="100"/>
      <c r="K304" s="100"/>
      <c r="L304" s="7"/>
      <c r="N304" s="7"/>
      <c r="P304" s="7"/>
    </row>
    <row r="305" spans="3:16">
      <c r="C305" s="111"/>
      <c r="D305" s="100"/>
      <c r="F305" s="100"/>
      <c r="K305" s="100"/>
      <c r="L305" s="7"/>
      <c r="N305" s="7"/>
      <c r="P305" s="7"/>
    </row>
    <row r="306" spans="3:16">
      <c r="C306" s="111"/>
      <c r="D306" s="100"/>
      <c r="F306" s="100"/>
      <c r="K306" s="100"/>
      <c r="L306" s="7"/>
      <c r="N306" s="7"/>
      <c r="P306" s="7"/>
    </row>
    <row r="307" spans="3:16">
      <c r="C307" s="111"/>
      <c r="D307" s="100"/>
      <c r="F307" s="100"/>
      <c r="K307" s="100"/>
      <c r="L307" s="7"/>
      <c r="N307" s="7"/>
      <c r="P307" s="7"/>
    </row>
    <row r="308" spans="3:16">
      <c r="C308" s="111"/>
      <c r="D308" s="100"/>
      <c r="F308" s="100"/>
      <c r="K308" s="100"/>
      <c r="L308" s="7"/>
      <c r="N308" s="7"/>
      <c r="P308" s="7"/>
    </row>
    <row r="309" spans="3:16">
      <c r="C309" s="111"/>
      <c r="D309" s="100"/>
      <c r="F309" s="100"/>
      <c r="K309" s="100"/>
      <c r="L309" s="7"/>
      <c r="N309" s="7"/>
      <c r="P309" s="7"/>
    </row>
    <row r="310" spans="3:16">
      <c r="C310" s="111"/>
      <c r="D310" s="100"/>
      <c r="F310" s="100"/>
      <c r="K310" s="100"/>
      <c r="L310" s="7"/>
      <c r="N310" s="7"/>
      <c r="P310" s="7"/>
    </row>
    <row r="311" spans="3:16">
      <c r="C311" s="111"/>
      <c r="D311" s="100"/>
      <c r="F311" s="100"/>
      <c r="K311" s="100"/>
      <c r="L311" s="7"/>
      <c r="N311" s="7"/>
      <c r="P311" s="7"/>
    </row>
    <row r="312" spans="3:16">
      <c r="C312" s="111"/>
      <c r="D312" s="100"/>
      <c r="F312" s="100"/>
      <c r="K312" s="100"/>
      <c r="L312" s="7"/>
      <c r="N312" s="7"/>
      <c r="P312" s="7"/>
    </row>
    <row r="313" spans="3:16">
      <c r="C313" s="111"/>
      <c r="D313" s="100"/>
      <c r="F313" s="100"/>
      <c r="K313" s="100"/>
      <c r="L313" s="7"/>
      <c r="N313" s="7"/>
      <c r="P313" s="7"/>
    </row>
  </sheetData>
  <autoFilter ref="Q1:Q313" xr:uid="{00000000-0009-0000-0000-000002000000}"/>
  <conditionalFormatting sqref="E1:E51 E56:E1048576">
    <cfRule type="dataBar" priority="7">
      <dataBar>
        <cfvo type="min"/>
        <cfvo type="max"/>
        <color rgb="FF638EC6"/>
      </dataBar>
    </cfRule>
  </conditionalFormatting>
  <conditionalFormatting sqref="M1:M51 M56:M1048576">
    <cfRule type="dataBar" priority="15">
      <dataBar>
        <cfvo type="min"/>
        <cfvo type="max"/>
        <color rgb="FF638EC6"/>
      </dataBar>
    </cfRule>
  </conditionalFormatting>
  <conditionalFormatting sqref="Q1:S51 Q56:S1048576">
    <cfRule type="dataBar" priority="14">
      <dataBar>
        <cfvo type="min"/>
        <cfvo type="max"/>
        <color rgb="FF638EC6"/>
      </dataBar>
    </cfRule>
  </conditionalFormatting>
  <conditionalFormatting sqref="I1:I51 I56:I1048576">
    <cfRule type="dataBar" priority="13">
      <dataBar>
        <cfvo type="min"/>
        <cfvo type="max"/>
        <color rgb="FF638EC6"/>
      </dataBar>
    </cfRule>
  </conditionalFormatting>
  <conditionalFormatting sqref="H1:H51 H56:H1048576">
    <cfRule type="dataBar" priority="11">
      <dataBar>
        <cfvo type="min"/>
        <cfvo type="max"/>
        <color rgb="FF638EC6"/>
      </dataBar>
    </cfRule>
  </conditionalFormatting>
  <conditionalFormatting sqref="J1:J51 J56:J1048576">
    <cfRule type="dataBar" priority="9">
      <dataBar>
        <cfvo type="min"/>
        <cfvo type="max"/>
        <color rgb="FF638EC6"/>
      </dataBar>
    </cfRule>
  </conditionalFormatting>
  <conditionalFormatting sqref="E52:E55">
    <cfRule type="dataBar" priority="1">
      <dataBar>
        <cfvo type="min"/>
        <cfvo type="max"/>
        <color rgb="FF638EC6"/>
      </dataBar>
    </cfRule>
  </conditionalFormatting>
  <conditionalFormatting sqref="M52:M55">
    <cfRule type="dataBar" priority="6">
      <dataBar>
        <cfvo type="min"/>
        <cfvo type="max"/>
        <color rgb="FF638EC6"/>
      </dataBar>
    </cfRule>
  </conditionalFormatting>
  <conditionalFormatting sqref="Q52:S55">
    <cfRule type="dataBar" priority="5">
      <dataBar>
        <cfvo type="min"/>
        <cfvo type="max"/>
        <color rgb="FF638EC6"/>
      </dataBar>
    </cfRule>
  </conditionalFormatting>
  <conditionalFormatting sqref="I52:I55">
    <cfRule type="dataBar" priority="4">
      <dataBar>
        <cfvo type="min"/>
        <cfvo type="max"/>
        <color rgb="FF638EC6"/>
      </dataBar>
    </cfRule>
  </conditionalFormatting>
  <conditionalFormatting sqref="H52:H55">
    <cfRule type="dataBar" priority="3">
      <dataBar>
        <cfvo type="min"/>
        <cfvo type="max"/>
        <color rgb="FF638EC6"/>
      </dataBar>
    </cfRule>
  </conditionalFormatting>
  <conditionalFormatting sqref="J52:J55">
    <cfRule type="dataBar" priority="2">
      <dataBar>
        <cfvo type="min"/>
        <cfvo type="max"/>
        <color rgb="FF638EC6"/>
      </dataBar>
    </cfRule>
  </conditionalFormatting>
  <hyperlinks>
    <hyperlink ref="A52" r:id="rId1" display="https://www.lixinger.com/analytics/industry/sz/C11/11/detail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80"/>
  <sheetViews>
    <sheetView topLeftCell="A130" zoomScale="125" zoomScaleNormal="125" workbookViewId="0">
      <pane xSplit="1" topLeftCell="B1" activePane="topRight" state="frozen"/>
      <selection pane="topRight" activeCell="Q92" sqref="Q92"/>
    </sheetView>
  </sheetViews>
  <sheetFormatPr baseColWidth="10" defaultRowHeight="16"/>
  <cols>
    <col min="1" max="1" width="19.83203125" style="182" customWidth="1"/>
    <col min="3" max="3" width="11" style="182" bestFit="1" customWidth="1"/>
    <col min="4" max="4" width="14.5" style="2" customWidth="1"/>
    <col min="5" max="5" width="20.6640625" style="13" customWidth="1"/>
    <col min="6" max="6" width="13.33203125" style="2" customWidth="1"/>
    <col min="7" max="7" width="22.83203125" style="2" customWidth="1"/>
    <col min="8" max="10" width="20.6640625" style="13" customWidth="1"/>
    <col min="11" max="11" width="23.1640625" style="2" customWidth="1"/>
    <col min="12" max="12" width="11" style="88" bestFit="1" customWidth="1"/>
    <col min="13" max="13" width="21.1640625" style="15" customWidth="1"/>
    <col min="14" max="14" width="12.33203125" style="88" customWidth="1"/>
    <col min="15" max="15" width="21.1640625" style="88" customWidth="1"/>
    <col min="16" max="16" width="20" style="88" customWidth="1"/>
    <col min="17" max="17" width="15.5" style="109" customWidth="1"/>
    <col min="18" max="19" width="11" style="109" bestFit="1" customWidth="1"/>
    <col min="21" max="21" width="15.1640625" style="182" customWidth="1"/>
    <col min="22" max="22" width="19.1640625" style="109" customWidth="1"/>
    <col min="23" max="24" width="20.33203125" style="182" bestFit="1" customWidth="1"/>
    <col min="25" max="25" width="20.33203125" style="109" customWidth="1"/>
    <col min="26" max="26" width="20.33203125" style="134" customWidth="1"/>
    <col min="27" max="27" width="29" style="182" customWidth="1"/>
  </cols>
  <sheetData>
    <row r="1" spans="1:27" s="86" customFormat="1">
      <c r="A1" t="s">
        <v>0</v>
      </c>
      <c r="C1" s="86" t="s">
        <v>1</v>
      </c>
      <c r="D1" s="4" t="s">
        <v>2</v>
      </c>
      <c r="E1" s="14" t="s">
        <v>3</v>
      </c>
      <c r="F1" s="4" t="s">
        <v>4</v>
      </c>
      <c r="G1" s="4" t="s">
        <v>5</v>
      </c>
      <c r="H1" s="14" t="s">
        <v>6</v>
      </c>
      <c r="I1" s="14" t="s">
        <v>7</v>
      </c>
      <c r="J1" s="14" t="s">
        <v>8</v>
      </c>
      <c r="K1" s="4" t="s">
        <v>9</v>
      </c>
      <c r="L1" s="8" t="s">
        <v>10</v>
      </c>
      <c r="M1" s="16" t="s">
        <v>11</v>
      </c>
      <c r="N1" s="8" t="s">
        <v>12</v>
      </c>
      <c r="O1" s="8" t="s">
        <v>13</v>
      </c>
      <c r="P1" s="8" t="s">
        <v>14</v>
      </c>
      <c r="Q1" s="78" t="s">
        <v>15</v>
      </c>
      <c r="R1" s="78" t="s">
        <v>16</v>
      </c>
      <c r="S1" s="109" t="s">
        <v>17</v>
      </c>
      <c r="T1" t="s">
        <v>18</v>
      </c>
      <c r="U1" s="77" t="s">
        <v>19</v>
      </c>
      <c r="V1" s="78" t="s">
        <v>20</v>
      </c>
      <c r="W1" s="86" t="s">
        <v>190</v>
      </c>
      <c r="X1" s="86" t="s">
        <v>191</v>
      </c>
      <c r="Y1" s="78"/>
      <c r="Z1" s="78"/>
      <c r="AA1" s="78"/>
    </row>
    <row r="2" spans="1:27">
      <c r="A2" t="s">
        <v>207</v>
      </c>
      <c r="B2" t="s">
        <v>30</v>
      </c>
      <c r="C2" s="195">
        <v>11.998241860401301</v>
      </c>
      <c r="D2" s="100">
        <v>10.66829722912192</v>
      </c>
      <c r="E2" s="13">
        <v>0.1108449593493106</v>
      </c>
      <c r="F2" s="100">
        <v>95.600279441787677</v>
      </c>
      <c r="G2" s="100">
        <v>6.9678573372740971</v>
      </c>
      <c r="H2" s="13">
        <v>4.4664076681056653E-2</v>
      </c>
      <c r="I2" s="13">
        <v>0.29228839186906508</v>
      </c>
      <c r="J2" s="13">
        <v>1.5627790269563</v>
      </c>
      <c r="K2" s="100">
        <v>8.9611563484397134</v>
      </c>
      <c r="L2" s="7">
        <v>11.78762740398291</v>
      </c>
      <c r="M2" s="15">
        <v>1.7553776534001701E-2</v>
      </c>
      <c r="N2" s="7">
        <v>95.600279441787677</v>
      </c>
      <c r="O2" s="7">
        <v>6.9678573372740971</v>
      </c>
      <c r="P2" s="7">
        <v>8.1102223683695183</v>
      </c>
      <c r="Q2" s="109">
        <v>6.9031492818971682E-2</v>
      </c>
      <c r="R2" s="109">
        <v>4.1368743063567942E-2</v>
      </c>
      <c r="S2" s="109">
        <v>4.494541225190906E-2</v>
      </c>
      <c r="U2" s="134">
        <f>C2*S2</f>
        <v>0.53926592671384876</v>
      </c>
      <c r="V2" s="134">
        <f>(1+S2)*Q2*(1-U2)+S2</f>
        <v>7.8180069190525822E-2</v>
      </c>
      <c r="W2" s="134">
        <f>V2+I2/3</f>
        <v>0.17560953314688085</v>
      </c>
      <c r="X2" s="134">
        <f>V2+I2/5</f>
        <v>0.13663774756433883</v>
      </c>
      <c r="Y2" s="134"/>
      <c r="AA2" s="134"/>
    </row>
    <row r="3" spans="1:27">
      <c r="A3" t="s">
        <v>229</v>
      </c>
      <c r="B3" t="s">
        <v>32</v>
      </c>
      <c r="C3" s="196">
        <v>26.145793445877171</v>
      </c>
      <c r="D3" s="100">
        <v>22.033897213458321</v>
      </c>
      <c r="E3" s="13">
        <v>0.157267984271758</v>
      </c>
      <c r="F3" s="100">
        <v>-28.691838239533482</v>
      </c>
      <c r="G3" s="100">
        <v>-2.0973787542124791</v>
      </c>
      <c r="H3" s="13">
        <v>0.14763977722235591</v>
      </c>
      <c r="I3" s="13">
        <v>0.5465165170361681</v>
      </c>
      <c r="J3" s="13">
        <v>-11.38491804117494</v>
      </c>
      <c r="K3" s="100">
        <v>-1.3021681076922009</v>
      </c>
      <c r="L3" s="7">
        <v>22.318911640517982</v>
      </c>
      <c r="M3" s="15">
        <v>0.14636701744320699</v>
      </c>
      <c r="N3" s="7">
        <v>-28.691838239533482</v>
      </c>
      <c r="O3" s="7">
        <v>-2.0973787542124791</v>
      </c>
      <c r="P3" s="7">
        <v>-1.2855393086213951</v>
      </c>
      <c r="S3" s="109">
        <v>2.1284200167774159E-2</v>
      </c>
      <c r="U3" s="134">
        <f>C3*S3</f>
        <v>0.5564923012473274</v>
      </c>
      <c r="V3" s="134">
        <f>(1+S3)*R2*(1-U3)+S3</f>
        <v>4.0022065002616208E-2</v>
      </c>
      <c r="W3" s="134">
        <f>V3+I3/3</f>
        <v>0.22219423734800559</v>
      </c>
      <c r="X3" s="134">
        <f>V3+I3/5</f>
        <v>0.14932536840984983</v>
      </c>
      <c r="Y3" s="134"/>
      <c r="AA3" s="134"/>
    </row>
    <row r="4" spans="1:27">
      <c r="B4" t="s">
        <v>34</v>
      </c>
      <c r="C4" s="195">
        <v>0.82825654682657746</v>
      </c>
      <c r="D4" s="100">
        <v>0.81404730805335634</v>
      </c>
      <c r="E4" s="13">
        <v>1.7155600915758629E-2</v>
      </c>
      <c r="F4" s="100">
        <v>3.0994119656175751</v>
      </c>
      <c r="G4" s="100">
        <v>2.742091719640265</v>
      </c>
      <c r="H4" s="13">
        <v>0.45643076204384969</v>
      </c>
      <c r="I4" s="13">
        <v>0.62974041291050198</v>
      </c>
      <c r="J4" s="13">
        <v>1.343964327942186</v>
      </c>
      <c r="K4" s="100">
        <v>3.8074101283244159</v>
      </c>
      <c r="L4" s="7">
        <v>0.81404730805335634</v>
      </c>
      <c r="M4" s="15">
        <v>1.7155600915758629E-2</v>
      </c>
      <c r="N4" s="7">
        <v>2.2066386609601221</v>
      </c>
      <c r="O4" s="7">
        <v>1.6641970648040689</v>
      </c>
      <c r="P4" s="7">
        <v>2.710700765336219</v>
      </c>
      <c r="W4" s="134">
        <f>V2+I4/3</f>
        <v>0.28809354016069316</v>
      </c>
      <c r="X4" s="134">
        <f>V2+I4/5</f>
        <v>0.20412815177262622</v>
      </c>
      <c r="Y4" s="134"/>
      <c r="AA4" s="134"/>
    </row>
    <row r="5" spans="1:27">
      <c r="B5" t="s">
        <v>35</v>
      </c>
      <c r="C5" s="195">
        <v>1.081618611255611</v>
      </c>
      <c r="D5" s="100">
        <v>1.059401857596143</v>
      </c>
      <c r="E5" s="13">
        <v>2.054028418915366E-2</v>
      </c>
      <c r="F5" s="100">
        <v>4.7486432407568833</v>
      </c>
      <c r="G5" s="100">
        <v>3.390312066879432</v>
      </c>
      <c r="H5" s="13">
        <v>0.52904458716994474</v>
      </c>
      <c r="I5" s="13">
        <v>1.0335774281553971</v>
      </c>
      <c r="J5" s="13">
        <v>1.609818105803033</v>
      </c>
      <c r="K5" s="100">
        <v>4.482381455826296</v>
      </c>
      <c r="L5" s="7">
        <v>1.059401857596143</v>
      </c>
      <c r="M5" s="15">
        <v>2.054028418915366E-2</v>
      </c>
      <c r="N5" s="7">
        <v>3.9758279683175699</v>
      </c>
      <c r="O5" s="7">
        <v>2.6758131997212748</v>
      </c>
      <c r="P5" s="7">
        <v>3.7528988077659231</v>
      </c>
      <c r="W5" s="134">
        <f>V3+I5/3</f>
        <v>0.38454787438774862</v>
      </c>
      <c r="X5" s="134">
        <f>V3+I5/5</f>
        <v>0.24673755063369562</v>
      </c>
      <c r="Y5" s="134"/>
      <c r="AA5" s="134"/>
    </row>
    <row r="6" spans="1:27">
      <c r="C6" s="111"/>
      <c r="D6" s="100"/>
      <c r="F6" s="100"/>
      <c r="G6" s="100"/>
      <c r="K6" s="100"/>
      <c r="L6" s="7"/>
      <c r="N6" s="7"/>
      <c r="O6" s="7"/>
      <c r="P6" s="7"/>
      <c r="AA6" s="134"/>
    </row>
    <row r="7" spans="1:27">
      <c r="A7" t="s">
        <v>230</v>
      </c>
      <c r="B7" t="s">
        <v>30</v>
      </c>
      <c r="C7" s="195">
        <v>24.92033732635328</v>
      </c>
      <c r="D7" s="100">
        <v>15.493985836307671</v>
      </c>
      <c r="E7" s="13">
        <v>0.37825938576189472</v>
      </c>
      <c r="F7" s="100">
        <v>236.3539627260603</v>
      </c>
      <c r="G7" s="100">
        <v>8.4843805535535726</v>
      </c>
      <c r="H7" s="13">
        <v>5.3383940860344481E-2</v>
      </c>
      <c r="I7" s="13">
        <v>0.81781078711582222</v>
      </c>
      <c r="J7" s="13">
        <v>1.787471800920466</v>
      </c>
      <c r="K7" s="100">
        <v>15.254561687555089</v>
      </c>
      <c r="L7" s="7">
        <v>15.493985836307671</v>
      </c>
      <c r="M7" s="15">
        <v>0.37825938576189472</v>
      </c>
      <c r="N7" s="7">
        <v>134.4662846952269</v>
      </c>
      <c r="O7" s="7">
        <v>4.3958452862926807</v>
      </c>
      <c r="P7" s="7">
        <v>8.6786115668265751</v>
      </c>
      <c r="Q7" s="109">
        <v>7.9547019035261166E-2</v>
      </c>
      <c r="R7" s="109">
        <v>4.5864302532003381E-2</v>
      </c>
      <c r="S7" s="109">
        <v>1.485018088764555E-2</v>
      </c>
      <c r="U7" s="134">
        <f>C7*S7</f>
        <v>0.37007151707749147</v>
      </c>
      <c r="V7" s="134">
        <f>(1+S7)*Q7*(1-U7)+S7</f>
        <v>6.5703240628997503E-2</v>
      </c>
      <c r="W7" s="134">
        <f>V7+I7/3</f>
        <v>0.33830683633427161</v>
      </c>
      <c r="X7" s="134">
        <f>V7+I7/5</f>
        <v>0.22926539805216195</v>
      </c>
      <c r="Y7" s="134"/>
      <c r="AA7" s="134"/>
    </row>
    <row r="8" spans="1:27">
      <c r="A8" t="s">
        <v>231</v>
      </c>
      <c r="B8" t="s">
        <v>32</v>
      </c>
      <c r="C8" s="197">
        <v>42.042565056722218</v>
      </c>
      <c r="D8" s="100">
        <v>25.264749636731391</v>
      </c>
      <c r="E8" s="13">
        <v>0.39906735940956128</v>
      </c>
      <c r="F8" s="100">
        <v>-73.092392910040914</v>
      </c>
      <c r="G8" s="100">
        <v>-2.7385331463821831</v>
      </c>
      <c r="H8" s="13">
        <v>-2.9367148833715381E-2</v>
      </c>
      <c r="I8" s="13">
        <v>1.207193104359003</v>
      </c>
      <c r="J8" s="13">
        <v>3.0172021621755092</v>
      </c>
      <c r="K8" s="100">
        <v>-2.8930582713463679</v>
      </c>
      <c r="L8" s="7">
        <v>25.264749636731391</v>
      </c>
      <c r="M8" s="15">
        <v>0.39906735940956128</v>
      </c>
      <c r="N8" s="7">
        <v>352.44335367729877</v>
      </c>
      <c r="O8" s="7">
        <v>7.3830126254617374</v>
      </c>
      <c r="P8" s="7">
        <v>13.95000380945377</v>
      </c>
      <c r="S8" s="109">
        <v>1.2247407355199269E-2</v>
      </c>
      <c r="U8" s="134">
        <f>C8*S8</f>
        <v>0.51491242050714348</v>
      </c>
      <c r="V8" s="134">
        <f>(1+S8)*R7*(1-U8)+S8</f>
        <v>3.4768093666767377E-2</v>
      </c>
      <c r="W8" s="134">
        <f>V8+I8/3</f>
        <v>0.43716579511976833</v>
      </c>
      <c r="X8" s="134">
        <f>V8+I8/5</f>
        <v>0.27620671453856799</v>
      </c>
      <c r="Y8" s="134"/>
      <c r="AA8" s="134"/>
    </row>
    <row r="9" spans="1:27">
      <c r="B9" t="s">
        <v>34</v>
      </c>
      <c r="C9" s="195">
        <v>1.9823385476645541</v>
      </c>
      <c r="D9" s="100">
        <v>1.7538261199417891</v>
      </c>
      <c r="E9" s="13">
        <v>0.1152741684774188</v>
      </c>
      <c r="F9" s="100">
        <v>6.2450165716413153</v>
      </c>
      <c r="G9" s="100">
        <v>2.1503279694574551</v>
      </c>
      <c r="H9" s="13">
        <v>9.7836664934450202E-2</v>
      </c>
      <c r="I9" s="13">
        <v>0.42581174119162107</v>
      </c>
      <c r="J9" s="13">
        <v>0.81396997009845151</v>
      </c>
      <c r="K9" s="100">
        <v>3.5607957371786632</v>
      </c>
      <c r="L9" s="7">
        <v>1.7538261199417891</v>
      </c>
      <c r="M9" s="15">
        <v>0.1152741684774188</v>
      </c>
      <c r="N9" s="7">
        <v>6.2450165716413153</v>
      </c>
      <c r="O9" s="7">
        <v>2.1503279694574551</v>
      </c>
      <c r="P9" s="7">
        <v>3.5607957371786632</v>
      </c>
      <c r="W9" s="134">
        <f>V7+I9/3</f>
        <v>0.20764048769287119</v>
      </c>
      <c r="X9" s="134">
        <f>V7+I9/5</f>
        <v>0.15086558886732171</v>
      </c>
      <c r="Y9" s="134"/>
      <c r="AA9" s="134"/>
    </row>
    <row r="10" spans="1:27">
      <c r="B10" t="s">
        <v>35</v>
      </c>
      <c r="C10" s="195">
        <v>1.9282529229829419</v>
      </c>
      <c r="D10" s="100">
        <v>1.7281107792691499</v>
      </c>
      <c r="E10" s="13">
        <v>0.1037945496300242</v>
      </c>
      <c r="F10" s="100">
        <v>6.1240620778788752</v>
      </c>
      <c r="G10" s="100">
        <v>2.1759641097315998</v>
      </c>
      <c r="H10" s="13">
        <v>9.1618461183879507E-2</v>
      </c>
      <c r="I10" s="13">
        <v>0.4475887879677789</v>
      </c>
      <c r="J10" s="13">
        <v>0.88512391287572312</v>
      </c>
      <c r="K10" s="100">
        <v>3.5437902195534332</v>
      </c>
      <c r="L10" s="7">
        <v>1.770909606022629</v>
      </c>
      <c r="M10" s="15">
        <v>8.1598899752688081E-2</v>
      </c>
      <c r="N10" s="7">
        <v>6.1240620778788752</v>
      </c>
      <c r="O10" s="7">
        <v>2.1759641097315998</v>
      </c>
      <c r="P10" s="7">
        <v>3.4581449313119941</v>
      </c>
      <c r="W10" s="134">
        <f>V8+I10/3</f>
        <v>0.1839643563226937</v>
      </c>
      <c r="X10" s="134">
        <f>V8+I10/5</f>
        <v>0.12428585126032315</v>
      </c>
      <c r="Y10" s="134"/>
      <c r="AA10" s="134"/>
    </row>
    <row r="11" spans="1:27">
      <c r="C11" s="111"/>
      <c r="D11" s="100"/>
      <c r="F11" s="100"/>
      <c r="G11" s="100"/>
      <c r="K11" s="100"/>
      <c r="L11" s="7"/>
      <c r="N11" s="7"/>
      <c r="O11" s="7"/>
      <c r="P11" s="7"/>
      <c r="AA11" s="134"/>
    </row>
    <row r="12" spans="1:27">
      <c r="A12" t="s">
        <v>232</v>
      </c>
      <c r="B12" t="s">
        <v>30</v>
      </c>
      <c r="C12" s="195">
        <v>19.253404682503309</v>
      </c>
      <c r="D12" s="100">
        <v>11.595588276041211</v>
      </c>
      <c r="E12" s="13">
        <v>0.39773829786173892</v>
      </c>
      <c r="F12" s="100">
        <v>-69.844762121299937</v>
      </c>
      <c r="G12" s="100">
        <v>-4.6276577194043984</v>
      </c>
      <c r="H12" s="13">
        <v>0.1074744510179662</v>
      </c>
      <c r="I12" s="13">
        <v>0.99194330163171252</v>
      </c>
      <c r="J12" s="13">
        <v>4.2235832147577774</v>
      </c>
      <c r="K12" s="100">
        <v>-6.023391005147456</v>
      </c>
      <c r="L12" s="7">
        <v>11.595588276041211</v>
      </c>
      <c r="M12" s="15">
        <v>0.39773829786173892</v>
      </c>
      <c r="N12" s="7">
        <v>-69.844762121299937</v>
      </c>
      <c r="O12" s="7">
        <v>-4.6276577194043984</v>
      </c>
      <c r="P12" s="7">
        <v>-6.023391005147456</v>
      </c>
      <c r="Q12" s="109">
        <v>8.4580785974531253E-2</v>
      </c>
      <c r="R12" s="109">
        <v>2.5953764976884269E-2</v>
      </c>
      <c r="S12" s="109">
        <v>1.9399155063997909E-2</v>
      </c>
      <c r="U12" s="134">
        <f>C12*S12</f>
        <v>0.37349978294578512</v>
      </c>
      <c r="V12" s="134">
        <f>(1+S12)*Q12*(1-U12)+S12</f>
        <v>7.3416994749570016E-2</v>
      </c>
      <c r="W12" s="134">
        <f>V12+I12/3</f>
        <v>0.40406476196014085</v>
      </c>
      <c r="X12" s="134">
        <f>V12+I12/5</f>
        <v>0.27180565507591253</v>
      </c>
      <c r="Y12" s="134"/>
      <c r="AA12" s="134"/>
    </row>
    <row r="13" spans="1:27">
      <c r="A13" t="s">
        <v>233</v>
      </c>
      <c r="B13" t="s">
        <v>32</v>
      </c>
      <c r="C13" s="197">
        <v>65.603555332025309</v>
      </c>
      <c r="D13" s="100">
        <v>20.184848897127761</v>
      </c>
      <c r="E13" s="13">
        <v>0.69232080799629725</v>
      </c>
      <c r="F13" s="100">
        <v>-42.306869028390217</v>
      </c>
      <c r="G13" s="100">
        <v>-1.6448868329509201</v>
      </c>
      <c r="H13" s="13">
        <v>-0.33635691545103569</v>
      </c>
      <c r="I13" s="13">
        <v>7.0241408514547077E-2</v>
      </c>
      <c r="J13" s="13">
        <v>5.0351286275815408</v>
      </c>
      <c r="K13" s="100">
        <v>-2.0959715499485538</v>
      </c>
      <c r="L13" s="7">
        <v>20.184848897127761</v>
      </c>
      <c r="M13" s="15">
        <v>0.69232080799629725</v>
      </c>
      <c r="N13" s="7">
        <v>-42.306869028390217</v>
      </c>
      <c r="O13" s="7">
        <v>-1.6448868329509201</v>
      </c>
      <c r="P13" s="7">
        <v>-2.0959715499485538</v>
      </c>
      <c r="S13" s="109">
        <v>1.234668765245767E-2</v>
      </c>
      <c r="U13" s="134">
        <f>C13*S13</f>
        <v>0.80998660657524035</v>
      </c>
      <c r="V13" s="134">
        <f>(1+S13)*R12*(1-U13)+S13</f>
        <v>1.7339139075312961E-2</v>
      </c>
      <c r="W13" s="134">
        <f>V13+I13/3</f>
        <v>4.0752941913495322E-2</v>
      </c>
      <c r="X13" s="134">
        <f>V13+I13/5</f>
        <v>3.1387420778222375E-2</v>
      </c>
      <c r="Y13" s="134"/>
      <c r="AA13" s="134"/>
    </row>
    <row r="14" spans="1:27">
      <c r="B14" t="s">
        <v>34</v>
      </c>
      <c r="C14" s="195">
        <v>1.62846810073185</v>
      </c>
      <c r="D14" s="100">
        <v>1.3343125552107959</v>
      </c>
      <c r="E14" s="13">
        <v>0.1806332868226638</v>
      </c>
      <c r="F14" s="100">
        <v>3.8989761527303819</v>
      </c>
      <c r="G14" s="100">
        <v>1.3942600723822229</v>
      </c>
      <c r="H14" s="13">
        <v>4.459396760402079E-3</v>
      </c>
      <c r="I14" s="13">
        <v>0.26633606367850948</v>
      </c>
      <c r="J14" s="13">
        <v>0.56070329242189487</v>
      </c>
      <c r="K14" s="100">
        <v>2.922086086579931</v>
      </c>
      <c r="L14" s="7">
        <v>1.4476092536696319</v>
      </c>
      <c r="M14" s="15">
        <v>0.1110607244814551</v>
      </c>
      <c r="N14" s="7">
        <v>3.8989761527303819</v>
      </c>
      <c r="O14" s="7">
        <v>1.3942600723822229</v>
      </c>
      <c r="P14" s="7">
        <v>2.6933899067352831</v>
      </c>
      <c r="W14" s="134">
        <f>V12+I14/3</f>
        <v>0.16219568264240652</v>
      </c>
      <c r="X14" s="134">
        <f>V12+I14/5</f>
        <v>0.12668420748527193</v>
      </c>
      <c r="Y14" s="134"/>
      <c r="AA14" s="134"/>
    </row>
    <row r="15" spans="1:27">
      <c r="B15" t="s">
        <v>35</v>
      </c>
      <c r="C15" s="195">
        <v>1.702659256735408</v>
      </c>
      <c r="D15" s="100">
        <v>1.537093365259617</v>
      </c>
      <c r="E15" s="13">
        <v>9.7239592021035604E-2</v>
      </c>
      <c r="F15" s="100">
        <v>4.8398592461674106</v>
      </c>
      <c r="G15" s="100">
        <v>1.842529547248996</v>
      </c>
      <c r="H15" s="13">
        <v>6.2479453118324368E-2</v>
      </c>
      <c r="I15" s="13">
        <v>0.42055725742712102</v>
      </c>
      <c r="J15" s="13">
        <v>0.79810017580774217</v>
      </c>
      <c r="K15" s="100">
        <v>3.1487086962670952</v>
      </c>
      <c r="L15" s="7">
        <v>1.572260653881483</v>
      </c>
      <c r="M15" s="15">
        <v>7.658526057876347E-2</v>
      </c>
      <c r="N15" s="7">
        <v>4.8398592461674106</v>
      </c>
      <c r="O15" s="7">
        <v>1.842529547248996</v>
      </c>
      <c r="P15" s="7">
        <v>3.0782804582809589</v>
      </c>
      <c r="W15" s="134">
        <f>V13+I15/3</f>
        <v>0.15752489155101995</v>
      </c>
      <c r="X15" s="134">
        <f>V13+I15/5</f>
        <v>0.10145059056073716</v>
      </c>
      <c r="Y15" s="134"/>
      <c r="AA15" s="134"/>
    </row>
    <row r="16" spans="1:27">
      <c r="C16" s="111"/>
      <c r="D16" s="100"/>
      <c r="F16" s="100"/>
      <c r="G16" s="100"/>
      <c r="K16" s="100"/>
      <c r="L16" s="7"/>
      <c r="N16" s="7"/>
      <c r="O16" s="7"/>
      <c r="P16" s="7"/>
      <c r="AA16" s="134"/>
    </row>
    <row r="17" spans="1:27">
      <c r="A17" t="s">
        <v>234</v>
      </c>
      <c r="B17" t="s">
        <v>30</v>
      </c>
      <c r="C17" s="198">
        <v>42.994944878779357</v>
      </c>
      <c r="D17" s="100">
        <v>18.394426621008151</v>
      </c>
      <c r="E17" s="13">
        <v>0.57217234089101199</v>
      </c>
      <c r="F17" s="100">
        <v>122.9382775306803</v>
      </c>
      <c r="G17" s="100">
        <v>1.859365859807343</v>
      </c>
      <c r="H17" s="13">
        <v>-0.3259275675009452</v>
      </c>
      <c r="I17" s="13">
        <v>-6.4318609558690842E-2</v>
      </c>
      <c r="J17" s="13">
        <v>0.60477860229844316</v>
      </c>
      <c r="K17" s="100">
        <v>6.6834525513436391</v>
      </c>
      <c r="L17" s="7">
        <v>26.608660473520281</v>
      </c>
      <c r="M17" s="15">
        <v>0.38112118648968701</v>
      </c>
      <c r="N17" s="7">
        <v>122.9382775306803</v>
      </c>
      <c r="O17" s="7">
        <v>1.859365859807343</v>
      </c>
      <c r="P17" s="7">
        <v>4.6202354926142482</v>
      </c>
      <c r="Q17" s="109">
        <v>5.1698430686806469E-2</v>
      </c>
      <c r="R17" s="109">
        <v>-1.1974722409067381E-2</v>
      </c>
      <c r="S17" s="109">
        <v>9.6396288074646237E-3</v>
      </c>
      <c r="U17" s="134">
        <f>C17*S17</f>
        <v>0.41445530922883511</v>
      </c>
      <c r="V17" s="134">
        <f>(1+S17)*Q17*(1-U17)+S17</f>
        <v>4.0203178769799758E-2</v>
      </c>
      <c r="W17" s="134">
        <f>V17+I17/3</f>
        <v>1.8763642250236145E-2</v>
      </c>
      <c r="X17" s="134">
        <f>V17+I17/5</f>
        <v>2.7339456858061589E-2</v>
      </c>
      <c r="Y17" s="134"/>
      <c r="AA17" s="134"/>
    </row>
    <row r="18" spans="1:27">
      <c r="A18" t="s">
        <v>235</v>
      </c>
      <c r="B18" t="s">
        <v>32</v>
      </c>
      <c r="C18" s="195">
        <v>-173.2763232098296</v>
      </c>
      <c r="D18" s="100">
        <v>27.414479954326541</v>
      </c>
      <c r="E18" s="13">
        <v>1.1582124980868209</v>
      </c>
      <c r="F18" s="100">
        <v>-116.5067983254266</v>
      </c>
      <c r="G18" s="100">
        <v>-0.32762424682602331</v>
      </c>
      <c r="H18" s="13">
        <v>-1.248031553378472</v>
      </c>
      <c r="I18" s="13">
        <v>-1.3724375209991799</v>
      </c>
      <c r="J18" s="13">
        <v>-1.8440808256494039</v>
      </c>
      <c r="K18" s="100">
        <v>-4.2498270446687618</v>
      </c>
      <c r="L18" s="7">
        <v>37.546262377302</v>
      </c>
      <c r="M18" s="15">
        <v>1.216684320637593</v>
      </c>
      <c r="N18" s="7">
        <v>-116.5067983254266</v>
      </c>
      <c r="O18" s="7">
        <v>-0.32762424682602331</v>
      </c>
      <c r="P18" s="7">
        <v>-3.1030198733139129</v>
      </c>
      <c r="S18" s="109">
        <v>8.3420865483487643E-3</v>
      </c>
      <c r="U18" s="134">
        <f>C18*S18</f>
        <v>-1.4454860849960522</v>
      </c>
      <c r="V18" s="134">
        <f>(1+S18)*R17*(1-U18)+S18</f>
        <v>-2.1186220279205647E-2</v>
      </c>
      <c r="W18" s="134">
        <f>V18+I18/3</f>
        <v>-0.47866539394559893</v>
      </c>
      <c r="X18" s="134">
        <f>V18+I18/5</f>
        <v>-0.29567372447904161</v>
      </c>
      <c r="Y18" s="134"/>
      <c r="AA18" s="134"/>
    </row>
    <row r="19" spans="1:27">
      <c r="B19" t="s">
        <v>34</v>
      </c>
      <c r="C19" s="197">
        <v>2.2227711776986401</v>
      </c>
      <c r="D19" s="100">
        <v>1.706841437052439</v>
      </c>
      <c r="E19" s="13">
        <v>0.23211104490763279</v>
      </c>
      <c r="F19" s="100">
        <v>6.7209946595399312</v>
      </c>
      <c r="G19" s="100">
        <v>2.0237006521285541</v>
      </c>
      <c r="H19" s="13">
        <v>-4.422096715066226E-2</v>
      </c>
      <c r="I19" s="13">
        <v>0.23540904938547369</v>
      </c>
      <c r="J19" s="13">
        <v>0.63995977436393536</v>
      </c>
      <c r="K19" s="100">
        <v>3.9376795721262088</v>
      </c>
      <c r="L19" s="7">
        <v>1.749063383830296</v>
      </c>
      <c r="M19" s="15">
        <v>0.21311586123714249</v>
      </c>
      <c r="N19" s="7">
        <v>6.7209946595399312</v>
      </c>
      <c r="O19" s="7">
        <v>2.0237006521285541</v>
      </c>
      <c r="P19" s="7">
        <v>3.8426249852772849</v>
      </c>
      <c r="W19" s="134">
        <f>V17+I19/3</f>
        <v>0.11867286189829099</v>
      </c>
      <c r="X19" s="134">
        <f>V17+I19/5</f>
        <v>8.728498864689449E-2</v>
      </c>
      <c r="Y19" s="134"/>
      <c r="AA19" s="134"/>
    </row>
    <row r="20" spans="1:27">
      <c r="B20" t="s">
        <v>35</v>
      </c>
      <c r="C20" s="195">
        <v>2.074935870501549</v>
      </c>
      <c r="D20" s="100">
        <v>1.6582606470568391</v>
      </c>
      <c r="E20" s="13">
        <v>0.20081354289951761</v>
      </c>
      <c r="F20" s="100">
        <v>7.0498399697121981</v>
      </c>
      <c r="G20" s="100">
        <v>2.39761824446561</v>
      </c>
      <c r="H20" s="13">
        <v>4.457102709254479E-2</v>
      </c>
      <c r="I20" s="13">
        <v>0.39516949098916587</v>
      </c>
      <c r="J20" s="13">
        <v>0.92586770509673699</v>
      </c>
      <c r="K20" s="100">
        <v>4.2513461211448247</v>
      </c>
      <c r="L20" s="7">
        <v>1.6582606470568391</v>
      </c>
      <c r="M20" s="15">
        <v>0.20081354289951761</v>
      </c>
      <c r="N20" s="7">
        <v>7.0498399697121981</v>
      </c>
      <c r="O20" s="7">
        <v>2.39761824446561</v>
      </c>
      <c r="P20" s="7">
        <v>4.2513461211448247</v>
      </c>
      <c r="W20" s="134">
        <f>V18+I20/3</f>
        <v>0.11053694338384963</v>
      </c>
      <c r="X20" s="134">
        <f>V18+I20/5</f>
        <v>5.7847677918627521E-2</v>
      </c>
      <c r="Y20" s="134"/>
      <c r="AA20" s="134"/>
    </row>
    <row r="21" spans="1:27">
      <c r="C21" s="111"/>
      <c r="D21" s="100"/>
      <c r="F21" s="100"/>
      <c r="G21" s="100"/>
      <c r="K21" s="100"/>
      <c r="L21" s="7"/>
      <c r="N21" s="7"/>
      <c r="O21" s="7"/>
      <c r="P21" s="7"/>
      <c r="AA21" s="134"/>
    </row>
    <row r="22" spans="1:27">
      <c r="A22" t="s">
        <v>236</v>
      </c>
      <c r="B22" t="s">
        <v>30</v>
      </c>
      <c r="C22" s="195">
        <v>11.656402526823459</v>
      </c>
      <c r="D22" s="100">
        <v>10.53659976985942</v>
      </c>
      <c r="E22" s="13">
        <v>9.6067612145957826E-2</v>
      </c>
      <c r="F22" s="100">
        <v>38.603202486609263</v>
      </c>
      <c r="G22" s="100">
        <v>2.3117595585581761</v>
      </c>
      <c r="H22" s="13">
        <v>0.114610479674041</v>
      </c>
      <c r="I22" s="13">
        <v>0.38320469796684309</v>
      </c>
      <c r="J22" s="13">
        <v>0.94108881293746927</v>
      </c>
      <c r="K22" s="100">
        <v>3.6637248571437691</v>
      </c>
      <c r="L22" s="7">
        <v>11.08331049993555</v>
      </c>
      <c r="M22" s="15">
        <v>4.9165428661984027E-2</v>
      </c>
      <c r="N22" s="7">
        <v>38.603202486609263</v>
      </c>
      <c r="O22" s="7">
        <v>2.3117595585581761</v>
      </c>
      <c r="P22" s="7">
        <v>3.4830028886074929</v>
      </c>
      <c r="Q22" s="109">
        <v>9.8857375293901401E-2</v>
      </c>
      <c r="R22" s="109">
        <v>4.4839695905370257E-2</v>
      </c>
      <c r="S22" s="109">
        <v>1.8821366156343999E-2</v>
      </c>
      <c r="U22" s="134">
        <f>C22*S22</f>
        <v>0.21938942002307774</v>
      </c>
      <c r="V22" s="134">
        <f>(1+S22)*Q22*(1-U22)+S22</f>
        <v>9.744290735243484E-2</v>
      </c>
      <c r="W22" s="134">
        <f>V22+I22/3</f>
        <v>0.22517780667471587</v>
      </c>
      <c r="X22" s="134">
        <f>V22+I22/5</f>
        <v>0.17408384694580348</v>
      </c>
      <c r="Y22" s="134"/>
      <c r="AA22" s="134"/>
    </row>
    <row r="23" spans="1:27">
      <c r="A23" t="s">
        <v>237</v>
      </c>
      <c r="B23" t="s">
        <v>32</v>
      </c>
      <c r="C23" s="197">
        <v>37.792284731836723</v>
      </c>
      <c r="D23" s="100">
        <v>20.053517639374348</v>
      </c>
      <c r="E23" s="13">
        <v>0.46937535579898398</v>
      </c>
      <c r="F23" s="100">
        <v>-38.656880220817847</v>
      </c>
      <c r="G23" s="100">
        <v>-2.0228775660195208</v>
      </c>
      <c r="H23" s="13">
        <v>-0.27681077669594217</v>
      </c>
      <c r="I23" s="13">
        <v>2.165146105568283E-2</v>
      </c>
      <c r="J23" s="13">
        <v>0.36379903238059641</v>
      </c>
      <c r="K23" s="100">
        <v>-1.927685751497108</v>
      </c>
      <c r="L23" s="7">
        <v>23.678358015296979</v>
      </c>
      <c r="M23" s="15">
        <v>0.37346053081172897</v>
      </c>
      <c r="N23" s="7">
        <v>-38.656880220817847</v>
      </c>
      <c r="O23" s="7">
        <v>-2.0228775660195208</v>
      </c>
      <c r="P23" s="7">
        <v>-1.632582808142536</v>
      </c>
      <c r="S23" s="109">
        <v>1.1105937451341041E-2</v>
      </c>
      <c r="U23" s="134">
        <f>C23*S23</f>
        <v>0.41971875037504969</v>
      </c>
      <c r="V23" s="134">
        <f>(1+S23)*R22*(1-U23)+S23</f>
        <v>3.7414544660405197E-2</v>
      </c>
      <c r="W23" s="134">
        <f>V23+I23/3</f>
        <v>4.4631698345632805E-2</v>
      </c>
      <c r="X23" s="134">
        <f>V23+I23/5</f>
        <v>4.1744836871541763E-2</v>
      </c>
      <c r="Y23" s="134"/>
      <c r="AA23" s="134"/>
    </row>
    <row r="24" spans="1:27">
      <c r="B24" t="s">
        <v>34</v>
      </c>
      <c r="C24" s="195">
        <v>1.1523213591709669</v>
      </c>
      <c r="D24" s="100">
        <v>1.1226532557414921</v>
      </c>
      <c r="E24" s="13">
        <v>2.574637985606654E-2</v>
      </c>
      <c r="F24" s="100">
        <v>4.2676795728889916</v>
      </c>
      <c r="G24" s="100">
        <v>2.7035498291547402</v>
      </c>
      <c r="H24" s="13">
        <v>0.24966284382191531</v>
      </c>
      <c r="I24" s="13">
        <v>0.56521860926403367</v>
      </c>
      <c r="J24" s="13">
        <v>1.077859305167985</v>
      </c>
      <c r="K24" s="100">
        <v>3.8014227020348028</v>
      </c>
      <c r="L24" s="7">
        <v>1.1226532557414921</v>
      </c>
      <c r="M24" s="15">
        <v>2.574637985606654E-2</v>
      </c>
      <c r="N24" s="7">
        <v>4.2676795728889916</v>
      </c>
      <c r="O24" s="7">
        <v>2.7035498291547402</v>
      </c>
      <c r="P24" s="7">
        <v>3.8014227020348028</v>
      </c>
      <c r="W24" s="134">
        <f>V22+I24/3</f>
        <v>0.28584911044044609</v>
      </c>
      <c r="X24" s="134">
        <f>V22+I24/5</f>
        <v>0.21048662920524158</v>
      </c>
      <c r="Y24" s="134"/>
      <c r="AA24" s="134"/>
    </row>
    <row r="25" spans="1:27">
      <c r="B25" t="s">
        <v>35</v>
      </c>
      <c r="C25" s="195">
        <v>1.6945945549447261</v>
      </c>
      <c r="D25" s="100">
        <v>1.572523087783569</v>
      </c>
      <c r="E25" s="13">
        <v>7.2035795704028405E-2</v>
      </c>
      <c r="F25" s="100">
        <v>6.453580430539966</v>
      </c>
      <c r="G25" s="100">
        <v>2.8083330385482488</v>
      </c>
      <c r="H25" s="13">
        <v>0.26732877620231932</v>
      </c>
      <c r="I25" s="13">
        <v>0.58066129603645433</v>
      </c>
      <c r="J25" s="13">
        <v>1.1170097996612141</v>
      </c>
      <c r="K25" s="100">
        <v>4.1039654556907799</v>
      </c>
      <c r="L25" s="7">
        <v>1.572523087783569</v>
      </c>
      <c r="M25" s="15">
        <v>7.2035795704028405E-2</v>
      </c>
      <c r="N25" s="7">
        <v>6.453580430539966</v>
      </c>
      <c r="O25" s="7">
        <v>2.8083330385482488</v>
      </c>
      <c r="P25" s="7">
        <v>4.1039654556907799</v>
      </c>
      <c r="W25" s="134">
        <f>V23+I25/3</f>
        <v>0.23096831000588997</v>
      </c>
      <c r="X25" s="134">
        <f>V23+I25/5</f>
        <v>0.15354680386769606</v>
      </c>
      <c r="Y25" s="134"/>
      <c r="AA25" s="134"/>
    </row>
    <row r="26" spans="1:27">
      <c r="C26" s="111"/>
      <c r="D26" s="100"/>
      <c r="F26" s="100"/>
      <c r="G26" s="100"/>
      <c r="K26" s="100"/>
      <c r="L26" s="7"/>
      <c r="N26" s="7"/>
      <c r="O26" s="7"/>
      <c r="P26" s="7"/>
      <c r="AA26" s="134"/>
    </row>
    <row r="27" spans="1:27">
      <c r="A27" t="s">
        <v>238</v>
      </c>
      <c r="B27" t="s">
        <v>30</v>
      </c>
      <c r="C27" s="197">
        <v>17.332676934575389</v>
      </c>
      <c r="D27" s="100">
        <v>12.501068979393111</v>
      </c>
      <c r="E27" s="13">
        <v>0.27875716909856801</v>
      </c>
      <c r="F27" s="100">
        <v>-131.70010284143819</v>
      </c>
      <c r="G27" s="100">
        <v>-8.5983706001420686</v>
      </c>
      <c r="H27" s="13">
        <v>-7.983872674455994E-3</v>
      </c>
      <c r="I27" s="13">
        <v>0.15787434758781929</v>
      </c>
      <c r="J27" s="13">
        <v>0.52833447429978553</v>
      </c>
      <c r="K27" s="100">
        <v>-10.535107282307941</v>
      </c>
      <c r="L27" s="7">
        <v>15.186508176313129</v>
      </c>
      <c r="M27" s="15">
        <v>0.1238221174007498</v>
      </c>
      <c r="N27" s="7">
        <v>40.14765852995982</v>
      </c>
      <c r="O27" s="7">
        <v>1.3162987853233961</v>
      </c>
      <c r="P27" s="7">
        <v>2.6436398719081051</v>
      </c>
      <c r="Q27" s="109">
        <v>7.8779821510604434E-2</v>
      </c>
      <c r="R27" s="109">
        <v>-3.232930495871625E-4</v>
      </c>
      <c r="S27" s="109">
        <v>1.9273084670114349E-2</v>
      </c>
      <c r="U27" s="134">
        <f>C27*S27</f>
        <v>0.33405415011980949</v>
      </c>
      <c r="V27" s="134">
        <f>(1+S27)*Q27*(1-U27)+S27</f>
        <v>7.2747305535042966E-2</v>
      </c>
      <c r="W27" s="134">
        <f>V27+I27/3</f>
        <v>0.12537208806431607</v>
      </c>
      <c r="X27" s="134">
        <f>V27+I27/5</f>
        <v>0.10432217505260682</v>
      </c>
      <c r="Y27" s="134"/>
      <c r="AA27" s="134"/>
    </row>
    <row r="28" spans="1:27">
      <c r="A28" t="s">
        <v>239</v>
      </c>
      <c r="B28" t="s">
        <v>32</v>
      </c>
      <c r="C28" s="195">
        <v>-3980.1525249243491</v>
      </c>
      <c r="D28" s="100">
        <v>16.49330645356013</v>
      </c>
      <c r="E28" s="13">
        <v>1.0041438880420479</v>
      </c>
      <c r="F28" s="100">
        <v>-71.02213816330358</v>
      </c>
      <c r="G28" s="100">
        <v>-0.9821559255032184</v>
      </c>
      <c r="H28" s="13">
        <v>-1.00562418738915</v>
      </c>
      <c r="I28" s="13">
        <v>-1.0071318921800121</v>
      </c>
      <c r="J28" s="13">
        <v>-1.00909155798858</v>
      </c>
      <c r="K28" s="100">
        <v>-4.3061188709055509</v>
      </c>
      <c r="L28" s="7">
        <v>16.865999666684871</v>
      </c>
      <c r="M28" s="15">
        <v>1.004237525964411</v>
      </c>
      <c r="N28" s="7">
        <v>-71.02213816330358</v>
      </c>
      <c r="O28" s="7">
        <v>-0.9821559255032184</v>
      </c>
      <c r="P28" s="7">
        <v>-4.2109652298637501</v>
      </c>
      <c r="S28" s="109">
        <v>1.6456373936446431E-2</v>
      </c>
      <c r="U28" s="134">
        <f>C28*S28</f>
        <v>-65.498878274246508</v>
      </c>
      <c r="V28" s="134">
        <f>(1+S28)*R27*(1-U28)+S28</f>
        <v>-5.3960406295712714E-3</v>
      </c>
      <c r="W28" s="134">
        <f>V28+I28/3</f>
        <v>-0.34110667135624195</v>
      </c>
      <c r="X28" s="134">
        <f>V28+I28/5</f>
        <v>-0.20682241906557369</v>
      </c>
      <c r="Y28" s="134"/>
      <c r="AA28" s="134"/>
    </row>
    <row r="29" spans="1:27">
      <c r="B29" t="s">
        <v>34</v>
      </c>
      <c r="C29" s="195">
        <v>1.36546519520682</v>
      </c>
      <c r="D29" s="100">
        <v>1.050016997496906</v>
      </c>
      <c r="E29" s="13">
        <v>0.23101884897339631</v>
      </c>
      <c r="F29" s="100">
        <v>3.8706180893681612</v>
      </c>
      <c r="G29" s="100">
        <v>1.834651591966721</v>
      </c>
      <c r="H29" s="13">
        <v>4.0818087543073034E-3</v>
      </c>
      <c r="I29" s="13">
        <v>0.32587342315916129</v>
      </c>
      <c r="J29" s="13">
        <v>0.67916675603940124</v>
      </c>
      <c r="K29" s="100">
        <v>3.686243269009144</v>
      </c>
      <c r="L29" s="7">
        <v>1.3020134580707761</v>
      </c>
      <c r="M29" s="15">
        <v>4.6468952382512252E-2</v>
      </c>
      <c r="N29" s="7">
        <v>3.8706180893681612</v>
      </c>
      <c r="O29" s="7">
        <v>1.834651591966721</v>
      </c>
      <c r="P29" s="7">
        <v>2.972794225263498</v>
      </c>
      <c r="W29" s="134">
        <f>V27+I29/3</f>
        <v>0.18137177992143005</v>
      </c>
      <c r="X29" s="134">
        <f>V27+I29/5</f>
        <v>0.13792199016687523</v>
      </c>
      <c r="Y29" s="134"/>
      <c r="AA29" s="134"/>
    </row>
    <row r="30" spans="1:27">
      <c r="B30" t="s">
        <v>35</v>
      </c>
      <c r="C30" s="195">
        <v>1.2867556476048381</v>
      </c>
      <c r="D30" s="100">
        <v>1.171489680535662</v>
      </c>
      <c r="E30" s="13">
        <v>8.9578753575887404E-2</v>
      </c>
      <c r="F30" s="100">
        <v>4.1757141679048848</v>
      </c>
      <c r="G30" s="100">
        <v>2.245149283531449</v>
      </c>
      <c r="H30" s="13">
        <v>0.1137601003847952</v>
      </c>
      <c r="I30" s="13">
        <v>0.41395197052730182</v>
      </c>
      <c r="J30" s="13">
        <v>0.77279430763694901</v>
      </c>
      <c r="K30" s="100">
        <v>3.564448101664492</v>
      </c>
      <c r="L30" s="7">
        <v>1.241375832694952</v>
      </c>
      <c r="M30" s="15">
        <v>3.5266847279322278E-2</v>
      </c>
      <c r="N30" s="7">
        <v>4.1757141679048848</v>
      </c>
      <c r="O30" s="7">
        <v>2.245149283531449</v>
      </c>
      <c r="P30" s="7">
        <v>3.3637791697939372</v>
      </c>
      <c r="W30" s="134">
        <f>V28+I30/3</f>
        <v>0.13258794954619599</v>
      </c>
      <c r="X30" s="134">
        <f>V28+I30/5</f>
        <v>7.7394353475889091E-2</v>
      </c>
      <c r="Y30" s="134"/>
      <c r="AA30" s="134"/>
    </row>
    <row r="31" spans="1:27">
      <c r="C31" s="111"/>
      <c r="D31" s="100"/>
      <c r="F31" s="100"/>
      <c r="G31" s="100"/>
      <c r="K31" s="100"/>
      <c r="L31" s="7"/>
      <c r="N31" s="7"/>
      <c r="O31" s="7"/>
      <c r="P31" s="7"/>
      <c r="AA31" s="134"/>
    </row>
    <row r="32" spans="1:27">
      <c r="A32" t="s">
        <v>240</v>
      </c>
      <c r="B32" t="s">
        <v>30</v>
      </c>
      <c r="C32" s="196">
        <v>26.400744855136178</v>
      </c>
      <c r="D32" s="100">
        <v>11.894491044670451</v>
      </c>
      <c r="E32" s="13">
        <v>0.54946380831537744</v>
      </c>
      <c r="F32" s="100">
        <v>32.543627129527259</v>
      </c>
      <c r="G32" s="100">
        <v>0.2326783697997066</v>
      </c>
      <c r="H32" s="13">
        <v>-0.40144977908087742</v>
      </c>
      <c r="I32" s="13">
        <v>-0.2754457067095587</v>
      </c>
      <c r="J32" s="13">
        <v>-0.18525318330974341</v>
      </c>
      <c r="K32" s="100">
        <v>2.7360251907633359</v>
      </c>
      <c r="L32" s="7">
        <v>13.72899638843545</v>
      </c>
      <c r="M32" s="15">
        <v>0.47997693005375508</v>
      </c>
      <c r="N32" s="7">
        <v>32.474966856713472</v>
      </c>
      <c r="O32" s="7">
        <v>0.23007767526663431</v>
      </c>
      <c r="P32" s="7">
        <v>2.3654290479724058</v>
      </c>
      <c r="Q32" s="109">
        <v>5.629175030973977E-2</v>
      </c>
      <c r="R32" s="109">
        <v>7.2293348474042262E-3</v>
      </c>
      <c r="S32" s="109">
        <v>2.31010385138847E-2</v>
      </c>
      <c r="U32" s="134">
        <f>C32*S32</f>
        <v>0.60988462369374419</v>
      </c>
      <c r="V32" s="134">
        <f>(1+S32)*Q32*(1-U32)+S32</f>
        <v>4.5568621081860577E-2</v>
      </c>
      <c r="W32" s="134">
        <f>V32+I32/3</f>
        <v>-4.6246614487992319E-2</v>
      </c>
      <c r="X32" s="134">
        <f>V32+I32/5</f>
        <v>-9.5205202600511657E-3</v>
      </c>
      <c r="Y32" s="134"/>
      <c r="AA32" s="134"/>
    </row>
    <row r="33" spans="1:27">
      <c r="A33" t="s">
        <v>241</v>
      </c>
      <c r="B33" t="s">
        <v>32</v>
      </c>
      <c r="C33" s="196">
        <v>228.64925100182671</v>
      </c>
      <c r="D33" s="100">
        <v>23.568836195385082</v>
      </c>
      <c r="E33" s="13">
        <v>0.89692143712643613</v>
      </c>
      <c r="F33" s="100">
        <v>-795.83517830201993</v>
      </c>
      <c r="G33" s="100">
        <v>-4.4805938563763839</v>
      </c>
      <c r="H33" s="13">
        <v>-0.87593045715454454</v>
      </c>
      <c r="I33" s="13">
        <v>-0.84616324267651555</v>
      </c>
      <c r="J33" s="13">
        <v>-0.80093602811543818</v>
      </c>
      <c r="K33" s="100">
        <v>-33.766418150839762</v>
      </c>
      <c r="L33" s="7">
        <v>24.092308604692839</v>
      </c>
      <c r="M33" s="15">
        <v>0.89463202481909565</v>
      </c>
      <c r="N33" s="7">
        <v>-795.83517830201993</v>
      </c>
      <c r="O33" s="7">
        <v>-4.4805938563763839</v>
      </c>
      <c r="P33" s="7">
        <v>-33.032748806272657</v>
      </c>
      <c r="S33" s="109">
        <v>1.219920393988393E-2</v>
      </c>
      <c r="U33" s="134">
        <f>C33*S33</f>
        <v>2.789338843672994</v>
      </c>
      <c r="V33" s="134">
        <f>(1+S33)*R32*(1-U33)+S33</f>
        <v>-8.9433132068460208E-4</v>
      </c>
      <c r="W33" s="134">
        <f>V33+I33/3</f>
        <v>-0.28294874554618982</v>
      </c>
      <c r="X33" s="134">
        <f>V33+I33/5</f>
        <v>-0.17012697985598774</v>
      </c>
      <c r="Y33" s="134"/>
      <c r="AA33" s="134"/>
    </row>
    <row r="34" spans="1:27">
      <c r="B34" t="s">
        <v>34</v>
      </c>
      <c r="C34" s="195">
        <v>1.486144137376473</v>
      </c>
      <c r="D34" s="100">
        <v>1.400405722738598</v>
      </c>
      <c r="E34" s="13">
        <v>5.7691856719383039E-2</v>
      </c>
      <c r="F34" s="100">
        <v>4.2548611836283996</v>
      </c>
      <c r="G34" s="100">
        <v>1.863020535235306</v>
      </c>
      <c r="H34" s="13">
        <v>0.19789614039676831</v>
      </c>
      <c r="I34" s="13">
        <v>0.57667238053956327</v>
      </c>
      <c r="J34" s="13">
        <v>0.91740679540731795</v>
      </c>
      <c r="K34" s="100">
        <v>3.038306052697143</v>
      </c>
      <c r="L34" s="7">
        <v>1.400405722738598</v>
      </c>
      <c r="M34" s="15">
        <v>5.7691856719383039E-2</v>
      </c>
      <c r="N34" s="7">
        <v>4.2548611836283996</v>
      </c>
      <c r="O34" s="7">
        <v>1.863020535235306</v>
      </c>
      <c r="P34" s="7">
        <v>3.038306052697143</v>
      </c>
      <c r="W34" s="134">
        <f>V32+I34/3</f>
        <v>0.23779274792838168</v>
      </c>
      <c r="X34" s="134">
        <f>V32+I34/5</f>
        <v>0.16090309718977325</v>
      </c>
      <c r="Y34" s="134"/>
      <c r="AA34" s="134"/>
    </row>
    <row r="35" spans="1:27">
      <c r="B35" t="s">
        <v>35</v>
      </c>
      <c r="C35" s="195">
        <v>1.652981998100381</v>
      </c>
      <c r="D35" s="100">
        <v>1.4843905872409611</v>
      </c>
      <c r="E35" s="13">
        <v>0.101992284884631</v>
      </c>
      <c r="F35" s="100">
        <v>5.7849657034764226</v>
      </c>
      <c r="G35" s="100">
        <v>2.4997148850529212</v>
      </c>
      <c r="H35" s="13">
        <v>0.16834837520360771</v>
      </c>
      <c r="I35" s="13">
        <v>0.59440268003153851</v>
      </c>
      <c r="J35" s="13">
        <v>1.1050488521768009</v>
      </c>
      <c r="K35" s="100">
        <v>3.8971991288552621</v>
      </c>
      <c r="L35" s="7">
        <v>1.4843905872409611</v>
      </c>
      <c r="M35" s="15">
        <v>0.101992284884631</v>
      </c>
      <c r="N35" s="7">
        <v>5.7849657034764226</v>
      </c>
      <c r="O35" s="7">
        <v>2.4997148850529212</v>
      </c>
      <c r="P35" s="7">
        <v>3.8971991288552621</v>
      </c>
      <c r="W35" s="134">
        <f>V33+I35/3</f>
        <v>0.19723989535649489</v>
      </c>
      <c r="X35" s="134">
        <f>V33+I35/5</f>
        <v>0.1179862046856231</v>
      </c>
      <c r="Y35" s="134"/>
      <c r="AA35" s="134"/>
    </row>
    <row r="36" spans="1:27">
      <c r="C36" s="111"/>
      <c r="D36" s="100"/>
      <c r="F36" s="100"/>
      <c r="G36" s="100"/>
      <c r="K36" s="100"/>
      <c r="L36" s="7"/>
      <c r="N36" s="7"/>
      <c r="O36" s="7"/>
      <c r="P36" s="7"/>
      <c r="AA36" s="134"/>
    </row>
    <row r="37" spans="1:27">
      <c r="A37" s="184" t="s">
        <v>242</v>
      </c>
      <c r="B37" t="s">
        <v>30</v>
      </c>
      <c r="C37" s="197">
        <v>20.669424548922422</v>
      </c>
      <c r="D37" s="100">
        <v>13.54503130908479</v>
      </c>
      <c r="E37" s="13">
        <v>0.34468270865378531</v>
      </c>
      <c r="F37" s="100">
        <v>40.416219508844378</v>
      </c>
      <c r="G37" s="100">
        <v>0.95536258947041852</v>
      </c>
      <c r="H37" s="13">
        <v>-0.16209714878062101</v>
      </c>
      <c r="I37" s="13">
        <v>8.4854931579908088E-2</v>
      </c>
      <c r="J37" s="13">
        <v>0.25446532780455677</v>
      </c>
      <c r="K37" s="100">
        <v>2.983840980990335</v>
      </c>
      <c r="L37" s="7">
        <v>13.54503130908479</v>
      </c>
      <c r="M37" s="15">
        <v>0.34468270865378531</v>
      </c>
      <c r="N37" s="7">
        <v>35.043154249046182</v>
      </c>
      <c r="O37" s="7">
        <v>0.69541025034841253</v>
      </c>
      <c r="P37" s="7">
        <v>2.5871593390516838</v>
      </c>
      <c r="Q37" s="109">
        <v>0.13372743474099039</v>
      </c>
      <c r="R37" s="109">
        <v>-3.0428836175905419E-2</v>
      </c>
      <c r="S37" s="109">
        <v>2.0500284517366581E-2</v>
      </c>
      <c r="U37" s="134">
        <f>C37*S37</f>
        <v>0.42372908406315102</v>
      </c>
      <c r="V37" s="134">
        <f>(1+S37)*Q37*(1-U37)+S37</f>
        <v>9.914333398900349E-2</v>
      </c>
      <c r="W37" s="134">
        <f>V37+I37/3</f>
        <v>0.12742831118230619</v>
      </c>
      <c r="X37" s="134">
        <f>V37+I37/5</f>
        <v>0.11611432030498511</v>
      </c>
      <c r="Y37" s="134"/>
      <c r="AA37" s="37"/>
    </row>
    <row r="38" spans="1:27">
      <c r="A38" t="s">
        <v>243</v>
      </c>
      <c r="B38" t="s">
        <v>32</v>
      </c>
      <c r="C38" s="195">
        <v>-70.232138038092131</v>
      </c>
      <c r="D38" s="100">
        <v>26.424516554627481</v>
      </c>
      <c r="E38" s="13">
        <v>1.3762453670468571</v>
      </c>
      <c r="F38" s="100">
        <v>-38.149109505155707</v>
      </c>
      <c r="G38" s="100">
        <v>-0.45681406588441609</v>
      </c>
      <c r="H38" s="13">
        <v>-1.470869274008298</v>
      </c>
      <c r="I38" s="13">
        <v>-1.5898658849469389</v>
      </c>
      <c r="J38" s="13">
        <v>-1.8143519556969929</v>
      </c>
      <c r="K38" s="100">
        <v>-1.4437013228336619</v>
      </c>
      <c r="L38" s="7">
        <v>31.753580651072209</v>
      </c>
      <c r="M38" s="15">
        <v>1.4521232236138091</v>
      </c>
      <c r="N38" s="7">
        <v>-38.149109505155707</v>
      </c>
      <c r="O38" s="7">
        <v>-0.45681406588441609</v>
      </c>
      <c r="P38" s="7">
        <v>-1.201411265216402</v>
      </c>
      <c r="S38" s="109">
        <v>1.236235291863782E-2</v>
      </c>
      <c r="U38" s="134">
        <f>C38*S38</f>
        <v>-0.86823447665738251</v>
      </c>
      <c r="V38" s="134">
        <f>(1+S38)*R37*(1-U38)+S38</f>
        <v>-4.518862543117818E-2</v>
      </c>
      <c r="W38" s="134">
        <f>V38+I38/3</f>
        <v>-0.57514392041349116</v>
      </c>
      <c r="X38" s="134">
        <f>V38+I38/5</f>
        <v>-0.36316180242056595</v>
      </c>
      <c r="Y38" s="134"/>
      <c r="AA38" s="134"/>
    </row>
    <row r="39" spans="1:27">
      <c r="B39" t="s">
        <v>34</v>
      </c>
      <c r="C39" s="197">
        <v>2.7640691224998468</v>
      </c>
      <c r="D39" s="100">
        <v>1.9070639647269889</v>
      </c>
      <c r="E39" s="13">
        <v>0.31005199935006528</v>
      </c>
      <c r="F39" s="100">
        <v>5.6614449061694891</v>
      </c>
      <c r="G39" s="100">
        <v>1.0482284108181901</v>
      </c>
      <c r="H39" s="13">
        <v>-8.2866476019173296E-2</v>
      </c>
      <c r="I39" s="13">
        <v>0.1617002656043576</v>
      </c>
      <c r="J39" s="13">
        <v>0.41041654204656308</v>
      </c>
      <c r="K39" s="100">
        <v>2.968670695311455</v>
      </c>
      <c r="L39" s="7">
        <v>2.232096377231461</v>
      </c>
      <c r="M39" s="15">
        <v>0.1924600007062289</v>
      </c>
      <c r="N39" s="7">
        <v>5.6614449061694891</v>
      </c>
      <c r="O39" s="7">
        <v>1.0482284108181901</v>
      </c>
      <c r="P39" s="7">
        <v>2.5363801330082159</v>
      </c>
      <c r="W39" s="134">
        <f>V37+I39/3</f>
        <v>0.15304342252378936</v>
      </c>
      <c r="X39" s="134">
        <f>V37+I39/5</f>
        <v>0.13148338710987501</v>
      </c>
      <c r="Y39" s="134"/>
      <c r="AA39" s="134"/>
    </row>
    <row r="40" spans="1:27">
      <c r="B40" t="s">
        <v>35</v>
      </c>
      <c r="C40" s="195">
        <v>2.1370822226446808</v>
      </c>
      <c r="D40" s="100">
        <v>1.7207486208731471</v>
      </c>
      <c r="E40" s="13">
        <v>0.19481403071909559</v>
      </c>
      <c r="F40" s="100">
        <v>6.8052577558557514</v>
      </c>
      <c r="G40" s="100">
        <v>2.1843687078329221</v>
      </c>
      <c r="H40" s="13">
        <v>6.7358176697035255E-2</v>
      </c>
      <c r="I40" s="13">
        <v>0.45622444757293418</v>
      </c>
      <c r="J40" s="13">
        <v>0.99487150095853094</v>
      </c>
      <c r="K40" s="100">
        <v>3.954823890779938</v>
      </c>
      <c r="L40" s="7">
        <v>1.7207486208731471</v>
      </c>
      <c r="M40" s="15">
        <v>0.19481403071909559</v>
      </c>
      <c r="N40" s="7">
        <v>6.8052577558557514</v>
      </c>
      <c r="O40" s="7">
        <v>2.1843687078329221</v>
      </c>
      <c r="P40" s="7">
        <v>3.954823890779938</v>
      </c>
      <c r="W40" s="134">
        <f>V38+I40/3</f>
        <v>0.10688619042646655</v>
      </c>
      <c r="X40" s="134">
        <f>V38+I40/5</f>
        <v>4.6056264083408661E-2</v>
      </c>
      <c r="Y40" s="134"/>
      <c r="AA40" s="134"/>
    </row>
    <row r="41" spans="1:27">
      <c r="C41" s="111"/>
      <c r="D41" s="100"/>
      <c r="F41" s="100"/>
      <c r="G41" s="100"/>
      <c r="K41" s="100"/>
      <c r="L41" s="7"/>
      <c r="N41" s="7"/>
      <c r="O41" s="7"/>
      <c r="P41" s="7"/>
      <c r="AA41" s="134"/>
    </row>
    <row r="42" spans="1:27">
      <c r="A42" t="s">
        <v>244</v>
      </c>
      <c r="B42" t="s">
        <v>30</v>
      </c>
      <c r="C42" s="196">
        <v>158.9971813834986</v>
      </c>
      <c r="D42" s="100">
        <v>17.82443793677572</v>
      </c>
      <c r="E42" s="13">
        <v>0.88789462944136432</v>
      </c>
      <c r="F42" s="100">
        <v>172.60912726604121</v>
      </c>
      <c r="G42" s="100">
        <v>8.5611240174823244E-2</v>
      </c>
      <c r="H42" s="13">
        <v>-0.85217823568461371</v>
      </c>
      <c r="I42" s="13">
        <v>-0.7912433483147483</v>
      </c>
      <c r="J42" s="13">
        <v>-0.69061794557717604</v>
      </c>
      <c r="K42" s="100">
        <v>9.6838468555527761</v>
      </c>
      <c r="L42" s="7">
        <v>19.290878544437088</v>
      </c>
      <c r="M42" s="15">
        <v>0.87867156903927868</v>
      </c>
      <c r="N42" s="7">
        <v>172.60912726604121</v>
      </c>
      <c r="O42" s="7">
        <v>8.5611240174823244E-2</v>
      </c>
      <c r="P42" s="7">
        <v>8.9477069107262857</v>
      </c>
      <c r="Q42" s="109">
        <v>1.0804536990399301E-2</v>
      </c>
      <c r="R42" s="109">
        <v>-6.8629649447505284E-2</v>
      </c>
      <c r="S42" s="109">
        <v>2.4341403151984711E-2</v>
      </c>
      <c r="U42" s="134">
        <f>C42*S42</f>
        <v>3.8702144920849775</v>
      </c>
      <c r="V42" s="134">
        <f>(1+S42)*Q42*(1-U42)+S42</f>
        <v>-7.4247949944926776E-3</v>
      </c>
      <c r="W42" s="134">
        <f>V42+I42/3</f>
        <v>-0.27117257776607545</v>
      </c>
      <c r="X42" s="134">
        <f>V42+I42/5</f>
        <v>-0.16567346465744232</v>
      </c>
      <c r="Y42" s="134"/>
      <c r="AA42" s="134"/>
    </row>
    <row r="43" spans="1:27">
      <c r="A43" t="s">
        <v>245</v>
      </c>
      <c r="B43" t="s">
        <v>32</v>
      </c>
      <c r="C43" s="195">
        <v>-22.518805271127359</v>
      </c>
      <c r="D43" s="100">
        <v>23.746467830299501</v>
      </c>
      <c r="E43" s="13">
        <v>2.054517215473513</v>
      </c>
      <c r="F43" s="100">
        <v>-22.518805271127359</v>
      </c>
      <c r="G43" s="100">
        <v>0</v>
      </c>
      <c r="H43" s="13">
        <v>-2.5072910375267048</v>
      </c>
      <c r="I43" s="13">
        <v>-3.011171774593969</v>
      </c>
      <c r="J43" s="13">
        <v>-4.6036005019405968</v>
      </c>
      <c r="K43" s="100">
        <v>-0.94830125608804461</v>
      </c>
      <c r="L43" s="7">
        <v>24.666491494007762</v>
      </c>
      <c r="M43" s="15">
        <v>2.0953730092259408</v>
      </c>
      <c r="N43" s="7">
        <v>-22.518805271127359</v>
      </c>
      <c r="O43" s="7">
        <v>0</v>
      </c>
      <c r="P43" s="7">
        <v>-0.91293102128439541</v>
      </c>
      <c r="S43" s="109">
        <v>1.9770867826260481E-2</v>
      </c>
      <c r="U43" s="134">
        <f>C43*S43</f>
        <v>-0.44521632262075683</v>
      </c>
      <c r="V43" s="134">
        <f>(1+S43)*R42*(1-U43)+S43</f>
        <v>-8.1374789159431166E-2</v>
      </c>
      <c r="W43" s="134">
        <f>V43+I43/3</f>
        <v>-1.0850987140240875</v>
      </c>
      <c r="X43" s="134">
        <f>V43+I43/5</f>
        <v>-0.68360914407822504</v>
      </c>
      <c r="Y43" s="134"/>
      <c r="AA43" s="134"/>
    </row>
    <row r="44" spans="1:27">
      <c r="B44" t="s">
        <v>34</v>
      </c>
      <c r="C44" s="195">
        <v>1.7178909276272369</v>
      </c>
      <c r="D44" s="100">
        <v>1.6568630638377591</v>
      </c>
      <c r="E44" s="13">
        <v>3.5524876933700211E-2</v>
      </c>
      <c r="F44" s="100">
        <v>6.4574858418325682</v>
      </c>
      <c r="G44" s="100">
        <v>2.758961490501433</v>
      </c>
      <c r="H44" s="13">
        <v>0.151900497762437</v>
      </c>
      <c r="I44" s="13">
        <v>0.57241357580527152</v>
      </c>
      <c r="J44" s="13">
        <v>1.1517616030988009</v>
      </c>
      <c r="K44" s="100">
        <v>3.8974167405695082</v>
      </c>
      <c r="L44" s="7">
        <v>1.6568630638377591</v>
      </c>
      <c r="M44" s="15">
        <v>3.5524876933700211E-2</v>
      </c>
      <c r="N44" s="7">
        <v>6.4574858418325682</v>
      </c>
      <c r="O44" s="7">
        <v>2.758961490501433</v>
      </c>
      <c r="P44" s="7">
        <v>3.8974167405695082</v>
      </c>
      <c r="W44" s="134">
        <f>V42+I44/3</f>
        <v>0.18337973027393117</v>
      </c>
      <c r="X44" s="134">
        <f>V42+I44/5</f>
        <v>0.10705792016656163</v>
      </c>
      <c r="Y44" s="134"/>
      <c r="AA44" s="134"/>
    </row>
    <row r="45" spans="1:27">
      <c r="B45" t="s">
        <v>35</v>
      </c>
      <c r="C45" s="195">
        <v>1.5454577117341051</v>
      </c>
      <c r="D45" s="100">
        <v>1.47321743010095</v>
      </c>
      <c r="E45" s="13">
        <v>4.6743615878105597E-2</v>
      </c>
      <c r="F45" s="100">
        <v>6.2212568758807141</v>
      </c>
      <c r="G45" s="100">
        <v>3.025510907639172</v>
      </c>
      <c r="H45" s="13">
        <v>0.30298246612266388</v>
      </c>
      <c r="I45" s="13">
        <v>0.72151633681915528</v>
      </c>
      <c r="J45" s="13">
        <v>1.3899788569206639</v>
      </c>
      <c r="K45" s="100">
        <v>4.2229047449258141</v>
      </c>
      <c r="L45" s="7">
        <v>1.47321743010095</v>
      </c>
      <c r="M45" s="15">
        <v>4.6743615878105597E-2</v>
      </c>
      <c r="N45" s="7">
        <v>6.2212568758807141</v>
      </c>
      <c r="O45" s="7">
        <v>3.025510907639172</v>
      </c>
      <c r="P45" s="7">
        <v>4.2229047449258141</v>
      </c>
      <c r="W45" s="134">
        <f>V43+I45/3</f>
        <v>0.15913065644695393</v>
      </c>
      <c r="X45" s="134">
        <f>V43+I45/5</f>
        <v>6.2928478204399896E-2</v>
      </c>
      <c r="Y45" s="134"/>
      <c r="AA45" s="134"/>
    </row>
    <row r="46" spans="1:27">
      <c r="C46" s="111"/>
      <c r="D46" s="100"/>
      <c r="F46" s="100"/>
      <c r="G46" s="100"/>
      <c r="K46" s="100"/>
      <c r="L46" s="7"/>
      <c r="N46" s="7"/>
      <c r="O46" s="7"/>
      <c r="P46" s="7"/>
      <c r="AA46" s="134"/>
    </row>
    <row r="47" spans="1:27">
      <c r="A47" t="s">
        <v>246</v>
      </c>
      <c r="B47" t="s">
        <v>30</v>
      </c>
      <c r="C47" s="195">
        <v>18.801750869717839</v>
      </c>
      <c r="D47" s="100">
        <v>16.574261201829849</v>
      </c>
      <c r="E47" s="13">
        <v>0.1184724594705483</v>
      </c>
      <c r="F47" s="100">
        <v>408.20702706817019</v>
      </c>
      <c r="G47" s="100">
        <v>20.71111775157226</v>
      </c>
      <c r="H47" s="13">
        <v>0.240574136154216</v>
      </c>
      <c r="I47" s="13">
        <v>0.5248943643143642</v>
      </c>
      <c r="J47" s="13">
        <v>1.3589287091440949</v>
      </c>
      <c r="K47" s="100">
        <v>24.628972724473709</v>
      </c>
      <c r="L47" s="7">
        <v>16.574261201829849</v>
      </c>
      <c r="M47" s="15">
        <v>0.1184724594705483</v>
      </c>
      <c r="N47" s="7">
        <v>69.705360477903596</v>
      </c>
      <c r="O47" s="7">
        <v>2.7073866663221908</v>
      </c>
      <c r="P47" s="7">
        <v>4.2056390706698838</v>
      </c>
      <c r="Q47" s="109">
        <v>0.12639675191415189</v>
      </c>
      <c r="R47" s="109">
        <v>5.1521132112636717E-2</v>
      </c>
      <c r="S47" s="109">
        <v>1.288833310321452E-2</v>
      </c>
      <c r="U47" s="134">
        <f>C47*S47</f>
        <v>0.24232322813257684</v>
      </c>
      <c r="V47" s="134">
        <f>(1+S47)*Q47*(1-U47)+S47</f>
        <v>0.10989050444429721</v>
      </c>
      <c r="W47" s="134">
        <f>V47+I47/3</f>
        <v>0.28485529254908526</v>
      </c>
      <c r="X47" s="134">
        <f>V47+I47/5</f>
        <v>0.21486937730717004</v>
      </c>
      <c r="Y47" s="134"/>
      <c r="AA47" s="134"/>
    </row>
    <row r="48" spans="1:27">
      <c r="A48" t="s">
        <v>247</v>
      </c>
      <c r="B48" t="s">
        <v>32</v>
      </c>
      <c r="C48" s="195">
        <v>39.290797085208673</v>
      </c>
      <c r="D48" s="100">
        <v>16.944488711714481</v>
      </c>
      <c r="E48" s="13">
        <v>0.56874153825468277</v>
      </c>
      <c r="F48" s="100">
        <v>-13.529948775971411</v>
      </c>
      <c r="G48" s="100">
        <v>-1.344354143455768</v>
      </c>
      <c r="H48" s="13">
        <v>0.1069344437550992</v>
      </c>
      <c r="I48" s="13">
        <v>0.536045413908806</v>
      </c>
      <c r="J48" s="13">
        <v>1.629229704113295</v>
      </c>
      <c r="K48" s="100">
        <v>-0.7984866941790667</v>
      </c>
      <c r="L48" s="7">
        <v>25.789906013176768</v>
      </c>
      <c r="M48" s="15">
        <v>0.34361458849391519</v>
      </c>
      <c r="N48" s="7">
        <v>200.52075683392539</v>
      </c>
      <c r="O48" s="7">
        <v>4.1035044262162108</v>
      </c>
      <c r="P48" s="7">
        <v>7.7751643116292817</v>
      </c>
      <c r="S48" s="109">
        <v>8.3605918922432035E-3</v>
      </c>
      <c r="U48" s="134">
        <f>C48*S48</f>
        <v>0.32849431955036851</v>
      </c>
      <c r="V48" s="134">
        <f>(1+S48)*R47*(1-U48)+S48</f>
        <v>4.3246573933462824E-2</v>
      </c>
      <c r="W48" s="134">
        <f>V48+I48/3</f>
        <v>0.22192837856973149</v>
      </c>
      <c r="X48" s="134">
        <f>V48+I48/5</f>
        <v>0.15045565671522401</v>
      </c>
      <c r="Y48" s="134"/>
      <c r="AA48" s="134"/>
    </row>
    <row r="49" spans="1:27">
      <c r="B49" t="s">
        <v>34</v>
      </c>
      <c r="C49" s="195">
        <v>2.3764802402314151</v>
      </c>
      <c r="D49" s="100">
        <v>2.114747534478632</v>
      </c>
      <c r="E49" s="13">
        <v>0.1101346021405573</v>
      </c>
      <c r="F49" s="100">
        <v>6.6548568191126067</v>
      </c>
      <c r="G49" s="100">
        <v>1.800299664374476</v>
      </c>
      <c r="H49" s="13">
        <v>0.17296713177502701</v>
      </c>
      <c r="I49" s="13">
        <v>0.34240860493748898</v>
      </c>
      <c r="J49" s="13">
        <v>0.67279059718043555</v>
      </c>
      <c r="K49" s="100">
        <v>3.1468800462525599</v>
      </c>
      <c r="L49" s="7">
        <v>2.114747534478632</v>
      </c>
      <c r="M49" s="15">
        <v>0.1101346021405573</v>
      </c>
      <c r="N49" s="7">
        <v>6.6548568191126067</v>
      </c>
      <c r="O49" s="7">
        <v>1.800299664374476</v>
      </c>
      <c r="P49" s="7">
        <v>3.1468800462525599</v>
      </c>
      <c r="W49" s="134">
        <f>V47+I49/3</f>
        <v>0.22402670609012687</v>
      </c>
      <c r="X49" s="134">
        <f>V47+I49/5</f>
        <v>0.17837222543179501</v>
      </c>
      <c r="Y49" s="134"/>
      <c r="AA49" s="134"/>
    </row>
    <row r="50" spans="1:27">
      <c r="B50" t="s">
        <v>35</v>
      </c>
      <c r="C50" s="195">
        <v>2.0243063474378382</v>
      </c>
      <c r="D50" s="100">
        <v>1.8167035227708239</v>
      </c>
      <c r="E50" s="13">
        <v>0.1025550430792138</v>
      </c>
      <c r="F50" s="100">
        <v>11.56063080524893</v>
      </c>
      <c r="G50" s="100">
        <v>4.7109097246477578</v>
      </c>
      <c r="H50" s="13">
        <v>0.40331571666965682</v>
      </c>
      <c r="I50" s="13">
        <v>0.75922558051631439</v>
      </c>
      <c r="J50" s="13">
        <v>1.4598729668080781</v>
      </c>
      <c r="K50" s="100">
        <v>6.3635208829323631</v>
      </c>
      <c r="L50" s="7">
        <v>1.8167035227708239</v>
      </c>
      <c r="M50" s="15">
        <v>0.1025550430792138</v>
      </c>
      <c r="N50" s="7">
        <v>7.7446245919396572</v>
      </c>
      <c r="O50" s="7">
        <v>2.825816483627599</v>
      </c>
      <c r="P50" s="7">
        <v>4.2630096187228208</v>
      </c>
      <c r="W50" s="134">
        <f>V48+I50/3</f>
        <v>0.29632176743890093</v>
      </c>
      <c r="X50" s="134">
        <f>V48+I50/5</f>
        <v>0.19509169003672569</v>
      </c>
      <c r="Y50" s="134"/>
      <c r="AA50" s="134"/>
    </row>
    <row r="51" spans="1:27">
      <c r="C51" s="111"/>
      <c r="D51" s="100"/>
      <c r="F51" s="100"/>
      <c r="G51" s="100"/>
      <c r="K51" s="100"/>
      <c r="L51" s="7"/>
      <c r="N51" s="7"/>
      <c r="O51" s="7"/>
      <c r="P51" s="7"/>
      <c r="AA51" s="134"/>
    </row>
    <row r="52" spans="1:27">
      <c r="A52" s="34" t="s">
        <v>248</v>
      </c>
      <c r="B52" t="s">
        <v>30</v>
      </c>
      <c r="C52" s="195">
        <v>-170.93855096741319</v>
      </c>
      <c r="D52" s="100">
        <v>18.479202334008288</v>
      </c>
      <c r="E52" s="13">
        <v>1.108104358141722</v>
      </c>
      <c r="F52" s="100">
        <v>-77.090752792987985</v>
      </c>
      <c r="G52" s="100">
        <v>-0.54901482224636289</v>
      </c>
      <c r="H52" s="13">
        <v>-1.1717610573805819</v>
      </c>
      <c r="I52" s="13">
        <v>-1.2348088528223149</v>
      </c>
      <c r="J52" s="13">
        <v>-1.3373215306092709</v>
      </c>
      <c r="K52" s="100">
        <v>-4.1717576007657886</v>
      </c>
      <c r="L52" s="7">
        <v>18.479202334008288</v>
      </c>
      <c r="M52" s="15">
        <v>1.108104358141722</v>
      </c>
      <c r="N52" s="7">
        <v>-77.090752792987985</v>
      </c>
      <c r="O52" s="7">
        <v>-0.54901482224636289</v>
      </c>
      <c r="P52" s="7">
        <v>-4.1717576007657886</v>
      </c>
      <c r="Q52" s="109">
        <v>-1.0490589510878711E-2</v>
      </c>
      <c r="R52" s="109">
        <v>-0.14596797693351529</v>
      </c>
      <c r="S52" s="109">
        <v>1.392090052969101E-2</v>
      </c>
      <c r="U52" s="134">
        <f>C52*S52</f>
        <v>-2.3796185647068762</v>
      </c>
      <c r="V52" s="134">
        <f>(1+S52)*Q52*(1-U52)+S52</f>
        <v>-2.2026844803179967E-2</v>
      </c>
      <c r="W52" s="134">
        <f>V52+I52/3</f>
        <v>-0.43362979574395161</v>
      </c>
      <c r="X52" s="134">
        <f>V52+I52/5</f>
        <v>-0.26898861536764296</v>
      </c>
      <c r="Y52" s="134"/>
      <c r="AA52" s="37"/>
    </row>
    <row r="53" spans="1:27">
      <c r="A53" t="s">
        <v>249</v>
      </c>
      <c r="B53" t="s">
        <v>32</v>
      </c>
      <c r="C53" s="195">
        <v>-11.54338201020226</v>
      </c>
      <c r="D53" s="100">
        <v>24.050886763721721</v>
      </c>
      <c r="E53" s="13">
        <v>3.0835216873586182</v>
      </c>
      <c r="F53" s="100">
        <v>-6.2798475307409856</v>
      </c>
      <c r="G53" s="100">
        <v>-0.45597854032806517</v>
      </c>
      <c r="H53" s="13">
        <v>-4.0783216077056004</v>
      </c>
      <c r="I53" s="13">
        <v>-5.2173948386853706</v>
      </c>
      <c r="J53" s="13">
        <v>-8.0688669751075608</v>
      </c>
      <c r="K53" s="100">
        <v>-0.2611066940040434</v>
      </c>
      <c r="L53" s="7">
        <v>27.325690383682261</v>
      </c>
      <c r="M53" s="15">
        <v>3.3672170217992701</v>
      </c>
      <c r="N53" s="7">
        <v>-6.2798475307409856</v>
      </c>
      <c r="O53" s="7">
        <v>-0.45597854032806517</v>
      </c>
      <c r="P53" s="7">
        <v>-0.22981478025129951</v>
      </c>
      <c r="S53" s="109">
        <v>1.061395415288692E-2</v>
      </c>
      <c r="U53" s="134">
        <f>C53*S53</f>
        <v>-0.12252092742554645</v>
      </c>
      <c r="V53" s="134">
        <f>(1+S53)*R52*(1-U53)+S53</f>
        <v>-0.15497727346005458</v>
      </c>
      <c r="W53" s="134">
        <f>V53+I53/3</f>
        <v>-1.894108886355178</v>
      </c>
      <c r="X53" s="134">
        <f>V53+I53/5</f>
        <v>-1.1984562411971287</v>
      </c>
      <c r="Y53" s="134"/>
      <c r="AA53" s="134"/>
    </row>
    <row r="54" spans="1:27">
      <c r="B54" t="s">
        <v>34</v>
      </c>
      <c r="C54" s="195">
        <v>1.79324616978355</v>
      </c>
      <c r="D54" s="100">
        <v>1.5733051451220601</v>
      </c>
      <c r="E54" s="13">
        <v>0.1226496553387518</v>
      </c>
      <c r="F54" s="100">
        <v>8.0800645905995587</v>
      </c>
      <c r="G54" s="100">
        <v>3.5058312276082249</v>
      </c>
      <c r="H54" s="13">
        <v>0.43856215103342722</v>
      </c>
      <c r="I54" s="13">
        <v>0.94536635665387436</v>
      </c>
      <c r="J54" s="13">
        <v>1.4336436309990159</v>
      </c>
      <c r="K54" s="100">
        <v>5.1357262865702316</v>
      </c>
      <c r="L54" s="7">
        <v>1.5733051451220601</v>
      </c>
      <c r="M54" s="15">
        <v>0.1226496553387518</v>
      </c>
      <c r="N54" s="7">
        <v>8.0800645905995587</v>
      </c>
      <c r="O54" s="7">
        <v>3.5058312276082249</v>
      </c>
      <c r="P54" s="7">
        <v>5.1357262865702316</v>
      </c>
      <c r="W54" s="134">
        <f>V52+I54/3</f>
        <v>0.29309527408144481</v>
      </c>
      <c r="X54" s="134">
        <f>V52+I54/5</f>
        <v>0.16704642652759491</v>
      </c>
      <c r="Y54" s="134"/>
      <c r="AA54" s="134"/>
    </row>
    <row r="55" spans="1:27">
      <c r="B55" t="s">
        <v>35</v>
      </c>
      <c r="C55" s="195">
        <v>1.6849641189999589</v>
      </c>
      <c r="D55" s="100">
        <v>1.3414475743908489</v>
      </c>
      <c r="E55" s="13">
        <v>0.20387172684305599</v>
      </c>
      <c r="F55" s="100">
        <v>7.7932827321034397</v>
      </c>
      <c r="G55" s="100">
        <v>3.6251921000720309</v>
      </c>
      <c r="H55" s="13">
        <v>0.36221311059476657</v>
      </c>
      <c r="I55" s="13">
        <v>1.0428442945811831</v>
      </c>
      <c r="J55" s="13">
        <v>1.4526817560451</v>
      </c>
      <c r="K55" s="100">
        <v>5.809606637547776</v>
      </c>
      <c r="L55" s="7">
        <v>1.3414475743908489</v>
      </c>
      <c r="M55" s="15">
        <v>0.20387172684305599</v>
      </c>
      <c r="N55" s="7">
        <v>7.7932827321034397</v>
      </c>
      <c r="O55" s="7">
        <v>3.6251921000720309</v>
      </c>
      <c r="P55" s="7">
        <v>5.809606637547776</v>
      </c>
      <c r="W55" s="134">
        <f>V53+I55/3</f>
        <v>0.19263749140033981</v>
      </c>
      <c r="X55" s="134">
        <f>V53+I55/5</f>
        <v>5.3591585456182034E-2</v>
      </c>
      <c r="Y55" s="134"/>
      <c r="AA55" s="134"/>
    </row>
    <row r="56" spans="1:27">
      <c r="C56" s="111"/>
      <c r="D56" s="100"/>
      <c r="F56" s="100"/>
      <c r="G56" s="100"/>
      <c r="K56" s="100"/>
      <c r="L56" s="7"/>
      <c r="N56" s="7"/>
      <c r="O56" s="7"/>
      <c r="P56" s="7"/>
      <c r="AA56" s="134"/>
    </row>
    <row r="57" spans="1:27">
      <c r="A57" t="s">
        <v>250</v>
      </c>
      <c r="B57" t="s">
        <v>30</v>
      </c>
      <c r="C57" s="197">
        <v>22.114075069717082</v>
      </c>
      <c r="D57" s="100">
        <v>13.826198615468259</v>
      </c>
      <c r="E57" s="13">
        <v>0.37477834492830331</v>
      </c>
      <c r="F57" s="100">
        <v>82.529304952638128</v>
      </c>
      <c r="G57" s="100">
        <v>2.7319808625255781</v>
      </c>
      <c r="H57" s="13">
        <v>-5.331834392475876E-2</v>
      </c>
      <c r="I57" s="13">
        <v>0.27509429996622431</v>
      </c>
      <c r="J57" s="13">
        <v>1.0449807216857609</v>
      </c>
      <c r="K57" s="100">
        <v>5.9690524668369278</v>
      </c>
      <c r="L57" s="7">
        <v>13.826198615468259</v>
      </c>
      <c r="M57" s="15">
        <v>0.37477834492830331</v>
      </c>
      <c r="N57" s="7">
        <v>82.529304952638128</v>
      </c>
      <c r="O57" s="7">
        <v>2.7319808625255781</v>
      </c>
      <c r="P57" s="7">
        <v>5.9690524668369278</v>
      </c>
      <c r="Q57" s="109">
        <v>6.0774271891640058E-2</v>
      </c>
      <c r="R57" s="109">
        <v>-9.6167991816291126E-2</v>
      </c>
      <c r="S57" s="109">
        <v>1.451377817452656E-2</v>
      </c>
      <c r="U57" s="134">
        <f>C57*S57</f>
        <v>0.3209587800967017</v>
      </c>
      <c r="V57" s="134">
        <f>(1+S57)*Q57*(1-U57)+S57</f>
        <v>5.6380971917513255E-2</v>
      </c>
      <c r="W57" s="134">
        <f>V57+I57/3</f>
        <v>0.14807907190625469</v>
      </c>
      <c r="X57" s="134">
        <f>V57+I57/5</f>
        <v>0.11139983191075811</v>
      </c>
      <c r="Y57" s="134"/>
      <c r="AA57" s="134"/>
    </row>
    <row r="58" spans="1:27">
      <c r="A58" t="s">
        <v>251</v>
      </c>
      <c r="B58" t="s">
        <v>32</v>
      </c>
      <c r="C58" s="195">
        <v>-14.49636791776768</v>
      </c>
      <c r="D58" s="100">
        <v>20.687367345157931</v>
      </c>
      <c r="E58" s="13">
        <v>2.4270724544595859</v>
      </c>
      <c r="F58" s="100">
        <v>-13.741337053486591</v>
      </c>
      <c r="G58" s="100">
        <v>-5.2084140562939092E-2</v>
      </c>
      <c r="H58" s="13">
        <v>-2.739944689433591</v>
      </c>
      <c r="I58" s="13">
        <v>-3.5888255771331141</v>
      </c>
      <c r="J58" s="13">
        <v>-5.2518265108253956</v>
      </c>
      <c r="K58" s="100">
        <v>-0.6642380745804698</v>
      </c>
      <c r="L58" s="7">
        <v>21.03152831849064</v>
      </c>
      <c r="M58" s="15">
        <v>2.4508136408922852</v>
      </c>
      <c r="N58" s="7">
        <v>-13.741337053486591</v>
      </c>
      <c r="O58" s="7">
        <v>-5.2084140562939092E-2</v>
      </c>
      <c r="P58" s="7">
        <v>-0.65336844975766162</v>
      </c>
      <c r="S58" s="109">
        <v>1.452903538859261E-2</v>
      </c>
      <c r="U58" s="134">
        <f>C58*S58</f>
        <v>-0.21061824248330518</v>
      </c>
      <c r="V58" s="134">
        <f>(1+S58)*R57*(1-U58)+S58</f>
        <v>-0.10358519974218176</v>
      </c>
      <c r="W58" s="134">
        <f>V58+I58/3</f>
        <v>-1.2998603921198864</v>
      </c>
      <c r="X58" s="134">
        <f>V58+I58/5</f>
        <v>-0.82135031516880452</v>
      </c>
      <c r="Y58" s="134"/>
      <c r="AA58" s="134"/>
    </row>
    <row r="59" spans="1:27">
      <c r="B59" t="s">
        <v>34</v>
      </c>
      <c r="C59" s="195">
        <v>1.343966810919125</v>
      </c>
      <c r="D59" s="100">
        <v>1.148972095465429</v>
      </c>
      <c r="E59" s="13">
        <v>0.14508893662362191</v>
      </c>
      <c r="F59" s="100">
        <v>5.5720921194947586</v>
      </c>
      <c r="G59" s="100">
        <v>3.146004257117081</v>
      </c>
      <c r="H59" s="13">
        <v>0.30542893740230381</v>
      </c>
      <c r="I59" s="13">
        <v>0.69570413402498521</v>
      </c>
      <c r="J59" s="13">
        <v>1.554061179094564</v>
      </c>
      <c r="K59" s="100">
        <v>4.8496322421456206</v>
      </c>
      <c r="L59" s="7">
        <v>1.148972095465429</v>
      </c>
      <c r="M59" s="15">
        <v>0.14508893662362191</v>
      </c>
      <c r="N59" s="7">
        <v>5.5720921194947586</v>
      </c>
      <c r="O59" s="7">
        <v>3.146004257117081</v>
      </c>
      <c r="P59" s="7">
        <v>4.8496322421456206</v>
      </c>
      <c r="W59" s="134">
        <f>V57+I59/3</f>
        <v>0.28828234992584167</v>
      </c>
      <c r="X59" s="134">
        <f>V57+I59/5</f>
        <v>0.1955217987225103</v>
      </c>
      <c r="Y59" s="134"/>
      <c r="AA59" s="134"/>
    </row>
    <row r="60" spans="1:27">
      <c r="B60" t="s">
        <v>35</v>
      </c>
      <c r="C60" s="195">
        <v>1.3940865912818281</v>
      </c>
      <c r="D60" s="100">
        <v>1.286075740902461</v>
      </c>
      <c r="E60" s="13">
        <v>7.7477863322717555E-2</v>
      </c>
      <c r="F60" s="100">
        <v>5.6143054327417303</v>
      </c>
      <c r="G60" s="100">
        <v>3.0272286297363471</v>
      </c>
      <c r="H60" s="13">
        <v>0.36197078822926948</v>
      </c>
      <c r="I60" s="13">
        <v>0.74993263999298598</v>
      </c>
      <c r="J60" s="13">
        <v>1.4794904260637149</v>
      </c>
      <c r="K60" s="100">
        <v>4.3654547350392274</v>
      </c>
      <c r="L60" s="7">
        <v>1.286075740902461</v>
      </c>
      <c r="M60" s="15">
        <v>7.7477863322717555E-2</v>
      </c>
      <c r="N60" s="7">
        <v>5.6143054327417303</v>
      </c>
      <c r="O60" s="7">
        <v>3.0272286297363471</v>
      </c>
      <c r="P60" s="7">
        <v>4.3654547350392274</v>
      </c>
      <c r="W60" s="134">
        <f>V58+I60/3</f>
        <v>0.14639234692214692</v>
      </c>
      <c r="X60" s="134">
        <f>V58+I60/5</f>
        <v>4.6401328256415422E-2</v>
      </c>
      <c r="Y60" s="134"/>
      <c r="AA60" s="134"/>
    </row>
    <row r="61" spans="1:27">
      <c r="C61" s="111"/>
      <c r="D61" s="100"/>
      <c r="F61" s="100"/>
      <c r="G61" s="100"/>
      <c r="K61" s="100"/>
      <c r="L61" s="7"/>
      <c r="N61" s="7"/>
      <c r="O61" s="7"/>
      <c r="P61" s="7"/>
      <c r="AA61" s="134"/>
    </row>
    <row r="62" spans="1:27">
      <c r="A62" t="s">
        <v>252</v>
      </c>
      <c r="B62" t="s">
        <v>30</v>
      </c>
      <c r="C62" s="196">
        <v>56.22369092557841</v>
      </c>
      <c r="D62" s="100">
        <v>19.15168270984174</v>
      </c>
      <c r="E62" s="13">
        <v>0.65936632059264411</v>
      </c>
      <c r="F62" s="100">
        <v>71.896585494566963</v>
      </c>
      <c r="G62" s="100">
        <v>0.27875961736013188</v>
      </c>
      <c r="H62" s="13">
        <v>-0.54291190427305058</v>
      </c>
      <c r="I62" s="13">
        <v>-0.39294084219435332</v>
      </c>
      <c r="J62" s="13">
        <v>-0.20130424907975741</v>
      </c>
      <c r="K62" s="100">
        <v>3.754061018232119</v>
      </c>
      <c r="L62" s="7">
        <v>19.15168270984174</v>
      </c>
      <c r="M62" s="15">
        <v>0.65936632059264411</v>
      </c>
      <c r="N62" s="7">
        <v>65.147996180370598</v>
      </c>
      <c r="O62" s="7">
        <v>0.15872855566535149</v>
      </c>
      <c r="P62" s="7">
        <v>3.4016852287810759</v>
      </c>
      <c r="Q62" s="109">
        <v>5.8724908512526978E-2</v>
      </c>
      <c r="R62" s="109">
        <v>-9.5837863666293176E-3</v>
      </c>
      <c r="S62" s="109">
        <v>9.9858107957586286E-3</v>
      </c>
      <c r="U62" s="134">
        <f>C62*S62</f>
        <v>0.5614391398220373</v>
      </c>
      <c r="V62" s="134">
        <f>(1+S62)*Q62*(1-U62)+S62</f>
        <v>3.599743621569592E-2</v>
      </c>
      <c r="W62" s="134">
        <f>V62+I62/3</f>
        <v>-9.4982844515755172E-2</v>
      </c>
      <c r="X62" s="134">
        <f>V62+I62/5</f>
        <v>-4.2590732223174742E-2</v>
      </c>
      <c r="Y62" s="134"/>
      <c r="AA62" s="134"/>
    </row>
    <row r="63" spans="1:27">
      <c r="A63" t="s">
        <v>253</v>
      </c>
      <c r="B63" t="s">
        <v>32</v>
      </c>
      <c r="C63" s="195">
        <v>-209.86360602770009</v>
      </c>
      <c r="D63" s="100">
        <v>20.7122548340141</v>
      </c>
      <c r="E63" s="13">
        <v>1.098693886119922</v>
      </c>
      <c r="F63" s="100">
        <v>-177.8763037406292</v>
      </c>
      <c r="G63" s="100">
        <v>-0.15241948278944961</v>
      </c>
      <c r="H63" s="13">
        <v>-1.152215308427087</v>
      </c>
      <c r="I63" s="13">
        <v>-1.2086544203804721</v>
      </c>
      <c r="J63" s="13">
        <v>-1.3166180906357181</v>
      </c>
      <c r="K63" s="100">
        <v>-8.5879738911147907</v>
      </c>
      <c r="L63" s="7">
        <v>20.7122548340141</v>
      </c>
      <c r="M63" s="15">
        <v>1.098693886119922</v>
      </c>
      <c r="N63" s="7">
        <v>-177.8763037406292</v>
      </c>
      <c r="O63" s="7">
        <v>-0.15241948278944961</v>
      </c>
      <c r="P63" s="7">
        <v>-8.5879738911147907</v>
      </c>
      <c r="S63" s="109">
        <v>8.6063724104469309E-3</v>
      </c>
      <c r="U63" s="134">
        <f>C63*S63</f>
        <v>-1.8061643488737023</v>
      </c>
      <c r="V63" s="134">
        <f>(1+S63)*R62*(1-U63)+S63</f>
        <v>-1.851876424118673E-2</v>
      </c>
      <c r="W63" s="134">
        <f>V63+I63/3</f>
        <v>-0.4214035710346774</v>
      </c>
      <c r="X63" s="134">
        <f>V63+I63/5</f>
        <v>-0.26024964831728115</v>
      </c>
      <c r="Y63" s="134"/>
      <c r="AA63" s="134"/>
    </row>
    <row r="64" spans="1:27">
      <c r="B64" t="s">
        <v>34</v>
      </c>
      <c r="C64" s="198">
        <v>3.3017311058411849</v>
      </c>
      <c r="D64" s="100">
        <v>1.980485513227876</v>
      </c>
      <c r="E64" s="13">
        <v>0.40016753341174782</v>
      </c>
      <c r="F64" s="100">
        <v>5.6127838871623874</v>
      </c>
      <c r="G64" s="100">
        <v>0.69995184563414425</v>
      </c>
      <c r="H64" s="13">
        <v>-0.25319871610453032</v>
      </c>
      <c r="I64" s="13">
        <v>-7.6757098847050398E-2</v>
      </c>
      <c r="J64" s="13">
        <v>0.1220239073445271</v>
      </c>
      <c r="K64" s="100">
        <v>2.8340444046038211</v>
      </c>
      <c r="L64" s="7">
        <v>1.980485513227876</v>
      </c>
      <c r="M64" s="15">
        <v>0.40016753341174782</v>
      </c>
      <c r="N64" s="7">
        <v>5.1938818633280883</v>
      </c>
      <c r="O64" s="7">
        <v>0.57307839337353839</v>
      </c>
      <c r="P64" s="7">
        <v>2.6225295911722619</v>
      </c>
      <c r="W64" s="134">
        <f>V62+I64/3</f>
        <v>1.0411736600012454E-2</v>
      </c>
      <c r="X64" s="134">
        <f>V62+I64/5</f>
        <v>2.0646016446285841E-2</v>
      </c>
      <c r="Y64" s="134"/>
      <c r="AA64" s="134"/>
    </row>
    <row r="65" spans="1:27">
      <c r="B65" t="s">
        <v>35</v>
      </c>
      <c r="C65" s="195">
        <v>2.0112879662999381</v>
      </c>
      <c r="D65" s="100">
        <v>1.6945286427265731</v>
      </c>
      <c r="E65" s="13">
        <v>0.1574907864417302</v>
      </c>
      <c r="F65" s="100">
        <v>6.126335415685185</v>
      </c>
      <c r="G65" s="100">
        <v>2.0459762691045609</v>
      </c>
      <c r="H65" s="13">
        <v>0.1572424249789304</v>
      </c>
      <c r="I65" s="13">
        <v>0.5222808795833267</v>
      </c>
      <c r="J65" s="13">
        <v>0.93085961023661135</v>
      </c>
      <c r="K65" s="100">
        <v>3.61536256231564</v>
      </c>
      <c r="L65" s="7">
        <v>1.6945286427265731</v>
      </c>
      <c r="M65" s="15">
        <v>0.1574907864417302</v>
      </c>
      <c r="N65" s="7">
        <v>6.126335415685185</v>
      </c>
      <c r="O65" s="7">
        <v>2.0459762691045609</v>
      </c>
      <c r="P65" s="7">
        <v>3.61536256231564</v>
      </c>
      <c r="W65" s="134">
        <f>V63+I65/3</f>
        <v>0.15557486228658884</v>
      </c>
      <c r="X65" s="134">
        <f>V63+I65/5</f>
        <v>8.5937411675478609E-2</v>
      </c>
      <c r="Y65" s="134"/>
      <c r="AA65" s="134"/>
    </row>
    <row r="66" spans="1:27">
      <c r="C66" s="111"/>
      <c r="D66" s="100"/>
      <c r="F66" s="100"/>
      <c r="G66" s="100"/>
      <c r="K66" s="100"/>
      <c r="L66" s="7"/>
      <c r="N66" s="7"/>
      <c r="O66" s="7"/>
      <c r="P66" s="7"/>
      <c r="AA66" s="134"/>
    </row>
    <row r="67" spans="1:27">
      <c r="A67" t="s">
        <v>254</v>
      </c>
      <c r="B67" t="s">
        <v>30</v>
      </c>
      <c r="C67" s="197">
        <v>41.190250910580083</v>
      </c>
      <c r="D67" s="100">
        <v>22.821993958110809</v>
      </c>
      <c r="E67" s="13">
        <v>0.44593700078071691</v>
      </c>
      <c r="F67" s="100">
        <v>154.08561839963059</v>
      </c>
      <c r="G67" s="100">
        <v>2.7408273801034881</v>
      </c>
      <c r="H67" s="13">
        <v>-0.25693933671398778</v>
      </c>
      <c r="I67" s="13">
        <v>0.12568965896669321</v>
      </c>
      <c r="J67" s="13">
        <v>0.60058599381341415</v>
      </c>
      <c r="K67" s="100">
        <v>6.7516282180448748</v>
      </c>
      <c r="L67" s="7">
        <v>22.821993958110809</v>
      </c>
      <c r="M67" s="15">
        <v>0.44593700078071691</v>
      </c>
      <c r="N67" s="7">
        <v>154.08561839963059</v>
      </c>
      <c r="O67" s="7">
        <v>2.7408273801034881</v>
      </c>
      <c r="P67" s="7">
        <v>6.7516282180448748</v>
      </c>
      <c r="Q67" s="109">
        <v>0.1125221814953184</v>
      </c>
      <c r="R67" s="109">
        <v>-0.47616480048452331</v>
      </c>
      <c r="S67" s="109">
        <v>1.1039684394303501E-2</v>
      </c>
      <c r="U67" s="134">
        <f>C67*S67</f>
        <v>0.4547273701749765</v>
      </c>
      <c r="V67" s="134">
        <f>(1+S67)*Q67*(1-U67)+S67</f>
        <v>7.3072292982459264E-2</v>
      </c>
      <c r="W67" s="134">
        <f>V67+I67/3</f>
        <v>0.11496884597135701</v>
      </c>
      <c r="X67" s="134">
        <f>V67+I67/5</f>
        <v>9.8210224775797911E-2</v>
      </c>
      <c r="Y67" s="134"/>
      <c r="AA67" s="134"/>
    </row>
    <row r="68" spans="1:27">
      <c r="A68" t="s">
        <v>255</v>
      </c>
      <c r="B68" t="s">
        <v>32</v>
      </c>
      <c r="C68" s="195">
        <v>-5.7402634731836466</v>
      </c>
      <c r="D68" s="100">
        <v>29.856848440933149</v>
      </c>
      <c r="E68" s="13">
        <v>6.2013027939245502</v>
      </c>
      <c r="F68" s="100">
        <v>-5.6753208350742783</v>
      </c>
      <c r="G68" s="100">
        <v>-1.131352914596284E-2</v>
      </c>
      <c r="H68" s="13">
        <v>-10.715606512098701</v>
      </c>
      <c r="I68" s="13">
        <v>-13.83106855526716</v>
      </c>
      <c r="J68" s="13">
        <v>-27.300348377311249</v>
      </c>
      <c r="K68" s="100">
        <v>-0.19008439039712999</v>
      </c>
      <c r="L68" s="7">
        <v>42.179223431167941</v>
      </c>
      <c r="M68" s="15">
        <v>8.3479594844754796</v>
      </c>
      <c r="N68" s="7">
        <v>-5.6753208350742783</v>
      </c>
      <c r="O68" s="7">
        <v>-1.131352914596284E-2</v>
      </c>
      <c r="P68" s="7">
        <v>-0.13455252072944879</v>
      </c>
      <c r="S68" s="109">
        <v>7.3158990839271203E-3</v>
      </c>
      <c r="U68" s="134">
        <f>C68*S68</f>
        <v>-4.1995188284964548E-2</v>
      </c>
      <c r="V68" s="134">
        <f>(1+S68)*R67*(1-U68)+S68</f>
        <v>-0.49247539880967761</v>
      </c>
      <c r="W68" s="134">
        <f>V68+I68/3</f>
        <v>-5.1028315838987313</v>
      </c>
      <c r="X68" s="134">
        <f>V68+I68/5</f>
        <v>-3.2586891098631097</v>
      </c>
      <c r="Y68" s="134"/>
      <c r="AA68" s="134"/>
    </row>
    <row r="69" spans="1:27">
      <c r="B69" t="s">
        <v>34</v>
      </c>
      <c r="C69" s="196">
        <v>4.6348168887979933</v>
      </c>
      <c r="D69" s="100">
        <v>2.3530227602967688</v>
      </c>
      <c r="E69" s="13">
        <v>0.49231591738093272</v>
      </c>
      <c r="F69" s="100">
        <v>6.9335666169007579</v>
      </c>
      <c r="G69" s="100">
        <v>0.49597422794817869</v>
      </c>
      <c r="H69" s="13">
        <v>-0.34636326515889088</v>
      </c>
      <c r="I69" s="13">
        <v>-0.20871742289763071</v>
      </c>
      <c r="J69" s="13">
        <v>-2.6768642489813921E-3</v>
      </c>
      <c r="K69" s="100">
        <v>2.9466636421427048</v>
      </c>
      <c r="L69" s="7">
        <v>2.3530227602967688</v>
      </c>
      <c r="M69" s="15">
        <v>0.49231591738093272</v>
      </c>
      <c r="N69" s="7">
        <v>6.9335666169007579</v>
      </c>
      <c r="O69" s="7">
        <v>0.49597422794817869</v>
      </c>
      <c r="P69" s="7">
        <v>2.9466636421427048</v>
      </c>
      <c r="W69" s="134">
        <f>V67+I69/3</f>
        <v>3.4998186832490286E-3</v>
      </c>
      <c r="X69" s="134">
        <f>V67+I69/5</f>
        <v>3.1328808402933124E-2</v>
      </c>
      <c r="Y69" s="134"/>
      <c r="AA69" s="134"/>
    </row>
    <row r="70" spans="1:27">
      <c r="B70" t="s">
        <v>35</v>
      </c>
      <c r="C70" s="197">
        <v>2.733311411437088</v>
      </c>
      <c r="D70" s="100">
        <v>1.786325389142158</v>
      </c>
      <c r="E70" s="13">
        <v>0.34646107952881777</v>
      </c>
      <c r="F70" s="100">
        <v>7.5081624935324056</v>
      </c>
      <c r="G70" s="100">
        <v>1.7469107479359089</v>
      </c>
      <c r="H70" s="13">
        <v>-4.1839767714090259E-3</v>
      </c>
      <c r="I70" s="13">
        <v>0.20546597107160711</v>
      </c>
      <c r="J70" s="13">
        <v>0.60085010780241688</v>
      </c>
      <c r="K70" s="100">
        <v>4.2031326090808294</v>
      </c>
      <c r="L70" s="7">
        <v>1.786325389142158</v>
      </c>
      <c r="M70" s="15">
        <v>0.34646107952881777</v>
      </c>
      <c r="N70" s="7">
        <v>7.5081624935324056</v>
      </c>
      <c r="O70" s="7">
        <v>1.7469107479359089</v>
      </c>
      <c r="P70" s="7">
        <v>4.2031326090808294</v>
      </c>
      <c r="W70" s="134">
        <f>V68+I70/3</f>
        <v>-0.42398674178580859</v>
      </c>
      <c r="X70" s="134">
        <f>V68+I70/5</f>
        <v>-0.45138220459535616</v>
      </c>
      <c r="Y70" s="134"/>
      <c r="AA70" s="134"/>
    </row>
    <row r="71" spans="1:27">
      <c r="C71" s="111"/>
      <c r="D71" s="100"/>
      <c r="F71" s="100"/>
      <c r="G71" s="100"/>
      <c r="K71" s="100"/>
      <c r="L71" s="7"/>
      <c r="N71" s="7"/>
      <c r="O71" s="7"/>
      <c r="P71" s="7"/>
      <c r="AA71" s="134"/>
    </row>
    <row r="72" spans="1:27">
      <c r="A72" t="s">
        <v>256</v>
      </c>
      <c r="B72" t="s">
        <v>30</v>
      </c>
      <c r="C72" s="198">
        <v>34.741358305717803</v>
      </c>
      <c r="D72" s="100">
        <v>16.584086997022698</v>
      </c>
      <c r="E72" s="13">
        <v>0.52264137599095373</v>
      </c>
      <c r="F72" s="100">
        <v>50.57080719257425</v>
      </c>
      <c r="G72" s="100">
        <v>0.45563701763068959</v>
      </c>
      <c r="H72" s="13">
        <v>-0.34728781231634981</v>
      </c>
      <c r="I72" s="13">
        <v>-9.9956861255931284E-2</v>
      </c>
      <c r="J72" s="13">
        <v>2.5032955300510858E-2</v>
      </c>
      <c r="K72" s="100">
        <v>3.0493573267948419</v>
      </c>
      <c r="L72" s="7">
        <v>22.71744678051407</v>
      </c>
      <c r="M72" s="15">
        <v>0.34609791072057228</v>
      </c>
      <c r="N72" s="7">
        <v>42.250474111637502</v>
      </c>
      <c r="O72" s="7">
        <v>0.21614341442383481</v>
      </c>
      <c r="P72" s="7">
        <v>1.859824940709355</v>
      </c>
      <c r="Q72" s="109">
        <v>0.18745735070010969</v>
      </c>
      <c r="R72" s="109">
        <v>-2.0186319123850091E-2</v>
      </c>
      <c r="S72" s="109">
        <v>1.435974341402178E-2</v>
      </c>
      <c r="U72" s="134">
        <f>C72*S72</f>
        <v>0.49887699112470207</v>
      </c>
      <c r="V72" s="134">
        <f>(1+S72)*Q72*(1-U72)+S72</f>
        <v>0.10964787772081686</v>
      </c>
      <c r="W72" s="134">
        <f>V72+I72/3</f>
        <v>7.6328923968839751E-2</v>
      </c>
      <c r="X72" s="134">
        <f>V72+I72/5</f>
        <v>8.9656505469630596E-2</v>
      </c>
      <c r="Y72" s="134"/>
      <c r="AA72" s="134"/>
    </row>
    <row r="73" spans="1:27">
      <c r="A73" t="s">
        <v>257</v>
      </c>
      <c r="B73" t="s">
        <v>32</v>
      </c>
      <c r="C73" s="195">
        <v>-151.1881771742016</v>
      </c>
      <c r="D73" s="100">
        <v>34.356275503094551</v>
      </c>
      <c r="E73" s="13">
        <v>1.2272418131181559</v>
      </c>
      <c r="F73" s="100">
        <v>-31.37878348679191</v>
      </c>
      <c r="G73" s="100">
        <v>-0.79245213433166306</v>
      </c>
      <c r="H73" s="13">
        <v>-1.35622449634455</v>
      </c>
      <c r="I73" s="13">
        <v>-1.438557144620255</v>
      </c>
      <c r="J73" s="13">
        <v>-1.7461291257191729</v>
      </c>
      <c r="K73" s="100">
        <v>-0.91333484282851174</v>
      </c>
      <c r="L73" s="7">
        <v>47.242180911165804</v>
      </c>
      <c r="M73" s="15">
        <v>1.3124727197202239</v>
      </c>
      <c r="N73" s="7">
        <v>-31.37878348679191</v>
      </c>
      <c r="O73" s="7">
        <v>-0.79245213433166306</v>
      </c>
      <c r="P73" s="7">
        <v>-0.66421115371021033</v>
      </c>
      <c r="S73" s="109">
        <v>1.062310713598244E-2</v>
      </c>
      <c r="U73" s="134">
        <f>C73*S73</f>
        <v>-1.6060882038154385</v>
      </c>
      <c r="V73" s="134">
        <f>(1+S73)*R72*(1-U73)+S73</f>
        <v>-4.2543074294181908E-2</v>
      </c>
      <c r="W73" s="134">
        <f>V73+I73/3</f>
        <v>-0.52206212250093353</v>
      </c>
      <c r="X73" s="134">
        <f>V73+I73/5</f>
        <v>-0.33025450321823291</v>
      </c>
      <c r="Y73" s="134"/>
      <c r="AA73" s="134"/>
    </row>
    <row r="74" spans="1:27">
      <c r="B74" t="s">
        <v>34</v>
      </c>
      <c r="C74" s="196">
        <v>6.512522987713111</v>
      </c>
      <c r="D74" s="100">
        <v>2.9506405932526061</v>
      </c>
      <c r="E74" s="13">
        <v>0.54692818761339512</v>
      </c>
      <c r="F74" s="100">
        <v>9.0483176147802524</v>
      </c>
      <c r="G74" s="100">
        <v>0.38937208081281449</v>
      </c>
      <c r="H74" s="13">
        <v>-0.40486140019753353</v>
      </c>
      <c r="I74" s="13">
        <v>-0.24312903185314311</v>
      </c>
      <c r="J74" s="13">
        <v>-1.9564844871731161E-2</v>
      </c>
      <c r="K74" s="100">
        <v>3.0665604057205562</v>
      </c>
      <c r="L74" s="7">
        <v>3.484233873149202</v>
      </c>
      <c r="M74" s="15">
        <v>0.46499476781536858</v>
      </c>
      <c r="N74" s="7">
        <v>6.8100069527474982</v>
      </c>
      <c r="O74" s="7">
        <v>4.5678758538839181E-2</v>
      </c>
      <c r="P74" s="7">
        <v>1.954520620796421</v>
      </c>
      <c r="W74" s="134">
        <f>V72+I74/3</f>
        <v>2.8604867103102491E-2</v>
      </c>
      <c r="X74" s="134">
        <f>V72+I74/5</f>
        <v>6.1022071350188237E-2</v>
      </c>
      <c r="Y74" s="134"/>
      <c r="AA74" s="134"/>
    </row>
    <row r="75" spans="1:27">
      <c r="B75" t="s">
        <v>35</v>
      </c>
      <c r="C75" s="197">
        <v>3.0519327921916219</v>
      </c>
      <c r="D75" s="100">
        <v>2.280923785794843</v>
      </c>
      <c r="E75" s="13">
        <v>0.25262974609709882</v>
      </c>
      <c r="F75" s="100">
        <v>6.6385866397942133</v>
      </c>
      <c r="G75" s="100">
        <v>1.17520734951276</v>
      </c>
      <c r="H75" s="13">
        <v>-5.0372917331754308E-2</v>
      </c>
      <c r="I75" s="13">
        <v>0.14071092576533009</v>
      </c>
      <c r="J75" s="13">
        <v>0.42074256172405572</v>
      </c>
      <c r="K75" s="100">
        <v>2.9104815694141388</v>
      </c>
      <c r="L75" s="7">
        <v>2.280923785794843</v>
      </c>
      <c r="M75" s="15">
        <v>0.25262974609709882</v>
      </c>
      <c r="N75" s="7">
        <v>6.5587362017387436</v>
      </c>
      <c r="O75" s="7">
        <v>1.1490434581388189</v>
      </c>
      <c r="P75" s="7">
        <v>2.8754736315984339</v>
      </c>
      <c r="W75" s="134">
        <f>V73+I75/3</f>
        <v>4.3605676275947913E-3</v>
      </c>
      <c r="X75" s="134">
        <f>V73+I75/5</f>
        <v>-1.440088914111589E-2</v>
      </c>
      <c r="Y75" s="134"/>
      <c r="AA75" s="134"/>
    </row>
    <row r="76" spans="1:27">
      <c r="C76" s="111"/>
      <c r="D76" s="100"/>
      <c r="F76" s="100"/>
      <c r="G76" s="100"/>
      <c r="K76" s="100"/>
      <c r="L76" s="7"/>
      <c r="N76" s="7"/>
      <c r="O76" s="7"/>
      <c r="P76" s="7"/>
      <c r="AA76" s="134"/>
    </row>
    <row r="77" spans="1:27">
      <c r="A77" t="s">
        <v>258</v>
      </c>
      <c r="B77" t="s">
        <v>30</v>
      </c>
      <c r="C77" s="198">
        <v>63.802656354374463</v>
      </c>
      <c r="D77" s="100">
        <v>22.511268585714198</v>
      </c>
      <c r="E77" s="13">
        <v>0.64717348975751898</v>
      </c>
      <c r="F77" s="100">
        <v>-110.039681696467</v>
      </c>
      <c r="G77" s="100">
        <v>-2.7246880926913382</v>
      </c>
      <c r="H77" s="13">
        <v>-0.33098541997138931</v>
      </c>
      <c r="I77" s="13">
        <v>-0.18320284189482011</v>
      </c>
      <c r="J77" s="13">
        <v>0.59967621019712025</v>
      </c>
      <c r="K77" s="100">
        <v>-4.8882043798410759</v>
      </c>
      <c r="L77" s="7">
        <v>22.511268585714198</v>
      </c>
      <c r="M77" s="15">
        <v>0.64717348975751898</v>
      </c>
      <c r="N77" s="7">
        <v>216.49017276332401</v>
      </c>
      <c r="O77" s="7">
        <v>2.3931216211577202</v>
      </c>
      <c r="P77" s="7">
        <v>9.6169690277121944</v>
      </c>
      <c r="Q77" s="109">
        <v>5.5883764361190892E-2</v>
      </c>
      <c r="R77" s="109">
        <v>1.452600776085539E-2</v>
      </c>
      <c r="S77" s="109">
        <v>5.4965155161511049E-3</v>
      </c>
      <c r="U77" s="134">
        <f>C77*S77</f>
        <v>0.35069229062347612</v>
      </c>
      <c r="V77" s="134">
        <f>(1+S77)*Q77*(1-U77)+S77</f>
        <v>4.1981719782369961E-2</v>
      </c>
      <c r="W77" s="134">
        <f>V77+I77/3</f>
        <v>-1.9085894182570076E-2</v>
      </c>
      <c r="X77" s="134">
        <f>V77+I77/5</f>
        <v>5.341151403405936E-3</v>
      </c>
      <c r="Y77" s="134"/>
      <c r="AA77" s="134"/>
    </row>
    <row r="78" spans="1:27">
      <c r="A78" t="s">
        <v>259</v>
      </c>
      <c r="B78" t="s">
        <v>32</v>
      </c>
      <c r="C78" s="198">
        <v>143.80400752841331</v>
      </c>
      <c r="D78" s="100">
        <v>24.22639705637404</v>
      </c>
      <c r="E78" s="13">
        <v>0.83153183647133555</v>
      </c>
      <c r="F78" s="100">
        <v>-38.646101688503563</v>
      </c>
      <c r="G78" s="100">
        <v>-1.2687414791334499</v>
      </c>
      <c r="H78" s="13">
        <v>-0.651537084755615</v>
      </c>
      <c r="I78" s="13">
        <v>-0.26750934455027853</v>
      </c>
      <c r="J78" s="13">
        <v>7.9186002004019453</v>
      </c>
      <c r="K78" s="100">
        <v>-1.595206319725353</v>
      </c>
      <c r="L78" s="7">
        <v>24.22639705637404</v>
      </c>
      <c r="M78" s="15">
        <v>0.83153183647133555</v>
      </c>
      <c r="N78" s="7">
        <v>1300.253003797842</v>
      </c>
      <c r="O78" s="7">
        <v>8.0418412264410186</v>
      </c>
      <c r="P78" s="7">
        <v>53.67091940135365</v>
      </c>
      <c r="S78" s="109">
        <v>9.8585503121118578E-3</v>
      </c>
      <c r="U78" s="134">
        <f>C78*S78</f>
        <v>1.417699043302175</v>
      </c>
      <c r="V78" s="134">
        <f>(1+S78)*R77*(1-U78)+S78</f>
        <v>3.7312340178723606E-3</v>
      </c>
      <c r="W78" s="134">
        <f>V78+I78/3</f>
        <v>-8.5438547498887157E-2</v>
      </c>
      <c r="X78" s="134">
        <f>V78+I78/5</f>
        <v>-4.9770634892183342E-2</v>
      </c>
      <c r="Y78" s="134"/>
      <c r="AA78" s="134"/>
    </row>
    <row r="79" spans="1:27">
      <c r="B79" t="s">
        <v>34</v>
      </c>
      <c r="C79" s="197">
        <v>3.5655326133259009</v>
      </c>
      <c r="D79" s="100">
        <v>2.2669298712664538</v>
      </c>
      <c r="E79" s="13">
        <v>0.36421003055925499</v>
      </c>
      <c r="F79" s="100">
        <v>7.8774640362611308</v>
      </c>
      <c r="G79" s="100">
        <v>1.2093372549222301</v>
      </c>
      <c r="H79" s="13">
        <v>-7.0417934599226295E-2</v>
      </c>
      <c r="I79" s="13">
        <v>9.2678452151995439E-2</v>
      </c>
      <c r="J79" s="13">
        <v>0.27280242725921022</v>
      </c>
      <c r="K79" s="100">
        <v>3.4749482708348038</v>
      </c>
      <c r="L79" s="7">
        <v>2.2669298712664538</v>
      </c>
      <c r="M79" s="15">
        <v>0.36421003055925499</v>
      </c>
      <c r="N79" s="7">
        <v>7.8774640362611308</v>
      </c>
      <c r="O79" s="7">
        <v>1.2093372549222301</v>
      </c>
      <c r="P79" s="7">
        <v>3.4749482708348038</v>
      </c>
      <c r="W79" s="134">
        <f>V77+I79/3</f>
        <v>7.2874537166368436E-2</v>
      </c>
      <c r="X79" s="134">
        <f>V77+I79/5</f>
        <v>6.0517410212769046E-2</v>
      </c>
      <c r="Y79" s="134"/>
      <c r="AA79" s="134"/>
    </row>
    <row r="80" spans="1:27">
      <c r="B80" t="s">
        <v>35</v>
      </c>
      <c r="C80" s="195">
        <v>2.0888981293998392</v>
      </c>
      <c r="D80" s="100">
        <v>1.912708557911005</v>
      </c>
      <c r="E80" s="13">
        <v>8.4345698341667941E-2</v>
      </c>
      <c r="F80" s="100">
        <v>7.5943334674503076</v>
      </c>
      <c r="G80" s="100">
        <v>2.6355690881068652</v>
      </c>
      <c r="H80" s="13">
        <v>0.20743164551547699</v>
      </c>
      <c r="I80" s="13">
        <v>0.54669949229203252</v>
      </c>
      <c r="J80" s="13">
        <v>0.9512836546293284</v>
      </c>
      <c r="K80" s="100">
        <v>3.9704603380582859</v>
      </c>
      <c r="L80" s="7">
        <v>1.912708557911005</v>
      </c>
      <c r="M80" s="15">
        <v>8.4345698341667941E-2</v>
      </c>
      <c r="N80" s="7">
        <v>7.5943334674503076</v>
      </c>
      <c r="O80" s="7">
        <v>2.6355690881068652</v>
      </c>
      <c r="P80" s="7">
        <v>3.9704603380582859</v>
      </c>
      <c r="W80" s="134">
        <f>V78+I80/3</f>
        <v>0.18596439811521653</v>
      </c>
      <c r="X80" s="134">
        <f>V78+I80/5</f>
        <v>0.11307113247627885</v>
      </c>
      <c r="Y80" s="134"/>
      <c r="AA80" s="134"/>
    </row>
    <row r="81" spans="1:27">
      <c r="C81" s="111"/>
      <c r="D81" s="100"/>
      <c r="F81" s="100"/>
      <c r="G81" s="100"/>
      <c r="K81" s="100"/>
      <c r="L81" s="7"/>
      <c r="N81" s="7"/>
      <c r="O81" s="7"/>
      <c r="P81" s="7"/>
      <c r="AA81" s="134"/>
    </row>
    <row r="82" spans="1:27">
      <c r="A82" s="184" t="s">
        <v>260</v>
      </c>
      <c r="B82" t="s">
        <v>30</v>
      </c>
      <c r="C82" s="198">
        <v>66.831524801776538</v>
      </c>
      <c r="D82" s="100">
        <v>29.31754264590483</v>
      </c>
      <c r="E82" s="13">
        <v>0.56132165571769943</v>
      </c>
      <c r="F82" s="100">
        <v>147.75567260956191</v>
      </c>
      <c r="G82" s="100">
        <v>1.2108678957693659</v>
      </c>
      <c r="H82" s="13">
        <v>-0.28063185942712932</v>
      </c>
      <c r="I82" s="13">
        <v>-3.2524256175226363E-2</v>
      </c>
      <c r="J82" s="13">
        <v>0.1250727594029277</v>
      </c>
      <c r="K82" s="100">
        <v>5.0398382427253283</v>
      </c>
      <c r="L82" s="7">
        <v>41.180734825003491</v>
      </c>
      <c r="M82" s="15">
        <v>0.38381272988838327</v>
      </c>
      <c r="N82" s="7">
        <v>147.75567260956191</v>
      </c>
      <c r="O82" s="7">
        <v>1.2108678957693659</v>
      </c>
      <c r="P82" s="7">
        <v>3.5879804777026432</v>
      </c>
      <c r="Q82" s="109">
        <v>0.1234396835298644</v>
      </c>
      <c r="R82" s="109">
        <v>4.3377946210086393E-2</v>
      </c>
      <c r="S82" s="109">
        <v>4.6047893283456343E-3</v>
      </c>
      <c r="U82" s="134">
        <f>C82*S82</f>
        <v>0.3077450922042872</v>
      </c>
      <c r="V82" s="134">
        <f>(1+S82)*Q82*(1-U82)+S82</f>
        <v>9.0450003268026311E-2</v>
      </c>
      <c r="W82" s="134">
        <f>V82+I82/3</f>
        <v>7.9608584542950861E-2</v>
      </c>
      <c r="X82" s="134">
        <f>V82+I82/5</f>
        <v>8.3945152032981044E-2</v>
      </c>
      <c r="Y82" s="134"/>
      <c r="AA82" s="134"/>
    </row>
    <row r="83" spans="1:27">
      <c r="A83" t="s">
        <v>261</v>
      </c>
      <c r="B83" t="s">
        <v>32</v>
      </c>
      <c r="C83" s="196">
        <v>88.316585665120726</v>
      </c>
      <c r="D83" s="100">
        <v>32.049869065778282</v>
      </c>
      <c r="E83" s="13">
        <v>0.63710248959006255</v>
      </c>
      <c r="F83" s="100">
        <v>160.76849218149451</v>
      </c>
      <c r="G83" s="100">
        <v>0.82036580072396892</v>
      </c>
      <c r="H83" s="13">
        <v>-0.40190717109775981</v>
      </c>
      <c r="I83" s="13">
        <v>-0.21615324007785211</v>
      </c>
      <c r="J83" s="13">
        <v>-8.3133928835428472E-2</v>
      </c>
      <c r="K83" s="100">
        <v>5.0161980958966659</v>
      </c>
      <c r="L83" s="7">
        <v>43.165626956610517</v>
      </c>
      <c r="M83" s="15">
        <v>0.51123985793239146</v>
      </c>
      <c r="N83" s="7">
        <v>160.76849218149451</v>
      </c>
      <c r="O83" s="7">
        <v>0.82036580072396892</v>
      </c>
      <c r="P83" s="7">
        <v>3.724456321301592</v>
      </c>
      <c r="S83" s="109">
        <v>4.3047852136545309E-3</v>
      </c>
      <c r="U83" s="134">
        <f>C83*S83</f>
        <v>0.3801839320916654</v>
      </c>
      <c r="V83" s="134">
        <f>(1+S83)*R82*(1-U83)+S83</f>
        <v>3.130687322108102E-2</v>
      </c>
      <c r="W83" s="134">
        <f>V83+I83/3</f>
        <v>-4.0744206804869683E-2</v>
      </c>
      <c r="X83" s="134">
        <f>V83+I83/5</f>
        <v>-1.1923774794489403E-2</v>
      </c>
      <c r="Y83" s="134"/>
      <c r="AA83" s="134"/>
    </row>
    <row r="84" spans="1:27">
      <c r="B84" t="s">
        <v>34</v>
      </c>
      <c r="C84" s="196">
        <v>8.2496622713495782</v>
      </c>
      <c r="D84" s="100">
        <v>3.2099055607746072</v>
      </c>
      <c r="E84" s="13">
        <v>0.61090460976537742</v>
      </c>
      <c r="F84" s="100">
        <v>17.246526048314841</v>
      </c>
      <c r="G84" s="100">
        <v>1.090573587261948</v>
      </c>
      <c r="H84" s="13">
        <v>-0.36475237693282908</v>
      </c>
      <c r="I84" s="13">
        <v>-0.19933122527807021</v>
      </c>
      <c r="J84" s="13">
        <v>-1.1601981387013519E-2</v>
      </c>
      <c r="K84" s="100">
        <v>5.37290762042013</v>
      </c>
      <c r="L84" s="7">
        <v>4.3082723491279564</v>
      </c>
      <c r="M84" s="15">
        <v>0.47776379112024447</v>
      </c>
      <c r="N84" s="7">
        <v>17.246526048314841</v>
      </c>
      <c r="O84" s="7">
        <v>1.090573587261948</v>
      </c>
      <c r="P84" s="7">
        <v>4.0031188027854672</v>
      </c>
      <c r="W84" s="134">
        <f>V82+I84/3</f>
        <v>2.400626150866958E-2</v>
      </c>
      <c r="X84" s="134">
        <f>V82+I84/5</f>
        <v>5.0583758212412268E-2</v>
      </c>
      <c r="Y84" s="134"/>
      <c r="AA84" s="134"/>
    </row>
    <row r="85" spans="1:27">
      <c r="B85" t="s">
        <v>35</v>
      </c>
      <c r="C85" s="197">
        <v>3.8309921024400939</v>
      </c>
      <c r="D85" s="100">
        <v>2.5556821285800519</v>
      </c>
      <c r="E85" s="13">
        <v>0.33289287468062179</v>
      </c>
      <c r="F85" s="100">
        <v>15.96427946892511</v>
      </c>
      <c r="G85" s="100">
        <v>3.167139749193661</v>
      </c>
      <c r="H85" s="13">
        <v>-6.5141857484445675E-2</v>
      </c>
      <c r="I85" s="13">
        <v>0.31446127917849459</v>
      </c>
      <c r="J85" s="13">
        <v>0.80371186408937256</v>
      </c>
      <c r="K85" s="100">
        <v>6.2465825817684646</v>
      </c>
      <c r="L85" s="7">
        <v>2.5556821285800519</v>
      </c>
      <c r="M85" s="15">
        <v>0.33289287468062179</v>
      </c>
      <c r="N85" s="7">
        <v>15.96427946892511</v>
      </c>
      <c r="O85" s="7">
        <v>3.167139749193661</v>
      </c>
      <c r="P85" s="7">
        <v>6.2465825817684646</v>
      </c>
      <c r="W85" s="134">
        <f>V83+I85/3</f>
        <v>0.13612729961391254</v>
      </c>
      <c r="X85" s="134">
        <f>V83+I85/5</f>
        <v>9.4199129056779934E-2</v>
      </c>
      <c r="Y85" s="134"/>
      <c r="AA85" s="134"/>
    </row>
    <row r="86" spans="1:27">
      <c r="C86" s="111"/>
      <c r="D86" s="100"/>
      <c r="F86" s="100"/>
      <c r="G86" s="100"/>
      <c r="K86" s="100"/>
      <c r="L86" s="7"/>
      <c r="N86" s="7"/>
      <c r="O86" s="7"/>
      <c r="P86" s="7"/>
      <c r="AA86" s="134"/>
    </row>
    <row r="87" spans="1:27">
      <c r="A87" s="184" t="s">
        <v>262</v>
      </c>
      <c r="B87" t="s">
        <v>30</v>
      </c>
      <c r="C87" s="198">
        <v>37.849327476130092</v>
      </c>
      <c r="D87" s="100">
        <v>21.158447418205881</v>
      </c>
      <c r="E87" s="13">
        <v>0.44098220948444627</v>
      </c>
      <c r="F87" s="100">
        <v>70.11730559981963</v>
      </c>
      <c r="G87" s="100">
        <v>0.85253768759932491</v>
      </c>
      <c r="H87" s="13">
        <v>-0.1822607191577752</v>
      </c>
      <c r="I87" s="13">
        <v>-7.0338357400260287E-2</v>
      </c>
      <c r="J87" s="13">
        <v>2.5154395354196168E-2</v>
      </c>
      <c r="K87" s="100">
        <v>3.3139154406710811</v>
      </c>
      <c r="L87" s="7">
        <v>21.158447418205881</v>
      </c>
      <c r="M87" s="15">
        <v>0.44098220948444627</v>
      </c>
      <c r="N87" s="7">
        <v>70.11730559981963</v>
      </c>
      <c r="O87" s="7">
        <v>0.85253768759932491</v>
      </c>
      <c r="P87" s="7">
        <v>3.3139154406710811</v>
      </c>
      <c r="Q87" s="109">
        <v>8.2223234548582838E-2</v>
      </c>
      <c r="R87" s="109">
        <v>5.2810669694051723E-2</v>
      </c>
      <c r="S87" s="109">
        <v>1.126037277787862E-2</v>
      </c>
      <c r="U87" s="134">
        <f>C87*S87</f>
        <v>0.42619753677322858</v>
      </c>
      <c r="V87" s="134">
        <f>(1+S87)*Q87*(1-U87)+S87</f>
        <v>5.8971530496226755E-2</v>
      </c>
      <c r="W87" s="134">
        <f>V87+I87/3</f>
        <v>3.552541136280666E-2</v>
      </c>
      <c r="X87" s="134">
        <f>V87+I87/5</f>
        <v>4.4903859016174698E-2</v>
      </c>
      <c r="Y87" s="134"/>
      <c r="AA87" s="134"/>
    </row>
    <row r="88" spans="1:27">
      <c r="A88" t="s">
        <v>263</v>
      </c>
      <c r="B88" t="s">
        <v>32</v>
      </c>
      <c r="C88" s="197">
        <v>43.884344635391052</v>
      </c>
      <c r="D88" s="100">
        <v>22.643671925581788</v>
      </c>
      <c r="E88" s="13">
        <v>0.4840148095245671</v>
      </c>
      <c r="F88" s="100">
        <v>97.550885770182219</v>
      </c>
      <c r="G88" s="100">
        <v>1.2229085698026161</v>
      </c>
      <c r="H88" s="13">
        <v>-0.148939125492624</v>
      </c>
      <c r="I88" s="13">
        <v>2.547276573979795E-2</v>
      </c>
      <c r="J88" s="13">
        <v>0.18383625720947519</v>
      </c>
      <c r="K88" s="100">
        <v>4.3080859893564201</v>
      </c>
      <c r="L88" s="7">
        <v>22.643671925581788</v>
      </c>
      <c r="M88" s="15">
        <v>0.4840148095245671</v>
      </c>
      <c r="N88" s="7">
        <v>97.550885770182219</v>
      </c>
      <c r="O88" s="7">
        <v>1.2229085698026161</v>
      </c>
      <c r="P88" s="7">
        <v>4.3080859893564201</v>
      </c>
      <c r="S88" s="109">
        <v>1.089476149630805E-2</v>
      </c>
      <c r="U88" s="134">
        <f>C88*S88</f>
        <v>0.47810946822437117</v>
      </c>
      <c r="V88" s="134">
        <f>(1+S88)*R87*(1-U88)+S88</f>
        <v>3.875642474047003E-2</v>
      </c>
      <c r="W88" s="134">
        <f>V88+I88/3</f>
        <v>4.7247346653736012E-2</v>
      </c>
      <c r="X88" s="134">
        <f>V88+I88/5</f>
        <v>4.3850977888429621E-2</v>
      </c>
      <c r="Y88" s="134"/>
      <c r="AA88" s="134"/>
    </row>
    <row r="89" spans="1:27">
      <c r="B89" t="s">
        <v>34</v>
      </c>
      <c r="C89" s="195">
        <v>3.112094130575966</v>
      </c>
      <c r="D89" s="100">
        <v>2.3901009180913602</v>
      </c>
      <c r="E89" s="13">
        <v>0.2319959429861409</v>
      </c>
      <c r="F89" s="100">
        <v>7.4450569963436664</v>
      </c>
      <c r="G89" s="100">
        <v>1.3922981387988369</v>
      </c>
      <c r="H89" s="13">
        <v>8.4770221288773095E-2</v>
      </c>
      <c r="I89" s="13">
        <v>0.27765713954259602</v>
      </c>
      <c r="J89" s="13">
        <v>0.49826288872127938</v>
      </c>
      <c r="K89" s="100">
        <v>3.11495507992566</v>
      </c>
      <c r="L89" s="7">
        <v>2.3901009180913602</v>
      </c>
      <c r="M89" s="15">
        <v>0.2319959429861409</v>
      </c>
      <c r="N89" s="7">
        <v>7.4450569963436664</v>
      </c>
      <c r="O89" s="7">
        <v>1.3922981387988369</v>
      </c>
      <c r="P89" s="7">
        <v>3.11495507992566</v>
      </c>
      <c r="W89" s="134">
        <f>V87+I89/3</f>
        <v>0.15152391034375876</v>
      </c>
      <c r="X89" s="134">
        <f>V87+I89/5</f>
        <v>0.11450295840474596</v>
      </c>
      <c r="Y89" s="134"/>
      <c r="AA89" s="134"/>
    </row>
    <row r="90" spans="1:27">
      <c r="B90" t="s">
        <v>35</v>
      </c>
      <c r="C90" s="195">
        <v>2.3175616292795671</v>
      </c>
      <c r="D90" s="100">
        <v>1.939108565908235</v>
      </c>
      <c r="E90" s="13">
        <v>0.16329795013433021</v>
      </c>
      <c r="F90" s="100">
        <v>7.5908830488552654</v>
      </c>
      <c r="G90" s="100">
        <v>2.2753748392076001</v>
      </c>
      <c r="H90" s="13">
        <v>0.30636478736028327</v>
      </c>
      <c r="I90" s="13">
        <v>0.55225054044940469</v>
      </c>
      <c r="J90" s="13">
        <v>0.98475353389574849</v>
      </c>
      <c r="K90" s="100">
        <v>3.914625092329405</v>
      </c>
      <c r="L90" s="7">
        <v>1.939108565908235</v>
      </c>
      <c r="M90" s="15">
        <v>0.16329795013433021</v>
      </c>
      <c r="N90" s="7">
        <v>7.5908830488552654</v>
      </c>
      <c r="O90" s="7">
        <v>2.2753748392076001</v>
      </c>
      <c r="P90" s="7">
        <v>3.914625092329405</v>
      </c>
      <c r="W90" s="134">
        <f>V88+I90/3</f>
        <v>0.22283993822360493</v>
      </c>
      <c r="X90" s="134">
        <f>V88+I90/5</f>
        <v>0.14920653283035096</v>
      </c>
      <c r="Y90" s="134"/>
      <c r="AA90" s="134"/>
    </row>
    <row r="91" spans="1:27">
      <c r="C91" s="111"/>
      <c r="D91" s="100"/>
      <c r="F91" s="100"/>
      <c r="G91" s="100"/>
      <c r="K91" s="100"/>
      <c r="L91" s="7"/>
      <c r="N91" s="7"/>
      <c r="O91" s="7"/>
      <c r="P91" s="7"/>
      <c r="AA91" s="134"/>
    </row>
    <row r="92" spans="1:27">
      <c r="A92" t="s">
        <v>264</v>
      </c>
      <c r="B92" t="s">
        <v>30</v>
      </c>
      <c r="C92" s="196">
        <v>76.269810285490834</v>
      </c>
      <c r="D92" s="100">
        <v>30.229346071335989</v>
      </c>
      <c r="E92" s="13">
        <v>0.60365253357544191</v>
      </c>
      <c r="F92" s="100">
        <v>110.2455378571029</v>
      </c>
      <c r="G92" s="100">
        <v>0.44546757680968629</v>
      </c>
      <c r="H92" s="13">
        <v>-0.4089844542328902</v>
      </c>
      <c r="I92" s="13">
        <v>-0.30622420332007261</v>
      </c>
      <c r="J92" s="13">
        <v>-0.1123595081772545</v>
      </c>
      <c r="K92" s="100">
        <v>3.6469706488834608</v>
      </c>
      <c r="L92" s="7">
        <v>41.260065382884548</v>
      </c>
      <c r="M92" s="15">
        <v>0.45902493754158907</v>
      </c>
      <c r="N92" s="7">
        <v>110.2455378571029</v>
      </c>
      <c r="O92" s="7">
        <v>0.44546757680968629</v>
      </c>
      <c r="P92" s="7">
        <v>2.6719671147887909</v>
      </c>
      <c r="Q92" s="109">
        <v>9.4266523482536058E-2</v>
      </c>
      <c r="R92" s="109">
        <v>3.3551028619315838E-2</v>
      </c>
      <c r="S92" s="109">
        <v>4.0680504292887106E-3</v>
      </c>
      <c r="U92" s="134">
        <f>C92*S92</f>
        <v>0.31026943447365951</v>
      </c>
      <c r="V92" s="134">
        <f>(1+S92)*Q92*(1-U92)+S92</f>
        <v>6.9351051528317956E-2</v>
      </c>
      <c r="W92" s="134">
        <f>V92+I92/3</f>
        <v>-3.2723682911706242E-2</v>
      </c>
      <c r="X92" s="134">
        <f>V92+I92/5</f>
        <v>8.106210864303437E-3</v>
      </c>
      <c r="Y92" s="134"/>
      <c r="AA92" s="134"/>
    </row>
    <row r="93" spans="1:27">
      <c r="A93" t="s">
        <v>265</v>
      </c>
      <c r="B93" t="s">
        <v>32</v>
      </c>
      <c r="C93" s="196">
        <v>136.50040207803619</v>
      </c>
      <c r="D93" s="100">
        <v>24.652735433913911</v>
      </c>
      <c r="E93" s="13">
        <v>0.81939441160165871</v>
      </c>
      <c r="F93" s="100">
        <v>-119.3632174941862</v>
      </c>
      <c r="G93" s="100">
        <v>-1.874453230005485</v>
      </c>
      <c r="H93" s="13">
        <v>-0.67388590846824403</v>
      </c>
      <c r="I93" s="13">
        <v>-0.59223025690693065</v>
      </c>
      <c r="J93" s="13">
        <v>-0.46378438700041202</v>
      </c>
      <c r="K93" s="100">
        <v>-4.8417838991604327</v>
      </c>
      <c r="L93" s="7">
        <v>24.652735433913911</v>
      </c>
      <c r="M93" s="15">
        <v>0.81939441160165871</v>
      </c>
      <c r="N93" s="7">
        <v>155.86776593762201</v>
      </c>
      <c r="O93" s="7">
        <v>0.14188503158044591</v>
      </c>
      <c r="P93" s="7">
        <v>6.3225343230350051</v>
      </c>
      <c r="S93" s="109">
        <v>5.3682775781674049E-3</v>
      </c>
      <c r="U93" s="134">
        <f>C93*S93</f>
        <v>0.73277204788635708</v>
      </c>
      <c r="V93" s="134">
        <f>(1+S93)*R92*(1-U93)+S93</f>
        <v>1.4382181003804659E-2</v>
      </c>
      <c r="W93" s="134">
        <f>V93+I93/3</f>
        <v>-0.18302790463183888</v>
      </c>
      <c r="X93" s="134">
        <f>V93+I93/5</f>
        <v>-0.10406387037758147</v>
      </c>
      <c r="Y93" s="134"/>
      <c r="AA93" s="134"/>
    </row>
    <row r="94" spans="1:27">
      <c r="B94" t="s">
        <v>34</v>
      </c>
      <c r="C94" s="198">
        <v>7.1896898622857917</v>
      </c>
      <c r="D94" s="100">
        <v>4.0103060078459833</v>
      </c>
      <c r="E94" s="13">
        <v>0.44221432569957869</v>
      </c>
      <c r="F94" s="100">
        <v>12.34923379900493</v>
      </c>
      <c r="G94" s="100">
        <v>0.71763094591659882</v>
      </c>
      <c r="H94" s="13">
        <v>-0.1972154049000534</v>
      </c>
      <c r="I94" s="13">
        <v>-7.0665321838779716E-2</v>
      </c>
      <c r="J94" s="13">
        <v>9.6398946343757341E-2</v>
      </c>
      <c r="K94" s="100">
        <v>3.0793744354780421</v>
      </c>
      <c r="L94" s="7">
        <v>4.6942194684956986</v>
      </c>
      <c r="M94" s="15">
        <v>0.34709013067174471</v>
      </c>
      <c r="N94" s="7">
        <v>12.34923379900493</v>
      </c>
      <c r="O94" s="7">
        <v>0.71763094591659882</v>
      </c>
      <c r="P94" s="7">
        <v>2.630732091220767</v>
      </c>
      <c r="W94" s="134">
        <f>V92+I94/3</f>
        <v>4.5795944248724713E-2</v>
      </c>
      <c r="X94" s="134">
        <f>V92+I94/5</f>
        <v>5.5217987160562011E-2</v>
      </c>
      <c r="Y94" s="134"/>
      <c r="AA94" s="134"/>
    </row>
    <row r="95" spans="1:27">
      <c r="B95" t="s">
        <v>35</v>
      </c>
      <c r="C95" s="197">
        <v>4.5797288966683123</v>
      </c>
      <c r="D95" s="100">
        <v>2.2220940860144021</v>
      </c>
      <c r="E95" s="13">
        <v>0.51479789827058453</v>
      </c>
      <c r="F95" s="100">
        <v>11.3848035106735</v>
      </c>
      <c r="G95" s="100">
        <v>1.4859121069275041</v>
      </c>
      <c r="H95" s="13">
        <v>-8.6679201573728215E-2</v>
      </c>
      <c r="I95" s="13">
        <v>0.19382757830584921</v>
      </c>
      <c r="J95" s="13">
        <v>0.51122945437740608</v>
      </c>
      <c r="K95" s="100">
        <v>5.1234570049612689</v>
      </c>
      <c r="L95" s="7">
        <v>2.2220940860144021</v>
      </c>
      <c r="M95" s="15">
        <v>0.51479789827058453</v>
      </c>
      <c r="N95" s="7">
        <v>11.3848035106735</v>
      </c>
      <c r="O95" s="7">
        <v>1.4859121069275041</v>
      </c>
      <c r="P95" s="7">
        <v>5.1234570049612689</v>
      </c>
      <c r="W95" s="134">
        <f>V93+I95/3</f>
        <v>7.8991373772421061E-2</v>
      </c>
      <c r="X95" s="134">
        <f>V93+I95/5</f>
        <v>5.31476966649745E-2</v>
      </c>
      <c r="Y95" s="134"/>
      <c r="AA95" s="134"/>
    </row>
    <row r="96" spans="1:27">
      <c r="C96" s="111"/>
      <c r="D96" s="100"/>
      <c r="F96" s="100"/>
      <c r="G96" s="100"/>
      <c r="K96" s="100"/>
      <c r="L96" s="7"/>
      <c r="N96" s="7"/>
      <c r="O96" s="7"/>
      <c r="P96" s="7"/>
      <c r="AA96" s="134"/>
    </row>
    <row r="97" spans="1:27">
      <c r="A97" s="184" t="s">
        <v>266</v>
      </c>
      <c r="B97" t="s">
        <v>30</v>
      </c>
      <c r="C97" s="197">
        <v>5.9251177114577311</v>
      </c>
      <c r="D97" s="100">
        <v>4.4631972226313348</v>
      </c>
      <c r="E97" s="13">
        <v>0.24673273342728691</v>
      </c>
      <c r="F97" s="100">
        <v>13.99648353472022</v>
      </c>
      <c r="G97" s="100">
        <v>1.3622287718697019</v>
      </c>
      <c r="H97" s="13">
        <v>-1.9655403238010741E-2</v>
      </c>
      <c r="I97" s="13">
        <v>0.1079211938709614</v>
      </c>
      <c r="J97" s="13">
        <v>0.24951808648327731</v>
      </c>
      <c r="K97" s="100">
        <v>3.1359769323544282</v>
      </c>
      <c r="L97" s="7">
        <v>5.350070919289581</v>
      </c>
      <c r="M97" s="15">
        <v>9.705238278323991E-2</v>
      </c>
      <c r="N97" s="7">
        <v>9.0846383936529342</v>
      </c>
      <c r="O97" s="7">
        <v>0.53324184194441604</v>
      </c>
      <c r="P97" s="7">
        <v>1.698040742020529</v>
      </c>
      <c r="Q97" s="109">
        <v>0.1236200222666697</v>
      </c>
      <c r="R97" s="109">
        <v>0.1202034950291979</v>
      </c>
      <c r="S97" s="109">
        <v>4.7903329931315533E-2</v>
      </c>
      <c r="U97" s="134">
        <f>C97*S97</f>
        <v>0.28383286861384094</v>
      </c>
      <c r="V97" s="134">
        <f>(1+S97)*Q97*(1-U97)+S97</f>
        <v>0.14067693285069638</v>
      </c>
      <c r="W97" s="134">
        <f>V97+I97/3</f>
        <v>0.17665066414101685</v>
      </c>
      <c r="X97" s="134">
        <f>V97+I97/5</f>
        <v>0.16226117162488865</v>
      </c>
      <c r="Y97" s="134"/>
      <c r="AA97" s="37"/>
    </row>
    <row r="98" spans="1:27">
      <c r="A98" t="s">
        <v>267</v>
      </c>
      <c r="B98" t="s">
        <v>32</v>
      </c>
      <c r="C98" s="197">
        <v>6.3991300485664393</v>
      </c>
      <c r="D98" s="100">
        <v>4.5719195833120541</v>
      </c>
      <c r="E98" s="13">
        <v>0.28554044868391532</v>
      </c>
      <c r="F98" s="100">
        <v>16.293143919559672</v>
      </c>
      <c r="G98" s="100">
        <v>1.5461498353529679</v>
      </c>
      <c r="H98" s="13">
        <v>-6.4520602364179114E-2</v>
      </c>
      <c r="I98" s="13">
        <v>0.1086685438470405</v>
      </c>
      <c r="J98" s="13">
        <v>0.33708383559134641</v>
      </c>
      <c r="K98" s="100">
        <v>3.5637424549266381</v>
      </c>
      <c r="L98" s="7">
        <v>5.5655006361408477</v>
      </c>
      <c r="M98" s="15">
        <v>0.13027230359419639</v>
      </c>
      <c r="N98" s="7">
        <v>9.8264084516269357</v>
      </c>
      <c r="O98" s="7">
        <v>0.53558505250698718</v>
      </c>
      <c r="P98" s="7">
        <v>1.7655929078180159</v>
      </c>
      <c r="S98" s="109">
        <v>4.0312995797919249E-2</v>
      </c>
      <c r="U98" s="134">
        <f>C98*S98</f>
        <v>0.25796810275819765</v>
      </c>
      <c r="V98" s="134">
        <f>(1+S98)*R97*(1-U98)+S98</f>
        <v>0.13310353397458974</v>
      </c>
      <c r="W98" s="134">
        <f>V98+I98/3</f>
        <v>0.16932638192360325</v>
      </c>
      <c r="X98" s="134">
        <f>V98+I98/5</f>
        <v>0.15483724274399785</v>
      </c>
      <c r="Y98" s="134"/>
      <c r="AA98" s="134"/>
    </row>
    <row r="99" spans="1:27">
      <c r="B99" t="s">
        <v>34</v>
      </c>
      <c r="C99" s="195">
        <v>0.73246318342304395</v>
      </c>
      <c r="D99" s="100">
        <v>0.71936383295809814</v>
      </c>
      <c r="E99" s="13">
        <v>1.7883971182999558E-2</v>
      </c>
      <c r="F99" s="100">
        <v>2.451482612197049</v>
      </c>
      <c r="G99" s="100">
        <v>2.3469021620178312</v>
      </c>
      <c r="H99" s="13">
        <v>0.20998513469108021</v>
      </c>
      <c r="I99" s="13">
        <v>0.40809458705880108</v>
      </c>
      <c r="J99" s="13">
        <v>0.86481174823900098</v>
      </c>
      <c r="K99" s="100">
        <v>3.4078480177635568</v>
      </c>
      <c r="L99" s="7">
        <v>0.71936383295809814</v>
      </c>
      <c r="M99" s="15">
        <v>1.7883971182999558E-2</v>
      </c>
      <c r="N99" s="7">
        <v>1.431324950837465</v>
      </c>
      <c r="O99" s="7">
        <v>0.95412545398992954</v>
      </c>
      <c r="P99" s="7">
        <v>1.9897093588257131</v>
      </c>
      <c r="W99" s="134">
        <f>V97+I99/3</f>
        <v>0.27670846187029674</v>
      </c>
      <c r="X99" s="134">
        <f>V97+I99/5</f>
        <v>0.2222958502624566</v>
      </c>
      <c r="Y99" s="134"/>
      <c r="AA99" s="134"/>
    </row>
    <row r="100" spans="1:27">
      <c r="B100" t="s">
        <v>35</v>
      </c>
      <c r="C100" s="195">
        <v>0.76919779698404678</v>
      </c>
      <c r="D100" s="100">
        <v>0.75700039406893505</v>
      </c>
      <c r="E100" s="13">
        <v>1.5857303495845469E-2</v>
      </c>
      <c r="F100" s="100">
        <v>2.64946827115328</v>
      </c>
      <c r="G100" s="100">
        <v>2.4444563954051861</v>
      </c>
      <c r="H100" s="13">
        <v>0.1862872804799014</v>
      </c>
      <c r="I100" s="13">
        <v>0.40953802274109469</v>
      </c>
      <c r="J100" s="13">
        <v>0.7371203565651121</v>
      </c>
      <c r="K100" s="100">
        <v>3.499956264107321</v>
      </c>
      <c r="L100" s="7">
        <v>0.75700039406893505</v>
      </c>
      <c r="M100" s="15">
        <v>1.5857303495845469E-2</v>
      </c>
      <c r="N100" s="7">
        <v>1.521258747308089</v>
      </c>
      <c r="O100" s="7">
        <v>0.97772114438289237</v>
      </c>
      <c r="P100" s="7">
        <v>2.0095877878361552</v>
      </c>
      <c r="W100" s="134">
        <f>V98+I100/3</f>
        <v>0.2696162082216213</v>
      </c>
      <c r="X100" s="134">
        <f>V98+I100/5</f>
        <v>0.21501113852280868</v>
      </c>
      <c r="Y100" s="134"/>
      <c r="AA100" s="134"/>
    </row>
    <row r="101" spans="1:27">
      <c r="C101" s="111"/>
      <c r="D101" s="100"/>
      <c r="F101" s="100"/>
      <c r="G101" s="100"/>
      <c r="K101" s="100"/>
      <c r="L101" s="7"/>
      <c r="N101" s="7"/>
      <c r="O101" s="7"/>
      <c r="P101" s="7"/>
      <c r="AA101" s="134"/>
    </row>
    <row r="102" spans="1:27">
      <c r="A102" t="s">
        <v>268</v>
      </c>
      <c r="B102" t="s">
        <v>30</v>
      </c>
      <c r="C102" s="195">
        <v>14.29893577463751</v>
      </c>
      <c r="D102" s="100">
        <v>11.164502646066561</v>
      </c>
      <c r="E102" s="13">
        <v>0.21920744158670849</v>
      </c>
      <c r="F102" s="100">
        <v>37.098126656507581</v>
      </c>
      <c r="G102" s="100">
        <v>1.5944676751615141</v>
      </c>
      <c r="H102" s="13">
        <v>0.17148545723451919</v>
      </c>
      <c r="I102" s="13">
        <v>0.37893230857575028</v>
      </c>
      <c r="J102" s="13">
        <v>0.69892186383386523</v>
      </c>
      <c r="K102" s="100">
        <v>3.322864245061365</v>
      </c>
      <c r="L102" s="7">
        <v>11.164502646066561</v>
      </c>
      <c r="M102" s="15">
        <v>0.21920744158670849</v>
      </c>
      <c r="N102" s="7">
        <v>37.098126656507581</v>
      </c>
      <c r="O102" s="7">
        <v>1.5944676751615141</v>
      </c>
      <c r="P102" s="7">
        <v>3.322864245061365</v>
      </c>
      <c r="Q102" s="109">
        <v>0.1156728944717559</v>
      </c>
      <c r="R102" s="109">
        <v>4.3774394715323621E-2</v>
      </c>
      <c r="S102" s="109">
        <v>2.1026124636472111E-2</v>
      </c>
      <c r="U102" s="134">
        <f>C102*S102</f>
        <v>0.30065120576643817</v>
      </c>
      <c r="V102" s="134">
        <f>(1+S102)*Q102*(1-U102)+S102</f>
        <v>0.10362274696629722</v>
      </c>
      <c r="W102" s="134">
        <f>V102+I102/3</f>
        <v>0.22993351649154731</v>
      </c>
      <c r="X102" s="134">
        <f>V102+I102/5</f>
        <v>0.17940920868144727</v>
      </c>
      <c r="Y102" s="134"/>
      <c r="AA102" s="134"/>
    </row>
    <row r="103" spans="1:27">
      <c r="A103" t="s">
        <v>269</v>
      </c>
      <c r="B103" t="s">
        <v>32</v>
      </c>
      <c r="C103" s="198">
        <v>34.982893509256151</v>
      </c>
      <c r="D103" s="100">
        <v>12.52591207314271</v>
      </c>
      <c r="E103" s="13">
        <v>0.64194179449940392</v>
      </c>
      <c r="F103" s="100">
        <v>50.049506180824359</v>
      </c>
      <c r="G103" s="100">
        <v>0.43068514808764241</v>
      </c>
      <c r="H103" s="13">
        <v>-0.30516132081457231</v>
      </c>
      <c r="I103" s="13">
        <v>-0.1980271902153973</v>
      </c>
      <c r="J103" s="13">
        <v>9.8296132558221894E-2</v>
      </c>
      <c r="K103" s="100">
        <v>3.9956775912659839</v>
      </c>
      <c r="L103" s="7">
        <v>12.52591207314271</v>
      </c>
      <c r="M103" s="15">
        <v>0.64194179449940392</v>
      </c>
      <c r="N103" s="7">
        <v>50.049506180824359</v>
      </c>
      <c r="O103" s="7">
        <v>0.43068514808764241</v>
      </c>
      <c r="P103" s="7">
        <v>3.9956775912659839</v>
      </c>
      <c r="S103" s="109">
        <v>1.1224917832001391E-2</v>
      </c>
      <c r="U103" s="134">
        <f>C103*S103</f>
        <v>0.39268010516705509</v>
      </c>
      <c r="V103" s="134">
        <f>(1+S103)*R102*(1-U103)+S103</f>
        <v>3.8108393749868914E-2</v>
      </c>
      <c r="W103" s="134">
        <f>V103+I103/3</f>
        <v>-2.790066965526352E-2</v>
      </c>
      <c r="X103" s="134">
        <f>V103+I103/5</f>
        <v>-1.497044293210549E-3</v>
      </c>
      <c r="Y103" s="134"/>
      <c r="AA103" s="134"/>
    </row>
    <row r="104" spans="1:27">
      <c r="B104" t="s">
        <v>34</v>
      </c>
      <c r="C104" s="195">
        <v>1.6539992889180599</v>
      </c>
      <c r="D104" s="100">
        <v>1.457470597311703</v>
      </c>
      <c r="E104" s="13">
        <v>0.1188202999379244</v>
      </c>
      <c r="F104" s="100">
        <v>4.1903813752680366</v>
      </c>
      <c r="G104" s="100">
        <v>1.5334843874141659</v>
      </c>
      <c r="H104" s="13">
        <v>0.10515503133321551</v>
      </c>
      <c r="I104" s="13">
        <v>0.25947072776572111</v>
      </c>
      <c r="J104" s="13">
        <v>0.56324307707812937</v>
      </c>
      <c r="K104" s="100">
        <v>2.8751052563236441</v>
      </c>
      <c r="L104" s="7">
        <v>1.457470597311703</v>
      </c>
      <c r="M104" s="15">
        <v>0.1188202999379244</v>
      </c>
      <c r="N104" s="7">
        <v>4.1903813752680366</v>
      </c>
      <c r="O104" s="7">
        <v>1.5334843874141659</v>
      </c>
      <c r="P104" s="7">
        <v>2.8751052563236441</v>
      </c>
      <c r="W104" s="134">
        <f>V102+I104/3</f>
        <v>0.19011298955487094</v>
      </c>
      <c r="X104" s="134">
        <f>V102+I104/5</f>
        <v>0.15551689251944145</v>
      </c>
      <c r="Y104" s="134"/>
      <c r="AA104" s="134"/>
    </row>
    <row r="105" spans="1:27">
      <c r="B105" t="s">
        <v>35</v>
      </c>
      <c r="C105" s="195">
        <v>1.5313549887583111</v>
      </c>
      <c r="D105" s="100">
        <v>1.1617940376530049</v>
      </c>
      <c r="E105" s="13">
        <v>0.24132938072377491</v>
      </c>
      <c r="F105" s="100">
        <v>5.171024298745647</v>
      </c>
      <c r="G105" s="100">
        <v>2.376763935668853</v>
      </c>
      <c r="H105" s="13">
        <v>0.2098214962312708</v>
      </c>
      <c r="I105" s="13">
        <v>0.49272571347222249</v>
      </c>
      <c r="J105" s="13">
        <v>0.93779283318857787</v>
      </c>
      <c r="K105" s="100">
        <v>4.4508958827090197</v>
      </c>
      <c r="L105" s="7">
        <v>1.1617940376530049</v>
      </c>
      <c r="M105" s="15">
        <v>0.24132938072377491</v>
      </c>
      <c r="N105" s="7">
        <v>5.171024298745647</v>
      </c>
      <c r="O105" s="7">
        <v>2.376763935668853</v>
      </c>
      <c r="P105" s="7">
        <v>4.4508958827090197</v>
      </c>
      <c r="W105" s="134">
        <f>V103+I105/3</f>
        <v>0.20235029824060974</v>
      </c>
      <c r="X105" s="134">
        <f>V103+I105/5</f>
        <v>0.13665353644431341</v>
      </c>
      <c r="Y105" s="134"/>
      <c r="AA105" s="134"/>
    </row>
    <row r="106" spans="1:27">
      <c r="C106" s="111"/>
      <c r="D106" s="100"/>
      <c r="F106" s="100"/>
      <c r="G106" s="100"/>
      <c r="K106" s="100"/>
      <c r="L106" s="7"/>
      <c r="N106" s="7"/>
      <c r="O106" s="7"/>
      <c r="P106" s="7"/>
      <c r="AA106" s="134"/>
    </row>
    <row r="107" spans="1:27">
      <c r="A107" s="34" t="s">
        <v>270</v>
      </c>
      <c r="B107" t="s">
        <v>30</v>
      </c>
      <c r="C107" s="197">
        <v>47.548833241976858</v>
      </c>
      <c r="D107" s="100">
        <v>28.89066966342498</v>
      </c>
      <c r="E107" s="13">
        <v>0.3924000297462642</v>
      </c>
      <c r="F107" s="100">
        <v>-625.95485913019616</v>
      </c>
      <c r="G107" s="100">
        <v>-14.1644630677834</v>
      </c>
      <c r="H107" s="13">
        <v>-0.10005365140250951</v>
      </c>
      <c r="I107" s="13">
        <v>0.8635874830175172</v>
      </c>
      <c r="J107" s="13">
        <v>3.213993389262646</v>
      </c>
      <c r="K107" s="100">
        <v>-21.666332640348681</v>
      </c>
      <c r="L107" s="7">
        <v>28.89066966342498</v>
      </c>
      <c r="M107" s="15">
        <v>0.3924000297462642</v>
      </c>
      <c r="N107" s="7">
        <v>-625.95485913019616</v>
      </c>
      <c r="O107" s="7">
        <v>-14.1644630677834</v>
      </c>
      <c r="P107" s="7">
        <v>-21.666332640348681</v>
      </c>
      <c r="Q107" s="109">
        <v>9.8066038908535463E-2</v>
      </c>
      <c r="R107" s="109">
        <v>8.4019675900206731E-2</v>
      </c>
      <c r="S107" s="109">
        <v>3.6776421094730522E-3</v>
      </c>
      <c r="U107" s="134">
        <f>C107*S107</f>
        <v>0.17486759138700617</v>
      </c>
      <c r="V107" s="134">
        <f>(1+S107)*Q107*(1-U107)+S107</f>
        <v>8.4892694480826716E-2</v>
      </c>
      <c r="W107" s="134">
        <f>V107+I107/3</f>
        <v>0.37275518881999908</v>
      </c>
      <c r="X107" s="134">
        <f>V107+I107/5</f>
        <v>0.25761019108433014</v>
      </c>
      <c r="Y107" s="134"/>
      <c r="AA107" s="37"/>
    </row>
    <row r="108" spans="1:27">
      <c r="A108" t="s">
        <v>271</v>
      </c>
      <c r="B108" t="s">
        <v>32</v>
      </c>
      <c r="C108" s="196">
        <v>55.194119696006688</v>
      </c>
      <c r="D108" s="100">
        <v>27.743687565467042</v>
      </c>
      <c r="E108" s="13">
        <v>0.49734341777219621</v>
      </c>
      <c r="F108" s="100">
        <v>-48.251208799223058</v>
      </c>
      <c r="G108" s="100">
        <v>-1.874209228536968</v>
      </c>
      <c r="H108" s="13">
        <v>-3.851386566769921E-2</v>
      </c>
      <c r="I108" s="13">
        <v>0.77399427573247026</v>
      </c>
      <c r="J108" s="13">
        <v>-4.8516087052054528</v>
      </c>
      <c r="K108" s="100">
        <v>-1.739177918773928</v>
      </c>
      <c r="L108" s="7">
        <v>27.743687565467042</v>
      </c>
      <c r="M108" s="15">
        <v>0.49734341777219621</v>
      </c>
      <c r="N108" s="7">
        <v>-48.251208799223058</v>
      </c>
      <c r="O108" s="7">
        <v>-1.874209228536968</v>
      </c>
      <c r="P108" s="7">
        <v>-1.739177918773928</v>
      </c>
      <c r="S108" s="109">
        <v>4.3388084748159136E-3</v>
      </c>
      <c r="U108" s="134">
        <f>C108*S108</f>
        <v>0.23947671429703776</v>
      </c>
      <c r="V108" s="134">
        <f>(1+S108)*R107*(1-U108)+S108</f>
        <v>6.8514973629676998E-2</v>
      </c>
      <c r="W108" s="134">
        <f>V108+I108/3</f>
        <v>0.32651306554050041</v>
      </c>
      <c r="X108" s="134">
        <f>V108+I108/5</f>
        <v>0.22331382877617106</v>
      </c>
      <c r="Y108" s="134"/>
      <c r="AA108" s="134"/>
    </row>
    <row r="109" spans="1:27">
      <c r="B109" t="s">
        <v>34</v>
      </c>
      <c r="C109" s="197">
        <v>4.6629257307631669</v>
      </c>
      <c r="D109" s="100">
        <v>2.477173178792496</v>
      </c>
      <c r="E109" s="13">
        <v>0.46875131155325861</v>
      </c>
      <c r="F109" s="100">
        <v>41.744234587483326</v>
      </c>
      <c r="G109" s="100">
        <v>7.9523696060780216</v>
      </c>
      <c r="H109" s="13">
        <v>-0.27805589541694631</v>
      </c>
      <c r="I109" s="13">
        <v>3.8386578339256072E-2</v>
      </c>
      <c r="J109" s="13">
        <v>1.171165987638848</v>
      </c>
      <c r="K109" s="100">
        <v>16.851560861736619</v>
      </c>
      <c r="L109" s="7">
        <v>2.477173178792496</v>
      </c>
      <c r="M109" s="15">
        <v>0.46875131155325861</v>
      </c>
      <c r="N109" s="7">
        <v>41.744234587483326</v>
      </c>
      <c r="O109" s="7">
        <v>7.9523696060780216</v>
      </c>
      <c r="P109" s="7">
        <v>16.851560861736619</v>
      </c>
      <c r="W109" s="134">
        <f>V107+I109/3</f>
        <v>9.7688220593912078E-2</v>
      </c>
      <c r="X109" s="134">
        <f>V107+I109/5</f>
        <v>9.2570010148677925E-2</v>
      </c>
      <c r="Y109" s="134"/>
      <c r="AA109" s="134"/>
    </row>
    <row r="110" spans="1:27">
      <c r="B110" t="s">
        <v>35</v>
      </c>
      <c r="C110" s="197">
        <v>4.6373920484556992</v>
      </c>
      <c r="D110" s="100">
        <v>2.7559170841307812</v>
      </c>
      <c r="E110" s="13">
        <v>0.40571833148147768</v>
      </c>
      <c r="F110" s="100">
        <v>20.185696883305699</v>
      </c>
      <c r="G110" s="100">
        <v>3.352812242826817</v>
      </c>
      <c r="H110" s="13">
        <v>-0.1105874708450916</v>
      </c>
      <c r="I110" s="13">
        <v>4.439405373958305E-2</v>
      </c>
      <c r="J110" s="13">
        <v>0.63082571012820998</v>
      </c>
      <c r="K110" s="100">
        <v>7.3244935413839896</v>
      </c>
      <c r="L110" s="7">
        <v>2.7559170841307812</v>
      </c>
      <c r="M110" s="15">
        <v>0.40571833148147768</v>
      </c>
      <c r="N110" s="7">
        <v>20.185696883305699</v>
      </c>
      <c r="O110" s="7">
        <v>3.352812242826817</v>
      </c>
      <c r="P110" s="7">
        <v>7.3244935413839896</v>
      </c>
      <c r="W110" s="134">
        <f>V108+I110/3</f>
        <v>8.3312991542871348E-2</v>
      </c>
      <c r="X110" s="134">
        <f>V108+I110/5</f>
        <v>7.7393784377593602E-2</v>
      </c>
      <c r="Y110" s="134"/>
      <c r="AA110" s="134"/>
    </row>
    <row r="111" spans="1:27">
      <c r="C111" s="111"/>
      <c r="D111" s="100"/>
      <c r="F111" s="100"/>
      <c r="G111" s="100"/>
      <c r="K111" s="100"/>
      <c r="L111" s="7"/>
      <c r="N111" s="7"/>
      <c r="O111" s="7"/>
      <c r="P111" s="7"/>
      <c r="AA111" s="134"/>
    </row>
    <row r="112" spans="1:27">
      <c r="A112" t="s">
        <v>272</v>
      </c>
      <c r="B112" t="s">
        <v>30</v>
      </c>
      <c r="C112" s="195">
        <v>-470.20539380583659</v>
      </c>
      <c r="D112" s="100">
        <v>27.719537099934211</v>
      </c>
      <c r="E112" s="13">
        <v>1.0589519760196131</v>
      </c>
      <c r="F112" s="100">
        <v>-129.3520410305716</v>
      </c>
      <c r="G112" s="100">
        <v>-0.72490311099241578</v>
      </c>
      <c r="H112" s="13">
        <v>-1.1039550175229991</v>
      </c>
      <c r="I112" s="13">
        <v>-1.143123404263896</v>
      </c>
      <c r="J112" s="13">
        <v>-1.210507914576771</v>
      </c>
      <c r="K112" s="100">
        <v>-4.6664574723680587</v>
      </c>
      <c r="L112" s="7">
        <v>48.880209952494369</v>
      </c>
      <c r="M112" s="15">
        <v>1.1039550175229991</v>
      </c>
      <c r="N112" s="7">
        <v>-129.3520410305716</v>
      </c>
      <c r="O112" s="7">
        <v>-0.72490311099241578</v>
      </c>
      <c r="P112" s="7">
        <v>-2.6463069851026848</v>
      </c>
      <c r="Q112" s="109">
        <v>-9.6795165764827877E-3</v>
      </c>
      <c r="R112" s="109">
        <v>-0.34925636368930418</v>
      </c>
      <c r="S112" s="109">
        <v>3.631259271084653E-3</v>
      </c>
      <c r="U112" s="134">
        <f>C112*S112</f>
        <v>-1.7074376955714543</v>
      </c>
      <c r="V112" s="134">
        <f>(1+S112)*Q112*(1-U112)+S112</f>
        <v>-2.2670592061954396E-2</v>
      </c>
      <c r="W112" s="134">
        <f>V112+I112/3</f>
        <v>-0.4037117268165864</v>
      </c>
      <c r="X112" s="134">
        <f>V112+I112/5</f>
        <v>-0.25129527291473358</v>
      </c>
      <c r="Y112" s="134"/>
      <c r="AA112" s="134"/>
    </row>
    <row r="113" spans="1:27">
      <c r="A113" t="s">
        <v>273</v>
      </c>
      <c r="B113" t="s">
        <v>32</v>
      </c>
      <c r="C113" s="195">
        <v>-10.170564364172851</v>
      </c>
      <c r="D113" s="100">
        <v>27.663011574272851</v>
      </c>
      <c r="E113" s="13">
        <v>3.719909199111846</v>
      </c>
      <c r="F113" s="100">
        <v>-9.1906456455233698</v>
      </c>
      <c r="G113" s="100">
        <v>-9.6348509636433599E-2</v>
      </c>
      <c r="H113" s="13">
        <v>-6.0355719609450684</v>
      </c>
      <c r="I113" s="13">
        <v>-8.6830936459036945</v>
      </c>
      <c r="J113" s="13">
        <v>-16.01323735289245</v>
      </c>
      <c r="K113" s="100">
        <v>-0.33223590355834037</v>
      </c>
      <c r="L113" s="7">
        <v>49.109140697271393</v>
      </c>
      <c r="M113" s="15">
        <v>5.8285561094588623</v>
      </c>
      <c r="N113" s="7">
        <v>-9.1906456455233698</v>
      </c>
      <c r="O113" s="7">
        <v>-9.6348509636433599E-2</v>
      </c>
      <c r="P113" s="7">
        <v>-0.18714735210249819</v>
      </c>
      <c r="S113" s="109">
        <v>3.4758636266443241E-3</v>
      </c>
      <c r="U113" s="134">
        <f>C113*S113</f>
        <v>-3.5351494735873366E-2</v>
      </c>
      <c r="V113" s="134">
        <f>(1+S113)*R112*(1-U113)+S113</f>
        <v>-0.35938411762137912</v>
      </c>
      <c r="W113" s="134">
        <f>V113+I113/3</f>
        <v>-3.2537486662559441</v>
      </c>
      <c r="X113" s="134">
        <f>V113+I113/5</f>
        <v>-2.0960028468021181</v>
      </c>
      <c r="Y113" s="134"/>
      <c r="AA113" s="134"/>
    </row>
    <row r="114" spans="1:27">
      <c r="B114" t="s">
        <v>34</v>
      </c>
      <c r="C114" s="197">
        <v>4.5513609036952127</v>
      </c>
      <c r="D114" s="100">
        <v>2.589213412781493</v>
      </c>
      <c r="E114" s="13">
        <v>0.43111226124051572</v>
      </c>
      <c r="F114" s="100">
        <v>21.795014276980901</v>
      </c>
      <c r="G114" s="100">
        <v>3.788680734873322</v>
      </c>
      <c r="H114" s="13">
        <v>-0.18922259918488521</v>
      </c>
      <c r="I114" s="13">
        <v>8.9846097282010318E-2</v>
      </c>
      <c r="J114" s="13">
        <v>0.55318977302633265</v>
      </c>
      <c r="K114" s="100">
        <v>8.4176198722713043</v>
      </c>
      <c r="L114" s="7">
        <v>2.9054600284560488</v>
      </c>
      <c r="M114" s="15">
        <v>0.36162829317773282</v>
      </c>
      <c r="N114" s="7">
        <v>21.795014276980901</v>
      </c>
      <c r="O114" s="7">
        <v>3.788680734873322</v>
      </c>
      <c r="P114" s="7">
        <v>7.5013987676721499</v>
      </c>
      <c r="W114" s="134">
        <f>V112+I114/3</f>
        <v>7.2781070320490429E-3</v>
      </c>
      <c r="X114" s="134">
        <f>V112+I114/5</f>
        <v>-4.7013726055523328E-3</v>
      </c>
      <c r="Y114" s="134"/>
      <c r="AA114" s="134"/>
    </row>
    <row r="115" spans="1:27">
      <c r="B115" t="s">
        <v>35</v>
      </c>
      <c r="C115" s="197">
        <v>3.5521343264990279</v>
      </c>
      <c r="D115" s="100">
        <v>2.239369557313438</v>
      </c>
      <c r="E115" s="13">
        <v>0.36957069990071201</v>
      </c>
      <c r="F115" s="100">
        <v>18.436984807662689</v>
      </c>
      <c r="G115" s="100">
        <v>4.1903962837560016</v>
      </c>
      <c r="H115" s="13">
        <v>-0.11192194041499449</v>
      </c>
      <c r="I115" s="13">
        <v>0.2495928798710674</v>
      </c>
      <c r="J115" s="13">
        <v>0.87314300920363541</v>
      </c>
      <c r="K115" s="100">
        <v>8.2331139795351405</v>
      </c>
      <c r="L115" s="7">
        <v>2.2443066063530348</v>
      </c>
      <c r="M115" s="15">
        <v>0.36818081748473303</v>
      </c>
      <c r="N115" s="7">
        <v>18.436984807662689</v>
      </c>
      <c r="O115" s="7">
        <v>4.1903962837560016</v>
      </c>
      <c r="P115" s="7">
        <v>8.2150026896826347</v>
      </c>
      <c r="W115" s="134">
        <f>V113+I115/3</f>
        <v>-0.27618649099768999</v>
      </c>
      <c r="X115" s="134">
        <f>V113+I115/5</f>
        <v>-0.30946554164716567</v>
      </c>
      <c r="Y115" s="134"/>
      <c r="AA115" s="134"/>
    </row>
    <row r="116" spans="1:27">
      <c r="C116" s="111"/>
      <c r="D116" s="100"/>
      <c r="F116" s="100"/>
      <c r="G116" s="100"/>
      <c r="K116" s="100"/>
      <c r="L116" s="7"/>
      <c r="N116" s="7"/>
      <c r="O116" s="7"/>
      <c r="P116" s="7"/>
      <c r="AA116" s="134"/>
    </row>
    <row r="117" spans="1:27">
      <c r="A117" t="s">
        <v>274</v>
      </c>
      <c r="B117" t="s">
        <v>30</v>
      </c>
      <c r="C117" s="198">
        <v>57.400627122707107</v>
      </c>
      <c r="D117" s="100">
        <v>27.687727276341459</v>
      </c>
      <c r="E117" s="13">
        <v>0.51764068331252644</v>
      </c>
      <c r="F117" s="100">
        <v>-341.85139732122298</v>
      </c>
      <c r="G117" s="100">
        <v>-6.9555341893815319</v>
      </c>
      <c r="H117" s="13">
        <v>-0.22292032767753739</v>
      </c>
      <c r="I117" s="13">
        <v>-6.395859287150496E-2</v>
      </c>
      <c r="J117" s="13">
        <v>0.18425441071062029</v>
      </c>
      <c r="K117" s="100">
        <v>-12.34667598063664</v>
      </c>
      <c r="L117" s="7">
        <v>27.687727276341459</v>
      </c>
      <c r="M117" s="15">
        <v>0.51764068331252644</v>
      </c>
      <c r="N117" s="7">
        <v>112.36988584144881</v>
      </c>
      <c r="O117" s="7">
        <v>0.9576421282163381</v>
      </c>
      <c r="P117" s="7">
        <v>4.0584727204195756</v>
      </c>
      <c r="Q117" s="109">
        <v>6.0548201432211422E-2</v>
      </c>
      <c r="R117" s="109">
        <v>-3.0004008554671519E-2</v>
      </c>
      <c r="S117" s="109">
        <v>7.7177892162110977E-3</v>
      </c>
      <c r="U117" s="134">
        <f>C117*S117</f>
        <v>0.44300594101138313</v>
      </c>
      <c r="V117" s="134">
        <f>(1+S117)*Q117*(1-U117)+S117</f>
        <v>4.1703060048808159E-2</v>
      </c>
      <c r="W117" s="134">
        <f>V117+I117/3</f>
        <v>2.0383529091639839E-2</v>
      </c>
      <c r="X117" s="134">
        <f>V117+I117/5</f>
        <v>2.8911341474507166E-2</v>
      </c>
      <c r="Y117" s="134"/>
      <c r="AA117" s="134"/>
    </row>
    <row r="118" spans="1:27">
      <c r="A118" t="s">
        <v>275</v>
      </c>
      <c r="B118" t="s">
        <v>32</v>
      </c>
      <c r="C118" s="195">
        <v>-100.6701370880626</v>
      </c>
      <c r="D118" s="100">
        <v>38.205177902537592</v>
      </c>
      <c r="E118" s="13">
        <v>1.379508551469609</v>
      </c>
      <c r="F118" s="100">
        <v>-19.663090313015651</v>
      </c>
      <c r="G118" s="100">
        <v>-0.80467802188632087</v>
      </c>
      <c r="H118" s="13">
        <v>-1.610320515425699</v>
      </c>
      <c r="I118" s="13">
        <v>-1.9984589624629541</v>
      </c>
      <c r="J118" s="13">
        <v>-2.9297016264459281</v>
      </c>
      <c r="K118" s="100">
        <v>-0.51467082192829228</v>
      </c>
      <c r="L118" s="7">
        <v>50.790713995243088</v>
      </c>
      <c r="M118" s="15">
        <v>1.504526123281358</v>
      </c>
      <c r="N118" s="7">
        <v>-19.663090313015651</v>
      </c>
      <c r="O118" s="7">
        <v>-0.80467802188632087</v>
      </c>
      <c r="P118" s="7">
        <v>-0.38713947425226658</v>
      </c>
      <c r="S118" s="109">
        <v>6.0619346651097491E-3</v>
      </c>
      <c r="U118" s="134">
        <f>C118*S118</f>
        <v>-0.61025579375547734</v>
      </c>
      <c r="V118" s="134">
        <f>(1+S118)*R117*(1-U118)+S118</f>
        <v>-4.254507103698086E-2</v>
      </c>
      <c r="W118" s="134">
        <f>V118+I118/3</f>
        <v>-0.7086980585246323</v>
      </c>
      <c r="X118" s="134">
        <f>V118+I118/5</f>
        <v>-0.44223686352957164</v>
      </c>
      <c r="Y118" s="134"/>
      <c r="AA118" s="134"/>
    </row>
    <row r="119" spans="1:27">
      <c r="B119" t="s">
        <v>34</v>
      </c>
      <c r="C119" s="197">
        <v>3.4755047333609279</v>
      </c>
      <c r="D119" s="100">
        <v>2.3676389954854522</v>
      </c>
      <c r="E119" s="13">
        <v>0.31876398476492168</v>
      </c>
      <c r="F119" s="100">
        <v>8.1500731980842076</v>
      </c>
      <c r="G119" s="100">
        <v>1.3450042003547551</v>
      </c>
      <c r="H119" s="13">
        <v>-9.6697035276144483E-2</v>
      </c>
      <c r="I119" s="13">
        <v>0.10832175649361479</v>
      </c>
      <c r="J119" s="13">
        <v>0.26106422072682678</v>
      </c>
      <c r="K119" s="100">
        <v>3.442278663945197</v>
      </c>
      <c r="L119" s="7">
        <v>2.367916594132442</v>
      </c>
      <c r="M119" s="15">
        <v>0.31868411186349088</v>
      </c>
      <c r="N119" s="7">
        <v>8.1500731980842076</v>
      </c>
      <c r="O119" s="7">
        <v>1.3450042003547551</v>
      </c>
      <c r="P119" s="7">
        <v>3.441875114300736</v>
      </c>
      <c r="W119" s="134">
        <f>V117+I119/3</f>
        <v>7.7810312213346416E-2</v>
      </c>
      <c r="X119" s="134">
        <f>V117+I119/5</f>
        <v>6.3367411347531113E-2</v>
      </c>
      <c r="Y119" s="134"/>
      <c r="AA119" s="134"/>
    </row>
    <row r="120" spans="1:27">
      <c r="B120" t="s">
        <v>35</v>
      </c>
      <c r="C120" s="197">
        <v>3.0205076543901859</v>
      </c>
      <c r="D120" s="100">
        <v>2.0106058242754168</v>
      </c>
      <c r="E120" s="13">
        <v>0.33434837638862391</v>
      </c>
      <c r="F120" s="100">
        <v>8.7822543929415318</v>
      </c>
      <c r="G120" s="100">
        <v>1.9075425053721939</v>
      </c>
      <c r="H120" s="13">
        <v>-4.4553828192485663E-2</v>
      </c>
      <c r="I120" s="13">
        <v>0.23297879326113419</v>
      </c>
      <c r="J120" s="13">
        <v>0.62628787296103372</v>
      </c>
      <c r="K120" s="100">
        <v>4.3679642657488502</v>
      </c>
      <c r="L120" s="7">
        <v>2.0478348131617738</v>
      </c>
      <c r="M120" s="15">
        <v>0.32202296849493878</v>
      </c>
      <c r="N120" s="7">
        <v>8.7822543929415318</v>
      </c>
      <c r="O120" s="7">
        <v>1.9075425053721939</v>
      </c>
      <c r="P120" s="7">
        <v>4.2885560575963098</v>
      </c>
      <c r="W120" s="134">
        <f>V118+I120/3</f>
        <v>3.5114526716730536E-2</v>
      </c>
      <c r="X120" s="134">
        <f>V118+I120/5</f>
        <v>4.0506876152459764E-3</v>
      </c>
      <c r="Y120" s="134"/>
      <c r="AA120" s="134"/>
    </row>
    <row r="121" spans="1:27">
      <c r="C121" s="111"/>
      <c r="D121" s="100"/>
      <c r="F121" s="100"/>
      <c r="G121" s="100"/>
      <c r="K121" s="100"/>
      <c r="L121" s="7"/>
      <c r="N121" s="7"/>
      <c r="O121" s="7"/>
      <c r="P121" s="7"/>
      <c r="AA121" s="134"/>
    </row>
    <row r="122" spans="1:27">
      <c r="A122" t="s">
        <v>276</v>
      </c>
      <c r="B122" t="s">
        <v>30</v>
      </c>
      <c r="C122" s="198">
        <v>91.851803207788052</v>
      </c>
      <c r="D122" s="100">
        <v>27.002686587138761</v>
      </c>
      <c r="E122" s="13">
        <v>0.70601898227242177</v>
      </c>
      <c r="F122" s="100">
        <v>338.12091482758342</v>
      </c>
      <c r="G122" s="100">
        <v>2.6811570706204102</v>
      </c>
      <c r="H122" s="13">
        <v>-0.55837171658574114</v>
      </c>
      <c r="I122" s="13">
        <v>-0.1105732250455714</v>
      </c>
      <c r="J122" s="13">
        <v>0.15611065152469039</v>
      </c>
      <c r="K122" s="100">
        <v>12.521750890840201</v>
      </c>
      <c r="L122" s="7">
        <v>29.560488384064879</v>
      </c>
      <c r="M122" s="15">
        <v>0.67817193183248836</v>
      </c>
      <c r="N122" s="7">
        <v>168.89337190974061</v>
      </c>
      <c r="O122" s="7">
        <v>0.83875945829466625</v>
      </c>
      <c r="P122" s="7">
        <v>5.7134838137784527</v>
      </c>
      <c r="Q122" s="109">
        <v>6.75883282934443E-2</v>
      </c>
      <c r="R122" s="109">
        <v>3.1459710677204797E-4</v>
      </c>
      <c r="S122" s="109">
        <v>2.3987293401396422E-3</v>
      </c>
      <c r="U122" s="134">
        <f>C122*S122</f>
        <v>0.22032761529925371</v>
      </c>
      <c r="V122" s="134">
        <f>(1+S122)*Q122*(1-U122)+S122</f>
        <v>5.5221887686413715E-2</v>
      </c>
      <c r="W122" s="134">
        <f>V122+I122/3</f>
        <v>1.8364146004556582E-2</v>
      </c>
      <c r="X122" s="134">
        <f>V122+I122/5</f>
        <v>3.3107242677299434E-2</v>
      </c>
      <c r="Y122" s="134"/>
      <c r="AA122" s="134"/>
    </row>
    <row r="123" spans="1:27">
      <c r="A123" t="s">
        <v>277</v>
      </c>
      <c r="B123" t="s">
        <v>32</v>
      </c>
      <c r="C123" s="196">
        <v>12962.567546429629</v>
      </c>
      <c r="D123" s="100">
        <v>30.31267299191196</v>
      </c>
      <c r="E123" s="13">
        <v>0.99766152246587436</v>
      </c>
      <c r="F123" s="100">
        <v>-267.92396449367368</v>
      </c>
      <c r="G123" s="100">
        <v>-1.0206690505977321</v>
      </c>
      <c r="H123" s="13">
        <v>-0.99557809250905993</v>
      </c>
      <c r="I123" s="13">
        <v>-0.99295608856760142</v>
      </c>
      <c r="J123" s="13">
        <v>-0.99108012967406622</v>
      </c>
      <c r="K123" s="100">
        <v>-8.8386782836723548</v>
      </c>
      <c r="L123" s="7">
        <v>52.594986668713076</v>
      </c>
      <c r="M123" s="15">
        <v>0.99594254869027088</v>
      </c>
      <c r="N123" s="7">
        <v>-267.92396449367368</v>
      </c>
      <c r="O123" s="7">
        <v>-1.0206690505977321</v>
      </c>
      <c r="P123" s="7">
        <v>-5.0940970131104208</v>
      </c>
      <c r="S123" s="109">
        <v>3.3039927664959752E-3</v>
      </c>
      <c r="U123" s="134">
        <f>C123*S123</f>
        <v>42.828229408618974</v>
      </c>
      <c r="V123" s="134">
        <f>(1+S123)*R122*(1-U123)+S123</f>
        <v>-9.8985245596729422E-3</v>
      </c>
      <c r="W123" s="134">
        <f>V123+I123/3</f>
        <v>-0.3408838874155401</v>
      </c>
      <c r="X123" s="134">
        <f>V123+I123/5</f>
        <v>-0.20848974227319322</v>
      </c>
      <c r="Y123" s="134"/>
      <c r="AA123" s="134"/>
    </row>
    <row r="124" spans="1:27">
      <c r="B124" t="s">
        <v>34</v>
      </c>
      <c r="C124" s="196">
        <v>6.2081098295528196</v>
      </c>
      <c r="D124" s="100">
        <v>1.9511489371642059</v>
      </c>
      <c r="E124" s="13">
        <v>0.68570966192059934</v>
      </c>
      <c r="F124" s="100">
        <v>9.1011658642536073</v>
      </c>
      <c r="G124" s="100">
        <v>0.46601237963426612</v>
      </c>
      <c r="H124" s="13">
        <v>-0.5506542236617753</v>
      </c>
      <c r="I124" s="13">
        <v>-0.36943877313744811</v>
      </c>
      <c r="J124" s="13">
        <v>-0.22408821773598009</v>
      </c>
      <c r="K124" s="100">
        <v>4.6645162195978829</v>
      </c>
      <c r="L124" s="7">
        <v>2.6709254655364938</v>
      </c>
      <c r="M124" s="15">
        <v>0.56976832902956476</v>
      </c>
      <c r="N124" s="7">
        <v>9.1011658642536073</v>
      </c>
      <c r="O124" s="7">
        <v>0.46601237963426612</v>
      </c>
      <c r="P124" s="7">
        <v>3.407495260233893</v>
      </c>
      <c r="W124" s="134">
        <f>V122+I124/3</f>
        <v>-6.7924370026068992E-2</v>
      </c>
      <c r="X124" s="134">
        <f>V122+I124/5</f>
        <v>-1.8665866941075901E-2</v>
      </c>
      <c r="Y124" s="134"/>
      <c r="AA124" s="134"/>
    </row>
    <row r="125" spans="1:27">
      <c r="B125" t="s">
        <v>35</v>
      </c>
      <c r="C125" s="198">
        <v>4.0779862464440058</v>
      </c>
      <c r="D125" s="100">
        <v>1.6627847643835081</v>
      </c>
      <c r="E125" s="13">
        <v>0.59225346435794091</v>
      </c>
      <c r="F125" s="100">
        <v>7.8339335054218973</v>
      </c>
      <c r="G125" s="100">
        <v>0.92102989858120998</v>
      </c>
      <c r="H125" s="13">
        <v>-0.3856702546564964</v>
      </c>
      <c r="I125" s="13">
        <v>-0.1433513370577589</v>
      </c>
      <c r="J125" s="13">
        <v>3.6614137352609433E-2</v>
      </c>
      <c r="K125" s="100">
        <v>4.7113334649336878</v>
      </c>
      <c r="L125" s="7">
        <v>2.42886655651473</v>
      </c>
      <c r="M125" s="15">
        <v>0.4043955987755733</v>
      </c>
      <c r="N125" s="7">
        <v>7.8339335054218973</v>
      </c>
      <c r="O125" s="7">
        <v>0.92102989858120998</v>
      </c>
      <c r="P125" s="7">
        <v>3.225345371243078</v>
      </c>
      <c r="W125" s="134">
        <f>V123+I125/3</f>
        <v>-5.7682303578925911E-2</v>
      </c>
      <c r="X125" s="134">
        <f>V123+I125/5</f>
        <v>-3.8568791971224724E-2</v>
      </c>
      <c r="Y125" s="134"/>
      <c r="AA125" s="134"/>
    </row>
    <row r="126" spans="1:27">
      <c r="C126" s="111"/>
      <c r="D126" s="100"/>
      <c r="F126" s="100"/>
      <c r="G126" s="100"/>
      <c r="K126" s="100"/>
      <c r="L126" s="7"/>
      <c r="N126" s="7"/>
      <c r="O126" s="7"/>
      <c r="P126" s="7"/>
      <c r="AA126" s="134"/>
    </row>
    <row r="127" spans="1:27">
      <c r="A127" t="s">
        <v>278</v>
      </c>
      <c r="B127" t="s">
        <v>30</v>
      </c>
      <c r="C127" s="197">
        <v>38.555299566606173</v>
      </c>
      <c r="D127" s="100">
        <v>22.584335600175969</v>
      </c>
      <c r="E127" s="13">
        <v>0.41423524511434739</v>
      </c>
      <c r="F127" s="100">
        <v>234.30574667211141</v>
      </c>
      <c r="G127" s="100">
        <v>5.0771346431205062</v>
      </c>
      <c r="H127" s="13">
        <v>-8.24939301986094E-3</v>
      </c>
      <c r="I127" s="13">
        <v>0.35061873969988411</v>
      </c>
      <c r="J127" s="13">
        <v>1.3828758758388611</v>
      </c>
      <c r="K127" s="100">
        <v>10.374701776495289</v>
      </c>
      <c r="L127" s="7">
        <v>36.169194515564541</v>
      </c>
      <c r="M127" s="15">
        <v>6.1887861794965859E-2</v>
      </c>
      <c r="N127" s="7">
        <v>234.30574667211141</v>
      </c>
      <c r="O127" s="7">
        <v>5.0771346431205062</v>
      </c>
      <c r="P127" s="7">
        <v>6.4780471285110757</v>
      </c>
      <c r="Q127" s="109">
        <v>3.4348582002922901E-2</v>
      </c>
      <c r="R127" s="109">
        <v>-9.3041945526560726E-2</v>
      </c>
      <c r="S127" s="109">
        <v>9.832292881866685E-3</v>
      </c>
      <c r="U127" s="134">
        <f>C127*S127</f>
        <v>0.37908699748697955</v>
      </c>
      <c r="V127" s="134">
        <f>(1+S127)*Q127*(1-U127)+S127</f>
        <v>3.1369472106794909E-2</v>
      </c>
      <c r="W127" s="134">
        <f>V127+I127/3</f>
        <v>0.1482423853400896</v>
      </c>
      <c r="X127" s="134">
        <f>V127+I127/5</f>
        <v>0.10149322004677172</v>
      </c>
      <c r="Y127" s="134"/>
      <c r="AA127" s="134"/>
    </row>
    <row r="128" spans="1:27">
      <c r="A128" t="s">
        <v>279</v>
      </c>
      <c r="B128" t="s">
        <v>32</v>
      </c>
      <c r="C128" s="195">
        <v>-33.84315396904784</v>
      </c>
      <c r="D128" s="100">
        <v>34.694478705650752</v>
      </c>
      <c r="E128" s="13">
        <v>2.0251550058656331</v>
      </c>
      <c r="F128" s="100">
        <v>-10.98333078026085</v>
      </c>
      <c r="G128" s="100">
        <v>-0.67546373513810365</v>
      </c>
      <c r="H128" s="13">
        <v>-2.5025167130658259</v>
      </c>
      <c r="I128" s="13">
        <v>-3.032818803927567</v>
      </c>
      <c r="J128" s="13">
        <v>-4.8599295269283918</v>
      </c>
      <c r="K128" s="100">
        <v>-0.3165728723997796</v>
      </c>
      <c r="L128" s="7">
        <v>46.261294514992883</v>
      </c>
      <c r="M128" s="15">
        <v>2.366932129236607</v>
      </c>
      <c r="N128" s="7">
        <v>-30.465999577620209</v>
      </c>
      <c r="O128" s="7">
        <v>-9.9788406084027947E-2</v>
      </c>
      <c r="P128" s="7">
        <v>-0.6585634902141887</v>
      </c>
      <c r="S128" s="109">
        <v>4.3651022426117146E-3</v>
      </c>
      <c r="U128" s="134">
        <f>C128*S128</f>
        <v>-0.14772882728734427</v>
      </c>
      <c r="V128" s="134">
        <f>(1+S128)*R127*(1-U128)+S128</f>
        <v>-0.10288795662231073</v>
      </c>
      <c r="W128" s="134">
        <f>V128+I128/3</f>
        <v>-1.1138275579314996</v>
      </c>
      <c r="X128" s="134">
        <f>V128+I128/5</f>
        <v>-0.7094517174078242</v>
      </c>
      <c r="Y128" s="134"/>
      <c r="AA128" s="134"/>
    </row>
    <row r="129" spans="1:27">
      <c r="B129" t="s">
        <v>34</v>
      </c>
      <c r="C129" s="195">
        <v>1.32431986881083</v>
      </c>
      <c r="D129" s="100">
        <v>1.0550545634293489</v>
      </c>
      <c r="E129" s="13">
        <v>0.20332346566941359</v>
      </c>
      <c r="F129" s="100">
        <v>4.6336471025738586</v>
      </c>
      <c r="G129" s="100">
        <v>2.4988881551211879</v>
      </c>
      <c r="H129" s="13">
        <v>1.7510928377159059E-2</v>
      </c>
      <c r="I129" s="13">
        <v>0.2383404614727469</v>
      </c>
      <c r="J129" s="13">
        <v>0.81436668930951872</v>
      </c>
      <c r="K129" s="100">
        <v>4.3918554197923703</v>
      </c>
      <c r="L129" s="7">
        <v>1.2231938282556929</v>
      </c>
      <c r="M129" s="15">
        <v>7.6360736508425786E-2</v>
      </c>
      <c r="N129" s="7">
        <v>4.6336471025738586</v>
      </c>
      <c r="O129" s="7">
        <v>2.4988881551211879</v>
      </c>
      <c r="P129" s="7">
        <v>3.7881544163622558</v>
      </c>
      <c r="W129" s="134">
        <f>V127+I129/3</f>
        <v>0.11081629259771053</v>
      </c>
      <c r="X129" s="134">
        <f>V127+I129/5</f>
        <v>7.9037564401344296E-2</v>
      </c>
      <c r="Y129" s="134"/>
      <c r="AA129" s="134"/>
    </row>
    <row r="130" spans="1:27">
      <c r="B130" t="s">
        <v>35</v>
      </c>
      <c r="C130" s="197">
        <v>3.148832888035157</v>
      </c>
      <c r="D130" s="100">
        <v>1.941537717758296</v>
      </c>
      <c r="E130" s="13">
        <v>0.38341036606429812</v>
      </c>
      <c r="F130" s="100">
        <v>10.08793682529123</v>
      </c>
      <c r="G130" s="100">
        <v>2.2037066379810382</v>
      </c>
      <c r="H130" s="13">
        <v>-7.3414764339788885E-2</v>
      </c>
      <c r="I130" s="13">
        <v>9.3390129223978491E-2</v>
      </c>
      <c r="J130" s="13">
        <v>0.34402562310959989</v>
      </c>
      <c r="K130" s="100">
        <v>5.1958490082483628</v>
      </c>
      <c r="L130" s="7">
        <v>2.482946714107944</v>
      </c>
      <c r="M130" s="15">
        <v>0.2114707885761189</v>
      </c>
      <c r="N130" s="7">
        <v>9.3489640047401021</v>
      </c>
      <c r="O130" s="7">
        <v>1.969025139525195</v>
      </c>
      <c r="P130" s="7">
        <v>3.7652696900903631</v>
      </c>
      <c r="W130" s="134">
        <f>V128+I130/3</f>
        <v>-7.1757913547651236E-2</v>
      </c>
      <c r="X130" s="134">
        <f>V128+I130/5</f>
        <v>-8.4209930777515041E-2</v>
      </c>
      <c r="Y130" s="134"/>
      <c r="AA130" s="134"/>
    </row>
    <row r="131" spans="1:27">
      <c r="C131" s="111"/>
      <c r="D131" s="100"/>
      <c r="F131" s="100"/>
      <c r="G131" s="100"/>
      <c r="K131" s="100"/>
      <c r="L131" s="7"/>
      <c r="N131" s="7"/>
      <c r="O131" s="7"/>
      <c r="P131" s="7"/>
      <c r="AA131" s="134"/>
    </row>
    <row r="132" spans="1:27">
      <c r="A132" t="s">
        <v>280</v>
      </c>
      <c r="B132" t="s">
        <v>30</v>
      </c>
      <c r="C132" s="196">
        <v>1834.717149975542</v>
      </c>
      <c r="D132" s="100">
        <v>27.196543373964989</v>
      </c>
      <c r="E132" s="13">
        <v>0.98517671054945577</v>
      </c>
      <c r="F132" s="100">
        <v>-210.47336391171669</v>
      </c>
      <c r="G132" s="100">
        <v>-1.114717063561826</v>
      </c>
      <c r="H132" s="13">
        <v>-0.97555668442431653</v>
      </c>
      <c r="I132" s="13">
        <v>-0.9640905345035421</v>
      </c>
      <c r="J132" s="13">
        <v>-0.95201095010524517</v>
      </c>
      <c r="K132" s="100">
        <v>-7.7389748034377428</v>
      </c>
      <c r="L132" s="7">
        <v>46.582972547177803</v>
      </c>
      <c r="M132" s="15">
        <v>0.9746102702818259</v>
      </c>
      <c r="N132" s="7">
        <v>-210.47336391171669</v>
      </c>
      <c r="O132" s="7">
        <v>-1.114717063561826</v>
      </c>
      <c r="P132" s="7">
        <v>-4.5182467413077978</v>
      </c>
      <c r="Q132" s="109">
        <v>2.1119529684273841E-3</v>
      </c>
      <c r="R132" s="109">
        <v>-0.17520757751995161</v>
      </c>
      <c r="S132" s="109">
        <v>4.0821629334417782E-3</v>
      </c>
      <c r="U132" s="134">
        <f>C132*S132</f>
        <v>7.4896143429800972</v>
      </c>
      <c r="V132" s="134">
        <f>(1+S132)*Q132*(1-U132)+S132</f>
        <v>-9.6795464887356811E-3</v>
      </c>
      <c r="W132" s="134">
        <f>V132+I132/3</f>
        <v>-0.3310430579899164</v>
      </c>
      <c r="X132" s="134">
        <f>V132+I132/5</f>
        <v>-0.20249765338944409</v>
      </c>
      <c r="Y132" s="134"/>
      <c r="AA132" s="134"/>
    </row>
    <row r="133" spans="1:27">
      <c r="A133" t="s">
        <v>281</v>
      </c>
      <c r="B133" t="s">
        <v>32</v>
      </c>
      <c r="C133" s="195">
        <v>-18.650271865598281</v>
      </c>
      <c r="D133" s="100">
        <v>33.65883004907689</v>
      </c>
      <c r="E133" s="13">
        <v>2.8047366972254668</v>
      </c>
      <c r="F133" s="100">
        <v>-12.450877279340631</v>
      </c>
      <c r="G133" s="100">
        <v>-0.33240237091089608</v>
      </c>
      <c r="H133" s="13">
        <v>-3.8018298987877279</v>
      </c>
      <c r="I133" s="13">
        <v>-6.1558867917300022</v>
      </c>
      <c r="J133" s="13">
        <v>-13.253137995593431</v>
      </c>
      <c r="K133" s="100">
        <v>-0.36991414321847782</v>
      </c>
      <c r="L133" s="7">
        <v>72.644646431427262</v>
      </c>
      <c r="M133" s="15">
        <v>4.8950985248330534</v>
      </c>
      <c r="N133" s="7">
        <v>-12.450877279340631</v>
      </c>
      <c r="O133" s="7">
        <v>-0.33240237091089608</v>
      </c>
      <c r="P133" s="7">
        <v>-0.17139428562149589</v>
      </c>
      <c r="S133" s="109">
        <v>4.2135809902034823E-3</v>
      </c>
      <c r="U133" s="134">
        <f>C133*S133</f>
        <v>-7.858443099501175E-2</v>
      </c>
      <c r="V133" s="134">
        <f>(1+S133)*R132*(1-U133)+S133</f>
        <v>-0.18555885069290021</v>
      </c>
      <c r="W133" s="134">
        <f>V133+I133/3</f>
        <v>-2.2375211146029006</v>
      </c>
      <c r="X133" s="134">
        <f>V133+I133/5</f>
        <v>-1.4167362090389006</v>
      </c>
      <c r="Y133" s="134"/>
      <c r="AA133" s="134"/>
    </row>
    <row r="134" spans="1:27">
      <c r="B134" t="s">
        <v>34</v>
      </c>
      <c r="C134" s="198">
        <v>3.8748363311154761</v>
      </c>
      <c r="D134" s="100">
        <v>1.7112809734442169</v>
      </c>
      <c r="E134" s="13">
        <v>0.55836045003955592</v>
      </c>
      <c r="F134" s="100">
        <v>8.8126676902212289</v>
      </c>
      <c r="G134" s="100">
        <v>1.2743328845799959</v>
      </c>
      <c r="H134" s="13">
        <v>-0.25664652844377572</v>
      </c>
      <c r="I134" s="13">
        <v>-4.2701503567371679E-2</v>
      </c>
      <c r="J134" s="13">
        <v>0.16521619607099569</v>
      </c>
      <c r="K134" s="100">
        <v>5.149749121843139</v>
      </c>
      <c r="L134" s="7">
        <v>2.3484942588496218</v>
      </c>
      <c r="M134" s="15">
        <v>0.39391136601283361</v>
      </c>
      <c r="N134" s="7">
        <v>8.8126676902212289</v>
      </c>
      <c r="O134" s="7">
        <v>1.2743328845799959</v>
      </c>
      <c r="P134" s="7">
        <v>3.752475722268954</v>
      </c>
      <c r="W134" s="134">
        <f>V132+I134/3</f>
        <v>-2.3913381011192905E-2</v>
      </c>
      <c r="X134" s="134">
        <f>V132+I134/5</f>
        <v>-1.8219847202210017E-2</v>
      </c>
      <c r="Y134" s="134"/>
      <c r="AA134" s="134"/>
    </row>
    <row r="135" spans="1:27">
      <c r="B135" t="s">
        <v>35</v>
      </c>
      <c r="C135" s="197">
        <v>3.267668953659983</v>
      </c>
      <c r="D135" s="100">
        <v>1.9108448510667511</v>
      </c>
      <c r="E135" s="13">
        <v>0.41522691613956442</v>
      </c>
      <c r="F135" s="100">
        <v>9.4224728778382332</v>
      </c>
      <c r="G135" s="100">
        <v>1.8835457359548331</v>
      </c>
      <c r="H135" s="13">
        <v>-0.10589327201558819</v>
      </c>
      <c r="I135" s="13">
        <v>0.13881262149005669</v>
      </c>
      <c r="J135" s="13">
        <v>0.5686161895530859</v>
      </c>
      <c r="K135" s="100">
        <v>4.9310507195694253</v>
      </c>
      <c r="L135" s="7">
        <v>2.156999424156385</v>
      </c>
      <c r="M135" s="15">
        <v>0.33989658844099901</v>
      </c>
      <c r="N135" s="7">
        <v>9.4224728778382332</v>
      </c>
      <c r="O135" s="7">
        <v>1.8835457359548331</v>
      </c>
      <c r="P135" s="7">
        <v>4.3683242435372529</v>
      </c>
      <c r="W135" s="134">
        <f>V133+I135/3</f>
        <v>-0.1392879768628813</v>
      </c>
      <c r="X135" s="134">
        <f>V133+I135/5</f>
        <v>-0.15779632639488886</v>
      </c>
      <c r="Y135" s="134"/>
      <c r="AA135" s="134"/>
    </row>
    <row r="136" spans="1:27">
      <c r="C136" s="111"/>
      <c r="D136" s="100"/>
      <c r="F136" s="100"/>
      <c r="G136" s="100"/>
      <c r="K136" s="100"/>
      <c r="L136" s="7"/>
      <c r="N136" s="7"/>
      <c r="O136" s="7"/>
      <c r="P136" s="7"/>
      <c r="AA136" s="134"/>
    </row>
    <row r="137" spans="1:27">
      <c r="A137" t="s">
        <v>225</v>
      </c>
      <c r="B137" t="s">
        <v>30</v>
      </c>
      <c r="C137" s="197">
        <v>17.699196244537369</v>
      </c>
      <c r="D137" s="100">
        <v>10.44099953460197</v>
      </c>
      <c r="E137" s="13">
        <v>0.41008623271102179</v>
      </c>
      <c r="F137" s="100">
        <v>43.667399957441631</v>
      </c>
      <c r="G137" s="100">
        <v>1.467196778549706</v>
      </c>
      <c r="H137" s="13">
        <v>-6.2959917230843376E-2</v>
      </c>
      <c r="I137" s="13">
        <v>0.22220050871022859</v>
      </c>
      <c r="J137" s="13">
        <v>0.45129630384729569</v>
      </c>
      <c r="K137" s="100">
        <v>4.1823007282708691</v>
      </c>
      <c r="L137" s="7">
        <v>14.511027755388181</v>
      </c>
      <c r="M137" s="15">
        <v>0.18013069323038761</v>
      </c>
      <c r="N137" s="7">
        <v>29.866272453970961</v>
      </c>
      <c r="O137" s="7">
        <v>0.68743665199987913</v>
      </c>
      <c r="P137" s="7">
        <v>2.0581776120496449</v>
      </c>
      <c r="Q137" s="109">
        <v>7.75007626554646E-2</v>
      </c>
      <c r="R137" s="109">
        <v>1.5780883101944521E-2</v>
      </c>
      <c r="S137" s="109">
        <v>2.691800674402579E-2</v>
      </c>
      <c r="U137" s="134">
        <f>C137*S137</f>
        <v>0.47642708387429283</v>
      </c>
      <c r="V137" s="134">
        <f>(1+S137)*Q137*(1-U137)+S137</f>
        <v>6.858756709279118E-2</v>
      </c>
      <c r="W137" s="134">
        <f>V137+I137/3</f>
        <v>0.14265440332953405</v>
      </c>
      <c r="X137" s="134">
        <f>V137+I137/5</f>
        <v>0.11302766883483689</v>
      </c>
      <c r="Y137" s="134"/>
      <c r="AA137" s="134"/>
    </row>
    <row r="138" spans="1:27">
      <c r="A138" t="s">
        <v>282</v>
      </c>
      <c r="B138" t="s">
        <v>32</v>
      </c>
      <c r="C138" s="196">
        <v>80.060899289849985</v>
      </c>
      <c r="D138" s="100">
        <v>15.70196708506923</v>
      </c>
      <c r="E138" s="13">
        <v>0.80387471007261213</v>
      </c>
      <c r="F138" s="100">
        <v>-614.51095381930713</v>
      </c>
      <c r="G138" s="100">
        <v>-8.6755439830191108</v>
      </c>
      <c r="H138" s="13">
        <v>-0.69199905327552291</v>
      </c>
      <c r="I138" s="13">
        <v>-0.53841356752656711</v>
      </c>
      <c r="J138" s="13">
        <v>-0.31801434465338507</v>
      </c>
      <c r="K138" s="100">
        <v>-39.135921664466913</v>
      </c>
      <c r="L138" s="7">
        <v>22.184991098354409</v>
      </c>
      <c r="M138" s="15">
        <v>0.72289855228784583</v>
      </c>
      <c r="N138" s="7">
        <v>115.4449180252082</v>
      </c>
      <c r="O138" s="7">
        <v>0.44196379317767881</v>
      </c>
      <c r="P138" s="7">
        <v>5.2037396595471908</v>
      </c>
      <c r="S138" s="109">
        <v>1.5070643620481579E-2</v>
      </c>
      <c r="U138" s="134">
        <f>C138*S138</f>
        <v>1.2065692811325959</v>
      </c>
      <c r="V138" s="134">
        <f>(1+S138)*R137*(1-U138)+S138</f>
        <v>1.1761669970004371E-2</v>
      </c>
      <c r="W138" s="134">
        <f>V138+I138/3</f>
        <v>-0.16770951920551802</v>
      </c>
      <c r="X138" s="134">
        <f>V138+I138/5</f>
        <v>-9.5921043535309045E-2</v>
      </c>
      <c r="Y138" s="134"/>
      <c r="AA138" s="134"/>
    </row>
    <row r="139" spans="1:27">
      <c r="B139" t="s">
        <v>34</v>
      </c>
      <c r="C139" s="195">
        <v>1.3717012073403809</v>
      </c>
      <c r="D139" s="100">
        <v>1.3531007016567611</v>
      </c>
      <c r="E139" s="13">
        <v>1.3560173005668591E-2</v>
      </c>
      <c r="F139" s="100">
        <v>3.8243930784200231</v>
      </c>
      <c r="G139" s="100">
        <v>1.7880656938658059</v>
      </c>
      <c r="H139" s="13">
        <v>0.14595165707625449</v>
      </c>
      <c r="I139" s="13">
        <v>0.30380479952523781</v>
      </c>
      <c r="J139" s="13">
        <v>0.6286641275934659</v>
      </c>
      <c r="K139" s="100">
        <v>2.8263920591699989</v>
      </c>
      <c r="L139" s="7">
        <v>1.358915002587634</v>
      </c>
      <c r="M139" s="15">
        <v>9.3214212281242936E-3</v>
      </c>
      <c r="N139" s="7">
        <v>3.8243930784200231</v>
      </c>
      <c r="O139" s="7">
        <v>1.7880656938658059</v>
      </c>
      <c r="P139" s="7">
        <v>2.814298959933216</v>
      </c>
      <c r="W139" s="134">
        <f>V137+I139/3</f>
        <v>0.16985583360120377</v>
      </c>
      <c r="X139" s="134">
        <f>V137+I139/5</f>
        <v>0.12934852699783875</v>
      </c>
      <c r="Y139" s="134"/>
      <c r="AA139" s="134"/>
    </row>
    <row r="140" spans="1:27">
      <c r="B140" t="s">
        <v>35</v>
      </c>
      <c r="C140" s="195">
        <v>1.263431692729676</v>
      </c>
      <c r="D140" s="100">
        <v>1.193445359156259</v>
      </c>
      <c r="E140" s="13">
        <v>5.5393840423782037E-2</v>
      </c>
      <c r="F140" s="100">
        <v>4.6522789104622619</v>
      </c>
      <c r="G140" s="100">
        <v>2.6822559836305011</v>
      </c>
      <c r="H140" s="13">
        <v>0.2990984242817023</v>
      </c>
      <c r="I140" s="13">
        <v>0.62719553073260448</v>
      </c>
      <c r="J140" s="13">
        <v>1.090044368868172</v>
      </c>
      <c r="K140" s="100">
        <v>3.8981917980319811</v>
      </c>
      <c r="L140" s="7">
        <v>1.193445359156259</v>
      </c>
      <c r="M140" s="15">
        <v>5.5393840423782037E-2</v>
      </c>
      <c r="N140" s="7">
        <v>4.6522789104622619</v>
      </c>
      <c r="O140" s="7">
        <v>2.6822559836305011</v>
      </c>
      <c r="P140" s="7">
        <v>3.8981917980319811</v>
      </c>
      <c r="W140" s="134">
        <f>V138+I140/3</f>
        <v>0.22082684688087251</v>
      </c>
      <c r="X140" s="134">
        <f>V138+I140/5</f>
        <v>0.13720077611652526</v>
      </c>
      <c r="Y140" s="134"/>
      <c r="AA140" s="134"/>
    </row>
    <row r="141" spans="1:27">
      <c r="AA141" s="134"/>
    </row>
    <row r="142" spans="1:27">
      <c r="A142" t="s">
        <v>283</v>
      </c>
      <c r="B142" t="s">
        <v>30</v>
      </c>
      <c r="C142" s="195">
        <v>8.8649732229546245</v>
      </c>
      <c r="D142" s="100">
        <v>8.3968295086655846</v>
      </c>
      <c r="E142" s="13">
        <v>5.2808249107492711E-2</v>
      </c>
      <c r="F142" s="100">
        <v>36.50506042868917</v>
      </c>
      <c r="G142" s="100">
        <v>3.1178985554253398</v>
      </c>
      <c r="H142" s="13">
        <v>0.32396347558177507</v>
      </c>
      <c r="I142" s="13">
        <v>0.83295200789954738</v>
      </c>
      <c r="J142" s="13">
        <v>1.560107787001016</v>
      </c>
      <c r="K142" s="100">
        <v>4.3474814382042286</v>
      </c>
      <c r="L142" s="7">
        <v>8.3968295086655846</v>
      </c>
      <c r="M142" s="15">
        <v>5.2808249107492711E-2</v>
      </c>
      <c r="N142" s="7">
        <v>36.50506042868917</v>
      </c>
      <c r="O142" s="7">
        <v>3.1178985554253398</v>
      </c>
      <c r="P142" s="7">
        <v>4.3474814382042286</v>
      </c>
      <c r="Q142" s="109">
        <v>0.14476355712136449</v>
      </c>
      <c r="R142" s="109">
        <v>7.85987536582997E-2</v>
      </c>
      <c r="S142" s="109">
        <v>3.350930146820863E-2</v>
      </c>
      <c r="U142" s="134"/>
      <c r="V142" s="134"/>
      <c r="W142" s="134"/>
      <c r="X142" s="134"/>
      <c r="Y142" s="134"/>
      <c r="AA142" s="134"/>
    </row>
    <row r="143" spans="1:27">
      <c r="A143" t="s">
        <v>284</v>
      </c>
      <c r="B143" t="s">
        <v>32</v>
      </c>
      <c r="C143" s="195">
        <v>14.43001572442993</v>
      </c>
      <c r="D143" s="100">
        <v>12.61471063146266</v>
      </c>
      <c r="E143" s="13">
        <v>0.12580063165793801</v>
      </c>
      <c r="F143" s="100">
        <v>-6.9378229057494769</v>
      </c>
      <c r="G143" s="100">
        <v>-1.4807910842400389</v>
      </c>
      <c r="H143" s="13">
        <v>0.33546192331160452</v>
      </c>
      <c r="I143" s="13">
        <v>0.8016003345192404</v>
      </c>
      <c r="J143" s="13">
        <v>1.9591996167197769</v>
      </c>
      <c r="K143" s="100">
        <v>-0.54997875959561693</v>
      </c>
      <c r="L143" s="7">
        <v>12.61471063146266</v>
      </c>
      <c r="M143" s="15">
        <v>0.12580063165793801</v>
      </c>
      <c r="N143" s="7">
        <v>-6.9378229057494769</v>
      </c>
      <c r="O143" s="7">
        <v>-1.4807910842400389</v>
      </c>
      <c r="P143" s="7">
        <v>-0.54997875959561693</v>
      </c>
      <c r="S143" s="109">
        <v>2.160793324419737E-2</v>
      </c>
      <c r="U143" s="134"/>
      <c r="V143" s="134"/>
      <c r="W143" s="134"/>
      <c r="X143" s="134"/>
      <c r="Y143" s="134"/>
      <c r="AA143" s="134"/>
    </row>
    <row r="144" spans="1:27">
      <c r="B144" t="s">
        <v>34</v>
      </c>
      <c r="C144" s="195">
        <v>1.283325057540559</v>
      </c>
      <c r="D144" s="100">
        <v>1.228754864324431</v>
      </c>
      <c r="E144" s="13">
        <v>4.2522502693674413E-2</v>
      </c>
      <c r="F144" s="100">
        <v>4.3324629708361488</v>
      </c>
      <c r="G144" s="100">
        <v>2.3759669425758281</v>
      </c>
      <c r="H144" s="13">
        <v>0.2696403358869881</v>
      </c>
      <c r="I144" s="13">
        <v>0.62281498696624671</v>
      </c>
      <c r="J144" s="13">
        <v>1.05179833271644</v>
      </c>
      <c r="K144" s="100">
        <v>3.525896903137093</v>
      </c>
      <c r="L144" s="7">
        <v>1.228754864324431</v>
      </c>
      <c r="M144" s="15">
        <v>4.2522502693674413E-2</v>
      </c>
      <c r="N144" s="7">
        <v>4.3324629708361488</v>
      </c>
      <c r="O144" s="7">
        <v>2.3759669425758281</v>
      </c>
      <c r="P144" s="7">
        <v>3.525896903137093</v>
      </c>
      <c r="W144" s="134"/>
      <c r="X144" s="134"/>
      <c r="Y144" s="134"/>
      <c r="AA144" s="134"/>
    </row>
    <row r="145" spans="1:27">
      <c r="B145" t="s">
        <v>35</v>
      </c>
      <c r="C145" s="195">
        <v>1.134181251209859</v>
      </c>
      <c r="D145" s="100">
        <v>1.0668675639902709</v>
      </c>
      <c r="E145" s="13">
        <v>5.9350026415780237E-2</v>
      </c>
      <c r="F145" s="100">
        <v>4.9629558070546791</v>
      </c>
      <c r="G145" s="100">
        <v>3.3758048387421078</v>
      </c>
      <c r="H145" s="13">
        <v>0.54530864720241357</v>
      </c>
      <c r="I145" s="13">
        <v>0.96663180795993475</v>
      </c>
      <c r="J145" s="13">
        <v>1.5582114584723961</v>
      </c>
      <c r="K145" s="100">
        <v>4.6518949254510638</v>
      </c>
      <c r="L145" s="7">
        <v>1.0668675639902709</v>
      </c>
      <c r="M145" s="15">
        <v>5.9350026415780237E-2</v>
      </c>
      <c r="N145" s="7">
        <v>4.9629558070546791</v>
      </c>
      <c r="O145" s="7">
        <v>3.3758048387421078</v>
      </c>
      <c r="P145" s="7">
        <v>4.6518949254510638</v>
      </c>
      <c r="W145" s="134"/>
      <c r="X145" s="134"/>
      <c r="Y145" s="134"/>
      <c r="AA145" s="134"/>
    </row>
    <row r="147" spans="1:27">
      <c r="A147" t="s">
        <v>285</v>
      </c>
      <c r="B147" t="s">
        <v>30</v>
      </c>
      <c r="C147" s="197">
        <v>26.11692567179265</v>
      </c>
      <c r="D147" s="100">
        <v>11.77060253377568</v>
      </c>
      <c r="E147" s="13">
        <v>0.54931132853479703</v>
      </c>
      <c r="F147" s="100">
        <v>139.4725271291976</v>
      </c>
      <c r="G147" s="100">
        <v>4.3403118300341763</v>
      </c>
      <c r="H147" s="13">
        <v>-0.1700937791272458</v>
      </c>
      <c r="I147" s="13">
        <v>0.3331546979343698</v>
      </c>
      <c r="J147" s="13">
        <v>1.0972911622337831</v>
      </c>
      <c r="K147" s="100">
        <v>11.849225791881249</v>
      </c>
      <c r="L147" s="7">
        <v>15.527034367336251</v>
      </c>
      <c r="M147" s="15">
        <v>0.40548001083810248</v>
      </c>
      <c r="N147" s="7">
        <v>139.4725271291976</v>
      </c>
      <c r="O147" s="7">
        <v>4.3403118300341763</v>
      </c>
      <c r="P147" s="7">
        <v>8.9825605991187647</v>
      </c>
      <c r="Q147" s="109">
        <v>5.8252013041211907E-2</v>
      </c>
      <c r="R147" s="109">
        <v>4.9696433297900751E-2</v>
      </c>
      <c r="S147" s="109">
        <v>1.5911061452675609E-2</v>
      </c>
      <c r="U147" s="134"/>
      <c r="V147" s="134"/>
      <c r="W147" s="134"/>
      <c r="X147" s="134"/>
      <c r="Y147" s="134"/>
      <c r="AA147" s="134"/>
    </row>
    <row r="148" spans="1:27">
      <c r="A148" t="s">
        <v>286</v>
      </c>
      <c r="B148" t="s">
        <v>32</v>
      </c>
      <c r="C148" s="197">
        <v>28.123012564894669</v>
      </c>
      <c r="D148" s="100">
        <v>6.7530604781043886</v>
      </c>
      <c r="E148" s="13">
        <v>0.75987421466596061</v>
      </c>
      <c r="F148" s="100">
        <v>-379.42106645927868</v>
      </c>
      <c r="G148" s="100">
        <v>-14.49148017424355</v>
      </c>
      <c r="H148" s="13">
        <v>-1.5258625463858699E-3</v>
      </c>
      <c r="I148" s="13">
        <v>0.59385570908315422</v>
      </c>
      <c r="J148" s="13">
        <v>2.5353971101147379</v>
      </c>
      <c r="K148" s="100">
        <v>-56.185053826999599</v>
      </c>
      <c r="L148" s="7">
        <v>20.915817609035621</v>
      </c>
      <c r="M148" s="15">
        <v>0.2562739300858411</v>
      </c>
      <c r="N148" s="7">
        <v>-379.42106645927868</v>
      </c>
      <c r="O148" s="7">
        <v>-14.49148017424355</v>
      </c>
      <c r="P148" s="7">
        <v>-18.140388941590739</v>
      </c>
      <c r="S148" s="109">
        <v>1.473855825106222E-2</v>
      </c>
      <c r="U148" s="134"/>
      <c r="V148" s="134"/>
      <c r="W148" s="134"/>
      <c r="X148" s="134"/>
      <c r="Y148" s="134"/>
      <c r="AA148" s="134"/>
    </row>
    <row r="149" spans="1:27">
      <c r="B149" t="s">
        <v>34</v>
      </c>
      <c r="C149" s="195">
        <v>1.521363494829628</v>
      </c>
      <c r="D149" s="100">
        <v>1.391769970935119</v>
      </c>
      <c r="E149" s="13">
        <v>8.5182485536779096E-2</v>
      </c>
      <c r="F149" s="100">
        <v>9.2575793121732683</v>
      </c>
      <c r="G149" s="100">
        <v>5.0850541922658623</v>
      </c>
      <c r="H149" s="13">
        <v>0.47239349514389373</v>
      </c>
      <c r="I149" s="13">
        <v>1.1562786877297231</v>
      </c>
      <c r="J149" s="13">
        <v>1.8860571329960969</v>
      </c>
      <c r="K149" s="100">
        <v>6.651659042444475</v>
      </c>
      <c r="L149" s="7">
        <v>1.391769970935119</v>
      </c>
      <c r="M149" s="15">
        <v>8.5182485536779096E-2</v>
      </c>
      <c r="N149" s="7">
        <v>9.2575793121732683</v>
      </c>
      <c r="O149" s="7">
        <v>5.0850541922658623</v>
      </c>
      <c r="P149" s="7">
        <v>6.651659042444475</v>
      </c>
      <c r="W149" s="134"/>
      <c r="X149" s="134"/>
      <c r="Y149" s="134"/>
      <c r="AA149" s="134"/>
    </row>
    <row r="150" spans="1:27">
      <c r="B150" t="s">
        <v>35</v>
      </c>
      <c r="C150" s="195">
        <v>1.397613418067313</v>
      </c>
      <c r="D150" s="100">
        <v>1.3133343607462979</v>
      </c>
      <c r="E150" s="13">
        <v>6.0302123771507121E-2</v>
      </c>
      <c r="F150" s="100">
        <v>9.5501462630630094</v>
      </c>
      <c r="G150" s="100">
        <v>5.8331815791160722</v>
      </c>
      <c r="H150" s="13">
        <v>0.69280926451225833</v>
      </c>
      <c r="I150" s="13">
        <v>1.7420531023742929</v>
      </c>
      <c r="J150" s="13">
        <v>2.6263535299980512</v>
      </c>
      <c r="K150" s="100">
        <v>7.2716792832833272</v>
      </c>
      <c r="L150" s="7">
        <v>1.3133343607462979</v>
      </c>
      <c r="M150" s="15">
        <v>6.0302123771507121E-2</v>
      </c>
      <c r="N150" s="7">
        <v>9.5501462630630094</v>
      </c>
      <c r="O150" s="7">
        <v>5.8331815791160722</v>
      </c>
      <c r="P150" s="7">
        <v>7.2716792832833272</v>
      </c>
      <c r="W150" s="134"/>
      <c r="X150" s="134"/>
      <c r="Y150" s="134"/>
      <c r="AA150" s="134"/>
    </row>
    <row r="152" spans="1:27">
      <c r="U152" s="134"/>
      <c r="V152" s="134"/>
      <c r="W152" s="134"/>
      <c r="X152" s="134"/>
      <c r="Y152" s="134"/>
    </row>
    <row r="153" spans="1:27">
      <c r="U153" s="134"/>
      <c r="V153" s="134"/>
      <c r="W153" s="134"/>
      <c r="X153" s="134"/>
      <c r="Y153" s="134"/>
    </row>
    <row r="154" spans="1:27">
      <c r="W154" s="134"/>
      <c r="X154" s="134"/>
      <c r="Y154" s="134"/>
    </row>
    <row r="155" spans="1:27">
      <c r="W155" s="134"/>
      <c r="X155" s="134"/>
      <c r="Y155" s="134"/>
    </row>
    <row r="157" spans="1:27">
      <c r="U157" s="134"/>
      <c r="V157" s="134"/>
      <c r="W157" s="134"/>
      <c r="X157" s="134"/>
      <c r="Y157" s="134"/>
    </row>
    <row r="158" spans="1:27">
      <c r="U158" s="134"/>
      <c r="V158" s="134"/>
      <c r="W158" s="134"/>
      <c r="X158" s="134"/>
      <c r="Y158" s="134"/>
    </row>
    <row r="159" spans="1:27">
      <c r="W159" s="134"/>
      <c r="X159" s="134"/>
      <c r="Y159" s="134"/>
    </row>
    <row r="160" spans="1:27">
      <c r="W160" s="134"/>
      <c r="X160" s="134"/>
      <c r="Y160" s="134"/>
    </row>
    <row r="162" spans="21:25">
      <c r="U162" s="134"/>
      <c r="V162" s="134"/>
      <c r="W162" s="134"/>
      <c r="X162" s="134"/>
      <c r="Y162" s="134"/>
    </row>
    <row r="163" spans="21:25">
      <c r="U163" s="134"/>
      <c r="V163" s="134"/>
      <c r="W163" s="134"/>
      <c r="X163" s="134"/>
      <c r="Y163" s="134"/>
    </row>
    <row r="164" spans="21:25">
      <c r="W164" s="134"/>
      <c r="X164" s="134"/>
      <c r="Y164" s="134"/>
    </row>
    <row r="165" spans="21:25">
      <c r="W165" s="134"/>
      <c r="X165" s="134"/>
      <c r="Y165" s="134"/>
    </row>
    <row r="167" spans="21:25">
      <c r="U167" s="134"/>
      <c r="V167" s="134"/>
      <c r="W167" s="134"/>
      <c r="X167" s="134"/>
      <c r="Y167" s="134"/>
    </row>
    <row r="168" spans="21:25">
      <c r="U168" s="134"/>
      <c r="V168" s="134"/>
      <c r="W168" s="134"/>
      <c r="X168" s="134"/>
      <c r="Y168" s="134"/>
    </row>
    <row r="169" spans="21:25">
      <c r="W169" s="134"/>
      <c r="X169" s="134"/>
      <c r="Y169" s="134"/>
    </row>
    <row r="170" spans="21:25">
      <c r="W170" s="134"/>
      <c r="X170" s="134"/>
      <c r="Y170" s="134"/>
    </row>
    <row r="172" spans="21:25">
      <c r="U172" s="134"/>
      <c r="V172" s="134"/>
      <c r="W172" s="134"/>
      <c r="X172" s="134"/>
      <c r="Y172" s="134"/>
    </row>
    <row r="173" spans="21:25">
      <c r="U173" s="134"/>
      <c r="V173" s="134"/>
      <c r="W173" s="134"/>
      <c r="X173" s="134"/>
      <c r="Y173" s="134"/>
    </row>
    <row r="174" spans="21:25">
      <c r="W174" s="134"/>
      <c r="X174" s="134"/>
      <c r="Y174" s="134"/>
    </row>
    <row r="175" spans="21:25">
      <c r="W175" s="134"/>
      <c r="X175" s="134"/>
      <c r="Y175" s="134"/>
    </row>
    <row r="177" spans="21:25">
      <c r="U177" s="134"/>
      <c r="V177" s="134"/>
      <c r="W177" s="134"/>
      <c r="X177" s="134"/>
      <c r="Y177" s="134"/>
    </row>
    <row r="178" spans="21:25">
      <c r="U178" s="134"/>
      <c r="V178" s="134"/>
      <c r="W178" s="134"/>
      <c r="X178" s="134"/>
      <c r="Y178" s="134"/>
    </row>
    <row r="179" spans="21:25">
      <c r="W179" s="134"/>
      <c r="X179" s="134"/>
      <c r="Y179" s="134"/>
    </row>
    <row r="180" spans="21:25">
      <c r="W180" s="134"/>
      <c r="X180" s="134"/>
      <c r="Y180" s="134"/>
    </row>
    <row r="182" spans="21:25">
      <c r="U182" s="134"/>
      <c r="V182" s="134"/>
      <c r="W182" s="134"/>
      <c r="X182" s="134"/>
      <c r="Y182" s="134"/>
    </row>
    <row r="183" spans="21:25">
      <c r="U183" s="134"/>
      <c r="V183" s="134"/>
      <c r="W183" s="134"/>
      <c r="X183" s="134"/>
      <c r="Y183" s="134"/>
    </row>
    <row r="184" spans="21:25">
      <c r="W184" s="134"/>
      <c r="X184" s="134"/>
      <c r="Y184" s="134"/>
    </row>
    <row r="185" spans="21:25">
      <c r="W185" s="134"/>
      <c r="X185" s="134"/>
      <c r="Y185" s="134"/>
    </row>
    <row r="187" spans="21:25">
      <c r="U187" s="134"/>
      <c r="V187" s="134"/>
      <c r="W187" s="134"/>
      <c r="X187" s="134"/>
      <c r="Y187" s="134"/>
    </row>
    <row r="188" spans="21:25">
      <c r="U188" s="134"/>
      <c r="V188" s="134"/>
      <c r="W188" s="134"/>
      <c r="X188" s="134"/>
      <c r="Y188" s="134"/>
    </row>
    <row r="189" spans="21:25">
      <c r="W189" s="134"/>
      <c r="X189" s="134"/>
      <c r="Y189" s="134"/>
    </row>
    <row r="190" spans="21:25">
      <c r="W190" s="134"/>
      <c r="X190" s="134"/>
      <c r="Y190" s="134"/>
    </row>
    <row r="192" spans="21:25">
      <c r="U192" s="134"/>
      <c r="V192" s="134"/>
      <c r="W192" s="134"/>
      <c r="X192" s="134"/>
      <c r="Y192" s="134"/>
    </row>
    <row r="193" spans="21:25">
      <c r="U193" s="134"/>
      <c r="V193" s="134"/>
      <c r="W193" s="134"/>
      <c r="X193" s="134"/>
      <c r="Y193" s="134"/>
    </row>
    <row r="194" spans="21:25">
      <c r="W194" s="134"/>
      <c r="X194" s="134"/>
      <c r="Y194" s="134"/>
    </row>
    <row r="195" spans="21:25">
      <c r="W195" s="134"/>
      <c r="X195" s="134"/>
      <c r="Y195" s="134"/>
    </row>
    <row r="197" spans="21:25">
      <c r="U197" s="134"/>
      <c r="V197" s="134"/>
      <c r="W197" s="134"/>
      <c r="X197" s="134"/>
      <c r="Y197" s="134"/>
    </row>
    <row r="198" spans="21:25">
      <c r="U198" s="134"/>
      <c r="V198" s="134"/>
      <c r="W198" s="134"/>
      <c r="X198" s="134"/>
      <c r="Y198" s="134"/>
    </row>
    <row r="199" spans="21:25">
      <c r="W199" s="134"/>
      <c r="X199" s="134"/>
      <c r="Y199" s="134"/>
    </row>
    <row r="200" spans="21:25">
      <c r="W200" s="134"/>
      <c r="X200" s="134"/>
      <c r="Y200" s="134"/>
    </row>
    <row r="202" spans="21:25">
      <c r="U202" s="134"/>
      <c r="V202" s="134"/>
      <c r="W202" s="134"/>
      <c r="X202" s="134"/>
      <c r="Y202" s="134"/>
    </row>
    <row r="203" spans="21:25">
      <c r="U203" s="134"/>
      <c r="V203" s="134"/>
      <c r="W203" s="134"/>
      <c r="X203" s="134"/>
      <c r="Y203" s="134"/>
    </row>
    <row r="204" spans="21:25">
      <c r="W204" s="134"/>
      <c r="X204" s="134"/>
      <c r="Y204" s="134"/>
    </row>
    <row r="205" spans="21:25">
      <c r="W205" s="134"/>
      <c r="X205" s="134"/>
      <c r="Y205" s="134"/>
    </row>
    <row r="207" spans="21:25">
      <c r="U207" s="134"/>
      <c r="V207" s="134"/>
      <c r="W207" s="134"/>
      <c r="X207" s="134"/>
      <c r="Y207" s="134"/>
    </row>
    <row r="208" spans="21:25">
      <c r="U208" s="134"/>
      <c r="V208" s="134"/>
      <c r="W208" s="134"/>
      <c r="X208" s="134"/>
      <c r="Y208" s="134"/>
    </row>
    <row r="209" spans="21:25">
      <c r="W209" s="134"/>
      <c r="X209" s="134"/>
      <c r="Y209" s="134"/>
    </row>
    <row r="210" spans="21:25">
      <c r="W210" s="134"/>
      <c r="X210" s="134"/>
      <c r="Y210" s="134"/>
    </row>
    <row r="212" spans="21:25">
      <c r="U212" s="134"/>
      <c r="V212" s="134"/>
      <c r="W212" s="134"/>
      <c r="X212" s="134"/>
      <c r="Y212" s="134"/>
    </row>
    <row r="213" spans="21:25">
      <c r="U213" s="134"/>
      <c r="V213" s="134"/>
      <c r="W213" s="134"/>
      <c r="X213" s="134"/>
      <c r="Y213" s="134"/>
    </row>
    <row r="214" spans="21:25">
      <c r="W214" s="134"/>
      <c r="X214" s="134"/>
      <c r="Y214" s="134"/>
    </row>
    <row r="215" spans="21:25">
      <c r="W215" s="134"/>
      <c r="X215" s="134"/>
      <c r="Y215" s="134"/>
    </row>
    <row r="217" spans="21:25">
      <c r="U217" s="134"/>
      <c r="V217" s="134"/>
      <c r="W217" s="134"/>
      <c r="X217" s="134"/>
      <c r="Y217" s="134"/>
    </row>
    <row r="218" spans="21:25">
      <c r="U218" s="134"/>
      <c r="V218" s="134"/>
      <c r="W218" s="134"/>
      <c r="X218" s="134"/>
      <c r="Y218" s="134"/>
    </row>
    <row r="219" spans="21:25">
      <c r="W219" s="134"/>
      <c r="X219" s="134"/>
      <c r="Y219" s="134"/>
    </row>
    <row r="220" spans="21:25">
      <c r="W220" s="134"/>
      <c r="X220" s="134"/>
      <c r="Y220" s="134"/>
    </row>
    <row r="222" spans="21:25">
      <c r="U222" s="134"/>
      <c r="V222" s="134"/>
      <c r="W222" s="134"/>
      <c r="X222" s="134"/>
      <c r="Y222" s="134"/>
    </row>
    <row r="223" spans="21:25">
      <c r="U223" s="134"/>
      <c r="V223" s="134"/>
      <c r="W223" s="134"/>
      <c r="X223" s="134"/>
      <c r="Y223" s="134"/>
    </row>
    <row r="224" spans="21:25">
      <c r="W224" s="134"/>
      <c r="X224" s="134"/>
      <c r="Y224" s="134"/>
    </row>
    <row r="225" spans="21:25">
      <c r="W225" s="134"/>
      <c r="X225" s="134"/>
      <c r="Y225" s="134"/>
    </row>
    <row r="227" spans="21:25">
      <c r="U227" s="134"/>
      <c r="V227" s="134"/>
      <c r="W227" s="134"/>
      <c r="X227" s="134"/>
      <c r="Y227" s="134"/>
    </row>
    <row r="228" spans="21:25">
      <c r="U228" s="134"/>
      <c r="V228" s="134"/>
      <c r="W228" s="134"/>
      <c r="X228" s="134"/>
      <c r="Y228" s="134"/>
    </row>
    <row r="229" spans="21:25">
      <c r="W229" s="134"/>
      <c r="X229" s="134"/>
      <c r="Y229" s="134"/>
    </row>
    <row r="230" spans="21:25">
      <c r="W230" s="134"/>
      <c r="X230" s="134"/>
      <c r="Y230" s="134"/>
    </row>
    <row r="232" spans="21:25">
      <c r="U232" s="134"/>
      <c r="V232" s="134"/>
      <c r="W232" s="134"/>
      <c r="X232" s="134"/>
      <c r="Y232" s="134"/>
    </row>
    <row r="233" spans="21:25">
      <c r="U233" s="134"/>
      <c r="V233" s="134"/>
      <c r="W233" s="134"/>
      <c r="X233" s="134"/>
      <c r="Y233" s="134"/>
    </row>
    <row r="234" spans="21:25">
      <c r="W234" s="134"/>
      <c r="X234" s="134"/>
      <c r="Y234" s="134"/>
    </row>
    <row r="235" spans="21:25">
      <c r="W235" s="134"/>
      <c r="X235" s="134"/>
      <c r="Y235" s="134"/>
    </row>
    <row r="237" spans="21:25">
      <c r="U237" s="134"/>
      <c r="V237" s="134"/>
      <c r="W237" s="134"/>
      <c r="X237" s="134"/>
      <c r="Y237" s="134"/>
    </row>
    <row r="238" spans="21:25">
      <c r="U238" s="134"/>
      <c r="V238" s="134"/>
      <c r="W238" s="134"/>
      <c r="X238" s="134"/>
      <c r="Y238" s="134"/>
    </row>
    <row r="239" spans="21:25">
      <c r="W239" s="134"/>
      <c r="X239" s="134"/>
      <c r="Y239" s="134"/>
    </row>
    <row r="240" spans="21:25">
      <c r="W240" s="134"/>
      <c r="X240" s="134"/>
      <c r="Y240" s="134"/>
    </row>
    <row r="242" spans="21:25">
      <c r="U242" s="134"/>
      <c r="V242" s="134"/>
      <c r="W242" s="134"/>
      <c r="X242" s="134"/>
      <c r="Y242" s="134"/>
    </row>
    <row r="243" spans="21:25">
      <c r="U243" s="134"/>
      <c r="V243" s="134"/>
      <c r="W243" s="134"/>
      <c r="X243" s="134"/>
      <c r="Y243" s="134"/>
    </row>
    <row r="244" spans="21:25">
      <c r="W244" s="134"/>
      <c r="X244" s="134"/>
      <c r="Y244" s="134"/>
    </row>
    <row r="245" spans="21:25">
      <c r="W245" s="134"/>
      <c r="X245" s="134"/>
      <c r="Y245" s="134"/>
    </row>
    <row r="247" spans="21:25">
      <c r="U247" s="134"/>
      <c r="V247" s="134"/>
      <c r="W247" s="134"/>
      <c r="X247" s="134"/>
      <c r="Y247" s="134"/>
    </row>
    <row r="248" spans="21:25">
      <c r="U248" s="134"/>
      <c r="V248" s="134"/>
      <c r="W248" s="134"/>
      <c r="X248" s="134"/>
      <c r="Y248" s="134"/>
    </row>
    <row r="249" spans="21:25">
      <c r="W249" s="134"/>
      <c r="X249" s="134"/>
      <c r="Y249" s="134"/>
    </row>
    <row r="250" spans="21:25">
      <c r="W250" s="134"/>
      <c r="X250" s="134"/>
      <c r="Y250" s="134"/>
    </row>
    <row r="252" spans="21:25">
      <c r="U252" s="134"/>
      <c r="V252" s="134"/>
      <c r="W252" s="134"/>
      <c r="X252" s="134"/>
      <c r="Y252" s="134"/>
    </row>
    <row r="253" spans="21:25">
      <c r="U253" s="134"/>
      <c r="V253" s="134"/>
      <c r="W253" s="134"/>
      <c r="X253" s="134"/>
      <c r="Y253" s="134"/>
    </row>
    <row r="254" spans="21:25">
      <c r="W254" s="134"/>
      <c r="X254" s="134"/>
      <c r="Y254" s="134"/>
    </row>
    <row r="255" spans="21:25">
      <c r="W255" s="134"/>
      <c r="X255" s="134"/>
      <c r="Y255" s="134"/>
    </row>
    <row r="257" spans="21:25">
      <c r="U257" s="134"/>
      <c r="V257" s="134"/>
      <c r="W257" s="134"/>
      <c r="X257" s="134"/>
      <c r="Y257" s="134"/>
    </row>
    <row r="258" spans="21:25">
      <c r="U258" s="134"/>
      <c r="V258" s="134"/>
      <c r="W258" s="134"/>
      <c r="X258" s="134"/>
      <c r="Y258" s="134"/>
    </row>
    <row r="259" spans="21:25">
      <c r="W259" s="134"/>
      <c r="X259" s="134"/>
      <c r="Y259" s="134"/>
    </row>
    <row r="260" spans="21:25">
      <c r="W260" s="134"/>
      <c r="X260" s="134"/>
      <c r="Y260" s="134"/>
    </row>
    <row r="262" spans="21:25">
      <c r="U262" s="134"/>
      <c r="V262" s="134"/>
      <c r="W262" s="134"/>
      <c r="X262" s="134"/>
      <c r="Y262" s="134"/>
    </row>
    <row r="263" spans="21:25">
      <c r="U263" s="134"/>
      <c r="V263" s="134"/>
      <c r="W263" s="134"/>
      <c r="X263" s="134"/>
      <c r="Y263" s="134"/>
    </row>
    <row r="264" spans="21:25">
      <c r="W264" s="134"/>
      <c r="X264" s="134"/>
      <c r="Y264" s="134"/>
    </row>
    <row r="265" spans="21:25">
      <c r="W265" s="134"/>
      <c r="X265" s="134"/>
      <c r="Y265" s="134"/>
    </row>
    <row r="267" spans="21:25">
      <c r="U267" s="134"/>
      <c r="V267" s="134"/>
      <c r="W267" s="134"/>
      <c r="X267" s="134"/>
      <c r="Y267" s="134"/>
    </row>
    <row r="268" spans="21:25">
      <c r="U268" s="134"/>
      <c r="V268" s="134"/>
      <c r="W268" s="134"/>
      <c r="X268" s="134"/>
      <c r="Y268" s="134"/>
    </row>
    <row r="269" spans="21:25">
      <c r="W269" s="134"/>
      <c r="X269" s="134"/>
      <c r="Y269" s="134"/>
    </row>
    <row r="270" spans="21:25">
      <c r="W270" s="134"/>
      <c r="X270" s="134"/>
      <c r="Y270" s="134"/>
    </row>
    <row r="272" spans="21:25">
      <c r="U272" s="134"/>
      <c r="V272" s="134"/>
      <c r="W272" s="134"/>
      <c r="X272" s="134"/>
      <c r="Y272" s="134"/>
    </row>
    <row r="273" spans="21:25">
      <c r="U273" s="134"/>
      <c r="V273" s="134"/>
      <c r="W273" s="134"/>
      <c r="X273" s="134"/>
      <c r="Y273" s="134"/>
    </row>
    <row r="274" spans="21:25">
      <c r="W274" s="134"/>
      <c r="X274" s="134"/>
      <c r="Y274" s="134"/>
    </row>
    <row r="275" spans="21:25">
      <c r="W275" s="134"/>
      <c r="X275" s="134"/>
      <c r="Y275" s="134"/>
    </row>
    <row r="277" spans="21:25">
      <c r="U277" s="134"/>
      <c r="V277" s="134"/>
      <c r="W277" s="134"/>
      <c r="X277" s="134"/>
      <c r="Y277" s="134"/>
    </row>
    <row r="278" spans="21:25">
      <c r="U278" s="134"/>
      <c r="V278" s="134"/>
      <c r="W278" s="134"/>
      <c r="X278" s="134"/>
      <c r="Y278" s="134"/>
    </row>
    <row r="279" spans="21:25">
      <c r="W279" s="134"/>
      <c r="X279" s="134"/>
      <c r="Y279" s="134"/>
    </row>
    <row r="280" spans="21:25">
      <c r="W280" s="134"/>
      <c r="X280" s="134"/>
      <c r="Y280" s="134"/>
    </row>
  </sheetData>
  <conditionalFormatting sqref="E1:E141 M1:M141 Q1:S141 Q151:S1048576 M151:M1048576 E151:E1048576 Q146:S146 M146 E146">
    <cfRule type="dataBar" priority="30">
      <dataBar>
        <cfvo type="min"/>
        <cfvo type="max"/>
        <color rgb="FF638EC6"/>
      </dataBar>
    </cfRule>
  </conditionalFormatting>
  <conditionalFormatting sqref="Q1:Q141 Q151:Q1048576 Q146">
    <cfRule type="dataBar" priority="29">
      <dataBar>
        <cfvo type="min"/>
        <cfvo type="max"/>
        <color rgb="FF638EC6"/>
      </dataBar>
    </cfRule>
  </conditionalFormatting>
  <conditionalFormatting sqref="R1:R141 R151:R1048576 R146">
    <cfRule type="dataBar" priority="28">
      <dataBar>
        <cfvo type="min"/>
        <cfvo type="max"/>
        <color rgb="FF638EC6"/>
      </dataBar>
    </cfRule>
  </conditionalFormatting>
  <conditionalFormatting sqref="S1:S141 S151:S1048576 S146">
    <cfRule type="dataBar" priority="27">
      <dataBar>
        <cfvo type="min"/>
        <cfvo type="max"/>
        <color rgb="FF638EC6"/>
      </dataBar>
    </cfRule>
  </conditionalFormatting>
  <conditionalFormatting sqref="M1:M141 M151:M1048576 M146">
    <cfRule type="dataBar" priority="26">
      <dataBar>
        <cfvo type="min"/>
        <cfvo type="max"/>
        <color rgb="FF638EC6"/>
      </dataBar>
    </cfRule>
  </conditionalFormatting>
  <conditionalFormatting sqref="E1:E141 E151:E1048576 E146">
    <cfRule type="dataBar" priority="25">
      <dataBar>
        <cfvo type="min"/>
        <cfvo type="max"/>
        <color rgb="FF638EC6"/>
      </dataBar>
    </cfRule>
  </conditionalFormatting>
  <conditionalFormatting sqref="I1:J141 I151:J1048576 I146:J146">
    <cfRule type="dataBar" priority="23">
      <dataBar>
        <cfvo type="min"/>
        <cfvo type="max"/>
        <color rgb="FF638EC6"/>
      </dataBar>
    </cfRule>
    <cfRule type="dataBar" priority="24">
      <dataBar>
        <cfvo type="min"/>
        <cfvo type="max"/>
        <color rgb="FF638EC6"/>
      </dataBar>
    </cfRule>
  </conditionalFormatting>
  <conditionalFormatting sqref="H1:H141 H151:H1048576 H146">
    <cfRule type="dataBar" priority="21">
      <dataBar>
        <cfvo type="min"/>
        <cfvo type="max"/>
        <color rgb="FF638EC6"/>
      </dataBar>
    </cfRule>
    <cfRule type="dataBar" priority="22">
      <dataBar>
        <cfvo type="min"/>
        <cfvo type="max"/>
        <color rgb="FF638EC6"/>
      </dataBar>
    </cfRule>
  </conditionalFormatting>
  <conditionalFormatting sqref="E147:E150 M147:M150 Q147:S150">
    <cfRule type="dataBar" priority="20">
      <dataBar>
        <cfvo type="min"/>
        <cfvo type="max"/>
        <color rgb="FF638EC6"/>
      </dataBar>
    </cfRule>
  </conditionalFormatting>
  <conditionalFormatting sqref="Q147:Q150">
    <cfRule type="dataBar" priority="19">
      <dataBar>
        <cfvo type="min"/>
        <cfvo type="max"/>
        <color rgb="FF638EC6"/>
      </dataBar>
    </cfRule>
  </conditionalFormatting>
  <conditionalFormatting sqref="R147:R150">
    <cfRule type="dataBar" priority="18">
      <dataBar>
        <cfvo type="min"/>
        <cfvo type="max"/>
        <color rgb="FF638EC6"/>
      </dataBar>
    </cfRule>
  </conditionalFormatting>
  <conditionalFormatting sqref="S147:S150">
    <cfRule type="dataBar" priority="17">
      <dataBar>
        <cfvo type="min"/>
        <cfvo type="max"/>
        <color rgb="FF638EC6"/>
      </dataBar>
    </cfRule>
  </conditionalFormatting>
  <conditionalFormatting sqref="M147:M150">
    <cfRule type="dataBar" priority="16">
      <dataBar>
        <cfvo type="min"/>
        <cfvo type="max"/>
        <color rgb="FF638EC6"/>
      </dataBar>
    </cfRule>
  </conditionalFormatting>
  <conditionalFormatting sqref="E147:E150">
    <cfRule type="dataBar" priority="15">
      <dataBar>
        <cfvo type="min"/>
        <cfvo type="max"/>
        <color rgb="FF638EC6"/>
      </dataBar>
    </cfRule>
  </conditionalFormatting>
  <conditionalFormatting sqref="I147:J150">
    <cfRule type="dataBar" priority="13">
      <dataBar>
        <cfvo type="min"/>
        <cfvo type="max"/>
        <color rgb="FF638EC6"/>
      </dataBar>
    </cfRule>
    <cfRule type="dataBar" priority="14">
      <dataBar>
        <cfvo type="min"/>
        <cfvo type="max"/>
        <color rgb="FF638EC6"/>
      </dataBar>
    </cfRule>
  </conditionalFormatting>
  <conditionalFormatting sqref="H147:H150">
    <cfRule type="dataBar" priority="11">
      <dataBar>
        <cfvo type="min"/>
        <cfvo type="max"/>
        <color rgb="FF638EC6"/>
      </dataBar>
    </cfRule>
    <cfRule type="dataBar" priority="12">
      <dataBar>
        <cfvo type="min"/>
        <cfvo type="max"/>
        <color rgb="FF638EC6"/>
      </dataBar>
    </cfRule>
  </conditionalFormatting>
  <conditionalFormatting sqref="E142:E145 M142:M145 Q142:S145">
    <cfRule type="dataBar" priority="10">
      <dataBar>
        <cfvo type="min"/>
        <cfvo type="max"/>
        <color rgb="FF638EC6"/>
      </dataBar>
    </cfRule>
  </conditionalFormatting>
  <conditionalFormatting sqref="Q142:Q145">
    <cfRule type="dataBar" priority="9">
      <dataBar>
        <cfvo type="min"/>
        <cfvo type="max"/>
        <color rgb="FF638EC6"/>
      </dataBar>
    </cfRule>
  </conditionalFormatting>
  <conditionalFormatting sqref="R142:R145">
    <cfRule type="dataBar" priority="8">
      <dataBar>
        <cfvo type="min"/>
        <cfvo type="max"/>
        <color rgb="FF638EC6"/>
      </dataBar>
    </cfRule>
  </conditionalFormatting>
  <conditionalFormatting sqref="S142:S145">
    <cfRule type="dataBar" priority="7">
      <dataBar>
        <cfvo type="min"/>
        <cfvo type="max"/>
        <color rgb="FF638EC6"/>
      </dataBar>
    </cfRule>
  </conditionalFormatting>
  <conditionalFormatting sqref="M142:M145">
    <cfRule type="dataBar" priority="6">
      <dataBar>
        <cfvo type="min"/>
        <cfvo type="max"/>
        <color rgb="FF638EC6"/>
      </dataBar>
    </cfRule>
  </conditionalFormatting>
  <conditionalFormatting sqref="E142:E145">
    <cfRule type="dataBar" priority="5">
      <dataBar>
        <cfvo type="min"/>
        <cfvo type="max"/>
        <color rgb="FF638EC6"/>
      </dataBar>
    </cfRule>
  </conditionalFormatting>
  <conditionalFormatting sqref="I142:J145">
    <cfRule type="dataBar" priority="3">
      <dataBar>
        <cfvo type="min"/>
        <cfvo type="max"/>
        <color rgb="FF638EC6"/>
      </dataBar>
    </cfRule>
    <cfRule type="dataBar" priority="4">
      <dataBar>
        <cfvo type="min"/>
        <cfvo type="max"/>
        <color rgb="FF638EC6"/>
      </dataBar>
    </cfRule>
  </conditionalFormatting>
  <conditionalFormatting sqref="H142:H145">
    <cfRule type="dataBar" priority="1">
      <dataBar>
        <cfvo type="min"/>
        <cfvo type="max"/>
        <color rgb="FF638EC6"/>
      </dataBar>
    </cfRule>
    <cfRule type="dataBar" priority="2">
      <dataBar>
        <cfvo type="min"/>
        <cfvo type="max"/>
        <color rgb="FF638EC6"/>
      </dataBar>
    </cfRule>
  </conditionalFormatting>
  <hyperlinks>
    <hyperlink ref="A72" r:id="rId1" display="https://www.lixinger.com/analytics/industry/sz/C0503/503/detail" xr:uid="{00000000-0004-0000-0300-000000000000}"/>
    <hyperlink ref="A142" r:id="rId2" display="https://www.lixinger.com/analytics/industry/sz/C1101/1101/detail" xr:uid="{00000000-0004-0000-0300-000001000000}"/>
    <hyperlink ref="A147" r:id="rId3" display="https://www.lixinger.com/analytics/industry/sz/C1102/1102/detail" xr:uid="{00000000-0004-0000-0300-000002000000}"/>
  </hyperlink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425"/>
  <sheetViews>
    <sheetView topLeftCell="A198" zoomScale="125" workbookViewId="0">
      <pane xSplit="1" topLeftCell="M1" activePane="topRight" state="frozen"/>
      <selection pane="topRight" activeCell="S207" sqref="S207:S208"/>
    </sheetView>
  </sheetViews>
  <sheetFormatPr baseColWidth="10" defaultRowHeight="16"/>
  <cols>
    <col min="1" max="1" width="20.33203125" style="182" customWidth="1"/>
    <col min="4" max="4" width="10.83203125" style="2" customWidth="1"/>
    <col min="5" max="5" width="19.83203125" style="13" customWidth="1"/>
    <col min="6" max="6" width="14.83203125" style="2" customWidth="1"/>
    <col min="7" max="7" width="14.5" style="2" customWidth="1"/>
    <col min="8" max="10" width="19.83203125" style="13" customWidth="1"/>
    <col min="11" max="11" width="20.5" style="2" customWidth="1"/>
    <col min="12" max="12" width="10.83203125" style="88" customWidth="1"/>
    <col min="13" max="13" width="18.1640625" style="15" customWidth="1"/>
    <col min="14" max="14" width="10.83203125" style="88" customWidth="1"/>
    <col min="15" max="15" width="18.1640625" style="88" customWidth="1"/>
    <col min="16" max="16" width="22.33203125" style="88" customWidth="1"/>
    <col min="17" max="17" width="14.33203125" style="109" customWidth="1"/>
    <col min="18" max="19" width="10.83203125" style="109" customWidth="1"/>
    <col min="21" max="21" width="15.1640625" style="182" customWidth="1"/>
    <col min="22" max="22" width="19.1640625" style="109" customWidth="1"/>
    <col min="23" max="24" width="20.33203125" style="182" bestFit="1" customWidth="1"/>
    <col min="25" max="25" width="14.83203125" style="109" customWidth="1"/>
    <col min="26" max="26" width="14.83203125" style="134" customWidth="1"/>
    <col min="27" max="27" width="24" style="182" customWidth="1"/>
  </cols>
  <sheetData>
    <row r="1" spans="1:27" s="86" customFormat="1">
      <c r="A1" t="s">
        <v>0</v>
      </c>
      <c r="C1" s="86" t="s">
        <v>1</v>
      </c>
      <c r="D1" s="4" t="s">
        <v>2</v>
      </c>
      <c r="E1" s="14" t="s">
        <v>3</v>
      </c>
      <c r="F1" s="4" t="s">
        <v>4</v>
      </c>
      <c r="G1" s="4" t="s">
        <v>5</v>
      </c>
      <c r="H1" s="14" t="s">
        <v>6</v>
      </c>
      <c r="I1" s="14" t="s">
        <v>7</v>
      </c>
      <c r="J1" s="14" t="s">
        <v>8</v>
      </c>
      <c r="K1" s="4" t="s">
        <v>9</v>
      </c>
      <c r="L1" s="8" t="s">
        <v>10</v>
      </c>
      <c r="M1" s="16" t="s">
        <v>11</v>
      </c>
      <c r="N1" s="8" t="s">
        <v>12</v>
      </c>
      <c r="O1" s="8" t="s">
        <v>13</v>
      </c>
      <c r="P1" s="8" t="s">
        <v>14</v>
      </c>
      <c r="Q1" s="78" t="s">
        <v>15</v>
      </c>
      <c r="R1" s="78" t="s">
        <v>16</v>
      </c>
      <c r="S1" s="109" t="s">
        <v>17</v>
      </c>
      <c r="T1" t="s">
        <v>18</v>
      </c>
      <c r="U1" s="77" t="s">
        <v>19</v>
      </c>
      <c r="V1" s="78" t="s">
        <v>20</v>
      </c>
      <c r="W1" s="86" t="s">
        <v>190</v>
      </c>
      <c r="X1" s="86" t="s">
        <v>191</v>
      </c>
      <c r="Y1" s="78"/>
      <c r="Z1" s="78"/>
      <c r="AA1" s="78"/>
    </row>
    <row r="2" spans="1:27">
      <c r="A2" t="s">
        <v>287</v>
      </c>
      <c r="B2" t="s">
        <v>30</v>
      </c>
      <c r="C2" s="198">
        <v>37.961481064265357</v>
      </c>
      <c r="D2" s="100">
        <v>15.561246103898419</v>
      </c>
      <c r="E2" s="13">
        <v>0.59007800360700791</v>
      </c>
      <c r="F2" s="100">
        <v>-15.279085208237669</v>
      </c>
      <c r="G2" s="100">
        <v>-1.4024891753399069</v>
      </c>
      <c r="H2" s="13">
        <v>-0.37671110539004632</v>
      </c>
      <c r="I2" s="13">
        <v>-0.18617937794055411</v>
      </c>
      <c r="J2" s="13">
        <v>2.770889353263339</v>
      </c>
      <c r="K2" s="100">
        <v>-0.98186771844768483</v>
      </c>
      <c r="L2" s="7">
        <v>16.860920065250571</v>
      </c>
      <c r="M2" s="15">
        <v>0.55584135306242266</v>
      </c>
      <c r="N2" s="7">
        <v>-15.279085208237669</v>
      </c>
      <c r="O2" s="7">
        <v>-1.4024891753399069</v>
      </c>
      <c r="P2" s="7">
        <v>-0.9061833606415719</v>
      </c>
      <c r="Q2" s="109">
        <v>3.6930522584206323E-2</v>
      </c>
      <c r="R2" s="109">
        <v>-2.68454141389954E-2</v>
      </c>
      <c r="S2" s="109">
        <v>1.076330655023265E-2</v>
      </c>
      <c r="U2" s="134">
        <f>C2*S2</f>
        <v>0.40859105779554</v>
      </c>
      <c r="V2" s="134">
        <f>(1+S2)*Q2*(1-U2)+S2</f>
        <v>3.2839429669667443E-2</v>
      </c>
      <c r="W2" s="134">
        <f>V2+I2/3</f>
        <v>-2.9220362977183931E-2</v>
      </c>
      <c r="X2" s="134">
        <f>V2+I2/5</f>
        <v>-4.3964459184433827E-3</v>
      </c>
      <c r="Y2" s="134"/>
      <c r="AA2" s="134"/>
    </row>
    <row r="3" spans="1:27">
      <c r="A3" t="s">
        <v>288</v>
      </c>
      <c r="B3" t="s">
        <v>32</v>
      </c>
      <c r="C3" s="196">
        <v>-55.756658735840468</v>
      </c>
      <c r="D3" s="100">
        <v>31.694036780733029</v>
      </c>
      <c r="E3" s="13">
        <v>1.5684350084694021</v>
      </c>
      <c r="F3" s="100">
        <v>-22.212773599776028</v>
      </c>
      <c r="G3" s="100">
        <v>-0.60161218223254798</v>
      </c>
      <c r="H3" s="13">
        <v>-1.798261060839438</v>
      </c>
      <c r="I3" s="13">
        <v>-2.0521603888814228</v>
      </c>
      <c r="J3" s="13">
        <v>1.549760349893035</v>
      </c>
      <c r="K3" s="100">
        <v>-0.70085024995235967</v>
      </c>
      <c r="L3" s="7">
        <v>45.525098175987843</v>
      </c>
      <c r="M3" s="15">
        <v>1.816496167599875</v>
      </c>
      <c r="N3" s="7">
        <v>-22.212773599776028</v>
      </c>
      <c r="O3" s="7">
        <v>-0.60161218223254798</v>
      </c>
      <c r="P3" s="7">
        <v>-0.48792368363286981</v>
      </c>
      <c r="S3" s="109">
        <v>7.2990898684155373E-3</v>
      </c>
      <c r="U3" s="134">
        <f>C3*S3</f>
        <v>-0.40697286287547579</v>
      </c>
      <c r="V3" s="134">
        <f>(1+S3)*R2*(1-U3)+S3</f>
        <v>-3.0747371556493999E-2</v>
      </c>
      <c r="W3" s="134">
        <f>V3+I3/3</f>
        <v>-0.7148008345169683</v>
      </c>
      <c r="X3" s="134">
        <f>V3+I3/5</f>
        <v>-0.44117944933277853</v>
      </c>
      <c r="Y3" s="134"/>
      <c r="AA3" s="134"/>
    </row>
    <row r="4" spans="1:27">
      <c r="B4" t="s">
        <v>34</v>
      </c>
      <c r="C4" s="195">
        <v>1.4019373337737719</v>
      </c>
      <c r="D4" s="100">
        <v>1.2762495541973791</v>
      </c>
      <c r="E4" s="13">
        <v>8.9652922815076086E-2</v>
      </c>
      <c r="F4" s="100">
        <v>4.658488015953651</v>
      </c>
      <c r="G4" s="100">
        <v>2.3228931876817982</v>
      </c>
      <c r="H4" s="13">
        <v>0.27458544659280881</v>
      </c>
      <c r="I4" s="13">
        <v>0.79996286204452205</v>
      </c>
      <c r="J4" s="13">
        <v>1.168942652353361</v>
      </c>
      <c r="K4" s="100">
        <v>3.650138799761093</v>
      </c>
      <c r="L4" s="7">
        <v>1.2762495541973791</v>
      </c>
      <c r="M4" s="15">
        <v>8.9652922815076086E-2</v>
      </c>
      <c r="N4" s="7">
        <v>4.0451693279083996</v>
      </c>
      <c r="O4" s="7">
        <v>1.88541379878907</v>
      </c>
      <c r="P4" s="7">
        <v>3.1695755070820519</v>
      </c>
      <c r="W4" s="134">
        <f>V2+I4/3</f>
        <v>0.2994937170178415</v>
      </c>
      <c r="X4" s="134">
        <f>V2+I4/5</f>
        <v>0.19283200207857185</v>
      </c>
      <c r="Y4" s="134"/>
      <c r="AA4" s="134"/>
    </row>
    <row r="5" spans="1:27">
      <c r="B5" t="s">
        <v>35</v>
      </c>
      <c r="C5" s="195">
        <v>1.496810594770273</v>
      </c>
      <c r="D5" s="100">
        <v>1.44038555774494</v>
      </c>
      <c r="E5" s="13">
        <v>3.7696845026670138E-2</v>
      </c>
      <c r="F5" s="100">
        <v>5.7485144291684556</v>
      </c>
      <c r="G5" s="100">
        <v>2.840508912252004</v>
      </c>
      <c r="H5" s="13">
        <v>0.47249594745083567</v>
      </c>
      <c r="I5" s="13">
        <v>1.0265491372447599</v>
      </c>
      <c r="J5" s="13">
        <v>1.371856524904274</v>
      </c>
      <c r="K5" s="100">
        <v>3.9909553371031441</v>
      </c>
      <c r="L5" s="7">
        <v>1.44038555774494</v>
      </c>
      <c r="M5" s="15">
        <v>3.7696845026670138E-2</v>
      </c>
      <c r="N5" s="7">
        <v>5.7485144291684556</v>
      </c>
      <c r="O5" s="7">
        <v>2.840508912252004</v>
      </c>
      <c r="P5" s="7">
        <v>3.9909553371031441</v>
      </c>
      <c r="W5" s="134">
        <f>V3+I5/3</f>
        <v>0.31143567419175933</v>
      </c>
      <c r="X5" s="134">
        <f>V3+I5/5</f>
        <v>0.174562455892458</v>
      </c>
      <c r="Y5" s="134"/>
      <c r="AA5" s="134"/>
    </row>
    <row r="6" spans="1:27">
      <c r="C6" s="111"/>
      <c r="D6" s="100"/>
      <c r="F6" s="100"/>
      <c r="G6" s="100"/>
      <c r="K6" s="100"/>
      <c r="L6" s="7"/>
      <c r="N6" s="7"/>
      <c r="O6" s="7"/>
      <c r="P6" s="7"/>
      <c r="AA6" s="134"/>
    </row>
    <row r="7" spans="1:27">
      <c r="A7" t="s">
        <v>289</v>
      </c>
      <c r="B7" t="s">
        <v>30</v>
      </c>
      <c r="C7" s="197">
        <v>14.178314683329869</v>
      </c>
      <c r="D7" s="100">
        <v>10.16759334390651</v>
      </c>
      <c r="E7" s="13">
        <v>0.28287715634771138</v>
      </c>
      <c r="F7" s="100">
        <v>59.561489819372667</v>
      </c>
      <c r="G7" s="100">
        <v>3.2008864346481181</v>
      </c>
      <c r="H7" s="13">
        <v>-0.16724433770862521</v>
      </c>
      <c r="I7" s="13">
        <v>0.17825265879294411</v>
      </c>
      <c r="J7" s="13">
        <v>1.2352344567271649</v>
      </c>
      <c r="K7" s="100">
        <v>5.8579732493990972</v>
      </c>
      <c r="L7" s="7">
        <v>13.938230931087899</v>
      </c>
      <c r="M7" s="15">
        <v>1.693316572555981E-2</v>
      </c>
      <c r="N7" s="7">
        <v>59.561489819372667</v>
      </c>
      <c r="O7" s="7">
        <v>3.2008864346481181</v>
      </c>
      <c r="P7" s="7">
        <v>4.2732460176510934</v>
      </c>
      <c r="Q7" s="109">
        <v>5.308272591479115E-2</v>
      </c>
      <c r="R7" s="109">
        <v>1.4478696000442709E-2</v>
      </c>
      <c r="S7" s="109">
        <v>4.2041596546402459E-2</v>
      </c>
      <c r="U7" s="134">
        <f>C7*S7</f>
        <v>0.59607898562448836</v>
      </c>
      <c r="V7" s="134">
        <f>(1+S7)*Q7*(1-U7)+S7</f>
        <v>6.4384248521665702E-2</v>
      </c>
      <c r="W7" s="134">
        <f>V7+I7/3</f>
        <v>0.12380180145264708</v>
      </c>
      <c r="X7" s="134">
        <f>V7+I7/5</f>
        <v>0.10003478028025453</v>
      </c>
      <c r="Y7" s="134"/>
      <c r="AA7" s="134"/>
    </row>
    <row r="8" spans="1:27">
      <c r="A8" t="s">
        <v>290</v>
      </c>
      <c r="B8" t="s">
        <v>32</v>
      </c>
      <c r="C8" s="198">
        <v>95.849333356002518</v>
      </c>
      <c r="D8" s="100">
        <v>20.882427490573729</v>
      </c>
      <c r="E8" s="13">
        <v>0.78213278319826751</v>
      </c>
      <c r="F8" s="100">
        <v>-7.5866473392837346</v>
      </c>
      <c r="G8" s="100">
        <v>-1.0791518007861931</v>
      </c>
      <c r="H8" s="13">
        <v>-0.59434325483787176</v>
      </c>
      <c r="I8" s="13">
        <v>-0.28651335638648717</v>
      </c>
      <c r="J8" s="13">
        <v>6.3775261438684172E-2</v>
      </c>
      <c r="K8" s="100">
        <v>-0.3633029418015854</v>
      </c>
      <c r="L8" s="7">
        <v>34.470431319065582</v>
      </c>
      <c r="M8" s="15">
        <v>0.64036858565269428</v>
      </c>
      <c r="N8" s="7">
        <v>-32.643271543335722</v>
      </c>
      <c r="O8" s="7">
        <v>-1.34056858196491</v>
      </c>
      <c r="P8" s="7">
        <v>-0.9469934170879013</v>
      </c>
      <c r="S8" s="109">
        <v>1.1596681719841431E-2</v>
      </c>
      <c r="U8" s="134">
        <f>C8*S8</f>
        <v>1.1115342119885419</v>
      </c>
      <c r="V8" s="134">
        <f>(1+S8)*R7*(1-U8)+S8</f>
        <v>9.9630846379925517E-3</v>
      </c>
      <c r="W8" s="134">
        <f>V8+I8/3</f>
        <v>-8.5541367490836517E-2</v>
      </c>
      <c r="X8" s="134">
        <f>V8+I8/5</f>
        <v>-4.7339586639304883E-2</v>
      </c>
      <c r="Y8" s="134"/>
      <c r="AA8" s="134"/>
    </row>
    <row r="9" spans="1:27">
      <c r="B9" t="s">
        <v>34</v>
      </c>
      <c r="C9" s="195">
        <v>0.75262359226885811</v>
      </c>
      <c r="D9" s="100">
        <v>0.73935510214315026</v>
      </c>
      <c r="E9" s="13">
        <v>1.762964948482237E-2</v>
      </c>
      <c r="F9" s="100">
        <v>2.8410087856909172</v>
      </c>
      <c r="G9" s="100">
        <v>2.7748069750596249</v>
      </c>
      <c r="H9" s="13">
        <v>0.54132316168492078</v>
      </c>
      <c r="I9" s="13">
        <v>0.68741872160157169</v>
      </c>
      <c r="J9" s="13">
        <v>1.3187940959019231</v>
      </c>
      <c r="K9" s="100">
        <v>3.8425497808235249</v>
      </c>
      <c r="L9" s="7">
        <v>0.73935510214315026</v>
      </c>
      <c r="M9" s="15">
        <v>1.762964948482237E-2</v>
      </c>
      <c r="N9" s="7">
        <v>2.1918882174277008</v>
      </c>
      <c r="O9" s="7">
        <v>1.9123299348350711</v>
      </c>
      <c r="P9" s="7">
        <v>2.964594700265311</v>
      </c>
      <c r="W9" s="134">
        <f>V7+I9/3</f>
        <v>0.29352382238885627</v>
      </c>
      <c r="X9" s="134">
        <f>V7+I9/5</f>
        <v>0.20186799284198004</v>
      </c>
      <c r="Y9" s="134"/>
      <c r="AA9" s="134"/>
    </row>
    <row r="10" spans="1:27">
      <c r="B10" t="s">
        <v>35</v>
      </c>
      <c r="C10" s="195">
        <v>1.3877733595066539</v>
      </c>
      <c r="D10" s="100">
        <v>1.344855684182527</v>
      </c>
      <c r="E10" s="13">
        <v>3.0925565064445219E-2</v>
      </c>
      <c r="F10" s="100">
        <v>4.6248902069654063</v>
      </c>
      <c r="G10" s="100">
        <v>2.3325976286283021</v>
      </c>
      <c r="H10" s="13">
        <v>0.2987030209548196</v>
      </c>
      <c r="I10" s="13">
        <v>0.70698743519641694</v>
      </c>
      <c r="J10" s="13">
        <v>1.074876822998944</v>
      </c>
      <c r="K10" s="100">
        <v>3.438949071904807</v>
      </c>
      <c r="L10" s="7">
        <v>1.344855684182527</v>
      </c>
      <c r="M10" s="15">
        <v>3.0925565064445219E-2</v>
      </c>
      <c r="N10" s="7">
        <v>4.6248902069654063</v>
      </c>
      <c r="O10" s="7">
        <v>2.3325976286283021</v>
      </c>
      <c r="P10" s="7">
        <v>3.438949071904807</v>
      </c>
      <c r="W10" s="134">
        <f>V8+I10/3</f>
        <v>0.24562556303679819</v>
      </c>
      <c r="X10" s="134">
        <f>V8+I10/5</f>
        <v>0.15136057167727596</v>
      </c>
      <c r="Y10" s="134"/>
      <c r="AA10" s="134"/>
    </row>
    <row r="11" spans="1:27">
      <c r="C11" s="111"/>
      <c r="D11" s="100"/>
      <c r="F11" s="100"/>
      <c r="G11" s="100"/>
      <c r="K11" s="100"/>
      <c r="L11" s="7"/>
      <c r="N11" s="7"/>
      <c r="O11" s="7"/>
      <c r="P11" s="7"/>
      <c r="AA11" s="134"/>
    </row>
    <row r="12" spans="1:27">
      <c r="A12" s="184" t="s">
        <v>291</v>
      </c>
      <c r="B12" t="s">
        <v>30</v>
      </c>
      <c r="C12" s="195">
        <v>8.0420748633492529</v>
      </c>
      <c r="D12" s="100">
        <v>7.4740726802090967</v>
      </c>
      <c r="E12" s="13">
        <v>7.0628810697691335E-2</v>
      </c>
      <c r="F12" s="100">
        <v>-141.5123154727122</v>
      </c>
      <c r="G12" s="100">
        <v>-18.59649317835088</v>
      </c>
      <c r="H12" s="13">
        <v>0.25614551614553821</v>
      </c>
      <c r="I12" s="13">
        <v>0.77269741405101544</v>
      </c>
      <c r="J12" s="13">
        <v>2.8189131095666422</v>
      </c>
      <c r="K12" s="100">
        <v>-18.933762290996771</v>
      </c>
      <c r="L12" s="7">
        <v>7.4740726802090967</v>
      </c>
      <c r="M12" s="15">
        <v>7.0628810697691335E-2</v>
      </c>
      <c r="N12" s="7">
        <v>-141.5123154727122</v>
      </c>
      <c r="O12" s="7">
        <v>-18.59649317835088</v>
      </c>
      <c r="P12" s="7">
        <v>-18.933762290996771</v>
      </c>
      <c r="Q12" s="109">
        <v>0.11308575899955239</v>
      </c>
      <c r="R12" s="109">
        <v>7.7744463511155548E-2</v>
      </c>
      <c r="S12" s="109">
        <v>6.0575982594633468E-2</v>
      </c>
      <c r="U12" s="134">
        <f>C12*S12</f>
        <v>0.48715658694698366</v>
      </c>
      <c r="V12" s="134">
        <f>(1+S12)*Q12*(1-U12)+S12</f>
        <v>0.12208439068009594</v>
      </c>
      <c r="W12" s="134">
        <f>V12+I12/3</f>
        <v>0.37965019536376776</v>
      </c>
      <c r="X12" s="134">
        <f>V12+I12/5</f>
        <v>0.27662387349029904</v>
      </c>
      <c r="Y12" s="134"/>
      <c r="AA12" s="134"/>
    </row>
    <row r="13" spans="1:27">
      <c r="A13" t="s">
        <v>292</v>
      </c>
      <c r="B13" t="s">
        <v>32</v>
      </c>
      <c r="C13" s="196">
        <v>10.69058854569837</v>
      </c>
      <c r="D13" s="100">
        <v>10.14827553791199</v>
      </c>
      <c r="E13" s="13">
        <v>5.0728077829221951E-2</v>
      </c>
      <c r="F13" s="100">
        <v>-11.953626037851549</v>
      </c>
      <c r="G13" s="100">
        <v>-2.1181448043533022</v>
      </c>
      <c r="H13" s="13">
        <v>0.73628589540352984</v>
      </c>
      <c r="I13" s="13">
        <v>2.157579045814038</v>
      </c>
      <c r="J13" s="13">
        <v>-11.41061203368262</v>
      </c>
      <c r="K13" s="100">
        <v>-1.1778972686733939</v>
      </c>
      <c r="L13" s="7">
        <v>10.14827553791199</v>
      </c>
      <c r="M13" s="15">
        <v>5.0728077829221951E-2</v>
      </c>
      <c r="N13" s="7">
        <v>-11.953626037851549</v>
      </c>
      <c r="O13" s="7">
        <v>-2.1181448043533022</v>
      </c>
      <c r="P13" s="7">
        <v>-1.1778972686733939</v>
      </c>
      <c r="S13" s="109">
        <v>3.8040864348742751E-2</v>
      </c>
      <c r="U13" s="134">
        <f>C13*S13</f>
        <v>0.40667922867513473</v>
      </c>
      <c r="V13" s="134">
        <f>(1+S13)*R12*(1-U13)+S13</f>
        <v>8.5922995763939941E-2</v>
      </c>
      <c r="W13" s="134">
        <f>V13+I13/3</f>
        <v>0.80511601103528596</v>
      </c>
      <c r="X13" s="134">
        <f>V13+I13/5</f>
        <v>0.51743880492674754</v>
      </c>
      <c r="Y13" s="134"/>
      <c r="AA13" s="134"/>
    </row>
    <row r="14" spans="1:27">
      <c r="B14" t="s">
        <v>34</v>
      </c>
      <c r="C14" s="195">
        <v>0.90944413985307193</v>
      </c>
      <c r="D14" s="100">
        <v>0.87495374140556337</v>
      </c>
      <c r="E14" s="13">
        <v>3.7924702503532297E-2</v>
      </c>
      <c r="F14" s="100">
        <v>4.1649846468437914</v>
      </c>
      <c r="G14" s="100">
        <v>3.579703650096286</v>
      </c>
      <c r="H14" s="13">
        <v>0.2742813937082591</v>
      </c>
      <c r="I14" s="13">
        <v>0.54376402743322316</v>
      </c>
      <c r="J14" s="13">
        <v>1.713961880792132</v>
      </c>
      <c r="K14" s="100">
        <v>4.760234112666323</v>
      </c>
      <c r="L14" s="7">
        <v>0.87495374140556337</v>
      </c>
      <c r="M14" s="15">
        <v>3.7924702503532297E-2</v>
      </c>
      <c r="N14" s="7">
        <v>2.3663107939715058</v>
      </c>
      <c r="O14" s="7">
        <v>1.6019308831368171</v>
      </c>
      <c r="P14" s="7">
        <v>2.7044981717206702</v>
      </c>
      <c r="W14" s="134">
        <f>V12+I14/3</f>
        <v>0.30333906649117032</v>
      </c>
      <c r="X14" s="134">
        <f>V12+I14/5</f>
        <v>0.23083719616674059</v>
      </c>
      <c r="Y14" s="134"/>
      <c r="AA14" s="134"/>
    </row>
    <row r="15" spans="1:27">
      <c r="B15" t="s">
        <v>35</v>
      </c>
      <c r="C15" s="195">
        <v>0.83113407110382409</v>
      </c>
      <c r="D15" s="100">
        <v>0.81473412089900044</v>
      </c>
      <c r="E15" s="13">
        <v>1.973201529693391E-2</v>
      </c>
      <c r="F15" s="100">
        <v>5.2156482377664126</v>
      </c>
      <c r="G15" s="100">
        <v>5.2753392251620026</v>
      </c>
      <c r="H15" s="13">
        <v>0.4966428794179274</v>
      </c>
      <c r="I15" s="13">
        <v>1.150830436794851</v>
      </c>
      <c r="J15" s="13">
        <v>2.5510734852497912</v>
      </c>
      <c r="K15" s="100">
        <v>6.4016568153685771</v>
      </c>
      <c r="L15" s="7">
        <v>0.81473412089900044</v>
      </c>
      <c r="M15" s="15">
        <v>1.973201529693391E-2</v>
      </c>
      <c r="N15" s="7">
        <v>3.2318656375187622</v>
      </c>
      <c r="O15" s="7">
        <v>2.888500964984555</v>
      </c>
      <c r="P15" s="7">
        <v>3.9667733983604752</v>
      </c>
      <c r="W15" s="134">
        <f>V13+I15/3</f>
        <v>0.46953314136222357</v>
      </c>
      <c r="X15" s="134">
        <f>V13+I15/5</f>
        <v>0.31608908312291017</v>
      </c>
      <c r="Y15" s="134"/>
      <c r="AA15" s="134"/>
    </row>
    <row r="16" spans="1:27">
      <c r="C16" s="111"/>
      <c r="D16" s="100"/>
      <c r="F16" s="100"/>
      <c r="G16" s="100"/>
      <c r="K16" s="100"/>
      <c r="L16" s="7"/>
      <c r="N16" s="7"/>
      <c r="O16" s="7"/>
      <c r="P16" s="7"/>
      <c r="AA16" s="134"/>
    </row>
    <row r="17" spans="1:27">
      <c r="A17" t="s">
        <v>293</v>
      </c>
      <c r="B17" t="s">
        <v>30</v>
      </c>
      <c r="C17" s="195">
        <v>15.147442623166929</v>
      </c>
      <c r="D17" s="100">
        <v>11.924218618280999</v>
      </c>
      <c r="E17" s="13">
        <v>0.21278997947523071</v>
      </c>
      <c r="F17" s="100">
        <v>-66.923786602141305</v>
      </c>
      <c r="G17" s="100">
        <v>-5.4181574584600947</v>
      </c>
      <c r="H17" s="13">
        <v>0.50245631788727096</v>
      </c>
      <c r="I17" s="13">
        <v>1.36708989618587</v>
      </c>
      <c r="J17" s="13">
        <v>4.807579747418445</v>
      </c>
      <c r="K17" s="100">
        <v>-5.6124253290308301</v>
      </c>
      <c r="L17" s="7">
        <v>11.924218618280999</v>
      </c>
      <c r="M17" s="15">
        <v>0.21278997947523071</v>
      </c>
      <c r="N17" s="7">
        <v>-66.923786602141305</v>
      </c>
      <c r="O17" s="7">
        <v>-5.4181574584600947</v>
      </c>
      <c r="P17" s="7">
        <v>-5.6124253290308301</v>
      </c>
      <c r="Q17" s="109">
        <v>9.1652044468337732E-2</v>
      </c>
      <c r="R17" s="109">
        <v>9.1210510158665645E-2</v>
      </c>
      <c r="S17" s="109">
        <v>1.487405200782219E-2</v>
      </c>
      <c r="U17" s="134">
        <f>C17*S17</f>
        <v>0.22530384936248748</v>
      </c>
      <c r="V17" s="134">
        <f>(1+S17)*Q17*(1-U17)+S17</f>
        <v>8.6932632725659389E-2</v>
      </c>
      <c r="W17" s="134">
        <f>V17+I17/3</f>
        <v>0.54262926478761608</v>
      </c>
      <c r="X17" s="134">
        <f>V17+I17/5</f>
        <v>0.36035061196283336</v>
      </c>
      <c r="Y17" s="134"/>
      <c r="AA17" s="134"/>
    </row>
    <row r="18" spans="1:27">
      <c r="A18" t="s">
        <v>294</v>
      </c>
      <c r="B18" t="s">
        <v>32</v>
      </c>
      <c r="C18" s="195">
        <v>15.7557524298159</v>
      </c>
      <c r="D18" s="100">
        <v>12.481042005148209</v>
      </c>
      <c r="E18" s="13">
        <v>0.20784221123395449</v>
      </c>
      <c r="F18" s="100">
        <v>-71.713881238002799</v>
      </c>
      <c r="G18" s="100">
        <v>-5.5515999034290973</v>
      </c>
      <c r="H18" s="13">
        <v>0.67077374666893341</v>
      </c>
      <c r="I18" s="13">
        <v>1.94507735682408</v>
      </c>
      <c r="J18" s="13">
        <v>6.0283450579061677</v>
      </c>
      <c r="K18" s="100">
        <v>-5.7458248444658766</v>
      </c>
      <c r="L18" s="7">
        <v>12.481042005148209</v>
      </c>
      <c r="M18" s="15">
        <v>0.20784221123395449</v>
      </c>
      <c r="N18" s="7">
        <v>-71.713881238002799</v>
      </c>
      <c r="O18" s="7">
        <v>-5.5515999034290973</v>
      </c>
      <c r="P18" s="7">
        <v>-5.7458248444658766</v>
      </c>
      <c r="S18" s="109">
        <v>2.1796813236117062E-2</v>
      </c>
      <c r="U18" s="134">
        <f>C18*S18</f>
        <v>0.34342519310719477</v>
      </c>
      <c r="V18" s="134">
        <f>(1+S18)*R17*(1-U18)+S18</f>
        <v>8.2988671689377985E-2</v>
      </c>
      <c r="W18" s="134">
        <f>V18+I18/3</f>
        <v>0.73134779063073796</v>
      </c>
      <c r="X18" s="134">
        <f>V18+I18/5</f>
        <v>0.47200414305419403</v>
      </c>
      <c r="Y18" s="134"/>
      <c r="AA18" s="134"/>
    </row>
    <row r="19" spans="1:27">
      <c r="B19" t="s">
        <v>34</v>
      </c>
      <c r="C19" s="195">
        <v>1.38829408488009</v>
      </c>
      <c r="D19" s="100">
        <v>1.2663411524214789</v>
      </c>
      <c r="E19" s="13">
        <v>8.7843731228707034E-2</v>
      </c>
      <c r="F19" s="100">
        <v>8.2066253663765973</v>
      </c>
      <c r="G19" s="100">
        <v>4.9113018313302286</v>
      </c>
      <c r="H19" s="13">
        <v>0.51236861818216717</v>
      </c>
      <c r="I19" s="13">
        <v>1.1517000354298359</v>
      </c>
      <c r="J19" s="13">
        <v>2.1571002520052032</v>
      </c>
      <c r="K19" s="100">
        <v>6.4805801743740279</v>
      </c>
      <c r="L19" s="7">
        <v>1.2663411524214789</v>
      </c>
      <c r="M19" s="15">
        <v>8.7843731228707034E-2</v>
      </c>
      <c r="N19" s="7">
        <v>8.2066253663765973</v>
      </c>
      <c r="O19" s="7">
        <v>4.9113018313302286</v>
      </c>
      <c r="P19" s="7">
        <v>6.4805801743740279</v>
      </c>
      <c r="W19" s="134">
        <f>V17+I19/3</f>
        <v>0.47083264453560469</v>
      </c>
      <c r="X19" s="134">
        <f>V17+I19/5</f>
        <v>0.31727263981162657</v>
      </c>
      <c r="Y19" s="134"/>
      <c r="AA19" s="134"/>
    </row>
    <row r="20" spans="1:27">
      <c r="B20" t="s">
        <v>35</v>
      </c>
      <c r="C20" s="195">
        <v>1.437090217057144</v>
      </c>
      <c r="D20" s="100">
        <v>1.307250810693408</v>
      </c>
      <c r="E20" s="13">
        <v>9.0348820709126976E-2</v>
      </c>
      <c r="F20" s="100">
        <v>8.606298059216174</v>
      </c>
      <c r="G20" s="100">
        <v>4.9886971305392702</v>
      </c>
      <c r="H20" s="13">
        <v>0.50360642182928328</v>
      </c>
      <c r="I20" s="13">
        <v>1.130881259285351</v>
      </c>
      <c r="J20" s="13">
        <v>2.2948509260027419</v>
      </c>
      <c r="K20" s="100">
        <v>6.5835094450246459</v>
      </c>
      <c r="L20" s="7">
        <v>1.307250810693408</v>
      </c>
      <c r="M20" s="15">
        <v>9.0348820709126976E-2</v>
      </c>
      <c r="N20" s="7">
        <v>8.606298059216174</v>
      </c>
      <c r="O20" s="7">
        <v>4.9886971305392702</v>
      </c>
      <c r="P20" s="7">
        <v>6.5835094450246459</v>
      </c>
      <c r="W20" s="134">
        <f>V18+I20/3</f>
        <v>0.4599490914511617</v>
      </c>
      <c r="X20" s="134">
        <f>V18+I20/5</f>
        <v>0.3091649235464482</v>
      </c>
      <c r="Y20" s="134"/>
      <c r="AA20" s="134"/>
    </row>
    <row r="21" spans="1:27">
      <c r="C21" s="111"/>
      <c r="D21" s="100"/>
      <c r="F21" s="100"/>
      <c r="G21" s="100"/>
      <c r="K21" s="100"/>
      <c r="L21" s="7"/>
      <c r="N21" s="7"/>
      <c r="O21" s="7"/>
      <c r="P21" s="7"/>
      <c r="AA21" s="134"/>
    </row>
    <row r="22" spans="1:27">
      <c r="A22" s="184" t="s">
        <v>295</v>
      </c>
      <c r="B22" t="s">
        <v>30</v>
      </c>
      <c r="C22" s="195">
        <v>21.061521653743799</v>
      </c>
      <c r="D22" s="100">
        <v>12.46285296832662</v>
      </c>
      <c r="E22" s="13">
        <v>0.40826436127366539</v>
      </c>
      <c r="F22" s="100">
        <v>-538.01682294769023</v>
      </c>
      <c r="G22" s="100">
        <v>-26.54501197932462</v>
      </c>
      <c r="H22" s="13">
        <v>7.1076156297687598E-2</v>
      </c>
      <c r="I22" s="13">
        <v>2.011901536197207</v>
      </c>
      <c r="J22" s="13">
        <v>3.1757829240901598</v>
      </c>
      <c r="K22" s="100">
        <v>-43.169635741913893</v>
      </c>
      <c r="L22" s="7">
        <v>12.46285296832662</v>
      </c>
      <c r="M22" s="15">
        <v>0.40826436127366539</v>
      </c>
      <c r="N22" s="7">
        <v>129.3741749156888</v>
      </c>
      <c r="O22" s="7">
        <v>5.1426793867332883</v>
      </c>
      <c r="P22" s="7">
        <v>10.38078321588832</v>
      </c>
      <c r="Q22" s="109">
        <v>9.3442945459429341E-2</v>
      </c>
      <c r="R22" s="109">
        <v>5.5888268161196769E-2</v>
      </c>
      <c r="S22" s="109">
        <v>1.725589100389234E-2</v>
      </c>
      <c r="U22" s="134">
        <f>C22*S22</f>
        <v>0.36343532203312134</v>
      </c>
      <c r="V22" s="134">
        <f>(1+S22)*Q22*(1-U22)+S22</f>
        <v>7.7764792653923207E-2</v>
      </c>
      <c r="W22" s="134">
        <f>V22+I22/3</f>
        <v>0.74839863805299223</v>
      </c>
      <c r="X22" s="134">
        <f>V22+I22/5</f>
        <v>0.48014509989336462</v>
      </c>
      <c r="Y22" s="134"/>
      <c r="AA22" s="134"/>
    </row>
    <row r="23" spans="1:27">
      <c r="A23" t="s">
        <v>296</v>
      </c>
      <c r="B23" t="s">
        <v>32</v>
      </c>
      <c r="C23" s="196">
        <v>33.508070033703483</v>
      </c>
      <c r="D23" s="100">
        <v>19.54891726234872</v>
      </c>
      <c r="E23" s="13">
        <v>0.41659077223230712</v>
      </c>
      <c r="F23" s="100">
        <v>-35.920934477794702</v>
      </c>
      <c r="G23" s="100">
        <v>-2.0720084577137472</v>
      </c>
      <c r="H23" s="13">
        <v>-5.2513856331215643E-2</v>
      </c>
      <c r="I23" s="13">
        <v>3.2042145294685058</v>
      </c>
      <c r="J23" s="13">
        <v>-5.6352455802926009</v>
      </c>
      <c r="K23" s="100">
        <v>-1.8374897185215751</v>
      </c>
      <c r="L23" s="7">
        <v>19.54891726234872</v>
      </c>
      <c r="M23" s="15">
        <v>0.41659077223230712</v>
      </c>
      <c r="N23" s="7">
        <v>317.54811403117401</v>
      </c>
      <c r="O23" s="7">
        <v>8.4767652601828161</v>
      </c>
      <c r="P23" s="7">
        <v>16.24376991163458</v>
      </c>
      <c r="S23" s="109">
        <v>1.31245506596553E-2</v>
      </c>
      <c r="U23" s="134">
        <f>C23*S23</f>
        <v>0.439778362664619</v>
      </c>
      <c r="V23" s="134">
        <f>(1+S23)*R22*(1-U23)+S23</f>
        <v>4.4845295037395289E-2</v>
      </c>
      <c r="W23" s="134">
        <f>V23+I23/3</f>
        <v>1.1129168048602305</v>
      </c>
      <c r="X23" s="134">
        <f>V23+I23/5</f>
        <v>0.6856882009310965</v>
      </c>
      <c r="Y23" s="134"/>
      <c r="AA23" s="134"/>
    </row>
    <row r="24" spans="1:27">
      <c r="B24" t="s">
        <v>34</v>
      </c>
      <c r="C24" s="195">
        <v>1.968050619183372</v>
      </c>
      <c r="D24" s="100">
        <v>1.7546170954541129</v>
      </c>
      <c r="E24" s="13">
        <v>0.10844920432881</v>
      </c>
      <c r="F24" s="100">
        <v>6.1068745266858793</v>
      </c>
      <c r="G24" s="100">
        <v>2.1030068368972552</v>
      </c>
      <c r="H24" s="13">
        <v>0.1687901343674412</v>
      </c>
      <c r="I24" s="13">
        <v>0.48785566583205697</v>
      </c>
      <c r="J24" s="13">
        <v>0.86732683831311563</v>
      </c>
      <c r="K24" s="100">
        <v>3.4804599490724528</v>
      </c>
      <c r="L24" s="7">
        <v>1.7546170954541129</v>
      </c>
      <c r="M24" s="15">
        <v>0.10844920432881</v>
      </c>
      <c r="N24" s="7">
        <v>6.1068745266858793</v>
      </c>
      <c r="O24" s="7">
        <v>2.1030068368972552</v>
      </c>
      <c r="P24" s="7">
        <v>3.4804599490724528</v>
      </c>
      <c r="W24" s="134">
        <f>V22+I24/3</f>
        <v>0.24038334793127553</v>
      </c>
      <c r="X24" s="134">
        <f>V22+I24/5</f>
        <v>0.17533592582033458</v>
      </c>
      <c r="Y24" s="134"/>
      <c r="AA24" s="134"/>
    </row>
    <row r="25" spans="1:27">
      <c r="B25" t="s">
        <v>35</v>
      </c>
      <c r="C25" s="195">
        <v>1.872708003607781</v>
      </c>
      <c r="D25" s="100">
        <v>1.779209792114038</v>
      </c>
      <c r="E25" s="13">
        <v>4.992674315142509E-2</v>
      </c>
      <c r="F25" s="100">
        <v>6.1198821540485104</v>
      </c>
      <c r="G25" s="100">
        <v>2.267931862446535</v>
      </c>
      <c r="H25" s="13">
        <v>0.1556535532371717</v>
      </c>
      <c r="I25" s="13">
        <v>0.53403658855993941</v>
      </c>
      <c r="J25" s="13">
        <v>0.97438480608912359</v>
      </c>
      <c r="K25" s="100">
        <v>3.4396630353393758</v>
      </c>
      <c r="L25" s="7">
        <v>1.779209792114038</v>
      </c>
      <c r="M25" s="15">
        <v>4.992674315142509E-2</v>
      </c>
      <c r="N25" s="7">
        <v>6.1198821540485104</v>
      </c>
      <c r="O25" s="7">
        <v>2.267931862446535</v>
      </c>
      <c r="P25" s="7">
        <v>3.4396630353393758</v>
      </c>
      <c r="W25" s="134">
        <f>V23+I25/3</f>
        <v>0.22285749122404175</v>
      </c>
      <c r="X25" s="134">
        <f>V23+I25/5</f>
        <v>0.15165261274938319</v>
      </c>
      <c r="Y25" s="134"/>
      <c r="AA25" s="134"/>
    </row>
    <row r="26" spans="1:27">
      <c r="C26" s="111"/>
      <c r="D26" s="100"/>
      <c r="F26" s="100"/>
      <c r="G26" s="100"/>
      <c r="K26" s="100"/>
      <c r="L26" s="7"/>
      <c r="N26" s="7"/>
      <c r="O26" s="7"/>
      <c r="P26" s="7"/>
      <c r="AA26" s="134"/>
    </row>
    <row r="27" spans="1:27">
      <c r="A27" t="s">
        <v>297</v>
      </c>
      <c r="B27" t="s">
        <v>30</v>
      </c>
      <c r="C27" s="197">
        <v>27.536947435797199</v>
      </c>
      <c r="D27" s="100">
        <v>17.02728447627242</v>
      </c>
      <c r="E27" s="13">
        <v>0.38165678981042539</v>
      </c>
      <c r="F27" s="100">
        <v>-277.54214880517412</v>
      </c>
      <c r="G27" s="100">
        <v>-11.078900337528969</v>
      </c>
      <c r="H27" s="13">
        <v>-0.1103885981564084</v>
      </c>
      <c r="I27" s="13">
        <v>0.26171567733967999</v>
      </c>
      <c r="J27" s="13">
        <v>0.88984370605629004</v>
      </c>
      <c r="K27" s="100">
        <v>-16.2998479993642</v>
      </c>
      <c r="L27" s="7">
        <v>17.74093064039387</v>
      </c>
      <c r="M27" s="15">
        <v>0.3557408394028746</v>
      </c>
      <c r="N27" s="7">
        <v>82.84096357591693</v>
      </c>
      <c r="O27" s="7">
        <v>2.0083568183823521</v>
      </c>
      <c r="P27" s="7">
        <v>4.6694824107647692</v>
      </c>
      <c r="Q27" s="109">
        <v>7.8367292626271068E-2</v>
      </c>
      <c r="R27" s="109">
        <v>5.3717551295827642E-2</v>
      </c>
      <c r="S27" s="109">
        <v>1.3368802574544709E-2</v>
      </c>
      <c r="U27" s="134">
        <f>C27*S27</f>
        <v>0.36813601377478794</v>
      </c>
      <c r="V27" s="134">
        <f>(1+S27)*Q27*(1-U27)+S27</f>
        <v>6.3548261762255892E-2</v>
      </c>
      <c r="W27" s="134">
        <f>V27+I27/3</f>
        <v>0.15078682087548256</v>
      </c>
      <c r="X27" s="134">
        <f>V27+I27/5</f>
        <v>0.11589139723019189</v>
      </c>
      <c r="Y27" s="134"/>
      <c r="AA27" s="134"/>
    </row>
    <row r="28" spans="1:27">
      <c r="A28" t="s">
        <v>298</v>
      </c>
      <c r="B28" t="s">
        <v>32</v>
      </c>
      <c r="C28" s="197">
        <v>40.563216914343911</v>
      </c>
      <c r="D28" s="100">
        <v>15.73220601098742</v>
      </c>
      <c r="E28" s="13">
        <v>0.61215585923057736</v>
      </c>
      <c r="F28" s="100">
        <v>-34.347332872790872</v>
      </c>
      <c r="G28" s="100">
        <v>-1.8467605748656739</v>
      </c>
      <c r="H28" s="13">
        <v>-0.2134665907490306</v>
      </c>
      <c r="I28" s="13">
        <v>0.12670552554860631</v>
      </c>
      <c r="J28" s="13">
        <v>0.70839097445711441</v>
      </c>
      <c r="K28" s="100">
        <v>-2.183249624928798</v>
      </c>
      <c r="L28" s="7">
        <v>25.882458845413861</v>
      </c>
      <c r="M28" s="15">
        <v>0.36192292391234537</v>
      </c>
      <c r="N28" s="7">
        <v>113.8401994197592</v>
      </c>
      <c r="O28" s="7">
        <v>1.806488441490034</v>
      </c>
      <c r="P28" s="7">
        <v>4.3983533442353249</v>
      </c>
      <c r="S28" s="109">
        <v>1.1295053529852449E-2</v>
      </c>
      <c r="U28" s="134">
        <f>C28*S28</f>
        <v>0.45816370639053078</v>
      </c>
      <c r="V28" s="134">
        <f>(1+S28)*R27*(1-U28)+S28</f>
        <v>4.0729927596735764E-2</v>
      </c>
      <c r="W28" s="134">
        <f>V28+I28/3</f>
        <v>8.2965102779604533E-2</v>
      </c>
      <c r="X28" s="134">
        <f>V28+I28/5</f>
        <v>6.6071032706457034E-2</v>
      </c>
      <c r="Y28" s="134"/>
      <c r="AA28" s="134"/>
    </row>
    <row r="29" spans="1:27">
      <c r="B29" t="s">
        <v>34</v>
      </c>
      <c r="C29" s="195">
        <v>2.1579960177353641</v>
      </c>
      <c r="D29" s="100">
        <v>1.7493016171068629</v>
      </c>
      <c r="E29" s="13">
        <v>0.18938607730026841</v>
      </c>
      <c r="F29" s="100">
        <v>7.3567195847844911</v>
      </c>
      <c r="G29" s="100">
        <v>2.409051510903506</v>
      </c>
      <c r="H29" s="13">
        <v>5.1687054355129103E-2</v>
      </c>
      <c r="I29" s="13">
        <v>0.4390280807505873</v>
      </c>
      <c r="J29" s="13">
        <v>0.93787018791301047</v>
      </c>
      <c r="K29" s="100">
        <v>4.2055180838120014</v>
      </c>
      <c r="L29" s="7">
        <v>1.796709475610893</v>
      </c>
      <c r="M29" s="15">
        <v>0.16741761298689081</v>
      </c>
      <c r="N29" s="7">
        <v>7.3567195847844911</v>
      </c>
      <c r="O29" s="7">
        <v>2.409051510903506</v>
      </c>
      <c r="P29" s="7">
        <v>4.0945515591958221</v>
      </c>
      <c r="W29" s="134">
        <f>V27+I29/3</f>
        <v>0.209890955345785</v>
      </c>
      <c r="X29" s="134">
        <f>V27+I29/5</f>
        <v>0.15135387791237337</v>
      </c>
      <c r="Y29" s="134"/>
      <c r="AA29" s="134"/>
    </row>
    <row r="30" spans="1:27">
      <c r="B30" t="s">
        <v>35</v>
      </c>
      <c r="C30" s="195">
        <v>2.1789566853200522</v>
      </c>
      <c r="D30" s="100">
        <v>1.744301157749395</v>
      </c>
      <c r="E30" s="13">
        <v>0.19947873700243529</v>
      </c>
      <c r="F30" s="100">
        <v>7.2117629018619969</v>
      </c>
      <c r="G30" s="100">
        <v>2.3097321073193839</v>
      </c>
      <c r="H30" s="13">
        <v>3.4147164525424323E-2</v>
      </c>
      <c r="I30" s="13">
        <v>0.39579890529159578</v>
      </c>
      <c r="J30" s="13">
        <v>0.9602520449886216</v>
      </c>
      <c r="K30" s="100">
        <v>4.1344712005850281</v>
      </c>
      <c r="L30" s="7">
        <v>1.8806582041496529</v>
      </c>
      <c r="M30" s="15">
        <v>0.13689968377071429</v>
      </c>
      <c r="N30" s="7">
        <v>6.5600578415802824</v>
      </c>
      <c r="O30" s="7">
        <v>2.0106416918593859</v>
      </c>
      <c r="P30" s="7">
        <v>3.488171230213752</v>
      </c>
      <c r="W30" s="134">
        <f>V28+I30/3</f>
        <v>0.1726628960272677</v>
      </c>
      <c r="X30" s="134">
        <f>V28+I30/5</f>
        <v>0.11988970865505491</v>
      </c>
      <c r="Y30" s="134"/>
      <c r="AA30" s="134"/>
    </row>
    <row r="31" spans="1:27">
      <c r="C31" s="111"/>
      <c r="D31" s="100"/>
      <c r="F31" s="100"/>
      <c r="G31" s="100"/>
      <c r="K31" s="100"/>
      <c r="L31" s="7"/>
      <c r="N31" s="7"/>
      <c r="O31" s="7"/>
      <c r="P31" s="7"/>
      <c r="AA31" s="134"/>
    </row>
    <row r="32" spans="1:27">
      <c r="A32" t="s">
        <v>299</v>
      </c>
      <c r="B32" t="s">
        <v>30</v>
      </c>
      <c r="C32" s="197">
        <v>41.932900770053948</v>
      </c>
      <c r="D32" s="100">
        <v>21.91983427603957</v>
      </c>
      <c r="E32" s="13">
        <v>0.47726406059431392</v>
      </c>
      <c r="F32" s="100">
        <v>-377.47652698007778</v>
      </c>
      <c r="G32" s="100">
        <v>-10.001917827007331</v>
      </c>
      <c r="H32" s="13">
        <v>-0.30602993012709601</v>
      </c>
      <c r="I32" s="13">
        <v>0.14400641501438519</v>
      </c>
      <c r="J32" s="13">
        <v>1.258858954894867</v>
      </c>
      <c r="K32" s="100">
        <v>-17.22077467495706</v>
      </c>
      <c r="L32" s="7">
        <v>21.91983427603957</v>
      </c>
      <c r="M32" s="15">
        <v>0.47726406059431392</v>
      </c>
      <c r="N32" s="7">
        <v>-377.47652698007778</v>
      </c>
      <c r="O32" s="7">
        <v>-10.001917827007331</v>
      </c>
      <c r="P32" s="7">
        <v>-17.22077467495706</v>
      </c>
      <c r="Q32" s="109">
        <v>4.1131950723730722E-2</v>
      </c>
      <c r="R32" s="109">
        <v>1.8780318731849179E-2</v>
      </c>
      <c r="S32" s="109">
        <v>1.309233878323467E-2</v>
      </c>
      <c r="U32" s="134">
        <f>C32*S32</f>
        <v>0.5489997430453083</v>
      </c>
      <c r="V32" s="134">
        <f>(1+S32)*Q32*(1-U32)+S32</f>
        <v>3.1885728825652868E-2</v>
      </c>
      <c r="W32" s="134">
        <f>V32+I32/3</f>
        <v>7.9887867163781268E-2</v>
      </c>
      <c r="X32" s="134">
        <f>V32+I32/5</f>
        <v>6.0687011828529903E-2</v>
      </c>
      <c r="Y32" s="134"/>
      <c r="AA32" s="134"/>
    </row>
    <row r="33" spans="1:27">
      <c r="A33" t="s">
        <v>300</v>
      </c>
      <c r="B33" t="s">
        <v>32</v>
      </c>
      <c r="C33" s="196">
        <v>88.56157878091652</v>
      </c>
      <c r="D33" s="100">
        <v>28.22843302036695</v>
      </c>
      <c r="E33" s="13">
        <v>0.68125643863917107</v>
      </c>
      <c r="F33" s="100">
        <v>-32.183574176979697</v>
      </c>
      <c r="G33" s="100">
        <v>-1.363403347365739</v>
      </c>
      <c r="H33" s="13">
        <v>-0.44984448173753561</v>
      </c>
      <c r="I33" s="13">
        <v>1.136264372936163</v>
      </c>
      <c r="J33" s="13">
        <v>-2.9461872668719229</v>
      </c>
      <c r="K33" s="100">
        <v>-1.1401119627773559</v>
      </c>
      <c r="L33" s="7">
        <v>28.721815430653201</v>
      </c>
      <c r="M33" s="15">
        <v>0.67568537252813465</v>
      </c>
      <c r="N33" s="7">
        <v>-32.183574176979697</v>
      </c>
      <c r="O33" s="7">
        <v>-1.363403347365739</v>
      </c>
      <c r="P33" s="7">
        <v>-1.120527156602781</v>
      </c>
      <c r="S33" s="109">
        <v>1.2456927440247919E-2</v>
      </c>
      <c r="U33" s="134">
        <f>C33*S33</f>
        <v>1.1032051608676769</v>
      </c>
      <c r="V33" s="134">
        <f>(1+S33)*R32*(1-U33)+S33</f>
        <v>1.0494557286030111E-2</v>
      </c>
      <c r="W33" s="134">
        <f>V33+I33/3</f>
        <v>0.3892493482647511</v>
      </c>
      <c r="X33" s="134">
        <f>V33+I33/5</f>
        <v>0.23774743187326269</v>
      </c>
      <c r="Y33" s="134"/>
      <c r="AA33" s="134"/>
    </row>
    <row r="34" spans="1:27">
      <c r="B34" t="s">
        <v>34</v>
      </c>
      <c r="C34" s="195">
        <v>1.7247820081769489</v>
      </c>
      <c r="D34" s="100">
        <v>1.4242497147573481</v>
      </c>
      <c r="E34" s="13">
        <v>0.1742436389032469</v>
      </c>
      <c r="F34" s="100">
        <v>5.3509310970446444</v>
      </c>
      <c r="G34" s="100">
        <v>2.1023810960901912</v>
      </c>
      <c r="H34" s="13">
        <v>4.0744716733507991E-2</v>
      </c>
      <c r="I34" s="13">
        <v>0.41206858468996499</v>
      </c>
      <c r="J34" s="13">
        <v>0.88312170446401428</v>
      </c>
      <c r="K34" s="100">
        <v>3.7570174960198561</v>
      </c>
      <c r="L34" s="7">
        <v>1.4242497147573481</v>
      </c>
      <c r="M34" s="15">
        <v>0.1742436389032469</v>
      </c>
      <c r="N34" s="7">
        <v>5.2214668955871186</v>
      </c>
      <c r="O34" s="7">
        <v>2.0273198994614261</v>
      </c>
      <c r="P34" s="7">
        <v>3.6661175645569362</v>
      </c>
      <c r="W34" s="134">
        <f>V32+I34/3</f>
        <v>0.16924192372230784</v>
      </c>
      <c r="X34" s="134">
        <f>V32+I34/5</f>
        <v>0.11429944576364587</v>
      </c>
      <c r="Y34" s="134"/>
      <c r="AA34" s="134"/>
    </row>
    <row r="35" spans="1:27">
      <c r="B35" t="s">
        <v>35</v>
      </c>
      <c r="C35" s="195">
        <v>1.6632146769013829</v>
      </c>
      <c r="D35" s="100">
        <v>1.471234544346147</v>
      </c>
      <c r="E35" s="13">
        <v>0.11542715154059439</v>
      </c>
      <c r="F35" s="100">
        <v>5.2166986016767876</v>
      </c>
      <c r="G35" s="100">
        <v>2.136515492633607</v>
      </c>
      <c r="H35" s="13">
        <v>8.3643537222263475E-2</v>
      </c>
      <c r="I35" s="13">
        <v>0.4477131065944393</v>
      </c>
      <c r="J35" s="13">
        <v>0.80899842911598485</v>
      </c>
      <c r="K35" s="100">
        <v>3.545796706394778</v>
      </c>
      <c r="L35" s="7">
        <v>1.471234544346147</v>
      </c>
      <c r="M35" s="15">
        <v>0.11542715154059439</v>
      </c>
      <c r="N35" s="7">
        <v>5.2166986016767876</v>
      </c>
      <c r="O35" s="7">
        <v>2.136515492633607</v>
      </c>
      <c r="P35" s="7">
        <v>3.545796706394778</v>
      </c>
      <c r="W35" s="134">
        <f>V33+I35/3</f>
        <v>0.15973225948417655</v>
      </c>
      <c r="X35" s="134">
        <f>V33+I35/5</f>
        <v>0.10003717860491798</v>
      </c>
      <c r="Y35" s="134"/>
      <c r="AA35" s="134"/>
    </row>
    <row r="36" spans="1:27">
      <c r="C36" s="111"/>
      <c r="D36" s="100"/>
      <c r="F36" s="100"/>
      <c r="G36" s="100"/>
      <c r="K36" s="100"/>
      <c r="L36" s="7"/>
      <c r="N36" s="7"/>
      <c r="O36" s="7"/>
      <c r="P36" s="7"/>
      <c r="AA36" s="134"/>
    </row>
    <row r="37" spans="1:27">
      <c r="A37" t="s">
        <v>301</v>
      </c>
      <c r="B37" t="s">
        <v>30</v>
      </c>
      <c r="C37" s="195">
        <v>20.10024702824273</v>
      </c>
      <c r="D37" s="100">
        <v>13.95313344929794</v>
      </c>
      <c r="E37" s="13">
        <v>0.30582278766561999</v>
      </c>
      <c r="F37" s="100">
        <v>-45.163815295928167</v>
      </c>
      <c r="G37" s="100">
        <v>-3.2469283702070322</v>
      </c>
      <c r="H37" s="13">
        <v>0.25471941220526961</v>
      </c>
      <c r="I37" s="13">
        <v>1.623824018088168</v>
      </c>
      <c r="J37" s="13">
        <v>8.6389676758784866</v>
      </c>
      <c r="K37" s="100">
        <v>-3.2368224284560689</v>
      </c>
      <c r="L37" s="7">
        <v>13.95313344929794</v>
      </c>
      <c r="M37" s="15">
        <v>0.30582278766561999</v>
      </c>
      <c r="N37" s="7">
        <v>298.19942016376029</v>
      </c>
      <c r="O37" s="7">
        <v>13.835609718863759</v>
      </c>
      <c r="P37" s="7">
        <v>21.37150205345197</v>
      </c>
      <c r="Q37" s="109">
        <v>9.8261597551158861E-2</v>
      </c>
      <c r="R37" s="109">
        <v>3.1991765161455958E-2</v>
      </c>
      <c r="S37" s="109">
        <v>1.4494765565083121E-2</v>
      </c>
      <c r="U37" s="134">
        <f>C37*S37</f>
        <v>0.29134836847463708</v>
      </c>
      <c r="V37" s="134">
        <f>(1+S37)*Q37*(1-U37)+S37</f>
        <v>8.5137324495933489E-2</v>
      </c>
      <c r="W37" s="134">
        <f>V37+I37/3</f>
        <v>0.62641199719198948</v>
      </c>
      <c r="X37" s="134">
        <f>V37+I37/5</f>
        <v>0.40990212811356708</v>
      </c>
      <c r="Y37" s="134"/>
      <c r="AA37" s="134"/>
    </row>
    <row r="38" spans="1:27">
      <c r="A38" t="s">
        <v>302</v>
      </c>
      <c r="B38" t="s">
        <v>32</v>
      </c>
      <c r="C38" s="196">
        <v>53.618560031819143</v>
      </c>
      <c r="D38" s="100">
        <v>24.03455545123148</v>
      </c>
      <c r="E38" s="13">
        <v>0.55174933013925531</v>
      </c>
      <c r="F38" s="100">
        <v>-26.94628548786104</v>
      </c>
      <c r="G38" s="100">
        <v>-1.502555187455056</v>
      </c>
      <c r="H38" s="13">
        <v>-0.27908675958583362</v>
      </c>
      <c r="I38" s="13">
        <v>0.1024828364551427</v>
      </c>
      <c r="J38" s="13">
        <v>-27.770459091740239</v>
      </c>
      <c r="K38" s="100">
        <v>-1.12114765519744</v>
      </c>
      <c r="L38" s="7">
        <v>24.03455545123148</v>
      </c>
      <c r="M38" s="15">
        <v>0.55174933013925531</v>
      </c>
      <c r="N38" s="7">
        <v>-449.31656848292789</v>
      </c>
      <c r="O38" s="7">
        <v>-9.3798701087139911</v>
      </c>
      <c r="P38" s="7">
        <v>-18.694606995941161</v>
      </c>
      <c r="S38" s="109">
        <v>1.280259673921171E-2</v>
      </c>
      <c r="U38" s="134">
        <f>C38*S38</f>
        <v>0.68645680182459512</v>
      </c>
      <c r="V38" s="134">
        <f>(1+S38)*R37*(1-U38)+S38</f>
        <v>2.2961817395242931E-2</v>
      </c>
      <c r="W38" s="134">
        <f>V38+I38/3</f>
        <v>5.7122762880290494E-2</v>
      </c>
      <c r="X38" s="134">
        <f>V38+I38/5</f>
        <v>4.3458384686271473E-2</v>
      </c>
      <c r="Y38" s="134"/>
      <c r="AA38" s="134"/>
    </row>
    <row r="39" spans="1:27">
      <c r="B39" t="s">
        <v>34</v>
      </c>
      <c r="C39" s="195">
        <v>1.975082384168064</v>
      </c>
      <c r="D39" s="100">
        <v>1.759070036115282</v>
      </c>
      <c r="E39" s="13">
        <v>0.10936877863136291</v>
      </c>
      <c r="F39" s="100">
        <v>6.2824871124979182</v>
      </c>
      <c r="G39" s="100">
        <v>2.1808734475368241</v>
      </c>
      <c r="H39" s="13">
        <v>8.4806169719855218E-2</v>
      </c>
      <c r="I39" s="13">
        <v>0.37384246941536792</v>
      </c>
      <c r="J39" s="13">
        <v>0.77208685088413365</v>
      </c>
      <c r="K39" s="100">
        <v>3.571482080595334</v>
      </c>
      <c r="L39" s="7">
        <v>1.8308078986452281</v>
      </c>
      <c r="M39" s="15">
        <v>7.3047325356813797E-2</v>
      </c>
      <c r="N39" s="7">
        <v>6.2824871124979182</v>
      </c>
      <c r="O39" s="7">
        <v>2.1808734475368241</v>
      </c>
      <c r="P39" s="7">
        <v>3.4315381297769529</v>
      </c>
      <c r="W39" s="134">
        <f>V37+I39/3</f>
        <v>0.20975148096772278</v>
      </c>
      <c r="X39" s="134">
        <f>V37+I39/5</f>
        <v>0.15990581837900708</v>
      </c>
      <c r="Y39" s="134"/>
      <c r="AA39" s="134"/>
    </row>
    <row r="40" spans="1:27">
      <c r="B40" t="s">
        <v>35</v>
      </c>
      <c r="C40" s="195">
        <v>1.7153523808333859</v>
      </c>
      <c r="D40" s="100">
        <v>1.6030360991898089</v>
      </c>
      <c r="E40" s="13">
        <v>6.5477089663063315E-2</v>
      </c>
      <c r="F40" s="100">
        <v>6.8236649931812607</v>
      </c>
      <c r="G40" s="100">
        <v>2.9779960487570798</v>
      </c>
      <c r="H40" s="13">
        <v>0.14390302717712219</v>
      </c>
      <c r="I40" s="13">
        <v>0.51108451496003315</v>
      </c>
      <c r="J40" s="13">
        <v>0.95596080031057973</v>
      </c>
      <c r="K40" s="100">
        <v>4.2567132434696946</v>
      </c>
      <c r="L40" s="7">
        <v>1.6030360991898089</v>
      </c>
      <c r="M40" s="15">
        <v>6.5477089663063315E-2</v>
      </c>
      <c r="N40" s="7">
        <v>6.8236649931812607</v>
      </c>
      <c r="O40" s="7">
        <v>2.9779960487570798</v>
      </c>
      <c r="P40" s="7">
        <v>4.2567132434696946</v>
      </c>
      <c r="W40" s="134">
        <f>V38+I40/3</f>
        <v>0.19332332238192063</v>
      </c>
      <c r="X40" s="134">
        <f>V38+I40/5</f>
        <v>0.12517872038724956</v>
      </c>
      <c r="Y40" s="134"/>
      <c r="AA40" s="134"/>
    </row>
    <row r="41" spans="1:27">
      <c r="C41" s="111"/>
      <c r="D41" s="100"/>
      <c r="F41" s="100"/>
      <c r="G41" s="100"/>
      <c r="K41" s="100"/>
      <c r="L41" s="7"/>
      <c r="N41" s="7"/>
      <c r="O41" s="7"/>
      <c r="P41" s="7"/>
      <c r="AA41" s="134"/>
    </row>
    <row r="42" spans="1:27">
      <c r="A42" s="184" t="s">
        <v>303</v>
      </c>
      <c r="B42" t="s">
        <v>30</v>
      </c>
      <c r="C42" s="197">
        <v>11.455371042631119</v>
      </c>
      <c r="D42" s="100">
        <v>7.8718156656640188</v>
      </c>
      <c r="E42" s="13">
        <v>0.31282752550143661</v>
      </c>
      <c r="F42" s="100">
        <v>45.094342725731529</v>
      </c>
      <c r="G42" s="100">
        <v>2.9365239727210128</v>
      </c>
      <c r="H42" s="13">
        <v>-2.0806309057243899E-2</v>
      </c>
      <c r="I42" s="13">
        <v>0.55697997527991938</v>
      </c>
      <c r="J42" s="13">
        <v>1.361094766148635</v>
      </c>
      <c r="K42" s="100">
        <v>5.7285821519459628</v>
      </c>
      <c r="L42" s="7">
        <v>7.8718156656640188</v>
      </c>
      <c r="M42" s="15">
        <v>0.31282752550143661</v>
      </c>
      <c r="N42" s="7">
        <v>45.094342725731529</v>
      </c>
      <c r="O42" s="7">
        <v>2.9365239727210128</v>
      </c>
      <c r="P42" s="7">
        <v>5.7285821519459628</v>
      </c>
      <c r="Q42" s="109">
        <v>0.1834554234933872</v>
      </c>
      <c r="R42" s="109">
        <v>0.1221007802161458</v>
      </c>
      <c r="S42" s="109">
        <v>2.58043287981016E-2</v>
      </c>
      <c r="U42" s="134">
        <f>C42*S42</f>
        <v>0.29559816088830537</v>
      </c>
      <c r="V42" s="134">
        <f>(1+S42)*Q42*(1-U42)+S42</f>
        <v>0.15836526540934057</v>
      </c>
      <c r="W42" s="134">
        <f>V42+I42/3</f>
        <v>0.3440252571693137</v>
      </c>
      <c r="X42" s="134">
        <f>V42+I42/5</f>
        <v>0.26976126046532445</v>
      </c>
      <c r="Y42" s="134"/>
      <c r="AA42" s="134"/>
    </row>
    <row r="43" spans="1:27">
      <c r="A43" t="s">
        <v>304</v>
      </c>
      <c r="B43" t="s">
        <v>32</v>
      </c>
      <c r="C43" s="195">
        <v>16.124161821710889</v>
      </c>
      <c r="D43" s="100">
        <v>12.889916705799269</v>
      </c>
      <c r="E43" s="13">
        <v>0.2005837668756687</v>
      </c>
      <c r="F43" s="100">
        <v>348.95586220226681</v>
      </c>
      <c r="G43" s="100">
        <v>20.641798566695361</v>
      </c>
      <c r="H43" s="13">
        <v>0.32589809510886347</v>
      </c>
      <c r="I43" s="13">
        <v>0.99194828598731699</v>
      </c>
      <c r="J43" s="13">
        <v>2.7911773967789388</v>
      </c>
      <c r="K43" s="100">
        <v>27.07200288154452</v>
      </c>
      <c r="L43" s="7">
        <v>12.889916705799269</v>
      </c>
      <c r="M43" s="15">
        <v>0.2005837668756687</v>
      </c>
      <c r="N43" s="7">
        <v>348.95586220226681</v>
      </c>
      <c r="O43" s="7">
        <v>20.641798566695361</v>
      </c>
      <c r="P43" s="7">
        <v>27.07200288154452</v>
      </c>
      <c r="S43" s="109">
        <v>1.586725781455026E-2</v>
      </c>
      <c r="U43" s="134">
        <f>C43*S43</f>
        <v>0.25584623266861506</v>
      </c>
      <c r="V43" s="134">
        <f>(1+S43)*R42*(1-U43)+S43</f>
        <v>0.10817074030795666</v>
      </c>
      <c r="W43" s="134">
        <f>V43+I43/3</f>
        <v>0.43882016897039566</v>
      </c>
      <c r="X43" s="134">
        <f>V43+I43/5</f>
        <v>0.30656039750542008</v>
      </c>
      <c r="Y43" s="134"/>
      <c r="AA43" s="134"/>
    </row>
    <row r="44" spans="1:27">
      <c r="B44" t="s">
        <v>34</v>
      </c>
      <c r="C44" s="198">
        <v>2.1015499458997771</v>
      </c>
      <c r="D44" s="100">
        <v>1.363841144069476</v>
      </c>
      <c r="E44" s="13">
        <v>0.35103082049970108</v>
      </c>
      <c r="F44" s="100">
        <v>4.408232093882682</v>
      </c>
      <c r="G44" s="100">
        <v>1.097609958061359</v>
      </c>
      <c r="H44" s="13">
        <v>-0.2227271035434297</v>
      </c>
      <c r="I44" s="13">
        <v>-8.5013653609426032E-2</v>
      </c>
      <c r="J44" s="13">
        <v>9.9760854162623591E-2</v>
      </c>
      <c r="K44" s="100">
        <v>3.2322181458239689</v>
      </c>
      <c r="L44" s="7">
        <v>1.3929604063217169</v>
      </c>
      <c r="M44" s="15">
        <v>0.33717473189754632</v>
      </c>
      <c r="N44" s="7">
        <v>3.1330646982157631</v>
      </c>
      <c r="O44" s="7">
        <v>0.49083523060135698</v>
      </c>
      <c r="P44" s="7">
        <v>2.2492130314665628</v>
      </c>
      <c r="W44" s="134">
        <f>V42+I44/3</f>
        <v>0.13002738087286522</v>
      </c>
      <c r="X44" s="134">
        <f>V42+I44/5</f>
        <v>0.14136253468745535</v>
      </c>
      <c r="Y44" s="134"/>
      <c r="AA44" s="134"/>
    </row>
    <row r="45" spans="1:27">
      <c r="B45" t="s">
        <v>35</v>
      </c>
      <c r="C45" s="197">
        <v>1.96877273876229</v>
      </c>
      <c r="D45" s="100">
        <v>1.530508479379324</v>
      </c>
      <c r="E45" s="13">
        <v>0.22260784637768319</v>
      </c>
      <c r="F45" s="100">
        <v>4.9624891348732048</v>
      </c>
      <c r="G45" s="100">
        <v>1.520600289291377</v>
      </c>
      <c r="H45" s="13">
        <v>-4.9004749632630913E-2</v>
      </c>
      <c r="I45" s="13">
        <v>0.17791411524896161</v>
      </c>
      <c r="J45" s="13">
        <v>0.50750203852073672</v>
      </c>
      <c r="K45" s="100">
        <v>3.2423793802734582</v>
      </c>
      <c r="L45" s="7">
        <v>1.530508479379324</v>
      </c>
      <c r="M45" s="15">
        <v>0.22260784637768319</v>
      </c>
      <c r="N45" s="7">
        <v>4.1449570397699436</v>
      </c>
      <c r="O45" s="7">
        <v>1.1053506878481849</v>
      </c>
      <c r="P45" s="7">
        <v>2.708222199102662</v>
      </c>
      <c r="W45" s="134">
        <f>V43+I45/3</f>
        <v>0.16747544539094386</v>
      </c>
      <c r="X45" s="134">
        <f>V43+I45/5</f>
        <v>0.14375356335774897</v>
      </c>
      <c r="Y45" s="134"/>
      <c r="AA45" s="134"/>
    </row>
    <row r="46" spans="1:27">
      <c r="C46" s="111"/>
      <c r="D46" s="100"/>
      <c r="F46" s="100"/>
      <c r="G46" s="100"/>
      <c r="K46" s="100"/>
      <c r="L46" s="7"/>
      <c r="N46" s="7"/>
      <c r="O46" s="7"/>
      <c r="P46" s="7"/>
      <c r="AA46" s="134"/>
    </row>
    <row r="47" spans="1:27">
      <c r="A47" t="s">
        <v>305</v>
      </c>
      <c r="B47" t="s">
        <v>30</v>
      </c>
      <c r="C47" s="198">
        <v>40.65648446027523</v>
      </c>
      <c r="D47" s="100">
        <v>16.491214930370319</v>
      </c>
      <c r="E47" s="13">
        <v>0.59437676057595157</v>
      </c>
      <c r="F47" s="100">
        <v>155.78887680217011</v>
      </c>
      <c r="G47" s="100">
        <v>2.8318334423230511</v>
      </c>
      <c r="H47" s="13">
        <v>-0.34949456733454121</v>
      </c>
      <c r="I47" s="13">
        <v>-0.13263547251967681</v>
      </c>
      <c r="J47" s="13">
        <v>0.27275757800243089</v>
      </c>
      <c r="K47" s="100">
        <v>9.4467798436892778</v>
      </c>
      <c r="L47" s="7">
        <v>23.846593050297141</v>
      </c>
      <c r="M47" s="15">
        <v>0.41346150886220268</v>
      </c>
      <c r="N47" s="7">
        <v>155.78887680217011</v>
      </c>
      <c r="O47" s="7">
        <v>2.8318334423230511</v>
      </c>
      <c r="P47" s="7">
        <v>6.5329616047701569</v>
      </c>
      <c r="Q47" s="109">
        <v>7.617380480598758E-2</v>
      </c>
      <c r="R47" s="109">
        <v>2.3653485864428472E-2</v>
      </c>
      <c r="S47" s="109">
        <v>1.1327301892323329E-2</v>
      </c>
      <c r="U47" s="134">
        <f>C47*S47</f>
        <v>0.46052827336208968</v>
      </c>
      <c r="V47" s="134">
        <f>(1+S47)*Q47*(1-U47)+S47</f>
        <v>5.2886395667250195E-2</v>
      </c>
      <c r="W47" s="134">
        <f>V47+I47/3</f>
        <v>8.674571494024591E-3</v>
      </c>
      <c r="X47" s="134">
        <f>V47+I47/5</f>
        <v>2.6359301163314836E-2</v>
      </c>
      <c r="Y47" s="134"/>
      <c r="AA47" s="134"/>
    </row>
    <row r="48" spans="1:27">
      <c r="A48" t="s">
        <v>306</v>
      </c>
      <c r="B48" t="s">
        <v>32</v>
      </c>
      <c r="C48" s="196">
        <v>96.416630830303959</v>
      </c>
      <c r="D48" s="100">
        <v>20.262153317280841</v>
      </c>
      <c r="E48" s="13">
        <v>0.78984794280000492</v>
      </c>
      <c r="F48" s="100">
        <v>-726.55719986161614</v>
      </c>
      <c r="G48" s="100">
        <v>-8.535600379361707</v>
      </c>
      <c r="H48" s="13">
        <v>-0.69737828818337666</v>
      </c>
      <c r="I48" s="13">
        <v>-0.57510310723692259</v>
      </c>
      <c r="J48" s="13">
        <v>-0.28578325207090399</v>
      </c>
      <c r="K48" s="100">
        <v>-35.857847311912423</v>
      </c>
      <c r="L48" s="7">
        <v>25.87744213933475</v>
      </c>
      <c r="M48" s="15">
        <v>0.73160810623138461</v>
      </c>
      <c r="N48" s="7">
        <v>433.11338258116251</v>
      </c>
      <c r="O48" s="7">
        <v>3.4921024397072591</v>
      </c>
      <c r="P48" s="7">
        <v>16.737101767983969</v>
      </c>
      <c r="S48" s="109">
        <v>1.283677214137875E-2</v>
      </c>
      <c r="U48" s="134">
        <f>C48*S48</f>
        <v>1.2376783206080455</v>
      </c>
      <c r="V48" s="134">
        <f>(1+S48)*R47*(1-U48)+S48</f>
        <v>7.1426840283300604E-3</v>
      </c>
      <c r="W48" s="134">
        <f>V48+I48/3</f>
        <v>-0.1845583517173108</v>
      </c>
      <c r="X48" s="134">
        <f>V48+I48/5</f>
        <v>-0.10787793741905446</v>
      </c>
      <c r="Y48" s="134"/>
      <c r="AA48" s="134"/>
    </row>
    <row r="49" spans="1:27">
      <c r="B49" t="s">
        <v>34</v>
      </c>
      <c r="C49" s="198">
        <v>3.0969591113746731</v>
      </c>
      <c r="D49" s="100">
        <v>1.463636226978223</v>
      </c>
      <c r="E49" s="13">
        <v>0.527395689015556</v>
      </c>
      <c r="F49" s="100">
        <v>7.2985549375601888</v>
      </c>
      <c r="G49" s="100">
        <v>1.3566843071171579</v>
      </c>
      <c r="H49" s="13">
        <v>-0.28555841837158291</v>
      </c>
      <c r="I49" s="13">
        <v>-2.9486497180769788E-2</v>
      </c>
      <c r="J49" s="13">
        <v>0.25808088412367552</v>
      </c>
      <c r="K49" s="100">
        <v>4.9865907956026438</v>
      </c>
      <c r="L49" s="7">
        <v>2.081760227084104</v>
      </c>
      <c r="M49" s="15">
        <v>0.32780506547919658</v>
      </c>
      <c r="N49" s="7">
        <v>7.2985549375601888</v>
      </c>
      <c r="O49" s="7">
        <v>1.3566843071171579</v>
      </c>
      <c r="P49" s="7">
        <v>3.5059536841008758</v>
      </c>
      <c r="W49" s="134">
        <f>V47+I49/3</f>
        <v>4.3057563273660268E-2</v>
      </c>
      <c r="X49" s="134">
        <f>V47+I49/5</f>
        <v>4.698909623109624E-2</v>
      </c>
      <c r="Y49" s="134"/>
      <c r="AA49" s="134"/>
    </row>
    <row r="50" spans="1:27">
      <c r="B50" t="s">
        <v>35</v>
      </c>
      <c r="C50" s="197">
        <v>2.2805894144404131</v>
      </c>
      <c r="D50" s="100">
        <v>1.5322226093876841</v>
      </c>
      <c r="E50" s="13">
        <v>0.32814622409196581</v>
      </c>
      <c r="F50" s="100">
        <v>6.2914365611111078</v>
      </c>
      <c r="G50" s="100">
        <v>1.7586888377515491</v>
      </c>
      <c r="H50" s="13">
        <v>-0.1046173497420271</v>
      </c>
      <c r="I50" s="13">
        <v>0.16679785322004911</v>
      </c>
      <c r="J50" s="13">
        <v>0.63909178889944784</v>
      </c>
      <c r="K50" s="100">
        <v>4.1060851879906206</v>
      </c>
      <c r="L50" s="7">
        <v>1.7864412176544711</v>
      </c>
      <c r="M50" s="15">
        <v>0.21667565132814159</v>
      </c>
      <c r="N50" s="7">
        <v>6.2914365611111078</v>
      </c>
      <c r="O50" s="7">
        <v>1.7586888377515491</v>
      </c>
      <c r="P50" s="7">
        <v>3.5217708251109001</v>
      </c>
      <c r="W50" s="134">
        <f>V48+I50/3</f>
        <v>6.2741968435013104E-2</v>
      </c>
      <c r="X50" s="134">
        <f>V48+I50/5</f>
        <v>4.050225467233988E-2</v>
      </c>
      <c r="Y50" s="134"/>
      <c r="AA50" s="134"/>
    </row>
    <row r="51" spans="1:27">
      <c r="C51" s="111"/>
      <c r="D51" s="100"/>
      <c r="F51" s="100"/>
      <c r="G51" s="100"/>
      <c r="K51" s="100"/>
      <c r="L51" s="7"/>
      <c r="N51" s="7"/>
      <c r="O51" s="7"/>
      <c r="P51" s="7"/>
      <c r="AA51" s="134"/>
    </row>
    <row r="52" spans="1:27">
      <c r="A52" s="184" t="s">
        <v>307</v>
      </c>
      <c r="B52" t="s">
        <v>30</v>
      </c>
      <c r="C52" s="196">
        <v>10.613695409790569</v>
      </c>
      <c r="D52" s="100">
        <v>6.2188426704291038</v>
      </c>
      <c r="E52" s="13">
        <v>0.41407375750649922</v>
      </c>
      <c r="F52" s="100">
        <v>-11.953277665588059</v>
      </c>
      <c r="G52" s="100">
        <v>-2.1262126153122689</v>
      </c>
      <c r="H52" s="13">
        <v>0.27081333325206097</v>
      </c>
      <c r="I52" s="13">
        <v>4.5371730568560782</v>
      </c>
      <c r="J52" s="13">
        <v>-9.4699876838391486</v>
      </c>
      <c r="K52" s="100">
        <v>-1.9221064592012389</v>
      </c>
      <c r="L52" s="7">
        <v>6.2188426704291038</v>
      </c>
      <c r="M52" s="15">
        <v>0.41407375750649922</v>
      </c>
      <c r="N52" s="7">
        <v>-11.953277665588059</v>
      </c>
      <c r="O52" s="7">
        <v>-2.1262126153122689</v>
      </c>
      <c r="P52" s="7">
        <v>-1.9221064592012389</v>
      </c>
      <c r="Q52" s="109">
        <v>8.4963633505560993E-2</v>
      </c>
      <c r="R52" s="109">
        <v>7.0384848124574351E-2</v>
      </c>
      <c r="S52" s="109">
        <v>4.2646499660572483E-2</v>
      </c>
      <c r="U52" s="134">
        <f>C52*S52</f>
        <v>0.45263695769105322</v>
      </c>
      <c r="V52" s="134">
        <f>(1+S52)*Q52*(1-U52)+S52</f>
        <v>9.1135768687268387E-2</v>
      </c>
      <c r="W52" s="134">
        <f>V52+I52/3</f>
        <v>1.6035267876392945</v>
      </c>
      <c r="X52" s="134">
        <f>V52+I52/5</f>
        <v>0.99857038005848398</v>
      </c>
      <c r="Y52" s="134"/>
      <c r="AA52" s="134"/>
    </row>
    <row r="53" spans="1:27">
      <c r="A53" t="s">
        <v>308</v>
      </c>
      <c r="B53" t="s">
        <v>32</v>
      </c>
      <c r="C53" s="196">
        <v>15.55652674814757</v>
      </c>
      <c r="D53" s="100">
        <v>9.1486796745825725</v>
      </c>
      <c r="E53" s="13">
        <v>0.41190730921528018</v>
      </c>
      <c r="F53" s="100">
        <v>-11.544924025965919</v>
      </c>
      <c r="G53" s="100">
        <v>-1.7421273535457169</v>
      </c>
      <c r="H53" s="13">
        <v>0.25800034594490889</v>
      </c>
      <c r="I53" s="13">
        <v>6.1596863133281374</v>
      </c>
      <c r="J53" s="13">
        <v>-2.9539678875304149</v>
      </c>
      <c r="K53" s="100">
        <v>-1.261922423411626</v>
      </c>
      <c r="L53" s="7">
        <v>9.1486796745825725</v>
      </c>
      <c r="M53" s="15">
        <v>0.41190730921528018</v>
      </c>
      <c r="N53" s="7">
        <v>-11.544924025965919</v>
      </c>
      <c r="O53" s="7">
        <v>-1.7421273535457169</v>
      </c>
      <c r="P53" s="7">
        <v>-1.261922423411626</v>
      </c>
      <c r="S53" s="109">
        <v>2.4708172655666619E-2</v>
      </c>
      <c r="U53" s="134">
        <f>C53*S53</f>
        <v>0.38437334881572616</v>
      </c>
      <c r="V53" s="134">
        <f>(1+S53)*R52*(1-U53)+S53</f>
        <v>6.9109585600447568E-2</v>
      </c>
      <c r="W53" s="134">
        <f>V53+I53/3</f>
        <v>2.1223383567098271</v>
      </c>
      <c r="X53" s="134">
        <f>V53+I53/5</f>
        <v>1.3010468482660751</v>
      </c>
      <c r="Y53" s="134"/>
      <c r="AA53" s="134"/>
    </row>
    <row r="54" spans="1:27">
      <c r="B54" t="s">
        <v>34</v>
      </c>
      <c r="C54" s="195">
        <v>0.90177812693710058</v>
      </c>
      <c r="D54" s="100">
        <v>0.73879202608737549</v>
      </c>
      <c r="E54" s="13">
        <v>0.1807385830074513</v>
      </c>
      <c r="F54" s="100">
        <v>2.7606978556269501</v>
      </c>
      <c r="G54" s="100">
        <v>2.0613936767391889</v>
      </c>
      <c r="H54" s="13">
        <v>3.9986784349133719E-2</v>
      </c>
      <c r="I54" s="13">
        <v>0.44639663485880271</v>
      </c>
      <c r="J54" s="13">
        <v>0.83216432331184764</v>
      </c>
      <c r="K54" s="100">
        <v>3.7367726750484</v>
      </c>
      <c r="L54" s="7">
        <v>0.84473905638694635</v>
      </c>
      <c r="M54" s="15">
        <v>6.3251778731746477E-2</v>
      </c>
      <c r="N54" s="7">
        <v>2.7606978556269501</v>
      </c>
      <c r="O54" s="7">
        <v>2.0613936767391889</v>
      </c>
      <c r="P54" s="7">
        <v>3.2681072749670141</v>
      </c>
      <c r="W54" s="134">
        <f>V52+I54/3</f>
        <v>0.23993464697353595</v>
      </c>
      <c r="X54" s="134">
        <f>V52+I54/5</f>
        <v>0.18041509565902891</v>
      </c>
      <c r="Y54" s="134"/>
      <c r="AA54" s="134"/>
    </row>
    <row r="55" spans="1:27">
      <c r="B55" t="s">
        <v>35</v>
      </c>
      <c r="C55" s="195">
        <v>1.094943772514245</v>
      </c>
      <c r="D55" s="100">
        <v>0.9616765271437776</v>
      </c>
      <c r="E55" s="13">
        <v>0.1217114967140779</v>
      </c>
      <c r="F55" s="100">
        <v>3.3506263466236761</v>
      </c>
      <c r="G55" s="100">
        <v>2.0600898701216961</v>
      </c>
      <c r="H55" s="13">
        <v>8.2487463744513212E-2</v>
      </c>
      <c r="I55" s="13">
        <v>0.4933380288561966</v>
      </c>
      <c r="J55" s="13">
        <v>0.97618407112438543</v>
      </c>
      <c r="K55" s="100">
        <v>3.484151117398266</v>
      </c>
      <c r="L55" s="7">
        <v>1.058971282318997</v>
      </c>
      <c r="M55" s="15">
        <v>3.2853276212209133E-2</v>
      </c>
      <c r="N55" s="7">
        <v>3.3506263466236761</v>
      </c>
      <c r="O55" s="7">
        <v>2.0600898701216961</v>
      </c>
      <c r="P55" s="7">
        <v>3.1640389145268242</v>
      </c>
      <c r="W55" s="134">
        <f>V53+I55/3</f>
        <v>0.23355559521917979</v>
      </c>
      <c r="X55" s="134">
        <f>V53+I55/5</f>
        <v>0.1677771913716869</v>
      </c>
      <c r="Y55" s="134"/>
      <c r="AA55" s="134"/>
    </row>
    <row r="56" spans="1:27">
      <c r="C56" s="111"/>
      <c r="D56" s="100"/>
      <c r="F56" s="100"/>
      <c r="G56" s="100"/>
      <c r="K56" s="100"/>
      <c r="L56" s="7"/>
      <c r="N56" s="7"/>
      <c r="O56" s="7"/>
      <c r="P56" s="7"/>
      <c r="AA56" s="134"/>
    </row>
    <row r="57" spans="1:27">
      <c r="A57" t="s">
        <v>309</v>
      </c>
      <c r="B57" t="s">
        <v>30</v>
      </c>
      <c r="C57" s="197">
        <v>57.249975596003459</v>
      </c>
      <c r="D57" s="100">
        <v>22.407320095053461</v>
      </c>
      <c r="E57" s="13">
        <v>0.60860559569185768</v>
      </c>
      <c r="F57" s="100">
        <v>-185.40320995679579</v>
      </c>
      <c r="G57" s="100">
        <v>-4.23848539718397</v>
      </c>
      <c r="H57" s="13">
        <v>-0.30584405908236489</v>
      </c>
      <c r="I57" s="13">
        <v>8.2144861833214344E-2</v>
      </c>
      <c r="J57" s="13">
        <v>2.904445884932418</v>
      </c>
      <c r="K57" s="100">
        <v>-8.2742250822633903</v>
      </c>
      <c r="L57" s="7">
        <v>24.642088683411629</v>
      </c>
      <c r="M57" s="15">
        <v>0.5695703198669686</v>
      </c>
      <c r="N57" s="7">
        <v>-185.40320995679579</v>
      </c>
      <c r="O57" s="7">
        <v>-4.23848539718397</v>
      </c>
      <c r="P57" s="7">
        <v>-7.5238431424688503</v>
      </c>
      <c r="Q57" s="109">
        <v>3.3689828340617428E-2</v>
      </c>
      <c r="R57" s="109">
        <v>-7.9213592745261352E-2</v>
      </c>
      <c r="S57" s="109">
        <v>8.6697516729467988E-3</v>
      </c>
      <c r="U57" s="134">
        <f>C57*S57</f>
        <v>0.49634307169961439</v>
      </c>
      <c r="V57" s="134">
        <f>(1+S57)*Q57*(1-U57)+S57</f>
        <v>2.5784976477319553E-2</v>
      </c>
      <c r="W57" s="134">
        <f>V57+I57/3</f>
        <v>5.3166597088390999E-2</v>
      </c>
      <c r="X57" s="134">
        <f>V57+I57/5</f>
        <v>4.2213948843962422E-2</v>
      </c>
      <c r="Y57" s="134"/>
      <c r="AA57" s="134"/>
    </row>
    <row r="58" spans="1:27">
      <c r="A58" t="s">
        <v>310</v>
      </c>
      <c r="B58" t="s">
        <v>32</v>
      </c>
      <c r="C58" s="196">
        <v>-23.43371775202818</v>
      </c>
      <c r="D58" s="100">
        <v>36.306351642877637</v>
      </c>
      <c r="E58" s="13">
        <v>2.5493210265253512</v>
      </c>
      <c r="F58" s="100">
        <v>-5.9166391649133141</v>
      </c>
      <c r="G58" s="100">
        <v>-0.74751598412500164</v>
      </c>
      <c r="H58" s="13">
        <v>-3.58041360721935</v>
      </c>
      <c r="I58" s="13">
        <v>-5.1404681901868763</v>
      </c>
      <c r="J58" s="13">
        <v>54.691914782102387</v>
      </c>
      <c r="K58" s="100">
        <v>-0.16296429955594299</v>
      </c>
      <c r="L58" s="7">
        <v>39.909980469051163</v>
      </c>
      <c r="M58" s="15">
        <v>2.7031006727729729</v>
      </c>
      <c r="N58" s="7">
        <v>-5.9166391649133141</v>
      </c>
      <c r="O58" s="7">
        <v>-0.74751598412500164</v>
      </c>
      <c r="P58" s="7">
        <v>-0.14824961313878529</v>
      </c>
      <c r="S58" s="109">
        <v>7.2144757167836963E-3</v>
      </c>
      <c r="U58" s="134">
        <f>C58*S58</f>
        <v>-0.16906198767597033</v>
      </c>
      <c r="V58" s="134">
        <f>(1+S58)*R57*(1-U58)+S58</f>
        <v>-8.6059225322724489E-2</v>
      </c>
      <c r="W58" s="134">
        <f>V58+I58/3</f>
        <v>-1.7995486220516834</v>
      </c>
      <c r="X58" s="134">
        <f>V58+I58/5</f>
        <v>-1.1141528633600999</v>
      </c>
      <c r="Y58" s="134"/>
      <c r="AA58" s="134"/>
    </row>
    <row r="59" spans="1:27">
      <c r="B59" t="s">
        <v>34</v>
      </c>
      <c r="C59" s="195">
        <v>1.9287418503338929</v>
      </c>
      <c r="D59" s="100">
        <v>1.7391566324860011</v>
      </c>
      <c r="E59" s="13">
        <v>9.8294760294163841E-2</v>
      </c>
      <c r="F59" s="100">
        <v>6.7316669578539141</v>
      </c>
      <c r="G59" s="100">
        <v>2.490185561478103</v>
      </c>
      <c r="H59" s="13">
        <v>0.13029239241102819</v>
      </c>
      <c r="I59" s="13">
        <v>0.49398013236720861</v>
      </c>
      <c r="J59" s="13">
        <v>0.82629385180530979</v>
      </c>
      <c r="K59" s="100">
        <v>3.870650194532204</v>
      </c>
      <c r="L59" s="7">
        <v>1.7391566324860011</v>
      </c>
      <c r="M59" s="15">
        <v>9.8294760294163841E-2</v>
      </c>
      <c r="N59" s="7">
        <v>5.0178190921195354</v>
      </c>
      <c r="O59" s="7">
        <v>1.601602226472598</v>
      </c>
      <c r="P59" s="7">
        <v>2.8852025162028778</v>
      </c>
      <c r="W59" s="134">
        <f>V57+I59/3</f>
        <v>0.19044502059972243</v>
      </c>
      <c r="X59" s="134">
        <f>V57+I59/5</f>
        <v>0.12458100295076127</v>
      </c>
      <c r="Y59" s="134"/>
      <c r="AA59" s="134"/>
    </row>
    <row r="60" spans="1:27">
      <c r="B60" t="s">
        <v>35</v>
      </c>
      <c r="C60" s="195">
        <v>1.8562689745165619</v>
      </c>
      <c r="D60" s="100">
        <v>1.6527002334630561</v>
      </c>
      <c r="E60" s="13">
        <v>0.10966554085003891</v>
      </c>
      <c r="F60" s="100">
        <v>6.8144222939380947</v>
      </c>
      <c r="G60" s="100">
        <v>2.671031724113587</v>
      </c>
      <c r="H60" s="13">
        <v>0.19630063752911159</v>
      </c>
      <c r="I60" s="13">
        <v>0.60895242602292154</v>
      </c>
      <c r="J60" s="13">
        <v>1.035554789549173</v>
      </c>
      <c r="K60" s="100">
        <v>4.1232052588624644</v>
      </c>
      <c r="L60" s="7">
        <v>1.6527002334630561</v>
      </c>
      <c r="M60" s="15">
        <v>0.10966554085003891</v>
      </c>
      <c r="N60" s="7">
        <v>5.6348622468583276</v>
      </c>
      <c r="O60" s="7">
        <v>2.0355849956097258</v>
      </c>
      <c r="P60" s="7">
        <v>3.409488383172234</v>
      </c>
      <c r="W60" s="134">
        <f>V58+I60/3</f>
        <v>0.11692491668491602</v>
      </c>
      <c r="X60" s="134">
        <f>V58+I60/5</f>
        <v>3.5731259881859823E-2</v>
      </c>
      <c r="Y60" s="134"/>
      <c r="AA60" s="134"/>
    </row>
    <row r="61" spans="1:27">
      <c r="C61" s="111"/>
      <c r="D61" s="100"/>
      <c r="F61" s="100"/>
      <c r="G61" s="100"/>
      <c r="K61" s="100"/>
      <c r="L61" s="7"/>
      <c r="N61" s="7"/>
      <c r="O61" s="7"/>
      <c r="P61" s="7"/>
      <c r="AA61" s="134"/>
    </row>
    <row r="62" spans="1:27">
      <c r="A62" t="s">
        <v>311</v>
      </c>
      <c r="B62" t="s">
        <v>30</v>
      </c>
      <c r="C62" s="195">
        <v>25.97273890922823</v>
      </c>
      <c r="D62" s="100">
        <v>14.947378574932239</v>
      </c>
      <c r="E62" s="13">
        <v>0.42449740756369098</v>
      </c>
      <c r="F62" s="100">
        <v>117.83842681268339</v>
      </c>
      <c r="G62" s="100">
        <v>3.5370042498989158</v>
      </c>
      <c r="H62" s="13">
        <v>1.0341452393362481E-2</v>
      </c>
      <c r="I62" s="13">
        <v>0.55238995068519814</v>
      </c>
      <c r="J62" s="13">
        <v>1.3724554993646969</v>
      </c>
      <c r="K62" s="100">
        <v>7.8835513680175611</v>
      </c>
      <c r="L62" s="7">
        <v>14.947378574932239</v>
      </c>
      <c r="M62" s="15">
        <v>0.42449740756369098</v>
      </c>
      <c r="N62" s="7">
        <v>117.83842681268339</v>
      </c>
      <c r="O62" s="7">
        <v>3.5370042498989158</v>
      </c>
      <c r="P62" s="7">
        <v>7.8835513680175611</v>
      </c>
      <c r="Q62" s="109">
        <v>8.8900329399038316E-2</v>
      </c>
      <c r="R62" s="109">
        <v>6.2470825697901307E-2</v>
      </c>
      <c r="S62" s="109">
        <v>1.106050610157602E-2</v>
      </c>
      <c r="U62" s="134">
        <f>C62*S62</f>
        <v>0.28727163718015974</v>
      </c>
      <c r="V62" s="134">
        <f>(1+S62)*Q62*(1-U62)+S62</f>
        <v>7.5123105751464525E-2</v>
      </c>
      <c r="W62" s="134">
        <f>V62+I62/3</f>
        <v>0.25925308931319724</v>
      </c>
      <c r="X62" s="134">
        <f>V62+I62/5</f>
        <v>0.18560109588850415</v>
      </c>
      <c r="Y62" s="134"/>
      <c r="AA62" s="134"/>
    </row>
    <row r="63" spans="1:27">
      <c r="A63" t="s">
        <v>312</v>
      </c>
      <c r="B63" t="s">
        <v>32</v>
      </c>
      <c r="C63" s="195">
        <v>35.269870941435478</v>
      </c>
      <c r="D63" s="100">
        <v>24.928940390726339</v>
      </c>
      <c r="E63" s="13">
        <v>0.29319445392584331</v>
      </c>
      <c r="F63" s="100">
        <v>182.5286984269047</v>
      </c>
      <c r="G63" s="100">
        <v>4.1752017672530721</v>
      </c>
      <c r="H63" s="13">
        <v>5.802214412114659E-2</v>
      </c>
      <c r="I63" s="13">
        <v>0.64447640038598153</v>
      </c>
      <c r="J63" s="13">
        <v>1.404811153320408</v>
      </c>
      <c r="K63" s="100">
        <v>7.3219597610657399</v>
      </c>
      <c r="L63" s="7">
        <v>26.32984419323623</v>
      </c>
      <c r="M63" s="15">
        <v>0.25347489258023892</v>
      </c>
      <c r="N63" s="7">
        <v>182.5286984269047</v>
      </c>
      <c r="O63" s="7">
        <v>4.1752017672530721</v>
      </c>
      <c r="P63" s="7">
        <v>6.93238809494337</v>
      </c>
      <c r="S63" s="109">
        <v>1.072446236185262E-2</v>
      </c>
      <c r="U63" s="134">
        <f>C63*S63</f>
        <v>0.37825040341882421</v>
      </c>
      <c r="V63" s="134">
        <f>(1+S63)*R62*(1-U63)+S63</f>
        <v>4.9982224139596715E-2</v>
      </c>
      <c r="W63" s="134">
        <f>V63+I63/3</f>
        <v>0.2648076909349239</v>
      </c>
      <c r="X63" s="134">
        <f>V63+I63/5</f>
        <v>0.17887750421679302</v>
      </c>
      <c r="Y63" s="134"/>
      <c r="AA63" s="134"/>
    </row>
    <row r="64" spans="1:27">
      <c r="B64" t="s">
        <v>34</v>
      </c>
      <c r="C64" s="195">
        <v>2.3089850444256079</v>
      </c>
      <c r="D64" s="100">
        <v>1.926558859637169</v>
      </c>
      <c r="E64" s="13">
        <v>0.1656252324854591</v>
      </c>
      <c r="F64" s="100">
        <v>6.2572774435215601</v>
      </c>
      <c r="G64" s="100">
        <v>1.709968805830071</v>
      </c>
      <c r="H64" s="13">
        <v>1.7279476363500471E-2</v>
      </c>
      <c r="I64" s="13">
        <v>0.31587409263000049</v>
      </c>
      <c r="J64" s="13">
        <v>0.73228789262543148</v>
      </c>
      <c r="K64" s="100">
        <v>3.2479035936125</v>
      </c>
      <c r="L64" s="7">
        <v>1.926558859637169</v>
      </c>
      <c r="M64" s="15">
        <v>0.1656252324854591</v>
      </c>
      <c r="N64" s="7">
        <v>6.1629403907635476</v>
      </c>
      <c r="O64" s="7">
        <v>1.669112303538832</v>
      </c>
      <c r="P64" s="7">
        <v>3.198936985462371</v>
      </c>
      <c r="W64" s="134">
        <f>V62+I64/3</f>
        <v>0.18041446996146471</v>
      </c>
      <c r="X64" s="134">
        <f>V62+I64/5</f>
        <v>0.13829792427746462</v>
      </c>
      <c r="Y64" s="134"/>
      <c r="AA64" s="134"/>
    </row>
    <row r="65" spans="1:27">
      <c r="B65" t="s">
        <v>35</v>
      </c>
      <c r="C65" s="195">
        <v>2.2033379599698901</v>
      </c>
      <c r="D65" s="100">
        <v>1.83487688330999</v>
      </c>
      <c r="E65" s="13">
        <v>0.1672285792529693</v>
      </c>
      <c r="F65" s="100">
        <v>6.2727573292825074</v>
      </c>
      <c r="G65" s="100">
        <v>1.846933808269807</v>
      </c>
      <c r="H65" s="13">
        <v>3.3762641788365848E-2</v>
      </c>
      <c r="I65" s="13">
        <v>0.35300085782992402</v>
      </c>
      <c r="J65" s="13">
        <v>0.71314129482423039</v>
      </c>
      <c r="K65" s="100">
        <v>3.4186257325161189</v>
      </c>
      <c r="L65" s="7">
        <v>1.83487688330999</v>
      </c>
      <c r="M65" s="15">
        <v>0.1672285792529693</v>
      </c>
      <c r="N65" s="7">
        <v>6.2727573292825074</v>
      </c>
      <c r="O65" s="7">
        <v>1.846933808269807</v>
      </c>
      <c r="P65" s="7">
        <v>3.4186257325161189</v>
      </c>
      <c r="W65" s="134">
        <f>V63+I65/3</f>
        <v>0.16764917674957139</v>
      </c>
      <c r="X65" s="134">
        <f>V63+I65/5</f>
        <v>0.12058239570558152</v>
      </c>
      <c r="Y65" s="134"/>
      <c r="AA65" s="134"/>
    </row>
    <row r="66" spans="1:27">
      <c r="C66" s="111"/>
      <c r="D66" s="100"/>
      <c r="F66" s="100"/>
      <c r="G66" s="100"/>
      <c r="K66" s="100"/>
      <c r="L66" s="7"/>
      <c r="N66" s="7"/>
      <c r="O66" s="7"/>
      <c r="P66" s="7"/>
      <c r="AA66" s="134"/>
    </row>
    <row r="67" spans="1:27">
      <c r="A67" t="s">
        <v>313</v>
      </c>
      <c r="B67" t="s">
        <v>30</v>
      </c>
      <c r="C67" s="195">
        <v>18.761123449466648</v>
      </c>
      <c r="D67" s="100">
        <v>10.39791093561076</v>
      </c>
      <c r="E67" s="13">
        <v>0.44577354529873009</v>
      </c>
      <c r="F67" s="100">
        <v>-106.12420569569061</v>
      </c>
      <c r="G67" s="100">
        <v>-6.6566018544431858</v>
      </c>
      <c r="H67" s="13">
        <v>0.1597878019523189</v>
      </c>
      <c r="I67" s="13">
        <v>1.390229258541851</v>
      </c>
      <c r="J67" s="13">
        <v>6.7057925957898146</v>
      </c>
      <c r="K67" s="100">
        <v>-10.20630070336883</v>
      </c>
      <c r="L67" s="7">
        <v>10.39791093561076</v>
      </c>
      <c r="M67" s="15">
        <v>0.44577354529873009</v>
      </c>
      <c r="N67" s="7">
        <v>2814.975903837058</v>
      </c>
      <c r="O67" s="7">
        <v>149.04303507832219</v>
      </c>
      <c r="P67" s="7">
        <v>270.72514097003182</v>
      </c>
      <c r="Q67" s="109">
        <v>7.9232488466845399E-2</v>
      </c>
      <c r="R67" s="109">
        <v>5.9823277513693741E-2</v>
      </c>
      <c r="S67" s="109">
        <v>1.021217179933624E-2</v>
      </c>
      <c r="U67" s="134">
        <f>C67*S67</f>
        <v>0.19159181581450915</v>
      </c>
      <c r="V67" s="134">
        <f>(1+S67)*Q67*(1-U67)+S67</f>
        <v>7.4918475919472038E-2</v>
      </c>
      <c r="W67" s="134">
        <f>V67+I67/3</f>
        <v>0.53832822876675568</v>
      </c>
      <c r="X67" s="134">
        <f>V67+I67/5</f>
        <v>0.35296432762784224</v>
      </c>
      <c r="Y67" s="134"/>
      <c r="AA67" s="134"/>
    </row>
    <row r="68" spans="1:27">
      <c r="A68" t="s">
        <v>314</v>
      </c>
      <c r="B68" t="s">
        <v>32</v>
      </c>
      <c r="C68" s="196">
        <v>26.174174428199422</v>
      </c>
      <c r="D68" s="100">
        <v>16.443481678965529</v>
      </c>
      <c r="E68" s="13">
        <v>0.37176694057445742</v>
      </c>
      <c r="F68" s="100">
        <v>-57.567287379379252</v>
      </c>
      <c r="G68" s="100">
        <v>-3.1993926699501798</v>
      </c>
      <c r="H68" s="13">
        <v>0.17461761150859961</v>
      </c>
      <c r="I68" s="13">
        <v>2.0555445191728841</v>
      </c>
      <c r="J68" s="13">
        <v>-237.25303571214801</v>
      </c>
      <c r="K68" s="100">
        <v>-3.500918388410359</v>
      </c>
      <c r="L68" s="7">
        <v>16.443481678965529</v>
      </c>
      <c r="M68" s="15">
        <v>0.37176694057445742</v>
      </c>
      <c r="N68" s="7">
        <v>-279.77845905000828</v>
      </c>
      <c r="O68" s="7">
        <v>-11.689103483186919</v>
      </c>
      <c r="P68" s="7">
        <v>-17.01455108548577</v>
      </c>
      <c r="S68" s="109">
        <v>8.67783849914921E-3</v>
      </c>
      <c r="U68" s="134">
        <f>C68*S68</f>
        <v>0.2271352585364757</v>
      </c>
      <c r="V68" s="134">
        <f>(1+S68)*R67*(1-U68)+S68</f>
        <v>5.5314362891197559E-2</v>
      </c>
      <c r="W68" s="134">
        <f>V68+I68/3</f>
        <v>0.74049586928215883</v>
      </c>
      <c r="X68" s="134">
        <f>V68+I68/5</f>
        <v>0.46642326672577439</v>
      </c>
      <c r="Y68" s="134"/>
      <c r="AA68" s="134"/>
    </row>
    <row r="69" spans="1:27">
      <c r="B69" t="s">
        <v>34</v>
      </c>
      <c r="C69" s="195">
        <v>1.4864904973349291</v>
      </c>
      <c r="D69" s="100">
        <v>1.272759371439997</v>
      </c>
      <c r="E69" s="13">
        <v>0.1437823694656116</v>
      </c>
      <c r="F69" s="100">
        <v>5.5865296095044821</v>
      </c>
      <c r="G69" s="100">
        <v>2.7582006878081988</v>
      </c>
      <c r="H69" s="13">
        <v>6.1012129071980059E-2</v>
      </c>
      <c r="I69" s="13">
        <v>0.39314827831197841</v>
      </c>
      <c r="J69" s="13">
        <v>0.85968988461868379</v>
      </c>
      <c r="K69" s="100">
        <v>4.3893054216398291</v>
      </c>
      <c r="L69" s="7">
        <v>1.317949286769845</v>
      </c>
      <c r="M69" s="15">
        <v>0.1133819629975807</v>
      </c>
      <c r="N69" s="7">
        <v>5.5865296095044821</v>
      </c>
      <c r="O69" s="7">
        <v>2.7582006878081988</v>
      </c>
      <c r="P69" s="7">
        <v>4.2388046835978654</v>
      </c>
      <c r="W69" s="134">
        <f>V67+I69/3</f>
        <v>0.20596790202346485</v>
      </c>
      <c r="X69" s="134">
        <f>V67+I69/5</f>
        <v>0.15354813158186773</v>
      </c>
      <c r="Y69" s="134"/>
      <c r="AA69" s="134"/>
    </row>
    <row r="70" spans="1:27">
      <c r="B70" t="s">
        <v>35</v>
      </c>
      <c r="C70" s="195">
        <v>1.56582490051</v>
      </c>
      <c r="D70" s="100">
        <v>1.3846357673069249</v>
      </c>
      <c r="E70" s="13">
        <v>0.1157148114990766</v>
      </c>
      <c r="F70" s="100">
        <v>5.9513278268037588</v>
      </c>
      <c r="G70" s="100">
        <v>2.8007620295636948</v>
      </c>
      <c r="H70" s="13">
        <v>8.6464574484796941E-2</v>
      </c>
      <c r="I70" s="13">
        <v>0.48846356667619473</v>
      </c>
      <c r="J70" s="13">
        <v>0.90136632102033243</v>
      </c>
      <c r="K70" s="100">
        <v>4.2981179363717521</v>
      </c>
      <c r="L70" s="7">
        <v>1.3846357673069249</v>
      </c>
      <c r="M70" s="15">
        <v>0.1157148114990766</v>
      </c>
      <c r="N70" s="7">
        <v>5.9513278268037588</v>
      </c>
      <c r="O70" s="7">
        <v>2.8007620295636948</v>
      </c>
      <c r="P70" s="7">
        <v>4.2981179363717521</v>
      </c>
      <c r="W70" s="134">
        <f>V68+I70/3</f>
        <v>0.21813555178326247</v>
      </c>
      <c r="X70" s="134">
        <f>V68+I70/5</f>
        <v>0.1530070762264365</v>
      </c>
      <c r="Y70" s="134"/>
      <c r="AA70" s="134"/>
    </row>
    <row r="71" spans="1:27">
      <c r="C71" s="111"/>
      <c r="D71" s="100"/>
      <c r="F71" s="100"/>
      <c r="G71" s="100"/>
      <c r="K71" s="100"/>
      <c r="L71" s="7"/>
      <c r="N71" s="7"/>
      <c r="O71" s="7"/>
      <c r="P71" s="7"/>
      <c r="AA71" s="134"/>
    </row>
    <row r="72" spans="1:27">
      <c r="A72" t="s">
        <v>315</v>
      </c>
      <c r="B72" t="s">
        <v>30</v>
      </c>
      <c r="C72" s="197">
        <v>40.980907996949107</v>
      </c>
      <c r="D72" s="100">
        <v>24.55492490933365</v>
      </c>
      <c r="E72" s="13">
        <v>0.40082037930536618</v>
      </c>
      <c r="F72" s="100">
        <v>-49.435384887655928</v>
      </c>
      <c r="G72" s="100">
        <v>-2.2063028201165338</v>
      </c>
      <c r="H72" s="13">
        <v>-2.1160988942430129E-2</v>
      </c>
      <c r="I72" s="13">
        <v>1.5179060249862371</v>
      </c>
      <c r="J72" s="13">
        <v>10.57992424382482</v>
      </c>
      <c r="K72" s="100">
        <v>-2.0132574247402761</v>
      </c>
      <c r="L72" s="7">
        <v>24.55492490933365</v>
      </c>
      <c r="M72" s="15">
        <v>0.40082037930536618</v>
      </c>
      <c r="N72" s="7">
        <v>-49.435384887655928</v>
      </c>
      <c r="O72" s="7">
        <v>-2.2063028201165338</v>
      </c>
      <c r="P72" s="7">
        <v>-2.0132574247402761</v>
      </c>
      <c r="Q72" s="109">
        <v>7.1746019576097331E-2</v>
      </c>
      <c r="R72" s="109">
        <v>6.134438726110867E-2</v>
      </c>
      <c r="S72" s="109">
        <v>6.0274517035838401E-3</v>
      </c>
      <c r="U72" s="134">
        <f>C72*S72</f>
        <v>0.2470104437206235</v>
      </c>
      <c r="V72" s="134">
        <f>(1+S72)*Q72*(1-U72)+S72</f>
        <v>6.0377082220602327E-2</v>
      </c>
      <c r="W72" s="134">
        <f>V72+I72/3</f>
        <v>0.56634575721601466</v>
      </c>
      <c r="X72" s="134">
        <f>V72+I72/5</f>
        <v>0.36395828721784973</v>
      </c>
      <c r="Y72" s="134"/>
      <c r="AA72" s="134"/>
    </row>
    <row r="73" spans="1:27">
      <c r="A73" t="s">
        <v>316</v>
      </c>
      <c r="B73" t="s">
        <v>32</v>
      </c>
      <c r="C73" s="195">
        <v>45.098371020264118</v>
      </c>
      <c r="D73" s="100">
        <v>26.508437622418821</v>
      </c>
      <c r="E73" s="13">
        <v>0.41220853386239292</v>
      </c>
      <c r="F73" s="100">
        <v>-83.687888784914065</v>
      </c>
      <c r="G73" s="100">
        <v>-2.855674315759885</v>
      </c>
      <c r="H73" s="13">
        <v>6.3989694054079838E-2</v>
      </c>
      <c r="I73" s="13">
        <v>1.3678143999315679</v>
      </c>
      <c r="J73" s="13">
        <v>10.51566620518428</v>
      </c>
      <c r="K73" s="100">
        <v>-3.157028338559539</v>
      </c>
      <c r="L73" s="7">
        <v>26.508437622418821</v>
      </c>
      <c r="M73" s="15">
        <v>0.41220853386239292</v>
      </c>
      <c r="N73" s="7">
        <v>-83.687888784914065</v>
      </c>
      <c r="O73" s="7">
        <v>-2.855674315759885</v>
      </c>
      <c r="P73" s="7">
        <v>-3.157028338559539</v>
      </c>
      <c r="S73" s="109">
        <v>3.1317124605001901E-3</v>
      </c>
      <c r="U73" s="134">
        <f>C73*S73</f>
        <v>0.14123513047242181</v>
      </c>
      <c r="V73" s="134">
        <f>(1+S73)*R72*(1-U73)+S73</f>
        <v>5.5977097062929165E-2</v>
      </c>
      <c r="W73" s="134">
        <f>V73+I73/3</f>
        <v>0.51191523037345177</v>
      </c>
      <c r="X73" s="134">
        <f>V73+I73/5</f>
        <v>0.32953997704924276</v>
      </c>
      <c r="Y73" s="134"/>
      <c r="AA73" s="134"/>
    </row>
    <row r="74" spans="1:27">
      <c r="B74" t="s">
        <v>34</v>
      </c>
      <c r="C74" s="197">
        <v>2.9402170273953541</v>
      </c>
      <c r="D74" s="100">
        <v>1.529083186839634</v>
      </c>
      <c r="E74" s="13">
        <v>0.47994206801999217</v>
      </c>
      <c r="F74" s="100">
        <v>9.7560256253256057</v>
      </c>
      <c r="G74" s="100">
        <v>2.318131122439</v>
      </c>
      <c r="H74" s="13">
        <v>-0.17951939773496531</v>
      </c>
      <c r="I74" s="13">
        <v>0.1227350504342084</v>
      </c>
      <c r="J74" s="13">
        <v>0.40103443449283271</v>
      </c>
      <c r="K74" s="100">
        <v>6.3803105738738273</v>
      </c>
      <c r="L74" s="7">
        <v>1.529083186839634</v>
      </c>
      <c r="M74" s="15">
        <v>0.47994206801999217</v>
      </c>
      <c r="N74" s="7">
        <v>6.7732172069559073</v>
      </c>
      <c r="O74" s="7">
        <v>1.303645324085511</v>
      </c>
      <c r="P74" s="7">
        <v>4.4295936710644526</v>
      </c>
      <c r="W74" s="134">
        <f>V72+I74/3</f>
        <v>0.10128876569867179</v>
      </c>
      <c r="X74" s="134">
        <f>V72+I74/5</f>
        <v>8.4924092307444007E-2</v>
      </c>
      <c r="Y74" s="134"/>
      <c r="AA74" s="134"/>
    </row>
    <row r="75" spans="1:27">
      <c r="B75" t="s">
        <v>35</v>
      </c>
      <c r="C75" s="195">
        <v>2.766531936712243</v>
      </c>
      <c r="D75" s="100">
        <v>1.917237816974493</v>
      </c>
      <c r="E75" s="13">
        <v>0.30698872782471981</v>
      </c>
      <c r="F75" s="100">
        <v>8.7836648344658741</v>
      </c>
      <c r="G75" s="100">
        <v>2.1749732283605638</v>
      </c>
      <c r="H75" s="13">
        <v>1.835243596290281E-2</v>
      </c>
      <c r="I75" s="13">
        <v>0.3209690977309172</v>
      </c>
      <c r="J75" s="13">
        <v>0.65897348209683848</v>
      </c>
      <c r="K75" s="100">
        <v>4.5814164297713367</v>
      </c>
      <c r="L75" s="7">
        <v>1.917237816974493</v>
      </c>
      <c r="M75" s="15">
        <v>0.30698872782471981</v>
      </c>
      <c r="N75" s="7">
        <v>7.2961641593188693</v>
      </c>
      <c r="O75" s="7">
        <v>1.637296198354991</v>
      </c>
      <c r="P75" s="7">
        <v>3.80556031949788</v>
      </c>
      <c r="W75" s="134">
        <f>V73+I75/3</f>
        <v>0.16296679630656824</v>
      </c>
      <c r="X75" s="134">
        <f>V73+I75/5</f>
        <v>0.12017091660911261</v>
      </c>
      <c r="Y75" s="134"/>
      <c r="AA75" s="134"/>
    </row>
    <row r="76" spans="1:27">
      <c r="C76" s="111"/>
      <c r="D76" s="100"/>
      <c r="F76" s="100"/>
      <c r="G76" s="100"/>
      <c r="K76" s="100"/>
      <c r="L76" s="7"/>
      <c r="N76" s="7"/>
      <c r="O76" s="7"/>
      <c r="P76" s="7"/>
      <c r="AA76" s="134"/>
    </row>
    <row r="77" spans="1:27">
      <c r="A77" t="s">
        <v>317</v>
      </c>
      <c r="B77" t="s">
        <v>30</v>
      </c>
      <c r="C77" s="197">
        <v>61.220045938836087</v>
      </c>
      <c r="D77" s="100">
        <v>44.751954265888727</v>
      </c>
      <c r="E77" s="13">
        <v>0.26899835536550148</v>
      </c>
      <c r="F77" s="100">
        <v>215.43314274099549</v>
      </c>
      <c r="G77" s="100">
        <v>2.5189967507739399</v>
      </c>
      <c r="H77" s="13">
        <v>-1.182966059258472E-2</v>
      </c>
      <c r="I77" s="13">
        <v>0.23902253800974749</v>
      </c>
      <c r="J77" s="13">
        <v>0.7232397191384401</v>
      </c>
      <c r="K77" s="100">
        <v>4.8139382128660504</v>
      </c>
      <c r="L77" s="7">
        <v>44.751954265888727</v>
      </c>
      <c r="M77" s="15">
        <v>0.26899835536550148</v>
      </c>
      <c r="N77" s="7">
        <v>215.43314274099549</v>
      </c>
      <c r="O77" s="7">
        <v>2.5189967507739399</v>
      </c>
      <c r="P77" s="7">
        <v>4.8139382128660504</v>
      </c>
      <c r="Q77" s="109">
        <v>4.6657167753269307E-2</v>
      </c>
      <c r="R77" s="109">
        <v>2.9648693378703989E-2</v>
      </c>
      <c r="S77" s="109">
        <v>4.6663424456578721E-3</v>
      </c>
      <c r="U77" s="134">
        <f>C77*S77</f>
        <v>0.28567369888951566</v>
      </c>
      <c r="V77" s="134">
        <f>(1+S77)*Q77*(1-U77)+S77</f>
        <v>3.815030643098126E-2</v>
      </c>
      <c r="W77" s="134">
        <f>V77+I77/3</f>
        <v>0.11782448576756376</v>
      </c>
      <c r="X77" s="134">
        <f>V77+I77/5</f>
        <v>8.595481403293076E-2</v>
      </c>
      <c r="Y77" s="134"/>
      <c r="AA77" s="134"/>
    </row>
    <row r="78" spans="1:27">
      <c r="A78" t="s">
        <v>318</v>
      </c>
      <c r="B78" t="s">
        <v>32</v>
      </c>
      <c r="C78" s="198">
        <v>95.553059722015504</v>
      </c>
      <c r="D78" s="100">
        <v>44.522772724604593</v>
      </c>
      <c r="E78" s="13">
        <v>0.5340518361826303</v>
      </c>
      <c r="F78" s="100">
        <v>212.19585114416941</v>
      </c>
      <c r="G78" s="100">
        <v>1.2207122593613751</v>
      </c>
      <c r="H78" s="13">
        <v>-0.33623120904471732</v>
      </c>
      <c r="I78" s="13">
        <v>-0.17991935276497939</v>
      </c>
      <c r="J78" s="13">
        <v>0.30793531318685502</v>
      </c>
      <c r="K78" s="100">
        <v>4.766007105098911</v>
      </c>
      <c r="L78" s="7">
        <v>47.998437592692987</v>
      </c>
      <c r="M78" s="15">
        <v>0.49767764912676982</v>
      </c>
      <c r="N78" s="7">
        <v>212.19585114416941</v>
      </c>
      <c r="O78" s="7">
        <v>1.2207122593613751</v>
      </c>
      <c r="P78" s="7">
        <v>4.4208907995053766</v>
      </c>
      <c r="S78" s="109">
        <v>4.4664726648496718E-3</v>
      </c>
      <c r="U78" s="134">
        <f>C78*S78</f>
        <v>0.42678512929113044</v>
      </c>
      <c r="V78" s="134">
        <f>(1+S78)*R77*(1-U78)+S78</f>
        <v>2.153745263087542E-2</v>
      </c>
      <c r="W78" s="134">
        <f>V78+I78/3</f>
        <v>-3.8435664957451043E-2</v>
      </c>
      <c r="X78" s="134">
        <f>V78+I78/5</f>
        <v>-1.4446417922120459E-2</v>
      </c>
      <c r="Y78" s="134"/>
      <c r="AA78" s="134"/>
    </row>
    <row r="79" spans="1:27">
      <c r="B79" t="s">
        <v>34</v>
      </c>
      <c r="C79" s="195">
        <v>2.8563539532311291</v>
      </c>
      <c r="D79" s="100">
        <v>2.1577345596715189</v>
      </c>
      <c r="E79" s="13">
        <v>0.2445843214806506</v>
      </c>
      <c r="F79" s="100">
        <v>11.113638774382601</v>
      </c>
      <c r="G79" s="100">
        <v>2.8908478978281971</v>
      </c>
      <c r="H79" s="13">
        <v>4.6411897826123871E-2</v>
      </c>
      <c r="I79" s="13">
        <v>0.31140823603595741</v>
      </c>
      <c r="J79" s="13">
        <v>0.72608014883367655</v>
      </c>
      <c r="K79" s="100">
        <v>5.150605168077055</v>
      </c>
      <c r="L79" s="7">
        <v>2.457247288519806</v>
      </c>
      <c r="M79" s="15">
        <v>0.13972591326080261</v>
      </c>
      <c r="N79" s="7">
        <v>11.113638774382601</v>
      </c>
      <c r="O79" s="7">
        <v>2.8908478978281971</v>
      </c>
      <c r="P79" s="7">
        <v>4.5228003002812232</v>
      </c>
      <c r="W79" s="134">
        <f>V77+I79/3</f>
        <v>0.14195305177630041</v>
      </c>
      <c r="X79" s="134">
        <f>V77+I79/5</f>
        <v>0.10043195363817274</v>
      </c>
      <c r="Y79" s="134"/>
      <c r="AA79" s="134"/>
    </row>
    <row r="80" spans="1:27">
      <c r="B80" t="s">
        <v>35</v>
      </c>
      <c r="C80" s="195">
        <v>2.8330233690950282</v>
      </c>
      <c r="D80" s="100">
        <v>2.092360926789675</v>
      </c>
      <c r="E80" s="13">
        <v>0.26143887494367812</v>
      </c>
      <c r="F80" s="100">
        <v>10.616329315758531</v>
      </c>
      <c r="G80" s="100">
        <v>2.7473497153501318</v>
      </c>
      <c r="H80" s="13">
        <v>4.7599457252032629E-2</v>
      </c>
      <c r="I80" s="13">
        <v>0.31262332675411869</v>
      </c>
      <c r="J80" s="13">
        <v>0.76583681523471236</v>
      </c>
      <c r="K80" s="100">
        <v>5.0738518292096177</v>
      </c>
      <c r="L80" s="7">
        <v>2.3537466880878499</v>
      </c>
      <c r="M80" s="15">
        <v>0.16917498324776489</v>
      </c>
      <c r="N80" s="7">
        <v>10.616329315758531</v>
      </c>
      <c r="O80" s="7">
        <v>2.7473497153501318</v>
      </c>
      <c r="P80" s="7">
        <v>4.5103958592855538</v>
      </c>
      <c r="W80" s="134">
        <f>V78+I80/3</f>
        <v>0.12574522821558165</v>
      </c>
      <c r="X80" s="134">
        <f>V78+I80/5</f>
        <v>8.4062117981699158E-2</v>
      </c>
      <c r="Y80" s="134"/>
      <c r="AA80" s="134"/>
    </row>
    <row r="81" spans="1:27">
      <c r="C81" s="111"/>
      <c r="D81" s="100"/>
      <c r="F81" s="100"/>
      <c r="G81" s="100"/>
      <c r="K81" s="100"/>
      <c r="L81" s="7"/>
      <c r="N81" s="7"/>
      <c r="O81" s="7"/>
      <c r="P81" s="7"/>
      <c r="AA81" s="134"/>
    </row>
    <row r="82" spans="1:27">
      <c r="A82" t="s">
        <v>319</v>
      </c>
      <c r="B82" t="s">
        <v>30</v>
      </c>
      <c r="C82" s="195">
        <v>20.57830229119044</v>
      </c>
      <c r="D82" s="100">
        <v>17.269713566838231</v>
      </c>
      <c r="E82" s="13">
        <v>0.16078045105638361</v>
      </c>
      <c r="F82" s="100">
        <v>949.96112365150293</v>
      </c>
      <c r="G82" s="100">
        <v>45.163240786786417</v>
      </c>
      <c r="H82" s="13">
        <v>0.56614936147334549</v>
      </c>
      <c r="I82" s="13">
        <v>1.341494227194638</v>
      </c>
      <c r="J82" s="13">
        <v>3.0491584773640188</v>
      </c>
      <c r="K82" s="100">
        <v>55.007346819905813</v>
      </c>
      <c r="L82" s="7">
        <v>17.269713566838231</v>
      </c>
      <c r="M82" s="15">
        <v>0.16078045105638361</v>
      </c>
      <c r="N82" s="7">
        <v>949.96112365150293</v>
      </c>
      <c r="O82" s="7">
        <v>45.163240786786417</v>
      </c>
      <c r="P82" s="7">
        <v>55.007346819905813</v>
      </c>
      <c r="Q82" s="109">
        <v>9.4011727703197226E-2</v>
      </c>
      <c r="R82" s="109">
        <v>6.0069219267093223E-2</v>
      </c>
      <c r="S82" s="109">
        <v>1.476565671119758E-2</v>
      </c>
      <c r="U82" s="134">
        <f>C82*S82</f>
        <v>0.30385214733096866</v>
      </c>
      <c r="V82" s="134">
        <f>(1+S82)*Q82*(1-U82)+S82</f>
        <v>8.1178073167484224E-2</v>
      </c>
      <c r="W82" s="134">
        <f>V82+I82/3</f>
        <v>0.52834281556569684</v>
      </c>
      <c r="X82" s="134">
        <f>V82+I82/5</f>
        <v>0.34947691860641178</v>
      </c>
      <c r="Y82" s="134"/>
      <c r="AA82" s="134"/>
    </row>
    <row r="83" spans="1:27">
      <c r="A83" t="s">
        <v>320</v>
      </c>
      <c r="B83" t="s">
        <v>32</v>
      </c>
      <c r="C83" s="195">
        <v>29.91913348549793</v>
      </c>
      <c r="D83" s="100">
        <v>21.928926097592559</v>
      </c>
      <c r="E83" s="13">
        <v>0.26706012029988418</v>
      </c>
      <c r="F83" s="100">
        <v>-91.117715274802009</v>
      </c>
      <c r="G83" s="100">
        <v>-4.0454663842108793</v>
      </c>
      <c r="H83" s="13">
        <v>0.27363752750892512</v>
      </c>
      <c r="I83" s="13">
        <v>0.95070932953770293</v>
      </c>
      <c r="J83" s="13">
        <v>2.1663615134064749</v>
      </c>
      <c r="K83" s="100">
        <v>-4.1551380523283026</v>
      </c>
      <c r="L83" s="7">
        <v>21.928926097592559</v>
      </c>
      <c r="M83" s="15">
        <v>0.26706012029988418</v>
      </c>
      <c r="N83" s="7">
        <v>-91.117715274802009</v>
      </c>
      <c r="O83" s="7">
        <v>-4.0454663842108793</v>
      </c>
      <c r="P83" s="7">
        <v>-4.1551380523283026</v>
      </c>
      <c r="S83" s="109">
        <v>9.7531159272277561E-3</v>
      </c>
      <c r="U83" s="134">
        <f>C83*S83</f>
        <v>0.29180477732626314</v>
      </c>
      <c r="V83" s="134">
        <f>(1+S83)*R82*(1-U83)+S83</f>
        <v>5.2708754753374373E-2</v>
      </c>
      <c r="W83" s="134">
        <f>V83+I83/3</f>
        <v>0.36961186459927536</v>
      </c>
      <c r="X83" s="134">
        <f>V83+I83/5</f>
        <v>0.24285062066091495</v>
      </c>
      <c r="Y83" s="134"/>
      <c r="AA83" s="134"/>
    </row>
    <row r="84" spans="1:27">
      <c r="B84" t="s">
        <v>34</v>
      </c>
      <c r="C84" s="195">
        <v>1.934601751593475</v>
      </c>
      <c r="D84" s="100">
        <v>1.5400701574027249</v>
      </c>
      <c r="E84" s="13">
        <v>0.20393426908963869</v>
      </c>
      <c r="F84" s="100">
        <v>6.6300398811434178</v>
      </c>
      <c r="G84" s="100">
        <v>2.42708253814122</v>
      </c>
      <c r="H84" s="13">
        <v>0.11392889821426649</v>
      </c>
      <c r="I84" s="13">
        <v>0.50750340845361075</v>
      </c>
      <c r="J84" s="13">
        <v>1.1777306219827719</v>
      </c>
      <c r="K84" s="100">
        <v>4.3050245790910919</v>
      </c>
      <c r="L84" s="7">
        <v>1.5400701574027249</v>
      </c>
      <c r="M84" s="15">
        <v>0.20393426908963869</v>
      </c>
      <c r="N84" s="7">
        <v>6.6300398811434178</v>
      </c>
      <c r="O84" s="7">
        <v>2.42708253814122</v>
      </c>
      <c r="P84" s="7">
        <v>4.3050245790910919</v>
      </c>
      <c r="W84" s="134">
        <f>V82+I84/3</f>
        <v>0.25034587598535446</v>
      </c>
      <c r="X84" s="134">
        <f>V82+I84/5</f>
        <v>0.18267875485820639</v>
      </c>
      <c r="Y84" s="134"/>
      <c r="AA84" s="134"/>
    </row>
    <row r="85" spans="1:27">
      <c r="B85" t="s">
        <v>35</v>
      </c>
      <c r="C85" s="195">
        <v>1.797218989621806</v>
      </c>
      <c r="D85" s="100">
        <v>1.4598858653695981</v>
      </c>
      <c r="E85" s="13">
        <v>0.18769728463819199</v>
      </c>
      <c r="F85" s="100">
        <v>6.3224437059432166</v>
      </c>
      <c r="G85" s="100">
        <v>2.5179039073439049</v>
      </c>
      <c r="H85" s="13">
        <v>0.1790571972916484</v>
      </c>
      <c r="I85" s="13">
        <v>0.53920657678359829</v>
      </c>
      <c r="J85" s="13">
        <v>1.4126747074420709</v>
      </c>
      <c r="K85" s="100">
        <v>4.3307794505857284</v>
      </c>
      <c r="L85" s="7">
        <v>1.4598858653695981</v>
      </c>
      <c r="M85" s="15">
        <v>0.18769728463819199</v>
      </c>
      <c r="N85" s="7">
        <v>6.3224437059432166</v>
      </c>
      <c r="O85" s="7">
        <v>2.5179039073439049</v>
      </c>
      <c r="P85" s="7">
        <v>4.3307794505857284</v>
      </c>
      <c r="W85" s="134">
        <f>V83+I85/3</f>
        <v>0.23244428034790715</v>
      </c>
      <c r="X85" s="134">
        <f>V83+I85/5</f>
        <v>0.16055007011009403</v>
      </c>
      <c r="Y85" s="134"/>
      <c r="AA85" s="134"/>
    </row>
    <row r="86" spans="1:27">
      <c r="C86" s="111"/>
      <c r="D86" s="100"/>
      <c r="F86" s="100"/>
      <c r="G86" s="100"/>
      <c r="K86" s="100"/>
      <c r="L86" s="7"/>
      <c r="N86" s="7"/>
      <c r="O86" s="7"/>
      <c r="P86" s="7"/>
      <c r="AA86" s="134"/>
    </row>
    <row r="87" spans="1:27">
      <c r="A87" t="s">
        <v>321</v>
      </c>
      <c r="B87" t="s">
        <v>30</v>
      </c>
      <c r="C87" s="198">
        <v>55.28161044551117</v>
      </c>
      <c r="D87" s="100">
        <v>23.368244578401381</v>
      </c>
      <c r="E87" s="13">
        <v>0.57728719568626707</v>
      </c>
      <c r="F87" s="100">
        <v>108.0359265931462</v>
      </c>
      <c r="G87" s="100">
        <v>0.95428327290922166</v>
      </c>
      <c r="H87" s="13">
        <v>-0.41739756789219151</v>
      </c>
      <c r="I87" s="13">
        <v>-0.18198360315301201</v>
      </c>
      <c r="J87" s="13">
        <v>9.7573239497676933E-3</v>
      </c>
      <c r="K87" s="100">
        <v>4.6231939344301791</v>
      </c>
      <c r="L87" s="7">
        <v>23.368244578401381</v>
      </c>
      <c r="M87" s="15">
        <v>0.57728719568626707</v>
      </c>
      <c r="N87" s="7">
        <v>108.0359265931462</v>
      </c>
      <c r="O87" s="7">
        <v>0.95428327290922166</v>
      </c>
      <c r="P87" s="7">
        <v>4.6231939344301791</v>
      </c>
      <c r="Q87" s="109">
        <v>4.8644833657914152E-2</v>
      </c>
      <c r="R87" s="109">
        <v>1.1680535447730371E-2</v>
      </c>
      <c r="S87" s="109">
        <v>7.6794817952664293E-3</v>
      </c>
      <c r="U87" s="134">
        <f>C87*S87</f>
        <v>0.42453412102931348</v>
      </c>
      <c r="V87" s="134">
        <f>(1+S87)*Q87*(1-U87)+S87</f>
        <v>3.5887898881506709E-2</v>
      </c>
      <c r="W87" s="134">
        <f>V87+I87/3</f>
        <v>-2.4773302169497295E-2</v>
      </c>
      <c r="X87" s="134">
        <f>V87+I87/5</f>
        <v>-5.0882174909569478E-4</v>
      </c>
      <c r="Y87" s="134"/>
      <c r="AA87" s="134"/>
    </row>
    <row r="88" spans="1:27">
      <c r="A88" t="s">
        <v>322</v>
      </c>
      <c r="B88" t="s">
        <v>32</v>
      </c>
      <c r="C88" s="196">
        <v>178.53709276749811</v>
      </c>
      <c r="D88" s="100">
        <v>25.794768040267591</v>
      </c>
      <c r="E88" s="13">
        <v>0.85552151857956427</v>
      </c>
      <c r="F88" s="100">
        <v>399.13993629151378</v>
      </c>
      <c r="G88" s="100">
        <v>1.2356135081201201</v>
      </c>
      <c r="H88" s="13">
        <v>-0.79129082659373517</v>
      </c>
      <c r="I88" s="13">
        <v>-0.67756005177016232</v>
      </c>
      <c r="J88" s="13">
        <v>-0.58212540011344471</v>
      </c>
      <c r="K88" s="100">
        <v>15.473678060156461</v>
      </c>
      <c r="L88" s="7">
        <v>25.794768040267591</v>
      </c>
      <c r="M88" s="15">
        <v>0.85552151857956427</v>
      </c>
      <c r="N88" s="7">
        <v>399.13993629151378</v>
      </c>
      <c r="O88" s="7">
        <v>1.2356135081201201</v>
      </c>
      <c r="P88" s="7">
        <v>15.473678060156461</v>
      </c>
      <c r="S88" s="109">
        <v>8.5641374387457666E-3</v>
      </c>
      <c r="U88" s="134">
        <f>C88*S88</f>
        <v>1.5290162003749566</v>
      </c>
      <c r="V88" s="134">
        <f>(1+S88)*R87*(1-U88)+S88</f>
        <v>2.3320255041755335E-3</v>
      </c>
      <c r="W88" s="134">
        <f>V88+I88/3</f>
        <v>-0.22352132508587857</v>
      </c>
      <c r="X88" s="134">
        <f>V88+I88/5</f>
        <v>-0.13317998484985694</v>
      </c>
      <c r="Y88" s="134"/>
      <c r="AA88" s="134"/>
    </row>
    <row r="89" spans="1:27">
      <c r="B89" t="s">
        <v>34</v>
      </c>
      <c r="C89" s="197">
        <v>2.6891647444635001</v>
      </c>
      <c r="D89" s="100">
        <v>1.9245038798247329</v>
      </c>
      <c r="E89" s="13">
        <v>0.28434883590269588</v>
      </c>
      <c r="F89" s="100">
        <v>8.7695534575805798</v>
      </c>
      <c r="G89" s="100">
        <v>2.2610696223187858</v>
      </c>
      <c r="H89" s="13">
        <v>-7.9708341353547763E-2</v>
      </c>
      <c r="I89" s="13">
        <v>0.21555205919530951</v>
      </c>
      <c r="J89" s="13">
        <v>0.65465219930557073</v>
      </c>
      <c r="K89" s="100">
        <v>4.5567865825135323</v>
      </c>
      <c r="L89" s="7">
        <v>2.0056972629858412</v>
      </c>
      <c r="M89" s="15">
        <v>0.25415604710897449</v>
      </c>
      <c r="N89" s="7">
        <v>8.7695534575805798</v>
      </c>
      <c r="O89" s="7">
        <v>2.2610696223187858</v>
      </c>
      <c r="P89" s="7">
        <v>4.3723215957953308</v>
      </c>
      <c r="W89" s="134">
        <f>V87+I89/3</f>
        <v>0.10773858527994321</v>
      </c>
      <c r="X89" s="134">
        <f>V87+I89/5</f>
        <v>7.8998310720568621E-2</v>
      </c>
      <c r="Y89" s="134"/>
      <c r="AA89" s="134"/>
    </row>
    <row r="90" spans="1:27">
      <c r="B90" t="s">
        <v>35</v>
      </c>
      <c r="C90" s="195">
        <v>2.0854088408054881</v>
      </c>
      <c r="D90" s="100">
        <v>1.6673389319622169</v>
      </c>
      <c r="E90" s="13">
        <v>0.20047383547189301</v>
      </c>
      <c r="F90" s="100">
        <v>8.4432765071429348</v>
      </c>
      <c r="G90" s="100">
        <v>3.0487391929736551</v>
      </c>
      <c r="H90" s="13">
        <v>5.2360332386401247E-2</v>
      </c>
      <c r="I90" s="13">
        <v>0.45994596591830089</v>
      </c>
      <c r="J90" s="13">
        <v>1.0814083603070921</v>
      </c>
      <c r="K90" s="100">
        <v>5.0639233243395916</v>
      </c>
      <c r="L90" s="7">
        <v>1.6673389319622169</v>
      </c>
      <c r="M90" s="15">
        <v>0.20047383547189301</v>
      </c>
      <c r="N90" s="7">
        <v>8.4432765071429348</v>
      </c>
      <c r="O90" s="7">
        <v>3.0487391929736551</v>
      </c>
      <c r="P90" s="7">
        <v>5.0639233243395916</v>
      </c>
      <c r="W90" s="134">
        <f>V88+I90/3</f>
        <v>0.15564734747694248</v>
      </c>
      <c r="X90" s="134">
        <f>V88+I90/5</f>
        <v>9.4321218687835717E-2</v>
      </c>
      <c r="Y90" s="134"/>
      <c r="AA90" s="134"/>
    </row>
    <row r="91" spans="1:27">
      <c r="C91" s="111"/>
      <c r="D91" s="100"/>
      <c r="F91" s="100"/>
      <c r="G91" s="100"/>
      <c r="K91" s="100"/>
      <c r="L91" s="7"/>
      <c r="N91" s="7"/>
      <c r="O91" s="7"/>
      <c r="P91" s="7"/>
      <c r="AA91" s="134"/>
    </row>
    <row r="92" spans="1:27">
      <c r="A92" t="s">
        <v>323</v>
      </c>
      <c r="B92" t="s">
        <v>30</v>
      </c>
      <c r="C92" s="197">
        <v>32.829029748812751</v>
      </c>
      <c r="D92" s="100">
        <v>21.37931288159151</v>
      </c>
      <c r="E92" s="13">
        <v>0.34876805543226019</v>
      </c>
      <c r="F92" s="100">
        <v>96.027013220095242</v>
      </c>
      <c r="G92" s="100">
        <v>1.925064004475125</v>
      </c>
      <c r="H92" s="13">
        <v>-8.4694130936992629E-2</v>
      </c>
      <c r="I92" s="13">
        <v>0.20029909664309839</v>
      </c>
      <c r="J92" s="13">
        <v>0.67388633447551372</v>
      </c>
      <c r="K92" s="100">
        <v>4.4915855692807867</v>
      </c>
      <c r="L92" s="7">
        <v>21.37931288159151</v>
      </c>
      <c r="M92" s="15">
        <v>0.34876805543226019</v>
      </c>
      <c r="N92" s="7">
        <v>89.728683318625457</v>
      </c>
      <c r="O92" s="7">
        <v>1.733211551031917</v>
      </c>
      <c r="P92" s="7">
        <v>4.1969863023935474</v>
      </c>
      <c r="Q92" s="109">
        <v>5.2015833426420653E-2</v>
      </c>
      <c r="R92" s="109">
        <v>2.2781500645871849E-2</v>
      </c>
      <c r="S92" s="109">
        <v>1.2149382821528909E-2</v>
      </c>
      <c r="U92" s="134">
        <f>C92*S92</f>
        <v>0.39885245007768716</v>
      </c>
      <c r="V92" s="134">
        <f>(1+S92)*Q92*(1-U92)+S92</f>
        <v>4.3798475012798183E-2</v>
      </c>
      <c r="W92" s="134">
        <f>V92+I92/3</f>
        <v>0.11056484056049765</v>
      </c>
      <c r="X92" s="134">
        <f>V92+I92/5</f>
        <v>8.3858294341417866E-2</v>
      </c>
      <c r="Y92" s="134"/>
      <c r="AA92" s="134"/>
    </row>
    <row r="93" spans="1:27">
      <c r="A93" t="s">
        <v>324</v>
      </c>
      <c r="B93" t="s">
        <v>32</v>
      </c>
      <c r="C93" s="198">
        <v>87.351236978486853</v>
      </c>
      <c r="D93" s="100">
        <v>33.598387293870253</v>
      </c>
      <c r="E93" s="13">
        <v>0.61536449332543541</v>
      </c>
      <c r="F93" s="100">
        <v>-77.048326309163386</v>
      </c>
      <c r="G93" s="100">
        <v>-1.8820519202050809</v>
      </c>
      <c r="H93" s="13">
        <v>-0.39012965775143799</v>
      </c>
      <c r="I93" s="13">
        <v>-0.15069560027465939</v>
      </c>
      <c r="J93" s="13">
        <v>0.78561348373055928</v>
      </c>
      <c r="K93" s="100">
        <v>-2.2932150175916388</v>
      </c>
      <c r="L93" s="7">
        <v>45.326914941657968</v>
      </c>
      <c r="M93" s="15">
        <v>0.48109590076187209</v>
      </c>
      <c r="N93" s="7">
        <v>374.36796641538228</v>
      </c>
      <c r="O93" s="7">
        <v>3.2857775043023469</v>
      </c>
      <c r="P93" s="7">
        <v>8.2592862738892734</v>
      </c>
      <c r="S93" s="109">
        <v>8.0013975698123956E-3</v>
      </c>
      <c r="U93" s="134">
        <f>C93*S93</f>
        <v>0.69893197527977136</v>
      </c>
      <c r="V93" s="134">
        <f>(1+S93)*R92*(1-U93)+S93</f>
        <v>1.4915058806250402E-2</v>
      </c>
      <c r="W93" s="134">
        <f>V93+I93/3</f>
        <v>-3.5316807951969398E-2</v>
      </c>
      <c r="X93" s="134">
        <f>V93+I93/5</f>
        <v>-1.5224061248681475E-2</v>
      </c>
      <c r="Y93" s="134"/>
      <c r="AA93" s="134"/>
    </row>
    <row r="94" spans="1:27">
      <c r="B94" t="s">
        <v>34</v>
      </c>
      <c r="C94" s="195">
        <v>1.707629342965252</v>
      </c>
      <c r="D94" s="100">
        <v>1.482642887251354</v>
      </c>
      <c r="E94" s="13">
        <v>0.13175368333927501</v>
      </c>
      <c r="F94" s="100">
        <v>6.4541097214582699</v>
      </c>
      <c r="G94" s="100">
        <v>2.7795729782031522</v>
      </c>
      <c r="H94" s="13">
        <v>0.1010325021505374</v>
      </c>
      <c r="I94" s="13">
        <v>0.44047624258931922</v>
      </c>
      <c r="J94" s="13">
        <v>1.0873841834207221</v>
      </c>
      <c r="K94" s="100">
        <v>4.3531114450786133</v>
      </c>
      <c r="L94" s="7">
        <v>1.482642887251354</v>
      </c>
      <c r="M94" s="15">
        <v>0.13175368333927501</v>
      </c>
      <c r="N94" s="7">
        <v>6.3854993646433984</v>
      </c>
      <c r="O94" s="7">
        <v>2.7393942607914838</v>
      </c>
      <c r="P94" s="7">
        <v>4.306835732022674</v>
      </c>
      <c r="W94" s="134">
        <f>V92+I94/3</f>
        <v>0.19062388920923792</v>
      </c>
      <c r="X94" s="134">
        <f>V92+I94/5</f>
        <v>0.13189372353066203</v>
      </c>
      <c r="Y94" s="134"/>
      <c r="AA94" s="134"/>
    </row>
    <row r="95" spans="1:27">
      <c r="B95" t="s">
        <v>35</v>
      </c>
      <c r="C95" s="195">
        <v>1.9899922616431029</v>
      </c>
      <c r="D95" s="100">
        <v>1.5831810446491761</v>
      </c>
      <c r="E95" s="13">
        <v>0.20442854217836481</v>
      </c>
      <c r="F95" s="100">
        <v>6.8244014970764271</v>
      </c>
      <c r="G95" s="100">
        <v>2.429360821454468</v>
      </c>
      <c r="H95" s="13">
        <v>5.6774273872795433E-2</v>
      </c>
      <c r="I95" s="13">
        <v>0.39793171177070857</v>
      </c>
      <c r="J95" s="13">
        <v>0.88212132515615505</v>
      </c>
      <c r="K95" s="100">
        <v>4.3105629139140396</v>
      </c>
      <c r="L95" s="7">
        <v>1.5831810446491761</v>
      </c>
      <c r="M95" s="15">
        <v>0.20442854217836481</v>
      </c>
      <c r="N95" s="7">
        <v>6.8244014970764271</v>
      </c>
      <c r="O95" s="7">
        <v>2.429360821454468</v>
      </c>
      <c r="P95" s="7">
        <v>4.3105629139140396</v>
      </c>
      <c r="W95" s="134">
        <f>V93+I95/3</f>
        <v>0.14755896272981994</v>
      </c>
      <c r="X95" s="134">
        <f>V93+I95/5</f>
        <v>9.4501401160392129E-2</v>
      </c>
      <c r="Y95" s="134"/>
      <c r="AA95" s="134"/>
    </row>
    <row r="96" spans="1:27">
      <c r="C96" s="111"/>
      <c r="D96" s="100"/>
      <c r="F96" s="100"/>
      <c r="G96" s="100"/>
      <c r="K96" s="100"/>
      <c r="L96" s="7"/>
      <c r="N96" s="7"/>
      <c r="O96" s="7"/>
      <c r="P96" s="7"/>
      <c r="AA96" s="134"/>
    </row>
    <row r="97" spans="1:27">
      <c r="A97" t="s">
        <v>325</v>
      </c>
      <c r="B97" t="s">
        <v>30</v>
      </c>
      <c r="C97" s="198">
        <v>69.087118373926884</v>
      </c>
      <c r="D97" s="100">
        <v>17.42787806276533</v>
      </c>
      <c r="E97" s="13">
        <v>0.74774055608400491</v>
      </c>
      <c r="F97" s="100">
        <v>200.42306606863349</v>
      </c>
      <c r="G97" s="100">
        <v>1.901019333066758</v>
      </c>
      <c r="H97" s="13">
        <v>-0.61170083348029181</v>
      </c>
      <c r="I97" s="13">
        <v>-0.42629352553469962</v>
      </c>
      <c r="J97" s="13">
        <v>0.2213649807374056</v>
      </c>
      <c r="K97" s="100">
        <v>11.500141632092181</v>
      </c>
      <c r="L97" s="7">
        <v>21.17814567203342</v>
      </c>
      <c r="M97" s="15">
        <v>0.69345738872174567</v>
      </c>
      <c r="N97" s="7">
        <v>200.42306606863349</v>
      </c>
      <c r="O97" s="7">
        <v>1.901019333066758</v>
      </c>
      <c r="P97" s="7">
        <v>9.4636739765795532</v>
      </c>
      <c r="Q97" s="109">
        <v>2.9152437937615669E-2</v>
      </c>
      <c r="R97" s="109">
        <v>-4.5020527307091482E-2</v>
      </c>
      <c r="S97" s="109">
        <v>1.1377553605100021E-2</v>
      </c>
      <c r="U97" s="134">
        <f>C97*S97</f>
        <v>0.78604239272124365</v>
      </c>
      <c r="V97" s="134">
        <f>(1+S97)*Q97*(1-U97)+S97</f>
        <v>1.7685905664637597E-2</v>
      </c>
      <c r="W97" s="134">
        <f>V97+I97/3</f>
        <v>-0.12441193618026228</v>
      </c>
      <c r="X97" s="134">
        <f>V97+I97/5</f>
        <v>-6.7572799442302323E-2</v>
      </c>
      <c r="Y97" s="134"/>
      <c r="AA97" s="134"/>
    </row>
    <row r="98" spans="1:27">
      <c r="A98" t="s">
        <v>326</v>
      </c>
      <c r="B98" t="s">
        <v>32</v>
      </c>
      <c r="C98" s="195">
        <v>-44.119729533363788</v>
      </c>
      <c r="D98" s="100">
        <v>26.91411893641261</v>
      </c>
      <c r="E98" s="13">
        <v>1.6100245677177121</v>
      </c>
      <c r="F98" s="100">
        <v>-36.328582574154893</v>
      </c>
      <c r="G98" s="100">
        <v>-0.17659099549368609</v>
      </c>
      <c r="H98" s="13">
        <v>-1.981596238582469</v>
      </c>
      <c r="I98" s="13">
        <v>-2.4216289259849599</v>
      </c>
      <c r="J98" s="13">
        <v>-4.2315497281251053</v>
      </c>
      <c r="K98" s="100">
        <v>-1.349796464078387</v>
      </c>
      <c r="L98" s="7">
        <v>35.604051068496581</v>
      </c>
      <c r="M98" s="15">
        <v>1.8069870655388409</v>
      </c>
      <c r="N98" s="7">
        <v>-36.328582574154893</v>
      </c>
      <c r="O98" s="7">
        <v>-0.17659099549368609</v>
      </c>
      <c r="P98" s="7">
        <v>-1.0203496929117539</v>
      </c>
      <c r="S98" s="109">
        <v>9.7986474986957832E-3</v>
      </c>
      <c r="U98" s="134">
        <f>C98*S98</f>
        <v>-0.43231367743522958</v>
      </c>
      <c r="V98" s="134">
        <f>(1+S98)*R97*(1-U98)+S98</f>
        <v>-5.5316720781424189E-2</v>
      </c>
      <c r="W98" s="134">
        <f>V98+I98/3</f>
        <v>-0.86252636277641082</v>
      </c>
      <c r="X98" s="134">
        <f>V98+I98/5</f>
        <v>-0.53964250597841623</v>
      </c>
      <c r="Y98" s="134"/>
      <c r="AA98" s="134"/>
    </row>
    <row r="99" spans="1:27">
      <c r="B99" t="s">
        <v>34</v>
      </c>
      <c r="C99" s="195">
        <v>2.01405793068461</v>
      </c>
      <c r="D99" s="100">
        <v>1.6870276335027441</v>
      </c>
      <c r="E99" s="13">
        <v>0.16237382857736571</v>
      </c>
      <c r="F99" s="100">
        <v>5.952464455050789</v>
      </c>
      <c r="G99" s="100">
        <v>1.9554584127714001</v>
      </c>
      <c r="H99" s="13">
        <v>3.1644139617394103E-2</v>
      </c>
      <c r="I99" s="13">
        <v>0.35767598271240297</v>
      </c>
      <c r="J99" s="13">
        <v>0.72522532917776283</v>
      </c>
      <c r="K99" s="100">
        <v>3.5283740093170848</v>
      </c>
      <c r="L99" s="7">
        <v>1.6870276335027441</v>
      </c>
      <c r="M99" s="15">
        <v>0.16237382857736571</v>
      </c>
      <c r="N99" s="7">
        <v>5.952464455050789</v>
      </c>
      <c r="O99" s="7">
        <v>1.9554584127714001</v>
      </c>
      <c r="P99" s="7">
        <v>3.5283740093170848</v>
      </c>
      <c r="W99" s="134">
        <f>V97+I99/3</f>
        <v>0.13691123323543858</v>
      </c>
      <c r="X99" s="134">
        <f>V97+I99/5</f>
        <v>8.9221102207118194E-2</v>
      </c>
      <c r="Y99" s="134"/>
      <c r="AA99" s="134"/>
    </row>
    <row r="100" spans="1:27">
      <c r="B100" t="s">
        <v>35</v>
      </c>
      <c r="C100" s="195">
        <v>1.986293488238295</v>
      </c>
      <c r="D100" s="100">
        <v>1.613716340663969</v>
      </c>
      <c r="E100" s="13">
        <v>0.187574066863994</v>
      </c>
      <c r="F100" s="100">
        <v>6.4345647521008296</v>
      </c>
      <c r="G100" s="100">
        <v>2.239483384606896</v>
      </c>
      <c r="H100" s="13">
        <v>6.3602347399974057E-2</v>
      </c>
      <c r="I100" s="13">
        <v>0.44687993580374941</v>
      </c>
      <c r="J100" s="13">
        <v>0.9160093833329348</v>
      </c>
      <c r="K100" s="100">
        <v>3.9874199634449421</v>
      </c>
      <c r="L100" s="7">
        <v>1.613716340663969</v>
      </c>
      <c r="M100" s="15">
        <v>0.187574066863994</v>
      </c>
      <c r="N100" s="7">
        <v>6.4345647521008296</v>
      </c>
      <c r="O100" s="7">
        <v>2.239483384606896</v>
      </c>
      <c r="P100" s="7">
        <v>3.9874199634449421</v>
      </c>
      <c r="W100" s="134">
        <f>V98+I100/3</f>
        <v>9.3643257819825604E-2</v>
      </c>
      <c r="X100" s="134">
        <f>V98+I100/5</f>
        <v>3.4059266379325687E-2</v>
      </c>
      <c r="Y100" s="134"/>
      <c r="AA100" s="134"/>
    </row>
    <row r="101" spans="1:27">
      <c r="C101" s="111"/>
      <c r="D101" s="100"/>
      <c r="F101" s="100"/>
      <c r="G101" s="100"/>
      <c r="K101" s="100"/>
      <c r="L101" s="7"/>
      <c r="N101" s="7"/>
      <c r="O101" s="7"/>
      <c r="P101" s="7"/>
      <c r="AA101" s="134"/>
    </row>
    <row r="102" spans="1:27">
      <c r="A102" t="s">
        <v>327</v>
      </c>
      <c r="B102" t="s">
        <v>30</v>
      </c>
      <c r="C102" s="197">
        <v>34.567583610640924</v>
      </c>
      <c r="D102" s="100">
        <v>13.943719303738559</v>
      </c>
      <c r="E102" s="13">
        <v>0.59662441376300679</v>
      </c>
      <c r="F102" s="100">
        <v>160.91791819267581</v>
      </c>
      <c r="G102" s="100">
        <v>3.6551682641519818</v>
      </c>
      <c r="H102" s="13">
        <v>-0.31039396913954842</v>
      </c>
      <c r="I102" s="13">
        <v>3.1968515640711008E-2</v>
      </c>
      <c r="J102" s="13">
        <v>1.3611097140257491</v>
      </c>
      <c r="K102" s="100">
        <v>11.54053052039931</v>
      </c>
      <c r="L102" s="7">
        <v>28.22093668237595</v>
      </c>
      <c r="M102" s="15">
        <v>0.18360111599791659</v>
      </c>
      <c r="N102" s="7">
        <v>160.91791819267581</v>
      </c>
      <c r="O102" s="7">
        <v>3.6551682641519818</v>
      </c>
      <c r="P102" s="7">
        <v>5.7020757320634718</v>
      </c>
      <c r="Q102" s="109">
        <v>6.2812880029716911E-2</v>
      </c>
      <c r="R102" s="109">
        <v>-3.1006313616128739E-2</v>
      </c>
      <c r="S102" s="109">
        <v>1.0614126782387261E-2</v>
      </c>
      <c r="U102" s="134">
        <f>C102*S102</f>
        <v>0.36690471500411476</v>
      </c>
      <c r="V102" s="134">
        <f>(1+S102)*Q102*(1-U102)+S102</f>
        <v>5.080275204419301E-2</v>
      </c>
      <c r="W102" s="134">
        <f>V102+I102/3</f>
        <v>6.145892392443001E-2</v>
      </c>
      <c r="X102" s="134">
        <f>V102+I102/5</f>
        <v>5.7196455172335209E-2</v>
      </c>
      <c r="Y102" s="134"/>
      <c r="AA102" s="134"/>
    </row>
    <row r="103" spans="1:27">
      <c r="A103" t="s">
        <v>328</v>
      </c>
      <c r="B103" t="s">
        <v>32</v>
      </c>
      <c r="C103" s="195">
        <v>-69.240589701148878</v>
      </c>
      <c r="D103" s="100">
        <v>22.450954539093729</v>
      </c>
      <c r="E103" s="13">
        <v>1.3242455709287699</v>
      </c>
      <c r="F103" s="100">
        <v>-56.875574530729203</v>
      </c>
      <c r="G103" s="100">
        <v>-0.1785804428267963</v>
      </c>
      <c r="H103" s="13">
        <v>-1.63125860156436</v>
      </c>
      <c r="I103" s="13">
        <v>-2.1945399501647249</v>
      </c>
      <c r="J103" s="13">
        <v>-7.0709507063654211</v>
      </c>
      <c r="K103" s="100">
        <v>-2.5333254508930589</v>
      </c>
      <c r="L103" s="7">
        <v>44.038259702537331</v>
      </c>
      <c r="M103" s="15">
        <v>1.6360179757655451</v>
      </c>
      <c r="N103" s="7">
        <v>-56.875574530729203</v>
      </c>
      <c r="O103" s="7">
        <v>-0.1785804428267963</v>
      </c>
      <c r="P103" s="7">
        <v>-1.291503681455701</v>
      </c>
      <c r="S103" s="109">
        <v>7.8485768025000815E-3</v>
      </c>
      <c r="U103" s="134">
        <f>C103*S103</f>
        <v>-0.54344008611986316</v>
      </c>
      <c r="V103" s="134">
        <f>(1+S103)*R102*(1-U103)+S103</f>
        <v>-4.0383415087106106E-2</v>
      </c>
      <c r="W103" s="134">
        <f>V103+I103/3</f>
        <v>-0.77189673180868101</v>
      </c>
      <c r="X103" s="134">
        <f>V103+I103/5</f>
        <v>-0.47929140512005108</v>
      </c>
      <c r="Y103" s="134"/>
      <c r="AA103" s="134"/>
    </row>
    <row r="104" spans="1:27">
      <c r="B104" t="s">
        <v>34</v>
      </c>
      <c r="C104" s="197">
        <v>2.171289482252396</v>
      </c>
      <c r="D104" s="100">
        <v>1.5589169396137621</v>
      </c>
      <c r="E104" s="13">
        <v>0.28203173627654082</v>
      </c>
      <c r="F104" s="100">
        <v>6.3188397125532632</v>
      </c>
      <c r="G104" s="100">
        <v>1.9101783821097811</v>
      </c>
      <c r="H104" s="13">
        <v>-0.1222462733155547</v>
      </c>
      <c r="I104" s="13">
        <v>0.14627266271352929</v>
      </c>
      <c r="J104" s="13">
        <v>0.50340865866523221</v>
      </c>
      <c r="K104" s="100">
        <v>4.0533523961313964</v>
      </c>
      <c r="L104" s="7">
        <v>1.6400151421205369</v>
      </c>
      <c r="M104" s="15">
        <v>0.24468148741767001</v>
      </c>
      <c r="N104" s="7">
        <v>6.3188397125532632</v>
      </c>
      <c r="O104" s="7">
        <v>1.9101783821097811</v>
      </c>
      <c r="P104" s="7">
        <v>3.8529154702699948</v>
      </c>
      <c r="W104" s="134">
        <f>V102+I104/3</f>
        <v>9.9560306282036104E-2</v>
      </c>
      <c r="X104" s="134">
        <f>V102+I104/5</f>
        <v>8.0057284586898869E-2</v>
      </c>
      <c r="Y104" s="134"/>
      <c r="AA104" s="134"/>
    </row>
    <row r="105" spans="1:27">
      <c r="B105" t="s">
        <v>35</v>
      </c>
      <c r="C105" s="197">
        <v>2.1468954392395161</v>
      </c>
      <c r="D105" s="100">
        <v>1.6579409445803019</v>
      </c>
      <c r="E105" s="13">
        <v>0.22774956140035091</v>
      </c>
      <c r="F105" s="100">
        <v>6.7457240531594183</v>
      </c>
      <c r="G105" s="100">
        <v>2.1420831820057908</v>
      </c>
      <c r="H105" s="13">
        <v>-1.581891214383957E-2</v>
      </c>
      <c r="I105" s="13">
        <v>0.30767096168398589</v>
      </c>
      <c r="J105" s="13">
        <v>0.8028041153118588</v>
      </c>
      <c r="K105" s="100">
        <v>4.0687360277884066</v>
      </c>
      <c r="L105" s="7">
        <v>1.6970762760309479</v>
      </c>
      <c r="M105" s="15">
        <v>0.20952075959875571</v>
      </c>
      <c r="N105" s="7">
        <v>6.7457240531594183</v>
      </c>
      <c r="O105" s="7">
        <v>2.1420831820057908</v>
      </c>
      <c r="P105" s="7">
        <v>3.9749091708099531</v>
      </c>
      <c r="W105" s="134">
        <f>V103+I105/3</f>
        <v>6.2173572140889186E-2</v>
      </c>
      <c r="X105" s="134">
        <f>V103+I105/5</f>
        <v>2.1150777249691069E-2</v>
      </c>
      <c r="Y105" s="134"/>
      <c r="AA105" s="134"/>
    </row>
    <row r="106" spans="1:27">
      <c r="C106" s="111"/>
      <c r="D106" s="100"/>
      <c r="F106" s="100"/>
      <c r="G106" s="100"/>
      <c r="K106" s="100"/>
      <c r="L106" s="7"/>
      <c r="N106" s="7"/>
      <c r="O106" s="7"/>
      <c r="P106" s="7"/>
      <c r="AA106" s="134"/>
    </row>
    <row r="107" spans="1:27">
      <c r="A107" t="s">
        <v>329</v>
      </c>
      <c r="B107" t="s">
        <v>30</v>
      </c>
      <c r="C107" s="195">
        <v>-161.11292692008291</v>
      </c>
      <c r="D107" s="100">
        <v>14.35704079752715</v>
      </c>
      <c r="E107" s="13">
        <v>1.089111662682714</v>
      </c>
      <c r="F107" s="100">
        <v>-42.007021864598919</v>
      </c>
      <c r="G107" s="100">
        <v>-0.73926969941129728</v>
      </c>
      <c r="H107" s="13">
        <v>-1.138325084515891</v>
      </c>
      <c r="I107" s="13">
        <v>-1.252482653426833</v>
      </c>
      <c r="J107" s="13">
        <v>-1.6743208886883001</v>
      </c>
      <c r="K107" s="100">
        <v>-2.9258830184444551</v>
      </c>
      <c r="L107" s="7">
        <v>38.128149322546129</v>
      </c>
      <c r="M107" s="15">
        <v>1.2366548113265849</v>
      </c>
      <c r="N107" s="7">
        <v>-42.007021864598919</v>
      </c>
      <c r="O107" s="7">
        <v>-0.73926969941129728</v>
      </c>
      <c r="P107" s="7">
        <v>-1.101732515502899</v>
      </c>
      <c r="Q107" s="109">
        <v>-9.8397459721759062E-3</v>
      </c>
      <c r="R107" s="109">
        <v>-6.4199558223083486E-2</v>
      </c>
      <c r="S107" s="109">
        <v>2.808609890959865E-3</v>
      </c>
      <c r="U107" s="134">
        <f>C107*S107</f>
        <v>-0.45250336010923875</v>
      </c>
      <c r="V107" s="134">
        <f>(1+S107)*Q107*(1-U107)+S107</f>
        <v>-1.1523795590526527E-2</v>
      </c>
      <c r="W107" s="134">
        <f>V107+I107/3</f>
        <v>-0.42901801339947082</v>
      </c>
      <c r="X107" s="134">
        <f>V107+I107/5</f>
        <v>-0.26202032627589311</v>
      </c>
      <c r="Y107" s="134"/>
      <c r="AA107" s="134"/>
    </row>
    <row r="108" spans="1:27">
      <c r="A108" t="s">
        <v>330</v>
      </c>
      <c r="B108" t="s">
        <v>32</v>
      </c>
      <c r="C108" s="195">
        <v>-20.826108998791749</v>
      </c>
      <c r="D108" s="100">
        <v>16.756004134395841</v>
      </c>
      <c r="E108" s="13">
        <v>1.8045671966553121</v>
      </c>
      <c r="F108" s="100">
        <v>-10.74112616802544</v>
      </c>
      <c r="G108" s="100">
        <v>-0.48424709730230481</v>
      </c>
      <c r="H108" s="13">
        <v>-2.4232336708595779</v>
      </c>
      <c r="I108" s="13">
        <v>-3.2607586778831048</v>
      </c>
      <c r="J108" s="13">
        <v>-18.531390289118871</v>
      </c>
      <c r="K108" s="100">
        <v>-0.64103148231961948</v>
      </c>
      <c r="L108" s="7">
        <v>28.09816775925102</v>
      </c>
      <c r="M108" s="15">
        <v>2.3491799049395721</v>
      </c>
      <c r="N108" s="7">
        <v>-10.74112616802544</v>
      </c>
      <c r="O108" s="7">
        <v>-0.48424709730230481</v>
      </c>
      <c r="P108" s="7">
        <v>-0.38227140858638498</v>
      </c>
      <c r="S108" s="109">
        <v>2.8890691570300189E-3</v>
      </c>
      <c r="U108" s="134">
        <f>C108*S108</f>
        <v>-6.016806916935457E-2</v>
      </c>
      <c r="V108" s="134">
        <f>(1+S108)*R107*(1-U108)+S108</f>
        <v>-6.5369889280191856E-2</v>
      </c>
      <c r="W108" s="134">
        <f>V108+I108/3</f>
        <v>-1.1522894485745603</v>
      </c>
      <c r="X108" s="134">
        <f>V108+I108/5</f>
        <v>-0.71752162485681281</v>
      </c>
      <c r="Y108" s="134"/>
      <c r="AA108" s="134"/>
    </row>
    <row r="109" spans="1:27">
      <c r="B109" t="s">
        <v>34</v>
      </c>
      <c r="C109" s="195">
        <v>1.585310273727357</v>
      </c>
      <c r="D109" s="100">
        <v>1.184831116787765</v>
      </c>
      <c r="E109" s="13">
        <v>0.25261878609919752</v>
      </c>
      <c r="F109" s="100">
        <v>6.8495567438659393</v>
      </c>
      <c r="G109" s="100">
        <v>3.3206411119517751</v>
      </c>
      <c r="H109" s="13">
        <v>0.27504743465338127</v>
      </c>
      <c r="I109" s="13">
        <v>0.95366592856540677</v>
      </c>
      <c r="J109" s="13">
        <v>1.460283736671979</v>
      </c>
      <c r="K109" s="100">
        <v>5.7810405608151134</v>
      </c>
      <c r="L109" s="7">
        <v>1.184831116787765</v>
      </c>
      <c r="M109" s="15">
        <v>0.25261878609919752</v>
      </c>
      <c r="N109" s="7">
        <v>6.8495567438659393</v>
      </c>
      <c r="O109" s="7">
        <v>3.3206411119517751</v>
      </c>
      <c r="P109" s="7">
        <v>5.7810405608151134</v>
      </c>
      <c r="W109" s="134">
        <f>V107+I109/3</f>
        <v>0.30636484726460905</v>
      </c>
      <c r="X109" s="134">
        <f>V107+I109/5</f>
        <v>0.17920939012255482</v>
      </c>
      <c r="Y109" s="134"/>
      <c r="AA109" s="134"/>
    </row>
    <row r="110" spans="1:27">
      <c r="B110" t="s">
        <v>35</v>
      </c>
      <c r="C110" s="195">
        <v>1.3370269972282141</v>
      </c>
      <c r="D110" s="100">
        <v>1.1529664702332629</v>
      </c>
      <c r="E110" s="13">
        <v>0.13766403174844349</v>
      </c>
      <c r="F110" s="100">
        <v>6.0095339771957788</v>
      </c>
      <c r="G110" s="100">
        <v>3.49469905219126</v>
      </c>
      <c r="H110" s="13">
        <v>0.42328976976572358</v>
      </c>
      <c r="I110" s="13">
        <v>1.216372318402237</v>
      </c>
      <c r="J110" s="13">
        <v>1.8116872164105311</v>
      </c>
      <c r="K110" s="100">
        <v>5.212236550105362</v>
      </c>
      <c r="L110" s="7">
        <v>1.1529664702332629</v>
      </c>
      <c r="M110" s="15">
        <v>0.13766403174844349</v>
      </c>
      <c r="N110" s="7">
        <v>6.0095339771957788</v>
      </c>
      <c r="O110" s="7">
        <v>3.49469905219126</v>
      </c>
      <c r="P110" s="7">
        <v>5.212236550105362</v>
      </c>
      <c r="W110" s="134">
        <f>V108+I110/3</f>
        <v>0.34008755018722048</v>
      </c>
      <c r="X110" s="134">
        <f>V108+I110/5</f>
        <v>0.17790457440025556</v>
      </c>
      <c r="Y110" s="134"/>
      <c r="AA110" s="134"/>
    </row>
    <row r="111" spans="1:27">
      <c r="C111" s="111"/>
      <c r="D111" s="100"/>
      <c r="F111" s="100"/>
      <c r="G111" s="100"/>
      <c r="K111" s="100"/>
      <c r="L111" s="7"/>
      <c r="N111" s="7"/>
      <c r="O111" s="7"/>
      <c r="P111" s="7"/>
      <c r="AA111" s="134"/>
    </row>
    <row r="112" spans="1:27">
      <c r="A112" t="s">
        <v>331</v>
      </c>
      <c r="B112" t="s">
        <v>30</v>
      </c>
      <c r="C112" s="195">
        <v>8.4724639111663471</v>
      </c>
      <c r="D112" s="100">
        <v>7.575466044750943</v>
      </c>
      <c r="E112" s="13">
        <v>0.1058721377654025</v>
      </c>
      <c r="F112" s="100">
        <v>31.219505203101701</v>
      </c>
      <c r="G112" s="100">
        <v>2.6848200866286041</v>
      </c>
      <c r="H112" s="13">
        <v>0.21333261598099609</v>
      </c>
      <c r="I112" s="13">
        <v>0.5666516582558021</v>
      </c>
      <c r="J112" s="13">
        <v>1.147378293489197</v>
      </c>
      <c r="K112" s="100">
        <v>4.1211332766429294</v>
      </c>
      <c r="L112" s="7">
        <v>8.0984954540875194</v>
      </c>
      <c r="M112" s="15">
        <v>4.4139280025253691E-2</v>
      </c>
      <c r="N112" s="7">
        <v>31.219505203101701</v>
      </c>
      <c r="O112" s="7">
        <v>2.6848200866286041</v>
      </c>
      <c r="P112" s="7">
        <v>3.8549759495567062</v>
      </c>
      <c r="Q112" s="109">
        <v>0.1063962344073157</v>
      </c>
      <c r="R112" s="109">
        <v>5.7176479883066497E-2</v>
      </c>
      <c r="S112" s="109">
        <v>2.2844933240428671E-2</v>
      </c>
      <c r="U112" s="134">
        <f>C112*S112</f>
        <v>0.19355287243253638</v>
      </c>
      <c r="V112" s="134">
        <f>(1+S112)*Q112*(1-U112)+S112</f>
        <v>0.11060803324400506</v>
      </c>
      <c r="W112" s="134">
        <f>V112+I112/3</f>
        <v>0.29949191932927244</v>
      </c>
      <c r="X112" s="134">
        <f>V112+I112/5</f>
        <v>0.2239383648951655</v>
      </c>
      <c r="Y112" s="134"/>
      <c r="AA112" s="134"/>
    </row>
    <row r="113" spans="1:27">
      <c r="A113" t="s">
        <v>332</v>
      </c>
      <c r="B113" t="s">
        <v>32</v>
      </c>
      <c r="C113" s="197">
        <v>25.216740424899509</v>
      </c>
      <c r="D113" s="100">
        <v>16.52285154374313</v>
      </c>
      <c r="E113" s="13">
        <v>0.34476656120756421</v>
      </c>
      <c r="F113" s="100">
        <v>-26.240234272287129</v>
      </c>
      <c r="G113" s="100">
        <v>-2.040587872585506</v>
      </c>
      <c r="H113" s="13">
        <v>-0.1511068684020109</v>
      </c>
      <c r="I113" s="13">
        <v>0.2054282746101479</v>
      </c>
      <c r="J113" s="13">
        <v>0.53227186076267152</v>
      </c>
      <c r="K113" s="100">
        <v>-1.588117777540873</v>
      </c>
      <c r="L113" s="7">
        <v>22.434042604170099</v>
      </c>
      <c r="M113" s="15">
        <v>0.1103512101025446</v>
      </c>
      <c r="N113" s="7">
        <v>-26.240234272287129</v>
      </c>
      <c r="O113" s="7">
        <v>-2.040587872585506</v>
      </c>
      <c r="P113" s="7">
        <v>-1.1696614263988929</v>
      </c>
      <c r="S113" s="109">
        <v>1.269999647182872E-2</v>
      </c>
      <c r="U113" s="134">
        <f>C113*S113</f>
        <v>0.32025251442724445</v>
      </c>
      <c r="V113" s="134">
        <f>(1+S113)*R112*(1-U113)+S113</f>
        <v>5.2059157488237105E-2</v>
      </c>
      <c r="W113" s="134">
        <f>V113+I113/3</f>
        <v>0.12053524902495308</v>
      </c>
      <c r="X113" s="134">
        <f>V113+I113/5</f>
        <v>9.3144812410266675E-2</v>
      </c>
      <c r="Y113" s="134"/>
      <c r="AA113" s="134"/>
    </row>
    <row r="114" spans="1:27">
      <c r="B114" t="s">
        <v>34</v>
      </c>
      <c r="C114" s="195">
        <v>0.90143825629997787</v>
      </c>
      <c r="D114" s="100">
        <v>0.89175157889690115</v>
      </c>
      <c r="E114" s="13">
        <v>1.074580242781842E-2</v>
      </c>
      <c r="F114" s="100">
        <v>3.6774605322067928</v>
      </c>
      <c r="G114" s="100">
        <v>3.079547885288572</v>
      </c>
      <c r="H114" s="13">
        <v>0.33534475970167282</v>
      </c>
      <c r="I114" s="13">
        <v>0.70784905463602543</v>
      </c>
      <c r="J114" s="13">
        <v>1.3209875704146099</v>
      </c>
      <c r="K114" s="100">
        <v>4.123862092574953</v>
      </c>
      <c r="L114" s="7">
        <v>0.89175157889690115</v>
      </c>
      <c r="M114" s="15">
        <v>1.074580242781842E-2</v>
      </c>
      <c r="N114" s="7">
        <v>3.6774605322067928</v>
      </c>
      <c r="O114" s="7">
        <v>3.079547885288572</v>
      </c>
      <c r="P114" s="7">
        <v>4.123862092574953</v>
      </c>
      <c r="W114" s="134">
        <f>V112+I114/3</f>
        <v>0.34655771812268021</v>
      </c>
      <c r="X114" s="134">
        <f>V112+I114/5</f>
        <v>0.25217784417121014</v>
      </c>
      <c r="Y114" s="134"/>
      <c r="AA114" s="134"/>
    </row>
    <row r="115" spans="1:27">
      <c r="B115" t="s">
        <v>35</v>
      </c>
      <c r="C115" s="195">
        <v>1.441804451620776</v>
      </c>
      <c r="D115" s="100">
        <v>1.3411754793552739</v>
      </c>
      <c r="E115" s="13">
        <v>6.9793772763277584E-2</v>
      </c>
      <c r="F115" s="100">
        <v>5.5461105189323341</v>
      </c>
      <c r="G115" s="100">
        <v>2.8466454398152128</v>
      </c>
      <c r="H115" s="13">
        <v>0.26463015764417941</v>
      </c>
      <c r="I115" s="13">
        <v>0.63408815006158381</v>
      </c>
      <c r="J115" s="13">
        <v>1.199180558722122</v>
      </c>
      <c r="K115" s="100">
        <v>4.1352608993406621</v>
      </c>
      <c r="L115" s="7">
        <v>1.3411754793552739</v>
      </c>
      <c r="M115" s="15">
        <v>6.9793772763277584E-2</v>
      </c>
      <c r="N115" s="7">
        <v>5.5461105189323341</v>
      </c>
      <c r="O115" s="7">
        <v>2.8466454398152128</v>
      </c>
      <c r="P115" s="7">
        <v>4.1352608993406621</v>
      </c>
      <c r="W115" s="134">
        <f>V113+I115/3</f>
        <v>0.26342187417543173</v>
      </c>
      <c r="X115" s="134">
        <f>V113+I115/5</f>
        <v>0.17887678750055389</v>
      </c>
      <c r="Y115" s="134"/>
      <c r="AA115" s="134"/>
    </row>
    <row r="116" spans="1:27">
      <c r="C116" s="111"/>
      <c r="D116" s="100"/>
      <c r="F116" s="100"/>
      <c r="G116" s="100"/>
      <c r="K116" s="100"/>
      <c r="L116" s="7"/>
      <c r="N116" s="7"/>
      <c r="O116" s="7"/>
      <c r="P116" s="7"/>
      <c r="AA116" s="134"/>
    </row>
    <row r="117" spans="1:27">
      <c r="A117" t="s">
        <v>333</v>
      </c>
      <c r="B117" t="s">
        <v>30</v>
      </c>
      <c r="C117" s="195">
        <v>17.870029445669068</v>
      </c>
      <c r="D117" s="100">
        <v>12.26697362813354</v>
      </c>
      <c r="E117" s="13">
        <v>0.31354485646320368</v>
      </c>
      <c r="F117" s="100">
        <v>276.51349983539382</v>
      </c>
      <c r="G117" s="100">
        <v>14.47358949105754</v>
      </c>
      <c r="H117" s="13">
        <v>7.4869441653075741E-2</v>
      </c>
      <c r="I117" s="13">
        <v>0.56974885149582732</v>
      </c>
      <c r="J117" s="13">
        <v>1.469254104844272</v>
      </c>
      <c r="K117" s="100">
        <v>22.5412973254648</v>
      </c>
      <c r="L117" s="7">
        <v>12.26697362813354</v>
      </c>
      <c r="M117" s="15">
        <v>0.31354485646320368</v>
      </c>
      <c r="N117" s="7">
        <v>276.51349983539382</v>
      </c>
      <c r="O117" s="7">
        <v>14.47358949105754</v>
      </c>
      <c r="P117" s="7">
        <v>22.5412973254648</v>
      </c>
      <c r="Q117" s="109">
        <v>6.9805065045610806E-2</v>
      </c>
      <c r="R117" s="109">
        <v>-0.1058417495848489</v>
      </c>
      <c r="S117" s="109">
        <v>1.6891062397761711E-2</v>
      </c>
      <c r="U117" s="134">
        <f>C117*S117</f>
        <v>0.30184378241663534</v>
      </c>
      <c r="V117" s="134">
        <f>(1+S117)*Q117*(1-U117)+S117</f>
        <v>6.644908580459824E-2</v>
      </c>
      <c r="W117" s="134">
        <f>V117+I117/3</f>
        <v>0.25636536963654066</v>
      </c>
      <c r="X117" s="134">
        <f>V117+I117/5</f>
        <v>0.18039885610376372</v>
      </c>
      <c r="Y117" s="134"/>
      <c r="AA117" s="134"/>
    </row>
    <row r="118" spans="1:27">
      <c r="A118" t="s">
        <v>334</v>
      </c>
      <c r="B118" t="s">
        <v>32</v>
      </c>
      <c r="C118" s="195">
        <v>-13.13424082340477</v>
      </c>
      <c r="D118" s="100">
        <v>19.24831575872058</v>
      </c>
      <c r="E118" s="13">
        <v>2.465506534981508</v>
      </c>
      <c r="F118" s="100">
        <v>-12.84093737642587</v>
      </c>
      <c r="G118" s="100">
        <v>-2.233120672313571E-2</v>
      </c>
      <c r="H118" s="13">
        <v>-3.5058834180880312</v>
      </c>
      <c r="I118" s="13">
        <v>-4.956026111539483</v>
      </c>
      <c r="J118" s="13">
        <v>-9.6865895064187306</v>
      </c>
      <c r="K118" s="100">
        <v>-0.66712005026248566</v>
      </c>
      <c r="L118" s="7">
        <v>19.24831575872058</v>
      </c>
      <c r="M118" s="15">
        <v>2.465506534981508</v>
      </c>
      <c r="N118" s="7">
        <v>-12.84093737642587</v>
      </c>
      <c r="O118" s="7">
        <v>-2.233120672313571E-2</v>
      </c>
      <c r="P118" s="7">
        <v>-0.66712005026248566</v>
      </c>
      <c r="S118" s="109">
        <v>9.6827352769981549E-3</v>
      </c>
      <c r="U118" s="134">
        <f>C118*S118</f>
        <v>-0.12717537695737066</v>
      </c>
      <c r="V118" s="134">
        <f>(1+S118)*R117*(1-U118)+S118</f>
        <v>-0.11077465046511902</v>
      </c>
      <c r="W118" s="134">
        <f>V118+I118/3</f>
        <v>-1.7627833543116134</v>
      </c>
      <c r="X118" s="134">
        <f>V118+I118/5</f>
        <v>-1.1019798727730157</v>
      </c>
      <c r="Y118" s="134"/>
      <c r="AA118" s="134"/>
    </row>
    <row r="119" spans="1:27">
      <c r="B119" t="s">
        <v>34</v>
      </c>
      <c r="C119" s="195">
        <v>1.2474185678219101</v>
      </c>
      <c r="D119" s="100">
        <v>1.0711399032331861</v>
      </c>
      <c r="E119" s="13">
        <v>0.14131476726093639</v>
      </c>
      <c r="F119" s="100">
        <v>5.4391438316186234</v>
      </c>
      <c r="G119" s="100">
        <v>3.360319761085321</v>
      </c>
      <c r="H119" s="13">
        <v>0.38547866115939988</v>
      </c>
      <c r="I119" s="13">
        <v>0.80500219076714319</v>
      </c>
      <c r="J119" s="13">
        <v>1.380898732693608</v>
      </c>
      <c r="K119" s="100">
        <v>5.0779023498245364</v>
      </c>
      <c r="L119" s="7">
        <v>1.0711399032331861</v>
      </c>
      <c r="M119" s="15">
        <v>0.14131476726093639</v>
      </c>
      <c r="N119" s="7">
        <v>5.4391438316186234</v>
      </c>
      <c r="O119" s="7">
        <v>3.360319761085321</v>
      </c>
      <c r="P119" s="7">
        <v>5.0779023498245364</v>
      </c>
      <c r="W119" s="134">
        <f>V117+I119/3</f>
        <v>0.33478314939364595</v>
      </c>
      <c r="X119" s="134">
        <f>V117+I119/5</f>
        <v>0.22744952395802687</v>
      </c>
      <c r="Y119" s="134"/>
      <c r="AA119" s="134"/>
    </row>
    <row r="120" spans="1:27">
      <c r="B120" t="s">
        <v>35</v>
      </c>
      <c r="C120" s="195">
        <v>1.390151028217907</v>
      </c>
      <c r="D120" s="100">
        <v>1.26326625710161</v>
      </c>
      <c r="E120" s="13">
        <v>9.1274090757574422E-2</v>
      </c>
      <c r="F120" s="100">
        <v>5.9103307823263496</v>
      </c>
      <c r="G120" s="100">
        <v>3.251574586038362</v>
      </c>
      <c r="H120" s="13">
        <v>0.41843717641712708</v>
      </c>
      <c r="I120" s="13">
        <v>0.83390039084189715</v>
      </c>
      <c r="J120" s="13">
        <v>1.377998583505134</v>
      </c>
      <c r="K120" s="100">
        <v>4.6786105059805729</v>
      </c>
      <c r="L120" s="7">
        <v>1.26326625710161</v>
      </c>
      <c r="M120" s="15">
        <v>9.1274090757574422E-2</v>
      </c>
      <c r="N120" s="7">
        <v>5.9103307823263496</v>
      </c>
      <c r="O120" s="7">
        <v>3.251574586038362</v>
      </c>
      <c r="P120" s="7">
        <v>4.6786105059805729</v>
      </c>
      <c r="W120" s="134">
        <f>V118+I120/3</f>
        <v>0.16719214648218</v>
      </c>
      <c r="X120" s="134">
        <f>V118+I120/5</f>
        <v>5.6005427703260405E-2</v>
      </c>
      <c r="Y120" s="134"/>
      <c r="AA120" s="134"/>
    </row>
    <row r="121" spans="1:27">
      <c r="C121" s="111"/>
      <c r="D121" s="100"/>
      <c r="F121" s="100"/>
      <c r="G121" s="100"/>
      <c r="K121" s="100"/>
      <c r="L121" s="7"/>
      <c r="N121" s="7"/>
      <c r="O121" s="7"/>
      <c r="P121" s="7"/>
      <c r="AA121" s="134"/>
    </row>
    <row r="122" spans="1:27">
      <c r="A122" t="s">
        <v>335</v>
      </c>
      <c r="B122" t="s">
        <v>30</v>
      </c>
      <c r="C122" s="197">
        <v>32.533780163935411</v>
      </c>
      <c r="D122" s="100">
        <v>20.648277210727009</v>
      </c>
      <c r="E122" s="13">
        <v>0.3653280649625773</v>
      </c>
      <c r="F122" s="100">
        <v>87.966157146143587</v>
      </c>
      <c r="G122" s="100">
        <v>1.7038406451045149</v>
      </c>
      <c r="H122" s="13">
        <v>0</v>
      </c>
      <c r="I122" s="13">
        <v>0.27283467643050668</v>
      </c>
      <c r="J122" s="13">
        <v>0.58166507311356508</v>
      </c>
      <c r="K122" s="100">
        <v>4.2602177532004566</v>
      </c>
      <c r="L122" s="7">
        <v>20.648277210727009</v>
      </c>
      <c r="M122" s="15">
        <v>0.3653280649625773</v>
      </c>
      <c r="N122" s="7">
        <v>86.962921694692611</v>
      </c>
      <c r="O122" s="7">
        <v>1.673003913363053</v>
      </c>
      <c r="P122" s="7">
        <v>4.2116308691126259</v>
      </c>
      <c r="Q122" s="109">
        <v>7.506236627452699E-2</v>
      </c>
      <c r="R122" s="109">
        <v>3.0086955832494079E-2</v>
      </c>
      <c r="S122" s="109">
        <v>1.1513400554346151E-2</v>
      </c>
      <c r="U122" s="134">
        <f>C122*S122</f>
        <v>0.37457444257442979</v>
      </c>
      <c r="V122" s="134">
        <f>(1+S122)*Q122*(1-U122)+S122</f>
        <v>5.8999830030749892E-2</v>
      </c>
      <c r="W122" s="134">
        <f>V122+I122/3</f>
        <v>0.14994472217425212</v>
      </c>
      <c r="X122" s="134">
        <f>V122+I122/5</f>
        <v>0.11356676531685123</v>
      </c>
      <c r="Y122" s="134"/>
      <c r="AA122" s="134"/>
    </row>
    <row r="123" spans="1:27">
      <c r="A123" t="s">
        <v>336</v>
      </c>
      <c r="B123" t="s">
        <v>32</v>
      </c>
      <c r="C123" s="196">
        <v>77.357259684481434</v>
      </c>
      <c r="D123" s="100">
        <v>18.652728164593441</v>
      </c>
      <c r="E123" s="13">
        <v>0.75887553100158045</v>
      </c>
      <c r="F123" s="100">
        <v>305.09391728052282</v>
      </c>
      <c r="G123" s="100">
        <v>2.9439597333839811</v>
      </c>
      <c r="H123" s="13">
        <v>-0.5408367104416173</v>
      </c>
      <c r="I123" s="13">
        <v>-0.31448217578260662</v>
      </c>
      <c r="J123" s="13">
        <v>-0.12761699480962921</v>
      </c>
      <c r="K123" s="100">
        <v>16.356530507942061</v>
      </c>
      <c r="L123" s="7">
        <v>24.22445515447944</v>
      </c>
      <c r="M123" s="15">
        <v>0.68684962144103601</v>
      </c>
      <c r="N123" s="7">
        <v>305.09391728052282</v>
      </c>
      <c r="O123" s="7">
        <v>2.9439597333839811</v>
      </c>
      <c r="P123" s="7">
        <v>12.59445941446103</v>
      </c>
      <c r="S123" s="109">
        <v>9.9085205105774975E-3</v>
      </c>
      <c r="U123" s="134">
        <f>C123*S123</f>
        <v>0.7664959942257541</v>
      </c>
      <c r="V123" s="134">
        <f>(1+S123)*R122*(1-U123)+S123</f>
        <v>1.7003556783836776E-2</v>
      </c>
      <c r="W123" s="134">
        <f>V123+I123/3</f>
        <v>-8.7823835143698764E-2</v>
      </c>
      <c r="X123" s="134">
        <f>V123+I123/5</f>
        <v>-4.5892878372684548E-2</v>
      </c>
      <c r="Y123" s="134"/>
      <c r="AA123" s="134"/>
    </row>
    <row r="124" spans="1:27">
      <c r="B124" t="s">
        <v>34</v>
      </c>
      <c r="C124" s="195">
        <v>2.4420625229602599</v>
      </c>
      <c r="D124" s="100">
        <v>2.0739856733777602</v>
      </c>
      <c r="E124" s="13">
        <v>0.15072376162438261</v>
      </c>
      <c r="F124" s="100">
        <v>9.3318164954911627</v>
      </c>
      <c r="G124" s="100">
        <v>2.8212848392510299</v>
      </c>
      <c r="H124" s="13">
        <v>0.21003331646725429</v>
      </c>
      <c r="I124" s="13">
        <v>0.68491278493203911</v>
      </c>
      <c r="J124" s="13">
        <v>1.0351656968421501</v>
      </c>
      <c r="K124" s="100">
        <v>4.4994604424113822</v>
      </c>
      <c r="L124" s="7">
        <v>2.0739856733777602</v>
      </c>
      <c r="M124" s="15">
        <v>0.15072376162438261</v>
      </c>
      <c r="N124" s="7">
        <v>9.3318164954911627</v>
      </c>
      <c r="O124" s="7">
        <v>2.8212848392510299</v>
      </c>
      <c r="P124" s="7">
        <v>4.4994604424113822</v>
      </c>
      <c r="W124" s="134">
        <f>V122+I124/3</f>
        <v>0.28730409167476295</v>
      </c>
      <c r="X124" s="134">
        <f>V122+I124/5</f>
        <v>0.1959823870171577</v>
      </c>
      <c r="Y124" s="134"/>
      <c r="AA124" s="134"/>
    </row>
    <row r="125" spans="1:27">
      <c r="B125" t="s">
        <v>35</v>
      </c>
      <c r="C125" s="195">
        <v>2.327444455449768</v>
      </c>
      <c r="D125" s="100">
        <v>2.0365181265605821</v>
      </c>
      <c r="E125" s="13">
        <v>0.12499818339723399</v>
      </c>
      <c r="F125" s="100">
        <v>9.8680606943804001</v>
      </c>
      <c r="G125" s="100">
        <v>3.239869471975624</v>
      </c>
      <c r="H125" s="13">
        <v>0.219962099659754</v>
      </c>
      <c r="I125" s="13">
        <v>0.7607374840616552</v>
      </c>
      <c r="J125" s="13">
        <v>1.2703018947644631</v>
      </c>
      <c r="K125" s="100">
        <v>4.8455550508879037</v>
      </c>
      <c r="L125" s="7">
        <v>2.0365181265605821</v>
      </c>
      <c r="M125" s="15">
        <v>0.12499818339723399</v>
      </c>
      <c r="N125" s="7">
        <v>9.8680606943804001</v>
      </c>
      <c r="O125" s="7">
        <v>3.239869471975624</v>
      </c>
      <c r="P125" s="7">
        <v>4.8455550508879037</v>
      </c>
      <c r="W125" s="134">
        <f>V123+I125/3</f>
        <v>0.27058271813772183</v>
      </c>
      <c r="X125" s="134">
        <f>V123+I125/5</f>
        <v>0.16915105359616781</v>
      </c>
      <c r="Y125" s="134"/>
      <c r="AA125" s="134"/>
    </row>
    <row r="126" spans="1:27">
      <c r="C126" s="111"/>
      <c r="D126" s="100"/>
      <c r="F126" s="100"/>
      <c r="G126" s="100"/>
      <c r="K126" s="100"/>
      <c r="L126" s="7"/>
      <c r="N126" s="7"/>
      <c r="O126" s="7"/>
      <c r="P126" s="7"/>
      <c r="AA126" s="134"/>
    </row>
    <row r="127" spans="1:27">
      <c r="A127" t="s">
        <v>337</v>
      </c>
      <c r="B127" t="s">
        <v>30</v>
      </c>
      <c r="C127" s="198">
        <v>42.463780603865111</v>
      </c>
      <c r="D127" s="100">
        <v>19.496878611452519</v>
      </c>
      <c r="E127" s="13">
        <v>0.54085862506368809</v>
      </c>
      <c r="F127" s="100">
        <v>119.16191817983589</v>
      </c>
      <c r="G127" s="100">
        <v>1.8062013434806989</v>
      </c>
      <c r="H127" s="13">
        <v>-0.36117337440866842</v>
      </c>
      <c r="I127" s="13">
        <v>-0.13252013429364781</v>
      </c>
      <c r="J127" s="13">
        <v>0.27040779037588369</v>
      </c>
      <c r="K127" s="100">
        <v>6.111845929524323</v>
      </c>
      <c r="L127" s="7">
        <v>22.302100306380272</v>
      </c>
      <c r="M127" s="15">
        <v>0.47479710969610878</v>
      </c>
      <c r="N127" s="7">
        <v>119.16191817983589</v>
      </c>
      <c r="O127" s="7">
        <v>1.8062013434806989</v>
      </c>
      <c r="P127" s="7">
        <v>5.3430805414208287</v>
      </c>
      <c r="Q127" s="109">
        <v>6.7868518036796943E-2</v>
      </c>
      <c r="R127" s="109">
        <v>-0.33382204443635188</v>
      </c>
      <c r="S127" s="109">
        <v>1.0065934523922321E-2</v>
      </c>
      <c r="U127" s="134">
        <f>C127*S127</f>
        <v>0.42743763519670885</v>
      </c>
      <c r="V127" s="134">
        <f>(1+S127)*Q127*(1-U127)+S127</f>
        <v>4.9316045445567863E-2</v>
      </c>
      <c r="W127" s="134">
        <f>V127+I127/3</f>
        <v>5.1426673476852591E-3</v>
      </c>
      <c r="X127" s="134">
        <f>V127+I127/5</f>
        <v>2.28120185868383E-2</v>
      </c>
      <c r="Y127" s="134"/>
      <c r="AA127" s="134"/>
    </row>
    <row r="128" spans="1:27">
      <c r="A128" t="s">
        <v>338</v>
      </c>
      <c r="B128" t="s">
        <v>32</v>
      </c>
      <c r="C128" s="195">
        <v>-6.6462104838653353</v>
      </c>
      <c r="D128" s="100">
        <v>22.435011396217451</v>
      </c>
      <c r="E128" s="13">
        <v>4.3756095222505804</v>
      </c>
      <c r="F128" s="100">
        <v>-5.2875274822306908</v>
      </c>
      <c r="G128" s="100">
        <v>-0.20442972802818229</v>
      </c>
      <c r="H128" s="13">
        <v>-5.4385419483556392</v>
      </c>
      <c r="I128" s="13">
        <v>-7.8278393160478847</v>
      </c>
      <c r="J128" s="13">
        <v>-11.6861574707809</v>
      </c>
      <c r="K128" s="100">
        <v>-0.2356819610585163</v>
      </c>
      <c r="L128" s="7">
        <v>22.435011396217451</v>
      </c>
      <c r="M128" s="15">
        <v>4.3756095222505804</v>
      </c>
      <c r="N128" s="7">
        <v>-5.2875274822306908</v>
      </c>
      <c r="O128" s="7">
        <v>-0.20442972802818229</v>
      </c>
      <c r="P128" s="7">
        <v>-0.2356819610585163</v>
      </c>
      <c r="S128" s="109">
        <v>9.8465579001453824E-3</v>
      </c>
      <c r="U128" s="134">
        <f>C128*S128</f>
        <v>-6.5442296345933279E-2</v>
      </c>
      <c r="V128" s="134">
        <f>(1+S128)*R127*(1-U128)+S128</f>
        <v>-0.34932367448692447</v>
      </c>
      <c r="W128" s="134">
        <f>V128+I128/3</f>
        <v>-2.9586034465028863</v>
      </c>
      <c r="X128" s="134">
        <f>V128+I128/5</f>
        <v>-1.9148915376965014</v>
      </c>
      <c r="Y128" s="134"/>
      <c r="AA128" s="134"/>
    </row>
    <row r="129" spans="1:27">
      <c r="B129" t="s">
        <v>34</v>
      </c>
      <c r="C129" s="197">
        <v>2.8819538598240069</v>
      </c>
      <c r="D129" s="100">
        <v>1.7192777124536629</v>
      </c>
      <c r="E129" s="13">
        <v>0.40343329696518659</v>
      </c>
      <c r="F129" s="100">
        <v>11.56351523581467</v>
      </c>
      <c r="G129" s="100">
        <v>3.0123873588041481</v>
      </c>
      <c r="H129" s="13">
        <v>-2.7146592320719361E-2</v>
      </c>
      <c r="I129" s="13">
        <v>0.16279654214866171</v>
      </c>
      <c r="J129" s="13">
        <v>0.52135466624597249</v>
      </c>
      <c r="K129" s="100">
        <v>6.7257983698932664</v>
      </c>
      <c r="L129" s="7">
        <v>2.5236765483329431</v>
      </c>
      <c r="M129" s="15">
        <v>0.1243175043451054</v>
      </c>
      <c r="N129" s="7">
        <v>11.56351523581467</v>
      </c>
      <c r="O129" s="7">
        <v>3.0123873588041481</v>
      </c>
      <c r="P129" s="7">
        <v>4.5820116066193748</v>
      </c>
      <c r="W129" s="134">
        <f>V127+I129/3</f>
        <v>0.10358155949512177</v>
      </c>
      <c r="X129" s="134">
        <f>V127+I129/5</f>
        <v>8.1875353875300205E-2</v>
      </c>
      <c r="Y129" s="134"/>
      <c r="AA129" s="134"/>
    </row>
    <row r="130" spans="1:27">
      <c r="B130" t="s">
        <v>35</v>
      </c>
      <c r="C130" s="195">
        <v>2.218651571478242</v>
      </c>
      <c r="D130" s="100">
        <v>1.83178451940327</v>
      </c>
      <c r="E130" s="13">
        <v>0.17437035046346211</v>
      </c>
      <c r="F130" s="100">
        <v>11.240065926405061</v>
      </c>
      <c r="G130" s="100">
        <v>4.0661699524617276</v>
      </c>
      <c r="H130" s="13">
        <v>0.1391257971973843</v>
      </c>
      <c r="I130" s="13">
        <v>0.53434720182363882</v>
      </c>
      <c r="J130" s="13">
        <v>0.88211250732335822</v>
      </c>
      <c r="K130" s="100">
        <v>6.1361288990839791</v>
      </c>
      <c r="L130" s="7">
        <v>1.83178451940327</v>
      </c>
      <c r="M130" s="15">
        <v>0.17437035046346211</v>
      </c>
      <c r="N130" s="7">
        <v>11.240065926405061</v>
      </c>
      <c r="O130" s="7">
        <v>4.0661699524617276</v>
      </c>
      <c r="P130" s="7">
        <v>6.1361288990839791</v>
      </c>
      <c r="W130" s="134">
        <f>V128+I130/3</f>
        <v>-0.17120794054571153</v>
      </c>
      <c r="X130" s="134">
        <f>V128+I130/5</f>
        <v>-0.24245423412219672</v>
      </c>
      <c r="Y130" s="134"/>
      <c r="AA130" s="134"/>
    </row>
    <row r="131" spans="1:27">
      <c r="C131" s="111"/>
      <c r="D131" s="100"/>
      <c r="F131" s="100"/>
      <c r="G131" s="100"/>
      <c r="K131" s="100"/>
      <c r="L131" s="7"/>
      <c r="N131" s="7"/>
      <c r="O131" s="7"/>
      <c r="P131" s="7"/>
      <c r="AA131" s="134"/>
    </row>
    <row r="132" spans="1:27">
      <c r="A132" t="s">
        <v>339</v>
      </c>
      <c r="B132" t="s">
        <v>30</v>
      </c>
      <c r="C132" s="198">
        <v>26.602584363276801</v>
      </c>
      <c r="D132" s="100">
        <v>7.1970884667112873</v>
      </c>
      <c r="E132" s="13">
        <v>0.72945904922506632</v>
      </c>
      <c r="F132" s="100">
        <v>-19.327545038196369</v>
      </c>
      <c r="G132" s="100">
        <v>-1.726528850515622</v>
      </c>
      <c r="H132" s="13">
        <v>-0.54985137196769596</v>
      </c>
      <c r="I132" s="13">
        <v>-0.3646578808806018</v>
      </c>
      <c r="J132" s="13">
        <v>7.1703082316929789E-2</v>
      </c>
      <c r="K132" s="100">
        <v>-2.6854672035215512</v>
      </c>
      <c r="L132" s="7">
        <v>12.30315324856455</v>
      </c>
      <c r="M132" s="15">
        <v>0.53752037469155522</v>
      </c>
      <c r="N132" s="7">
        <v>37.444366336612291</v>
      </c>
      <c r="O132" s="7">
        <v>0.40754619270381442</v>
      </c>
      <c r="P132" s="7">
        <v>3.0434771948387351</v>
      </c>
      <c r="Q132" s="109">
        <v>3.9319858968914607E-2</v>
      </c>
      <c r="R132" s="109">
        <v>3.3720476526600679E-2</v>
      </c>
      <c r="S132" s="109">
        <v>7.3291451995879144E-3</v>
      </c>
      <c r="U132" s="134">
        <f>C132*S132</f>
        <v>0.19497420348274269</v>
      </c>
      <c r="V132" s="134">
        <f>(1+S132)*Q132*(1-U132)+S132</f>
        <v>3.9214639088316058E-2</v>
      </c>
      <c r="W132" s="134">
        <f>V132+I132/3</f>
        <v>-8.2337987871884538E-2</v>
      </c>
      <c r="X132" s="134">
        <f>V132+I132/5</f>
        <v>-3.3716937087804308E-2</v>
      </c>
      <c r="Y132" s="134"/>
      <c r="AA132" s="134"/>
    </row>
    <row r="133" spans="1:27">
      <c r="A133" t="s">
        <v>340</v>
      </c>
      <c r="B133" t="s">
        <v>32</v>
      </c>
      <c r="C133" s="196">
        <v>33.624413370020683</v>
      </c>
      <c r="D133" s="100">
        <v>8.2522781429076293</v>
      </c>
      <c r="E133" s="13">
        <v>0.75457480693877899</v>
      </c>
      <c r="F133" s="100">
        <v>-26.25107873003887</v>
      </c>
      <c r="G133" s="100">
        <v>-1.780714846714446</v>
      </c>
      <c r="H133" s="13">
        <v>-0.60378931038808381</v>
      </c>
      <c r="I133" s="13">
        <v>-0.43026504684968458</v>
      </c>
      <c r="J133" s="13">
        <v>-9.0917985989536265E-2</v>
      </c>
      <c r="K133" s="100">
        <v>-3.1810705208234169</v>
      </c>
      <c r="L133" s="7">
        <v>14.47572523434949</v>
      </c>
      <c r="M133" s="15">
        <v>0.56948764949291419</v>
      </c>
      <c r="N133" s="7">
        <v>50.634448106864653</v>
      </c>
      <c r="O133" s="7">
        <v>0.50588346478068247</v>
      </c>
      <c r="P133" s="7">
        <v>3.497886792346268</v>
      </c>
      <c r="S133" s="109">
        <v>6.1232485461803184E-3</v>
      </c>
      <c r="U133" s="134">
        <f>C133*S133</f>
        <v>0.20589064028414522</v>
      </c>
      <c r="V133" s="134">
        <f>(1+S133)*R132*(1-U133)+S133</f>
        <v>3.3064961364443243E-2</v>
      </c>
      <c r="W133" s="134">
        <f>V133+I133/3</f>
        <v>-0.11035672091878494</v>
      </c>
      <c r="X133" s="134">
        <f>V133+I133/5</f>
        <v>-5.2988048005493671E-2</v>
      </c>
      <c r="Y133" s="134"/>
      <c r="AA133" s="134"/>
    </row>
    <row r="134" spans="1:27">
      <c r="B134" t="s">
        <v>34</v>
      </c>
      <c r="C134" s="195">
        <v>1.046009865372697</v>
      </c>
      <c r="D134" s="100">
        <v>0.87916986911432971</v>
      </c>
      <c r="E134" s="13">
        <v>0.15950136015105501</v>
      </c>
      <c r="F134" s="100">
        <v>7.831499225938038</v>
      </c>
      <c r="G134" s="100">
        <v>6.48702233620679</v>
      </c>
      <c r="H134" s="13">
        <v>0.2150731473206198</v>
      </c>
      <c r="I134" s="13">
        <v>0.65988058368963443</v>
      </c>
      <c r="J134" s="13">
        <v>1.3978663124986921</v>
      </c>
      <c r="K134" s="100">
        <v>8.9078339705015619</v>
      </c>
      <c r="L134" s="7">
        <v>0.99471190238101548</v>
      </c>
      <c r="M134" s="15">
        <v>4.9041567092107392E-2</v>
      </c>
      <c r="N134" s="7">
        <v>4.0723067574179188</v>
      </c>
      <c r="O134" s="7">
        <v>2.8931819787062349</v>
      </c>
      <c r="P134" s="7">
        <v>4.0939559963745742</v>
      </c>
      <c r="W134" s="134">
        <f>V132+I134/3</f>
        <v>0.25917483365152755</v>
      </c>
      <c r="X134" s="134">
        <f>V132+I134/5</f>
        <v>0.17119075582624294</v>
      </c>
      <c r="Y134" s="134"/>
      <c r="AA134" s="134"/>
    </row>
    <row r="135" spans="1:27">
      <c r="B135" t="s">
        <v>35</v>
      </c>
      <c r="C135" s="195">
        <v>1.1338312417645</v>
      </c>
      <c r="D135" s="100">
        <v>1.0029622906743469</v>
      </c>
      <c r="E135" s="13">
        <v>0.11542189548992431</v>
      </c>
      <c r="F135" s="100">
        <v>4.6195704049251107</v>
      </c>
      <c r="G135" s="100">
        <v>3.0743015669033809</v>
      </c>
      <c r="H135" s="13">
        <v>0.17902878359277061</v>
      </c>
      <c r="I135" s="13">
        <v>0.65146804694883209</v>
      </c>
      <c r="J135" s="13">
        <v>1.252482831789274</v>
      </c>
      <c r="K135" s="100">
        <v>4.605926312363267</v>
      </c>
      <c r="L135" s="7">
        <v>1.1017703992324721</v>
      </c>
      <c r="M135" s="15">
        <v>2.8276555938020032E-2</v>
      </c>
      <c r="N135" s="7">
        <v>4.3955391826334944</v>
      </c>
      <c r="O135" s="7">
        <v>2.876713765439229</v>
      </c>
      <c r="P135" s="7">
        <v>3.9895237571235942</v>
      </c>
      <c r="W135" s="134">
        <f>V133+I135/3</f>
        <v>0.25022097701405394</v>
      </c>
      <c r="X135" s="134">
        <f>V133+I135/5</f>
        <v>0.16335857075420968</v>
      </c>
      <c r="Y135" s="134"/>
      <c r="AA135" s="134"/>
    </row>
    <row r="136" spans="1:27">
      <c r="C136" s="111"/>
      <c r="D136" s="100"/>
      <c r="F136" s="100"/>
      <c r="G136" s="100"/>
      <c r="K136" s="100"/>
      <c r="L136" s="7"/>
      <c r="N136" s="7"/>
      <c r="O136" s="7"/>
      <c r="P136" s="7"/>
      <c r="AA136" s="134"/>
    </row>
    <row r="137" spans="1:27">
      <c r="A137" t="s">
        <v>341</v>
      </c>
      <c r="B137" t="s">
        <v>30</v>
      </c>
      <c r="C137" s="196">
        <v>16.764008640794561</v>
      </c>
      <c r="D137" s="100">
        <v>14.28606518031372</v>
      </c>
      <c r="E137" s="13">
        <v>0.14781330131570461</v>
      </c>
      <c r="F137" s="100">
        <v>-6.4626566877519549</v>
      </c>
      <c r="G137" s="100">
        <v>-1.3855078356393431</v>
      </c>
      <c r="H137" s="13">
        <v>0.80939630468008494</v>
      </c>
      <c r="I137" s="13">
        <v>22.083383506462319</v>
      </c>
      <c r="J137" s="13">
        <v>-1.9347879773702481</v>
      </c>
      <c r="K137" s="100">
        <v>-0.452374856630049</v>
      </c>
      <c r="L137" s="7">
        <v>16.237779651997649</v>
      </c>
      <c r="M137" s="15">
        <v>3.1390403099432751E-2</v>
      </c>
      <c r="N137" s="7">
        <v>-21.802298452065902</v>
      </c>
      <c r="O137" s="7">
        <v>-2.3005420671885628</v>
      </c>
      <c r="P137" s="7">
        <v>-1.3426896361032761</v>
      </c>
      <c r="Q137" s="109">
        <v>8.4171043621102684E-2</v>
      </c>
      <c r="R137" s="109">
        <v>5.9323452537036143E-2</v>
      </c>
      <c r="S137" s="109">
        <v>1.0640129558539361E-2</v>
      </c>
      <c r="U137" s="134">
        <f>C137*S137</f>
        <v>0.17837122385852747</v>
      </c>
      <c r="V137" s="134">
        <f>(1+S137)*Q137*(1-U137)+S137</f>
        <v>8.0533324295987946E-2</v>
      </c>
      <c r="W137" s="134">
        <f>V137+I137/3</f>
        <v>7.4416611597834281</v>
      </c>
      <c r="X137" s="134">
        <f>V137+I137/5</f>
        <v>4.4972100255884522</v>
      </c>
      <c r="Y137" s="134"/>
      <c r="AA137" s="134"/>
    </row>
    <row r="138" spans="1:27">
      <c r="A138" t="s">
        <v>342</v>
      </c>
      <c r="B138" t="s">
        <v>32</v>
      </c>
      <c r="C138" s="196">
        <v>24.391741548186079</v>
      </c>
      <c r="D138" s="100">
        <v>19.592570392791931</v>
      </c>
      <c r="E138" s="13">
        <v>0.19675393599564589</v>
      </c>
      <c r="F138" s="100">
        <v>-7.8769174059165632</v>
      </c>
      <c r="G138" s="100">
        <v>-1.32293378438582</v>
      </c>
      <c r="H138" s="13">
        <v>0.35481203981608772</v>
      </c>
      <c r="I138" s="13">
        <v>-112.66262791322291</v>
      </c>
      <c r="J138" s="13">
        <v>-1.4857793776699759</v>
      </c>
      <c r="K138" s="100">
        <v>-0.40203593750080208</v>
      </c>
      <c r="L138" s="7">
        <v>19.592570392791931</v>
      </c>
      <c r="M138" s="15">
        <v>0.19675393599564589</v>
      </c>
      <c r="N138" s="7">
        <v>-89.776743080949643</v>
      </c>
      <c r="O138" s="7">
        <v>-4.6806204634300093</v>
      </c>
      <c r="P138" s="7">
        <v>-4.5821830051445582</v>
      </c>
      <c r="S138" s="109">
        <v>1.47132056895483E-2</v>
      </c>
      <c r="U138" s="134">
        <f>C138*S138</f>
        <v>0.35888071052476311</v>
      </c>
      <c r="V138" s="134">
        <f>(1+S138)*R137*(1-U138)+S138</f>
        <v>5.3306208809886846E-2</v>
      </c>
      <c r="W138" s="134">
        <f>V138+I138/3</f>
        <v>-37.500903095597749</v>
      </c>
      <c r="X138" s="134">
        <f>V138+I138/5</f>
        <v>-22.479219373834695</v>
      </c>
      <c r="Y138" s="134"/>
      <c r="AA138" s="134"/>
    </row>
    <row r="139" spans="1:27">
      <c r="B139" t="s">
        <v>34</v>
      </c>
      <c r="C139" s="197">
        <v>1.411044102568862</v>
      </c>
      <c r="D139" s="100">
        <v>0.94446890313400544</v>
      </c>
      <c r="E139" s="13">
        <v>0.33065954394014863</v>
      </c>
      <c r="F139" s="100">
        <v>4.5879896540456331</v>
      </c>
      <c r="G139" s="100">
        <v>2.2514856521444062</v>
      </c>
      <c r="H139" s="13">
        <v>-9.7462776578258081E-2</v>
      </c>
      <c r="I139" s="13">
        <v>0.2211338341721458</v>
      </c>
      <c r="J139" s="13">
        <v>0.56302563125073557</v>
      </c>
      <c r="K139" s="100">
        <v>4.8577455952455733</v>
      </c>
      <c r="L139" s="7">
        <v>1.218530252783588</v>
      </c>
      <c r="M139" s="15">
        <v>0.13643361638009391</v>
      </c>
      <c r="N139" s="7">
        <v>4.5879896540456331</v>
      </c>
      <c r="O139" s="7">
        <v>2.2514856521444062</v>
      </c>
      <c r="P139" s="7">
        <v>3.7651832144215671</v>
      </c>
      <c r="W139" s="134">
        <f>V137+I139/3</f>
        <v>0.1542446023533699</v>
      </c>
      <c r="X139" s="134">
        <f>V137+I139/5</f>
        <v>0.12476009113041711</v>
      </c>
      <c r="Y139" s="134"/>
      <c r="AA139" s="134"/>
    </row>
    <row r="140" spans="1:27">
      <c r="B140" t="s">
        <v>35</v>
      </c>
      <c r="C140" s="195">
        <v>1.447002322029469</v>
      </c>
      <c r="D140" s="100">
        <v>1.1859056189919059</v>
      </c>
      <c r="E140" s="13">
        <v>0.18043972636572261</v>
      </c>
      <c r="F140" s="100">
        <v>4.5397062873504463</v>
      </c>
      <c r="G140" s="100">
        <v>2.13731790076422</v>
      </c>
      <c r="H140" s="13">
        <v>9.9001157146453966E-2</v>
      </c>
      <c r="I140" s="13">
        <v>0.36155847156419663</v>
      </c>
      <c r="J140" s="13">
        <v>0.752365059388024</v>
      </c>
      <c r="K140" s="100">
        <v>3.8280502382723172</v>
      </c>
      <c r="L140" s="7">
        <v>1.1859056189919059</v>
      </c>
      <c r="M140" s="15">
        <v>0.18043972636572261</v>
      </c>
      <c r="N140" s="7">
        <v>4.5397062873504463</v>
      </c>
      <c r="O140" s="7">
        <v>2.13731790076422</v>
      </c>
      <c r="P140" s="7">
        <v>3.8280502382723172</v>
      </c>
      <c r="W140" s="134">
        <f>V138+I140/3</f>
        <v>0.17382569933128572</v>
      </c>
      <c r="X140" s="134">
        <f>V138+I140/5</f>
        <v>0.12561790312272617</v>
      </c>
      <c r="Y140" s="134"/>
      <c r="AA140" s="134"/>
    </row>
    <row r="141" spans="1:27">
      <c r="C141" s="111"/>
      <c r="D141" s="100"/>
      <c r="F141" s="100"/>
      <c r="G141" s="100"/>
      <c r="K141" s="100"/>
      <c r="L141" s="7"/>
      <c r="N141" s="7"/>
      <c r="O141" s="7"/>
      <c r="P141" s="7"/>
      <c r="AA141" s="134"/>
    </row>
    <row r="142" spans="1:27">
      <c r="A142" t="s">
        <v>343</v>
      </c>
      <c r="B142" t="s">
        <v>30</v>
      </c>
      <c r="C142" s="195">
        <v>9.243710379979273</v>
      </c>
      <c r="D142" s="100">
        <v>8.9366978545522731</v>
      </c>
      <c r="E142" s="13">
        <v>3.3213126851307513E-2</v>
      </c>
      <c r="F142" s="100">
        <v>27.37476109406953</v>
      </c>
      <c r="G142" s="100">
        <v>1.961447294298603</v>
      </c>
      <c r="H142" s="13">
        <v>0.18384799098473839</v>
      </c>
      <c r="I142" s="13">
        <v>0.36348441185965102</v>
      </c>
      <c r="J142" s="13">
        <v>0.90694949142415382</v>
      </c>
      <c r="K142" s="100">
        <v>3.0631852547331082</v>
      </c>
      <c r="L142" s="7">
        <v>8.9366978545522731</v>
      </c>
      <c r="M142" s="15">
        <v>3.3213126851307513E-2</v>
      </c>
      <c r="N142" s="7">
        <v>27.37476109406953</v>
      </c>
      <c r="O142" s="7">
        <v>1.961447294298603</v>
      </c>
      <c r="P142" s="7">
        <v>3.0631852547331082</v>
      </c>
      <c r="Q142" s="109">
        <v>0.1014784644993941</v>
      </c>
      <c r="R142" s="109">
        <v>7.0746311717341998E-2</v>
      </c>
      <c r="S142" s="109">
        <v>4.849645365971144E-2</v>
      </c>
      <c r="U142" s="134">
        <f>C142*S142</f>
        <v>0.44828717208645846</v>
      </c>
      <c r="V142" s="134">
        <f>(1+S142)*Q142*(1-U142)+S142</f>
        <v>0.10719859380727884</v>
      </c>
      <c r="W142" s="134">
        <f>V142+I142/3</f>
        <v>0.2283600644271625</v>
      </c>
      <c r="X142" s="134">
        <f>V142+I142/5</f>
        <v>0.17989547617920904</v>
      </c>
      <c r="Y142" s="134"/>
      <c r="AA142" s="134"/>
    </row>
    <row r="143" spans="1:27">
      <c r="A143" t="s">
        <v>344</v>
      </c>
      <c r="B143" t="s">
        <v>32</v>
      </c>
      <c r="C143" s="195">
        <v>16.5095391197205</v>
      </c>
      <c r="D143" s="100">
        <v>13.994475622879181</v>
      </c>
      <c r="E143" s="13">
        <v>0.15234001861609231</v>
      </c>
      <c r="F143" s="100">
        <v>56.18647185142062</v>
      </c>
      <c r="G143" s="100">
        <v>2.403273189153194</v>
      </c>
      <c r="H143" s="13">
        <v>0.13997085365147191</v>
      </c>
      <c r="I143" s="13">
        <v>0.51229027321657594</v>
      </c>
      <c r="J143" s="13">
        <v>1.3615048079546299</v>
      </c>
      <c r="K143" s="100">
        <v>4.0149036923943706</v>
      </c>
      <c r="L143" s="7">
        <v>15.477788332941911</v>
      </c>
      <c r="M143" s="15">
        <v>6.2494221025599539E-2</v>
      </c>
      <c r="N143" s="7">
        <v>56.18647185142062</v>
      </c>
      <c r="O143" s="7">
        <v>2.403273189153194</v>
      </c>
      <c r="P143" s="7">
        <v>3.6301356914047611</v>
      </c>
      <c r="S143" s="109">
        <v>1.7550312238626319E-2</v>
      </c>
      <c r="U143" s="134">
        <f>C143*S143</f>
        <v>0.28974756646691069</v>
      </c>
      <c r="V143" s="134">
        <f>(1+S143)*R142*(1-U143)+S143</f>
        <v>6.8679915826710181E-2</v>
      </c>
      <c r="W143" s="134">
        <f>V143+I143/3</f>
        <v>0.23944334023223549</v>
      </c>
      <c r="X143" s="134">
        <f>V143+I143/5</f>
        <v>0.17113797047002538</v>
      </c>
      <c r="Y143" s="134"/>
      <c r="AA143" s="134"/>
    </row>
    <row r="144" spans="1:27">
      <c r="B144" t="s">
        <v>34</v>
      </c>
      <c r="C144" s="195">
        <v>0.93803753563740699</v>
      </c>
      <c r="D144" s="100">
        <v>0.91604553274506806</v>
      </c>
      <c r="E144" s="13">
        <v>2.3444693902781921E-2</v>
      </c>
      <c r="F144" s="100">
        <v>3.0687079726356381</v>
      </c>
      <c r="G144" s="100">
        <v>2.271412769799682</v>
      </c>
      <c r="H144" s="13">
        <v>0.38848163422774928</v>
      </c>
      <c r="I144" s="13">
        <v>0.61686417796498172</v>
      </c>
      <c r="J144" s="13">
        <v>1.113633085936153</v>
      </c>
      <c r="K144" s="100">
        <v>3.3499513538806229</v>
      </c>
      <c r="L144" s="7">
        <v>0.91604553274506806</v>
      </c>
      <c r="M144" s="15">
        <v>2.3444693902781921E-2</v>
      </c>
      <c r="N144" s="7">
        <v>3.0687079726356381</v>
      </c>
      <c r="O144" s="7">
        <v>2.271412769799682</v>
      </c>
      <c r="P144" s="7">
        <v>3.3499513538806229</v>
      </c>
      <c r="W144" s="134">
        <f>V142+I144/3</f>
        <v>0.31281998646227271</v>
      </c>
      <c r="X144" s="134">
        <f>V142+I144/5</f>
        <v>0.2305714294002752</v>
      </c>
      <c r="Y144" s="134"/>
      <c r="AA144" s="134"/>
    </row>
    <row r="145" spans="1:27">
      <c r="B145" t="s">
        <v>35</v>
      </c>
      <c r="C145" s="195">
        <v>1.1679890008733991</v>
      </c>
      <c r="D145" s="100">
        <v>1.136408563257421</v>
      </c>
      <c r="E145" s="13">
        <v>2.7038300525401019E-2</v>
      </c>
      <c r="F145" s="100">
        <v>4.7786348430411669</v>
      </c>
      <c r="G145" s="100">
        <v>3.0913354830120832</v>
      </c>
      <c r="H145" s="13">
        <v>0.37148828389672989</v>
      </c>
      <c r="I145" s="13">
        <v>0.7489811583212711</v>
      </c>
      <c r="J145" s="13">
        <v>1.1472578311057171</v>
      </c>
      <c r="K145" s="100">
        <v>4.2050324131169923</v>
      </c>
      <c r="L145" s="7">
        <v>1.136408563257421</v>
      </c>
      <c r="M145" s="15">
        <v>2.7038300525401019E-2</v>
      </c>
      <c r="N145" s="7">
        <v>4.7786348430411669</v>
      </c>
      <c r="O145" s="7">
        <v>3.0913354830120832</v>
      </c>
      <c r="P145" s="7">
        <v>4.2050324131169923</v>
      </c>
      <c r="W145" s="134">
        <f>V143+I145/3</f>
        <v>0.31834030193380058</v>
      </c>
      <c r="X145" s="134">
        <f>V143+I145/5</f>
        <v>0.21847614749096439</v>
      </c>
      <c r="Y145" s="134"/>
      <c r="AA145" s="134"/>
    </row>
    <row r="146" spans="1:27">
      <c r="C146" s="111"/>
      <c r="D146" s="100"/>
      <c r="F146" s="100"/>
      <c r="G146" s="100"/>
      <c r="K146" s="100"/>
      <c r="L146" s="7"/>
      <c r="N146" s="7"/>
      <c r="O146" s="7"/>
      <c r="P146" s="7"/>
      <c r="AA146" s="134"/>
    </row>
    <row r="147" spans="1:27">
      <c r="A147" t="s">
        <v>345</v>
      </c>
      <c r="B147" t="s">
        <v>30</v>
      </c>
      <c r="C147" s="195">
        <v>13.18465981512216</v>
      </c>
      <c r="D147" s="100">
        <v>10.742701200873171</v>
      </c>
      <c r="E147" s="13">
        <v>0.18521210622728271</v>
      </c>
      <c r="F147" s="100">
        <v>37.055028280976089</v>
      </c>
      <c r="G147" s="100">
        <v>1.810465252844506</v>
      </c>
      <c r="H147" s="13">
        <v>2.4074131276621721E-2</v>
      </c>
      <c r="I147" s="13">
        <v>0.25946177538878312</v>
      </c>
      <c r="J147" s="13">
        <v>0.5961954493521977</v>
      </c>
      <c r="K147" s="100">
        <v>3.4493213194800809</v>
      </c>
      <c r="L147" s="7">
        <v>11.8802778015162</v>
      </c>
      <c r="M147" s="15">
        <v>9.8931791331460572E-2</v>
      </c>
      <c r="N147" s="7">
        <v>37.055028280976089</v>
      </c>
      <c r="O147" s="7">
        <v>1.810465252844506</v>
      </c>
      <c r="P147" s="7">
        <v>3.1190371892016708</v>
      </c>
      <c r="Q147" s="109">
        <v>9.2737823434559455E-2</v>
      </c>
      <c r="R147" s="109">
        <v>7.6598240987659272E-2</v>
      </c>
      <c r="S147" s="109">
        <v>2.6134070886138481E-2</v>
      </c>
      <c r="U147" s="134">
        <f>C147*S147</f>
        <v>0.34456883421802398</v>
      </c>
      <c r="V147" s="134">
        <f>(1+S147)*Q147*(1-U147)+S147</f>
        <v>8.8505844630299355E-2</v>
      </c>
      <c r="W147" s="134">
        <f>V147+I147/3</f>
        <v>0.17499310309322708</v>
      </c>
      <c r="X147" s="134">
        <f>V147+I147/5</f>
        <v>0.14039819970805598</v>
      </c>
      <c r="Y147" s="134"/>
      <c r="AA147" s="134"/>
    </row>
    <row r="148" spans="1:27">
      <c r="A148" t="s">
        <v>346</v>
      </c>
      <c r="B148" t="s">
        <v>32</v>
      </c>
      <c r="C148" s="195">
        <v>12.902222046422841</v>
      </c>
      <c r="D148" s="100">
        <v>11.600703446698709</v>
      </c>
      <c r="E148" s="13">
        <v>0.1008755387282287</v>
      </c>
      <c r="F148" s="100">
        <v>39.788993801474689</v>
      </c>
      <c r="G148" s="100">
        <v>2.0838869195020742</v>
      </c>
      <c r="H148" s="13">
        <v>8.6175361222342817E-2</v>
      </c>
      <c r="I148" s="13">
        <v>0.35599601887125298</v>
      </c>
      <c r="J148" s="13">
        <v>0.7498014070744401</v>
      </c>
      <c r="K148" s="100">
        <v>3.42987767804699</v>
      </c>
      <c r="L148" s="7">
        <v>12.25644813309405</v>
      </c>
      <c r="M148" s="15">
        <v>5.0051371849381472E-2</v>
      </c>
      <c r="N148" s="7">
        <v>39.788993801474689</v>
      </c>
      <c r="O148" s="7">
        <v>2.0838869195020742</v>
      </c>
      <c r="P148" s="7">
        <v>3.2463723070013319</v>
      </c>
      <c r="S148" s="109">
        <v>2.3849300769270412E-2</v>
      </c>
      <c r="U148" s="134">
        <f>C148*S148</f>
        <v>0.3077089741770499</v>
      </c>
      <c r="V148" s="134">
        <f>(1+S148)*R147*(1-U148)+S148</f>
        <v>7.814226287453678E-2</v>
      </c>
      <c r="W148" s="134">
        <f>V148+I148/3</f>
        <v>0.19680760249828777</v>
      </c>
      <c r="X148" s="134">
        <f>V148+I148/5</f>
        <v>0.14934146664878739</v>
      </c>
      <c r="Y148" s="134"/>
      <c r="AA148" s="134"/>
    </row>
    <row r="149" spans="1:27">
      <c r="B149" t="s">
        <v>34</v>
      </c>
      <c r="C149" s="195">
        <v>1.22271665397953</v>
      </c>
      <c r="D149" s="100">
        <v>1.0031082400267981</v>
      </c>
      <c r="E149" s="13">
        <v>0.17960695410337371</v>
      </c>
      <c r="F149" s="100">
        <v>3.6071104388893378</v>
      </c>
      <c r="G149" s="100">
        <v>1.9500787669403301</v>
      </c>
      <c r="H149" s="13">
        <v>6.5555993109736255E-2</v>
      </c>
      <c r="I149" s="13">
        <v>0.3811647214723064</v>
      </c>
      <c r="J149" s="13">
        <v>0.67258987081853427</v>
      </c>
      <c r="K149" s="100">
        <v>3.595933414716018</v>
      </c>
      <c r="L149" s="7">
        <v>1.168040064709027</v>
      </c>
      <c r="M149" s="15">
        <v>4.4717301504440088E-2</v>
      </c>
      <c r="N149" s="7">
        <v>3.6071104388893378</v>
      </c>
      <c r="O149" s="7">
        <v>1.9500787669403301</v>
      </c>
      <c r="P149" s="7">
        <v>3.0881735548924958</v>
      </c>
      <c r="W149" s="134">
        <f>V147+I149/3</f>
        <v>0.21556075178773482</v>
      </c>
      <c r="X149" s="134">
        <f>V147+I149/5</f>
        <v>0.16473878892476063</v>
      </c>
      <c r="Y149" s="134"/>
      <c r="AA149" s="134"/>
    </row>
    <row r="150" spans="1:27">
      <c r="B150" t="s">
        <v>35</v>
      </c>
      <c r="C150" s="195">
        <v>0.98828751358818745</v>
      </c>
      <c r="D150" s="100">
        <v>0.96057262776444741</v>
      </c>
      <c r="E150" s="13">
        <v>2.8043343098725689E-2</v>
      </c>
      <c r="F150" s="100">
        <v>3.3579021236661162</v>
      </c>
      <c r="G150" s="100">
        <v>2.397697610763633</v>
      </c>
      <c r="H150" s="13">
        <v>0.1746708366743823</v>
      </c>
      <c r="I150" s="13">
        <v>0.51333187369363897</v>
      </c>
      <c r="J150" s="13">
        <v>0.92692941219903324</v>
      </c>
      <c r="K150" s="100">
        <v>3.4957295540275841</v>
      </c>
      <c r="L150" s="7">
        <v>0.96057262776444741</v>
      </c>
      <c r="M150" s="15">
        <v>2.8043343098725689E-2</v>
      </c>
      <c r="N150" s="7">
        <v>3.3579021236661162</v>
      </c>
      <c r="O150" s="7">
        <v>2.397697610763633</v>
      </c>
      <c r="P150" s="7">
        <v>3.4957295540275841</v>
      </c>
      <c r="W150" s="134">
        <f>V148+I150/3</f>
        <v>0.24925288743908308</v>
      </c>
      <c r="X150" s="134">
        <f>V148+I150/5</f>
        <v>0.18080863761326457</v>
      </c>
      <c r="Y150" s="134"/>
      <c r="AA150" s="134"/>
    </row>
    <row r="151" spans="1:27">
      <c r="C151" s="111"/>
      <c r="D151" s="100"/>
      <c r="F151" s="100"/>
      <c r="G151" s="100"/>
      <c r="K151" s="100"/>
      <c r="L151" s="7"/>
      <c r="N151" s="7"/>
      <c r="O151" s="7"/>
      <c r="P151" s="7"/>
      <c r="AA151" s="134"/>
    </row>
    <row r="152" spans="1:27">
      <c r="A152" s="184" t="s">
        <v>347</v>
      </c>
      <c r="B152" t="s">
        <v>30</v>
      </c>
      <c r="C152" s="198">
        <v>35.271648328811082</v>
      </c>
      <c r="D152" s="100">
        <v>15.9428235524969</v>
      </c>
      <c r="E152" s="13">
        <v>0.54799890824851927</v>
      </c>
      <c r="F152" s="100">
        <v>57.520333977487297</v>
      </c>
      <c r="G152" s="100">
        <v>0.63078100125257675</v>
      </c>
      <c r="H152" s="13">
        <v>-0.44141032757454879</v>
      </c>
      <c r="I152" s="13">
        <v>-0.27175696095101581</v>
      </c>
      <c r="J152" s="13">
        <v>1.8227713407555021E-2</v>
      </c>
      <c r="K152" s="100">
        <v>3.6079138546621312</v>
      </c>
      <c r="L152" s="7">
        <v>16.431991793022839</v>
      </c>
      <c r="M152" s="15">
        <v>0.53413031225987151</v>
      </c>
      <c r="N152" s="7">
        <v>57.520333977487297</v>
      </c>
      <c r="O152" s="7">
        <v>0.63078100125257675</v>
      </c>
      <c r="P152" s="7">
        <v>3.5005089280723061</v>
      </c>
      <c r="Q152" s="109">
        <v>4.9296132586909479E-2</v>
      </c>
      <c r="R152" s="109">
        <v>1.275127227544378E-2</v>
      </c>
      <c r="S152" s="109">
        <v>1.7551984160862771E-2</v>
      </c>
      <c r="U152" s="134">
        <f>C152*S152</f>
        <v>0.61908741279481394</v>
      </c>
      <c r="V152" s="134">
        <f>(1+S152)*Q152*(1-U152)+S152</f>
        <v>3.6659084251788182E-2</v>
      </c>
      <c r="W152" s="134">
        <f>V152+I152/3</f>
        <v>-5.3926569398550422E-2</v>
      </c>
      <c r="X152" s="134">
        <f>V152+I152/5</f>
        <v>-1.7692307938414982E-2</v>
      </c>
      <c r="Y152" s="134"/>
      <c r="AA152" s="134"/>
    </row>
    <row r="153" spans="1:27">
      <c r="A153" t="s">
        <v>348</v>
      </c>
      <c r="B153" t="s">
        <v>32</v>
      </c>
      <c r="C153" s="196">
        <v>133.54931277898021</v>
      </c>
      <c r="D153" s="100">
        <v>21.641148185970831</v>
      </c>
      <c r="E153" s="13">
        <v>0.83795387834165624</v>
      </c>
      <c r="F153" s="100">
        <v>254.17957006441239</v>
      </c>
      <c r="G153" s="100">
        <v>0.90326378155963449</v>
      </c>
      <c r="H153" s="13">
        <v>-0.79404101644559888</v>
      </c>
      <c r="I153" s="13">
        <v>-0.7386367683904087</v>
      </c>
      <c r="J153" s="13">
        <v>-0.61384737445509985</v>
      </c>
      <c r="K153" s="100">
        <v>11.74519798488269</v>
      </c>
      <c r="L153" s="7">
        <v>21.641148185970831</v>
      </c>
      <c r="M153" s="15">
        <v>0.83795387834165624</v>
      </c>
      <c r="N153" s="7">
        <v>254.17957006441239</v>
      </c>
      <c r="O153" s="7">
        <v>0.90326378155963449</v>
      </c>
      <c r="P153" s="7">
        <v>11.74519798488269</v>
      </c>
      <c r="S153" s="109">
        <v>1.2284235246984861E-2</v>
      </c>
      <c r="U153" s="134">
        <f>C153*S153</f>
        <v>1.6405511752501543</v>
      </c>
      <c r="V153" s="134">
        <f>(1+S153)*R152*(1-U153)+S153</f>
        <v>4.016057106997168E-3</v>
      </c>
      <c r="W153" s="134">
        <f>V153+I153/3</f>
        <v>-0.24219619902313905</v>
      </c>
      <c r="X153" s="134">
        <f>V153+I153/5</f>
        <v>-0.14371129657108456</v>
      </c>
      <c r="Y153" s="134"/>
      <c r="AA153" s="134"/>
    </row>
    <row r="154" spans="1:27">
      <c r="B154" t="s">
        <v>34</v>
      </c>
      <c r="C154" s="195">
        <v>1.738755852575915</v>
      </c>
      <c r="D154" s="100">
        <v>1.623700519728603</v>
      </c>
      <c r="E154" s="13">
        <v>6.6171068627525309E-2</v>
      </c>
      <c r="F154" s="100">
        <v>6.5223817376145483</v>
      </c>
      <c r="G154" s="100">
        <v>2.7511774456154008</v>
      </c>
      <c r="H154" s="13">
        <v>0.151369743983752</v>
      </c>
      <c r="I154" s="13">
        <v>0.55309150116013406</v>
      </c>
      <c r="J154" s="13">
        <v>1.0214178744439399</v>
      </c>
      <c r="K154" s="100">
        <v>4.0169856807736606</v>
      </c>
      <c r="L154" s="7">
        <v>1.623700519728603</v>
      </c>
      <c r="M154" s="15">
        <v>6.6171068627525309E-2</v>
      </c>
      <c r="N154" s="7">
        <v>6.5223817376145483</v>
      </c>
      <c r="O154" s="7">
        <v>2.7511774456154008</v>
      </c>
      <c r="P154" s="7">
        <v>4.0169856807736606</v>
      </c>
      <c r="W154" s="134">
        <f>V152+I154/3</f>
        <v>0.22102291797183288</v>
      </c>
      <c r="X154" s="134">
        <f>V152+I154/5</f>
        <v>0.147277384483815</v>
      </c>
      <c r="Y154" s="134"/>
      <c r="AA154" s="134"/>
    </row>
    <row r="155" spans="1:27">
      <c r="B155" t="s">
        <v>35</v>
      </c>
      <c r="C155" s="195">
        <v>1.7029236494431801</v>
      </c>
      <c r="D155" s="100">
        <v>1.551892183965059</v>
      </c>
      <c r="E155" s="13">
        <v>8.8689510846540087E-2</v>
      </c>
      <c r="F155" s="100">
        <v>6.4649064675850427</v>
      </c>
      <c r="G155" s="100">
        <v>2.7963572058553119</v>
      </c>
      <c r="H155" s="13">
        <v>0.16736835023807739</v>
      </c>
      <c r="I155" s="13">
        <v>0.60608849716308644</v>
      </c>
      <c r="J155" s="13">
        <v>1.1820750004459271</v>
      </c>
      <c r="K155" s="100">
        <v>4.1658219136507997</v>
      </c>
      <c r="L155" s="7">
        <v>1.551892183965059</v>
      </c>
      <c r="M155" s="15">
        <v>8.8689510846540087E-2</v>
      </c>
      <c r="N155" s="7">
        <v>6.4649064675850427</v>
      </c>
      <c r="O155" s="7">
        <v>2.7963572058553119</v>
      </c>
      <c r="P155" s="7">
        <v>4.1658219136507997</v>
      </c>
      <c r="W155" s="134">
        <f>V153+I155/3</f>
        <v>0.20604555616135933</v>
      </c>
      <c r="X155" s="134">
        <f>V153+I155/5</f>
        <v>0.12523375653961447</v>
      </c>
      <c r="Y155" s="134"/>
      <c r="AA155" s="134"/>
    </row>
    <row r="156" spans="1:27">
      <c r="C156" s="111"/>
      <c r="D156" s="100"/>
      <c r="F156" s="100"/>
      <c r="G156" s="100"/>
      <c r="K156" s="100"/>
      <c r="L156" s="7"/>
      <c r="N156" s="7"/>
      <c r="O156" s="7"/>
      <c r="P156" s="7"/>
      <c r="AA156" s="134"/>
    </row>
    <row r="157" spans="1:27">
      <c r="A157" s="184" t="s">
        <v>349</v>
      </c>
      <c r="B157" t="s">
        <v>30</v>
      </c>
      <c r="C157" s="196">
        <v>21.137147514432481</v>
      </c>
      <c r="D157" s="100">
        <v>10.316033297049319</v>
      </c>
      <c r="E157" s="13">
        <v>0.51194770770249343</v>
      </c>
      <c r="F157" s="100">
        <v>30.685364837764169</v>
      </c>
      <c r="G157" s="100">
        <v>0.45172686223683439</v>
      </c>
      <c r="H157" s="13">
        <v>-0.34754775961525308</v>
      </c>
      <c r="I157" s="13">
        <v>-0.28432127908403693</v>
      </c>
      <c r="J157" s="13">
        <v>-0.1737544422375551</v>
      </c>
      <c r="K157" s="100">
        <v>2.9745313876159232</v>
      </c>
      <c r="L157" s="7">
        <v>11.719213082334299</v>
      </c>
      <c r="M157" s="15">
        <v>0.44556316909212101</v>
      </c>
      <c r="N157" s="7">
        <v>24.74600911450327</v>
      </c>
      <c r="O157" s="7">
        <v>0.1707355071258623</v>
      </c>
      <c r="P157" s="7">
        <v>2.111576002641828</v>
      </c>
      <c r="Q157" s="109">
        <v>6.156479920120099E-2</v>
      </c>
      <c r="R157" s="109">
        <v>-1.552020329540766E-2</v>
      </c>
      <c r="S157" s="109">
        <v>2.862182718908883E-2</v>
      </c>
      <c r="U157" s="134">
        <f>C157*S157</f>
        <v>0.60498378342836501</v>
      </c>
      <c r="V157" s="134">
        <f>(1+S157)*Q157*(1-U157)+S157</f>
        <v>5.3636978150961349E-2</v>
      </c>
      <c r="W157" s="134">
        <f>V157+I157/3</f>
        <v>-4.1136781543717631E-2</v>
      </c>
      <c r="X157" s="134">
        <f>V157+I157/5</f>
        <v>-3.2272776658460386E-3</v>
      </c>
      <c r="Y157" s="134"/>
      <c r="AA157" s="134"/>
    </row>
    <row r="158" spans="1:27">
      <c r="A158" t="s">
        <v>350</v>
      </c>
      <c r="B158" t="s">
        <v>32</v>
      </c>
      <c r="C158" s="195">
        <v>-96.500174749210089</v>
      </c>
      <c r="D158" s="100">
        <v>23.025495645652249</v>
      </c>
      <c r="E158" s="13">
        <v>1.2386057404091979</v>
      </c>
      <c r="F158" s="100">
        <v>-29.30805694538811</v>
      </c>
      <c r="G158" s="100">
        <v>-0.69629011531268736</v>
      </c>
      <c r="H158" s="13">
        <v>-1.2973187590106701</v>
      </c>
      <c r="I158" s="13">
        <v>-1.3534874572744551</v>
      </c>
      <c r="J158" s="13">
        <v>-1.632599512304959</v>
      </c>
      <c r="K158" s="100">
        <v>-1.272852380527242</v>
      </c>
      <c r="L158" s="7">
        <v>25.9181851902541</v>
      </c>
      <c r="M158" s="15">
        <v>1.2685817435834881</v>
      </c>
      <c r="N158" s="7">
        <v>-29.30805694538811</v>
      </c>
      <c r="O158" s="7">
        <v>-0.69629011531268736</v>
      </c>
      <c r="P158" s="7">
        <v>-1.130791246773277</v>
      </c>
      <c r="S158" s="109">
        <v>1.1401419795890211E-2</v>
      </c>
      <c r="U158" s="134">
        <f>C158*S158</f>
        <v>-1.1002390026925086</v>
      </c>
      <c r="V158" s="134">
        <f>(1+S158)*R157*(1-U158)+S158</f>
        <v>-2.1566358728416453E-2</v>
      </c>
      <c r="W158" s="134">
        <f>V158+I158/3</f>
        <v>-0.47272884448656816</v>
      </c>
      <c r="X158" s="134">
        <f>V158+I158/5</f>
        <v>-0.29226385018330747</v>
      </c>
      <c r="Y158" s="134"/>
      <c r="AA158" s="134"/>
    </row>
    <row r="159" spans="1:27">
      <c r="B159" t="s">
        <v>34</v>
      </c>
      <c r="C159" s="195">
        <v>1.3013042424122001</v>
      </c>
      <c r="D159" s="100">
        <v>1.2102839147386439</v>
      </c>
      <c r="E159" s="13">
        <v>6.9945462949412729E-2</v>
      </c>
      <c r="F159" s="100">
        <v>3.962525210723697</v>
      </c>
      <c r="G159" s="100">
        <v>2.04504133743424</v>
      </c>
      <c r="H159" s="13">
        <v>0.25942746437684733</v>
      </c>
      <c r="I159" s="13">
        <v>0.62238120617606696</v>
      </c>
      <c r="J159" s="13">
        <v>0.91642076808316997</v>
      </c>
      <c r="K159" s="100">
        <v>3.2740460006686849</v>
      </c>
      <c r="L159" s="7">
        <v>1.2102839147386439</v>
      </c>
      <c r="M159" s="15">
        <v>6.9945462949412729E-2</v>
      </c>
      <c r="N159" s="7">
        <v>3.2452867679435671</v>
      </c>
      <c r="O159" s="7">
        <v>1.4938724259653891</v>
      </c>
      <c r="P159" s="7">
        <v>2.6814260095693112</v>
      </c>
      <c r="W159" s="134">
        <f>V157+I159/3</f>
        <v>0.26109738020965034</v>
      </c>
      <c r="X159" s="134">
        <f>V157+I159/5</f>
        <v>0.17811321938617475</v>
      </c>
      <c r="Y159" s="134"/>
      <c r="AA159" s="134"/>
    </row>
    <row r="160" spans="1:27">
      <c r="B160" t="s">
        <v>35</v>
      </c>
      <c r="C160" s="195">
        <v>1.497702330150106</v>
      </c>
      <c r="D160" s="100">
        <v>1.234988188994383</v>
      </c>
      <c r="E160" s="13">
        <v>0.17541145250765031</v>
      </c>
      <c r="F160" s="100">
        <v>4.5358033180769786</v>
      </c>
      <c r="G160" s="100">
        <v>2.028507886224884</v>
      </c>
      <c r="H160" s="13">
        <v>0.1857640477061511</v>
      </c>
      <c r="I160" s="13">
        <v>0.56899222572808461</v>
      </c>
      <c r="J160" s="13">
        <v>1.004411571911664</v>
      </c>
      <c r="K160" s="100">
        <v>3.6727503619045612</v>
      </c>
      <c r="L160" s="7">
        <v>1.234988188994383</v>
      </c>
      <c r="M160" s="15">
        <v>0.17541145250765031</v>
      </c>
      <c r="N160" s="7">
        <v>4.5358033180769786</v>
      </c>
      <c r="O160" s="7">
        <v>2.028507886224884</v>
      </c>
      <c r="P160" s="7">
        <v>3.6727503619045612</v>
      </c>
      <c r="W160" s="134">
        <f>V158+I160/3</f>
        <v>0.16809771651427843</v>
      </c>
      <c r="X160" s="134">
        <f>V158+I160/5</f>
        <v>9.223208641720046E-2</v>
      </c>
      <c r="Y160" s="134"/>
      <c r="AA160" s="134"/>
    </row>
    <row r="161" spans="1:27">
      <c r="C161" s="111"/>
      <c r="D161" s="100"/>
      <c r="F161" s="100"/>
      <c r="G161" s="100"/>
      <c r="K161" s="100"/>
      <c r="L161" s="7"/>
      <c r="N161" s="7"/>
      <c r="O161" s="7"/>
      <c r="P161" s="7"/>
      <c r="AA161" s="134"/>
    </row>
    <row r="162" spans="1:27">
      <c r="A162" t="s">
        <v>351</v>
      </c>
      <c r="B162" t="s">
        <v>30</v>
      </c>
      <c r="C162" s="198">
        <v>18.795628927514869</v>
      </c>
      <c r="D162" s="100">
        <v>11.699692294622331</v>
      </c>
      <c r="E162" s="13">
        <v>0.37753121538299877</v>
      </c>
      <c r="F162" s="100">
        <v>34.310126020666942</v>
      </c>
      <c r="G162" s="100">
        <v>0.8254311230011806</v>
      </c>
      <c r="H162" s="13">
        <v>-0.23212073670249689</v>
      </c>
      <c r="I162" s="13">
        <v>-1.065739875718508E-2</v>
      </c>
      <c r="J162" s="13">
        <v>0.14770245311542471</v>
      </c>
      <c r="K162" s="100">
        <v>2.932566528816944</v>
      </c>
      <c r="L162" s="7">
        <v>11.699692294622331</v>
      </c>
      <c r="M162" s="15">
        <v>0.37753121538299877</v>
      </c>
      <c r="N162" s="7">
        <v>27.412668161557981</v>
      </c>
      <c r="O162" s="7">
        <v>0.45845974440518211</v>
      </c>
      <c r="P162" s="7">
        <v>2.343024711355699</v>
      </c>
      <c r="Q162" s="109">
        <v>0.15071287840359451</v>
      </c>
      <c r="R162" s="109">
        <v>-8.4943646926573524E-2</v>
      </c>
      <c r="S162" s="109">
        <v>2.2665759100898408E-2</v>
      </c>
      <c r="U162" s="134">
        <f>C162*S162</f>
        <v>0.42601719742092953</v>
      </c>
      <c r="V162" s="134">
        <f>(1+S162)*Q162*(1-U162)+S162</f>
        <v>0.1111330971954891</v>
      </c>
      <c r="W162" s="134">
        <f>V162+I162/3</f>
        <v>0.10758063094309407</v>
      </c>
      <c r="X162" s="134">
        <f>V162+I162/5</f>
        <v>0.10900161744405208</v>
      </c>
      <c r="Y162" s="134"/>
      <c r="AA162" s="134"/>
    </row>
    <row r="163" spans="1:27">
      <c r="A163" t="s">
        <v>352</v>
      </c>
      <c r="B163" t="s">
        <v>32</v>
      </c>
      <c r="C163" s="195">
        <v>-25.554994720212161</v>
      </c>
      <c r="D163" s="100">
        <v>18.934613503238129</v>
      </c>
      <c r="E163" s="13">
        <v>1.740935919202605</v>
      </c>
      <c r="F163" s="100">
        <v>-15.465372371537031</v>
      </c>
      <c r="G163" s="100">
        <v>-0.39481997390885648</v>
      </c>
      <c r="H163" s="13">
        <v>-2.066083154030923</v>
      </c>
      <c r="I163" s="13">
        <v>-2.4465016747557011</v>
      </c>
      <c r="J163" s="13">
        <v>-3.014452385135832</v>
      </c>
      <c r="K163" s="100">
        <v>-0.81677782168050073</v>
      </c>
      <c r="L163" s="7">
        <v>28.34490778552232</v>
      </c>
      <c r="M163" s="15">
        <v>2.109172907130501</v>
      </c>
      <c r="N163" s="7">
        <v>-15.465372371537031</v>
      </c>
      <c r="O163" s="7">
        <v>-0.39481997390885648</v>
      </c>
      <c r="P163" s="7">
        <v>-0.54561378320786957</v>
      </c>
      <c r="S163" s="109">
        <v>1.3854905338611339E-2</v>
      </c>
      <c r="U163" s="134">
        <f>C163*S163</f>
        <v>-0.35406203277725207</v>
      </c>
      <c r="V163" s="134">
        <f>(1+S163)*R162*(1-U163)+S163</f>
        <v>-0.10275763879339939</v>
      </c>
      <c r="W163" s="134">
        <f>V163+I163/3</f>
        <v>-0.91825819704529976</v>
      </c>
      <c r="X163" s="134">
        <f>V163+I163/5</f>
        <v>-0.59205797374453961</v>
      </c>
      <c r="Y163" s="134"/>
      <c r="AA163" s="134"/>
    </row>
    <row r="164" spans="1:27">
      <c r="B164" t="s">
        <v>34</v>
      </c>
      <c r="C164" s="197">
        <v>2.8327433370716308</v>
      </c>
      <c r="D164" s="100">
        <v>1.829763208695697</v>
      </c>
      <c r="E164" s="13">
        <v>0.35406671520504651</v>
      </c>
      <c r="F164" s="100">
        <v>4.8515436166557553</v>
      </c>
      <c r="G164" s="100">
        <v>0.71266614704001863</v>
      </c>
      <c r="H164" s="13">
        <v>-0.1607967903244126</v>
      </c>
      <c r="I164" s="13">
        <v>5.8092418070252227E-2</v>
      </c>
      <c r="J164" s="13">
        <v>0.27909495236622361</v>
      </c>
      <c r="K164" s="100">
        <v>2.6514598138160519</v>
      </c>
      <c r="L164" s="7">
        <v>2.1716278812903642</v>
      </c>
      <c r="M164" s="15">
        <v>0.23338346511290381</v>
      </c>
      <c r="N164" s="7">
        <v>4.8515436166557553</v>
      </c>
      <c r="O164" s="7">
        <v>0.71266614704001863</v>
      </c>
      <c r="P164" s="7">
        <v>2.234058449172704</v>
      </c>
      <c r="W164" s="134">
        <f>V162+I164/3</f>
        <v>0.13049723655223983</v>
      </c>
      <c r="X164" s="134">
        <f>V162+I164/5</f>
        <v>0.12275158080953955</v>
      </c>
      <c r="Y164" s="134"/>
      <c r="AA164" s="134"/>
    </row>
    <row r="165" spans="1:27">
      <c r="B165" t="s">
        <v>35</v>
      </c>
      <c r="C165" s="197">
        <v>2.170734448724152</v>
      </c>
      <c r="D165" s="100">
        <v>1.5528876816126751</v>
      </c>
      <c r="E165" s="13">
        <v>0.28462567932923172</v>
      </c>
      <c r="F165" s="100">
        <v>5.8669302108768369</v>
      </c>
      <c r="G165" s="100">
        <v>1.7027397175758281</v>
      </c>
      <c r="H165" s="13">
        <v>-3.0100343492548979E-2</v>
      </c>
      <c r="I165" s="13">
        <v>0.28330970734978478</v>
      </c>
      <c r="J165" s="13">
        <v>0.69871942747251392</v>
      </c>
      <c r="K165" s="100">
        <v>3.778077629403322</v>
      </c>
      <c r="L165" s="7">
        <v>1.5528876816126751</v>
      </c>
      <c r="M165" s="15">
        <v>0.28462567932923172</v>
      </c>
      <c r="N165" s="7">
        <v>5.8669302108768369</v>
      </c>
      <c r="O165" s="7">
        <v>1.7027397175758281</v>
      </c>
      <c r="P165" s="7">
        <v>3.778077629403322</v>
      </c>
      <c r="W165" s="134">
        <f>V163+I165/3</f>
        <v>-8.3210696768044601E-3</v>
      </c>
      <c r="X165" s="134">
        <f>V163+I165/5</f>
        <v>-4.6095697323442431E-2</v>
      </c>
      <c r="Y165" s="134"/>
      <c r="AA165" s="134"/>
    </row>
    <row r="166" spans="1:27">
      <c r="C166" s="111"/>
      <c r="D166" s="100"/>
      <c r="F166" s="100"/>
      <c r="G166" s="100"/>
      <c r="K166" s="100"/>
      <c r="L166" s="7"/>
      <c r="N166" s="7"/>
      <c r="O166" s="7"/>
      <c r="P166" s="7"/>
      <c r="AA166" s="134"/>
    </row>
    <row r="167" spans="1:27">
      <c r="A167" t="s">
        <v>353</v>
      </c>
      <c r="B167" t="s">
        <v>30</v>
      </c>
      <c r="C167" s="195">
        <v>25.929883924809729</v>
      </c>
      <c r="D167" s="100">
        <v>18.163477629405119</v>
      </c>
      <c r="E167" s="13">
        <v>0.2995156599206259</v>
      </c>
      <c r="F167" s="100">
        <v>78.497239167784898</v>
      </c>
      <c r="G167" s="100">
        <v>2.0272884905851312</v>
      </c>
      <c r="H167" s="13">
        <v>6.0801505745921469E-2</v>
      </c>
      <c r="I167" s="13">
        <v>0.30447699036044068</v>
      </c>
      <c r="J167" s="13">
        <v>0.67109003190363592</v>
      </c>
      <c r="K167" s="100">
        <v>4.3217075919814274</v>
      </c>
      <c r="L167" s="7">
        <v>18.163477629405119</v>
      </c>
      <c r="M167" s="15">
        <v>0.2995156599206259</v>
      </c>
      <c r="N167" s="7">
        <v>62.057081956094223</v>
      </c>
      <c r="O167" s="7">
        <v>1.3932649346230961</v>
      </c>
      <c r="P167" s="7">
        <v>3.416585921609478</v>
      </c>
      <c r="Q167" s="109">
        <v>9.6145168539601464E-2</v>
      </c>
      <c r="R167" s="109">
        <v>2.5048693546920509E-2</v>
      </c>
      <c r="S167" s="109">
        <v>1.486688774764797E-2</v>
      </c>
      <c r="U167" s="134">
        <f>C167*S167</f>
        <v>0.38549667361968781</v>
      </c>
      <c r="V167" s="134">
        <f>(1+S167)*Q167*(1-U167)+S167</f>
        <v>7.4826772043890835E-2</v>
      </c>
      <c r="W167" s="134">
        <f>V167+I167/3</f>
        <v>0.17631910216403773</v>
      </c>
      <c r="X167" s="134">
        <f>V167+I167/5</f>
        <v>0.13572217011597898</v>
      </c>
      <c r="Y167" s="134"/>
      <c r="AA167" s="134"/>
    </row>
    <row r="168" spans="1:27">
      <c r="A168" t="s">
        <v>354</v>
      </c>
      <c r="B168" t="s">
        <v>32</v>
      </c>
      <c r="C168" s="196">
        <v>75.348929710318387</v>
      </c>
      <c r="D168" s="100">
        <v>18.745093857873911</v>
      </c>
      <c r="E168" s="13">
        <v>0.75122282519552597</v>
      </c>
      <c r="F168" s="100">
        <v>242.72556850251721</v>
      </c>
      <c r="G168" s="100">
        <v>2.221353898929741</v>
      </c>
      <c r="H168" s="13">
        <v>-0.57182929651983638</v>
      </c>
      <c r="I168" s="13">
        <v>-0.4112511707227301</v>
      </c>
      <c r="J168" s="13">
        <v>-0.22884898044096749</v>
      </c>
      <c r="K168" s="100">
        <v>12.94875183570019</v>
      </c>
      <c r="L168" s="7">
        <v>18.745093857873911</v>
      </c>
      <c r="M168" s="15">
        <v>0.75122282519552597</v>
      </c>
      <c r="N168" s="7">
        <v>206.77081936656359</v>
      </c>
      <c r="O168" s="7">
        <v>1.7441772585423749</v>
      </c>
      <c r="P168" s="7">
        <v>11.030663326324669</v>
      </c>
      <c r="S168" s="109">
        <v>1.372678216367143E-2</v>
      </c>
      <c r="U168" s="134">
        <f>C168*S168</f>
        <v>1.0342983443993308</v>
      </c>
      <c r="V168" s="134">
        <f>(1+S168)*R167*(1-U168)+S168</f>
        <v>1.2855860372882964E-2</v>
      </c>
      <c r="W168" s="134">
        <f>V168+I168/3</f>
        <v>-0.12422786320136039</v>
      </c>
      <c r="X168" s="134">
        <f>V168+I168/5</f>
        <v>-6.9394373771663048E-2</v>
      </c>
      <c r="Y168" s="134"/>
      <c r="AA168" s="134"/>
    </row>
    <row r="169" spans="1:27">
      <c r="B169" t="s">
        <v>34</v>
      </c>
      <c r="C169" s="197">
        <v>2.4930330601631341</v>
      </c>
      <c r="D169" s="100">
        <v>1.774009751014253</v>
      </c>
      <c r="E169" s="13">
        <v>0.28841306625184943</v>
      </c>
      <c r="F169" s="100">
        <v>5.9838023330181613</v>
      </c>
      <c r="G169" s="100">
        <v>1.4002097800606801</v>
      </c>
      <c r="H169" s="13">
        <v>-6.3136278335937934E-3</v>
      </c>
      <c r="I169" s="13">
        <v>0.36319723555061167</v>
      </c>
      <c r="J169" s="13">
        <v>0.81888169511262054</v>
      </c>
      <c r="K169" s="100">
        <v>3.3730380171794692</v>
      </c>
      <c r="L169" s="7">
        <v>2.3565530557999459</v>
      </c>
      <c r="M169" s="15">
        <v>5.4744562574816968E-2</v>
      </c>
      <c r="N169" s="7">
        <v>5.9838023330181613</v>
      </c>
      <c r="O169" s="7">
        <v>1.4002097800606801</v>
      </c>
      <c r="P169" s="7">
        <v>2.5392181679469652</v>
      </c>
      <c r="W169" s="134">
        <f>V167+I169/3</f>
        <v>0.19589251722742806</v>
      </c>
      <c r="X169" s="134">
        <f>V167+I169/5</f>
        <v>0.14746621915401317</v>
      </c>
      <c r="Y169" s="134"/>
      <c r="AA169" s="134"/>
    </row>
    <row r="170" spans="1:27">
      <c r="B170" t="s">
        <v>35</v>
      </c>
      <c r="C170" s="195">
        <v>1.8873922494022199</v>
      </c>
      <c r="D170" s="100">
        <v>1.799590794239454</v>
      </c>
      <c r="E170" s="13">
        <v>4.651998289734105E-2</v>
      </c>
      <c r="F170" s="100">
        <v>6.5852097858756187</v>
      </c>
      <c r="G170" s="100">
        <v>2.4890520441425501</v>
      </c>
      <c r="H170" s="13">
        <v>0.17188554163976019</v>
      </c>
      <c r="I170" s="13">
        <v>0.53420139450379089</v>
      </c>
      <c r="J170" s="13">
        <v>1.276250485509836</v>
      </c>
      <c r="K170" s="100">
        <v>3.6592817694750819</v>
      </c>
      <c r="L170" s="7">
        <v>1.799590794239454</v>
      </c>
      <c r="M170" s="15">
        <v>4.651998289734105E-2</v>
      </c>
      <c r="N170" s="7">
        <v>6.0747728625642727</v>
      </c>
      <c r="O170" s="7">
        <v>2.2186064473287379</v>
      </c>
      <c r="P170" s="7">
        <v>3.37564121910926</v>
      </c>
      <c r="W170" s="134">
        <f>V168+I170/3</f>
        <v>0.1909229918741466</v>
      </c>
      <c r="X170" s="134">
        <f>V168+I170/5</f>
        <v>0.11969613927364114</v>
      </c>
      <c r="Y170" s="134"/>
      <c r="AA170" s="134"/>
    </row>
    <row r="171" spans="1:27">
      <c r="C171" s="111"/>
      <c r="D171" s="100"/>
      <c r="F171" s="100"/>
      <c r="G171" s="100"/>
      <c r="K171" s="100"/>
      <c r="L171" s="7"/>
      <c r="N171" s="7"/>
      <c r="O171" s="7"/>
      <c r="P171" s="7"/>
      <c r="AA171" s="134"/>
    </row>
    <row r="172" spans="1:27">
      <c r="A172" t="s">
        <v>355</v>
      </c>
      <c r="B172" t="s">
        <v>30</v>
      </c>
      <c r="C172" s="198">
        <v>79.716758416818919</v>
      </c>
      <c r="D172" s="100">
        <v>32.790643953569827</v>
      </c>
      <c r="E172" s="13">
        <v>0.58866059527764814</v>
      </c>
      <c r="F172" s="100">
        <v>-92.999098697470558</v>
      </c>
      <c r="G172" s="100">
        <v>-2.1666191719839092</v>
      </c>
      <c r="H172" s="13">
        <v>-0.31062009377276301</v>
      </c>
      <c r="I172" s="13">
        <v>-9.5695336324591374E-2</v>
      </c>
      <c r="J172" s="13">
        <v>0.34081393281194772</v>
      </c>
      <c r="K172" s="100">
        <v>-2.8361473726820789</v>
      </c>
      <c r="L172" s="7">
        <v>48.569473242491753</v>
      </c>
      <c r="M172" s="15">
        <v>0.390724432263864</v>
      </c>
      <c r="N172" s="7">
        <v>-92.999098697470558</v>
      </c>
      <c r="O172" s="7">
        <v>-2.1666191719839092</v>
      </c>
      <c r="P172" s="7">
        <v>-1.9147644083590529</v>
      </c>
      <c r="Q172" s="109">
        <v>3.2390775687669709E-2</v>
      </c>
      <c r="R172" s="109">
        <v>1.2556589801049499E-2</v>
      </c>
      <c r="S172" s="109">
        <v>6.6759549114471656E-3</v>
      </c>
      <c r="U172" s="134">
        <f>C172*S172</f>
        <v>0.53218548487740946</v>
      </c>
      <c r="V172" s="134">
        <f>(1+S172)*Q172*(1-U172)+S172</f>
        <v>2.1929989844649785E-2</v>
      </c>
      <c r="W172" s="134">
        <f>V172+I172/3</f>
        <v>-9.968455596880671E-3</v>
      </c>
      <c r="X172" s="134">
        <f>V172+I172/5</f>
        <v>2.7909225797315106E-3</v>
      </c>
      <c r="Y172" s="134"/>
      <c r="AA172" s="134"/>
    </row>
    <row r="173" spans="1:27">
      <c r="A173" t="s">
        <v>356</v>
      </c>
      <c r="B173" t="s">
        <v>32</v>
      </c>
      <c r="C173" s="196">
        <v>200.05293732986701</v>
      </c>
      <c r="D173" s="100">
        <v>26.718431812418139</v>
      </c>
      <c r="E173" s="13">
        <v>0.86644319164200945</v>
      </c>
      <c r="F173" s="100">
        <v>-101.935436876875</v>
      </c>
      <c r="G173" s="100">
        <v>-1.509542315336234</v>
      </c>
      <c r="H173" s="13">
        <v>-0.72021940968369969</v>
      </c>
      <c r="I173" s="13">
        <v>-0.62543317183508074</v>
      </c>
      <c r="J173" s="13">
        <v>-0.38502403908934352</v>
      </c>
      <c r="K173" s="100">
        <v>-3.8151728960940599</v>
      </c>
      <c r="L173" s="7">
        <v>48.774461255907497</v>
      </c>
      <c r="M173" s="15">
        <v>0.75619222638314298</v>
      </c>
      <c r="N173" s="7">
        <v>-101.935436876875</v>
      </c>
      <c r="O173" s="7">
        <v>-1.509542315336234</v>
      </c>
      <c r="P173" s="7">
        <v>-2.08993465539363</v>
      </c>
      <c r="S173" s="109">
        <v>6.9894303612521511E-3</v>
      </c>
      <c r="U173" s="134">
        <f>C173*S173</f>
        <v>1.3982560740310463</v>
      </c>
      <c r="V173" s="134">
        <f>(1+S173)*R172*(1-U173)+S173</f>
        <v>1.953739892762007E-3</v>
      </c>
      <c r="W173" s="134">
        <f>V173+I173/3</f>
        <v>-0.20652398405226491</v>
      </c>
      <c r="X173" s="134">
        <f>V173+I173/5</f>
        <v>-0.12313289447425413</v>
      </c>
      <c r="Y173" s="134"/>
      <c r="AA173" s="134"/>
    </row>
    <row r="174" spans="1:27">
      <c r="B174" t="s">
        <v>34</v>
      </c>
      <c r="C174" s="195">
        <v>2.5820876404273378</v>
      </c>
      <c r="D174" s="100">
        <v>1.868371958477</v>
      </c>
      <c r="E174" s="13">
        <v>0.27641032425693252</v>
      </c>
      <c r="F174" s="100">
        <v>14.25789529935674</v>
      </c>
      <c r="G174" s="100">
        <v>4.5218479327049659</v>
      </c>
      <c r="H174" s="13">
        <v>0.22577700741657011</v>
      </c>
      <c r="I174" s="13">
        <v>0.76680101101187303</v>
      </c>
      <c r="J174" s="13">
        <v>1.5277032502194281</v>
      </c>
      <c r="K174" s="100">
        <v>7.6311867316714803</v>
      </c>
      <c r="L174" s="7">
        <v>1.868371958477</v>
      </c>
      <c r="M174" s="15">
        <v>0.27641032425693252</v>
      </c>
      <c r="N174" s="7">
        <v>12.807630049640601</v>
      </c>
      <c r="O174" s="7">
        <v>3.960184096431723</v>
      </c>
      <c r="P174" s="7">
        <v>6.854968033282149</v>
      </c>
      <c r="W174" s="134">
        <f>V172+I174/3</f>
        <v>0.27753032684860746</v>
      </c>
      <c r="X174" s="134">
        <f>V172+I174/5</f>
        <v>0.1752901920470244</v>
      </c>
      <c r="Y174" s="134"/>
      <c r="AA174" s="134"/>
    </row>
    <row r="175" spans="1:27">
      <c r="B175" t="s">
        <v>35</v>
      </c>
      <c r="C175" s="195">
        <v>2.511982672546202</v>
      </c>
      <c r="D175" s="100">
        <v>1.9349282397905849</v>
      </c>
      <c r="E175" s="13">
        <v>0.22972070590387561</v>
      </c>
      <c r="F175" s="100">
        <v>14.079375324589069</v>
      </c>
      <c r="G175" s="100">
        <v>4.6048855266656341</v>
      </c>
      <c r="H175" s="13">
        <v>0.13206295225274209</v>
      </c>
      <c r="I175" s="13">
        <v>0.74013409604975511</v>
      </c>
      <c r="J175" s="13">
        <v>1.4726798054938559</v>
      </c>
      <c r="K175" s="100">
        <v>7.2764328077163549</v>
      </c>
      <c r="L175" s="7">
        <v>1.9349282397905849</v>
      </c>
      <c r="M175" s="15">
        <v>0.22972070590387561</v>
      </c>
      <c r="N175" s="7">
        <v>11.378617512397479</v>
      </c>
      <c r="O175" s="7">
        <v>3.52973566926075</v>
      </c>
      <c r="P175" s="7">
        <v>5.8806405728147197</v>
      </c>
      <c r="W175" s="134">
        <f>V173+I175/3</f>
        <v>0.24866510524268037</v>
      </c>
      <c r="X175" s="134">
        <f>V173+I175/5</f>
        <v>0.14998055910271305</v>
      </c>
      <c r="Y175" s="134"/>
      <c r="AA175" s="134"/>
    </row>
    <row r="176" spans="1:27">
      <c r="C176" s="111"/>
      <c r="D176" s="100"/>
      <c r="F176" s="100"/>
      <c r="G176" s="100"/>
      <c r="K176" s="100"/>
      <c r="L176" s="7"/>
      <c r="N176" s="7"/>
      <c r="O176" s="7"/>
      <c r="P176" s="7"/>
      <c r="AA176" s="134"/>
    </row>
    <row r="177" spans="1:27">
      <c r="A177" t="s">
        <v>357</v>
      </c>
      <c r="B177" t="s">
        <v>30</v>
      </c>
      <c r="C177" s="195">
        <v>-178.63292205871269</v>
      </c>
      <c r="D177" s="100">
        <v>15.244173291757861</v>
      </c>
      <c r="E177" s="13">
        <v>1.085337983144828</v>
      </c>
      <c r="F177" s="100">
        <v>-169.6881752229105</v>
      </c>
      <c r="G177" s="100">
        <v>-5.0073338848828142E-2</v>
      </c>
      <c r="H177" s="13">
        <v>-1.1163076011068771</v>
      </c>
      <c r="I177" s="13">
        <v>-1.169298603395351</v>
      </c>
      <c r="J177" s="13">
        <v>-1.2487202957460211</v>
      </c>
      <c r="K177" s="100">
        <v>-11.13134651353357</v>
      </c>
      <c r="L177" s="7">
        <v>19.82559355950098</v>
      </c>
      <c r="M177" s="15">
        <v>1.1109851047109041</v>
      </c>
      <c r="N177" s="7">
        <v>-169.6881752229105</v>
      </c>
      <c r="O177" s="7">
        <v>-5.0073338848828142E-2</v>
      </c>
      <c r="P177" s="7">
        <v>-8.5590464019974402</v>
      </c>
      <c r="Q177" s="109">
        <v>-9.6027805584275507E-3</v>
      </c>
      <c r="R177" s="109">
        <v>-0.13129398842582399</v>
      </c>
      <c r="S177" s="109">
        <v>2.5335315672855331E-2</v>
      </c>
      <c r="U177" s="134">
        <f>C177*S177</f>
        <v>-4.5257214699220487</v>
      </c>
      <c r="V177" s="134">
        <f>(1+S177)*Q177*(1-U177)+S177</f>
        <v>-2.9071324915074359E-2</v>
      </c>
      <c r="W177" s="134">
        <f>V177+I177/3</f>
        <v>-0.41883752604685803</v>
      </c>
      <c r="X177" s="134">
        <f>V177+I177/5</f>
        <v>-0.26293104559414454</v>
      </c>
      <c r="Y177" s="134"/>
      <c r="AA177" s="134"/>
    </row>
    <row r="178" spans="1:27">
      <c r="A178" t="s">
        <v>358</v>
      </c>
      <c r="B178" t="s">
        <v>32</v>
      </c>
      <c r="C178" s="195">
        <v>-11.360997339675141</v>
      </c>
      <c r="D178" s="100">
        <v>19.06352408203189</v>
      </c>
      <c r="E178" s="13">
        <v>2.6779798033626681</v>
      </c>
      <c r="F178" s="100">
        <v>-11.26846969841462</v>
      </c>
      <c r="G178" s="100">
        <v>-8.1443238207079549E-3</v>
      </c>
      <c r="H178" s="13">
        <v>-3.2660408669807302</v>
      </c>
      <c r="I178" s="13">
        <v>-4.4949068270320947</v>
      </c>
      <c r="J178" s="13">
        <v>-7.0159116545261204</v>
      </c>
      <c r="K178" s="100">
        <v>-0.59110108130718553</v>
      </c>
      <c r="L178" s="7">
        <v>25.51560798071495</v>
      </c>
      <c r="M178" s="15">
        <v>3.245895075743813</v>
      </c>
      <c r="N178" s="7">
        <v>-11.26846969841462</v>
      </c>
      <c r="O178" s="7">
        <v>-8.1443238207079549E-3</v>
      </c>
      <c r="P178" s="7">
        <v>-0.44163046034143039</v>
      </c>
      <c r="S178" s="109">
        <v>1.9512093682339141E-2</v>
      </c>
      <c r="U178" s="134">
        <f>C178*S178</f>
        <v>-0.22167684441654711</v>
      </c>
      <c r="V178" s="134">
        <f>(1+S178)*R177*(1-U178)+S178</f>
        <v>-0.14401644869771002</v>
      </c>
      <c r="W178" s="134">
        <f>V178+I178/3</f>
        <v>-1.642318724375075</v>
      </c>
      <c r="X178" s="134">
        <f>V178+I178/5</f>
        <v>-1.042997814104129</v>
      </c>
      <c r="Y178" s="134"/>
      <c r="AA178" s="134"/>
    </row>
    <row r="179" spans="1:27">
      <c r="B179" t="s">
        <v>34</v>
      </c>
      <c r="C179" s="195">
        <v>1.7153727510405099</v>
      </c>
      <c r="D179" s="100">
        <v>1.6412807115752119</v>
      </c>
      <c r="E179" s="13">
        <v>4.3192967487885918E-2</v>
      </c>
      <c r="F179" s="100">
        <v>6.8295333743684186</v>
      </c>
      <c r="G179" s="100">
        <v>2.981369862746019</v>
      </c>
      <c r="H179" s="13">
        <v>0.169259454364342</v>
      </c>
      <c r="I179" s="13">
        <v>0.66043319256771138</v>
      </c>
      <c r="J179" s="13">
        <v>1.2645993680834779</v>
      </c>
      <c r="K179" s="100">
        <v>4.1611001251661586</v>
      </c>
      <c r="L179" s="7">
        <v>1.6412807115752119</v>
      </c>
      <c r="M179" s="15">
        <v>4.3192967487885918E-2</v>
      </c>
      <c r="N179" s="7">
        <v>6.8295333743684186</v>
      </c>
      <c r="O179" s="7">
        <v>2.981369862746019</v>
      </c>
      <c r="P179" s="7">
        <v>4.1611001251661586</v>
      </c>
      <c r="W179" s="134">
        <f>V177+I179/3</f>
        <v>0.19107307260749609</v>
      </c>
      <c r="X179" s="134">
        <f>V177+I179/5</f>
        <v>0.10301531359846791</v>
      </c>
      <c r="Y179" s="134"/>
      <c r="AA179" s="134"/>
    </row>
    <row r="180" spans="1:27">
      <c r="B180" t="s">
        <v>35</v>
      </c>
      <c r="C180" s="195">
        <v>1.491630653221125</v>
      </c>
      <c r="D180" s="100">
        <v>1.4471379158087461</v>
      </c>
      <c r="E180" s="13">
        <v>2.9828253607083081E-2</v>
      </c>
      <c r="F180" s="100">
        <v>6.4308063461435694</v>
      </c>
      <c r="G180" s="100">
        <v>3.311259179513685</v>
      </c>
      <c r="H180" s="13">
        <v>0.32582460355801951</v>
      </c>
      <c r="I180" s="13">
        <v>0.82411447558285444</v>
      </c>
      <c r="J180" s="13">
        <v>1.582953377824696</v>
      </c>
      <c r="K180" s="100">
        <v>4.4438102795127552</v>
      </c>
      <c r="L180" s="7">
        <v>1.4471379158087461</v>
      </c>
      <c r="M180" s="15">
        <v>2.9828253607083081E-2</v>
      </c>
      <c r="N180" s="7">
        <v>6.4308063461435694</v>
      </c>
      <c r="O180" s="7">
        <v>3.311259179513685</v>
      </c>
      <c r="P180" s="7">
        <v>4.4438102795127552</v>
      </c>
      <c r="W180" s="134">
        <f>V178+I180/3</f>
        <v>0.13068837649657478</v>
      </c>
      <c r="X180" s="134">
        <f>V178+I180/5</f>
        <v>2.0806446418860869E-2</v>
      </c>
      <c r="Y180" s="134"/>
      <c r="AA180" s="134"/>
    </row>
    <row r="181" spans="1:27">
      <c r="C181" s="111"/>
      <c r="D181" s="100"/>
      <c r="F181" s="100"/>
      <c r="G181" s="100"/>
      <c r="K181" s="100"/>
      <c r="L181" s="7"/>
      <c r="N181" s="7"/>
      <c r="O181" s="7"/>
      <c r="P181" s="7"/>
      <c r="AA181" s="134"/>
    </row>
    <row r="182" spans="1:27">
      <c r="A182" s="184" t="s">
        <v>359</v>
      </c>
      <c r="B182" t="s">
        <v>30</v>
      </c>
      <c r="C182" s="197">
        <v>35.174871834598363</v>
      </c>
      <c r="D182" s="100">
        <v>17.65116162388081</v>
      </c>
      <c r="E182" s="13">
        <v>0.49818831730556729</v>
      </c>
      <c r="F182" s="100">
        <v>113.1221313662176</v>
      </c>
      <c r="G182" s="100">
        <v>2.2159927091745502</v>
      </c>
      <c r="H182" s="13">
        <v>-0.1266841612685318</v>
      </c>
      <c r="I182" s="13">
        <v>0.14532826719599609</v>
      </c>
      <c r="J182" s="13">
        <v>0.64575373979752237</v>
      </c>
      <c r="K182" s="100">
        <v>6.4087641242359421</v>
      </c>
      <c r="L182" s="7">
        <v>17.65116162388081</v>
      </c>
      <c r="M182" s="15">
        <v>0.49818831730556729</v>
      </c>
      <c r="N182" s="7">
        <v>106.8726609390505</v>
      </c>
      <c r="O182" s="7">
        <v>2.0383241036838542</v>
      </c>
      <c r="P182" s="7">
        <v>6.0547097815057764</v>
      </c>
      <c r="Q182" s="109">
        <v>4.8972479508720759E-2</v>
      </c>
      <c r="R182" s="109">
        <v>4.3199174328331327E-2</v>
      </c>
      <c r="S182" s="109">
        <v>2.2490281848533682E-2</v>
      </c>
      <c r="U182" s="134">
        <f>C182*S182</f>
        <v>0.79109278154616625</v>
      </c>
      <c r="V182" s="134">
        <f>(1+S182)*Q182*(1-U182)+S182</f>
        <v>3.2951077750638685E-2</v>
      </c>
      <c r="W182" s="134">
        <f>V182+I182/3</f>
        <v>8.1393833482637373E-2</v>
      </c>
      <c r="X182" s="134">
        <f>V182+I182/5</f>
        <v>6.2016731189837901E-2</v>
      </c>
      <c r="Y182" s="134"/>
      <c r="AA182" s="134"/>
    </row>
    <row r="183" spans="1:27">
      <c r="A183" t="s">
        <v>360</v>
      </c>
      <c r="B183" t="s">
        <v>32</v>
      </c>
      <c r="C183" s="197">
        <v>37.998777201160372</v>
      </c>
      <c r="D183" s="100">
        <v>22.26736641744543</v>
      </c>
      <c r="E183" s="13">
        <v>0.41399781630958749</v>
      </c>
      <c r="F183" s="100">
        <v>758.82645025424085</v>
      </c>
      <c r="G183" s="100">
        <v>18.969759717190811</v>
      </c>
      <c r="H183" s="13">
        <v>-8.4415963249980797E-3</v>
      </c>
      <c r="I183" s="13">
        <v>0.81064558599916059</v>
      </c>
      <c r="J183" s="13">
        <v>1.371677315989551</v>
      </c>
      <c r="K183" s="100">
        <v>34.077961265313171</v>
      </c>
      <c r="L183" s="7">
        <v>22.26736641744543</v>
      </c>
      <c r="M183" s="15">
        <v>0.41399781630958749</v>
      </c>
      <c r="N183" s="7">
        <v>758.82645025424085</v>
      </c>
      <c r="O183" s="7">
        <v>18.969759717190811</v>
      </c>
      <c r="P183" s="7">
        <v>34.077961265313171</v>
      </c>
      <c r="S183" s="109">
        <v>2.0190501573159981E-2</v>
      </c>
      <c r="U183" s="134">
        <f>C183*S183</f>
        <v>0.76721437085818411</v>
      </c>
      <c r="V183" s="134">
        <f>(1+S183)*R182*(1-U183)+S183</f>
        <v>3.0449687198894682E-2</v>
      </c>
      <c r="W183" s="134">
        <f>V183+I183/3</f>
        <v>0.30066488253194823</v>
      </c>
      <c r="X183" s="134">
        <f>V183+I183/5</f>
        <v>0.19257880439872679</v>
      </c>
      <c r="Y183" s="134"/>
      <c r="AA183" s="134"/>
    </row>
    <row r="184" spans="1:27">
      <c r="B184" t="s">
        <v>34</v>
      </c>
      <c r="C184" s="195">
        <v>1.722600690141747</v>
      </c>
      <c r="D184" s="100">
        <v>1.501330350665073</v>
      </c>
      <c r="E184" s="13">
        <v>0.12845132406075291</v>
      </c>
      <c r="F184" s="100">
        <v>6.0099380429709699</v>
      </c>
      <c r="G184" s="100">
        <v>2.4888747446608952</v>
      </c>
      <c r="H184" s="13">
        <v>0.1146504524026266</v>
      </c>
      <c r="I184" s="13">
        <v>0.41562987223557868</v>
      </c>
      <c r="J184" s="13">
        <v>0.93377274821638334</v>
      </c>
      <c r="K184" s="100">
        <v>4.003075032959023</v>
      </c>
      <c r="L184" s="7">
        <v>1.501330350665073</v>
      </c>
      <c r="M184" s="15">
        <v>0.12845132406075291</v>
      </c>
      <c r="N184" s="7">
        <v>6.0099380429709699</v>
      </c>
      <c r="O184" s="7">
        <v>2.4888747446608952</v>
      </c>
      <c r="P184" s="7">
        <v>4.003075032959023</v>
      </c>
      <c r="W184" s="134">
        <f>V182+I184/3</f>
        <v>0.17149436849583158</v>
      </c>
      <c r="X184" s="134">
        <f>V182+I184/5</f>
        <v>0.11607705219775442</v>
      </c>
      <c r="Y184" s="134"/>
      <c r="AA184" s="134"/>
    </row>
    <row r="185" spans="1:27">
      <c r="B185" t="s">
        <v>35</v>
      </c>
      <c r="C185" s="195">
        <v>1.641515800576349</v>
      </c>
      <c r="D185" s="100">
        <v>1.5036995813780289</v>
      </c>
      <c r="E185" s="13">
        <v>8.3956681470828354E-2</v>
      </c>
      <c r="F185" s="100">
        <v>6.0063952481218674</v>
      </c>
      <c r="G185" s="100">
        <v>2.659054177859864</v>
      </c>
      <c r="H185" s="13">
        <v>0.2047609682507314</v>
      </c>
      <c r="I185" s="13">
        <v>0.58676559345242052</v>
      </c>
      <c r="J185" s="13">
        <v>1.1638374180203479</v>
      </c>
      <c r="K185" s="100">
        <v>3.9944117312431882</v>
      </c>
      <c r="L185" s="7">
        <v>1.5036995813780289</v>
      </c>
      <c r="M185" s="15">
        <v>8.3956681470828354E-2</v>
      </c>
      <c r="N185" s="7">
        <v>6.0063952481218674</v>
      </c>
      <c r="O185" s="7">
        <v>2.659054177859864</v>
      </c>
      <c r="P185" s="7">
        <v>3.9944117312431882</v>
      </c>
      <c r="W185" s="134">
        <f>V183+I185/3</f>
        <v>0.22603821834970153</v>
      </c>
      <c r="X185" s="134">
        <f>V183+I185/5</f>
        <v>0.14780280588937877</v>
      </c>
      <c r="Y185" s="134"/>
      <c r="AA185" s="134"/>
    </row>
    <row r="186" spans="1:27">
      <c r="C186" s="111"/>
      <c r="D186" s="100"/>
      <c r="F186" s="100"/>
      <c r="G186" s="100"/>
      <c r="K186" s="100"/>
      <c r="L186" s="7"/>
      <c r="N186" s="7"/>
      <c r="O186" s="7"/>
      <c r="P186" s="7"/>
      <c r="AA186" s="134"/>
    </row>
    <row r="187" spans="1:27">
      <c r="A187" t="s">
        <v>361</v>
      </c>
      <c r="B187" t="s">
        <v>30</v>
      </c>
      <c r="C187" s="195">
        <v>16.806641515899141</v>
      </c>
      <c r="D187" s="100">
        <v>15.44757659528975</v>
      </c>
      <c r="E187" s="13">
        <v>8.0864753337168249E-2</v>
      </c>
      <c r="F187" s="100">
        <v>407.22506214512799</v>
      </c>
      <c r="G187" s="100">
        <v>23.230008223825781</v>
      </c>
      <c r="H187" s="13">
        <v>0.34589761146697229</v>
      </c>
      <c r="I187" s="13">
        <v>0.64461564277863581</v>
      </c>
      <c r="J187" s="13">
        <v>1.505903851182419</v>
      </c>
      <c r="K187" s="100">
        <v>26.361744163113489</v>
      </c>
      <c r="L187" s="7">
        <v>15.44757659528975</v>
      </c>
      <c r="M187" s="15">
        <v>8.0864753337168249E-2</v>
      </c>
      <c r="N187" s="7">
        <v>65.539806108952973</v>
      </c>
      <c r="O187" s="7">
        <v>2.8996372979665259</v>
      </c>
      <c r="P187" s="7">
        <v>4.2427241389395203</v>
      </c>
      <c r="Q187" s="109">
        <v>0.13664190448126609</v>
      </c>
      <c r="R187" s="109">
        <v>6.5434811904748494E-2</v>
      </c>
      <c r="S187" s="109">
        <v>1.384464995423421E-2</v>
      </c>
      <c r="U187" s="134">
        <f>C187*S187</f>
        <v>0.2326820686939238</v>
      </c>
      <c r="V187" s="134">
        <f>(1+S187)*Q187*(1-U187)+S187</f>
        <v>0.1201440142912283</v>
      </c>
      <c r="W187" s="134">
        <f>V187+I187/3</f>
        <v>0.33501589521744024</v>
      </c>
      <c r="X187" s="134">
        <f>V187+I187/5</f>
        <v>0.24906714284695547</v>
      </c>
      <c r="Y187" s="134"/>
      <c r="AA187" s="134"/>
    </row>
    <row r="188" spans="1:27">
      <c r="A188" t="s">
        <v>362</v>
      </c>
      <c r="B188" t="s">
        <v>32</v>
      </c>
      <c r="C188" s="195">
        <v>29.239899351417701</v>
      </c>
      <c r="D188" s="100">
        <v>16.438293352203679</v>
      </c>
      <c r="E188" s="13">
        <v>0.43781292970125552</v>
      </c>
      <c r="F188" s="100">
        <v>-13.11071648390247</v>
      </c>
      <c r="G188" s="100">
        <v>-1.448384460094484</v>
      </c>
      <c r="H188" s="13">
        <v>0.33322999373294809</v>
      </c>
      <c r="I188" s="13">
        <v>1.0003238251214099</v>
      </c>
      <c r="J188" s="13">
        <v>2.452293072185098</v>
      </c>
      <c r="K188" s="100">
        <v>-0.79757163368452022</v>
      </c>
      <c r="L188" s="7">
        <v>25.03799257311822</v>
      </c>
      <c r="M188" s="15">
        <v>0.14370455683855651</v>
      </c>
      <c r="N188" s="7">
        <v>200.18245531645869</v>
      </c>
      <c r="O188" s="7">
        <v>5.8462087680460089</v>
      </c>
      <c r="P188" s="7">
        <v>7.995147962915464</v>
      </c>
      <c r="S188" s="109">
        <v>9.462885301972904E-3</v>
      </c>
      <c r="U188" s="134">
        <f>C188*S188</f>
        <v>0.27669381380369762</v>
      </c>
      <c r="V188" s="134">
        <f>(1+S188)*R187*(1-U188)+S188</f>
        <v>5.7240162269033966E-2</v>
      </c>
      <c r="W188" s="134">
        <f>V188+I188/3</f>
        <v>0.39068143730950394</v>
      </c>
      <c r="X188" s="134">
        <f>V188+I188/5</f>
        <v>0.25730492729331594</v>
      </c>
      <c r="Y188" s="134"/>
      <c r="AA188" s="134"/>
    </row>
    <row r="189" spans="1:27">
      <c r="B189" t="s">
        <v>34</v>
      </c>
      <c r="C189" s="195">
        <v>2.2964915046663719</v>
      </c>
      <c r="D189" s="100">
        <v>2.0677403604743798</v>
      </c>
      <c r="E189" s="13">
        <v>9.9608965993203125E-2</v>
      </c>
      <c r="F189" s="100">
        <v>6.3629745590877533</v>
      </c>
      <c r="G189" s="100">
        <v>1.7707372512192889</v>
      </c>
      <c r="H189" s="13">
        <v>0.19218027866073831</v>
      </c>
      <c r="I189" s="13">
        <v>0.35016323494061502</v>
      </c>
      <c r="J189" s="13">
        <v>0.68547561693285086</v>
      </c>
      <c r="K189" s="100">
        <v>3.0772599310427751</v>
      </c>
      <c r="L189" s="7">
        <v>2.0677403604743798</v>
      </c>
      <c r="M189" s="15">
        <v>9.9608965993203125E-2</v>
      </c>
      <c r="N189" s="7">
        <v>6.3629745590877533</v>
      </c>
      <c r="O189" s="7">
        <v>1.7707372512192889</v>
      </c>
      <c r="P189" s="7">
        <v>3.0772599310427751</v>
      </c>
      <c r="W189" s="134">
        <f>V187+I189/3</f>
        <v>0.23686509260476662</v>
      </c>
      <c r="X189" s="134">
        <f>V187+I189/5</f>
        <v>0.19017666127935129</v>
      </c>
      <c r="Y189" s="134"/>
      <c r="AA189" s="134"/>
    </row>
    <row r="190" spans="1:27">
      <c r="B190" t="s">
        <v>35</v>
      </c>
      <c r="C190" s="195">
        <v>1.9133073141737951</v>
      </c>
      <c r="D190" s="100">
        <v>1.690082291693221</v>
      </c>
      <c r="E190" s="13">
        <v>0.11666971679192439</v>
      </c>
      <c r="F190" s="100">
        <v>11.99340847954409</v>
      </c>
      <c r="G190" s="100">
        <v>5.2684172013020749</v>
      </c>
      <c r="H190" s="13">
        <v>0.44532762233869572</v>
      </c>
      <c r="I190" s="13">
        <v>0.82738628605676268</v>
      </c>
      <c r="J190" s="13">
        <v>1.439130516118641</v>
      </c>
      <c r="K190" s="100">
        <v>7.0963458634481098</v>
      </c>
      <c r="L190" s="7">
        <v>1.690082291693221</v>
      </c>
      <c r="M190" s="15">
        <v>0.11666971679192439</v>
      </c>
      <c r="N190" s="7">
        <v>7.5059864873869362</v>
      </c>
      <c r="O190" s="7">
        <v>2.9230428022631458</v>
      </c>
      <c r="P190" s="7">
        <v>4.441195866188866</v>
      </c>
      <c r="W190" s="134">
        <f>V188+I190/3</f>
        <v>0.33303559095462149</v>
      </c>
      <c r="X190" s="134">
        <f>V188+I190/5</f>
        <v>0.22271741948038651</v>
      </c>
      <c r="Y190" s="134"/>
      <c r="AA190" s="134"/>
    </row>
    <row r="191" spans="1:27">
      <c r="C191" s="111"/>
      <c r="D191" s="100"/>
      <c r="F191" s="100"/>
      <c r="G191" s="100"/>
      <c r="K191" s="100"/>
      <c r="L191" s="7"/>
      <c r="N191" s="7"/>
      <c r="O191" s="7"/>
      <c r="P191" s="7"/>
      <c r="AA191" s="134"/>
    </row>
    <row r="192" spans="1:27">
      <c r="A192" s="34" t="s">
        <v>248</v>
      </c>
      <c r="B192" t="s">
        <v>30</v>
      </c>
      <c r="C192" s="196">
        <v>1252.759176583048</v>
      </c>
      <c r="D192" s="100">
        <v>28.00294299593865</v>
      </c>
      <c r="E192" s="13">
        <v>0.97764698633274605</v>
      </c>
      <c r="F192" s="100">
        <v>-71.039233326104011</v>
      </c>
      <c r="G192" s="100">
        <v>-1.0567062166887231</v>
      </c>
      <c r="H192" s="13">
        <v>-0.94784940187161548</v>
      </c>
      <c r="I192" s="13">
        <v>-0.90315292369813005</v>
      </c>
      <c r="J192" s="13">
        <v>-0.63739843542553887</v>
      </c>
      <c r="K192" s="100">
        <v>-2.5368488353673051</v>
      </c>
      <c r="L192" s="7">
        <v>28.00294299593865</v>
      </c>
      <c r="M192" s="15">
        <v>0.97764698633274605</v>
      </c>
      <c r="N192" s="7">
        <v>-632.90338745788245</v>
      </c>
      <c r="O192" s="7">
        <v>-1.505207544505204</v>
      </c>
      <c r="P192" s="7">
        <v>-22.60131685264917</v>
      </c>
      <c r="Q192" s="109">
        <v>2.6681011036841329E-3</v>
      </c>
      <c r="R192" s="109">
        <v>-3.1516320863016922E-2</v>
      </c>
      <c r="S192" s="109">
        <v>4.95330218050533E-3</v>
      </c>
      <c r="U192" s="134">
        <f>C192*S192</f>
        <v>6.2052947610168729</v>
      </c>
      <c r="V192" s="134">
        <f>(1+S192)*Q192*(1-U192)+S192</f>
        <v>-9.0037432287318406E-3</v>
      </c>
      <c r="W192" s="134">
        <f>V192+I192/3</f>
        <v>-0.31005471779477517</v>
      </c>
      <c r="X192" s="134">
        <f>V192+I192/5</f>
        <v>-0.18963432796835786</v>
      </c>
      <c r="Y192" s="134"/>
      <c r="AA192" s="37"/>
    </row>
    <row r="193" spans="1:27">
      <c r="A193" t="s">
        <v>363</v>
      </c>
      <c r="B193" t="s">
        <v>32</v>
      </c>
      <c r="C193" s="195">
        <v>-85.249590895880559</v>
      </c>
      <c r="D193" s="100">
        <v>29.373770607508511</v>
      </c>
      <c r="E193" s="13">
        <v>1.34456201254249</v>
      </c>
      <c r="F193" s="100">
        <v>-71.039235573062612</v>
      </c>
      <c r="G193" s="100">
        <v>-0.16669118494860269</v>
      </c>
      <c r="H193" s="13">
        <v>-1.897977858031465</v>
      </c>
      <c r="I193" s="13">
        <v>-2.6973602618332082</v>
      </c>
      <c r="J193" s="13">
        <v>-6.5971178098326684</v>
      </c>
      <c r="K193" s="100">
        <v>-2.4184581721661429</v>
      </c>
      <c r="L193" s="7">
        <v>29.373770607508511</v>
      </c>
      <c r="M193" s="15">
        <v>1.34456201254249</v>
      </c>
      <c r="N193" s="7">
        <v>-78.733232451490807</v>
      </c>
      <c r="O193" s="7">
        <v>-7.6438589040837668E-2</v>
      </c>
      <c r="P193" s="7">
        <v>-2.6803924325386079</v>
      </c>
      <c r="S193" s="109">
        <v>3.6758449008919771E-3</v>
      </c>
      <c r="U193" s="134">
        <f>C193*S193</f>
        <v>-0.31336427399774969</v>
      </c>
      <c r="V193" s="134">
        <f>(1+S193)*R192*(1-U193)+S193</f>
        <v>-3.7868717047198207E-2</v>
      </c>
      <c r="W193" s="134">
        <f>V193+I193/3</f>
        <v>-0.93698880432493425</v>
      </c>
      <c r="X193" s="134">
        <f>V193+I193/5</f>
        <v>-0.57734076941383983</v>
      </c>
      <c r="Y193" s="134"/>
      <c r="AA193" s="134"/>
    </row>
    <row r="194" spans="1:27">
      <c r="B194" t="s">
        <v>34</v>
      </c>
      <c r="C194" s="197">
        <v>3.3424881416916561</v>
      </c>
      <c r="D194" s="100">
        <v>1.948655386889008</v>
      </c>
      <c r="E194" s="13">
        <v>0.4170045474259243</v>
      </c>
      <c r="F194" s="100">
        <v>13.40298982971871</v>
      </c>
      <c r="G194" s="100">
        <v>3.0098840329573662</v>
      </c>
      <c r="H194" s="13">
        <v>-0.10032189771027759</v>
      </c>
      <c r="I194" s="13">
        <v>0.3326703575228509</v>
      </c>
      <c r="J194" s="13">
        <v>0.77148073544686713</v>
      </c>
      <c r="K194" s="100">
        <v>6.8780708584478507</v>
      </c>
      <c r="L194" s="7">
        <v>2.3506744783756779</v>
      </c>
      <c r="M194" s="15">
        <v>0.29672914944554268</v>
      </c>
      <c r="N194" s="7">
        <v>13.40298982971871</v>
      </c>
      <c r="O194" s="7">
        <v>3.0098840329573662</v>
      </c>
      <c r="P194" s="7">
        <v>5.7017634525815799</v>
      </c>
      <c r="W194" s="134">
        <f>V192+I194/3</f>
        <v>0.1018863759455518</v>
      </c>
      <c r="X194" s="134">
        <f>V192+I194/5</f>
        <v>5.7530328275838337E-2</v>
      </c>
      <c r="Y194" s="134"/>
      <c r="AA194" s="134"/>
    </row>
    <row r="195" spans="1:27">
      <c r="B195" t="s">
        <v>35</v>
      </c>
      <c r="C195" s="195">
        <v>2.6867534601154972</v>
      </c>
      <c r="D195" s="100">
        <v>2.1260173601705969</v>
      </c>
      <c r="E195" s="13">
        <v>0.20870396494094209</v>
      </c>
      <c r="F195" s="100">
        <v>12.31100870787423</v>
      </c>
      <c r="G195" s="100">
        <v>3.5821132793274648</v>
      </c>
      <c r="H195" s="13">
        <v>0.1192554248505253</v>
      </c>
      <c r="I195" s="13">
        <v>0.74012170501820451</v>
      </c>
      <c r="J195" s="13">
        <v>1.5685991113663671</v>
      </c>
      <c r="K195" s="100">
        <v>5.7906435471845663</v>
      </c>
      <c r="L195" s="7">
        <v>2.413676064959565</v>
      </c>
      <c r="M195" s="15">
        <v>0.1016384269006184</v>
      </c>
      <c r="N195" s="7">
        <v>12.31100870787423</v>
      </c>
      <c r="O195" s="7">
        <v>3.5821132793274648</v>
      </c>
      <c r="P195" s="7">
        <v>5.1005223470534258</v>
      </c>
      <c r="W195" s="134">
        <f>V193+I195/3</f>
        <v>0.20883851795886996</v>
      </c>
      <c r="X195" s="134">
        <f>V193+I195/5</f>
        <v>0.11015562395644268</v>
      </c>
      <c r="Y195" s="134"/>
      <c r="AA195" s="134"/>
    </row>
    <row r="196" spans="1:27">
      <c r="C196" s="111"/>
      <c r="D196" s="100"/>
      <c r="F196" s="100"/>
      <c r="G196" s="100"/>
      <c r="K196" s="100"/>
      <c r="L196" s="7"/>
      <c r="N196" s="7"/>
      <c r="O196" s="7"/>
      <c r="P196" s="7"/>
      <c r="AA196" s="134"/>
    </row>
    <row r="197" spans="1:27">
      <c r="A197" t="s">
        <v>364</v>
      </c>
      <c r="B197" t="s">
        <v>30</v>
      </c>
      <c r="C197" s="195">
        <v>-170.93855096741319</v>
      </c>
      <c r="D197" s="100">
        <v>18.479202334008288</v>
      </c>
      <c r="E197" s="13">
        <v>1.108104358141722</v>
      </c>
      <c r="F197" s="100">
        <v>-77.090752792987985</v>
      </c>
      <c r="G197" s="100">
        <v>-0.54901482224636289</v>
      </c>
      <c r="H197" s="13">
        <v>-1.1717610573805819</v>
      </c>
      <c r="I197" s="13">
        <v>-1.2348088528223149</v>
      </c>
      <c r="J197" s="13">
        <v>-1.3373215306092709</v>
      </c>
      <c r="K197" s="100">
        <v>-4.1717576007657886</v>
      </c>
      <c r="L197" s="7">
        <v>18.479202334008288</v>
      </c>
      <c r="M197" s="15">
        <v>1.108104358141722</v>
      </c>
      <c r="N197" s="7">
        <v>-77.090752792987985</v>
      </c>
      <c r="O197" s="7">
        <v>-0.54901482224636289</v>
      </c>
      <c r="P197" s="7">
        <v>-4.1717576007657886</v>
      </c>
      <c r="Q197" s="109">
        <v>-1.0490589510878711E-2</v>
      </c>
      <c r="R197" s="109">
        <v>-0.14596797693351529</v>
      </c>
      <c r="S197" s="109">
        <v>1.392090052969101E-2</v>
      </c>
      <c r="U197" s="134">
        <f>C197*S197</f>
        <v>-2.3796185647068762</v>
      </c>
      <c r="V197" s="134">
        <f>(1+S197)*Q197*(1-U197)+S197</f>
        <v>-2.2026844803179967E-2</v>
      </c>
      <c r="W197" s="134">
        <f>V197+I197/3</f>
        <v>-0.43362979574395161</v>
      </c>
      <c r="X197" s="134">
        <f>V197+I197/5</f>
        <v>-0.26898861536764296</v>
      </c>
      <c r="Y197" s="134"/>
      <c r="AA197" s="134"/>
    </row>
    <row r="198" spans="1:27">
      <c r="A198" t="s">
        <v>365</v>
      </c>
      <c r="B198" t="s">
        <v>32</v>
      </c>
      <c r="C198" s="195">
        <v>-11.54338201020226</v>
      </c>
      <c r="D198" s="100">
        <v>24.050886763721721</v>
      </c>
      <c r="E198" s="13">
        <v>3.0835216873586182</v>
      </c>
      <c r="F198" s="100">
        <v>-6.2798475307409856</v>
      </c>
      <c r="G198" s="100">
        <v>-0.45597854032806517</v>
      </c>
      <c r="H198" s="13">
        <v>-4.0783216077056004</v>
      </c>
      <c r="I198" s="13">
        <v>-5.2173948386853706</v>
      </c>
      <c r="J198" s="13">
        <v>-8.0688669751075608</v>
      </c>
      <c r="K198" s="100">
        <v>-0.2611066940040434</v>
      </c>
      <c r="L198" s="7">
        <v>27.325690383682261</v>
      </c>
      <c r="M198" s="15">
        <v>3.3672170217992701</v>
      </c>
      <c r="N198" s="7">
        <v>-6.2798475307409856</v>
      </c>
      <c r="O198" s="7">
        <v>-0.45597854032806517</v>
      </c>
      <c r="P198" s="7">
        <v>-0.22981478025129951</v>
      </c>
      <c r="S198" s="109">
        <v>1.061395415288692E-2</v>
      </c>
      <c r="U198" s="134">
        <f>C198*S198</f>
        <v>-0.12252092742554645</v>
      </c>
      <c r="V198" s="134">
        <f>(1+S198)*R197*(1-U198)+S198</f>
        <v>-0.15497727346005458</v>
      </c>
      <c r="W198" s="134">
        <f>V198+I198/3</f>
        <v>-1.894108886355178</v>
      </c>
      <c r="X198" s="134">
        <f>V198+I198/5</f>
        <v>-1.1984562411971287</v>
      </c>
      <c r="Y198" s="134"/>
      <c r="AA198" s="134"/>
    </row>
    <row r="199" spans="1:27">
      <c r="B199" t="s">
        <v>34</v>
      </c>
      <c r="C199" s="195">
        <v>1.79324616978355</v>
      </c>
      <c r="D199" s="100">
        <v>1.5733051451220601</v>
      </c>
      <c r="E199" s="13">
        <v>0.1226496553387518</v>
      </c>
      <c r="F199" s="100">
        <v>8.0800645905995587</v>
      </c>
      <c r="G199" s="100">
        <v>3.5058312276082249</v>
      </c>
      <c r="H199" s="13">
        <v>0.43856215103342722</v>
      </c>
      <c r="I199" s="13">
        <v>0.94536635665387436</v>
      </c>
      <c r="J199" s="13">
        <v>1.4336436309990159</v>
      </c>
      <c r="K199" s="100">
        <v>5.1357262865702316</v>
      </c>
      <c r="L199" s="7">
        <v>1.5733051451220601</v>
      </c>
      <c r="M199" s="15">
        <v>0.1226496553387518</v>
      </c>
      <c r="N199" s="7">
        <v>8.0800645905995587</v>
      </c>
      <c r="O199" s="7">
        <v>3.5058312276082249</v>
      </c>
      <c r="P199" s="7">
        <v>5.1357262865702316</v>
      </c>
      <c r="W199" s="134">
        <f>V197+I199/3</f>
        <v>0.29309527408144481</v>
      </c>
      <c r="X199" s="134">
        <f>V197+I199/5</f>
        <v>0.16704642652759491</v>
      </c>
      <c r="Y199" s="134"/>
      <c r="AA199" s="134"/>
    </row>
    <row r="200" spans="1:27">
      <c r="B200" t="s">
        <v>35</v>
      </c>
      <c r="C200" s="195">
        <v>1.6849641189999589</v>
      </c>
      <c r="D200" s="100">
        <v>1.3414475743908489</v>
      </c>
      <c r="E200" s="13">
        <v>0.20387172684305599</v>
      </c>
      <c r="F200" s="100">
        <v>7.7932827321034397</v>
      </c>
      <c r="G200" s="100">
        <v>3.6251921000720309</v>
      </c>
      <c r="H200" s="13">
        <v>0.36221311059476657</v>
      </c>
      <c r="I200" s="13">
        <v>1.0428442945811831</v>
      </c>
      <c r="J200" s="13">
        <v>1.4526817560451</v>
      </c>
      <c r="K200" s="100">
        <v>5.809606637547776</v>
      </c>
      <c r="L200" s="7">
        <v>1.3414475743908489</v>
      </c>
      <c r="M200" s="15">
        <v>0.20387172684305599</v>
      </c>
      <c r="N200" s="7">
        <v>7.7932827321034397</v>
      </c>
      <c r="O200" s="7">
        <v>3.6251921000720309</v>
      </c>
      <c r="P200" s="7">
        <v>5.809606637547776</v>
      </c>
      <c r="W200" s="134">
        <f>V198+I200/3</f>
        <v>0.19263749140033981</v>
      </c>
      <c r="X200" s="134">
        <f>V198+I200/5</f>
        <v>5.3591585456182034E-2</v>
      </c>
      <c r="Y200" s="134"/>
      <c r="AA200" s="134"/>
    </row>
    <row r="201" spans="1:27">
      <c r="C201" s="111"/>
      <c r="D201" s="100"/>
      <c r="F201" s="100"/>
      <c r="G201" s="100"/>
      <c r="K201" s="100"/>
      <c r="L201" s="7"/>
      <c r="N201" s="7"/>
      <c r="O201" s="7"/>
      <c r="P201" s="7"/>
      <c r="AA201" s="134"/>
    </row>
    <row r="202" spans="1:27">
      <c r="A202" s="184" t="s">
        <v>366</v>
      </c>
      <c r="B202" t="s">
        <v>30</v>
      </c>
      <c r="C202" s="198">
        <v>33.634591026789593</v>
      </c>
      <c r="D202" s="100">
        <v>11.11202405922141</v>
      </c>
      <c r="E202" s="13">
        <v>0.66962511747591047</v>
      </c>
      <c r="F202" s="100">
        <v>11443.09100045404</v>
      </c>
      <c r="G202" s="100">
        <v>339.21793193024831</v>
      </c>
      <c r="H202" s="13">
        <v>-0.4731621461113239</v>
      </c>
      <c r="I202" s="13">
        <v>-0.1479768031849443</v>
      </c>
      <c r="J202" s="13">
        <v>0.1100005886504607</v>
      </c>
      <c r="K202" s="100">
        <v>1029.793576711877</v>
      </c>
      <c r="L202" s="7">
        <v>11.11202405922141</v>
      </c>
      <c r="M202" s="15">
        <v>0.66962511747591047</v>
      </c>
      <c r="N202" s="7">
        <v>53.874751636742822</v>
      </c>
      <c r="O202" s="7">
        <v>0.60176621722060353</v>
      </c>
      <c r="P202" s="7">
        <v>4.8483292827317443</v>
      </c>
      <c r="Q202" s="109">
        <v>3.1519142144040828E-2</v>
      </c>
      <c r="R202" s="109">
        <v>3.3907278881807022E-2</v>
      </c>
      <c r="S202" s="109">
        <v>1.167665437905596E-2</v>
      </c>
      <c r="U202" s="134">
        <f>C202*S202</f>
        <v>0.392739494600719</v>
      </c>
      <c r="V202" s="134">
        <f>(1+S202)*Q202*(1-U202)+S202</f>
        <v>3.1040479587505915E-2</v>
      </c>
      <c r="W202" s="134">
        <f>V202+I202/3</f>
        <v>-1.8285121474142185E-2</v>
      </c>
      <c r="X202" s="134">
        <f>V202+I202/5</f>
        <v>1.4451189505170561E-3</v>
      </c>
      <c r="Y202" s="134"/>
      <c r="AA202" s="134"/>
    </row>
    <row r="203" spans="1:27">
      <c r="A203" t="s">
        <v>367</v>
      </c>
      <c r="B203" t="s">
        <v>32</v>
      </c>
      <c r="C203" s="198">
        <v>46.682428170260458</v>
      </c>
      <c r="D203" s="100">
        <v>18.629302761645921</v>
      </c>
      <c r="E203" s="13">
        <v>0.60093543776898217</v>
      </c>
      <c r="F203" s="100">
        <v>-78.336776772124452</v>
      </c>
      <c r="G203" s="100">
        <v>-2.678078451412468</v>
      </c>
      <c r="H203" s="13">
        <v>-0.31562564404438809</v>
      </c>
      <c r="I203" s="13">
        <v>-0.1141689597065767</v>
      </c>
      <c r="J203" s="13">
        <v>0.22755516586609609</v>
      </c>
      <c r="K203" s="100">
        <v>-4.2050299882078512</v>
      </c>
      <c r="L203" s="7">
        <v>18.629302761645921</v>
      </c>
      <c r="M203" s="15">
        <v>0.60093543776898217</v>
      </c>
      <c r="N203" s="7">
        <v>92.80113232878621</v>
      </c>
      <c r="O203" s="7">
        <v>0.98792427828135487</v>
      </c>
      <c r="P203" s="7">
        <v>4.9814603110023814</v>
      </c>
      <c r="S203" s="109">
        <v>7.6958201269249696E-3</v>
      </c>
      <c r="U203" s="134">
        <f>C203*S203</f>
        <v>0.35925957028641964</v>
      </c>
      <c r="V203" s="134">
        <f>(1+S203)*R202*(1-U203)+S203</f>
        <v>2.9588782143331223E-2</v>
      </c>
      <c r="W203" s="134">
        <f>V203+I203/3</f>
        <v>-8.4675377588610129E-3</v>
      </c>
      <c r="X203" s="134">
        <f>V203+I203/5</f>
        <v>6.7549902020158821E-3</v>
      </c>
      <c r="Y203" s="134"/>
      <c r="AA203" s="134"/>
    </row>
    <row r="204" spans="1:27">
      <c r="B204" t="s">
        <v>34</v>
      </c>
      <c r="C204" s="195">
        <v>1.0601334555300621</v>
      </c>
      <c r="D204" s="100">
        <v>0.88920686025435969</v>
      </c>
      <c r="E204" s="13">
        <v>0.16123120573554539</v>
      </c>
      <c r="F204" s="100">
        <v>4.0792845311493737</v>
      </c>
      <c r="G204" s="100">
        <v>2.8478971773508941</v>
      </c>
      <c r="H204" s="13">
        <v>0.14476831228741499</v>
      </c>
      <c r="I204" s="13">
        <v>0.57710980528215661</v>
      </c>
      <c r="J204" s="13">
        <v>1.3786025992574129</v>
      </c>
      <c r="K204" s="100">
        <v>4.5875540478651784</v>
      </c>
      <c r="L204" s="7">
        <v>0.88920686025435969</v>
      </c>
      <c r="M204" s="15">
        <v>0.16123120573554539</v>
      </c>
      <c r="N204" s="7">
        <v>4.0792845311493737</v>
      </c>
      <c r="O204" s="7">
        <v>2.8478971773508941</v>
      </c>
      <c r="P204" s="7">
        <v>4.5875540478651784</v>
      </c>
      <c r="W204" s="134">
        <f>V202+I204/3</f>
        <v>0.22341041468155812</v>
      </c>
      <c r="X204" s="134">
        <f>V202+I204/5</f>
        <v>0.14646244064393724</v>
      </c>
      <c r="Y204" s="134"/>
      <c r="AA204" s="134"/>
    </row>
    <row r="205" spans="1:27">
      <c r="B205" t="s">
        <v>35</v>
      </c>
      <c r="C205" s="195">
        <v>1.582874110848945</v>
      </c>
      <c r="D205" s="100">
        <v>1.18856894527182</v>
      </c>
      <c r="E205" s="13">
        <v>0.2491070912554425</v>
      </c>
      <c r="F205" s="100">
        <v>5.3842565169307122</v>
      </c>
      <c r="G205" s="100">
        <v>2.401569638436353</v>
      </c>
      <c r="H205" s="13">
        <v>3.3899944423099848E-2</v>
      </c>
      <c r="I205" s="13">
        <v>0.36447111961685802</v>
      </c>
      <c r="J205" s="13">
        <v>0.94348330565134586</v>
      </c>
      <c r="K205" s="100">
        <v>4.530032976504665</v>
      </c>
      <c r="L205" s="7">
        <v>1.18856894527182</v>
      </c>
      <c r="M205" s="15">
        <v>0.2491070912554425</v>
      </c>
      <c r="N205" s="7">
        <v>5.3842565169307122</v>
      </c>
      <c r="O205" s="7">
        <v>2.401569638436353</v>
      </c>
      <c r="P205" s="7">
        <v>4.530032976504665</v>
      </c>
      <c r="W205" s="134">
        <f>V203+I205/3</f>
        <v>0.15107915534895056</v>
      </c>
      <c r="X205" s="134">
        <f>V203+I205/5</f>
        <v>0.10248300606670283</v>
      </c>
      <c r="Y205" s="134"/>
      <c r="AA205" s="134"/>
    </row>
    <row r="206" spans="1:27">
      <c r="C206" s="111"/>
      <c r="D206" s="100"/>
      <c r="F206" s="100"/>
      <c r="G206" s="100"/>
      <c r="K206" s="100"/>
      <c r="L206" s="7"/>
      <c r="N206" s="7"/>
      <c r="O206" s="7"/>
      <c r="P206" s="7"/>
      <c r="AA206" s="134"/>
    </row>
    <row r="207" spans="1:27">
      <c r="A207" t="s">
        <v>368</v>
      </c>
      <c r="B207" t="s">
        <v>30</v>
      </c>
      <c r="C207" s="198">
        <v>31.647531925083239</v>
      </c>
      <c r="D207" s="100">
        <v>14.106841586917319</v>
      </c>
      <c r="E207">
        <v>0.55425144620088029</v>
      </c>
      <c r="F207" s="100">
        <v>59.264140298099072</v>
      </c>
      <c r="G207" s="100">
        <v>0.8726307137754219</v>
      </c>
      <c r="H207">
        <v>-0.43255686855467429</v>
      </c>
      <c r="I207">
        <v>-0.18846128170719259</v>
      </c>
      <c r="J207">
        <v>0.27948250462854302</v>
      </c>
      <c r="K207" s="100">
        <v>4.2010920681962283</v>
      </c>
      <c r="L207" s="7">
        <v>14.106841586917319</v>
      </c>
      <c r="M207">
        <v>0.55425144620088029</v>
      </c>
      <c r="N207" s="7">
        <v>59.264140298099072</v>
      </c>
      <c r="O207" s="7">
        <v>0.8726307137754219</v>
      </c>
      <c r="P207" s="7">
        <v>4.2010920681962283</v>
      </c>
      <c r="Q207" s="109">
        <v>3.5696468488061593E-2</v>
      </c>
      <c r="R207" s="109">
        <v>-0.1381457925659679</v>
      </c>
      <c r="S207" s="109">
        <v>1.570075481243486E-2</v>
      </c>
      <c r="U207" s="134">
        <f>C207*S207</f>
        <v>0.49689013917443653</v>
      </c>
      <c r="V207" s="134">
        <f>(1+S207)*Q207*(1-U207)+S207</f>
        <v>3.3941973812389295E-2</v>
      </c>
      <c r="W207" s="134">
        <f>V207+I207/3</f>
        <v>-2.8878453423341569E-2</v>
      </c>
      <c r="X207" s="134">
        <f>V207+I207/5</f>
        <v>-3.7502825290492217E-3</v>
      </c>
      <c r="Y207" s="134"/>
      <c r="AA207" s="134"/>
    </row>
    <row r="208" spans="1:27">
      <c r="A208" t="s">
        <v>369</v>
      </c>
      <c r="B208" t="s">
        <v>32</v>
      </c>
      <c r="C208" s="195">
        <v>-9.9400925770957311</v>
      </c>
      <c r="D208" s="100">
        <v>17.448831134419081</v>
      </c>
      <c r="E208">
        <v>2.755399258013473</v>
      </c>
      <c r="F208" s="100">
        <v>-9.6324830215125132</v>
      </c>
      <c r="G208" s="100">
        <v>-3.0946347148921079E-2</v>
      </c>
      <c r="H208">
        <v>-3.2389273241048842</v>
      </c>
      <c r="I208">
        <v>-4.3694366540911416</v>
      </c>
      <c r="J208">
        <v>-6.2362423637119653</v>
      </c>
      <c r="K208" s="100">
        <v>-0.55204173547830049</v>
      </c>
      <c r="L208" s="7">
        <v>19.359367243459271</v>
      </c>
      <c r="M208">
        <v>2.9476043199102322</v>
      </c>
      <c r="N208" s="7">
        <v>-9.6324830215125132</v>
      </c>
      <c r="O208" s="7">
        <v>-3.0946347148921079E-2</v>
      </c>
      <c r="P208" s="7">
        <v>-0.49756187278109149</v>
      </c>
      <c r="S208" s="109">
        <v>1.6618672641990431E-2</v>
      </c>
      <c r="U208" s="134">
        <f>C208*S208</f>
        <v>-0.16519114456983297</v>
      </c>
      <c r="V208" s="134">
        <f>(1+S208)*R207*(1-U208)+S208</f>
        <v>-0.14702262699970647</v>
      </c>
      <c r="W208" s="134">
        <f>V208+I208/3</f>
        <v>-1.6035015116967535</v>
      </c>
      <c r="X208" s="134">
        <f>V208+I208/5</f>
        <v>-1.0209099578179348</v>
      </c>
      <c r="Y208" s="134"/>
      <c r="AA208" s="134"/>
    </row>
    <row r="209" spans="1:27">
      <c r="B209" t="s">
        <v>34</v>
      </c>
      <c r="C209" s="195">
        <v>1.129705126088657</v>
      </c>
      <c r="D209" s="100">
        <v>1.0432006321579499</v>
      </c>
      <c r="E209">
        <v>7.6572631152174164E-2</v>
      </c>
      <c r="F209" s="100">
        <v>5.3630004868747054</v>
      </c>
      <c r="G209" s="100">
        <v>3.7472569284011792</v>
      </c>
      <c r="H209">
        <v>0.60691160321688531</v>
      </c>
      <c r="I209">
        <v>1.043145865468492</v>
      </c>
      <c r="J209">
        <v>2.0525153253081601</v>
      </c>
      <c r="K209" s="100">
        <v>5.1409099281131363</v>
      </c>
      <c r="L209" s="7">
        <v>1.0432006321579499</v>
      </c>
      <c r="M209">
        <v>7.6572631152174164E-2</v>
      </c>
      <c r="N209" s="7">
        <v>5.3630004868747054</v>
      </c>
      <c r="O209" s="7">
        <v>3.7472569284011792</v>
      </c>
      <c r="P209" s="7">
        <v>5.1409099281131363</v>
      </c>
      <c r="W209" s="134">
        <f>V207+I209/3</f>
        <v>0.38165726230188662</v>
      </c>
      <c r="X209" s="134">
        <f>V207+I209/5</f>
        <v>0.24257114690608766</v>
      </c>
      <c r="Y209" s="134"/>
      <c r="AA209" s="134"/>
    </row>
    <row r="210" spans="1:27">
      <c r="B210" t="s">
        <v>35</v>
      </c>
      <c r="C210" s="195">
        <v>1.373181967241984</v>
      </c>
      <c r="D210" s="100">
        <v>1.2580563275816909</v>
      </c>
      <c r="E210">
        <v>8.3838589791214169E-2</v>
      </c>
      <c r="F210" s="100">
        <v>5.0935311183449938</v>
      </c>
      <c r="G210" s="100">
        <v>2.7092907129965291</v>
      </c>
      <c r="H210">
        <v>0.37414916901404499</v>
      </c>
      <c r="I210">
        <v>0.73171362955483676</v>
      </c>
      <c r="J210">
        <v>1.40172670673685</v>
      </c>
      <c r="K210" s="100">
        <v>4.0487305748352913</v>
      </c>
      <c r="L210" s="7">
        <v>1.2580563275816909</v>
      </c>
      <c r="M210">
        <v>8.3838589791214169E-2</v>
      </c>
      <c r="N210" s="7">
        <v>4.9034754553003532</v>
      </c>
      <c r="O210" s="7">
        <v>2.570885412330977</v>
      </c>
      <c r="P210" s="7">
        <v>3.8976597055285271</v>
      </c>
      <c r="W210" s="134">
        <f>V208+I210/3</f>
        <v>9.6881916185239114E-2</v>
      </c>
      <c r="X210" s="134">
        <f>V208+I210/5</f>
        <v>-6.7990108873910993E-4</v>
      </c>
      <c r="Y210" s="134"/>
      <c r="AA210" s="134"/>
    </row>
    <row r="211" spans="1:27">
      <c r="C211" s="111"/>
      <c r="D211" s="100"/>
      <c r="F211" s="100"/>
      <c r="G211" s="100"/>
      <c r="K211" s="100"/>
      <c r="L211" s="7"/>
      <c r="N211" s="7"/>
      <c r="O211" s="7"/>
      <c r="P211" s="7"/>
      <c r="AA211" s="134"/>
    </row>
    <row r="212" spans="1:27">
      <c r="A212" t="s">
        <v>370</v>
      </c>
      <c r="B212" t="s">
        <v>30</v>
      </c>
      <c r="C212" s="195">
        <v>18.21094607337184</v>
      </c>
      <c r="D212" s="100">
        <v>12.631076910699489</v>
      </c>
      <c r="E212" s="13">
        <v>0.30640193761439322</v>
      </c>
      <c r="F212" s="100">
        <v>209.90235921995179</v>
      </c>
      <c r="G212" s="100">
        <v>10.526164449351279</v>
      </c>
      <c r="H212" s="13">
        <v>0.1086643351749048</v>
      </c>
      <c r="I212" s="13">
        <v>0.85634411082242501</v>
      </c>
      <c r="J212" s="13">
        <v>2.477753887721216</v>
      </c>
      <c r="K212" s="100">
        <v>16.617930577411691</v>
      </c>
      <c r="L212" s="7">
        <v>12.631076910699489</v>
      </c>
      <c r="M212" s="15">
        <v>0.30640193761439322</v>
      </c>
      <c r="N212" s="7">
        <v>209.90235921995179</v>
      </c>
      <c r="O212" s="7">
        <v>10.526164449351279</v>
      </c>
      <c r="P212" s="7">
        <v>16.617930577411691</v>
      </c>
      <c r="Q212" s="109">
        <v>8.5726910442393903E-2</v>
      </c>
      <c r="R212" s="109">
        <v>-4.9839059502953691E-2</v>
      </c>
      <c r="S212" s="109">
        <v>1.4005666570160081E-2</v>
      </c>
      <c r="U212" s="134">
        <f>C212*S212</f>
        <v>0.25505643863081195</v>
      </c>
      <c r="V212" s="134">
        <f>(1+S212)*Q212*(1-U212)+S212</f>
        <v>7.8761802356736396E-2</v>
      </c>
      <c r="W212" s="134">
        <f>V212+I212/3</f>
        <v>0.36420983929754475</v>
      </c>
      <c r="X212" s="134">
        <f>V212+I212/5</f>
        <v>0.25003062452122138</v>
      </c>
      <c r="Y212" s="134"/>
      <c r="AA212" s="134"/>
    </row>
    <row r="213" spans="1:27">
      <c r="A213" t="s">
        <v>371</v>
      </c>
      <c r="B213" t="s">
        <v>32</v>
      </c>
      <c r="C213" s="195">
        <v>-27.77247227383269</v>
      </c>
      <c r="D213" s="100">
        <v>20.741186411747421</v>
      </c>
      <c r="E213" s="13">
        <v>1.7468253530777611</v>
      </c>
      <c r="F213" s="100">
        <v>-21.82366053013229</v>
      </c>
      <c r="G213" s="100">
        <v>-0.2141981342188751</v>
      </c>
      <c r="H213" s="13">
        <v>-2.1769461746379428</v>
      </c>
      <c r="I213" s="13">
        <v>-2.5440631822203978</v>
      </c>
      <c r="J213" s="13">
        <v>-5.1417486227684188</v>
      </c>
      <c r="K213" s="100">
        <v>-1.052189594987285</v>
      </c>
      <c r="L213" s="7">
        <v>23.43696010873882</v>
      </c>
      <c r="M213" s="15">
        <v>1.843891745670089</v>
      </c>
      <c r="N213" s="7">
        <v>-21.82366053013229</v>
      </c>
      <c r="O213" s="7">
        <v>-0.2141981342188751</v>
      </c>
      <c r="P213" s="7">
        <v>-0.931164298990935</v>
      </c>
      <c r="S213" s="109">
        <v>1.2611142679121711E-2</v>
      </c>
      <c r="U213" s="134">
        <f>C213*S213</f>
        <v>-0.35024261039725585</v>
      </c>
      <c r="V213" s="134">
        <f>(1+S213)*R212*(1-U213)+S213</f>
        <v>-5.55323437232145E-2</v>
      </c>
      <c r="W213" s="134">
        <f>V213+I213/3</f>
        <v>-0.90355340446334709</v>
      </c>
      <c r="X213" s="134">
        <f>V213+I213/5</f>
        <v>-0.56434498016729406</v>
      </c>
      <c r="Y213" s="134"/>
      <c r="AA213" s="134"/>
    </row>
    <row r="214" spans="1:27">
      <c r="B214" t="s">
        <v>34</v>
      </c>
      <c r="C214" s="195">
        <v>1.5611681431032129</v>
      </c>
      <c r="D214" s="100">
        <v>1.146556294503462</v>
      </c>
      <c r="E214" s="13">
        <v>0.26557795867881739</v>
      </c>
      <c r="F214" s="100">
        <v>5.9089855802795874</v>
      </c>
      <c r="G214" s="100">
        <v>2.7849770419565432</v>
      </c>
      <c r="H214" s="13">
        <v>7.1535329440576056E-2</v>
      </c>
      <c r="I214" s="13">
        <v>0.47191427323618251</v>
      </c>
      <c r="J214" s="13">
        <v>1.24947860816884</v>
      </c>
      <c r="K214" s="100">
        <v>5.1536811655973569</v>
      </c>
      <c r="L214" s="7">
        <v>1.146556294503462</v>
      </c>
      <c r="M214" s="15">
        <v>0.26557795867881739</v>
      </c>
      <c r="N214" s="7">
        <v>5.9089855802795874</v>
      </c>
      <c r="O214" s="7">
        <v>2.7849770419565432</v>
      </c>
      <c r="P214" s="7">
        <v>5.1536811655973569</v>
      </c>
      <c r="W214" s="134">
        <f>V212+I214/3</f>
        <v>0.23606656010213056</v>
      </c>
      <c r="X214" s="134">
        <f>V212+I214/5</f>
        <v>0.17314465700397291</v>
      </c>
      <c r="Y214" s="134"/>
      <c r="AA214" s="134"/>
    </row>
    <row r="215" spans="1:27">
      <c r="B215" t="s">
        <v>35</v>
      </c>
      <c r="C215" s="195">
        <v>1.384153898199679</v>
      </c>
      <c r="D215" s="100">
        <v>1.317754632468692</v>
      </c>
      <c r="E215" s="13">
        <v>4.7971013784919532E-2</v>
      </c>
      <c r="F215" s="100">
        <v>7.852134676006294</v>
      </c>
      <c r="G215" s="100">
        <v>4.6728769006244848</v>
      </c>
      <c r="H215" s="13">
        <v>0.34349348594886958</v>
      </c>
      <c r="I215" s="13">
        <v>0.85502587349401282</v>
      </c>
      <c r="J215" s="13">
        <v>1.765909403134549</v>
      </c>
      <c r="K215" s="100">
        <v>5.9587228779427939</v>
      </c>
      <c r="L215" s="7">
        <v>1.317754632468692</v>
      </c>
      <c r="M215" s="15">
        <v>4.7971013784919532E-2</v>
      </c>
      <c r="N215" s="7">
        <v>7.852134676006294</v>
      </c>
      <c r="O215" s="7">
        <v>4.6728769006244848</v>
      </c>
      <c r="P215" s="7">
        <v>5.9587228779427939</v>
      </c>
      <c r="W215" s="134">
        <f>V213+I215/3</f>
        <v>0.22947628077478979</v>
      </c>
      <c r="X215" s="134">
        <f>V213+I215/5</f>
        <v>0.11547283097558805</v>
      </c>
      <c r="Y215" s="134"/>
      <c r="AA215" s="134"/>
    </row>
    <row r="216" spans="1:27">
      <c r="C216" s="111"/>
      <c r="D216" s="100"/>
      <c r="F216" s="100"/>
      <c r="G216" s="100"/>
      <c r="K216" s="100"/>
      <c r="L216" s="7"/>
      <c r="N216" s="7"/>
      <c r="O216" s="7"/>
      <c r="P216" s="7"/>
      <c r="AA216" s="134"/>
    </row>
    <row r="217" spans="1:27">
      <c r="A217" t="s">
        <v>252</v>
      </c>
      <c r="B217" t="s">
        <v>30</v>
      </c>
      <c r="C217" s="196">
        <v>56.22369092557841</v>
      </c>
      <c r="D217" s="100">
        <v>19.15168270984174</v>
      </c>
      <c r="E217" s="13">
        <v>0.65936632059264411</v>
      </c>
      <c r="F217" s="100">
        <v>71.896585494566963</v>
      </c>
      <c r="G217" s="100">
        <v>0.27875961736013188</v>
      </c>
      <c r="H217" s="13">
        <v>-0.54291190427305058</v>
      </c>
      <c r="I217" s="13">
        <v>-0.39294084219435332</v>
      </c>
      <c r="J217" s="13">
        <v>-0.20130424907975741</v>
      </c>
      <c r="K217" s="100">
        <v>3.754061018232119</v>
      </c>
      <c r="L217" s="7">
        <v>19.15168270984174</v>
      </c>
      <c r="M217" s="15">
        <v>0.65936632059264411</v>
      </c>
      <c r="N217" s="7">
        <v>65.147996180370598</v>
      </c>
      <c r="O217" s="7">
        <v>0.15872855566535149</v>
      </c>
      <c r="P217" s="7">
        <v>3.4016852287810759</v>
      </c>
      <c r="Q217" s="109">
        <v>5.8724908512526978E-2</v>
      </c>
      <c r="R217" s="109">
        <v>-9.5837863666293176E-3</v>
      </c>
      <c r="S217" s="109">
        <v>9.9858107957586286E-3</v>
      </c>
      <c r="U217" s="134">
        <f>C217*S217</f>
        <v>0.5614391398220373</v>
      </c>
      <c r="V217" s="134">
        <f>(1+S217)*Q217*(1-U217)+S217</f>
        <v>3.599743621569592E-2</v>
      </c>
      <c r="W217" s="134">
        <f>V217+I217/3</f>
        <v>-9.4982844515755172E-2</v>
      </c>
      <c r="X217" s="134">
        <f>V217+I217/5</f>
        <v>-4.2590732223174742E-2</v>
      </c>
      <c r="Y217" s="134"/>
      <c r="AA217" s="134"/>
    </row>
    <row r="218" spans="1:27">
      <c r="A218" t="s">
        <v>372</v>
      </c>
      <c r="B218" t="s">
        <v>32</v>
      </c>
      <c r="C218" s="195">
        <v>-209.86360602770009</v>
      </c>
      <c r="D218" s="100">
        <v>20.7122548340141</v>
      </c>
      <c r="E218" s="13">
        <v>1.098693886119922</v>
      </c>
      <c r="F218" s="100">
        <v>-177.8763037406292</v>
      </c>
      <c r="G218" s="100">
        <v>-0.15241948278944961</v>
      </c>
      <c r="H218" s="13">
        <v>-1.152215308427087</v>
      </c>
      <c r="I218" s="13">
        <v>-1.2086544203804721</v>
      </c>
      <c r="J218" s="13">
        <v>-1.3166180906357181</v>
      </c>
      <c r="K218" s="100">
        <v>-8.5879738911147907</v>
      </c>
      <c r="L218" s="7">
        <v>20.7122548340141</v>
      </c>
      <c r="M218" s="15">
        <v>1.098693886119922</v>
      </c>
      <c r="N218" s="7">
        <v>-177.8763037406292</v>
      </c>
      <c r="O218" s="7">
        <v>-0.15241948278944961</v>
      </c>
      <c r="P218" s="7">
        <v>-8.5879738911147907</v>
      </c>
      <c r="S218" s="109">
        <v>8.6063724104469309E-3</v>
      </c>
      <c r="U218" s="134">
        <f>C218*S218</f>
        <v>-1.8061643488737023</v>
      </c>
      <c r="V218" s="134">
        <f>(1+S218)*R217*(1-U218)+S218</f>
        <v>-1.851876424118673E-2</v>
      </c>
      <c r="W218" s="134">
        <f>V218+I218/3</f>
        <v>-0.4214035710346774</v>
      </c>
      <c r="X218" s="134">
        <f>V218+I218/5</f>
        <v>-0.26024964831728115</v>
      </c>
      <c r="Y218" s="134"/>
      <c r="AA218" s="134"/>
    </row>
    <row r="219" spans="1:27">
      <c r="B219" t="s">
        <v>34</v>
      </c>
      <c r="C219" s="198">
        <v>3.3017311058411849</v>
      </c>
      <c r="D219" s="100">
        <v>1.980485513227876</v>
      </c>
      <c r="E219" s="13">
        <v>0.40016753341174782</v>
      </c>
      <c r="F219" s="100">
        <v>5.6127838871623874</v>
      </c>
      <c r="G219" s="100">
        <v>0.69995184563414425</v>
      </c>
      <c r="H219" s="13">
        <v>-0.25319871610453032</v>
      </c>
      <c r="I219" s="13">
        <v>-7.6757098847050398E-2</v>
      </c>
      <c r="J219" s="13">
        <v>0.1220239073445271</v>
      </c>
      <c r="K219" s="100">
        <v>2.8340444046038211</v>
      </c>
      <c r="L219" s="7">
        <v>1.980485513227876</v>
      </c>
      <c r="M219" s="15">
        <v>0.40016753341174782</v>
      </c>
      <c r="N219" s="7">
        <v>5.1938818633280883</v>
      </c>
      <c r="O219" s="7">
        <v>0.57307839337353839</v>
      </c>
      <c r="P219" s="7">
        <v>2.6225295911722619</v>
      </c>
      <c r="W219" s="134">
        <f>V217+I219/3</f>
        <v>1.0411736600012454E-2</v>
      </c>
      <c r="X219" s="134">
        <f>V217+I219/5</f>
        <v>2.0646016446285841E-2</v>
      </c>
      <c r="Y219" s="134"/>
      <c r="AA219" s="134"/>
    </row>
    <row r="220" spans="1:27">
      <c r="B220" t="s">
        <v>35</v>
      </c>
      <c r="C220" s="195">
        <v>2.0112879662999381</v>
      </c>
      <c r="D220" s="100">
        <v>1.6945286427265731</v>
      </c>
      <c r="E220" s="13">
        <v>0.1574907864417302</v>
      </c>
      <c r="F220" s="100">
        <v>6.126335415685185</v>
      </c>
      <c r="G220" s="100">
        <v>2.0459762691045609</v>
      </c>
      <c r="H220" s="13">
        <v>0.1572424249789304</v>
      </c>
      <c r="I220" s="13">
        <v>0.5222808795833267</v>
      </c>
      <c r="J220" s="13">
        <v>0.93085961023661135</v>
      </c>
      <c r="K220" s="100">
        <v>3.61536256231564</v>
      </c>
      <c r="L220" s="7">
        <v>1.6945286427265731</v>
      </c>
      <c r="M220" s="15">
        <v>0.1574907864417302</v>
      </c>
      <c r="N220" s="7">
        <v>6.126335415685185</v>
      </c>
      <c r="O220" s="7">
        <v>2.0459762691045609</v>
      </c>
      <c r="P220" s="7">
        <v>3.61536256231564</v>
      </c>
      <c r="W220" s="134">
        <f>V218+I220/3</f>
        <v>0.15557486228658884</v>
      </c>
      <c r="X220" s="134">
        <f>V218+I220/5</f>
        <v>8.5937411675478609E-2</v>
      </c>
      <c r="Y220" s="134"/>
      <c r="AA220" s="134"/>
    </row>
    <row r="221" spans="1:27">
      <c r="C221" s="111"/>
      <c r="D221" s="100"/>
      <c r="F221" s="100"/>
      <c r="G221" s="100"/>
      <c r="K221" s="100"/>
      <c r="L221" s="7"/>
      <c r="N221" s="7"/>
      <c r="O221" s="7"/>
      <c r="P221" s="7"/>
      <c r="AA221" s="134"/>
    </row>
    <row r="222" spans="1:27">
      <c r="A222" t="s">
        <v>254</v>
      </c>
      <c r="B222" t="s">
        <v>30</v>
      </c>
      <c r="C222" s="197">
        <v>41.190250910580083</v>
      </c>
      <c r="D222" s="100">
        <v>22.821993958110809</v>
      </c>
      <c r="E222" s="13">
        <v>0.44593700078071691</v>
      </c>
      <c r="F222" s="100">
        <v>154.08561839963059</v>
      </c>
      <c r="G222" s="100">
        <v>2.7408273801034881</v>
      </c>
      <c r="H222" s="13">
        <v>-0.25693933671398778</v>
      </c>
      <c r="I222" s="13">
        <v>0.12568965896669321</v>
      </c>
      <c r="J222" s="13">
        <v>0.60058599381341415</v>
      </c>
      <c r="K222" s="100">
        <v>6.7516282180448748</v>
      </c>
      <c r="L222" s="7">
        <v>22.821993958110809</v>
      </c>
      <c r="M222" s="15">
        <v>0.44593700078071691</v>
      </c>
      <c r="N222" s="7">
        <v>154.08561839963059</v>
      </c>
      <c r="O222" s="7">
        <v>2.7408273801034881</v>
      </c>
      <c r="P222" s="7">
        <v>6.7516282180448748</v>
      </c>
      <c r="Q222" s="109">
        <v>0.1125221814953184</v>
      </c>
      <c r="R222" s="109">
        <v>-0.47616480048452331</v>
      </c>
      <c r="S222" s="109">
        <v>1.1039684394303501E-2</v>
      </c>
      <c r="U222" s="134">
        <f>C222*S222</f>
        <v>0.4547273701749765</v>
      </c>
      <c r="V222" s="134">
        <f>(1+S222)*Q222*(1-U222)+S222</f>
        <v>7.3072292982459264E-2</v>
      </c>
      <c r="W222" s="134">
        <f>V222+I222/3</f>
        <v>0.11496884597135701</v>
      </c>
      <c r="X222" s="134">
        <f>V222+I222/5</f>
        <v>9.8210224775797911E-2</v>
      </c>
      <c r="Y222" s="134"/>
      <c r="AA222" s="134"/>
    </row>
    <row r="223" spans="1:27">
      <c r="A223" t="s">
        <v>373</v>
      </c>
      <c r="B223" t="s">
        <v>32</v>
      </c>
      <c r="C223" s="195">
        <v>-5.7402634731836466</v>
      </c>
      <c r="D223" s="100">
        <v>29.856848440933149</v>
      </c>
      <c r="E223" s="13">
        <v>6.2013027939245502</v>
      </c>
      <c r="F223" s="100">
        <v>-5.6753208350742783</v>
      </c>
      <c r="G223" s="100">
        <v>-1.131352914596284E-2</v>
      </c>
      <c r="H223" s="13">
        <v>-10.715606512098701</v>
      </c>
      <c r="I223" s="13">
        <v>-13.83106855526716</v>
      </c>
      <c r="J223" s="13">
        <v>-27.300348377311249</v>
      </c>
      <c r="K223" s="100">
        <v>-0.19008439039712999</v>
      </c>
      <c r="L223" s="7">
        <v>42.179223431167941</v>
      </c>
      <c r="M223" s="15">
        <v>8.3479594844754796</v>
      </c>
      <c r="N223" s="7">
        <v>-5.6753208350742783</v>
      </c>
      <c r="O223" s="7">
        <v>-1.131352914596284E-2</v>
      </c>
      <c r="P223" s="7">
        <v>-0.13455252072944879</v>
      </c>
      <c r="S223" s="109">
        <v>7.3158990839271203E-3</v>
      </c>
      <c r="U223" s="134">
        <f>C223*S223</f>
        <v>-4.1995188284964548E-2</v>
      </c>
      <c r="V223" s="134">
        <f>(1+S223)*R222*(1-U223)+S223</f>
        <v>-0.49247539880967761</v>
      </c>
      <c r="W223" s="134">
        <f>V223+I223/3</f>
        <v>-5.1028315838987313</v>
      </c>
      <c r="X223" s="134">
        <f>V223+I223/5</f>
        <v>-3.2586891098631097</v>
      </c>
      <c r="Y223" s="134"/>
      <c r="AA223" s="134"/>
    </row>
    <row r="224" spans="1:27">
      <c r="B224" t="s">
        <v>34</v>
      </c>
      <c r="C224" s="196">
        <v>4.6348168887979933</v>
      </c>
      <c r="D224" s="100">
        <v>2.3530227602967688</v>
      </c>
      <c r="E224" s="13">
        <v>0.49231591738093272</v>
      </c>
      <c r="F224" s="100">
        <v>6.9335666169007579</v>
      </c>
      <c r="G224" s="100">
        <v>0.49597422794817869</v>
      </c>
      <c r="H224" s="13">
        <v>-0.34636326515889088</v>
      </c>
      <c r="I224" s="13">
        <v>-0.20871742289763071</v>
      </c>
      <c r="J224" s="13">
        <v>-2.6768642489813921E-3</v>
      </c>
      <c r="K224" s="100">
        <v>2.9466636421427048</v>
      </c>
      <c r="L224" s="7">
        <v>2.3530227602967688</v>
      </c>
      <c r="M224" s="15">
        <v>0.49231591738093272</v>
      </c>
      <c r="N224" s="7">
        <v>6.9335666169007579</v>
      </c>
      <c r="O224" s="7">
        <v>0.49597422794817869</v>
      </c>
      <c r="P224" s="7">
        <v>2.9466636421427048</v>
      </c>
      <c r="W224" s="134">
        <f>V222+I224/3</f>
        <v>3.4998186832490286E-3</v>
      </c>
      <c r="X224" s="134">
        <f>V222+I224/5</f>
        <v>3.1328808402933124E-2</v>
      </c>
      <c r="Y224" s="134"/>
      <c r="AA224" s="134"/>
    </row>
    <row r="225" spans="1:27">
      <c r="B225" t="s">
        <v>35</v>
      </c>
      <c r="C225" s="197">
        <v>2.733311411437088</v>
      </c>
      <c r="D225" s="100">
        <v>1.786325389142158</v>
      </c>
      <c r="E225" s="13">
        <v>0.34646107952881777</v>
      </c>
      <c r="F225" s="100">
        <v>7.5081624935324056</v>
      </c>
      <c r="G225" s="100">
        <v>1.7469107479359089</v>
      </c>
      <c r="H225" s="13">
        <v>-4.1839767714090259E-3</v>
      </c>
      <c r="I225" s="13">
        <v>0.20546597107160711</v>
      </c>
      <c r="J225" s="13">
        <v>0.60085010780241688</v>
      </c>
      <c r="K225" s="100">
        <v>4.2031326090808294</v>
      </c>
      <c r="L225" s="7">
        <v>1.786325389142158</v>
      </c>
      <c r="M225" s="15">
        <v>0.34646107952881777</v>
      </c>
      <c r="N225" s="7">
        <v>7.5081624935324056</v>
      </c>
      <c r="O225" s="7">
        <v>1.7469107479359089</v>
      </c>
      <c r="P225" s="7">
        <v>4.2031326090808294</v>
      </c>
      <c r="W225" s="134">
        <f>V223+I225/3</f>
        <v>-0.42398674178580859</v>
      </c>
      <c r="X225" s="134">
        <f>V223+I225/5</f>
        <v>-0.45138220459535616</v>
      </c>
      <c r="Y225" s="134"/>
      <c r="AA225" s="134"/>
    </row>
    <row r="226" spans="1:27">
      <c r="C226" s="111"/>
      <c r="D226" s="100"/>
      <c r="F226" s="100"/>
      <c r="G226" s="100"/>
      <c r="K226" s="100"/>
      <c r="L226" s="7"/>
      <c r="N226" s="7"/>
      <c r="O226" s="7"/>
      <c r="P226" s="7"/>
      <c r="AA226" s="134"/>
    </row>
    <row r="227" spans="1:27">
      <c r="A227" t="s">
        <v>374</v>
      </c>
      <c r="B227" t="s">
        <v>30</v>
      </c>
      <c r="C227" s="198">
        <v>47.479808264768423</v>
      </c>
      <c r="D227" s="100">
        <v>29.835725631474581</v>
      </c>
      <c r="E227" s="13">
        <v>0.37161233960555651</v>
      </c>
      <c r="F227" s="100">
        <v>178.0299060630729</v>
      </c>
      <c r="G227" s="100">
        <v>2.7495919332761281</v>
      </c>
      <c r="H227" s="13">
        <v>-0.23302417860441771</v>
      </c>
      <c r="I227" s="13">
        <v>-0.14253408729204939</v>
      </c>
      <c r="J227" s="13">
        <v>4.5105607390921287E-2</v>
      </c>
      <c r="K227" s="100">
        <v>5.9670043980852254</v>
      </c>
      <c r="L227" s="7">
        <v>31.88557081252619</v>
      </c>
      <c r="M227" s="15">
        <v>0.32843935184577538</v>
      </c>
      <c r="N227" s="7">
        <v>65.440655316152061</v>
      </c>
      <c r="O227" s="7">
        <v>0.37828390020503072</v>
      </c>
      <c r="P227" s="7">
        <v>2.0523595359454512</v>
      </c>
      <c r="Q227" s="109">
        <v>0.12597576327651769</v>
      </c>
      <c r="R227" s="109">
        <v>-6.6888898916949088E-2</v>
      </c>
      <c r="S227" s="109">
        <v>1.325939994122158E-2</v>
      </c>
      <c r="U227" s="134">
        <f>C227*S227</f>
        <v>0.62955376691508225</v>
      </c>
      <c r="V227" s="134">
        <f>(1+S227)*Q227*(1-U227)+S227</f>
        <v>6.0545426598679959E-2</v>
      </c>
      <c r="W227" s="134">
        <f>V227+I227/3</f>
        <v>1.303406416799683E-2</v>
      </c>
      <c r="X227" s="134">
        <f>V227+I227/5</f>
        <v>3.2038609140270083E-2</v>
      </c>
      <c r="Y227" s="134"/>
      <c r="AA227" s="134"/>
    </row>
    <row r="228" spans="1:27">
      <c r="A228" t="s">
        <v>375</v>
      </c>
      <c r="B228" t="s">
        <v>32</v>
      </c>
      <c r="C228" s="195">
        <v>-52.415901395823049</v>
      </c>
      <c r="D228" s="100">
        <v>40.912326211069058</v>
      </c>
      <c r="E228" s="13">
        <v>1.780532722353017</v>
      </c>
      <c r="F228" s="100">
        <v>-16.069906593059422</v>
      </c>
      <c r="G228" s="100">
        <v>-0.69341542995309424</v>
      </c>
      <c r="H228" s="13">
        <v>-2.197847008431101</v>
      </c>
      <c r="I228" s="13">
        <v>-2.5407575814431782</v>
      </c>
      <c r="J228" s="13">
        <v>-78.000123328462351</v>
      </c>
      <c r="K228" s="100">
        <v>-0.39278887517062322</v>
      </c>
      <c r="L228" s="7">
        <v>46.350500886027547</v>
      </c>
      <c r="M228" s="15">
        <v>1.8842831974977949</v>
      </c>
      <c r="N228" s="7">
        <v>-16.069906593059422</v>
      </c>
      <c r="O228" s="7">
        <v>-0.69341542995309424</v>
      </c>
      <c r="P228" s="7">
        <v>-0.34670405466758869</v>
      </c>
      <c r="S228" s="109">
        <v>9.0164418313113288E-3</v>
      </c>
      <c r="U228" s="134">
        <f>C228*S228</f>
        <v>-0.47260492597118881</v>
      </c>
      <c r="V228" s="134">
        <f>(1+S228)*R227*(1-U228)+S228</f>
        <v>-9.037260804046196E-2</v>
      </c>
      <c r="W228" s="134">
        <f>V228+I228/3</f>
        <v>-0.93729180185485472</v>
      </c>
      <c r="X228" s="134">
        <f>V228+I228/5</f>
        <v>-0.59852412432909763</v>
      </c>
      <c r="Y228" s="134"/>
      <c r="AA228" s="134"/>
    </row>
    <row r="229" spans="1:27">
      <c r="B229" t="s">
        <v>34</v>
      </c>
      <c r="C229" s="196">
        <v>5.9813050863769153</v>
      </c>
      <c r="D229" s="100">
        <v>2.6558307952501292</v>
      </c>
      <c r="E229" s="13">
        <v>0.55597804210002966</v>
      </c>
      <c r="F229" s="100">
        <v>7.8750423174170416</v>
      </c>
      <c r="G229" s="100">
        <v>0.31660936930860162</v>
      </c>
      <c r="H229" s="13">
        <v>-0.33816638406551103</v>
      </c>
      <c r="I229" s="13">
        <v>-0.22706063768664861</v>
      </c>
      <c r="J229" s="13">
        <v>-0.1238678304143819</v>
      </c>
      <c r="K229" s="100">
        <v>2.965189774703008</v>
      </c>
      <c r="L229" s="7">
        <v>3.7062285767800369</v>
      </c>
      <c r="M229" s="15">
        <v>0.38036456538199598</v>
      </c>
      <c r="N229" s="7">
        <v>7.8750423174170416</v>
      </c>
      <c r="O229" s="7">
        <v>0.31660936930860162</v>
      </c>
      <c r="P229" s="7">
        <v>2.124812907319078</v>
      </c>
      <c r="W229" s="134">
        <f>V227+I229/3</f>
        <v>-1.514145263020291E-2</v>
      </c>
      <c r="X229" s="134">
        <f>V227+I229/5</f>
        <v>1.513329906135024E-2</v>
      </c>
      <c r="Y229" s="134"/>
      <c r="AA229" s="134"/>
    </row>
    <row r="230" spans="1:27">
      <c r="B230" t="s">
        <v>35</v>
      </c>
      <c r="C230" s="198">
        <v>3.5060419301059791</v>
      </c>
      <c r="D230" s="100">
        <v>2.1337281815271991</v>
      </c>
      <c r="E230" s="13">
        <v>0.39141395794353728</v>
      </c>
      <c r="F230" s="100">
        <v>6.9702637768798592</v>
      </c>
      <c r="G230" s="100">
        <v>0.98807199566753789</v>
      </c>
      <c r="H230" s="13">
        <v>-0.19233378656961159</v>
      </c>
      <c r="I230" s="13">
        <v>-3.4648943468355682E-2</v>
      </c>
      <c r="J230" s="13">
        <v>0.23615998587726761</v>
      </c>
      <c r="K230" s="100">
        <v>3.2667065267380728</v>
      </c>
      <c r="L230" s="7">
        <v>2.2419295853961039</v>
      </c>
      <c r="M230" s="15">
        <v>0.36055254612190663</v>
      </c>
      <c r="N230" s="7">
        <v>6.9702637768798592</v>
      </c>
      <c r="O230" s="7">
        <v>0.98807199566753789</v>
      </c>
      <c r="P230" s="7">
        <v>3.1090466990060941</v>
      </c>
      <c r="W230" s="134">
        <f>V228+I230/3</f>
        <v>-0.10192225586324719</v>
      </c>
      <c r="X230" s="134">
        <f>V228+I230/5</f>
        <v>-9.7302396734133101E-2</v>
      </c>
      <c r="Y230" s="134"/>
      <c r="AA230" s="134"/>
    </row>
    <row r="231" spans="1:27">
      <c r="C231" s="111"/>
      <c r="D231" s="100"/>
      <c r="F231" s="100"/>
      <c r="G231" s="100"/>
      <c r="K231" s="100"/>
      <c r="L231" s="7"/>
      <c r="N231" s="7"/>
      <c r="O231" s="7"/>
      <c r="P231" s="7"/>
      <c r="AA231" s="134"/>
    </row>
    <row r="232" spans="1:27">
      <c r="A232" s="184" t="s">
        <v>376</v>
      </c>
      <c r="B232" t="s">
        <v>30</v>
      </c>
      <c r="C232" s="198">
        <v>30.68140346979478</v>
      </c>
      <c r="D232" s="100">
        <v>11.04830995765735</v>
      </c>
      <c r="E232" s="13">
        <v>0.63990206743527267</v>
      </c>
      <c r="F232" s="100">
        <v>47.672898628775528</v>
      </c>
      <c r="G232" s="100">
        <v>0.55380436477452988</v>
      </c>
      <c r="H232" s="13">
        <v>-0.39642550713667812</v>
      </c>
      <c r="I232" s="13">
        <v>-0.1042548516561277</v>
      </c>
      <c r="J232" s="13">
        <v>8.398510916885038E-2</v>
      </c>
      <c r="K232" s="100">
        <v>4.314949418642481</v>
      </c>
      <c r="L232" s="7">
        <v>19.407943011998359</v>
      </c>
      <c r="M232" s="15">
        <v>0.36743627027671388</v>
      </c>
      <c r="N232" s="7">
        <v>40.57054320457349</v>
      </c>
      <c r="O232" s="7">
        <v>0.32231705907829039</v>
      </c>
      <c r="P232" s="7">
        <v>2.0904092298442971</v>
      </c>
      <c r="Q232" s="109">
        <v>0.2219868178582087</v>
      </c>
      <c r="R232" s="109">
        <v>4.1864773266578031E-2</v>
      </c>
      <c r="S232" s="109">
        <v>1.4902451913592201E-2</v>
      </c>
      <c r="U232" s="134">
        <f>C232*S232</f>
        <v>0.4572281398501376</v>
      </c>
      <c r="V232" s="134">
        <f>(1+S232)*Q232*(1-U232)+S232</f>
        <v>0.13718621954895033</v>
      </c>
      <c r="W232" s="134">
        <f>V232+I232/3</f>
        <v>0.1024346023302411</v>
      </c>
      <c r="X232" s="134">
        <f>V232+I232/5</f>
        <v>0.11633524921772478</v>
      </c>
      <c r="Y232" s="134"/>
      <c r="AA232" s="134"/>
    </row>
    <row r="233" spans="1:27">
      <c r="A233" t="s">
        <v>377</v>
      </c>
      <c r="B233" t="s">
        <v>32</v>
      </c>
      <c r="C233" s="198">
        <v>58.487919969162327</v>
      </c>
      <c r="D233" s="100">
        <v>21.571425012994631</v>
      </c>
      <c r="E233" s="13">
        <v>0.63118153245374198</v>
      </c>
      <c r="F233" s="100">
        <v>90.356653711562899</v>
      </c>
      <c r="G233" s="100">
        <v>0.54487719445662131</v>
      </c>
      <c r="H233" s="13">
        <v>-0.26465114414080948</v>
      </c>
      <c r="I233" s="13">
        <v>-7.9402300689735306E-2</v>
      </c>
      <c r="J233" s="13">
        <v>9.2014134730200814E-2</v>
      </c>
      <c r="K233" s="100">
        <v>4.1887197372047531</v>
      </c>
      <c r="L233" s="7">
        <v>39.4640189183432</v>
      </c>
      <c r="M233" s="15">
        <v>0.32526205515343087</v>
      </c>
      <c r="N233" s="7">
        <v>90.356653711562899</v>
      </c>
      <c r="O233" s="7">
        <v>0.54487719445662131</v>
      </c>
      <c r="P233" s="7">
        <v>2.289595844217589</v>
      </c>
      <c r="S233" s="109">
        <v>1.3679689910722589E-2</v>
      </c>
      <c r="U233" s="134">
        <f>C233*S233</f>
        <v>0.80009660870130017</v>
      </c>
      <c r="V233" s="134">
        <f>(1+S233)*R232*(1-U233)+S233</f>
        <v>2.2163084158431927E-2</v>
      </c>
      <c r="W233" s="134">
        <f>V233+I233/3</f>
        <v>-4.304349404813175E-3</v>
      </c>
      <c r="X233" s="134">
        <f>V233+I233/5</f>
        <v>6.2826240204848643E-3</v>
      </c>
      <c r="Y233" s="134"/>
      <c r="AA233" s="134"/>
    </row>
    <row r="234" spans="1:27">
      <c r="B234" t="s">
        <v>34</v>
      </c>
      <c r="C234" s="198">
        <v>6.810867123683547</v>
      </c>
      <c r="D234" s="100">
        <v>2.6203262194162131</v>
      </c>
      <c r="E234" s="13">
        <v>0.61527274400868759</v>
      </c>
      <c r="F234" s="100">
        <v>10.22894310581672</v>
      </c>
      <c r="G234" s="100">
        <v>0.50185621302865191</v>
      </c>
      <c r="H234" s="13">
        <v>-0.46976016739775289</v>
      </c>
      <c r="I234" s="13">
        <v>-0.23767760295298579</v>
      </c>
      <c r="J234" s="13">
        <v>5.0245026344263088E-2</v>
      </c>
      <c r="K234" s="100">
        <v>3.903690704623656</v>
      </c>
      <c r="L234" s="7">
        <v>3.1388567017602802</v>
      </c>
      <c r="M234" s="15">
        <v>0.53913992965073732</v>
      </c>
      <c r="N234" s="7">
        <v>7.6692689957394649</v>
      </c>
      <c r="O234" s="7">
        <v>0.126034153429742</v>
      </c>
      <c r="P234" s="7">
        <v>2.4433319913707812</v>
      </c>
      <c r="W234" s="134">
        <f>V232+I234/3</f>
        <v>5.7960351897955065E-2</v>
      </c>
      <c r="X234" s="134">
        <f>V232+I234/5</f>
        <v>8.9650698958353175E-2</v>
      </c>
      <c r="Y234" s="134"/>
      <c r="AA234" s="134"/>
    </row>
    <row r="235" spans="1:27">
      <c r="B235" t="s">
        <v>35</v>
      </c>
      <c r="C235" s="195">
        <v>2.4485835083427419</v>
      </c>
      <c r="D235" s="100">
        <v>2.2488592116708421</v>
      </c>
      <c r="E235" s="13">
        <v>8.156728001777569E-2</v>
      </c>
      <c r="F235" s="100">
        <v>7.7807724901753446</v>
      </c>
      <c r="G235" s="100">
        <v>2.1776627032179721</v>
      </c>
      <c r="H235" s="13">
        <v>0.1752727283748039</v>
      </c>
      <c r="I235" s="13">
        <v>0.46980061730991701</v>
      </c>
      <c r="J235" s="13">
        <v>1.014017889824024</v>
      </c>
      <c r="K235" s="100">
        <v>3.459875322472695</v>
      </c>
      <c r="L235" s="7">
        <v>2.2488592116708421</v>
      </c>
      <c r="M235" s="15">
        <v>8.156728001777569E-2</v>
      </c>
      <c r="N235" s="7">
        <v>6.0433548872041918</v>
      </c>
      <c r="O235" s="7">
        <v>1.468102421915956</v>
      </c>
      <c r="P235" s="7">
        <v>2.6872980112944198</v>
      </c>
      <c r="W235" s="134">
        <f>V233+I235/3</f>
        <v>0.17876328992840426</v>
      </c>
      <c r="X235" s="134">
        <f>V233+I235/5</f>
        <v>0.11612320762041534</v>
      </c>
      <c r="Y235" s="134"/>
      <c r="AA235" s="134"/>
    </row>
    <row r="236" spans="1:27">
      <c r="C236" s="111"/>
      <c r="D236" s="100"/>
      <c r="F236" s="100"/>
      <c r="G236" s="100"/>
      <c r="K236" s="100"/>
      <c r="L236" s="7"/>
      <c r="N236" s="7"/>
      <c r="O236" s="7"/>
      <c r="P236" s="7"/>
      <c r="AA236" s="134"/>
    </row>
    <row r="237" spans="1:27">
      <c r="A237" t="s">
        <v>378</v>
      </c>
      <c r="B237" t="s">
        <v>30</v>
      </c>
      <c r="C237" s="196">
        <v>51.773965256335018</v>
      </c>
      <c r="D237" s="100">
        <v>18.654380957195951</v>
      </c>
      <c r="E237" s="13">
        <v>0.63969572612726588</v>
      </c>
      <c r="F237" s="100">
        <v>-18.938484578819761</v>
      </c>
      <c r="G237" s="100">
        <v>-1.3657916577386831</v>
      </c>
      <c r="H237" s="13">
        <v>-0.22587914770705281</v>
      </c>
      <c r="I237" s="13">
        <v>1.024856948968953</v>
      </c>
      <c r="J237" s="13">
        <v>-4.5394831599266814</v>
      </c>
      <c r="K237" s="100">
        <v>-1.0152298606035599</v>
      </c>
      <c r="L237" s="7">
        <v>23.248157808244621</v>
      </c>
      <c r="M237" s="15">
        <v>0.55096818076146881</v>
      </c>
      <c r="N237" s="7">
        <v>-235.80287492920061</v>
      </c>
      <c r="O237" s="7">
        <v>-5.5544681339690882</v>
      </c>
      <c r="P237" s="7">
        <v>-10.142862796878321</v>
      </c>
      <c r="Q237" s="109">
        <v>6.5711921042311466E-2</v>
      </c>
      <c r="R237" s="109">
        <v>1.9280831327997971E-2</v>
      </c>
      <c r="S237" s="109">
        <v>5.9579958021402091E-3</v>
      </c>
      <c r="U237" s="134">
        <f>C237*S237</f>
        <v>0.30846906765739707</v>
      </c>
      <c r="V237" s="134">
        <f>(1+S237)*Q237*(1-U237)+S237</f>
        <v>5.1670564035248404E-2</v>
      </c>
      <c r="W237" s="134">
        <f>V237+I237/3</f>
        <v>0.39328954702489938</v>
      </c>
      <c r="X237" s="134">
        <f>V237+I237/5</f>
        <v>0.25664195382903898</v>
      </c>
      <c r="Y237" s="134"/>
      <c r="AA237" s="134"/>
    </row>
    <row r="238" spans="1:27">
      <c r="A238" t="s">
        <v>379</v>
      </c>
      <c r="B238" t="s">
        <v>32</v>
      </c>
      <c r="C238" s="196">
        <v>110.9352058186324</v>
      </c>
      <c r="D238" s="100">
        <v>12.45013930530455</v>
      </c>
      <c r="E238" s="13">
        <v>0.88777107128949451</v>
      </c>
      <c r="F238" s="100">
        <v>-22.614357109880519</v>
      </c>
      <c r="G238" s="100">
        <v>-1.2038519417077811</v>
      </c>
      <c r="H238" s="13">
        <v>-0.52978997578154174</v>
      </c>
      <c r="I238" s="13">
        <v>-33.381347068366757</v>
      </c>
      <c r="J238" s="13">
        <v>-1.612846237187785</v>
      </c>
      <c r="K238" s="100">
        <v>-1.81639390173292</v>
      </c>
      <c r="L238" s="7">
        <v>12.45013930530455</v>
      </c>
      <c r="M238" s="15">
        <v>0.88777107128949451</v>
      </c>
      <c r="N238" s="7">
        <v>-29.21897148429338</v>
      </c>
      <c r="O238" s="7">
        <v>-1.2633877250118719</v>
      </c>
      <c r="P238" s="7">
        <v>-2.3468790804488622</v>
      </c>
      <c r="S238" s="109">
        <v>1.4690540090286541E-2</v>
      </c>
      <c r="U238" s="134">
        <f>C238*S238</f>
        <v>1.6296980885028078</v>
      </c>
      <c r="V238" s="134">
        <f>(1+S238)*R237*(1-U238)+S238</f>
        <v>2.3710781033456987E-3</v>
      </c>
      <c r="W238" s="134">
        <f>V238+I238/3</f>
        <v>-11.12474461135224</v>
      </c>
      <c r="X238" s="134">
        <f>V238+I238/5</f>
        <v>-6.673898335570005</v>
      </c>
      <c r="Y238" s="134"/>
      <c r="AA238" s="134"/>
    </row>
    <row r="239" spans="1:27">
      <c r="B239" t="s">
        <v>34</v>
      </c>
      <c r="C239" s="198">
        <v>3.4021667169716641</v>
      </c>
      <c r="D239" s="100">
        <v>1.818775944930388</v>
      </c>
      <c r="E239" s="13">
        <v>0.46540657873776481</v>
      </c>
      <c r="F239" s="100">
        <v>6.6984374850385997</v>
      </c>
      <c r="G239" s="100">
        <v>0.96887396835185435</v>
      </c>
      <c r="H239" s="13">
        <v>-0.21564398346798891</v>
      </c>
      <c r="I239" s="13">
        <v>-8.414476437664542E-2</v>
      </c>
      <c r="J239" s="13">
        <v>0.10766899619254459</v>
      </c>
      <c r="K239" s="100">
        <v>3.6829371444622749</v>
      </c>
      <c r="L239" s="7">
        <v>1.818775944930388</v>
      </c>
      <c r="M239" s="15">
        <v>0.46540657873776481</v>
      </c>
      <c r="N239" s="7">
        <v>6.6984374850385997</v>
      </c>
      <c r="O239" s="7">
        <v>0.96887396835185435</v>
      </c>
      <c r="P239" s="7">
        <v>3.6829371444622749</v>
      </c>
      <c r="W239" s="134">
        <f>V237+I239/3</f>
        <v>2.3622309243033265E-2</v>
      </c>
      <c r="X239" s="134">
        <f>V237+I239/5</f>
        <v>3.4841611159919322E-2</v>
      </c>
      <c r="Y239" s="134"/>
      <c r="AA239" s="134"/>
    </row>
    <row r="240" spans="1:27">
      <c r="B240" t="s">
        <v>35</v>
      </c>
      <c r="C240" s="195">
        <v>2.1389229917257908</v>
      </c>
      <c r="D240" s="100">
        <v>1.725983733320521</v>
      </c>
      <c r="E240" s="13">
        <v>0.19305943224823169</v>
      </c>
      <c r="F240" s="100">
        <v>6.3546176100810374</v>
      </c>
      <c r="G240" s="100">
        <v>1.9709426822112051</v>
      </c>
      <c r="H240" s="13">
        <v>0.16819821671871241</v>
      </c>
      <c r="I240" s="13">
        <v>0.4362543201860738</v>
      </c>
      <c r="J240" s="13">
        <v>0.90417119726214312</v>
      </c>
      <c r="K240" s="100">
        <v>3.6817366742244748</v>
      </c>
      <c r="L240" s="7">
        <v>1.725983733320521</v>
      </c>
      <c r="M240" s="15">
        <v>0.19305943224823169</v>
      </c>
      <c r="N240" s="7">
        <v>6.3546176100810374</v>
      </c>
      <c r="O240" s="7">
        <v>1.9709426822112051</v>
      </c>
      <c r="P240" s="7">
        <v>3.6817366742244748</v>
      </c>
      <c r="W240" s="134">
        <f>V238+I240/3</f>
        <v>0.14778918483203696</v>
      </c>
      <c r="X240" s="134">
        <f>V238+I240/5</f>
        <v>8.9621942140560462E-2</v>
      </c>
      <c r="Y240" s="134"/>
      <c r="AA240" s="134"/>
    </row>
    <row r="241" spans="1:27">
      <c r="C241" s="111"/>
      <c r="D241" s="100"/>
      <c r="F241" s="100"/>
      <c r="G241" s="100"/>
      <c r="K241" s="100"/>
      <c r="L241" s="7"/>
      <c r="N241" s="7"/>
      <c r="O241" s="7"/>
      <c r="P241" s="7"/>
      <c r="AA241" s="134"/>
    </row>
    <row r="242" spans="1:27">
      <c r="A242" t="s">
        <v>380</v>
      </c>
      <c r="B242" t="s">
        <v>30</v>
      </c>
      <c r="C242" s="196">
        <v>69.586425553344043</v>
      </c>
      <c r="D242" s="100">
        <v>15.36706198858756</v>
      </c>
      <c r="E242" s="13">
        <v>0.77916580904407318</v>
      </c>
      <c r="F242" s="100">
        <v>106.8845237748455</v>
      </c>
      <c r="G242" s="100">
        <v>0.53599675403515623</v>
      </c>
      <c r="H242" s="13">
        <v>-0.5456121573732724</v>
      </c>
      <c r="I242" s="13">
        <v>-0.32736693777272557</v>
      </c>
      <c r="J242" s="13">
        <v>-8.1352742396939015E-2</v>
      </c>
      <c r="K242" s="100">
        <v>6.9554299874773662</v>
      </c>
      <c r="L242" s="7">
        <v>15.36706198858756</v>
      </c>
      <c r="M242" s="15">
        <v>0.77916580904407318</v>
      </c>
      <c r="N242" s="7">
        <v>106.8845237748455</v>
      </c>
      <c r="O242" s="7">
        <v>0.53599675403515623</v>
      </c>
      <c r="P242" s="7">
        <v>6.9554299874773662</v>
      </c>
      <c r="Q242" s="109">
        <v>5.213450290898819E-2</v>
      </c>
      <c r="R242" s="109">
        <v>1.243747502930408E-2</v>
      </c>
      <c r="S242" s="109">
        <v>5.3314210051117654E-3</v>
      </c>
      <c r="U242" s="134">
        <f>C242*S242</f>
        <v>0.37099453086574452</v>
      </c>
      <c r="V242" s="134">
        <f>(1+S242)*Q242*(1-U242)+S242</f>
        <v>3.8299141154485468E-2</v>
      </c>
      <c r="W242" s="134">
        <f>V242+I242/3</f>
        <v>-7.0823171436423055E-2</v>
      </c>
      <c r="X242" s="134">
        <f>V242+I242/5</f>
        <v>-2.7174246400059644E-2</v>
      </c>
      <c r="Y242" s="134"/>
      <c r="AA242" s="134"/>
    </row>
    <row r="243" spans="1:27">
      <c r="A243" t="s">
        <v>381</v>
      </c>
      <c r="B243" t="s">
        <v>32</v>
      </c>
      <c r="C243" s="196">
        <v>166.18525474080201</v>
      </c>
      <c r="D243" s="100">
        <v>20.808946679880961</v>
      </c>
      <c r="E243" s="13">
        <v>0.87478463891193869</v>
      </c>
      <c r="F243" s="100">
        <v>-38.452714099171061</v>
      </c>
      <c r="G243" s="100">
        <v>-1.2313846325243809</v>
      </c>
      <c r="H243" s="13">
        <v>-0.77014169914321418</v>
      </c>
      <c r="I243" s="13">
        <v>-0.62521781412663646</v>
      </c>
      <c r="J243" s="13">
        <v>-4.1109809603250842E-2</v>
      </c>
      <c r="K243" s="100">
        <v>-1.84789334562277</v>
      </c>
      <c r="L243" s="7">
        <v>20.808946679880961</v>
      </c>
      <c r="M243" s="15">
        <v>0.87478463891193869</v>
      </c>
      <c r="N243" s="7">
        <v>249.7289975296809</v>
      </c>
      <c r="O243" s="7">
        <v>0.50271453336327343</v>
      </c>
      <c r="P243" s="7">
        <v>12.001039810973721</v>
      </c>
      <c r="S243" s="109">
        <v>7.6621913220324559E-3</v>
      </c>
      <c r="U243" s="134">
        <f>C243*S243</f>
        <v>1.2733432167247263</v>
      </c>
      <c r="V243" s="134">
        <f>(1+S243)*R242*(1-U243)+S243</f>
        <v>4.2364427421002319E-3</v>
      </c>
      <c r="W243" s="134">
        <f>V243+I243/3</f>
        <v>-0.20416949530011194</v>
      </c>
      <c r="X243" s="134">
        <f>V243+I243/5</f>
        <v>-0.12080712008322707</v>
      </c>
      <c r="Y243" s="134"/>
      <c r="AA243" s="134"/>
    </row>
    <row r="244" spans="1:27">
      <c r="B244" t="s">
        <v>34</v>
      </c>
      <c r="C244" s="197">
        <v>3.6278537054369049</v>
      </c>
      <c r="D244" s="100">
        <v>2.3022388813275341</v>
      </c>
      <c r="E244" s="13">
        <v>0.36539919515572822</v>
      </c>
      <c r="F244" s="100">
        <v>9.5524144206378221</v>
      </c>
      <c r="G244" s="100">
        <v>1.6330759717025081</v>
      </c>
      <c r="H244" s="13">
        <v>-6.4803959958377066E-2</v>
      </c>
      <c r="I244" s="13">
        <v>0.28229994838516492</v>
      </c>
      <c r="J244" s="13">
        <v>0.66722295892629391</v>
      </c>
      <c r="K244" s="100">
        <v>4.1491847340922501</v>
      </c>
      <c r="L244" s="7">
        <v>2.3022388813275341</v>
      </c>
      <c r="M244" s="15">
        <v>0.36539919515572822</v>
      </c>
      <c r="N244" s="7">
        <v>9.5524144206378221</v>
      </c>
      <c r="O244" s="7">
        <v>1.6330759717025081</v>
      </c>
      <c r="P244" s="7">
        <v>4.1491847340922501</v>
      </c>
      <c r="W244" s="134">
        <f>V242+I244/3</f>
        <v>0.13239912394954045</v>
      </c>
      <c r="X244" s="134">
        <f>V242+I244/5</f>
        <v>9.4759130831518462E-2</v>
      </c>
      <c r="Y244" s="134"/>
      <c r="AA244" s="134"/>
    </row>
    <row r="245" spans="1:27">
      <c r="B245" t="s">
        <v>35</v>
      </c>
      <c r="C245" s="195">
        <v>2.066924956077262</v>
      </c>
      <c r="D245" s="100">
        <v>1.9105344822543719</v>
      </c>
      <c r="E245" s="13">
        <v>7.5663353603170003E-2</v>
      </c>
      <c r="F245" s="100">
        <v>10.0555257717961</v>
      </c>
      <c r="G245" s="100">
        <v>3.8649689686267541</v>
      </c>
      <c r="H245" s="13">
        <v>0.22167033508669931</v>
      </c>
      <c r="I245" s="13">
        <v>0.62332659498008458</v>
      </c>
      <c r="J245" s="13">
        <v>0.99516078328537372</v>
      </c>
      <c r="K245" s="100">
        <v>5.263200358431054</v>
      </c>
      <c r="L245" s="7">
        <v>1.9105344822543719</v>
      </c>
      <c r="M245" s="15">
        <v>7.5663353603170003E-2</v>
      </c>
      <c r="N245" s="7">
        <v>10.0555257717961</v>
      </c>
      <c r="O245" s="7">
        <v>3.8649689686267541</v>
      </c>
      <c r="P245" s="7">
        <v>5.263200358431054</v>
      </c>
      <c r="W245" s="134">
        <f>V243+I245/3</f>
        <v>0.21201197440212841</v>
      </c>
      <c r="X245" s="134">
        <f>V243+I245/5</f>
        <v>0.12890176173811715</v>
      </c>
      <c r="Y245" s="134"/>
      <c r="AA245" s="134"/>
    </row>
    <row r="246" spans="1:27">
      <c r="C246" s="111"/>
      <c r="D246" s="100"/>
      <c r="F246" s="100"/>
      <c r="G246" s="100"/>
      <c r="K246" s="100"/>
      <c r="L246" s="7"/>
      <c r="N246" s="7"/>
      <c r="O246" s="7"/>
      <c r="P246" s="7"/>
      <c r="AA246" s="134"/>
    </row>
    <row r="247" spans="1:27">
      <c r="A247" s="184" t="s">
        <v>382</v>
      </c>
      <c r="B247" t="s">
        <v>30</v>
      </c>
      <c r="C247" s="197">
        <v>55.76787380357348</v>
      </c>
      <c r="D247" s="100">
        <v>28.220722523216779</v>
      </c>
      <c r="E247" s="13">
        <v>0.49396093846761541</v>
      </c>
      <c r="F247" s="100">
        <v>145.48868392004911</v>
      </c>
      <c r="G247" s="100">
        <v>1.608826085650884</v>
      </c>
      <c r="H247" s="13">
        <v>-0.28271649721325232</v>
      </c>
      <c r="I247" s="13">
        <v>2.8498984768501101E-2</v>
      </c>
      <c r="J247" s="13">
        <v>0.28688190814676617</v>
      </c>
      <c r="K247" s="100">
        <v>5.1553847992501831</v>
      </c>
      <c r="L247" s="7">
        <v>32.795948373697897</v>
      </c>
      <c r="M247" s="15">
        <v>0.41192040978265859</v>
      </c>
      <c r="N247" s="7">
        <v>145.48868392004911</v>
      </c>
      <c r="O247" s="7">
        <v>1.608826085650884</v>
      </c>
      <c r="P247" s="7">
        <v>4.4361785871309003</v>
      </c>
      <c r="Q247" s="109">
        <v>0.1463028937163357</v>
      </c>
      <c r="R247" s="109">
        <v>9.0518038031256812E-2</v>
      </c>
      <c r="S247" s="109">
        <v>5.4836083603532048E-3</v>
      </c>
      <c r="U247" s="134">
        <f>C247*S247</f>
        <v>0.30580917902839799</v>
      </c>
      <c r="V247" s="134">
        <f>(1+S247)*Q247*(1-U247)+S247</f>
        <v>0.10760266118249485</v>
      </c>
      <c r="W247" s="134">
        <f>V247+I247/3</f>
        <v>0.11710232277199523</v>
      </c>
      <c r="X247" s="134">
        <f>V247+I247/5</f>
        <v>0.11330245813619508</v>
      </c>
      <c r="Y247" s="134"/>
      <c r="AA247" s="134"/>
    </row>
    <row r="248" spans="1:27">
      <c r="A248" t="s">
        <v>383</v>
      </c>
      <c r="B248" t="s">
        <v>32</v>
      </c>
      <c r="C248" s="197">
        <v>49.03062446030011</v>
      </c>
      <c r="D248" s="100">
        <v>31.41769438957861</v>
      </c>
      <c r="E248" s="13">
        <v>0.35922304201902672</v>
      </c>
      <c r="F248" s="100">
        <v>163.00164475674731</v>
      </c>
      <c r="G248" s="100">
        <v>2.3244864113188912</v>
      </c>
      <c r="H248" s="13">
        <v>-0.1197756842051472</v>
      </c>
      <c r="I248" s="13">
        <v>0.30259394317797828</v>
      </c>
      <c r="J248" s="13">
        <v>0.66081489991310605</v>
      </c>
      <c r="K248" s="100">
        <v>5.1882115452372508</v>
      </c>
      <c r="L248" s="7">
        <v>35.17330044908477</v>
      </c>
      <c r="M248" s="15">
        <v>0.2826258927710692</v>
      </c>
      <c r="N248" s="7">
        <v>163.00164475674731</v>
      </c>
      <c r="O248" s="7">
        <v>2.3244864113188912</v>
      </c>
      <c r="P248" s="7">
        <v>4.6342436642447282</v>
      </c>
      <c r="S248" s="109">
        <v>5.1817860694481268E-3</v>
      </c>
      <c r="U248" s="134">
        <f>C248*S248</f>
        <v>0.25406620680472569</v>
      </c>
      <c r="V248" s="134">
        <f>(1+S248)*R247*(1-U248)+S248</f>
        <v>7.3052126127663791E-2</v>
      </c>
      <c r="W248" s="134">
        <f>V248+I248/3</f>
        <v>0.17391677385365656</v>
      </c>
      <c r="X248" s="134">
        <f>V248+I248/5</f>
        <v>0.13357091476325944</v>
      </c>
      <c r="Y248" s="134"/>
      <c r="AA248" s="134"/>
    </row>
    <row r="249" spans="1:27">
      <c r="B249" t="s">
        <v>34</v>
      </c>
      <c r="C249" s="196">
        <v>8.1590013138702329</v>
      </c>
      <c r="D249" s="100">
        <v>2.9736675745277661</v>
      </c>
      <c r="E249" s="13">
        <v>0.63553534799993772</v>
      </c>
      <c r="F249" s="100">
        <v>15.42435027673006</v>
      </c>
      <c r="G249" s="100">
        <v>0.89047037540106699</v>
      </c>
      <c r="H249" s="13">
        <v>-0.43181003832683201</v>
      </c>
      <c r="I249" s="13">
        <v>-0.28219110563071792</v>
      </c>
      <c r="J249" s="13">
        <v>-7.7059925821317266E-2</v>
      </c>
      <c r="K249" s="100">
        <v>5.1869786686494459</v>
      </c>
      <c r="L249" s="7">
        <v>3.3463058673658592</v>
      </c>
      <c r="M249" s="15">
        <v>0.5898633008335018</v>
      </c>
      <c r="N249" s="7">
        <v>15.42435027673006</v>
      </c>
      <c r="O249" s="7">
        <v>0.89047037540106699</v>
      </c>
      <c r="P249" s="7">
        <v>4.6093665337507774</v>
      </c>
      <c r="W249" s="134">
        <f>V247+I249/3</f>
        <v>1.3538959305588877E-2</v>
      </c>
      <c r="X249" s="134">
        <f>V247+I249/5</f>
        <v>5.1164440056351269E-2</v>
      </c>
      <c r="Y249" s="134"/>
      <c r="AA249" s="134"/>
    </row>
    <row r="250" spans="1:27">
      <c r="B250" t="s">
        <v>35</v>
      </c>
      <c r="C250" s="197">
        <v>4.4381559295937159</v>
      </c>
      <c r="D250" s="100">
        <v>2.4195023773578219</v>
      </c>
      <c r="E250" s="13">
        <v>0.45484061043810331</v>
      </c>
      <c r="F250" s="100">
        <v>14.6616987006083</v>
      </c>
      <c r="G250" s="100">
        <v>2.3035564620079669</v>
      </c>
      <c r="H250" s="13">
        <v>-0.24093584450216929</v>
      </c>
      <c r="I250" s="13">
        <v>5.9449442984817802E-2</v>
      </c>
      <c r="J250" s="13">
        <v>0.41943870615305978</v>
      </c>
      <c r="K250" s="100">
        <v>6.0597992536875962</v>
      </c>
      <c r="L250" s="7">
        <v>2.4195023773578219</v>
      </c>
      <c r="M250" s="15">
        <v>0.45484061043810331</v>
      </c>
      <c r="N250" s="7">
        <v>14.6616987006083</v>
      </c>
      <c r="O250" s="7">
        <v>2.3035564620079669</v>
      </c>
      <c r="P250" s="7">
        <v>6.0597992536875962</v>
      </c>
      <c r="W250" s="134">
        <f>V248+I250/3</f>
        <v>9.2868607122603059E-2</v>
      </c>
      <c r="X250" s="134">
        <f>V248+I250/5</f>
        <v>8.4942014724627354E-2</v>
      </c>
      <c r="Y250" s="134"/>
      <c r="AA250" s="134"/>
    </row>
    <row r="251" spans="1:27">
      <c r="C251" s="111"/>
      <c r="D251" s="100"/>
      <c r="F251" s="100"/>
      <c r="G251" s="100"/>
      <c r="K251" s="100"/>
      <c r="L251" s="7"/>
      <c r="N251" s="7"/>
      <c r="O251" s="7"/>
      <c r="P251" s="7"/>
      <c r="AA251" s="134"/>
    </row>
    <row r="252" spans="1:27">
      <c r="A252" t="s">
        <v>384</v>
      </c>
      <c r="B252" t="s">
        <v>30</v>
      </c>
      <c r="C252" s="196">
        <v>119.2196230897614</v>
      </c>
      <c r="D252" s="100">
        <v>35.312588122287117</v>
      </c>
      <c r="E252" s="13">
        <v>0.70380221638764962</v>
      </c>
      <c r="F252" s="100">
        <v>168.46655277888021</v>
      </c>
      <c r="G252" s="100">
        <v>0.41307738116266601</v>
      </c>
      <c r="H252" s="13">
        <v>-0.53038204866871508</v>
      </c>
      <c r="I252" s="13">
        <v>-0.35299035599917949</v>
      </c>
      <c r="J252" s="13">
        <v>-0.1158797001301687</v>
      </c>
      <c r="K252" s="100">
        <v>4.7707223326560566</v>
      </c>
      <c r="L252" s="7">
        <v>46.708749616720219</v>
      </c>
      <c r="M252" s="15">
        <v>0.60821257099971848</v>
      </c>
      <c r="N252" s="7">
        <v>168.46655277888021</v>
      </c>
      <c r="O252" s="7">
        <v>0.41307738116266601</v>
      </c>
      <c r="P252" s="7">
        <v>3.606745077983732</v>
      </c>
      <c r="Q252" s="109">
        <v>7.0943268095023243E-2</v>
      </c>
      <c r="R252" s="109">
        <v>-4.6528217241958228E-2</v>
      </c>
      <c r="S252" s="109">
        <v>2.6582196138182699E-3</v>
      </c>
      <c r="U252" s="134">
        <f>C252*S252</f>
        <v>0.31691194044922527</v>
      </c>
      <c r="V252" s="134">
        <f>(1+S252)*Q252*(1-U252)+S252</f>
        <v>5.1247537604882334E-2</v>
      </c>
      <c r="W252" s="134">
        <f>V252+I252/3</f>
        <v>-6.6415914394844164E-2</v>
      </c>
      <c r="X252" s="134">
        <f>V252+I252/5</f>
        <v>-1.9350533594953562E-2</v>
      </c>
      <c r="Y252" s="134"/>
      <c r="AA252" s="134"/>
    </row>
    <row r="253" spans="1:27">
      <c r="A253" t="s">
        <v>385</v>
      </c>
      <c r="B253" t="s">
        <v>32</v>
      </c>
      <c r="C253" s="195">
        <v>-57.449047805544552</v>
      </c>
      <c r="D253" s="100">
        <v>36.450529697980031</v>
      </c>
      <c r="E253" s="13">
        <v>1.6344844882609539</v>
      </c>
      <c r="F253" s="100">
        <v>-44.250366431696612</v>
      </c>
      <c r="G253" s="100">
        <v>-0.22974586834795371</v>
      </c>
      <c r="H253" s="13">
        <v>-1.89262748401513</v>
      </c>
      <c r="I253" s="13">
        <v>-2.4054246763822782</v>
      </c>
      <c r="J253" s="13">
        <v>-3.927881209621825</v>
      </c>
      <c r="K253" s="100">
        <v>-1.213984180705852</v>
      </c>
      <c r="L253" s="7">
        <v>41.625843217978868</v>
      </c>
      <c r="M253" s="15">
        <v>1.7245697676117351</v>
      </c>
      <c r="N253" s="7">
        <v>-44.250366431696612</v>
      </c>
      <c r="O253" s="7">
        <v>-0.22974586834795371</v>
      </c>
      <c r="P253" s="7">
        <v>-1.063050331496568</v>
      </c>
      <c r="S253" s="109">
        <v>1.52761583697481E-3</v>
      </c>
      <c r="U253" s="134">
        <f>C253*S253</f>
        <v>-8.7760075246872807E-2</v>
      </c>
      <c r="V253" s="134">
        <f>(1+S253)*R252*(1-U253)+S253</f>
        <v>-4.9161236236830108E-2</v>
      </c>
      <c r="W253" s="134">
        <f>V253+I253/3</f>
        <v>-0.85096946169758947</v>
      </c>
      <c r="X253" s="134">
        <f>V253+I253/5</f>
        <v>-0.53024617151328579</v>
      </c>
      <c r="Y253" s="134"/>
      <c r="AA253" s="134"/>
    </row>
    <row r="254" spans="1:27">
      <c r="B254" t="s">
        <v>34</v>
      </c>
      <c r="C254" s="197">
        <v>8.4578296830445669</v>
      </c>
      <c r="D254" s="100">
        <v>4.9157700334823176</v>
      </c>
      <c r="E254" s="13">
        <v>0.41879060968359588</v>
      </c>
      <c r="F254" s="100">
        <v>28.369559405590291</v>
      </c>
      <c r="G254" s="100">
        <v>2.3542363075083932</v>
      </c>
      <c r="H254" s="13">
        <v>-0.1797311760789114</v>
      </c>
      <c r="I254" s="13">
        <v>1.683458930756521E-2</v>
      </c>
      <c r="J254" s="13">
        <v>0.26229077106468401</v>
      </c>
      <c r="K254" s="100">
        <v>5.7711323378350494</v>
      </c>
      <c r="L254" s="7">
        <v>5.4011389184735643</v>
      </c>
      <c r="M254" s="15">
        <v>0.36140367909024679</v>
      </c>
      <c r="N254" s="7">
        <v>28.369559405590291</v>
      </c>
      <c r="O254" s="7">
        <v>2.3542363075083932</v>
      </c>
      <c r="P254" s="7">
        <v>5.2525143000039538</v>
      </c>
      <c r="W254" s="134">
        <f>V252+I254/3</f>
        <v>5.6859067374070739E-2</v>
      </c>
      <c r="X254" s="134">
        <f>V252+I254/5</f>
        <v>5.4614455466395373E-2</v>
      </c>
      <c r="Y254" s="134"/>
      <c r="AA254" s="134"/>
    </row>
    <row r="255" spans="1:27">
      <c r="B255" t="s">
        <v>35</v>
      </c>
      <c r="C255" s="195">
        <v>2.67300177664002</v>
      </c>
      <c r="D255" s="100">
        <v>2.4521768857213391</v>
      </c>
      <c r="E255" s="13">
        <v>8.2613073005981752E-2</v>
      </c>
      <c r="F255" s="100">
        <v>28.083997296264009</v>
      </c>
      <c r="G255" s="100">
        <v>9.5065389562014335</v>
      </c>
      <c r="H255" s="13">
        <v>0.71484823102185402</v>
      </c>
      <c r="I255" s="13">
        <v>2.1378447264039191</v>
      </c>
      <c r="J255" s="13">
        <v>3.090412664614417</v>
      </c>
      <c r="K255" s="100">
        <v>11.452680049221961</v>
      </c>
      <c r="L255" s="7">
        <v>2.4521768857213391</v>
      </c>
      <c r="M255" s="15">
        <v>8.2613073005981752E-2</v>
      </c>
      <c r="N255" s="7">
        <v>28.083997296264009</v>
      </c>
      <c r="O255" s="7">
        <v>9.5065389562014335</v>
      </c>
      <c r="P255" s="7">
        <v>11.452680049221961</v>
      </c>
      <c r="W255" s="134">
        <f>V253+I255/3</f>
        <v>0.66345367256447629</v>
      </c>
      <c r="X255" s="134">
        <f>V253+I255/5</f>
        <v>0.37840770904395371</v>
      </c>
      <c r="Y255" s="134"/>
      <c r="AA255" s="134"/>
    </row>
    <row r="256" spans="1:27">
      <c r="C256" s="111"/>
      <c r="D256" s="100"/>
      <c r="F256" s="100"/>
      <c r="G256" s="100"/>
      <c r="K256" s="100"/>
      <c r="L256" s="7"/>
      <c r="N256" s="7"/>
      <c r="O256" s="7"/>
      <c r="P256" s="7"/>
      <c r="AA256" s="134"/>
    </row>
    <row r="257" spans="1:27">
      <c r="A257" t="s">
        <v>386</v>
      </c>
      <c r="B257" t="s">
        <v>30</v>
      </c>
      <c r="C257" s="196">
        <v>54.386298517724008</v>
      </c>
      <c r="D257" s="100">
        <v>17.092708423197259</v>
      </c>
      <c r="E257" s="13">
        <v>0.68571664391488429</v>
      </c>
      <c r="F257" s="100">
        <v>108.2491529721118</v>
      </c>
      <c r="G257" s="100">
        <v>0.99037544238893926</v>
      </c>
      <c r="H257" s="13">
        <v>-0.55356148540235517</v>
      </c>
      <c r="I257" s="13">
        <v>-0.33576936588889361</v>
      </c>
      <c r="J257" s="13">
        <v>-0.10676756873461531</v>
      </c>
      <c r="K257" s="100">
        <v>6.3330602905038864</v>
      </c>
      <c r="L257" s="7">
        <v>19.347153269020339</v>
      </c>
      <c r="M257" s="15">
        <v>0.64426420263340267</v>
      </c>
      <c r="N257" s="7">
        <v>108.2491529721118</v>
      </c>
      <c r="O257" s="7">
        <v>0.99037544238893926</v>
      </c>
      <c r="P257" s="7">
        <v>5.5950946098848551</v>
      </c>
      <c r="Q257" s="109">
        <v>7.1992169837595321E-2</v>
      </c>
      <c r="R257" s="109">
        <v>4.0737173958247802E-2</v>
      </c>
      <c r="S257" s="109">
        <v>9.0420240687142349E-3</v>
      </c>
      <c r="U257" s="134">
        <f>C257*S257</f>
        <v>0.49176222020553778</v>
      </c>
      <c r="V257" s="134">
        <f>(1+S257)*Q257*(1-U257)+S257</f>
        <v>4.5962004519164254E-2</v>
      </c>
      <c r="W257" s="134">
        <f>V257+I257/3</f>
        <v>-6.5961117443800288E-2</v>
      </c>
      <c r="X257" s="134">
        <f>V257+I257/5</f>
        <v>-2.1191868658614471E-2</v>
      </c>
      <c r="Y257" s="134"/>
      <c r="AA257" s="134"/>
    </row>
    <row r="258" spans="1:27">
      <c r="A258" t="s">
        <v>387</v>
      </c>
      <c r="B258" t="s">
        <v>32</v>
      </c>
      <c r="C258" s="196">
        <v>74.458153102791741</v>
      </c>
      <c r="D258" s="100">
        <v>21.542908202422481</v>
      </c>
      <c r="E258" s="13">
        <v>0.71067092984858427</v>
      </c>
      <c r="F258" s="100">
        <v>174.44814823194969</v>
      </c>
      <c r="G258" s="100">
        <v>1.342901898078491</v>
      </c>
      <c r="H258" s="13">
        <v>-0.5387167182077337</v>
      </c>
      <c r="I258" s="13">
        <v>-0.39818023511736172</v>
      </c>
      <c r="J258" s="13">
        <v>-0.17884321586561641</v>
      </c>
      <c r="K258" s="100">
        <v>8.0977065209948371</v>
      </c>
      <c r="L258" s="7">
        <v>21.542908202422481</v>
      </c>
      <c r="M258" s="15">
        <v>0.71067092984858427</v>
      </c>
      <c r="N258" s="7">
        <v>174.44814823194969</v>
      </c>
      <c r="O258" s="7">
        <v>1.342901898078491</v>
      </c>
      <c r="P258" s="7">
        <v>8.0977065209948371</v>
      </c>
      <c r="S258" s="109">
        <v>8.4593331053725331E-3</v>
      </c>
      <c r="U258" s="134">
        <f>C258*S258</f>
        <v>0.62986631950734273</v>
      </c>
      <c r="V258" s="134">
        <f>(1+S258)*R257*(1-U258)+S258</f>
        <v>2.3665084752937871E-2</v>
      </c>
      <c r="W258" s="134">
        <f>V258+I258/3</f>
        <v>-0.10906166028618271</v>
      </c>
      <c r="X258" s="134">
        <f>V258+I258/5</f>
        <v>-5.5970962270534483E-2</v>
      </c>
      <c r="Y258" s="134"/>
      <c r="AA258" s="134"/>
    </row>
    <row r="259" spans="1:27">
      <c r="B259" t="s">
        <v>34</v>
      </c>
      <c r="C259" s="198">
        <v>3.9153876397261458</v>
      </c>
      <c r="D259" s="100">
        <v>1.9351736419466341</v>
      </c>
      <c r="E259" s="13">
        <v>0.50575171093864268</v>
      </c>
      <c r="F259" s="100">
        <v>6.7315673465172177</v>
      </c>
      <c r="G259" s="100">
        <v>0.71925948741771162</v>
      </c>
      <c r="H259" s="13">
        <v>-0.31893440840779852</v>
      </c>
      <c r="I259" s="13">
        <v>-0.17810082563647511</v>
      </c>
      <c r="J259" s="13">
        <v>7.1283500655560328E-2</v>
      </c>
      <c r="K259" s="100">
        <v>3.4785340191724532</v>
      </c>
      <c r="L259" s="7">
        <v>1.980806017832996</v>
      </c>
      <c r="M259" s="15">
        <v>0.49409708562814503</v>
      </c>
      <c r="N259" s="7">
        <v>6.7315673465172177</v>
      </c>
      <c r="O259" s="7">
        <v>0.71925948741771162</v>
      </c>
      <c r="P259" s="7">
        <v>3.3983980692271718</v>
      </c>
      <c r="W259" s="134">
        <f>V257+I259/3</f>
        <v>-1.3404937359660786E-2</v>
      </c>
      <c r="X259" s="134">
        <f>V257+I259/5</f>
        <v>1.034183939186923E-2</v>
      </c>
      <c r="Y259" s="134"/>
      <c r="AA259" s="134"/>
    </row>
    <row r="260" spans="1:27">
      <c r="B260" t="s">
        <v>35</v>
      </c>
      <c r="C260" s="197">
        <v>3.0332147355582761</v>
      </c>
      <c r="D260" s="100">
        <v>1.916405257175871</v>
      </c>
      <c r="E260" s="13">
        <v>0.36819334460237318</v>
      </c>
      <c r="F260" s="100">
        <v>6.6952586857609342</v>
      </c>
      <c r="G260" s="100">
        <v>1.2073144401128739</v>
      </c>
      <c r="H260" s="13">
        <v>-0.16023656080242149</v>
      </c>
      <c r="I260" s="13">
        <v>2.467165812607108E-2</v>
      </c>
      <c r="J260" s="13">
        <v>0.35592323703248652</v>
      </c>
      <c r="K260" s="100">
        <v>3.493654935818463</v>
      </c>
      <c r="L260" s="7">
        <v>1.916405257175871</v>
      </c>
      <c r="M260" s="15">
        <v>0.36819334460237318</v>
      </c>
      <c r="N260" s="7">
        <v>6.6952586857609342</v>
      </c>
      <c r="O260" s="7">
        <v>1.2073144401128739</v>
      </c>
      <c r="P260" s="7">
        <v>3.493654935818463</v>
      </c>
      <c r="W260" s="134">
        <f>V258+I260/3</f>
        <v>3.1888970794961564E-2</v>
      </c>
      <c r="X260" s="134">
        <f>V258+I260/5</f>
        <v>2.8599416378152089E-2</v>
      </c>
      <c r="Y260" s="134"/>
      <c r="AA260" s="134"/>
    </row>
    <row r="261" spans="1:27">
      <c r="C261" s="111"/>
      <c r="D261" s="100"/>
      <c r="F261" s="100"/>
      <c r="G261" s="100"/>
      <c r="K261" s="100"/>
      <c r="L261" s="7"/>
      <c r="N261" s="7"/>
      <c r="O261" s="7"/>
      <c r="P261" s="7"/>
      <c r="AA261" s="134"/>
    </row>
    <row r="262" spans="1:27">
      <c r="A262" t="s">
        <v>388</v>
      </c>
      <c r="B262" t="s">
        <v>30</v>
      </c>
      <c r="C262" s="196">
        <v>50.494424831766167</v>
      </c>
      <c r="D262" s="100">
        <v>22.82846424706506</v>
      </c>
      <c r="E262" s="13">
        <v>0.54790129161539392</v>
      </c>
      <c r="F262" s="100">
        <v>86.305664773733426</v>
      </c>
      <c r="G262" s="100">
        <v>0.70921176072963843</v>
      </c>
      <c r="H262" s="13">
        <v>-0.35762663588319932</v>
      </c>
      <c r="I262" s="13">
        <v>-0.25859497987979441</v>
      </c>
      <c r="J262" s="13">
        <v>-0.15343672038372599</v>
      </c>
      <c r="K262" s="100">
        <v>3.780616332297924</v>
      </c>
      <c r="L262" s="7">
        <v>22.82846424706506</v>
      </c>
      <c r="M262" s="15">
        <v>0.54790129161539392</v>
      </c>
      <c r="N262" s="7">
        <v>86.305664773733426</v>
      </c>
      <c r="O262" s="7">
        <v>0.70921176072963843</v>
      </c>
      <c r="P262" s="7">
        <v>3.780616332297924</v>
      </c>
      <c r="Q262" s="109">
        <v>7.6670289816919729E-2</v>
      </c>
      <c r="R262" s="109">
        <v>3.8993749337398263E-2</v>
      </c>
      <c r="S262" s="109">
        <v>7.5839537901143126E-3</v>
      </c>
      <c r="U262" s="134">
        <f>C262*S262</f>
        <v>0.38294738458251526</v>
      </c>
      <c r="V262" s="134">
        <f>(1+S262)*Q262*(1-U262)+S262</f>
        <v>5.5252350488352371E-2</v>
      </c>
      <c r="W262" s="134">
        <f>V262+I262/3</f>
        <v>-3.0945976138245769E-2</v>
      </c>
      <c r="X262" s="134">
        <f>V262+I262/5</f>
        <v>3.5333545123934912E-3</v>
      </c>
      <c r="Y262" s="134"/>
      <c r="AA262" s="134"/>
    </row>
    <row r="263" spans="1:27">
      <c r="A263" t="s">
        <v>389</v>
      </c>
      <c r="B263" t="s">
        <v>32</v>
      </c>
      <c r="C263" s="196">
        <v>65.862042155425797</v>
      </c>
      <c r="D263" s="100">
        <v>23.540111570301729</v>
      </c>
      <c r="E263" s="13">
        <v>0.64258454794416875</v>
      </c>
      <c r="F263" s="100">
        <v>113.5443399274931</v>
      </c>
      <c r="G263" s="100">
        <v>0.72397235511682578</v>
      </c>
      <c r="H263" s="13">
        <v>-0.38215786297781462</v>
      </c>
      <c r="I263" s="13">
        <v>-0.20977531946532679</v>
      </c>
      <c r="J263" s="13">
        <v>-8.0292341991512362E-2</v>
      </c>
      <c r="K263" s="100">
        <v>4.8234410269635646</v>
      </c>
      <c r="L263" s="7">
        <v>23.540111570301729</v>
      </c>
      <c r="M263" s="15">
        <v>0.64258454794416875</v>
      </c>
      <c r="N263" s="7">
        <v>113.5443399274931</v>
      </c>
      <c r="O263" s="7">
        <v>0.72397235511682578</v>
      </c>
      <c r="P263" s="7">
        <v>4.8234410269635646</v>
      </c>
      <c r="S263" s="109">
        <v>9.7902106473543148E-3</v>
      </c>
      <c r="U263" s="134">
        <f>C263*S263</f>
        <v>0.64480326636654839</v>
      </c>
      <c r="V263" s="134">
        <f>(1+S263)*R262*(1-U263)+S263</f>
        <v>2.3776261890645235E-2</v>
      </c>
      <c r="W263" s="134">
        <f>V263+I263/3</f>
        <v>-4.6148844597797029E-2</v>
      </c>
      <c r="X263" s="134">
        <f>V263+I263/5</f>
        <v>-1.8178802002420124E-2</v>
      </c>
      <c r="Y263" s="134"/>
      <c r="AA263" s="134"/>
    </row>
    <row r="264" spans="1:27">
      <c r="B264" t="s">
        <v>34</v>
      </c>
      <c r="C264" s="198">
        <v>3.871422185990181</v>
      </c>
      <c r="D264" s="100">
        <v>2.534333163407851</v>
      </c>
      <c r="E264" s="13">
        <v>0.34537411792001349</v>
      </c>
      <c r="F264" s="100">
        <v>7.180686020642626</v>
      </c>
      <c r="G264" s="100">
        <v>0.85479280627877219</v>
      </c>
      <c r="H264" s="13">
        <v>-0.12596224540075859</v>
      </c>
      <c r="I264" s="13">
        <v>-5.5630218451384614E-3</v>
      </c>
      <c r="J264" s="13">
        <v>0.15912835709439041</v>
      </c>
      <c r="K264" s="100">
        <v>2.833363081192902</v>
      </c>
      <c r="L264" s="7">
        <v>2.534333163407851</v>
      </c>
      <c r="M264" s="15">
        <v>0.34537411792001349</v>
      </c>
      <c r="N264" s="7">
        <v>7.180686020642626</v>
      </c>
      <c r="O264" s="7">
        <v>0.85479280627877219</v>
      </c>
      <c r="P264" s="7">
        <v>2.833363081192902</v>
      </c>
      <c r="W264" s="134">
        <f>V262+I264/3</f>
        <v>5.3398009873306215E-2</v>
      </c>
      <c r="X264" s="134">
        <f>V262+I264/5</f>
        <v>5.4139746119324678E-2</v>
      </c>
      <c r="Y264" s="134"/>
      <c r="AA264" s="134"/>
    </row>
    <row r="265" spans="1:27">
      <c r="B265" t="s">
        <v>35</v>
      </c>
      <c r="C265" s="195">
        <v>2.5682079626578309</v>
      </c>
      <c r="D265" s="100">
        <v>1.959006872632971</v>
      </c>
      <c r="E265" s="13">
        <v>0.2372086290840715</v>
      </c>
      <c r="F265" s="100">
        <v>7.6427219435781444</v>
      </c>
      <c r="G265" s="100">
        <v>1.9758968333969</v>
      </c>
      <c r="H265" s="13">
        <v>0.20151670134480121</v>
      </c>
      <c r="I265" s="13">
        <v>0.40469178062222899</v>
      </c>
      <c r="J265" s="13">
        <v>0.87982428552570213</v>
      </c>
      <c r="K265" s="100">
        <v>3.9013247224120611</v>
      </c>
      <c r="L265" s="7">
        <v>1.959006872632971</v>
      </c>
      <c r="M265" s="15">
        <v>0.2372086290840715</v>
      </c>
      <c r="N265" s="7">
        <v>7.3528195750077749</v>
      </c>
      <c r="O265" s="7">
        <v>1.8630156443399399</v>
      </c>
      <c r="P265" s="7">
        <v>3.7533403673695842</v>
      </c>
      <c r="W265" s="134">
        <f>V263+I265/3</f>
        <v>0.15867352209805491</v>
      </c>
      <c r="X265" s="134">
        <f>V263+I265/5</f>
        <v>0.10471461801509103</v>
      </c>
      <c r="Y265" s="134"/>
      <c r="AA265" s="134"/>
    </row>
    <row r="266" spans="1:27">
      <c r="C266" s="111"/>
      <c r="D266" s="100"/>
      <c r="F266" s="100"/>
      <c r="G266" s="100"/>
      <c r="K266" s="100"/>
      <c r="L266" s="7"/>
      <c r="N266" s="7"/>
      <c r="O266" s="7"/>
      <c r="P266" s="7"/>
      <c r="AA266" s="134"/>
    </row>
    <row r="267" spans="1:27">
      <c r="A267" s="184" t="s">
        <v>390</v>
      </c>
      <c r="B267" t="s">
        <v>30</v>
      </c>
      <c r="C267" s="198">
        <v>33.236584082561627</v>
      </c>
      <c r="D267" s="100">
        <v>17.710921002241079</v>
      </c>
      <c r="E267" s="13">
        <v>0.46712571429584621</v>
      </c>
      <c r="F267" s="100">
        <v>55.659280914760558</v>
      </c>
      <c r="G267" s="100">
        <v>0.67463902958558086</v>
      </c>
      <c r="H267" s="13">
        <v>-0.11640943905924581</v>
      </c>
      <c r="I267" s="13">
        <v>-2.122281974164197E-3</v>
      </c>
      <c r="J267" s="13">
        <v>0.16390902719811851</v>
      </c>
      <c r="K267" s="100">
        <v>3.1426531069568679</v>
      </c>
      <c r="L267" s="7">
        <v>17.710921002241079</v>
      </c>
      <c r="M267" s="15">
        <v>0.46712571429584621</v>
      </c>
      <c r="N267" s="7">
        <v>55.659280914760558</v>
      </c>
      <c r="O267" s="7">
        <v>0.67463902958558086</v>
      </c>
      <c r="P267" s="7">
        <v>3.1426531069568679</v>
      </c>
      <c r="Q267" s="109">
        <v>7.4565561791238591E-2</v>
      </c>
      <c r="R267" s="109">
        <v>5.6109375788348542E-2</v>
      </c>
      <c r="S267" s="109">
        <v>1.91645461386005E-2</v>
      </c>
      <c r="U267" s="134">
        <f>C267*S267</f>
        <v>0.63696404913972726</v>
      </c>
      <c r="V267" s="134">
        <f>(1+S267)*Q267*(1-U267)+S267</f>
        <v>4.6753309638432668E-2</v>
      </c>
      <c r="W267" s="134">
        <f>V267+I267/3</f>
        <v>4.6045882313711269E-2</v>
      </c>
      <c r="X267" s="134">
        <f>V267+I267/5</f>
        <v>4.6328853243599831E-2</v>
      </c>
      <c r="Y267" s="134"/>
      <c r="AA267" s="37"/>
    </row>
    <row r="268" spans="1:27">
      <c r="A268" t="s">
        <v>391</v>
      </c>
      <c r="B268" t="s">
        <v>32</v>
      </c>
      <c r="C268" s="197">
        <v>36.793520865907091</v>
      </c>
      <c r="D268" s="100">
        <v>20.446268271726861</v>
      </c>
      <c r="E268" s="13">
        <v>0.4442970449541187</v>
      </c>
      <c r="F268" s="100">
        <v>71.820933976579809</v>
      </c>
      <c r="G268" s="100">
        <v>0.95199949029964004</v>
      </c>
      <c r="H268" s="13">
        <v>-7.0118617248193571E-2</v>
      </c>
      <c r="I268" s="13">
        <v>7.491028204393535E-2</v>
      </c>
      <c r="J268" s="13">
        <v>0.2526306572624113</v>
      </c>
      <c r="K268" s="100">
        <v>3.512667104925641</v>
      </c>
      <c r="L268" s="7">
        <v>20.446268271726861</v>
      </c>
      <c r="M268" s="15">
        <v>0.4442970449541187</v>
      </c>
      <c r="N268" s="7">
        <v>71.820933976579809</v>
      </c>
      <c r="O268" s="7">
        <v>0.95199949029964004</v>
      </c>
      <c r="P268" s="7">
        <v>3.512667104925641</v>
      </c>
      <c r="S268" s="109">
        <v>1.4347810127608961E-2</v>
      </c>
      <c r="U268" s="134">
        <f>C268*S268</f>
        <v>0.52790645131025338</v>
      </c>
      <c r="V268" s="134">
        <f>(1+S268)*R267*(1-U268)+S268</f>
        <v>4.1216741797687778E-2</v>
      </c>
      <c r="W268" s="134">
        <f>V268+I268/3</f>
        <v>6.6186835812332895E-2</v>
      </c>
      <c r="X268" s="134">
        <f>V268+I268/5</f>
        <v>5.6198798206474845E-2</v>
      </c>
      <c r="Y268" s="134"/>
      <c r="AA268" s="134"/>
    </row>
    <row r="269" spans="1:27">
      <c r="B269" t="s">
        <v>34</v>
      </c>
      <c r="C269" s="195">
        <v>2.4783045641379462</v>
      </c>
      <c r="D269" s="100">
        <v>2.2939109691900361</v>
      </c>
      <c r="E269" s="13">
        <v>7.4403121237058167E-2</v>
      </c>
      <c r="F269" s="100">
        <v>7.9776891342302854</v>
      </c>
      <c r="G269" s="100">
        <v>2.2190107905503722</v>
      </c>
      <c r="H269" s="13">
        <v>0.5337346971468655</v>
      </c>
      <c r="I269" s="13">
        <v>0.81185760200516377</v>
      </c>
      <c r="J269" s="13">
        <v>1.1259876881769151</v>
      </c>
      <c r="K269" s="100">
        <v>3.4777675513043782</v>
      </c>
      <c r="L269" s="7">
        <v>2.2939109691900361</v>
      </c>
      <c r="M269" s="15">
        <v>7.4403121237058167E-2</v>
      </c>
      <c r="N269" s="7">
        <v>7.9776891342302854</v>
      </c>
      <c r="O269" s="7">
        <v>2.2190107905503722</v>
      </c>
      <c r="P269" s="7">
        <v>3.4777675513043782</v>
      </c>
      <c r="W269" s="134">
        <f>V267+I269/3</f>
        <v>0.31737251030682057</v>
      </c>
      <c r="X269" s="134">
        <f>V267+I269/5</f>
        <v>0.20912483003946541</v>
      </c>
      <c r="Y269" s="134"/>
      <c r="AA269" s="134"/>
    </row>
    <row r="270" spans="1:27">
      <c r="B270" t="s">
        <v>35</v>
      </c>
      <c r="C270" s="195">
        <v>2.0644614888416242</v>
      </c>
      <c r="D270" s="100">
        <v>1.9228832718874529</v>
      </c>
      <c r="E270" s="13">
        <v>6.8578763866218195E-2</v>
      </c>
      <c r="F270" s="100">
        <v>8.4051596364973662</v>
      </c>
      <c r="G270" s="100">
        <v>3.0713569528553069</v>
      </c>
      <c r="H270" s="13">
        <v>0.5387347945606189</v>
      </c>
      <c r="I270" s="13">
        <v>0.96570934204461367</v>
      </c>
      <c r="J270" s="13">
        <v>1.3197575974762119</v>
      </c>
      <c r="K270" s="100">
        <v>4.3711231770439589</v>
      </c>
      <c r="L270" s="7">
        <v>1.9228832718874529</v>
      </c>
      <c r="M270" s="15">
        <v>6.8578763866218195E-2</v>
      </c>
      <c r="N270" s="7">
        <v>8.4051596364973662</v>
      </c>
      <c r="O270" s="7">
        <v>3.0713569528553069</v>
      </c>
      <c r="P270" s="7">
        <v>4.3711231770439589</v>
      </c>
      <c r="W270" s="134">
        <f>V268+I270/3</f>
        <v>0.36311985581255901</v>
      </c>
      <c r="X270" s="134">
        <f>V268+I270/5</f>
        <v>0.2343586102066105</v>
      </c>
      <c r="Y270" s="134"/>
      <c r="AA270" s="134"/>
    </row>
    <row r="271" spans="1:27">
      <c r="C271" s="111"/>
      <c r="D271" s="100"/>
      <c r="F271" s="100"/>
      <c r="G271" s="100"/>
      <c r="K271" s="100"/>
      <c r="L271" s="7"/>
      <c r="N271" s="7"/>
      <c r="O271" s="7"/>
      <c r="P271" s="7"/>
      <c r="AA271" s="134"/>
    </row>
    <row r="272" spans="1:27">
      <c r="A272" t="s">
        <v>264</v>
      </c>
      <c r="B272" t="s">
        <v>30</v>
      </c>
      <c r="C272" s="197">
        <v>19.02567494504067</v>
      </c>
      <c r="D272" s="100">
        <v>14.952548686713531</v>
      </c>
      <c r="E272" s="13">
        <v>0.21408576936656129</v>
      </c>
      <c r="F272" s="100">
        <v>65.012357787069945</v>
      </c>
      <c r="G272" s="100">
        <v>2.4170854897327261</v>
      </c>
      <c r="H272" s="13">
        <v>-2.562473777309349E-2</v>
      </c>
      <c r="I272" s="13">
        <v>0.55539047092694016</v>
      </c>
      <c r="J272" s="13">
        <v>0.92738888406787212</v>
      </c>
      <c r="K272" s="100">
        <v>4.3479114597258146</v>
      </c>
      <c r="L272" s="7">
        <v>14.952548686713531</v>
      </c>
      <c r="M272" s="15">
        <v>0.21408576936656129</v>
      </c>
      <c r="N272" s="7">
        <v>65.012357787069945</v>
      </c>
      <c r="O272" s="7">
        <v>2.4170854897327261</v>
      </c>
      <c r="P272" s="7">
        <v>4.3479114597258146</v>
      </c>
      <c r="Q272" s="109">
        <v>0.1130528463380906</v>
      </c>
      <c r="R272" s="109">
        <v>8.6909669044819879E-2</v>
      </c>
      <c r="S272" s="109">
        <v>1.1627024984345299E-2</v>
      </c>
      <c r="U272" s="134">
        <f>C272*S272</f>
        <v>0.22121199793002025</v>
      </c>
      <c r="V272" s="134">
        <f>(1+S272)*Q272*(1-U272)+S272</f>
        <v>0.10069491742925127</v>
      </c>
      <c r="W272" s="134">
        <f>V272+I272/3</f>
        <v>0.28582507440489802</v>
      </c>
      <c r="X272" s="134">
        <f>V272+I272/5</f>
        <v>0.21177301161463929</v>
      </c>
      <c r="Y272" s="134"/>
      <c r="AA272" s="134"/>
    </row>
    <row r="273" spans="1:27">
      <c r="A273" t="s">
        <v>392</v>
      </c>
      <c r="B273" t="s">
        <v>32</v>
      </c>
      <c r="C273" s="197">
        <v>19.8484811736102</v>
      </c>
      <c r="D273" s="100">
        <v>16.07465943595172</v>
      </c>
      <c r="E273" s="13">
        <v>0.1901315120612864</v>
      </c>
      <c r="F273" s="100">
        <v>107.6020520364273</v>
      </c>
      <c r="G273" s="100">
        <v>4.4211730910418936</v>
      </c>
      <c r="H273" s="13">
        <v>-6.6152452916350413E-3</v>
      </c>
      <c r="I273" s="13">
        <v>1.0653745887521</v>
      </c>
      <c r="J273" s="13">
        <v>2.033644457594995</v>
      </c>
      <c r="K273" s="100">
        <v>6.6938931095342724</v>
      </c>
      <c r="L273" s="7">
        <v>16.07465943595172</v>
      </c>
      <c r="M273" s="15">
        <v>0.1901315120612864</v>
      </c>
      <c r="N273" s="7">
        <v>107.6020520364273</v>
      </c>
      <c r="O273" s="7">
        <v>4.4211730910418936</v>
      </c>
      <c r="P273" s="7">
        <v>6.6938931095342724</v>
      </c>
      <c r="S273" s="109">
        <v>9.5244480419841258E-3</v>
      </c>
      <c r="U273" s="134">
        <f>C273*S273</f>
        <v>0.18904582765035044</v>
      </c>
      <c r="V273" s="134">
        <f>(1+S273)*R272*(1-U273)+S273</f>
        <v>8.0675487571437957E-2</v>
      </c>
      <c r="W273" s="134">
        <f>V273+I273/3</f>
        <v>0.43580035048880461</v>
      </c>
      <c r="X273" s="134">
        <f>V273+I273/5</f>
        <v>0.29375040532185798</v>
      </c>
      <c r="Y273" s="134"/>
      <c r="AA273" s="134"/>
    </row>
    <row r="274" spans="1:27">
      <c r="B274" t="s">
        <v>34</v>
      </c>
      <c r="C274" s="195">
        <v>2.1509067060401428</v>
      </c>
      <c r="D274" s="100">
        <v>1.800395131376362</v>
      </c>
      <c r="E274" s="13">
        <v>0.16295991531361179</v>
      </c>
      <c r="F274" s="100">
        <v>6.4477572684816566</v>
      </c>
      <c r="G274" s="100">
        <v>1.997692670897889</v>
      </c>
      <c r="H274" s="13">
        <v>3.9252757802774596E-3</v>
      </c>
      <c r="I274" s="13">
        <v>0.52047743804844737</v>
      </c>
      <c r="J274" s="13">
        <v>0.65583473762716893</v>
      </c>
      <c r="K274" s="100">
        <v>3.5813012133355921</v>
      </c>
      <c r="L274" s="7">
        <v>1.800395131376362</v>
      </c>
      <c r="M274" s="15">
        <v>0.16295991531361179</v>
      </c>
      <c r="N274" s="7">
        <v>6.4477572684816566</v>
      </c>
      <c r="O274" s="7">
        <v>1.997692670897889</v>
      </c>
      <c r="P274" s="7">
        <v>3.5813012133355921</v>
      </c>
      <c r="W274" s="134">
        <f>V272+I274/3</f>
        <v>0.27418739677873372</v>
      </c>
      <c r="X274" s="134">
        <f>V272+I274/5</f>
        <v>0.20479040503894075</v>
      </c>
      <c r="Y274" s="134"/>
      <c r="AA274" s="134"/>
    </row>
    <row r="275" spans="1:27">
      <c r="B275" t="s">
        <v>35</v>
      </c>
      <c r="C275" s="195">
        <v>1.7250249298408</v>
      </c>
      <c r="D275" s="100">
        <v>1.6027590663384019</v>
      </c>
      <c r="E275" s="13">
        <v>7.0877737119823814E-2</v>
      </c>
      <c r="F275" s="100">
        <v>8.2112432968953879</v>
      </c>
      <c r="G275" s="100">
        <v>3.7600722487258129</v>
      </c>
      <c r="H275" s="13">
        <v>8.4682967253783881E-2</v>
      </c>
      <c r="I275" s="13">
        <v>1.082500492201985</v>
      </c>
      <c r="J275" s="13">
        <v>1.5019343415602411</v>
      </c>
      <c r="K275" s="100">
        <v>5.1231925430030234</v>
      </c>
      <c r="L275" s="7">
        <v>1.6027590663384019</v>
      </c>
      <c r="M275" s="15">
        <v>7.0877737119823814E-2</v>
      </c>
      <c r="N275" s="7">
        <v>8.2112432968953879</v>
      </c>
      <c r="O275" s="7">
        <v>3.7600722487258129</v>
      </c>
      <c r="P275" s="7">
        <v>5.1231925430030234</v>
      </c>
      <c r="W275" s="134">
        <f>V273+I275/3</f>
        <v>0.44150898497209962</v>
      </c>
      <c r="X275" s="134">
        <f>V273+I275/5</f>
        <v>0.29717558601183497</v>
      </c>
      <c r="Y275" s="134"/>
      <c r="AA275" s="134"/>
    </row>
    <row r="276" spans="1:27">
      <c r="C276" s="111"/>
      <c r="D276" s="100"/>
      <c r="F276" s="100"/>
      <c r="G276" s="100"/>
      <c r="K276" s="100"/>
      <c r="L276" s="7"/>
      <c r="N276" s="7"/>
      <c r="O276" s="7"/>
      <c r="P276" s="7"/>
      <c r="AA276" s="134"/>
    </row>
    <row r="277" spans="1:27">
      <c r="A277" s="184" t="s">
        <v>266</v>
      </c>
      <c r="B277" t="s">
        <v>30</v>
      </c>
      <c r="C277" s="196">
        <v>76.269810285490834</v>
      </c>
      <c r="D277" s="100">
        <v>30.229346071335989</v>
      </c>
      <c r="E277" s="13">
        <v>0.60365253357544191</v>
      </c>
      <c r="F277" s="100">
        <v>110.2455378571029</v>
      </c>
      <c r="G277" s="100">
        <v>0.44546757680968629</v>
      </c>
      <c r="H277" s="13">
        <v>-0.4089844542328902</v>
      </c>
      <c r="I277" s="13">
        <v>-0.30622420332007261</v>
      </c>
      <c r="J277" s="13">
        <v>-0.1123595081772545</v>
      </c>
      <c r="K277" s="100">
        <v>3.6469706488834608</v>
      </c>
      <c r="L277" s="7">
        <v>41.260065382884548</v>
      </c>
      <c r="M277" s="15">
        <v>0.45902493754158907</v>
      </c>
      <c r="N277" s="7">
        <v>110.2455378571029</v>
      </c>
      <c r="O277" s="7">
        <v>0.44546757680968629</v>
      </c>
      <c r="P277" s="7">
        <v>2.6719671147887909</v>
      </c>
      <c r="Q277" s="109">
        <v>9.4266523482536058E-2</v>
      </c>
      <c r="R277" s="109">
        <v>3.3551028619315838E-2</v>
      </c>
      <c r="S277" s="109">
        <v>4.0680504292887106E-3</v>
      </c>
      <c r="U277" s="134">
        <f>C277*S277</f>
        <v>0.31026943447365951</v>
      </c>
      <c r="V277" s="134">
        <f>(1+S277)*Q277*(1-U277)+S277</f>
        <v>6.9351051528317956E-2</v>
      </c>
      <c r="W277" s="134">
        <f>V277+I277/3</f>
        <v>-3.2723682911706242E-2</v>
      </c>
      <c r="X277" s="134">
        <f>V277+I277/5</f>
        <v>8.106210864303437E-3</v>
      </c>
      <c r="Y277" s="134"/>
      <c r="AA277" s="37"/>
    </row>
    <row r="278" spans="1:27">
      <c r="A278" t="s">
        <v>393</v>
      </c>
      <c r="B278" t="s">
        <v>32</v>
      </c>
      <c r="C278" s="196">
        <v>136.50040207803619</v>
      </c>
      <c r="D278" s="100">
        <v>24.652735433913911</v>
      </c>
      <c r="E278" s="13">
        <v>0.81939441160165871</v>
      </c>
      <c r="F278" s="100">
        <v>-119.3632174941862</v>
      </c>
      <c r="G278" s="100">
        <v>-1.874453230005485</v>
      </c>
      <c r="H278" s="13">
        <v>-0.67388590846824403</v>
      </c>
      <c r="I278" s="13">
        <v>-0.59223025690693065</v>
      </c>
      <c r="J278" s="13">
        <v>-0.46378438700041202</v>
      </c>
      <c r="K278" s="100">
        <v>-4.8417838991604327</v>
      </c>
      <c r="L278" s="7">
        <v>24.652735433913911</v>
      </c>
      <c r="M278" s="15">
        <v>0.81939441160165871</v>
      </c>
      <c r="N278" s="7">
        <v>155.86776593762201</v>
      </c>
      <c r="O278" s="7">
        <v>0.14188503158044591</v>
      </c>
      <c r="P278" s="7">
        <v>6.3225343230350051</v>
      </c>
      <c r="S278" s="109">
        <v>5.3682775781674049E-3</v>
      </c>
      <c r="U278" s="134">
        <f>C278*S278</f>
        <v>0.73277204788635708</v>
      </c>
      <c r="V278" s="134">
        <f>(1+S278)*R277*(1-U278)+S278</f>
        <v>1.4382181003804659E-2</v>
      </c>
      <c r="W278" s="134">
        <f>V278+I278/3</f>
        <v>-0.18302790463183888</v>
      </c>
      <c r="X278" s="134">
        <f>V278+I278/5</f>
        <v>-0.10406387037758147</v>
      </c>
      <c r="Y278" s="134"/>
      <c r="AA278" s="134"/>
    </row>
    <row r="279" spans="1:27">
      <c r="B279" t="s">
        <v>34</v>
      </c>
      <c r="C279" s="198">
        <v>7.1896898622857917</v>
      </c>
      <c r="D279" s="100">
        <v>4.0103060078459833</v>
      </c>
      <c r="E279" s="13">
        <v>0.44221432569957869</v>
      </c>
      <c r="F279" s="100">
        <v>12.34923379900493</v>
      </c>
      <c r="G279" s="100">
        <v>0.71763094591659882</v>
      </c>
      <c r="H279" s="13">
        <v>-0.1972154049000534</v>
      </c>
      <c r="I279" s="13">
        <v>-7.0665321838779716E-2</v>
      </c>
      <c r="J279" s="13">
        <v>9.6398946343757341E-2</v>
      </c>
      <c r="K279" s="100">
        <v>3.0793744354780421</v>
      </c>
      <c r="L279" s="7">
        <v>4.6942194684956986</v>
      </c>
      <c r="M279" s="15">
        <v>0.34709013067174471</v>
      </c>
      <c r="N279" s="7">
        <v>12.34923379900493</v>
      </c>
      <c r="O279" s="7">
        <v>0.71763094591659882</v>
      </c>
      <c r="P279" s="7">
        <v>2.630732091220767</v>
      </c>
      <c r="W279" s="134">
        <f>V277+I279/3</f>
        <v>4.5795944248724713E-2</v>
      </c>
      <c r="X279" s="134">
        <f>V277+I279/5</f>
        <v>5.5217987160562011E-2</v>
      </c>
      <c r="Y279" s="134"/>
      <c r="AA279" s="134"/>
    </row>
    <row r="280" spans="1:27">
      <c r="B280" t="s">
        <v>35</v>
      </c>
      <c r="C280" s="197">
        <v>4.5797288966683123</v>
      </c>
      <c r="D280" s="100">
        <v>2.2220940860144021</v>
      </c>
      <c r="E280" s="13">
        <v>0.51479789827058453</v>
      </c>
      <c r="F280" s="100">
        <v>11.3848035106735</v>
      </c>
      <c r="G280" s="100">
        <v>1.4859121069275041</v>
      </c>
      <c r="H280" s="13">
        <v>-8.6679201573728215E-2</v>
      </c>
      <c r="I280" s="13">
        <v>0.19382757830584921</v>
      </c>
      <c r="J280" s="13">
        <v>0.51122945437740608</v>
      </c>
      <c r="K280" s="100">
        <v>5.1234570049612689</v>
      </c>
      <c r="L280" s="7">
        <v>2.2220940860144021</v>
      </c>
      <c r="M280" s="15">
        <v>0.51479789827058453</v>
      </c>
      <c r="N280" s="7">
        <v>11.3848035106735</v>
      </c>
      <c r="O280" s="7">
        <v>1.4859121069275041</v>
      </c>
      <c r="P280" s="7">
        <v>5.1234570049612689</v>
      </c>
      <c r="W280" s="134">
        <f>V278+I280/3</f>
        <v>7.8991373772421061E-2</v>
      </c>
      <c r="X280" s="134">
        <f>V278+I280/5</f>
        <v>5.31476966649745E-2</v>
      </c>
      <c r="Y280" s="134"/>
      <c r="AA280" s="134"/>
    </row>
    <row r="281" spans="1:27">
      <c r="A281" s="109">
        <f>2.08/C284-1</f>
        <v>1.8397331730442321</v>
      </c>
      <c r="B281" s="109">
        <f>2.21/C284-1</f>
        <v>2.0172164963594965</v>
      </c>
      <c r="C281" s="109">
        <f>2.54/C284-1</f>
        <v>2.4677510863136298</v>
      </c>
      <c r="D281" s="109">
        <f>2.95/C284-1</f>
        <v>3.0275061829233101</v>
      </c>
      <c r="F281" s="13"/>
      <c r="G281" s="100"/>
      <c r="K281" s="100"/>
      <c r="L281" s="7"/>
      <c r="N281" s="7"/>
      <c r="O281" s="7"/>
      <c r="P281" s="7"/>
      <c r="AA281" s="134"/>
    </row>
    <row r="282" spans="1:27">
      <c r="A282" s="34" t="s">
        <v>394</v>
      </c>
      <c r="B282" t="s">
        <v>30</v>
      </c>
      <c r="C282" s="197">
        <v>5.9251177114577311</v>
      </c>
      <c r="D282" s="100">
        <v>4.4631972226313348</v>
      </c>
      <c r="E282" s="13">
        <v>0.24673273342728691</v>
      </c>
      <c r="F282" s="100">
        <v>13.99648353472022</v>
      </c>
      <c r="G282" s="100">
        <v>1.3622287718697019</v>
      </c>
      <c r="H282" s="13">
        <v>-1.9655403238010741E-2</v>
      </c>
      <c r="I282" s="13">
        <v>0.1079211938709614</v>
      </c>
      <c r="J282" s="13">
        <v>0.24951808648327731</v>
      </c>
      <c r="K282" s="100">
        <v>3.1359769323544282</v>
      </c>
      <c r="L282" s="7">
        <v>5.350070919289581</v>
      </c>
      <c r="M282" s="15">
        <v>9.705238278323991E-2</v>
      </c>
      <c r="N282" s="7">
        <v>9.0846383936529342</v>
      </c>
      <c r="O282" s="7">
        <v>0.53324184194441604</v>
      </c>
      <c r="P282" s="7">
        <v>1.698040742020529</v>
      </c>
      <c r="Q282" s="109">
        <v>0.1236200222666697</v>
      </c>
      <c r="R282" s="109">
        <v>0.1202034950291979</v>
      </c>
      <c r="S282" s="109">
        <v>4.7903329931315533E-2</v>
      </c>
      <c r="U282" s="134">
        <f>C282*S282</f>
        <v>0.28383286861384094</v>
      </c>
      <c r="V282" s="134">
        <f>(1+S282)*Q282*(1-U282)+S282</f>
        <v>0.14067693285069638</v>
      </c>
      <c r="W282" s="134">
        <f>V282+I282/3</f>
        <v>0.17665066414101685</v>
      </c>
      <c r="X282" s="134">
        <f>V282+I282/5</f>
        <v>0.16226117162488865</v>
      </c>
      <c r="Y282" s="134"/>
      <c r="AA282" s="134"/>
    </row>
    <row r="283" spans="1:27">
      <c r="A283" t="s">
        <v>395</v>
      </c>
      <c r="B283" t="s">
        <v>32</v>
      </c>
      <c r="C283" s="197">
        <v>6.3991300485664393</v>
      </c>
      <c r="D283" s="100">
        <v>4.5719195833120541</v>
      </c>
      <c r="E283" s="13">
        <v>0.28554044868391532</v>
      </c>
      <c r="F283" s="100">
        <v>16.293143919559672</v>
      </c>
      <c r="G283" s="100">
        <v>1.5461498353529679</v>
      </c>
      <c r="H283" s="13">
        <v>-6.4520602364179114E-2</v>
      </c>
      <c r="I283" s="13">
        <v>0.1086685438470405</v>
      </c>
      <c r="J283" s="13">
        <v>0.33708383559134641</v>
      </c>
      <c r="K283" s="100">
        <v>3.5637424549266381</v>
      </c>
      <c r="L283" s="7">
        <v>5.5655006361408477</v>
      </c>
      <c r="M283" s="15">
        <v>0.13027230359419639</v>
      </c>
      <c r="N283" s="7">
        <v>9.8264084516269357</v>
      </c>
      <c r="O283" s="7">
        <v>0.53558505250698718</v>
      </c>
      <c r="P283" s="7">
        <v>1.7655929078180159</v>
      </c>
      <c r="S283" s="109">
        <v>4.0312995797919249E-2</v>
      </c>
      <c r="U283" s="134">
        <f>C283*S283</f>
        <v>0.25796810275819765</v>
      </c>
      <c r="V283" s="134">
        <f>(1+S283)*R282*(1-U283)+S283</f>
        <v>0.13310353397458974</v>
      </c>
      <c r="W283" s="134">
        <f>V283+I283/3</f>
        <v>0.16932638192360325</v>
      </c>
      <c r="X283" s="134">
        <f>V283+I283/5</f>
        <v>0.15483724274399785</v>
      </c>
      <c r="Y283" s="134"/>
      <c r="AA283" s="134"/>
    </row>
    <row r="284" spans="1:27">
      <c r="B284" t="s">
        <v>34</v>
      </c>
      <c r="C284" s="195">
        <v>0.73246318342304395</v>
      </c>
      <c r="D284" s="100">
        <v>0.71936383295809814</v>
      </c>
      <c r="E284" s="13">
        <v>1.7883971182999558E-2</v>
      </c>
      <c r="F284" s="100">
        <v>2.451482612197049</v>
      </c>
      <c r="G284" s="100">
        <v>2.3469021620178312</v>
      </c>
      <c r="H284" s="13">
        <v>0.20998513469108021</v>
      </c>
      <c r="I284" s="68">
        <v>0.40809458705880108</v>
      </c>
      <c r="J284" s="13">
        <v>0.86481174823900098</v>
      </c>
      <c r="K284" s="100">
        <v>3.4078480177635568</v>
      </c>
      <c r="L284" s="7">
        <v>0.71936383295809814</v>
      </c>
      <c r="M284" s="15">
        <v>1.7883971182999558E-2</v>
      </c>
      <c r="N284" s="7">
        <v>1.431324950837465</v>
      </c>
      <c r="O284" s="7">
        <v>0.95412545398992954</v>
      </c>
      <c r="P284" s="7">
        <v>1.9897093588257131</v>
      </c>
      <c r="W284" s="134">
        <f>V282+I284/3</f>
        <v>0.27670846187029674</v>
      </c>
      <c r="X284" s="134">
        <f>V282+I284/5</f>
        <v>0.2222958502624566</v>
      </c>
      <c r="Y284" s="134"/>
      <c r="AA284" s="134"/>
    </row>
    <row r="285" spans="1:27">
      <c r="B285" t="s">
        <v>35</v>
      </c>
      <c r="C285" s="195">
        <v>0.76919779698404678</v>
      </c>
      <c r="D285" s="100">
        <v>0.75700039406893505</v>
      </c>
      <c r="E285" s="13">
        <v>1.5857303495845469E-2</v>
      </c>
      <c r="F285" s="100">
        <v>2.64946827115328</v>
      </c>
      <c r="G285" s="100">
        <v>2.4444563954051861</v>
      </c>
      <c r="H285" s="13">
        <v>0.1862872804799014</v>
      </c>
      <c r="I285" s="13">
        <v>0.40953802274109469</v>
      </c>
      <c r="J285" s="13">
        <v>0.7371203565651121</v>
      </c>
      <c r="K285" s="100">
        <v>3.499956264107321</v>
      </c>
      <c r="L285" s="7">
        <v>0.75700039406893505</v>
      </c>
      <c r="M285" s="15">
        <v>1.5857303495845469E-2</v>
      </c>
      <c r="N285" s="7">
        <v>1.521258747308089</v>
      </c>
      <c r="O285" s="7">
        <v>0.97772114438289237</v>
      </c>
      <c r="P285" s="7">
        <v>2.0095877878361552</v>
      </c>
      <c r="W285" s="134">
        <f>V283+I285/3</f>
        <v>0.2696162082216213</v>
      </c>
      <c r="X285" s="134">
        <f>V283+I285/5</f>
        <v>0.21501113852280868</v>
      </c>
      <c r="Y285" s="134"/>
      <c r="AA285" s="134"/>
    </row>
    <row r="286" spans="1:27">
      <c r="C286" s="111"/>
      <c r="D286" s="100"/>
      <c r="F286" s="100"/>
      <c r="G286" s="100"/>
      <c r="K286" s="100"/>
      <c r="L286" s="7"/>
      <c r="N286" s="7"/>
      <c r="O286" s="7"/>
      <c r="P286" s="7"/>
      <c r="AA286" s="134"/>
    </row>
    <row r="287" spans="1:27">
      <c r="A287" s="184" t="s">
        <v>396</v>
      </c>
      <c r="B287" t="s">
        <v>30</v>
      </c>
      <c r="C287" s="197">
        <v>25.13752231420402</v>
      </c>
      <c r="D287" s="100">
        <v>10.42069270216219</v>
      </c>
      <c r="E287" s="13">
        <v>0.58545267222800434</v>
      </c>
      <c r="F287" s="100">
        <v>59.168219677010732</v>
      </c>
      <c r="G287" s="100">
        <v>1.35378089126857</v>
      </c>
      <c r="H287" s="13">
        <v>-0.23263066518109529</v>
      </c>
      <c r="I287" s="13">
        <v>1.26219413455031E-3</v>
      </c>
      <c r="J287" s="13">
        <v>0.22908863378939071</v>
      </c>
      <c r="K287" s="100">
        <v>5.6779545629182504</v>
      </c>
      <c r="L287" s="7">
        <v>10.42069270216219</v>
      </c>
      <c r="M287" s="15">
        <v>0.58545267222800434</v>
      </c>
      <c r="N287" s="7">
        <v>52.834539739791637</v>
      </c>
      <c r="O287" s="7">
        <v>1.1018197051957399</v>
      </c>
      <c r="P287" s="7">
        <v>5.0701562026513836</v>
      </c>
      <c r="Q287" s="109">
        <v>6.430835461524971E-2</v>
      </c>
      <c r="R287" s="109">
        <v>5.0491485786551903E-2</v>
      </c>
      <c r="S287" s="109">
        <v>1.324498425635263E-2</v>
      </c>
      <c r="U287" s="134">
        <f>C287*S287</f>
        <v>0.33294608729534514</v>
      </c>
      <c r="V287" s="134">
        <f>(1+S287)*Q287*(1-U287)+S287</f>
        <v>5.6710295760243667E-2</v>
      </c>
      <c r="W287" s="134">
        <f>V287+I287/3</f>
        <v>5.7131027138427104E-2</v>
      </c>
      <c r="X287" s="134">
        <f>V287+I287/5</f>
        <v>5.6962734587153729E-2</v>
      </c>
      <c r="Y287" s="134"/>
      <c r="AA287" s="134"/>
    </row>
    <row r="288" spans="1:27">
      <c r="A288" t="s">
        <v>397</v>
      </c>
      <c r="B288" t="s">
        <v>32</v>
      </c>
      <c r="C288" s="198">
        <v>32.327754906472677</v>
      </c>
      <c r="D288" s="100">
        <v>11.58148045052225</v>
      </c>
      <c r="E288" s="13">
        <v>0.64174807424677072</v>
      </c>
      <c r="F288" s="100">
        <v>68.550113432022158</v>
      </c>
      <c r="G288" s="100">
        <v>1.1204724432718649</v>
      </c>
      <c r="H288" s="13">
        <v>-0.28007598217791602</v>
      </c>
      <c r="I288" s="13">
        <v>-2.174059206966816E-2</v>
      </c>
      <c r="J288" s="13">
        <v>0.31212141322933512</v>
      </c>
      <c r="K288" s="100">
        <v>5.9189422047447318</v>
      </c>
      <c r="L288" s="7">
        <v>11.58148045052225</v>
      </c>
      <c r="M288" s="15">
        <v>0.64174807424677072</v>
      </c>
      <c r="N288" s="7">
        <v>67.822837090762263</v>
      </c>
      <c r="O288" s="7">
        <v>1.0979754791812879</v>
      </c>
      <c r="P288" s="7">
        <v>5.8561457130209904</v>
      </c>
      <c r="S288" s="109">
        <v>9.7015080844775579E-3</v>
      </c>
      <c r="U288" s="134">
        <f>C288*S288</f>
        <v>0.31362797557815369</v>
      </c>
      <c r="V288" s="134">
        <f>(1+S288)*R287*(1-U288)+S288</f>
        <v>4.4693666314109454E-2</v>
      </c>
      <c r="W288" s="134">
        <f>V288+I288/3</f>
        <v>3.7446802290886733E-2</v>
      </c>
      <c r="X288" s="134">
        <f>V288+I288/5</f>
        <v>4.0345547900175818E-2</v>
      </c>
      <c r="Y288" s="134"/>
      <c r="AA288" s="134"/>
    </row>
    <row r="289" spans="1:27">
      <c r="B289" t="s">
        <v>34</v>
      </c>
      <c r="C289" s="195">
        <v>1.616552699130585</v>
      </c>
      <c r="D289" s="100">
        <v>1.0631889389423761</v>
      </c>
      <c r="E289" s="13">
        <v>0.34231099331671577</v>
      </c>
      <c r="F289" s="100">
        <v>5.3205700592950196</v>
      </c>
      <c r="G289" s="100">
        <v>2.2913062853790862</v>
      </c>
      <c r="H289" s="13">
        <v>4.1910820021380912E-2</v>
      </c>
      <c r="I289" s="13">
        <v>0.2208692201410867</v>
      </c>
      <c r="J289" s="13">
        <v>0.51834962246792005</v>
      </c>
      <c r="K289" s="100">
        <v>5.0043504634159746</v>
      </c>
      <c r="L289" s="7">
        <v>1.0631889389423761</v>
      </c>
      <c r="M289" s="15">
        <v>0.34231099331671577</v>
      </c>
      <c r="N289" s="7">
        <v>5.3205700592950196</v>
      </c>
      <c r="O289" s="7">
        <v>2.2913062853790862</v>
      </c>
      <c r="P289" s="7">
        <v>5.0043504634159746</v>
      </c>
      <c r="W289" s="134">
        <f>V287+I289/3</f>
        <v>0.13033336914060589</v>
      </c>
      <c r="X289" s="134">
        <f>V287+I289/5</f>
        <v>0.100884139788461</v>
      </c>
      <c r="Y289" s="134"/>
      <c r="AA289" s="134"/>
    </row>
    <row r="290" spans="1:27">
      <c r="B290" t="s">
        <v>35</v>
      </c>
      <c r="C290" s="195">
        <v>1.6322763773712989</v>
      </c>
      <c r="D290" s="100">
        <v>1.0476581312080331</v>
      </c>
      <c r="E290" s="13">
        <v>0.35816131034424747</v>
      </c>
      <c r="F290" s="100">
        <v>5.7269704035412294</v>
      </c>
      <c r="G290" s="100">
        <v>2.5085788674858072</v>
      </c>
      <c r="H290" s="13">
        <v>9.6938550152790626E-2</v>
      </c>
      <c r="I290" s="13">
        <v>0.33250301637127683</v>
      </c>
      <c r="J290" s="13">
        <v>0.66371613430665222</v>
      </c>
      <c r="K290" s="100">
        <v>5.4664496298401994</v>
      </c>
      <c r="L290" s="7">
        <v>1.0476581312080331</v>
      </c>
      <c r="M290" s="15">
        <v>0.35816131034424747</v>
      </c>
      <c r="N290" s="7">
        <v>5.7269704035412294</v>
      </c>
      <c r="O290" s="7">
        <v>2.5085788674858072</v>
      </c>
      <c r="P290" s="7">
        <v>5.4664496298401994</v>
      </c>
      <c r="W290" s="134">
        <f>V288+I290/3</f>
        <v>0.15552800510453507</v>
      </c>
      <c r="X290" s="134">
        <f>V288+I290/5</f>
        <v>0.11119426958836481</v>
      </c>
      <c r="Y290" s="134"/>
      <c r="AA290" s="134"/>
    </row>
    <row r="291" spans="1:27">
      <c r="C291" s="111"/>
      <c r="D291" s="100"/>
      <c r="F291" s="100"/>
      <c r="G291" s="100"/>
      <c r="K291" s="100"/>
      <c r="L291" s="7"/>
      <c r="N291" s="7"/>
      <c r="O291" s="7"/>
      <c r="P291" s="7"/>
      <c r="AA291" s="134"/>
    </row>
    <row r="292" spans="1:27">
      <c r="A292" t="s">
        <v>398</v>
      </c>
      <c r="B292" t="s">
        <v>30</v>
      </c>
      <c r="C292" s="195">
        <v>10.08940172982391</v>
      </c>
      <c r="D292" s="100">
        <v>9.8286494078639972</v>
      </c>
      <c r="E292" s="13">
        <v>2.5844180749502451E-2</v>
      </c>
      <c r="F292" s="100">
        <v>35.19249230329703</v>
      </c>
      <c r="G292" s="100">
        <v>2.4880653229684859</v>
      </c>
      <c r="H292" s="13">
        <v>0.38897504467774779</v>
      </c>
      <c r="I292" s="13">
        <v>0.78002390651688991</v>
      </c>
      <c r="J292" s="13">
        <v>1.178311207493616</v>
      </c>
      <c r="K292" s="100">
        <v>3.5806030760583618</v>
      </c>
      <c r="L292" s="7">
        <v>9.8286494078639972</v>
      </c>
      <c r="M292" s="15">
        <v>2.5844180749502451E-2</v>
      </c>
      <c r="N292" s="7">
        <v>27.70393162023835</v>
      </c>
      <c r="O292" s="7">
        <v>1.7458448342230759</v>
      </c>
      <c r="P292" s="7">
        <v>2.8186916096602408</v>
      </c>
      <c r="Q292" s="109">
        <v>0.1751040531487067</v>
      </c>
      <c r="R292" s="109">
        <v>6.6174527203860592E-2</v>
      </c>
      <c r="S292" s="109">
        <v>2.8654379744303099E-2</v>
      </c>
      <c r="U292" s="134">
        <f>C292*S292</f>
        <v>0.2891055485592029</v>
      </c>
      <c r="V292" s="134">
        <f>(1+S292)*Q292*(1-U292)+S292</f>
        <v>0.15670179106477822</v>
      </c>
      <c r="W292" s="134">
        <f>V292+I292/3</f>
        <v>0.41670975990374154</v>
      </c>
      <c r="X292" s="134">
        <f>V292+I292/5</f>
        <v>0.31270657236815619</v>
      </c>
      <c r="Y292" s="134"/>
      <c r="AA292" s="134"/>
    </row>
    <row r="293" spans="1:27">
      <c r="A293" t="s">
        <v>399</v>
      </c>
      <c r="B293" t="s">
        <v>32</v>
      </c>
      <c r="C293" s="198">
        <v>20.468002593915202</v>
      </c>
      <c r="D293" s="100">
        <v>12.36625008154477</v>
      </c>
      <c r="E293" s="13">
        <v>0.39582526312454869</v>
      </c>
      <c r="F293" s="100">
        <v>44.348329178659831</v>
      </c>
      <c r="G293" s="100">
        <v>1.1667150458464299</v>
      </c>
      <c r="H293" s="13">
        <v>-0.17417512512919439</v>
      </c>
      <c r="I293" s="13">
        <v>-3.104437671989824E-2</v>
      </c>
      <c r="J293" s="13">
        <v>0.23449061483495859</v>
      </c>
      <c r="K293" s="100">
        <v>3.5862390689352699</v>
      </c>
      <c r="L293" s="7">
        <v>13.751728284978659</v>
      </c>
      <c r="M293" s="15">
        <v>0.32813530671200802</v>
      </c>
      <c r="N293" s="7">
        <v>33.394585797924009</v>
      </c>
      <c r="O293" s="7">
        <v>0.63155078980943968</v>
      </c>
      <c r="P293" s="7">
        <v>2.4283919159747871</v>
      </c>
      <c r="S293" s="109">
        <v>2.2757812855726461E-2</v>
      </c>
      <c r="U293" s="134">
        <f>C293*S293</f>
        <v>0.46580697256284592</v>
      </c>
      <c r="V293" s="134">
        <f>(1+S293)*R292*(1-U293)+S293</f>
        <v>5.8912271907049868E-2</v>
      </c>
      <c r="W293" s="134">
        <f>V293+I293/3</f>
        <v>4.8564146333750453E-2</v>
      </c>
      <c r="X293" s="134">
        <f>V293+I293/5</f>
        <v>5.2703396563070222E-2</v>
      </c>
      <c r="Y293" s="134"/>
      <c r="AA293" s="134"/>
    </row>
    <row r="294" spans="1:27">
      <c r="B294" t="s">
        <v>34</v>
      </c>
      <c r="C294" s="195">
        <v>1.766695136737739</v>
      </c>
      <c r="D294" s="100">
        <v>1.5250022075963561</v>
      </c>
      <c r="E294" s="13">
        <v>0.1368051137490971</v>
      </c>
      <c r="F294" s="100">
        <v>4.2367577145927724</v>
      </c>
      <c r="G294" s="100">
        <v>1.398126097984334</v>
      </c>
      <c r="H294" s="13">
        <v>6.6532493619539723E-2</v>
      </c>
      <c r="I294" s="13">
        <v>0.28767639901376318</v>
      </c>
      <c r="J294" s="13">
        <v>0.5537489532515294</v>
      </c>
      <c r="K294" s="100">
        <v>2.77819775833018</v>
      </c>
      <c r="L294" s="7">
        <v>1.6826316377273789</v>
      </c>
      <c r="M294" s="15">
        <v>4.7582345851467027E-2</v>
      </c>
      <c r="N294" s="7">
        <v>3.333616799759326</v>
      </c>
      <c r="O294" s="7">
        <v>0.88692249751417784</v>
      </c>
      <c r="P294" s="7">
        <v>1.981192273468616</v>
      </c>
      <c r="W294" s="134">
        <f>V292+I294/3</f>
        <v>0.25259392406936593</v>
      </c>
      <c r="X294" s="134">
        <f>V292+I294/5</f>
        <v>0.21423707086753085</v>
      </c>
      <c r="Y294" s="134"/>
      <c r="AA294" s="134"/>
    </row>
    <row r="295" spans="1:27">
      <c r="B295" t="s">
        <v>35</v>
      </c>
      <c r="C295" s="195">
        <v>1.3544603944597311</v>
      </c>
      <c r="D295" s="100">
        <v>1.31840551618854</v>
      </c>
      <c r="E295" s="13">
        <v>2.661936695873068E-2</v>
      </c>
      <c r="F295" s="100">
        <v>4.3033355703813854</v>
      </c>
      <c r="G295" s="100">
        <v>2.1771586588900642</v>
      </c>
      <c r="H295" s="13">
        <v>0.27758787488361247</v>
      </c>
      <c r="I295" s="13">
        <v>0.55158538229533027</v>
      </c>
      <c r="J295" s="13">
        <v>1.013860415189245</v>
      </c>
      <c r="K295" s="100">
        <v>3.264045483382203</v>
      </c>
      <c r="L295" s="7">
        <v>1.31840551618854</v>
      </c>
      <c r="M295" s="15">
        <v>2.661936695873068E-2</v>
      </c>
      <c r="N295" s="7">
        <v>3.25544952065313</v>
      </c>
      <c r="O295" s="7">
        <v>1.4035029255703479</v>
      </c>
      <c r="P295" s="7">
        <v>2.4692323269888239</v>
      </c>
      <c r="W295" s="134">
        <f>V293+I295/3</f>
        <v>0.24277406600549328</v>
      </c>
      <c r="X295" s="134">
        <f>V293+I295/5</f>
        <v>0.16922934836611592</v>
      </c>
      <c r="Y295" s="134"/>
      <c r="AA295" s="134"/>
    </row>
    <row r="296" spans="1:27">
      <c r="C296" s="111"/>
      <c r="D296" s="100"/>
      <c r="F296" s="100"/>
      <c r="G296" s="100"/>
      <c r="K296" s="100"/>
      <c r="L296" s="7"/>
      <c r="N296" s="7"/>
      <c r="O296" s="7"/>
      <c r="P296" s="7"/>
      <c r="AA296" s="134"/>
    </row>
    <row r="297" spans="1:27">
      <c r="A297" t="s">
        <v>400</v>
      </c>
      <c r="B297" t="s">
        <v>30</v>
      </c>
      <c r="C297" s="197">
        <v>27.673059980333591</v>
      </c>
      <c r="D297" s="100">
        <v>11.655160813753531</v>
      </c>
      <c r="E297" s="13">
        <v>0.57882645352423978</v>
      </c>
      <c r="F297" s="100">
        <v>150.35442473910911</v>
      </c>
      <c r="G297" s="100">
        <v>4.4332417465203138</v>
      </c>
      <c r="H297" s="13">
        <v>-0.1761463083819281</v>
      </c>
      <c r="I297" s="13">
        <v>7.3671453165342182E-2</v>
      </c>
      <c r="J297" s="13">
        <v>0.68100162309347056</v>
      </c>
      <c r="K297" s="100">
        <v>12.900244547607199</v>
      </c>
      <c r="L297" s="7">
        <v>11.655160813753531</v>
      </c>
      <c r="M297" s="15">
        <v>0.57882645352423978</v>
      </c>
      <c r="N297" s="7">
        <v>51.918965677937891</v>
      </c>
      <c r="O297" s="7">
        <v>0.87615557205582362</v>
      </c>
      <c r="P297" s="7">
        <v>4.4545902461226916</v>
      </c>
      <c r="Q297" s="109">
        <v>4.8798650892064303E-2</v>
      </c>
      <c r="R297" s="109">
        <v>3.6107703023543082E-2</v>
      </c>
      <c r="S297" s="109">
        <v>1.1552766182297339E-2</v>
      </c>
      <c r="U297" s="134">
        <f>C297*S297</f>
        <v>0.31970039150148377</v>
      </c>
      <c r="V297" s="134">
        <f>(1+S297)*Q297*(1-U297)+S297</f>
        <v>4.5133994581094891E-2</v>
      </c>
      <c r="W297" s="134">
        <f>V297+I297/3</f>
        <v>6.9691145636208957E-2</v>
      </c>
      <c r="X297" s="134">
        <f>V297+I297/5</f>
        <v>5.9868285214163326E-2</v>
      </c>
      <c r="Y297" s="134"/>
      <c r="AA297" s="134"/>
    </row>
    <row r="298" spans="1:27">
      <c r="A298" t="s">
        <v>401</v>
      </c>
      <c r="B298" t="s">
        <v>32</v>
      </c>
      <c r="C298" s="198">
        <v>39.566490785418168</v>
      </c>
      <c r="D298" s="100">
        <v>16.14213467230433</v>
      </c>
      <c r="E298" s="13">
        <v>0.59202511135373781</v>
      </c>
      <c r="F298" s="100">
        <v>134.60202398821281</v>
      </c>
      <c r="G298" s="100">
        <v>2.4019196880057669</v>
      </c>
      <c r="H298" s="13">
        <v>-0.34727462392126618</v>
      </c>
      <c r="I298" s="13">
        <v>-0.20577682998357949</v>
      </c>
      <c r="J298" s="13">
        <v>9.8180595525924064E-2</v>
      </c>
      <c r="K298" s="100">
        <v>8.338551667466545</v>
      </c>
      <c r="L298" s="7">
        <v>16.14213467230433</v>
      </c>
      <c r="M298" s="15">
        <v>0.59202511135373781</v>
      </c>
      <c r="N298" s="7">
        <v>42.612823283347517</v>
      </c>
      <c r="O298" s="7">
        <v>7.6992738993473031E-2</v>
      </c>
      <c r="P298" s="7">
        <v>2.6398505618008472</v>
      </c>
      <c r="S298" s="109">
        <v>1.121960788745871E-2</v>
      </c>
      <c r="U298" s="134">
        <f>C298*S298</f>
        <v>0.44392051209514005</v>
      </c>
      <c r="V298" s="134">
        <f>(1+S298)*R297*(1-U298)+S298</f>
        <v>3.1523636629816207E-2</v>
      </c>
      <c r="W298" s="134">
        <f>V298+I298/3</f>
        <v>-3.7068640031376957E-2</v>
      </c>
      <c r="X298" s="134">
        <f>V298+I298/5</f>
        <v>-9.6317293668996898E-3</v>
      </c>
      <c r="Y298" s="134"/>
      <c r="AA298" s="134"/>
    </row>
    <row r="299" spans="1:27">
      <c r="B299" t="s">
        <v>34</v>
      </c>
      <c r="C299" s="195">
        <v>1.3504079930954549</v>
      </c>
      <c r="D299" s="100">
        <v>1.3190934756957871</v>
      </c>
      <c r="E299" s="13">
        <v>2.3188930722993769E-2</v>
      </c>
      <c r="F299" s="100">
        <v>12.27774036770202</v>
      </c>
      <c r="G299" s="100">
        <v>8.091874774495766</v>
      </c>
      <c r="H299" s="13">
        <v>0.8724555266684213</v>
      </c>
      <c r="I299" s="13">
        <v>1.412586286809886</v>
      </c>
      <c r="J299" s="13">
        <v>3.7176651542145689</v>
      </c>
      <c r="K299" s="100">
        <v>9.3077106315197504</v>
      </c>
      <c r="L299" s="7">
        <v>1.3190934756957871</v>
      </c>
      <c r="M299" s="15">
        <v>2.3188930722993769E-2</v>
      </c>
      <c r="N299" s="7">
        <v>7.5471746478296673</v>
      </c>
      <c r="O299" s="7">
        <v>4.5888107049261144</v>
      </c>
      <c r="P299" s="7">
        <v>5.7214858437903588</v>
      </c>
      <c r="W299" s="134">
        <f>V297+I299/3</f>
        <v>0.51599609018439019</v>
      </c>
      <c r="X299" s="134">
        <f>V297+I299/5</f>
        <v>0.3276512519430721</v>
      </c>
      <c r="Y299" s="134"/>
      <c r="AA299" s="134"/>
    </row>
    <row r="300" spans="1:27">
      <c r="B300" t="s">
        <v>35</v>
      </c>
      <c r="C300" s="195">
        <v>1.4286550989636331</v>
      </c>
      <c r="D300" s="100">
        <v>1.402321856670343</v>
      </c>
      <c r="E300" s="13">
        <v>1.8432190045303831E-2</v>
      </c>
      <c r="F300" s="100">
        <v>11.74050349931003</v>
      </c>
      <c r="G300" s="100">
        <v>7.2178711347663711</v>
      </c>
      <c r="H300" s="13">
        <v>0.82700357165543092</v>
      </c>
      <c r="I300" s="13">
        <v>1.4561266423406569</v>
      </c>
      <c r="J300" s="13">
        <v>3.1489489544503431</v>
      </c>
      <c r="K300" s="100">
        <v>8.3721889118854289</v>
      </c>
      <c r="L300" s="7">
        <v>1.402321856670343</v>
      </c>
      <c r="M300" s="15">
        <v>1.8432190045303831E-2</v>
      </c>
      <c r="N300" s="7">
        <v>7.2403615242215649</v>
      </c>
      <c r="O300" s="7">
        <v>4.0679562404346763</v>
      </c>
      <c r="P300" s="7">
        <v>5.1631239217885376</v>
      </c>
      <c r="W300" s="134">
        <f>V298+I300/3</f>
        <v>0.51689918407670188</v>
      </c>
      <c r="X300" s="134">
        <f>V298+I300/5</f>
        <v>0.32274896509794759</v>
      </c>
      <c r="Y300" s="134"/>
      <c r="AA300" s="134"/>
    </row>
    <row r="301" spans="1:27">
      <c r="C301" s="111"/>
      <c r="D301" s="100"/>
      <c r="F301" s="100"/>
      <c r="G301" s="100"/>
      <c r="K301" s="100"/>
      <c r="L301" s="7"/>
      <c r="N301" s="7"/>
      <c r="O301" s="7"/>
      <c r="P301" s="7"/>
      <c r="AA301" s="134"/>
    </row>
    <row r="302" spans="1:27">
      <c r="A302" t="s">
        <v>283</v>
      </c>
      <c r="B302" t="s">
        <v>30</v>
      </c>
      <c r="C302" s="195">
        <v>12.03690632725619</v>
      </c>
      <c r="D302" s="100">
        <v>11.642070974072929</v>
      </c>
      <c r="E302" s="13">
        <v>3.2802062460949633E-2</v>
      </c>
      <c r="F302" s="100">
        <v>23.850797257227551</v>
      </c>
      <c r="G302" s="100">
        <v>0.98147236580384134</v>
      </c>
      <c r="H302" s="13">
        <v>8.676389356989711E-2</v>
      </c>
      <c r="I302" s="13">
        <v>0.16411200869919271</v>
      </c>
      <c r="J302" s="13">
        <v>0.37523288969208801</v>
      </c>
      <c r="K302" s="100">
        <v>2.0486730677337079</v>
      </c>
      <c r="L302" s="7">
        <v>11.642070974072929</v>
      </c>
      <c r="M302" s="15">
        <v>3.2802062460949633E-2</v>
      </c>
      <c r="N302" s="7">
        <v>23.850797257227551</v>
      </c>
      <c r="O302" s="7">
        <v>0.98147236580384134</v>
      </c>
      <c r="P302" s="7">
        <v>2.0486730677337079</v>
      </c>
      <c r="Q302" s="109">
        <v>7.6423484377839676E-2</v>
      </c>
      <c r="R302" s="109">
        <v>3.7759302303296861E-2</v>
      </c>
      <c r="S302" s="109">
        <v>2.0053103156616101E-2</v>
      </c>
      <c r="U302" s="134">
        <f>C302*S302</f>
        <v>0.24137732426699343</v>
      </c>
      <c r="V302" s="134">
        <f>(1+S302)*Q302*(1-U302)+S302</f>
        <v>7.9192301868167239E-2</v>
      </c>
      <c r="W302" s="134">
        <f>V302+I302/3</f>
        <v>0.13389630476789816</v>
      </c>
      <c r="X302" s="134">
        <f>V302+I302/5</f>
        <v>0.11201470360800578</v>
      </c>
      <c r="Y302" s="134"/>
      <c r="AA302" s="134"/>
    </row>
    <row r="303" spans="1:27">
      <c r="A303" t="s">
        <v>402</v>
      </c>
      <c r="B303" t="s">
        <v>32</v>
      </c>
      <c r="C303" s="197">
        <v>25.823833109453989</v>
      </c>
      <c r="D303" s="100">
        <v>20.110141877669079</v>
      </c>
      <c r="E303" s="13">
        <v>0.22125651167150551</v>
      </c>
      <c r="F303" s="100">
        <v>79.580533075436577</v>
      </c>
      <c r="G303" s="100">
        <v>2.0816700502259091</v>
      </c>
      <c r="H303" s="13">
        <v>-0.1155324029115526</v>
      </c>
      <c r="I303" s="13">
        <v>5.1880769663235071E-2</v>
      </c>
      <c r="J303" s="13">
        <v>0.2459300514536493</v>
      </c>
      <c r="K303" s="100">
        <v>3.9572337957399131</v>
      </c>
      <c r="L303" s="7">
        <v>20.110141877669079</v>
      </c>
      <c r="M303" s="15">
        <v>0.22125651167150551</v>
      </c>
      <c r="N303" s="7">
        <v>79.580533075436577</v>
      </c>
      <c r="O303" s="7">
        <v>2.0816700502259091</v>
      </c>
      <c r="P303" s="7">
        <v>3.9572337957399131</v>
      </c>
      <c r="S303" s="109">
        <v>7.7980265969873497E-3</v>
      </c>
      <c r="U303" s="134">
        <f>C303*S303</f>
        <v>0.20137493742368476</v>
      </c>
      <c r="V303" s="134">
        <f>(1+S303)*R302*(1-U303)+S303</f>
        <v>3.8188705349077104E-2</v>
      </c>
      <c r="W303" s="134">
        <f>V303+I303/3</f>
        <v>5.5482295236822132E-2</v>
      </c>
      <c r="X303" s="134">
        <f>V303+I303/5</f>
        <v>4.8564859281724118E-2</v>
      </c>
      <c r="Y303" s="134"/>
      <c r="AA303" s="134"/>
    </row>
    <row r="304" spans="1:27">
      <c r="B304" t="s">
        <v>34</v>
      </c>
      <c r="C304" s="195">
        <v>0.91990232265858285</v>
      </c>
      <c r="D304" s="100">
        <v>0.87608979610874449</v>
      </c>
      <c r="E304" s="13">
        <v>4.7627368113624342E-2</v>
      </c>
      <c r="F304" s="100">
        <v>2.1368898762665811</v>
      </c>
      <c r="G304" s="100">
        <v>1.3229530175451869</v>
      </c>
      <c r="H304" s="13">
        <v>0.1992673562109033</v>
      </c>
      <c r="I304" s="13">
        <v>0.33764668211754878</v>
      </c>
      <c r="J304" s="13">
        <v>0.79951712211470549</v>
      </c>
      <c r="K304" s="100">
        <v>2.439121977858695</v>
      </c>
      <c r="L304" s="7">
        <v>0.87608979610874449</v>
      </c>
      <c r="M304" s="15">
        <v>4.7627368113624342E-2</v>
      </c>
      <c r="N304" s="7">
        <v>2.1368898762665811</v>
      </c>
      <c r="O304" s="7">
        <v>1.3229530175451869</v>
      </c>
      <c r="P304" s="7">
        <v>2.439121977858695</v>
      </c>
      <c r="W304" s="134">
        <f>V302+I304/3</f>
        <v>0.19174119590735017</v>
      </c>
      <c r="X304" s="134">
        <f>V302+I304/5</f>
        <v>0.146721638291677</v>
      </c>
      <c r="Y304" s="134"/>
      <c r="AA304" s="134"/>
    </row>
    <row r="305" spans="1:27">
      <c r="B305" t="s">
        <v>35</v>
      </c>
      <c r="C305" s="195">
        <v>0.97508992100976</v>
      </c>
      <c r="D305" s="100">
        <v>0.93390060421949006</v>
      </c>
      <c r="E305" s="13">
        <v>4.2241557319776302E-2</v>
      </c>
      <c r="F305" s="100">
        <v>2.7616713794467631</v>
      </c>
      <c r="G305" s="100">
        <v>1.832222259652625</v>
      </c>
      <c r="H305" s="13">
        <v>0.2093990951389684</v>
      </c>
      <c r="I305" s="13">
        <v>0.62936456217564718</v>
      </c>
      <c r="J305" s="13">
        <v>1.104830967669399</v>
      </c>
      <c r="K305" s="100">
        <v>2.957136302267239</v>
      </c>
      <c r="L305" s="7">
        <v>0.93390060421949006</v>
      </c>
      <c r="M305" s="15">
        <v>4.2241557319776302E-2</v>
      </c>
      <c r="N305" s="7">
        <v>2.7616713794467631</v>
      </c>
      <c r="O305" s="7">
        <v>1.832222259652625</v>
      </c>
      <c r="P305" s="7">
        <v>2.957136302267239</v>
      </c>
      <c r="W305" s="134">
        <f>V303+I305/3</f>
        <v>0.24797689274095952</v>
      </c>
      <c r="X305" s="134">
        <f>V303+I305/5</f>
        <v>0.16406161778420653</v>
      </c>
      <c r="Y305" s="134"/>
      <c r="AA305" s="134"/>
    </row>
    <row r="306" spans="1:27">
      <c r="C306" s="111"/>
      <c r="D306" s="100"/>
      <c r="F306" s="100"/>
      <c r="G306" s="100"/>
      <c r="K306" s="100"/>
      <c r="L306" s="7"/>
      <c r="N306" s="7"/>
      <c r="O306" s="7"/>
      <c r="P306" s="7"/>
      <c r="AA306" s="134"/>
    </row>
    <row r="307" spans="1:27">
      <c r="A307" s="88" t="s">
        <v>285</v>
      </c>
      <c r="B307" t="s">
        <v>30</v>
      </c>
      <c r="C307" s="195">
        <v>29.90381648036929</v>
      </c>
      <c r="D307" s="100">
        <v>17.489610966786639</v>
      </c>
      <c r="E307" s="13">
        <v>0.41513783104347579</v>
      </c>
      <c r="F307" s="100">
        <v>-212.39334238578709</v>
      </c>
      <c r="G307" s="100">
        <v>-8.1025496871014848</v>
      </c>
      <c r="H307" s="13">
        <v>0.13253692266047271</v>
      </c>
      <c r="I307" s="13">
        <v>0.90835875295514135</v>
      </c>
      <c r="J307" s="13">
        <v>3.063982582481926</v>
      </c>
      <c r="K307" s="100">
        <v>-12.14397180069524</v>
      </c>
      <c r="L307" s="7">
        <v>24.57479489118554</v>
      </c>
      <c r="M307" s="15">
        <v>0.17820540039369359</v>
      </c>
      <c r="N307" s="7">
        <v>374.78594748202642</v>
      </c>
      <c r="O307" s="7">
        <v>11.5330473362174</v>
      </c>
      <c r="P307" s="7">
        <v>15.250827082852039</v>
      </c>
      <c r="Q307" s="109">
        <v>5.9329359770968967E-2</v>
      </c>
      <c r="R307" s="109">
        <v>-0.1011310071895947</v>
      </c>
      <c r="S307" s="109">
        <v>2.452747382635951E-2</v>
      </c>
      <c r="U307" s="134">
        <f>C307*S307</f>
        <v>0.73346507603051592</v>
      </c>
      <c r="V307" s="134">
        <f>(1+S307)*Q307*(1-U307)+S307</f>
        <v>4.0728681661900912E-2</v>
      </c>
      <c r="W307" s="134">
        <f>V307+I307/3</f>
        <v>0.34351493264694805</v>
      </c>
      <c r="X307" s="134">
        <f>V307+I307/5</f>
        <v>0.22240043225292919</v>
      </c>
      <c r="Y307" s="134"/>
      <c r="AA307" s="134"/>
    </row>
    <row r="308" spans="1:27">
      <c r="A308" t="s">
        <v>403</v>
      </c>
      <c r="B308" t="s">
        <v>32</v>
      </c>
      <c r="C308" s="195">
        <v>-26.028716315603148</v>
      </c>
      <c r="D308" s="100">
        <v>21.53564065038298</v>
      </c>
      <c r="E308" s="13">
        <v>1.827380051680584</v>
      </c>
      <c r="F308" s="100">
        <v>-14.07181492639131</v>
      </c>
      <c r="G308" s="100">
        <v>-0.45937345677105718</v>
      </c>
      <c r="H308" s="13">
        <v>-2.7746650102135999</v>
      </c>
      <c r="I308" s="13">
        <v>-3.9241752185290681</v>
      </c>
      <c r="J308" s="13">
        <v>-12.77296003144151</v>
      </c>
      <c r="K308" s="100">
        <v>-0.65341984270809528</v>
      </c>
      <c r="L308" s="7">
        <v>38.548197144093798</v>
      </c>
      <c r="M308" s="15">
        <v>2.4809872556406378</v>
      </c>
      <c r="N308" s="7">
        <v>-14.07181492639131</v>
      </c>
      <c r="O308" s="7">
        <v>-0.45937345677105718</v>
      </c>
      <c r="P308" s="7">
        <v>-0.36504469648192978</v>
      </c>
      <c r="S308" s="109">
        <v>1.133106033620002E-2</v>
      </c>
      <c r="U308" s="134">
        <f>C308*S308</f>
        <v>-0.29493295504593314</v>
      </c>
      <c r="V308" s="134">
        <f>(1+S308)*R307*(1-U308)+S308</f>
        <v>-0.12111070522223821</v>
      </c>
      <c r="W308" s="134">
        <f>V308+I308/3</f>
        <v>-1.4291691113985943</v>
      </c>
      <c r="X308" s="134">
        <f>V308+I308/5</f>
        <v>-0.9059457489280518</v>
      </c>
      <c r="Y308" s="134"/>
      <c r="AA308" s="134"/>
    </row>
    <row r="309" spans="1:27">
      <c r="B309" t="s">
        <v>34</v>
      </c>
      <c r="C309" s="195">
        <v>1.774174286488861</v>
      </c>
      <c r="D309" s="100">
        <v>1.601848542197206</v>
      </c>
      <c r="E309" s="13">
        <v>9.7130110386557167E-2</v>
      </c>
      <c r="F309" s="100">
        <v>10.346551162827589</v>
      </c>
      <c r="G309" s="100">
        <v>4.8317557872534058</v>
      </c>
      <c r="H309" s="13">
        <v>0.67646633095580855</v>
      </c>
      <c r="I309" s="13">
        <v>1.2631070349437019</v>
      </c>
      <c r="J309" s="13">
        <v>2.3650407119554151</v>
      </c>
      <c r="K309" s="100">
        <v>6.4591319904911551</v>
      </c>
      <c r="L309" s="7">
        <v>1.601848542197206</v>
      </c>
      <c r="M309" s="15">
        <v>9.7130110386557167E-2</v>
      </c>
      <c r="N309" s="7">
        <v>10.346551162827589</v>
      </c>
      <c r="O309" s="7">
        <v>4.8317557872534058</v>
      </c>
      <c r="P309" s="7">
        <v>6.4591319904911551</v>
      </c>
      <c r="W309" s="134">
        <f>V307+I309/3</f>
        <v>0.4617643599764682</v>
      </c>
      <c r="X309" s="134">
        <f>V307+I309/5</f>
        <v>0.29335008865064127</v>
      </c>
      <c r="Y309" s="134"/>
      <c r="AA309" s="134"/>
    </row>
    <row r="310" spans="1:27">
      <c r="B310" t="s">
        <v>35</v>
      </c>
      <c r="C310" s="195">
        <v>2.6323102968491821</v>
      </c>
      <c r="D310" s="100">
        <v>1.983427016077024</v>
      </c>
      <c r="E310" s="13">
        <v>0.24650713920348091</v>
      </c>
      <c r="F310" s="100">
        <v>10.769180361915691</v>
      </c>
      <c r="G310" s="100">
        <v>3.0911515541333272</v>
      </c>
      <c r="H310" s="13">
        <v>0.12538852256271249</v>
      </c>
      <c r="I310" s="13">
        <v>0.439620367047453</v>
      </c>
      <c r="J310" s="13">
        <v>1.0957524172493509</v>
      </c>
      <c r="K310" s="100">
        <v>5.4295823716346314</v>
      </c>
      <c r="L310" s="7">
        <v>1.983427016077024</v>
      </c>
      <c r="M310" s="15">
        <v>0.24650713920348091</v>
      </c>
      <c r="N310" s="7">
        <v>10.769180361915691</v>
      </c>
      <c r="O310" s="7">
        <v>3.0911515541333272</v>
      </c>
      <c r="P310" s="7">
        <v>5.4295823716346314</v>
      </c>
      <c r="W310" s="134">
        <f>V308+I310/3</f>
        <v>2.5429417126912796E-2</v>
      </c>
      <c r="X310" s="134">
        <f>V308+I310/5</f>
        <v>-3.3186631812747613E-2</v>
      </c>
      <c r="Y310" s="134"/>
      <c r="AA310" s="134"/>
    </row>
    <row r="311" spans="1:27">
      <c r="C311" s="111"/>
      <c r="D311" s="100"/>
      <c r="F311" s="100"/>
      <c r="G311" s="100"/>
      <c r="K311" s="100"/>
      <c r="L311" s="7"/>
      <c r="N311" s="7"/>
      <c r="O311" s="7"/>
      <c r="P311" s="7"/>
      <c r="AA311" s="134"/>
    </row>
    <row r="312" spans="1:27">
      <c r="A312" t="s">
        <v>404</v>
      </c>
      <c r="B312" t="s">
        <v>30</v>
      </c>
      <c r="C312" s="197">
        <v>47.548833241976858</v>
      </c>
      <c r="D312" s="100">
        <v>28.89066966342498</v>
      </c>
      <c r="E312" s="13">
        <v>0.3924000297462642</v>
      </c>
      <c r="F312" s="100">
        <v>-625.95485913019616</v>
      </c>
      <c r="G312" s="100">
        <v>-14.1644630677834</v>
      </c>
      <c r="H312" s="13">
        <v>-0.10005365140250951</v>
      </c>
      <c r="I312" s="13">
        <v>0.8635874830175172</v>
      </c>
      <c r="J312" s="13">
        <v>3.213993389262646</v>
      </c>
      <c r="K312" s="100">
        <v>-21.666332640348681</v>
      </c>
      <c r="L312" s="7">
        <v>28.89066966342498</v>
      </c>
      <c r="M312" s="15">
        <v>0.3924000297462642</v>
      </c>
      <c r="N312" s="7">
        <v>-625.95485913019616</v>
      </c>
      <c r="O312" s="7">
        <v>-14.1644630677834</v>
      </c>
      <c r="P312" s="7">
        <v>-21.666332640348681</v>
      </c>
      <c r="Q312" s="109">
        <v>9.8066038908535463E-2</v>
      </c>
      <c r="R312" s="109">
        <v>8.4019675900206731E-2</v>
      </c>
      <c r="S312" s="109">
        <v>3.6776421094730522E-3</v>
      </c>
      <c r="U312" s="134">
        <f>C312*S312</f>
        <v>0.17486759138700617</v>
      </c>
      <c r="V312" s="134">
        <f>(1+S312)*Q312*(1-U312)+S312</f>
        <v>8.4892694480826716E-2</v>
      </c>
      <c r="W312" s="134">
        <f>V312+I312/3</f>
        <v>0.37275518881999908</v>
      </c>
      <c r="X312" s="134">
        <f>V312+I312/5</f>
        <v>0.25761019108433014</v>
      </c>
      <c r="Y312" s="134"/>
      <c r="AA312" s="134"/>
    </row>
    <row r="313" spans="1:27">
      <c r="A313" t="s">
        <v>405</v>
      </c>
      <c r="B313" t="s">
        <v>32</v>
      </c>
      <c r="C313" s="196">
        <v>55.194119696006688</v>
      </c>
      <c r="D313" s="100">
        <v>27.743687565467042</v>
      </c>
      <c r="E313" s="13">
        <v>0.49734341777219621</v>
      </c>
      <c r="F313" s="100">
        <v>-48.251208799223058</v>
      </c>
      <c r="G313" s="100">
        <v>-1.874209228536968</v>
      </c>
      <c r="H313" s="13">
        <v>-3.851386566769921E-2</v>
      </c>
      <c r="I313" s="13">
        <v>0.77399427573247026</v>
      </c>
      <c r="J313" s="13">
        <v>-4.8516087052054528</v>
      </c>
      <c r="K313" s="100">
        <v>-1.739177918773928</v>
      </c>
      <c r="L313" s="7">
        <v>27.743687565467042</v>
      </c>
      <c r="M313" s="15">
        <v>0.49734341777219621</v>
      </c>
      <c r="N313" s="7">
        <v>-48.251208799223058</v>
      </c>
      <c r="O313" s="7">
        <v>-1.874209228536968</v>
      </c>
      <c r="P313" s="7">
        <v>-1.739177918773928</v>
      </c>
      <c r="S313" s="109">
        <v>4.3388084748159136E-3</v>
      </c>
      <c r="U313" s="134">
        <f>C313*S313</f>
        <v>0.23947671429703776</v>
      </c>
      <c r="V313" s="134">
        <f>(1+S313)*R312*(1-U313)+S313</f>
        <v>6.8514973629676998E-2</v>
      </c>
      <c r="W313" s="134">
        <f>V313+I313/3</f>
        <v>0.32651306554050041</v>
      </c>
      <c r="X313" s="134">
        <f>V313+I313/5</f>
        <v>0.22331382877617106</v>
      </c>
      <c r="Y313" s="134"/>
      <c r="AA313" s="134"/>
    </row>
    <row r="314" spans="1:27">
      <c r="B314" t="s">
        <v>34</v>
      </c>
      <c r="C314" s="197">
        <v>4.6629257307631669</v>
      </c>
      <c r="D314" s="100">
        <v>2.477173178792496</v>
      </c>
      <c r="E314" s="13">
        <v>0.46875131155325861</v>
      </c>
      <c r="F314" s="100">
        <v>41.744234587483326</v>
      </c>
      <c r="G314" s="100">
        <v>7.9523696060780216</v>
      </c>
      <c r="H314" s="13">
        <v>-0.27805589541694631</v>
      </c>
      <c r="I314" s="13">
        <v>3.8386578339256072E-2</v>
      </c>
      <c r="J314" s="13">
        <v>1.171165987638848</v>
      </c>
      <c r="K314" s="100">
        <v>16.851560861736619</v>
      </c>
      <c r="L314" s="7">
        <v>2.477173178792496</v>
      </c>
      <c r="M314" s="15">
        <v>0.46875131155325861</v>
      </c>
      <c r="N314" s="7">
        <v>41.744234587483326</v>
      </c>
      <c r="O314" s="7">
        <v>7.9523696060780216</v>
      </c>
      <c r="P314" s="7">
        <v>16.851560861736619</v>
      </c>
      <c r="W314" s="134">
        <f>V312+I314/3</f>
        <v>9.7688220593912078E-2</v>
      </c>
      <c r="X314" s="134">
        <f>V312+I314/5</f>
        <v>9.2570010148677925E-2</v>
      </c>
      <c r="Y314" s="134"/>
      <c r="AA314" s="134"/>
    </row>
    <row r="315" spans="1:27">
      <c r="B315" t="s">
        <v>35</v>
      </c>
      <c r="C315" s="197">
        <v>4.6373920484556992</v>
      </c>
      <c r="D315" s="100">
        <v>2.7559170841307812</v>
      </c>
      <c r="E315" s="13">
        <v>0.40571833148147768</v>
      </c>
      <c r="F315" s="100">
        <v>20.185696883305699</v>
      </c>
      <c r="G315" s="100">
        <v>3.352812242826817</v>
      </c>
      <c r="H315" s="13">
        <v>-0.1105874708450916</v>
      </c>
      <c r="I315" s="13">
        <v>4.439405373958305E-2</v>
      </c>
      <c r="J315" s="13">
        <v>0.63082571012820998</v>
      </c>
      <c r="K315" s="100">
        <v>7.3244935413839896</v>
      </c>
      <c r="L315" s="7">
        <v>2.7559170841307812</v>
      </c>
      <c r="M315" s="15">
        <v>0.40571833148147768</v>
      </c>
      <c r="N315" s="7">
        <v>20.185696883305699</v>
      </c>
      <c r="O315" s="7">
        <v>3.352812242826817</v>
      </c>
      <c r="P315" s="7">
        <v>7.3244935413839896</v>
      </c>
      <c r="W315" s="134">
        <f>V313+I315/3</f>
        <v>8.3312991542871348E-2</v>
      </c>
      <c r="X315" s="134">
        <f>V313+I315/5</f>
        <v>7.7393784377593602E-2</v>
      </c>
      <c r="Y315" s="134"/>
      <c r="AA315" s="134"/>
    </row>
    <row r="316" spans="1:27">
      <c r="C316" s="111"/>
      <c r="D316" s="100"/>
      <c r="F316" s="100"/>
      <c r="G316" s="100"/>
      <c r="K316" s="100"/>
      <c r="L316" s="7"/>
      <c r="N316" s="7"/>
      <c r="O316" s="7"/>
      <c r="P316" s="7"/>
      <c r="AA316" s="134"/>
    </row>
    <row r="317" spans="1:27">
      <c r="A317" t="s">
        <v>406</v>
      </c>
      <c r="B317" t="s">
        <v>30</v>
      </c>
      <c r="C317" s="195">
        <v>-94.156568959642414</v>
      </c>
      <c r="D317" s="100">
        <v>34.296483936234161</v>
      </c>
      <c r="E317" s="13">
        <v>1.364249508188158</v>
      </c>
      <c r="F317" s="100">
        <v>-39.320022653845072</v>
      </c>
      <c r="G317" s="100">
        <v>-0.58239745682854582</v>
      </c>
      <c r="H317" s="13">
        <v>-1.5801437959599149</v>
      </c>
      <c r="I317" s="13">
        <v>-1.9896610897260441</v>
      </c>
      <c r="J317" s="13">
        <v>-2.7746800641512852</v>
      </c>
      <c r="K317" s="100">
        <v>-1.14647386965238</v>
      </c>
      <c r="L317" s="7">
        <v>49.995874987823967</v>
      </c>
      <c r="M317" s="15">
        <v>1.530986584794241</v>
      </c>
      <c r="N317" s="7">
        <v>-39.320022653845072</v>
      </c>
      <c r="O317" s="7">
        <v>-0.58239745682854582</v>
      </c>
      <c r="P317" s="7">
        <v>-0.78646533665869622</v>
      </c>
      <c r="Q317" s="109">
        <v>-4.1515035643059403E-2</v>
      </c>
      <c r="R317" s="109">
        <v>-0.31307842576128642</v>
      </c>
      <c r="S317" s="109">
        <v>3.394101436112346E-3</v>
      </c>
      <c r="U317" s="134">
        <f>C317*S317</f>
        <v>-0.31957694592533348</v>
      </c>
      <c r="V317" s="134">
        <f>(1+S317)*Q317*(1-U317)+S317</f>
        <v>-5.1574119136344673E-2</v>
      </c>
      <c r="W317" s="134">
        <f>V317+I317/3</f>
        <v>-0.71479448237835941</v>
      </c>
      <c r="X317" s="134">
        <f>V317+I317/5</f>
        <v>-0.44950633708155352</v>
      </c>
      <c r="Y317" s="134"/>
      <c r="AA317" s="134"/>
    </row>
    <row r="318" spans="1:27">
      <c r="A318" t="s">
        <v>407</v>
      </c>
      <c r="B318" t="s">
        <v>32</v>
      </c>
      <c r="C318" s="195">
        <v>-9.148366761159231</v>
      </c>
      <c r="D318" s="100">
        <v>34.617961472884872</v>
      </c>
      <c r="E318" s="13">
        <v>4.7840592071429233</v>
      </c>
      <c r="F318" s="100">
        <v>-8.4550445265206484</v>
      </c>
      <c r="G318" s="100">
        <v>-7.5786449400147227E-2</v>
      </c>
      <c r="H318" s="13">
        <v>-7.149190589973311</v>
      </c>
      <c r="I318" s="13">
        <v>-11.440036405647319</v>
      </c>
      <c r="J318" s="13">
        <v>-21.072250272911258</v>
      </c>
      <c r="K318" s="100">
        <v>-0.2442386601285928</v>
      </c>
      <c r="L318" s="7">
        <v>53.25891848612757</v>
      </c>
      <c r="M318" s="15">
        <v>6.8216859770255747</v>
      </c>
      <c r="N318" s="7">
        <v>-8.4550445265206484</v>
      </c>
      <c r="O318" s="7">
        <v>-7.5786449400147227E-2</v>
      </c>
      <c r="P318" s="7">
        <v>-0.15875359032540151</v>
      </c>
      <c r="S318" s="109">
        <v>3.0619655290531991E-3</v>
      </c>
      <c r="U318" s="134">
        <f>C318*S318</f>
        <v>-2.8011983669805625E-2</v>
      </c>
      <c r="V318" s="134">
        <f>(1+S318)*R317*(1-U318)+S318</f>
        <v>-0.3197718966072996</v>
      </c>
      <c r="W318" s="134">
        <f>V318+I318/3</f>
        <v>-4.1331173651564059</v>
      </c>
      <c r="X318" s="134">
        <f>V318+I318/5</f>
        <v>-2.6077791777367638</v>
      </c>
      <c r="Y318" s="134"/>
      <c r="AA318" s="134"/>
    </row>
    <row r="319" spans="1:27">
      <c r="B319" t="s">
        <v>34</v>
      </c>
      <c r="C319" s="197">
        <v>3.9089133163877352</v>
      </c>
      <c r="D319" s="100">
        <v>2.5415399763573721</v>
      </c>
      <c r="E319" s="13">
        <v>0.34980907207580803</v>
      </c>
      <c r="F319" s="100">
        <v>30.347918788255321</v>
      </c>
      <c r="G319" s="100">
        <v>6.7637737989800524</v>
      </c>
      <c r="H319" s="13">
        <v>-8.2413606993097188E-2</v>
      </c>
      <c r="I319" s="13">
        <v>0.31687996498592219</v>
      </c>
      <c r="J319" s="13">
        <v>1.147918928185707</v>
      </c>
      <c r="K319" s="100">
        <v>11.9407599607192</v>
      </c>
      <c r="L319" s="7">
        <v>2.708559236718767</v>
      </c>
      <c r="M319" s="15">
        <v>0.30708127362062537</v>
      </c>
      <c r="N319" s="7">
        <v>30.347918788255321</v>
      </c>
      <c r="O319" s="7">
        <v>6.7637737989800524</v>
      </c>
      <c r="P319" s="7">
        <v>11.20445083010986</v>
      </c>
      <c r="W319" s="134">
        <f>V317+I319/3</f>
        <v>5.4052535858962719E-2</v>
      </c>
      <c r="X319" s="134">
        <f>V317+I319/5</f>
        <v>1.1801873860839765E-2</v>
      </c>
      <c r="Y319" s="134"/>
      <c r="AA319" s="134"/>
    </row>
    <row r="320" spans="1:27">
      <c r="B320" t="s">
        <v>35</v>
      </c>
      <c r="C320" s="195">
        <v>2.8641562638706102</v>
      </c>
      <c r="D320" s="100">
        <v>1.9235023751558149</v>
      </c>
      <c r="E320" s="13">
        <v>0.32842268439767303</v>
      </c>
      <c r="F320" s="100">
        <v>24.6904161521141</v>
      </c>
      <c r="G320" s="100">
        <v>7.620485014580721</v>
      </c>
      <c r="H320" s="13">
        <v>3.1814304560602968E-2</v>
      </c>
      <c r="I320" s="13">
        <v>0.72984267280858983</v>
      </c>
      <c r="J320" s="13">
        <v>1.6965108660412871</v>
      </c>
      <c r="K320" s="100">
        <v>12.836176586532179</v>
      </c>
      <c r="L320" s="7">
        <v>1.9235023751558149</v>
      </c>
      <c r="M320" s="15">
        <v>0.32842268439767303</v>
      </c>
      <c r="N320" s="7">
        <v>24.6904161521141</v>
      </c>
      <c r="O320" s="7">
        <v>7.620485014580721</v>
      </c>
      <c r="P320" s="7">
        <v>12.836176586532179</v>
      </c>
      <c r="W320" s="134">
        <f>V318+I320/3</f>
        <v>-7.649100567110298E-2</v>
      </c>
      <c r="X320" s="134">
        <f>V318+I320/5</f>
        <v>-0.17380336204558164</v>
      </c>
      <c r="Y320" s="134"/>
      <c r="AA320" s="134"/>
    </row>
    <row r="321" spans="1:27">
      <c r="C321" s="111"/>
      <c r="D321" s="100"/>
      <c r="F321" s="100"/>
      <c r="G321" s="100"/>
      <c r="K321" s="100"/>
      <c r="L321" s="7"/>
      <c r="N321" s="7"/>
      <c r="O321" s="7"/>
      <c r="P321" s="7"/>
      <c r="AA321" s="134"/>
    </row>
    <row r="322" spans="1:27">
      <c r="A322" t="s">
        <v>408</v>
      </c>
      <c r="B322" t="s">
        <v>30</v>
      </c>
      <c r="C322" s="195">
        <v>-10431.631132734359</v>
      </c>
      <c r="D322" s="100">
        <v>26.93309368848573</v>
      </c>
      <c r="E322" s="13">
        <v>1.002581867911718</v>
      </c>
      <c r="F322" s="100">
        <v>-152.16029058046209</v>
      </c>
      <c r="G322" s="100">
        <v>-0.98541356680998959</v>
      </c>
      <c r="H322" s="13">
        <v>-1.0043895115795569</v>
      </c>
      <c r="I322" s="13">
        <v>-1.006131245482272</v>
      </c>
      <c r="J322" s="13">
        <v>-1.009812314458304</v>
      </c>
      <c r="K322" s="100">
        <v>-5.649566007543827</v>
      </c>
      <c r="L322" s="7">
        <v>40.383873545890651</v>
      </c>
      <c r="M322" s="15">
        <v>1.0038712904081859</v>
      </c>
      <c r="N322" s="7">
        <v>-152.16029058046209</v>
      </c>
      <c r="O322" s="7">
        <v>-0.98541356680998959</v>
      </c>
      <c r="P322" s="7">
        <v>-3.7678478367745769</v>
      </c>
      <c r="Q322" s="109">
        <v>-3.4420556850787331E-4</v>
      </c>
      <c r="R322" s="109">
        <v>-0.13759897929244669</v>
      </c>
      <c r="S322" s="109">
        <v>3.288019731264837E-3</v>
      </c>
      <c r="U322" s="134">
        <f>C322*S322</f>
        <v>-34.299408993707132</v>
      </c>
      <c r="V322" s="134">
        <f>(1+S322)*Q322*(1-U322)+S322</f>
        <v>-8.9021836814724507E-3</v>
      </c>
      <c r="W322" s="134">
        <f>V322+I322/3</f>
        <v>-0.34427926550889643</v>
      </c>
      <c r="X322" s="134">
        <f>V322+I322/5</f>
        <v>-0.21012843277792684</v>
      </c>
      <c r="Y322" s="134"/>
      <c r="AA322" s="134"/>
    </row>
    <row r="323" spans="1:27">
      <c r="A323" t="s">
        <v>409</v>
      </c>
      <c r="B323" t="s">
        <v>32</v>
      </c>
      <c r="C323" s="195">
        <v>-23.498424957081291</v>
      </c>
      <c r="D323" s="100">
        <v>26.457087055104392</v>
      </c>
      <c r="E323" s="13">
        <v>2.1259089536182509</v>
      </c>
      <c r="F323" s="100">
        <v>-18.813691212734451</v>
      </c>
      <c r="G323" s="100">
        <v>-0.19936373407593391</v>
      </c>
      <c r="H323" s="13">
        <v>-3.1164197587439291</v>
      </c>
      <c r="I323" s="13">
        <v>-4.5368991129757577</v>
      </c>
      <c r="J323" s="13">
        <v>-10.475789192680979</v>
      </c>
      <c r="K323" s="100">
        <v>-0.71110213961006363</v>
      </c>
      <c r="L323" s="7">
        <v>45.556163262711408</v>
      </c>
      <c r="M323" s="15">
        <v>2.938690075863275</v>
      </c>
      <c r="N323" s="7">
        <v>-18.813691212734451</v>
      </c>
      <c r="O323" s="7">
        <v>-0.19936373407593391</v>
      </c>
      <c r="P323" s="7">
        <v>-0.41297795655530573</v>
      </c>
      <c r="S323" s="109">
        <v>4.1779925831314747E-3</v>
      </c>
      <c r="U323" s="134">
        <f>C323*S323</f>
        <v>-9.8176245185957176E-2</v>
      </c>
      <c r="V323" s="134">
        <f>(1+S323)*R322*(1-U323)+S323</f>
        <v>-0.14756126565021835</v>
      </c>
      <c r="W323" s="134">
        <f>V323+I323/3</f>
        <v>-1.6598609699754709</v>
      </c>
      <c r="X323" s="134">
        <f>V323+I323/5</f>
        <v>-1.0549410882453698</v>
      </c>
      <c r="Y323" s="134"/>
      <c r="AA323" s="134"/>
    </row>
    <row r="324" spans="1:27">
      <c r="B324" t="s">
        <v>34</v>
      </c>
      <c r="C324" s="197">
        <v>3.59062552450726</v>
      </c>
      <c r="D324" s="100">
        <v>2.2284798499754088</v>
      </c>
      <c r="E324" s="13">
        <v>0.37936166420996459</v>
      </c>
      <c r="F324" s="100">
        <v>18.836625042243611</v>
      </c>
      <c r="G324" s="100">
        <v>4.2460566866906992</v>
      </c>
      <c r="H324" s="13">
        <v>-0.14452802928530711</v>
      </c>
      <c r="I324" s="13">
        <v>0.13027602824944001</v>
      </c>
      <c r="J324" s="13">
        <v>0.67160013450474843</v>
      </c>
      <c r="K324" s="100">
        <v>8.4526790953265625</v>
      </c>
      <c r="L324" s="7">
        <v>2.2284798499754088</v>
      </c>
      <c r="M324" s="15">
        <v>0.37936166420996459</v>
      </c>
      <c r="N324" s="7">
        <v>18.836625042243611</v>
      </c>
      <c r="O324" s="7">
        <v>4.2460566866906992</v>
      </c>
      <c r="P324" s="7">
        <v>8.4526790953265625</v>
      </c>
      <c r="W324" s="134">
        <f>V322+I324/3</f>
        <v>3.4523159068340886E-2</v>
      </c>
      <c r="X324" s="134">
        <f>V322+I324/5</f>
        <v>1.7153021968415554E-2</v>
      </c>
      <c r="Y324" s="134"/>
      <c r="AA324" s="134"/>
    </row>
    <row r="325" spans="1:27">
      <c r="B325" t="s">
        <v>35</v>
      </c>
      <c r="C325" s="197">
        <v>3.2333592890745422</v>
      </c>
      <c r="D325" s="100">
        <v>2.0755752565380021</v>
      </c>
      <c r="E325" s="13">
        <v>0.35807466137421529</v>
      </c>
      <c r="F325" s="100">
        <v>17.160843849080919</v>
      </c>
      <c r="G325" s="100">
        <v>4.3074348734045964</v>
      </c>
      <c r="H325" s="13">
        <v>-9.4106235290763673E-2</v>
      </c>
      <c r="I325" s="13">
        <v>0.23444235891691889</v>
      </c>
      <c r="J325" s="13">
        <v>0.86134392631578138</v>
      </c>
      <c r="K325" s="100">
        <v>8.2679940392547842</v>
      </c>
      <c r="L325" s="7">
        <v>2.1108426850284179</v>
      </c>
      <c r="M325" s="15">
        <v>0.34716729682317882</v>
      </c>
      <c r="N325" s="7">
        <v>17.160843849080919</v>
      </c>
      <c r="O325" s="7">
        <v>4.3074348734045964</v>
      </c>
      <c r="P325" s="7">
        <v>8.1298544750860398</v>
      </c>
      <c r="W325" s="134">
        <f>V323+I325/3</f>
        <v>-6.9413812677912051E-2</v>
      </c>
      <c r="X325" s="134">
        <f>V323+I325/5</f>
        <v>-0.10067279386683457</v>
      </c>
      <c r="Y325" s="134"/>
      <c r="AA325" s="134"/>
    </row>
    <row r="326" spans="1:27">
      <c r="C326" s="111"/>
      <c r="D326" s="100"/>
      <c r="F326" s="100"/>
      <c r="G326" s="100"/>
      <c r="K326" s="100"/>
      <c r="L326" s="7"/>
      <c r="N326" s="7"/>
      <c r="O326" s="7"/>
      <c r="P326" s="7"/>
      <c r="AA326" s="134"/>
    </row>
    <row r="327" spans="1:27">
      <c r="A327" t="s">
        <v>410</v>
      </c>
      <c r="B327" t="s">
        <v>30</v>
      </c>
      <c r="C327" s="196">
        <v>698.29413974707893</v>
      </c>
      <c r="D327" s="100">
        <v>24.790694704234699</v>
      </c>
      <c r="E327" s="13">
        <v>0.96449820599494962</v>
      </c>
      <c r="F327" s="100">
        <v>-773.43017371090593</v>
      </c>
      <c r="G327" s="100">
        <v>-2.1075994050172628</v>
      </c>
      <c r="H327" s="13">
        <v>-0.93989139928713383</v>
      </c>
      <c r="I327" s="13">
        <v>-0.91805941787316092</v>
      </c>
      <c r="J327" s="13">
        <v>-0.87296204148086076</v>
      </c>
      <c r="K327" s="100">
        <v>-31.1984066174148</v>
      </c>
      <c r="L327" s="7">
        <v>36.949323864483382</v>
      </c>
      <c r="M327" s="15">
        <v>0.94708630394941251</v>
      </c>
      <c r="N327" s="7">
        <v>-773.43017371090593</v>
      </c>
      <c r="O327" s="7">
        <v>-2.1075994050172628</v>
      </c>
      <c r="P327" s="7">
        <v>-20.932187461604581</v>
      </c>
      <c r="Q327" s="109">
        <v>8.0182821814775481E-3</v>
      </c>
      <c r="R327" s="109">
        <v>-0.63283945179059375</v>
      </c>
      <c r="S327" s="109">
        <v>3.8847649790452249E-3</v>
      </c>
      <c r="U327" s="134">
        <f>C327*S327</f>
        <v>2.7127086191619645</v>
      </c>
      <c r="V327" s="134">
        <f>(1+S327)*Q327*(1-U327)+S327</f>
        <v>-9.9015654277028672E-3</v>
      </c>
      <c r="W327" s="134">
        <f>V327+I327/3</f>
        <v>-0.3159213713854232</v>
      </c>
      <c r="X327" s="134">
        <f>V327+I327/5</f>
        <v>-0.19351344900233505</v>
      </c>
      <c r="Y327" s="134"/>
      <c r="AA327" s="134"/>
    </row>
    <row r="328" spans="1:27">
      <c r="A328" t="s">
        <v>411</v>
      </c>
      <c r="B328" t="s">
        <v>32</v>
      </c>
      <c r="C328" s="195">
        <v>-7.433214695930987</v>
      </c>
      <c r="D328" s="100">
        <v>26.860051217269191</v>
      </c>
      <c r="E328" s="13">
        <v>4.6135174774344456</v>
      </c>
      <c r="F328" s="100">
        <v>-6.5275427449305647</v>
      </c>
      <c r="G328" s="100">
        <v>-0.1218412205282051</v>
      </c>
      <c r="H328" s="13">
        <v>-7.6644057348148671</v>
      </c>
      <c r="I328" s="13">
        <v>-9.7840185195172555</v>
      </c>
      <c r="J328" s="13">
        <v>-13.899634206878231</v>
      </c>
      <c r="K328" s="100">
        <v>-0.24302048764277101</v>
      </c>
      <c r="L328" s="7">
        <v>45.493467980060927</v>
      </c>
      <c r="M328" s="15">
        <v>7.1202951671723529</v>
      </c>
      <c r="N328" s="7">
        <v>-6.5275427449305647</v>
      </c>
      <c r="O328" s="7">
        <v>-0.1218412205282051</v>
      </c>
      <c r="P328" s="7">
        <v>-0.14348307646696629</v>
      </c>
      <c r="S328" s="109">
        <v>3.211960874920157E-3</v>
      </c>
      <c r="U328" s="134">
        <f>C328*S328</f>
        <v>-2.3875194778211862E-2</v>
      </c>
      <c r="V328" s="134">
        <f>(1+S328)*R327*(1-U328)+S328</f>
        <v>-0.6468178416971625</v>
      </c>
      <c r="W328" s="134">
        <f>V328+I328/3</f>
        <v>-3.9081573482029146</v>
      </c>
      <c r="X328" s="134">
        <f>V328+I328/5</f>
        <v>-2.6036215456006135</v>
      </c>
      <c r="Y328" s="134"/>
      <c r="AA328" s="134"/>
    </row>
    <row r="329" spans="1:27">
      <c r="B329" t="s">
        <v>34</v>
      </c>
      <c r="C329" s="198">
        <v>5.5991194581641954</v>
      </c>
      <c r="D329" s="100">
        <v>2.9808889234993412</v>
      </c>
      <c r="E329" s="13">
        <v>0.46761469445827891</v>
      </c>
      <c r="F329" s="100">
        <v>20.70701452753017</v>
      </c>
      <c r="G329" s="100">
        <v>2.6982626790247939</v>
      </c>
      <c r="H329" s="13">
        <v>-0.24152782931424499</v>
      </c>
      <c r="I329" s="13">
        <v>-4.4285418360973114E-3</v>
      </c>
      <c r="J329" s="13">
        <v>0.27122834387703948</v>
      </c>
      <c r="K329" s="100">
        <v>6.9465904496775686</v>
      </c>
      <c r="L329" s="7">
        <v>3.3796059416624211</v>
      </c>
      <c r="M329" s="15">
        <v>0.3964040297917657</v>
      </c>
      <c r="N329" s="7">
        <v>20.70701452753017</v>
      </c>
      <c r="O329" s="7">
        <v>2.6982626790247939</v>
      </c>
      <c r="P329" s="7">
        <v>6.1270499830357261</v>
      </c>
      <c r="W329" s="134">
        <f>V327+I329/3</f>
        <v>-1.1377746039735305E-2</v>
      </c>
      <c r="X329" s="134">
        <f>V327+I329/5</f>
        <v>-1.0787273794922329E-2</v>
      </c>
      <c r="Y329" s="134"/>
      <c r="AA329" s="134"/>
    </row>
    <row r="330" spans="1:27">
      <c r="B330" t="s">
        <v>35</v>
      </c>
      <c r="C330" s="197">
        <v>4.7040315132147512</v>
      </c>
      <c r="D330" s="100">
        <v>2.5815409611583191</v>
      </c>
      <c r="E330" s="13">
        <v>0.45120670346145603</v>
      </c>
      <c r="F330" s="100">
        <v>18.16025679063797</v>
      </c>
      <c r="G330" s="100">
        <v>2.8605729446372661</v>
      </c>
      <c r="H330" s="13">
        <v>-0.21921886940421129</v>
      </c>
      <c r="I330" s="13">
        <v>4.8787423198082047E-2</v>
      </c>
      <c r="J330" s="13">
        <v>0.44695592530475481</v>
      </c>
      <c r="K330" s="100">
        <v>7.0346576187927647</v>
      </c>
      <c r="L330" s="7">
        <v>2.7226781738621808</v>
      </c>
      <c r="M330" s="15">
        <v>0.42120324529852188</v>
      </c>
      <c r="N330" s="7">
        <v>18.16025679063797</v>
      </c>
      <c r="O330" s="7">
        <v>2.8605729446372661</v>
      </c>
      <c r="P330" s="7">
        <v>6.6699975652565744</v>
      </c>
      <c r="W330" s="134">
        <f>V328+I330/3</f>
        <v>-0.63055536729780182</v>
      </c>
      <c r="X330" s="134">
        <f>V328+I330/5</f>
        <v>-0.63706035705754605</v>
      </c>
      <c r="Y330" s="134"/>
      <c r="AA330" s="134"/>
    </row>
    <row r="331" spans="1:27">
      <c r="C331" s="111"/>
      <c r="D331" s="100"/>
      <c r="F331" s="100"/>
      <c r="G331" s="100"/>
      <c r="K331" s="100"/>
      <c r="L331" s="7"/>
      <c r="N331" s="7"/>
      <c r="O331" s="7"/>
      <c r="P331" s="7"/>
      <c r="AA331" s="134"/>
    </row>
    <row r="332" spans="1:27">
      <c r="A332" t="s">
        <v>412</v>
      </c>
      <c r="B332" t="s">
        <v>30</v>
      </c>
      <c r="C332" s="196">
        <v>104.9178986866096</v>
      </c>
      <c r="D332" s="100">
        <v>27.491778199739549</v>
      </c>
      <c r="E332" s="13">
        <v>0.73796865412013579</v>
      </c>
      <c r="F332" s="100">
        <v>161.67649600961849</v>
      </c>
      <c r="G332" s="100">
        <v>0.54098107218623581</v>
      </c>
      <c r="H332" s="13">
        <v>-0.64910928778429322</v>
      </c>
      <c r="I332" s="13">
        <v>-0.55629590078930913</v>
      </c>
      <c r="J332" s="13">
        <v>-0.33655038964028389</v>
      </c>
      <c r="K332" s="100">
        <v>5.8809035499620812</v>
      </c>
      <c r="L332" s="7">
        <v>27.491778199739549</v>
      </c>
      <c r="M332" s="15">
        <v>0.73796865412013579</v>
      </c>
      <c r="N332" s="7">
        <v>161.67649600961849</v>
      </c>
      <c r="O332" s="7">
        <v>0.54098107218623581</v>
      </c>
      <c r="P332" s="7">
        <v>5.8809035499620812</v>
      </c>
      <c r="Q332" s="109">
        <v>3.0357228649160059E-2</v>
      </c>
      <c r="R332" s="109">
        <v>-1.3455025945307659E-2</v>
      </c>
      <c r="S332" s="109">
        <v>4.7035170597976928E-3</v>
      </c>
      <c r="U332" s="134">
        <f>C332*S332</f>
        <v>0.49348312635059421</v>
      </c>
      <c r="V332" s="134">
        <f>(1+S332)*Q332*(1-U332)+S332</f>
        <v>2.0152288995895194E-2</v>
      </c>
      <c r="W332" s="134">
        <f>V332+I332/3</f>
        <v>-0.16527967793387452</v>
      </c>
      <c r="X332" s="134">
        <f>V332+I332/5</f>
        <v>-9.110689116196663E-2</v>
      </c>
      <c r="Y332" s="134"/>
      <c r="AA332" s="134"/>
    </row>
    <row r="333" spans="1:27">
      <c r="A333" t="s">
        <v>413</v>
      </c>
      <c r="B333" t="s">
        <v>32</v>
      </c>
      <c r="C333" s="195">
        <v>-188.1648993986621</v>
      </c>
      <c r="D333" s="100">
        <v>36.22633411495783</v>
      </c>
      <c r="E333" s="13">
        <v>1.1925243987094829</v>
      </c>
      <c r="F333" s="100">
        <v>-163.24334656656029</v>
      </c>
      <c r="G333" s="100">
        <v>-0.13244528023954599</v>
      </c>
      <c r="H333" s="13">
        <v>-1.266082176378351</v>
      </c>
      <c r="I333" s="13">
        <v>-1.341288854545384</v>
      </c>
      <c r="J333" s="13">
        <v>-1.4690883598048661</v>
      </c>
      <c r="K333" s="100">
        <v>-4.5062066188794203</v>
      </c>
      <c r="L333" s="7">
        <v>36.22633411495783</v>
      </c>
      <c r="M333" s="15">
        <v>1.1925243987094829</v>
      </c>
      <c r="N333" s="7">
        <v>-163.24334656656029</v>
      </c>
      <c r="O333" s="7">
        <v>-0.13244528023954599</v>
      </c>
      <c r="P333" s="7">
        <v>-4.5062066188794203</v>
      </c>
      <c r="S333" s="109">
        <v>7.3360311414406888E-3</v>
      </c>
      <c r="U333" s="134">
        <f>C333*S333</f>
        <v>-1.3803835617146396</v>
      </c>
      <c r="V333" s="134">
        <f>(1+S333)*R332*(1-U333)+S333</f>
        <v>-2.4927050745881873E-2</v>
      </c>
      <c r="W333" s="134">
        <f>V333+I333/3</f>
        <v>-0.47202333559434323</v>
      </c>
      <c r="X333" s="134">
        <f>V333+I333/5</f>
        <v>-0.29318482165495868</v>
      </c>
      <c r="Y333" s="134"/>
      <c r="AA333" s="134"/>
    </row>
    <row r="334" spans="1:27">
      <c r="B334" t="s">
        <v>34</v>
      </c>
      <c r="C334" s="197">
        <v>3.1850166398188162</v>
      </c>
      <c r="D334" s="100">
        <v>1.8713820888911401</v>
      </c>
      <c r="E334" s="13">
        <v>0.41244197424425499</v>
      </c>
      <c r="F334" s="100">
        <v>9.431574181084164</v>
      </c>
      <c r="G334" s="100">
        <v>1.961232309800645</v>
      </c>
      <c r="H334" s="13">
        <v>-0.18206537119144711</v>
      </c>
      <c r="I334" s="13">
        <v>1.4217579503411629E-2</v>
      </c>
      <c r="J334" s="13">
        <v>0.2335368474681854</v>
      </c>
      <c r="K334" s="100">
        <v>5.0398976441378167</v>
      </c>
      <c r="L334" s="7">
        <v>1.9732943001387531</v>
      </c>
      <c r="M334" s="15">
        <v>0.38044458686061811</v>
      </c>
      <c r="N334" s="7">
        <v>9.431574181084164</v>
      </c>
      <c r="O334" s="7">
        <v>1.961232309800645</v>
      </c>
      <c r="P334" s="7">
        <v>4.7796084853744221</v>
      </c>
      <c r="W334" s="134">
        <f>V332+I334/3</f>
        <v>2.4891482163699071E-2</v>
      </c>
      <c r="X334" s="134">
        <f>V332+I334/5</f>
        <v>2.2995804896577519E-2</v>
      </c>
      <c r="Y334" s="134"/>
      <c r="AA334" s="134"/>
    </row>
    <row r="335" spans="1:27">
      <c r="B335" t="s">
        <v>35</v>
      </c>
      <c r="C335" s="195">
        <v>2.5317636034052051</v>
      </c>
      <c r="D335" s="100">
        <v>1.916056602925025</v>
      </c>
      <c r="E335" s="13">
        <v>0.24319292672193329</v>
      </c>
      <c r="F335" s="100">
        <v>10.048933538198529</v>
      </c>
      <c r="G335" s="100">
        <v>2.9691436928324499</v>
      </c>
      <c r="H335" s="13">
        <v>1.8640367047990439E-2</v>
      </c>
      <c r="I335" s="13">
        <v>0.27142773683814442</v>
      </c>
      <c r="J335" s="13">
        <v>0.70168077650616523</v>
      </c>
      <c r="K335" s="100">
        <v>5.2445911685792392</v>
      </c>
      <c r="L335" s="7">
        <v>1.955749597268216</v>
      </c>
      <c r="M335" s="15">
        <v>0.2275149249172608</v>
      </c>
      <c r="N335" s="7">
        <v>10.048933538198529</v>
      </c>
      <c r="O335" s="7">
        <v>2.9691436928324499</v>
      </c>
      <c r="P335" s="7">
        <v>5.138149358299672</v>
      </c>
      <c r="W335" s="134">
        <f>V333+I335/3</f>
        <v>6.5548861533499592E-2</v>
      </c>
      <c r="X335" s="134">
        <f>V333+I335/5</f>
        <v>2.9358496621747009E-2</v>
      </c>
      <c r="Y335" s="134"/>
      <c r="AA335" s="134"/>
    </row>
    <row r="336" spans="1:27">
      <c r="C336" s="111"/>
      <c r="D336" s="100"/>
      <c r="F336" s="100"/>
      <c r="G336" s="100"/>
      <c r="K336" s="100"/>
      <c r="L336" s="7"/>
      <c r="N336" s="7"/>
      <c r="O336" s="7"/>
      <c r="P336" s="7"/>
      <c r="AA336" s="134"/>
    </row>
    <row r="337" spans="1:27">
      <c r="A337" t="s">
        <v>414</v>
      </c>
      <c r="B337" t="s">
        <v>30</v>
      </c>
      <c r="C337" s="195">
        <v>37.818486105050617</v>
      </c>
      <c r="D337" s="100">
        <v>27.468022609699069</v>
      </c>
      <c r="E337" s="13">
        <v>0.27368793839606542</v>
      </c>
      <c r="F337" s="100">
        <v>106.19775480136251</v>
      </c>
      <c r="G337" s="100">
        <v>1.8080911146567531</v>
      </c>
      <c r="H337" s="13">
        <v>2.531539587545972E-2</v>
      </c>
      <c r="I337" s="13">
        <v>0.28845234340342579</v>
      </c>
      <c r="J337" s="13">
        <v>0.49578131361162942</v>
      </c>
      <c r="K337" s="100">
        <v>3.8662322479618041</v>
      </c>
      <c r="L337" s="7">
        <v>28.602916789995231</v>
      </c>
      <c r="M337" s="15">
        <v>0.24367895873612599</v>
      </c>
      <c r="N337" s="7">
        <v>106.19775480136251</v>
      </c>
      <c r="O337" s="7">
        <v>1.8080911146567531</v>
      </c>
      <c r="P337" s="7">
        <v>3.712829554449792</v>
      </c>
      <c r="Q337" s="109">
        <v>0.10127566822171249</v>
      </c>
      <c r="R337" s="109">
        <v>-3.0941334750815289E-2</v>
      </c>
      <c r="S337" s="109">
        <v>9.4106197989809477E-3</v>
      </c>
      <c r="U337" s="134">
        <f>C337*S337</f>
        <v>0.35589539410767518</v>
      </c>
      <c r="V337" s="134">
        <f>(1+S337)*Q337*(1-U337)+S337</f>
        <v>7.5256618886501217E-2</v>
      </c>
      <c r="W337" s="134">
        <f>V337+I337/3</f>
        <v>0.17140740002097649</v>
      </c>
      <c r="X337" s="134">
        <f>V337+I337/5</f>
        <v>0.13294708756718637</v>
      </c>
      <c r="Y337" s="134"/>
      <c r="AA337" s="134"/>
    </row>
    <row r="338" spans="1:27">
      <c r="A338" t="s">
        <v>415</v>
      </c>
      <c r="B338" t="s">
        <v>32</v>
      </c>
      <c r="C338" s="195">
        <v>-111.4811564587053</v>
      </c>
      <c r="D338" s="100">
        <v>29.653940411480789</v>
      </c>
      <c r="E338" s="13">
        <v>1.2659995765514429</v>
      </c>
      <c r="F338" s="100">
        <v>-16.260062550395581</v>
      </c>
      <c r="G338" s="100">
        <v>-0.85414519308096148</v>
      </c>
      <c r="H338" s="13">
        <v>-1.464854345275447</v>
      </c>
      <c r="I338" s="13">
        <v>-1.681797622942971</v>
      </c>
      <c r="J338" s="13">
        <v>-2.2930380589807031</v>
      </c>
      <c r="K338" s="100">
        <v>-0.54832721468949719</v>
      </c>
      <c r="L338" s="7">
        <v>52.006531875740549</v>
      </c>
      <c r="M338" s="15">
        <v>1.466505134390176</v>
      </c>
      <c r="N338" s="7">
        <v>-16.260062550395581</v>
      </c>
      <c r="O338" s="7">
        <v>-0.85414519308096148</v>
      </c>
      <c r="P338" s="7">
        <v>-0.31265423714939938</v>
      </c>
      <c r="S338" s="109">
        <v>4.9897121805696854E-3</v>
      </c>
      <c r="U338" s="134">
        <f>C338*S338</f>
        <v>-0.55625888428599668</v>
      </c>
      <c r="V338" s="134">
        <f>(1+S338)*R337*(1-U338)+S338</f>
        <v>-4.3403283165980314E-2</v>
      </c>
      <c r="W338" s="134">
        <f>V338+I338/3</f>
        <v>-0.60400249081363733</v>
      </c>
      <c r="X338" s="134">
        <f>V338+I338/5</f>
        <v>-0.37976280775457449</v>
      </c>
      <c r="Y338" s="134"/>
      <c r="AA338" s="134"/>
    </row>
    <row r="339" spans="1:27">
      <c r="B339" t="s">
        <v>34</v>
      </c>
      <c r="C339" s="195">
        <v>3.8300924514225509</v>
      </c>
      <c r="D339" s="100">
        <v>2.310434666985405</v>
      </c>
      <c r="E339" s="13">
        <v>0.39676791192670108</v>
      </c>
      <c r="F339" s="100">
        <v>12.23194525352195</v>
      </c>
      <c r="G339" s="100">
        <v>2.1936422968011731</v>
      </c>
      <c r="H339" s="13">
        <v>4.8044950303285372E-3</v>
      </c>
      <c r="I339" s="13">
        <v>0.26181076065610659</v>
      </c>
      <c r="J339" s="13">
        <v>0.50109118549990117</v>
      </c>
      <c r="K339" s="100">
        <v>5.2942181955233014</v>
      </c>
      <c r="L339" s="7">
        <v>2.310434666985405</v>
      </c>
      <c r="M339" s="15">
        <v>0.39676791192670108</v>
      </c>
      <c r="N339" s="7">
        <v>12.23194525352195</v>
      </c>
      <c r="O339" s="7">
        <v>2.1936422968011731</v>
      </c>
      <c r="P339" s="7">
        <v>5.2942181955233014</v>
      </c>
      <c r="W339" s="134">
        <f>V337+I339/3</f>
        <v>0.16252687243853675</v>
      </c>
      <c r="X339" s="134">
        <f>V337+I339/5</f>
        <v>0.12761877101772254</v>
      </c>
      <c r="Y339" s="134"/>
      <c r="AA339" s="134"/>
    </row>
    <row r="340" spans="1:27">
      <c r="B340" t="s">
        <v>35</v>
      </c>
      <c r="C340" s="197">
        <v>3.449375780396815</v>
      </c>
      <c r="D340" s="100">
        <v>1.63893632152436</v>
      </c>
      <c r="E340" s="13">
        <v>0.52486002515625685</v>
      </c>
      <c r="F340" s="100">
        <v>11.405415182541701</v>
      </c>
      <c r="G340" s="100">
        <v>2.3065157027424901</v>
      </c>
      <c r="H340" s="13">
        <v>-0.10749589817573039</v>
      </c>
      <c r="I340" s="13">
        <v>0.16201447256219931</v>
      </c>
      <c r="J340" s="13">
        <v>0.60696864196033129</v>
      </c>
      <c r="K340" s="100">
        <v>6.9590349745459479</v>
      </c>
      <c r="L340" s="7">
        <v>1.63893632152436</v>
      </c>
      <c r="M340" s="15">
        <v>0.52486002515625685</v>
      </c>
      <c r="N340" s="7">
        <v>11.405415182541701</v>
      </c>
      <c r="O340" s="7">
        <v>2.3065157027424901</v>
      </c>
      <c r="P340" s="7">
        <v>6.9590349745459479</v>
      </c>
      <c r="W340" s="134">
        <f>V338+I340/3</f>
        <v>1.0601541021419456E-2</v>
      </c>
      <c r="X340" s="134">
        <f>V338+I340/5</f>
        <v>-1.1000388653540451E-2</v>
      </c>
      <c r="Y340" s="134"/>
      <c r="AA340" s="134"/>
    </row>
    <row r="341" spans="1:27">
      <c r="C341" s="111"/>
      <c r="D341" s="100"/>
      <c r="F341" s="100"/>
      <c r="G341" s="100"/>
      <c r="K341" s="100"/>
      <c r="L341" s="7"/>
      <c r="N341" s="7"/>
      <c r="O341" s="7"/>
      <c r="P341" s="7"/>
      <c r="AA341" s="134"/>
    </row>
    <row r="342" spans="1:27">
      <c r="A342" t="s">
        <v>416</v>
      </c>
      <c r="B342" t="s">
        <v>30</v>
      </c>
      <c r="C342" s="198">
        <v>68.483713122572269</v>
      </c>
      <c r="D342" s="100">
        <v>30.227651389895222</v>
      </c>
      <c r="E342" s="13">
        <v>0.55861547203502648</v>
      </c>
      <c r="F342" s="100">
        <v>-51.271337227533493</v>
      </c>
      <c r="G342" s="100">
        <v>-1.7486646808383179</v>
      </c>
      <c r="H342" s="13">
        <v>-0.33539879046832549</v>
      </c>
      <c r="I342" s="13">
        <v>-9.2174763783156588E-2</v>
      </c>
      <c r="J342" s="13">
        <v>0.61166045894597731</v>
      </c>
      <c r="K342" s="100">
        <v>-1.6961733667695049</v>
      </c>
      <c r="L342" s="7">
        <v>30.227651389895222</v>
      </c>
      <c r="M342" s="15">
        <v>0.55861547203502648</v>
      </c>
      <c r="N342" s="7">
        <v>121.5529777926124</v>
      </c>
      <c r="O342" s="7">
        <v>0.77491803890739219</v>
      </c>
      <c r="P342" s="7">
        <v>4.0212511460035651</v>
      </c>
      <c r="Q342" s="109">
        <v>6.2705716525508576E-2</v>
      </c>
      <c r="R342" s="109">
        <v>-1.552771265503401E-2</v>
      </c>
      <c r="S342" s="109">
        <v>7.0135543385490724E-3</v>
      </c>
      <c r="U342" s="134">
        <f>C342*S342</f>
        <v>0.48031424329076677</v>
      </c>
      <c r="V342" s="134">
        <f>(1+S342)*Q342*(1-U342)+S342</f>
        <v>3.9829374654159908E-2</v>
      </c>
      <c r="W342" s="134">
        <f>V342+I342/3</f>
        <v>9.1044533931077115E-3</v>
      </c>
      <c r="X342" s="134">
        <f>V342+I342/5</f>
        <v>2.139442189752859E-2</v>
      </c>
      <c r="Y342" s="134"/>
      <c r="AA342" s="134"/>
    </row>
    <row r="343" spans="1:27">
      <c r="A343" t="s">
        <v>417</v>
      </c>
      <c r="B343" t="s">
        <v>32</v>
      </c>
      <c r="C343" s="195">
        <v>-195.92316788342569</v>
      </c>
      <c r="D343" s="100">
        <v>39.895038283083402</v>
      </c>
      <c r="E343" s="13">
        <v>1.2036259351769001</v>
      </c>
      <c r="F343" s="100">
        <v>-14.49854117948991</v>
      </c>
      <c r="G343" s="100">
        <v>-0.925998842627348</v>
      </c>
      <c r="H343" s="13">
        <v>-1.298763503007011</v>
      </c>
      <c r="I343" s="13">
        <v>-1.449779240803537</v>
      </c>
      <c r="J343" s="13">
        <v>-0.63864377549207496</v>
      </c>
      <c r="K343" s="100">
        <v>-0.3634171516922115</v>
      </c>
      <c r="L343" s="7">
        <v>39.895038283083402</v>
      </c>
      <c r="M343" s="15">
        <v>1.2036259351769001</v>
      </c>
      <c r="N343" s="7">
        <v>-14.49854117948991</v>
      </c>
      <c r="O343" s="7">
        <v>-0.925998842627348</v>
      </c>
      <c r="P343" s="7">
        <v>-0.3634171516922115</v>
      </c>
      <c r="S343" s="109">
        <v>7.3783277619725914E-3</v>
      </c>
      <c r="U343" s="134">
        <f>C343*S343</f>
        <v>-1.4455853488078967</v>
      </c>
      <c r="V343" s="134">
        <f>(1+S343)*R342*(1-U343)+S343</f>
        <v>-3.0876205983215173E-2</v>
      </c>
      <c r="W343" s="134">
        <f>V343+I343/3</f>
        <v>-0.51413595291772751</v>
      </c>
      <c r="X343" s="134">
        <f>V343+I343/5</f>
        <v>-0.32083205414392257</v>
      </c>
      <c r="Y343" s="134"/>
      <c r="AA343" s="134"/>
    </row>
    <row r="344" spans="1:27">
      <c r="B344" t="s">
        <v>34</v>
      </c>
      <c r="C344" s="198">
        <v>4.2943203016782681</v>
      </c>
      <c r="D344" s="100">
        <v>2.39337387676767</v>
      </c>
      <c r="E344" s="13">
        <v>0.44266526280484642</v>
      </c>
      <c r="F344" s="100">
        <v>8.6042717281651662</v>
      </c>
      <c r="G344" s="100">
        <v>1.003639953173153</v>
      </c>
      <c r="H344" s="13">
        <v>-0.18595202089139329</v>
      </c>
      <c r="I344" s="13">
        <v>-4.3363660600047697E-2</v>
      </c>
      <c r="J344" s="13">
        <v>0.1622224362453808</v>
      </c>
      <c r="K344" s="100">
        <v>3.5950387073604722</v>
      </c>
      <c r="L344" s="7">
        <v>2.39337387676767</v>
      </c>
      <c r="M344" s="15">
        <v>0.44266526280484642</v>
      </c>
      <c r="N344" s="7">
        <v>7.4709053686542886</v>
      </c>
      <c r="O344" s="7">
        <v>0.73971777692841778</v>
      </c>
      <c r="P344" s="7">
        <v>3.121495325562754</v>
      </c>
      <c r="W344" s="134">
        <f>V342+I344/3</f>
        <v>2.5374821120810673E-2</v>
      </c>
      <c r="X344" s="134">
        <f>V342+I344/5</f>
        <v>3.1156642534150368E-2</v>
      </c>
      <c r="Y344" s="134"/>
      <c r="AA344" s="134"/>
    </row>
    <row r="345" spans="1:27">
      <c r="B345" t="s">
        <v>35</v>
      </c>
      <c r="C345" s="197">
        <v>3.042238653357821</v>
      </c>
      <c r="D345" s="100">
        <v>2.0015338280956341</v>
      </c>
      <c r="E345" s="13">
        <v>0.34208520232741302</v>
      </c>
      <c r="F345" s="100">
        <v>7.7662097664370178</v>
      </c>
      <c r="G345" s="100">
        <v>1.5527943897054859</v>
      </c>
      <c r="H345" s="13">
        <v>-6.3909630649506832E-3</v>
      </c>
      <c r="I345" s="13">
        <v>0.20918005837046419</v>
      </c>
      <c r="J345" s="13">
        <v>0.5464701087426842</v>
      </c>
      <c r="K345" s="100">
        <v>3.8801291576601549</v>
      </c>
      <c r="L345" s="7">
        <v>2.0118620891539249</v>
      </c>
      <c r="M345" s="15">
        <v>0.33869024807328452</v>
      </c>
      <c r="N345" s="7">
        <v>7.6714082385498967</v>
      </c>
      <c r="O345" s="7">
        <v>1.5216326240818441</v>
      </c>
      <c r="P345" s="7">
        <v>3.8130885212793362</v>
      </c>
      <c r="W345" s="134">
        <f>V343+I345/3</f>
        <v>3.885048014027289E-2</v>
      </c>
      <c r="X345" s="134">
        <f>V343+I345/5</f>
        <v>1.0959805690877664E-2</v>
      </c>
      <c r="Y345" s="134"/>
      <c r="AA345" s="134"/>
    </row>
    <row r="346" spans="1:27">
      <c r="C346" s="111"/>
      <c r="D346" s="100"/>
      <c r="F346" s="100"/>
      <c r="G346" s="100"/>
      <c r="K346" s="100"/>
      <c r="L346" s="7"/>
      <c r="N346" s="7"/>
      <c r="O346" s="7"/>
      <c r="P346" s="7"/>
      <c r="AA346" s="134"/>
    </row>
    <row r="347" spans="1:27">
      <c r="A347" t="s">
        <v>276</v>
      </c>
      <c r="B347" t="s">
        <v>30</v>
      </c>
      <c r="C347" s="198">
        <v>196.2727296244708</v>
      </c>
      <c r="D347" s="100">
        <v>18.851360643916632</v>
      </c>
      <c r="E347" s="13">
        <v>0.90395323548011486</v>
      </c>
      <c r="F347" s="100">
        <v>-33.54469474393192</v>
      </c>
      <c r="G347" s="100">
        <v>-1.1709085862723421</v>
      </c>
      <c r="H347" s="13">
        <v>-0.80232693629786023</v>
      </c>
      <c r="I347" s="13">
        <v>-0.67139745349953928</v>
      </c>
      <c r="J347" s="13">
        <v>1.9720062310094599E-2</v>
      </c>
      <c r="K347" s="100">
        <v>-1.7794309587280031</v>
      </c>
      <c r="L347" s="7">
        <v>18.851360643916632</v>
      </c>
      <c r="M347" s="15">
        <v>0.90395323548011486</v>
      </c>
      <c r="N347" s="7">
        <v>244.40319479888339</v>
      </c>
      <c r="O347" s="7">
        <v>0.24522237636629821</v>
      </c>
      <c r="P347" s="7">
        <v>12.964750895991839</v>
      </c>
      <c r="Q347" s="109">
        <v>1.113903859229555E-2</v>
      </c>
      <c r="R347" s="109">
        <v>-5.4443737679336239E-2</v>
      </c>
      <c r="S347" s="109">
        <v>6.5312261309659969E-3</v>
      </c>
      <c r="U347" s="134">
        <f>C347*S347</f>
        <v>1.2819015805193676</v>
      </c>
      <c r="V347" s="134">
        <f>(1+S347)*Q347*(1-U347)+S347</f>
        <v>3.3706047609647102E-3</v>
      </c>
      <c r="W347" s="134">
        <f>V347+I347/3</f>
        <v>-0.22042854640554838</v>
      </c>
      <c r="X347" s="134">
        <f>V347+I347/5</f>
        <v>-0.13090888593894315</v>
      </c>
      <c r="Y347" s="134"/>
      <c r="AA347" s="134"/>
    </row>
    <row r="348" spans="1:27">
      <c r="A348" t="s">
        <v>418</v>
      </c>
      <c r="B348" t="s">
        <v>32</v>
      </c>
      <c r="C348" s="195">
        <v>-42.261592464903337</v>
      </c>
      <c r="D348" s="100">
        <v>26.80451590837362</v>
      </c>
      <c r="E348" s="13">
        <v>1.634252387215029</v>
      </c>
      <c r="F348" s="100">
        <v>-28.51528482534933</v>
      </c>
      <c r="G348" s="100">
        <v>-0.32526714772922471</v>
      </c>
      <c r="H348" s="13">
        <v>-2.2445305947912608</v>
      </c>
      <c r="I348" s="13">
        <v>-2.8837105191647141</v>
      </c>
      <c r="J348" s="13">
        <v>-10.7017590814432</v>
      </c>
      <c r="K348" s="100">
        <v>-1.063823906494848</v>
      </c>
      <c r="L348" s="7">
        <v>26.80451590837362</v>
      </c>
      <c r="M348" s="15">
        <v>1.634252387215029</v>
      </c>
      <c r="N348" s="7">
        <v>-35.786098318354099</v>
      </c>
      <c r="O348" s="7">
        <v>-0.1532240923464229</v>
      </c>
      <c r="P348" s="7">
        <v>-1.335077210149304</v>
      </c>
      <c r="S348" s="109">
        <v>6.214456106470952E-3</v>
      </c>
      <c r="U348" s="134">
        <f>C348*S348</f>
        <v>-0.26263281136270533</v>
      </c>
      <c r="V348" s="134">
        <f>(1+S348)*R347*(1-U348)+S348</f>
        <v>-6.2955190396169397E-2</v>
      </c>
      <c r="W348" s="134">
        <f>V348+I348/3</f>
        <v>-1.0241920301177407</v>
      </c>
      <c r="X348" s="134">
        <f>V348+I348/5</f>
        <v>-0.63969729422911215</v>
      </c>
      <c r="Y348" s="134"/>
      <c r="AA348" s="134"/>
    </row>
    <row r="349" spans="1:27">
      <c r="B349" t="s">
        <v>34</v>
      </c>
      <c r="C349" s="197">
        <v>2.1862895099021702</v>
      </c>
      <c r="D349" s="100">
        <v>1.401870720565118</v>
      </c>
      <c r="E349" s="13">
        <v>0.35878998905874671</v>
      </c>
      <c r="F349" s="100">
        <v>4.8027466086236696</v>
      </c>
      <c r="G349" s="100">
        <v>1.196756919370014</v>
      </c>
      <c r="H349" s="13">
        <v>-6.6938506051652968E-2</v>
      </c>
      <c r="I349" s="13">
        <v>0.20623497399861579</v>
      </c>
      <c r="J349" s="13">
        <v>0.39073232044730138</v>
      </c>
      <c r="K349" s="100">
        <v>3.4259554309598541</v>
      </c>
      <c r="L349" s="7">
        <v>1.401870720565118</v>
      </c>
      <c r="M349" s="15">
        <v>0.35878998905874671</v>
      </c>
      <c r="N349" s="7">
        <v>4.8027466086236696</v>
      </c>
      <c r="O349" s="7">
        <v>1.196756919370014</v>
      </c>
      <c r="P349" s="7">
        <v>3.4259554309598541</v>
      </c>
      <c r="W349" s="134">
        <f>V347+I349/3</f>
        <v>7.2115596093836637E-2</v>
      </c>
      <c r="X349" s="134">
        <f>V347+I349/5</f>
        <v>4.4617599560687865E-2</v>
      </c>
      <c r="Y349" s="134"/>
      <c r="AA349" s="134"/>
    </row>
    <row r="350" spans="1:27">
      <c r="B350" t="s">
        <v>35</v>
      </c>
      <c r="C350" s="195">
        <v>2.3008790540702102</v>
      </c>
      <c r="D350" s="100">
        <v>1.6083672487455321</v>
      </c>
      <c r="E350" s="13">
        <v>0.30097705661653018</v>
      </c>
      <c r="F350" s="100">
        <v>6.5359464898105726</v>
      </c>
      <c r="G350" s="100">
        <v>1.840630183602485</v>
      </c>
      <c r="H350" s="13">
        <v>4.4730835136196578E-2</v>
      </c>
      <c r="I350" s="13">
        <v>0.39641802569277101</v>
      </c>
      <c r="J350" s="13">
        <v>0.75666148023429325</v>
      </c>
      <c r="K350" s="100">
        <v>4.0637152335129763</v>
      </c>
      <c r="L350" s="7">
        <v>1.6083672487455321</v>
      </c>
      <c r="M350" s="15">
        <v>0.30097705661653018</v>
      </c>
      <c r="N350" s="7">
        <v>6.5359464898105726</v>
      </c>
      <c r="O350" s="7">
        <v>1.840630183602485</v>
      </c>
      <c r="P350" s="7">
        <v>4.0637152335129763</v>
      </c>
      <c r="W350" s="134">
        <f>V348+I350/3</f>
        <v>6.9184151501420932E-2</v>
      </c>
      <c r="X350" s="134">
        <f>V348+I350/5</f>
        <v>1.6328414742384806E-2</v>
      </c>
      <c r="Y350" s="134"/>
      <c r="AA350" s="134"/>
    </row>
    <row r="351" spans="1:27">
      <c r="C351" s="111"/>
      <c r="D351" s="100"/>
      <c r="F351" s="100"/>
      <c r="G351" s="100"/>
      <c r="K351" s="100"/>
      <c r="L351" s="7"/>
      <c r="N351" s="7"/>
      <c r="O351" s="7"/>
      <c r="P351" s="7"/>
      <c r="AA351" s="134"/>
    </row>
    <row r="352" spans="1:27">
      <c r="A352" t="s">
        <v>419</v>
      </c>
      <c r="B352" t="s">
        <v>30</v>
      </c>
      <c r="C352" s="198">
        <v>91.851803207788052</v>
      </c>
      <c r="D352" s="100">
        <v>27.002686587138761</v>
      </c>
      <c r="E352" s="13">
        <v>0.70601898227242177</v>
      </c>
      <c r="F352" s="100">
        <v>338.12091482758342</v>
      </c>
      <c r="G352" s="100">
        <v>2.6811570706204102</v>
      </c>
      <c r="H352" s="13">
        <v>-0.55837171658574114</v>
      </c>
      <c r="I352" s="13">
        <v>-0.1105732250455714</v>
      </c>
      <c r="J352" s="13">
        <v>0.15611065152469039</v>
      </c>
      <c r="K352" s="100">
        <v>12.521750890840201</v>
      </c>
      <c r="L352" s="7">
        <v>29.560488384064879</v>
      </c>
      <c r="M352" s="15">
        <v>0.67817193183248836</v>
      </c>
      <c r="N352" s="7">
        <v>168.89337190974061</v>
      </c>
      <c r="O352" s="7">
        <v>0.83875945829466625</v>
      </c>
      <c r="P352" s="7">
        <v>5.7134838137784527</v>
      </c>
      <c r="Q352" s="109">
        <v>6.75883282934443E-2</v>
      </c>
      <c r="R352" s="109">
        <v>3.1459710677204797E-4</v>
      </c>
      <c r="S352" s="109">
        <v>2.3987293401396422E-3</v>
      </c>
      <c r="U352" s="134">
        <f>C352*S352</f>
        <v>0.22032761529925371</v>
      </c>
      <c r="V352" s="134">
        <f>(1+S352)*Q352*(1-U352)+S352</f>
        <v>5.5221887686413715E-2</v>
      </c>
      <c r="W352" s="134">
        <f>V352+I352/3</f>
        <v>1.8364146004556582E-2</v>
      </c>
      <c r="X352" s="134">
        <f>V352+I352/5</f>
        <v>3.3107242677299434E-2</v>
      </c>
      <c r="Y352" s="134"/>
      <c r="AA352" s="134"/>
    </row>
    <row r="353" spans="1:27">
      <c r="A353" t="s">
        <v>420</v>
      </c>
      <c r="B353" t="s">
        <v>32</v>
      </c>
      <c r="C353" s="196">
        <v>12962.567546429629</v>
      </c>
      <c r="D353" s="100">
        <v>30.31267299191196</v>
      </c>
      <c r="E353" s="13">
        <v>0.99766152246587436</v>
      </c>
      <c r="F353" s="100">
        <v>-267.92396449367368</v>
      </c>
      <c r="G353" s="100">
        <v>-1.0206690505977321</v>
      </c>
      <c r="H353" s="13">
        <v>-0.99557809250905993</v>
      </c>
      <c r="I353" s="13">
        <v>-0.99295608856760142</v>
      </c>
      <c r="J353" s="13">
        <v>-0.99108012967406622</v>
      </c>
      <c r="K353" s="100">
        <v>-8.8386782836723548</v>
      </c>
      <c r="L353" s="7">
        <v>52.594986668713076</v>
      </c>
      <c r="M353" s="15">
        <v>0.99594254869027088</v>
      </c>
      <c r="N353" s="7">
        <v>-267.92396449367368</v>
      </c>
      <c r="O353" s="7">
        <v>-1.0206690505977321</v>
      </c>
      <c r="P353" s="7">
        <v>-5.0940970131104208</v>
      </c>
      <c r="S353" s="109">
        <v>3.3039927664959752E-3</v>
      </c>
      <c r="U353" s="134">
        <f>C353*S353</f>
        <v>42.828229408618974</v>
      </c>
      <c r="V353" s="134">
        <f>(1+S353)*R352*(1-U353)+S353</f>
        <v>-9.8985245596729422E-3</v>
      </c>
      <c r="W353" s="134">
        <f>V353+I353/3</f>
        <v>-0.3408838874155401</v>
      </c>
      <c r="X353" s="134">
        <f>V353+I353/5</f>
        <v>-0.20848974227319322</v>
      </c>
      <c r="Y353" s="134"/>
      <c r="AA353" s="134"/>
    </row>
    <row r="354" spans="1:27">
      <c r="B354" t="s">
        <v>34</v>
      </c>
      <c r="C354" s="196">
        <v>6.2081098295528196</v>
      </c>
      <c r="D354" s="100">
        <v>1.9511489371642059</v>
      </c>
      <c r="E354" s="13">
        <v>0.68570966192059934</v>
      </c>
      <c r="F354" s="100">
        <v>9.1011658642536073</v>
      </c>
      <c r="G354" s="100">
        <v>0.46601237963426612</v>
      </c>
      <c r="H354" s="13">
        <v>-0.5506542236617753</v>
      </c>
      <c r="I354" s="13">
        <v>-0.36943877313744811</v>
      </c>
      <c r="J354" s="13">
        <v>-0.22408821773598009</v>
      </c>
      <c r="K354" s="100">
        <v>4.6645162195978829</v>
      </c>
      <c r="L354" s="7">
        <v>2.6709254655364938</v>
      </c>
      <c r="M354" s="15">
        <v>0.56976832902956476</v>
      </c>
      <c r="N354" s="7">
        <v>9.1011658642536073</v>
      </c>
      <c r="O354" s="7">
        <v>0.46601237963426612</v>
      </c>
      <c r="P354" s="7">
        <v>3.407495260233893</v>
      </c>
      <c r="W354" s="134">
        <f>V352+I354/3</f>
        <v>-6.7924370026068992E-2</v>
      </c>
      <c r="X354" s="134">
        <f>V352+I354/5</f>
        <v>-1.8665866941075901E-2</v>
      </c>
      <c r="Y354" s="134"/>
      <c r="AA354" s="134"/>
    </row>
    <row r="355" spans="1:27">
      <c r="B355" t="s">
        <v>35</v>
      </c>
      <c r="C355" s="198">
        <v>4.0779862464440058</v>
      </c>
      <c r="D355" s="100">
        <v>1.6627847643835081</v>
      </c>
      <c r="E355" s="13">
        <v>0.59225346435794091</v>
      </c>
      <c r="F355" s="100">
        <v>7.8339335054218973</v>
      </c>
      <c r="G355" s="100">
        <v>0.92102989858120998</v>
      </c>
      <c r="H355" s="13">
        <v>-0.3856702546564964</v>
      </c>
      <c r="I355" s="13">
        <v>-0.1433513370577589</v>
      </c>
      <c r="J355" s="13">
        <v>3.6614137352609433E-2</v>
      </c>
      <c r="K355" s="100">
        <v>4.7113334649336878</v>
      </c>
      <c r="L355" s="7">
        <v>2.42886655651473</v>
      </c>
      <c r="M355" s="15">
        <v>0.4043955987755733</v>
      </c>
      <c r="N355" s="7">
        <v>7.8339335054218973</v>
      </c>
      <c r="O355" s="7">
        <v>0.92102989858120998</v>
      </c>
      <c r="P355" s="7">
        <v>3.225345371243078</v>
      </c>
      <c r="W355" s="134">
        <f>V353+I355/3</f>
        <v>-5.7682303578925911E-2</v>
      </c>
      <c r="X355" s="134">
        <f>V353+I355/5</f>
        <v>-3.8568791971224724E-2</v>
      </c>
      <c r="Y355" s="134"/>
      <c r="AA355" s="134"/>
    </row>
    <row r="356" spans="1:27">
      <c r="C356" s="111"/>
      <c r="D356" s="100"/>
      <c r="F356" s="100"/>
      <c r="G356" s="100"/>
      <c r="K356" s="100"/>
      <c r="L356" s="7"/>
      <c r="N356" s="7"/>
      <c r="O356" s="7"/>
      <c r="P356" s="7"/>
      <c r="AA356" s="134"/>
    </row>
    <row r="357" spans="1:27">
      <c r="A357" t="s">
        <v>421</v>
      </c>
      <c r="B357" t="s">
        <v>30</v>
      </c>
      <c r="C357" s="197">
        <v>33.503497944777912</v>
      </c>
      <c r="D357" s="100">
        <v>16.48549533594791</v>
      </c>
      <c r="E357" s="13">
        <v>0.50794703994430346</v>
      </c>
      <c r="F357" s="100">
        <v>1071.701556155459</v>
      </c>
      <c r="G357" s="100">
        <v>30.987751187111549</v>
      </c>
      <c r="H357" s="13">
        <v>-0.13609625328768279</v>
      </c>
      <c r="I357" s="13">
        <v>0.40433012293357068</v>
      </c>
      <c r="J357" s="13">
        <v>2.2874098009430921</v>
      </c>
      <c r="K357" s="100">
        <v>65.008756747425693</v>
      </c>
      <c r="L357" s="7">
        <v>25.338779119775449</v>
      </c>
      <c r="M357" s="15">
        <v>0.24369750401763859</v>
      </c>
      <c r="N357" s="7">
        <v>1071.701556155459</v>
      </c>
      <c r="O357" s="7">
        <v>30.987751187111549</v>
      </c>
      <c r="P357" s="7">
        <v>42.294916858052481</v>
      </c>
      <c r="Q357" s="109">
        <v>3.4760186198976722E-2</v>
      </c>
      <c r="R357" s="109">
        <v>3.4760186198976722E-2</v>
      </c>
      <c r="S357" s="109">
        <v>1.1226765796404791E-2</v>
      </c>
      <c r="U357" s="134">
        <f>C357*S357</f>
        <v>0.37613592478635088</v>
      </c>
      <c r="V357" s="134">
        <f>(1+S357)*Q357*(1-U357)+S357</f>
        <v>3.3155856718752597E-2</v>
      </c>
      <c r="W357" s="134">
        <f>V357+I357/3</f>
        <v>0.16793256436327617</v>
      </c>
      <c r="X357" s="134">
        <f>V357+I357/5</f>
        <v>0.11402188130546673</v>
      </c>
      <c r="Y357" s="134"/>
      <c r="AA357" s="134"/>
    </row>
    <row r="358" spans="1:27">
      <c r="A358" t="s">
        <v>422</v>
      </c>
      <c r="B358" t="s">
        <v>32</v>
      </c>
      <c r="C358" s="197">
        <v>33.503497944777912</v>
      </c>
      <c r="D358" s="100">
        <v>16.48549533594791</v>
      </c>
      <c r="E358" s="13">
        <v>0.50794703994430346</v>
      </c>
      <c r="F358" s="100">
        <v>-4.0492914344164452</v>
      </c>
      <c r="G358" s="100">
        <v>-1.1208617512443231</v>
      </c>
      <c r="H358" s="13">
        <v>-0.13609625328768279</v>
      </c>
      <c r="I358" s="13">
        <v>0.40433012293357051</v>
      </c>
      <c r="J358" s="13">
        <v>2.4020868870225018</v>
      </c>
      <c r="K358" s="100">
        <v>-0.24562752600988871</v>
      </c>
      <c r="L358" s="7">
        <v>25.338779119775449</v>
      </c>
      <c r="M358" s="15">
        <v>0.24369750401763859</v>
      </c>
      <c r="N358" s="7">
        <v>1071.701556155459</v>
      </c>
      <c r="O358" s="7">
        <v>30.987751187111549</v>
      </c>
      <c r="P358" s="7">
        <v>42.294916858052481</v>
      </c>
      <c r="S358" s="109">
        <v>1.122676579925651E-2</v>
      </c>
      <c r="U358" s="134">
        <f>C358*S358</f>
        <v>0.3761359248818934</v>
      </c>
      <c r="V358" s="134">
        <f>(1+S358)*R357*(1-U358)+S358</f>
        <v>3.31558567183078E-2</v>
      </c>
      <c r="W358" s="134">
        <f>V358+I358/3</f>
        <v>0.16793256436283133</v>
      </c>
      <c r="X358" s="134">
        <f>V358+I358/5</f>
        <v>0.1140218813050219</v>
      </c>
      <c r="Y358" s="134"/>
      <c r="AA358" s="134"/>
    </row>
    <row r="359" spans="1:27">
      <c r="B359" t="s">
        <v>34</v>
      </c>
      <c r="C359" s="197">
        <v>1.1645878268775141</v>
      </c>
      <c r="D359" s="100">
        <v>0.848837693174466</v>
      </c>
      <c r="E359" s="13">
        <v>0.27112608119014531</v>
      </c>
      <c r="F359" s="100">
        <v>2.8505936875007252</v>
      </c>
      <c r="G359" s="100">
        <v>1.447727532189411</v>
      </c>
      <c r="H359" s="13">
        <v>-9.7090940400078596E-2</v>
      </c>
      <c r="I359" s="13">
        <v>0.13119473261672041</v>
      </c>
      <c r="J359" s="13">
        <v>0.44918060365932932</v>
      </c>
      <c r="K359" s="100">
        <v>3.3582317449171382</v>
      </c>
      <c r="L359" s="7">
        <v>1.0271547891118931</v>
      </c>
      <c r="M359" s="15">
        <v>0.1180100243140145</v>
      </c>
      <c r="N359" s="7">
        <v>2.8505936875007252</v>
      </c>
      <c r="O359" s="7">
        <v>1.447727532189411</v>
      </c>
      <c r="P359" s="7">
        <v>2.7752328253908352</v>
      </c>
      <c r="W359" s="134">
        <f>V357+I359/3</f>
        <v>7.6887434257659398E-2</v>
      </c>
      <c r="X359" s="134">
        <f>V357+I359/5</f>
        <v>5.9394803242096679E-2</v>
      </c>
      <c r="Y359" s="134"/>
      <c r="AA359" s="134"/>
    </row>
    <row r="360" spans="1:27">
      <c r="B360" t="s">
        <v>35</v>
      </c>
      <c r="C360" s="197">
        <v>1.1645878268775141</v>
      </c>
      <c r="D360" s="100">
        <v>0.84883769317446611</v>
      </c>
      <c r="E360" s="13">
        <v>0.27112608119014509</v>
      </c>
      <c r="F360" s="100">
        <v>23.866899333191</v>
      </c>
      <c r="G360" s="100">
        <v>19.493859528982711</v>
      </c>
      <c r="H360" s="13">
        <v>-9.7090940400078596E-2</v>
      </c>
      <c r="I360" s="13">
        <v>0.13119473261672041</v>
      </c>
      <c r="J360" s="13">
        <v>0.49782800908252223</v>
      </c>
      <c r="K360" s="100">
        <v>28.11715304952358</v>
      </c>
      <c r="L360" s="7">
        <v>1.0271547891118931</v>
      </c>
      <c r="M360" s="15">
        <v>0.1180100243140145</v>
      </c>
      <c r="N360" s="7">
        <v>2.8505936875007252</v>
      </c>
      <c r="O360" s="7">
        <v>1.447727532189411</v>
      </c>
      <c r="P360" s="7">
        <v>2.7752328253908352</v>
      </c>
      <c r="W360" s="134">
        <f>V358+I360/3</f>
        <v>7.6887434257214601E-2</v>
      </c>
      <c r="X360" s="134">
        <f>V358+I360/5</f>
        <v>5.9394803241651882E-2</v>
      </c>
      <c r="Y360" s="134"/>
      <c r="AA360" s="134"/>
    </row>
    <row r="361" spans="1:27">
      <c r="C361" s="111"/>
      <c r="D361" s="100"/>
      <c r="F361" s="100"/>
      <c r="G361" s="100"/>
      <c r="K361" s="100"/>
      <c r="L361" s="7"/>
      <c r="N361" s="7"/>
      <c r="O361" s="7"/>
      <c r="P361" s="7"/>
      <c r="AA361" s="134"/>
    </row>
    <row r="362" spans="1:27">
      <c r="A362" t="s">
        <v>423</v>
      </c>
      <c r="B362" t="s">
        <v>30</v>
      </c>
      <c r="C362" s="196">
        <v>110.05941097672</v>
      </c>
      <c r="D362" s="100">
        <v>27.521284321669899</v>
      </c>
      <c r="E362" s="13">
        <v>0.74994156267571466</v>
      </c>
      <c r="F362" s="100">
        <v>193.8014805976496</v>
      </c>
      <c r="G362" s="100">
        <v>0.76088059056251867</v>
      </c>
      <c r="H362" s="13">
        <v>-0.54969152528374554</v>
      </c>
      <c r="I362" s="13">
        <v>-0.46218143174774712</v>
      </c>
      <c r="J362" s="13">
        <v>-0.28840506438307473</v>
      </c>
      <c r="K362" s="100">
        <v>7.041876328607704</v>
      </c>
      <c r="L362" s="7">
        <v>27.521284321669899</v>
      </c>
      <c r="M362" s="15">
        <v>0.74994156267571466</v>
      </c>
      <c r="N362" s="7">
        <v>193.8014805976496</v>
      </c>
      <c r="O362" s="7">
        <v>0.76088059056251867</v>
      </c>
      <c r="P362" s="7">
        <v>7.041876328607704</v>
      </c>
      <c r="Q362" s="109">
        <v>2.9418025448186159E-2</v>
      </c>
      <c r="R362" s="109">
        <v>-0.17347466220593299</v>
      </c>
      <c r="S362" s="109">
        <v>3.8239075520901111E-3</v>
      </c>
      <c r="U362" s="134">
        <f>C362*S362</f>
        <v>0.4208570128124689</v>
      </c>
      <c r="V362" s="134">
        <f>(1+S362)*Q362*(1-U362)+S362</f>
        <v>2.092629953000302E-2</v>
      </c>
      <c r="W362" s="134">
        <f>V362+I362/3</f>
        <v>-0.13313417771924602</v>
      </c>
      <c r="X362" s="134">
        <f>V362+I362/5</f>
        <v>-7.1509986819546401E-2</v>
      </c>
      <c r="Y362" s="134"/>
      <c r="AA362" s="134"/>
    </row>
    <row r="363" spans="1:27">
      <c r="A363" t="s">
        <v>424</v>
      </c>
      <c r="B363" t="s">
        <v>32</v>
      </c>
      <c r="C363" s="195">
        <v>-25.350240614944031</v>
      </c>
      <c r="D363" s="100">
        <v>34.523025682013348</v>
      </c>
      <c r="E363" s="13">
        <v>2.3618421302739798</v>
      </c>
      <c r="F363" s="100">
        <v>-23.437014239442551</v>
      </c>
      <c r="G363" s="100">
        <v>-7.5471724492178427E-2</v>
      </c>
      <c r="H363" s="13">
        <v>-3.0637384469947251</v>
      </c>
      <c r="I363" s="13">
        <v>-3.884285297134404</v>
      </c>
      <c r="J363" s="13">
        <v>-6.7704124954608362</v>
      </c>
      <c r="K363" s="100">
        <v>-0.67888065360543814</v>
      </c>
      <c r="L363" s="7">
        <v>39.90918480149486</v>
      </c>
      <c r="M363" s="15">
        <v>2.5743118737093291</v>
      </c>
      <c r="N363" s="7">
        <v>-23.437014239442551</v>
      </c>
      <c r="O363" s="7">
        <v>-7.5471724492178427E-2</v>
      </c>
      <c r="P363" s="7">
        <v>-0.58725865627214413</v>
      </c>
      <c r="S363" s="109">
        <v>3.221491649837583E-3</v>
      </c>
      <c r="U363" s="134">
        <f>C363*S363</f>
        <v>-8.1665588462415756E-2</v>
      </c>
      <c r="V363" s="134">
        <f>(1+S363)*R362*(1-U363)+S363</f>
        <v>-0.18502456668768513</v>
      </c>
      <c r="W363" s="134">
        <f>V363+I363/3</f>
        <v>-1.4797863323991531</v>
      </c>
      <c r="X363" s="134">
        <f>V363+I363/5</f>
        <v>-0.96188162611456596</v>
      </c>
      <c r="Y363" s="134"/>
      <c r="AA363" s="134"/>
    </row>
    <row r="364" spans="1:27">
      <c r="B364" t="s">
        <v>34</v>
      </c>
      <c r="C364" s="197">
        <v>3.2377305529255271</v>
      </c>
      <c r="D364" s="100">
        <v>2.2922662618771699</v>
      </c>
      <c r="E364" s="13">
        <v>0.29201450694964731</v>
      </c>
      <c r="F364" s="100">
        <v>19.541809858148511</v>
      </c>
      <c r="G364" s="100">
        <v>5.0356504467275878</v>
      </c>
      <c r="H364" s="13">
        <v>-1.288077155539713E-2</v>
      </c>
      <c r="I364" s="13">
        <v>0.42674934363883699</v>
      </c>
      <c r="J364" s="13">
        <v>1.001489482742876</v>
      </c>
      <c r="K364" s="100">
        <v>8.5251046892543112</v>
      </c>
      <c r="L364" s="7">
        <v>2.2922662618771699</v>
      </c>
      <c r="M364" s="15">
        <v>0.29201450694964731</v>
      </c>
      <c r="N364" s="7">
        <v>19.541809858148511</v>
      </c>
      <c r="O364" s="7">
        <v>5.0356504467275878</v>
      </c>
      <c r="P364" s="7">
        <v>8.5251046892543112</v>
      </c>
      <c r="W364" s="134">
        <f>V362+I364/3</f>
        <v>0.16317608074294868</v>
      </c>
      <c r="X364" s="134">
        <f>V362+I364/5</f>
        <v>0.10627616825777042</v>
      </c>
      <c r="Y364" s="134"/>
      <c r="AA364" s="134"/>
    </row>
    <row r="365" spans="1:27">
      <c r="B365" t="s">
        <v>35</v>
      </c>
      <c r="C365" s="197">
        <v>4.397624427516539</v>
      </c>
      <c r="D365" s="100">
        <v>2.4445092719536992</v>
      </c>
      <c r="E365" s="13">
        <v>0.44412959491081838</v>
      </c>
      <c r="F365" s="100">
        <v>16.689160531817571</v>
      </c>
      <c r="G365" s="100">
        <v>2.7950399828123582</v>
      </c>
      <c r="H365" s="13">
        <v>-0.1349748759276104</v>
      </c>
      <c r="I365" s="13">
        <v>0.22359725398982541</v>
      </c>
      <c r="J365" s="13">
        <v>0.47897781446933863</v>
      </c>
      <c r="K365" s="100">
        <v>6.8272027941539646</v>
      </c>
      <c r="L365" s="7">
        <v>2.9977438697122452</v>
      </c>
      <c r="M365" s="15">
        <v>0.31832653762905472</v>
      </c>
      <c r="N365" s="7">
        <v>16.689160531817571</v>
      </c>
      <c r="O365" s="7">
        <v>2.7950399828123582</v>
      </c>
      <c r="P365" s="7">
        <v>5.5672403171054006</v>
      </c>
      <c r="W365" s="134">
        <f>V363+I365/3</f>
        <v>-0.11049214869107667</v>
      </c>
      <c r="X365" s="134">
        <f>V363+I365/5</f>
        <v>-0.14030511588972006</v>
      </c>
      <c r="Y365" s="134"/>
      <c r="AA365" s="134"/>
    </row>
    <row r="366" spans="1:27">
      <c r="C366" s="111"/>
      <c r="D366" s="100"/>
      <c r="F366" s="100"/>
      <c r="G366" s="100"/>
      <c r="K366" s="100"/>
      <c r="L366" s="7"/>
      <c r="N366" s="7"/>
      <c r="O366" s="7"/>
      <c r="P366" s="7"/>
      <c r="AA366" s="134"/>
    </row>
    <row r="367" spans="1:27">
      <c r="A367" t="s">
        <v>425</v>
      </c>
      <c r="B367" t="s">
        <v>30</v>
      </c>
      <c r="C367" s="198">
        <v>59.325894738962468</v>
      </c>
      <c r="D367" s="100">
        <v>26.381411854978001</v>
      </c>
      <c r="E367" s="13">
        <v>0.55531371299062893</v>
      </c>
      <c r="F367" s="100">
        <v>312.4723269673575</v>
      </c>
      <c r="G367" s="100">
        <v>4.2670478606728928</v>
      </c>
      <c r="H367" s="13">
        <v>-0.28675384745610022</v>
      </c>
      <c r="I367" s="13">
        <v>-2.3802590005523538E-2</v>
      </c>
      <c r="J367" s="13">
        <v>0.27894828979966202</v>
      </c>
      <c r="K367" s="100">
        <v>11.84441259948701</v>
      </c>
      <c r="L367" s="7">
        <v>39.934760395452621</v>
      </c>
      <c r="M367" s="15">
        <v>0.32685784898537162</v>
      </c>
      <c r="N367" s="7">
        <v>118.38129480749591</v>
      </c>
      <c r="O367" s="7">
        <v>0.99544052944133021</v>
      </c>
      <c r="P367" s="7">
        <v>2.9643672238227832</v>
      </c>
      <c r="Q367" s="109">
        <v>6.2751988101201334E-2</v>
      </c>
      <c r="R367" s="109">
        <v>-3.1938898273642859E-2</v>
      </c>
      <c r="S367" s="109">
        <v>4.5926052185630258E-3</v>
      </c>
      <c r="U367" s="134">
        <f>C367*S367</f>
        <v>0.27246041377407981</v>
      </c>
      <c r="V367" s="134">
        <f>(1+S367)*Q367*(1-U367)+S367</f>
        <v>5.045683402621251E-2</v>
      </c>
      <c r="W367" s="134">
        <f>V367+I367/3</f>
        <v>4.2522637357704667E-2</v>
      </c>
      <c r="X367" s="134">
        <f>V367+I367/5</f>
        <v>4.5696316025107805E-2</v>
      </c>
      <c r="Y367" s="134"/>
      <c r="AA367" s="134"/>
    </row>
    <row r="368" spans="1:27">
      <c r="A368" t="s">
        <v>426</v>
      </c>
      <c r="B368" t="s">
        <v>32</v>
      </c>
      <c r="C368" s="195">
        <v>-92.348676875241168</v>
      </c>
      <c r="D368" s="100">
        <v>33.136020766862814</v>
      </c>
      <c r="E368" s="13">
        <v>1.3588142449688589</v>
      </c>
      <c r="F368" s="100">
        <v>-48.389489562478502</v>
      </c>
      <c r="G368" s="100">
        <v>-0.47601317961652578</v>
      </c>
      <c r="H368" s="13">
        <v>-1.5417854599774941</v>
      </c>
      <c r="I368" s="13">
        <v>-2.006959094943598</v>
      </c>
      <c r="J368" s="13">
        <v>-2.65980356290933</v>
      </c>
      <c r="K368" s="100">
        <v>-1.4603289243127739</v>
      </c>
      <c r="L368" s="7">
        <v>69.9651688371234</v>
      </c>
      <c r="M368" s="15">
        <v>1.7576196130199371</v>
      </c>
      <c r="N368" s="7">
        <v>-48.389489562478502</v>
      </c>
      <c r="O368" s="7">
        <v>-0.47601317961652578</v>
      </c>
      <c r="P368" s="7">
        <v>-0.69162256543863454</v>
      </c>
      <c r="S368" s="109">
        <v>5.0061174833120657E-3</v>
      </c>
      <c r="U368" s="134">
        <f>C368*S368</f>
        <v>-0.4623083258658815</v>
      </c>
      <c r="V368" s="134">
        <f>(1+S368)*R367*(1-U368)+S368</f>
        <v>-4.1932207679644486E-2</v>
      </c>
      <c r="W368" s="134">
        <f>V368+I368/3</f>
        <v>-0.71091857266084379</v>
      </c>
      <c r="X368" s="134">
        <f>V368+I368/5</f>
        <v>-0.44332402666836412</v>
      </c>
      <c r="Y368" s="134"/>
      <c r="AA368" s="134"/>
    </row>
    <row r="369" spans="1:27">
      <c r="B369" t="s">
        <v>34</v>
      </c>
      <c r="C369" s="198">
        <v>3.7228178407524961</v>
      </c>
      <c r="D369" s="100">
        <v>1.692571835289524</v>
      </c>
      <c r="E369" s="13">
        <v>0.54535195980811035</v>
      </c>
      <c r="F369" s="100">
        <v>7.6695061590342641</v>
      </c>
      <c r="G369" s="100">
        <v>1.0601346848289579</v>
      </c>
      <c r="H369" s="13">
        <v>-0.2375853917017591</v>
      </c>
      <c r="I369" s="13">
        <v>-2.223590697204136E-2</v>
      </c>
      <c r="J369" s="13">
        <v>0.15515910726564999</v>
      </c>
      <c r="K369" s="100">
        <v>4.5312736506231346</v>
      </c>
      <c r="L369" s="7">
        <v>2.3789947626876198</v>
      </c>
      <c r="M369" s="15">
        <v>0.36096933439892609</v>
      </c>
      <c r="N369" s="7">
        <v>7.6695061590342641</v>
      </c>
      <c r="O369" s="7">
        <v>1.0601346848289579</v>
      </c>
      <c r="P369" s="7">
        <v>3.2238432296377981</v>
      </c>
      <c r="W369" s="134">
        <f>V367+I369/3</f>
        <v>4.3044865035532058E-2</v>
      </c>
      <c r="X369" s="134">
        <f>V367+I369/5</f>
        <v>4.6009652631804239E-2</v>
      </c>
      <c r="Y369" s="134"/>
      <c r="AA369" s="134"/>
    </row>
    <row r="370" spans="1:27">
      <c r="B370" t="s">
        <v>35</v>
      </c>
      <c r="C370" s="197">
        <v>2.9495149964238419</v>
      </c>
      <c r="D370" s="100">
        <v>1.9249320005435391</v>
      </c>
      <c r="E370" s="13">
        <v>0.34737338074990798</v>
      </c>
      <c r="F370" s="100">
        <v>9.0242853160891432</v>
      </c>
      <c r="G370" s="100">
        <v>2.0595827880280968</v>
      </c>
      <c r="H370" s="13">
        <v>-1.7813729417021751E-2</v>
      </c>
      <c r="I370" s="13">
        <v>0.25802788248413272</v>
      </c>
      <c r="J370" s="13">
        <v>0.70511827793960746</v>
      </c>
      <c r="K370" s="100">
        <v>4.6881060284420304</v>
      </c>
      <c r="L370" s="7">
        <v>2.2016311136406399</v>
      </c>
      <c r="M370" s="15">
        <v>0.25356164782683899</v>
      </c>
      <c r="N370" s="7">
        <v>9.0242853160891432</v>
      </c>
      <c r="O370" s="7">
        <v>2.0595827880280968</v>
      </c>
      <c r="P370" s="7">
        <v>4.0989088772307962</v>
      </c>
      <c r="W370" s="134">
        <f>V368+I370/3</f>
        <v>4.4077086481733092E-2</v>
      </c>
      <c r="X370" s="134">
        <f>V368+I370/5</f>
        <v>9.6733688171820598E-3</v>
      </c>
      <c r="Y370" s="134"/>
      <c r="AA370" s="134"/>
    </row>
    <row r="371" spans="1:27">
      <c r="C371" s="111"/>
      <c r="D371" s="100"/>
      <c r="F371" s="100"/>
      <c r="G371" s="100"/>
      <c r="K371" s="100"/>
      <c r="L371" s="7"/>
      <c r="N371" s="7"/>
      <c r="O371" s="7"/>
      <c r="P371" s="7"/>
      <c r="AA371" s="134"/>
    </row>
    <row r="372" spans="1:27">
      <c r="A372" t="s">
        <v>427</v>
      </c>
      <c r="B372" t="s">
        <v>30</v>
      </c>
      <c r="C372" s="196">
        <v>-9.2309484096434833</v>
      </c>
      <c r="D372" s="100">
        <v>37.046796213447259</v>
      </c>
      <c r="E372" s="13">
        <v>5.0133250202920454</v>
      </c>
      <c r="F372" s="100">
        <v>-6.7561065511958489</v>
      </c>
      <c r="G372" s="100">
        <v>-0.26810266384569881</v>
      </c>
      <c r="H372" s="13">
        <v>-6.4283817360923896</v>
      </c>
      <c r="I372" s="13">
        <v>-9.4887105994918546</v>
      </c>
      <c r="J372" s="13">
        <v>17.54025893989154</v>
      </c>
      <c r="K372" s="100">
        <v>-0.18236682363220161</v>
      </c>
      <c r="L372" s="7">
        <v>38.142783188304087</v>
      </c>
      <c r="M372" s="15">
        <v>5.1320546379022867</v>
      </c>
      <c r="N372" s="7">
        <v>-6.7561065511958489</v>
      </c>
      <c r="O372" s="7">
        <v>-0.26810266384569881</v>
      </c>
      <c r="P372" s="7">
        <v>-0.1771267324107462</v>
      </c>
      <c r="Q372" s="109">
        <v>-0.57705275433350545</v>
      </c>
      <c r="R372" s="109">
        <v>-1.3419772918015309</v>
      </c>
      <c r="S372" s="109">
        <v>6.7495032869425531E-4</v>
      </c>
      <c r="U372" s="134">
        <f>C372*S372</f>
        <v>-6.2304316632485826E-3</v>
      </c>
      <c r="V372" s="134">
        <f>(1+S372)*Q372*(1-U372)+S372</f>
        <v>-0.58036500034363681</v>
      </c>
      <c r="W372" s="134">
        <f>V372+I372/3</f>
        <v>-3.7432685335075884</v>
      </c>
      <c r="X372" s="134">
        <f>V372+I372/5</f>
        <v>-2.4781071202420075</v>
      </c>
      <c r="Y372" s="134"/>
      <c r="AA372" s="134"/>
    </row>
    <row r="373" spans="1:27">
      <c r="A373" t="s">
        <v>428</v>
      </c>
      <c r="B373" t="s">
        <v>32</v>
      </c>
      <c r="C373" s="195">
        <v>-4.3657159484062689</v>
      </c>
      <c r="D373" s="100">
        <v>31.808321190388931</v>
      </c>
      <c r="E373" s="13">
        <v>8.2859346705780883</v>
      </c>
      <c r="F373" s="100">
        <v>-3.064145797531348</v>
      </c>
      <c r="G373" s="100">
        <v>-0.2981344105426893</v>
      </c>
      <c r="H373" s="13">
        <v>-14.7730814006639</v>
      </c>
      <c r="I373" s="13">
        <v>-29.276072214863241</v>
      </c>
      <c r="J373" s="13">
        <v>-966.52382018120829</v>
      </c>
      <c r="K373" s="100">
        <v>-9.6331578746041993E-2</v>
      </c>
      <c r="L373" s="7">
        <v>71.020845102403882</v>
      </c>
      <c r="M373" s="15">
        <v>17.26785753853969</v>
      </c>
      <c r="N373" s="7">
        <v>-3.064145797531348</v>
      </c>
      <c r="O373" s="7">
        <v>-0.2981344105426893</v>
      </c>
      <c r="P373" s="7">
        <v>-4.3144316194959419E-2</v>
      </c>
      <c r="S373" s="109">
        <v>9.6418136845829517E-4</v>
      </c>
      <c r="U373" s="134">
        <f>C373*S373</f>
        <v>-4.2093419774345605E-3</v>
      </c>
      <c r="V373" s="134">
        <f>(1+S373)*R372*(1-U373)+S373</f>
        <v>-1.3479613077894461</v>
      </c>
      <c r="W373" s="134">
        <f>V373+I373/3</f>
        <v>-11.106652046077194</v>
      </c>
      <c r="X373" s="134">
        <f>V373+I373/5</f>
        <v>-7.2031757507620942</v>
      </c>
      <c r="Y373" s="134"/>
      <c r="AA373" s="134"/>
    </row>
    <row r="374" spans="1:27">
      <c r="B374" t="s">
        <v>34</v>
      </c>
      <c r="C374" s="198">
        <v>5.326744204895264</v>
      </c>
      <c r="D374" s="100">
        <v>1.8647217687790549</v>
      </c>
      <c r="E374" s="13">
        <v>0.64993217300252937</v>
      </c>
      <c r="F374" s="100">
        <v>14.37222263542842</v>
      </c>
      <c r="G374" s="100">
        <v>1.6981251741392771</v>
      </c>
      <c r="H374" s="13">
        <v>-0.4376412801022822</v>
      </c>
      <c r="I374" s="13">
        <v>-0.20036653232716881</v>
      </c>
      <c r="J374" s="13">
        <v>0.17652919863035449</v>
      </c>
      <c r="K374" s="100">
        <v>7.7074354341016642</v>
      </c>
      <c r="L374" s="7">
        <v>2.062007916054303</v>
      </c>
      <c r="M374" s="15">
        <v>0.61289526270863115</v>
      </c>
      <c r="N374" s="7">
        <v>14.37222263542842</v>
      </c>
      <c r="O374" s="7">
        <v>1.6981251741392771</v>
      </c>
      <c r="P374" s="7">
        <v>6.9700133173736702</v>
      </c>
      <c r="W374" s="134">
        <f>V372+I374/3</f>
        <v>-0.64715384445269308</v>
      </c>
      <c r="X374" s="134">
        <f>V372+I374/5</f>
        <v>-0.62043830680907053</v>
      </c>
      <c r="Y374" s="134"/>
      <c r="AA374" s="134"/>
    </row>
    <row r="375" spans="1:27">
      <c r="B375" t="s">
        <v>35</v>
      </c>
      <c r="C375" s="196">
        <v>5.8586916652169956</v>
      </c>
      <c r="D375" s="100">
        <v>1.8466520377214759</v>
      </c>
      <c r="E375" s="13">
        <v>0.68480129297723014</v>
      </c>
      <c r="F375" s="100">
        <v>11.48928147084627</v>
      </c>
      <c r="G375" s="100">
        <v>0.96106607539325561</v>
      </c>
      <c r="H375" s="13">
        <v>-0.51274742461907008</v>
      </c>
      <c r="I375" s="13">
        <v>-0.29393673285199418</v>
      </c>
      <c r="J375" s="13">
        <v>-3.2287947710342817E-2</v>
      </c>
      <c r="K375" s="100">
        <v>6.2216818524309137</v>
      </c>
      <c r="L375" s="7">
        <v>1.948920225050095</v>
      </c>
      <c r="M375" s="15">
        <v>0.66734548660056348</v>
      </c>
      <c r="N375" s="7">
        <v>11.48928147084627</v>
      </c>
      <c r="O375" s="7">
        <v>0.96106607539325561</v>
      </c>
      <c r="P375" s="7">
        <v>5.8952035712754496</v>
      </c>
      <c r="W375" s="134">
        <f>V373+I375/3</f>
        <v>-1.4459402187401109</v>
      </c>
      <c r="X375" s="134">
        <f>V373+I375/5</f>
        <v>-1.4067486543598449</v>
      </c>
      <c r="Y375" s="134"/>
      <c r="AA375" s="134"/>
    </row>
    <row r="376" spans="1:27">
      <c r="C376" s="111"/>
      <c r="D376" s="100"/>
      <c r="F376" s="100"/>
      <c r="G376" s="100"/>
      <c r="K376" s="100"/>
      <c r="L376" s="7"/>
      <c r="N376" s="7"/>
      <c r="O376" s="7"/>
      <c r="P376" s="7"/>
      <c r="AA376" s="134"/>
    </row>
    <row r="377" spans="1:27">
      <c r="A377" t="s">
        <v>429</v>
      </c>
      <c r="B377" t="s">
        <v>30</v>
      </c>
      <c r="C377" s="197">
        <v>16.56489626826006</v>
      </c>
      <c r="D377" s="100">
        <v>9.1944696380974396</v>
      </c>
      <c r="E377" s="13">
        <v>0.44494251643972388</v>
      </c>
      <c r="F377" s="100">
        <v>40.528188529930652</v>
      </c>
      <c r="G377" s="100">
        <v>1.446630988422581</v>
      </c>
      <c r="H377" s="13">
        <v>-8.6493879820174868E-2</v>
      </c>
      <c r="I377" s="13">
        <v>0.25173383926657128</v>
      </c>
      <c r="J377" s="13">
        <v>0.55845912555206834</v>
      </c>
      <c r="K377" s="100">
        <v>4.4078875808128641</v>
      </c>
      <c r="L377" s="7">
        <v>13.36925776744714</v>
      </c>
      <c r="M377" s="15">
        <v>0.19291630017243599</v>
      </c>
      <c r="N377" s="7">
        <v>26.555376915451181</v>
      </c>
      <c r="O377" s="7">
        <v>0.60311157313637032</v>
      </c>
      <c r="P377" s="7">
        <v>1.9863015118244609</v>
      </c>
      <c r="Q377" s="109">
        <v>7.9441895122435172E-2</v>
      </c>
      <c r="R377" s="109">
        <v>1.7975377724638381E-2</v>
      </c>
      <c r="S377" s="109">
        <v>2.9611158694689811E-2</v>
      </c>
      <c r="U377" s="134">
        <f>C377*S377</f>
        <v>0.49050577216052371</v>
      </c>
      <c r="V377" s="134">
        <f>(1+S377)*Q377*(1-U377)+S377</f>
        <v>7.1284862894053863E-2</v>
      </c>
      <c r="W377" s="134">
        <f>V377+I377/3</f>
        <v>0.15519614264957762</v>
      </c>
      <c r="X377" s="134">
        <f>V377+I377/5</f>
        <v>0.12163163074736812</v>
      </c>
      <c r="Y377" s="134"/>
      <c r="AA377" s="134"/>
    </row>
    <row r="378" spans="1:27">
      <c r="A378" t="s">
        <v>430</v>
      </c>
      <c r="B378" t="s">
        <v>32</v>
      </c>
      <c r="C378" s="198">
        <v>62.828331307491453</v>
      </c>
      <c r="D378" s="100">
        <v>13.029666895316311</v>
      </c>
      <c r="E378" s="13">
        <v>0.79261478660722129</v>
      </c>
      <c r="F378" s="100">
        <v>588.08941184786727</v>
      </c>
      <c r="G378" s="100">
        <v>8.3602583358400508</v>
      </c>
      <c r="H378" s="13">
        <v>-0.65048872529103297</v>
      </c>
      <c r="I378" s="13">
        <v>-0.41190770337308619</v>
      </c>
      <c r="J378" s="13">
        <v>0.19338236928979111</v>
      </c>
      <c r="K378" s="100">
        <v>45.134646693022049</v>
      </c>
      <c r="L378" s="7">
        <v>19.172133444037328</v>
      </c>
      <c r="M378" s="15">
        <v>0.69484891536899207</v>
      </c>
      <c r="N378" s="7">
        <v>588.08941184786727</v>
      </c>
      <c r="O378" s="7">
        <v>8.3602583358400508</v>
      </c>
      <c r="P378" s="7">
        <v>30.67417684966966</v>
      </c>
      <c r="S378" s="109">
        <v>1.6908798935708302E-2</v>
      </c>
      <c r="U378" s="134">
        <f>C378*S378</f>
        <v>1.06235162154444</v>
      </c>
      <c r="V378" s="134">
        <f>(1+S378)*R377*(1-U378)+S378</f>
        <v>1.5769053707171209E-2</v>
      </c>
      <c r="W378" s="134">
        <f>V378+I378/3</f>
        <v>-0.12153351408385751</v>
      </c>
      <c r="X378" s="134">
        <f>V378+I378/5</f>
        <v>-6.6612486967446038E-2</v>
      </c>
      <c r="Y378" s="134"/>
      <c r="AA378" s="134"/>
    </row>
    <row r="379" spans="1:27">
      <c r="B379" t="s">
        <v>34</v>
      </c>
      <c r="C379" s="195">
        <v>1.315946752057134</v>
      </c>
      <c r="D379" s="100">
        <v>1.2311726872523729</v>
      </c>
      <c r="E379" s="13">
        <v>6.442058895790348E-2</v>
      </c>
      <c r="F379" s="100">
        <v>3.5200054719746872</v>
      </c>
      <c r="G379" s="100">
        <v>1.6748844255833999</v>
      </c>
      <c r="H379" s="13">
        <v>0.13463359713348039</v>
      </c>
      <c r="I379" s="13">
        <v>0.27287230692560938</v>
      </c>
      <c r="J379" s="13">
        <v>0.55812837937594306</v>
      </c>
      <c r="K379" s="100">
        <v>2.8590672197499258</v>
      </c>
      <c r="L379" s="7">
        <v>1.305827203946109</v>
      </c>
      <c r="M379" s="15">
        <v>7.6899373741419197E-3</v>
      </c>
      <c r="N379" s="7">
        <v>3.5200054719746872</v>
      </c>
      <c r="O379" s="7">
        <v>1.6748844255833999</v>
      </c>
      <c r="P379" s="7">
        <v>2.6956135247737998</v>
      </c>
      <c r="W379" s="134">
        <f>V377+I379/3</f>
        <v>0.16224229853592365</v>
      </c>
      <c r="X379" s="134">
        <f>V377+I379/5</f>
        <v>0.12585932427917573</v>
      </c>
      <c r="Y379" s="134"/>
      <c r="AA379" s="134"/>
    </row>
    <row r="380" spans="1:27">
      <c r="B380" t="s">
        <v>35</v>
      </c>
      <c r="C380" s="195">
        <v>1.1293629870608819</v>
      </c>
      <c r="D380" s="100">
        <v>1.0714061147123399</v>
      </c>
      <c r="E380" s="13">
        <v>5.1318197083270463E-2</v>
      </c>
      <c r="F380" s="100">
        <v>4.2885046353871674</v>
      </c>
      <c r="G380" s="100">
        <v>2.7972774781187182</v>
      </c>
      <c r="H380" s="13">
        <v>0.28582229540592402</v>
      </c>
      <c r="I380" s="13">
        <v>0.63425435713053924</v>
      </c>
      <c r="J380" s="13">
        <v>1.1336249736249999</v>
      </c>
      <c r="K380" s="100">
        <v>4.0026882211126633</v>
      </c>
      <c r="L380" s="7">
        <v>1.0714061147123399</v>
      </c>
      <c r="M380" s="15">
        <v>5.1318197083270463E-2</v>
      </c>
      <c r="N380" s="7">
        <v>4.2885046353871674</v>
      </c>
      <c r="O380" s="7">
        <v>2.7972774781187182</v>
      </c>
      <c r="P380" s="7">
        <v>4.0026882211126633</v>
      </c>
      <c r="W380" s="134">
        <f>V378+I380/3</f>
        <v>0.22718717275068429</v>
      </c>
      <c r="X380" s="134">
        <f>V378+I380/5</f>
        <v>0.14261992513327906</v>
      </c>
      <c r="Y380" s="134"/>
      <c r="AA380" s="134"/>
    </row>
    <row r="381" spans="1:27">
      <c r="C381" s="111"/>
      <c r="D381" s="100"/>
      <c r="F381" s="100"/>
      <c r="G381" s="100"/>
      <c r="K381" s="100"/>
      <c r="L381" s="7"/>
      <c r="N381" s="7"/>
      <c r="O381" s="7"/>
      <c r="P381" s="7"/>
      <c r="AA381" s="134"/>
    </row>
    <row r="382" spans="1:27">
      <c r="A382" t="s">
        <v>431</v>
      </c>
      <c r="B382" t="s">
        <v>30</v>
      </c>
      <c r="C382" s="198">
        <v>44.714147026787593</v>
      </c>
      <c r="D382" s="100">
        <v>20.50758140131482</v>
      </c>
      <c r="E382" s="13">
        <v>0.54136257169282398</v>
      </c>
      <c r="F382" s="100">
        <v>66.974546789533093</v>
      </c>
      <c r="G382" s="100">
        <v>0.49783796053203511</v>
      </c>
      <c r="H382" s="13">
        <v>-0.4308738840349261</v>
      </c>
      <c r="I382" s="13">
        <v>-0.27871618704857509</v>
      </c>
      <c r="J382" s="13">
        <v>2.0024154199417499E-2</v>
      </c>
      <c r="K382" s="100">
        <v>3.2658432741970769</v>
      </c>
      <c r="L382" s="7">
        <v>22.863125581327871</v>
      </c>
      <c r="M382" s="15">
        <v>0.48868250650893758</v>
      </c>
      <c r="N382" s="7">
        <v>65.969065836959203</v>
      </c>
      <c r="O382" s="7">
        <v>0.47535109631942868</v>
      </c>
      <c r="P382" s="7">
        <v>2.8853913959531239</v>
      </c>
      <c r="Q382" s="109">
        <v>4.7049178184873933E-2</v>
      </c>
      <c r="R382" s="109">
        <v>-8.5993008570656559E-2</v>
      </c>
      <c r="S382" s="109">
        <v>1.6184809824313778E-2</v>
      </c>
      <c r="U382" s="134">
        <f>C382*S382</f>
        <v>0.72368996608496261</v>
      </c>
      <c r="V382" s="134">
        <f>(1+S382)*Q382*(1-U382)+S382</f>
        <v>2.9395374961859261E-2</v>
      </c>
      <c r="W382" s="134">
        <f>V382+I382/3</f>
        <v>-6.3510020720999108E-2</v>
      </c>
      <c r="X382" s="134">
        <f>V382+I382/5</f>
        <v>-2.6347862447855759E-2</v>
      </c>
      <c r="Y382" s="134"/>
      <c r="AA382" s="134"/>
    </row>
    <row r="383" spans="1:27">
      <c r="A383" t="s">
        <v>432</v>
      </c>
      <c r="B383" t="s">
        <v>32</v>
      </c>
      <c r="C383" s="195">
        <v>-19.453758740573878</v>
      </c>
      <c r="D383" s="100">
        <v>19.828871701792188</v>
      </c>
      <c r="E383" s="13">
        <v>2.0192822871004328</v>
      </c>
      <c r="F383" s="100">
        <v>-18.639146327128749</v>
      </c>
      <c r="G383" s="100">
        <v>-4.1874294027617887E-2</v>
      </c>
      <c r="H383" s="13">
        <v>-2.3183316575259418</v>
      </c>
      <c r="I383" s="13">
        <v>-2.6778965085650981</v>
      </c>
      <c r="J383" s="13">
        <v>-3.5496486433748391</v>
      </c>
      <c r="K383" s="100">
        <v>-0.94000034936148624</v>
      </c>
      <c r="L383" s="7">
        <v>25.04147391724214</v>
      </c>
      <c r="M383" s="15">
        <v>2.2872306196033061</v>
      </c>
      <c r="N383" s="7">
        <v>-18.639146327128749</v>
      </c>
      <c r="O383" s="7">
        <v>-4.1874294027617887E-2</v>
      </c>
      <c r="P383" s="7">
        <v>-0.74433104012679074</v>
      </c>
      <c r="S383" s="109">
        <v>1.3488650604017891E-2</v>
      </c>
      <c r="U383" s="134">
        <f>C383*S383</f>
        <v>-0.26240495458646018</v>
      </c>
      <c r="V383" s="134">
        <f>(1+S383)*R382*(1-U383)+S383</f>
        <v>-9.6533650408716754E-2</v>
      </c>
      <c r="W383" s="134">
        <f>V383+I383/3</f>
        <v>-0.98916581993041608</v>
      </c>
      <c r="X383" s="134">
        <f>V383+I383/5</f>
        <v>-0.63211295212173635</v>
      </c>
      <c r="Y383" s="134"/>
      <c r="AA383" s="134"/>
    </row>
    <row r="384" spans="1:27">
      <c r="B384" t="s">
        <v>34</v>
      </c>
      <c r="C384" s="195">
        <v>2.1037638708479802</v>
      </c>
      <c r="D384" s="100">
        <v>2.0235897515405248</v>
      </c>
      <c r="E384" s="13">
        <v>3.8109847031044919E-2</v>
      </c>
      <c r="F384" s="100">
        <v>6.6475858517793167</v>
      </c>
      <c r="G384" s="100">
        <v>2.1598536051956359</v>
      </c>
      <c r="H384" s="13">
        <v>0.24011145258702121</v>
      </c>
      <c r="I384" s="13">
        <v>0.45965907359842451</v>
      </c>
      <c r="J384" s="13">
        <v>0.79397607093977518</v>
      </c>
      <c r="K384" s="100">
        <v>3.285046213897171</v>
      </c>
      <c r="L384" s="7">
        <v>2.0235897515405248</v>
      </c>
      <c r="M384" s="15">
        <v>3.8109847031044919E-2</v>
      </c>
      <c r="N384" s="7">
        <v>6.6475858517793167</v>
      </c>
      <c r="O384" s="7">
        <v>2.1598536051956359</v>
      </c>
      <c r="P384" s="7">
        <v>3.285046213897171</v>
      </c>
      <c r="W384" s="134">
        <f>V382+I384/3</f>
        <v>0.18261506616133411</v>
      </c>
      <c r="X384" s="134">
        <f>V382+I384/5</f>
        <v>0.12132718968154416</v>
      </c>
      <c r="Y384" s="134"/>
      <c r="AA384" s="134"/>
    </row>
    <row r="385" spans="1:27">
      <c r="B385" t="s">
        <v>35</v>
      </c>
      <c r="C385" s="195">
        <v>1.672887242109655</v>
      </c>
      <c r="D385" s="100">
        <v>1.580004687145024</v>
      </c>
      <c r="E385" s="13">
        <v>5.5522304568177423E-2</v>
      </c>
      <c r="F385" s="100">
        <v>6.302212025852473</v>
      </c>
      <c r="G385" s="100">
        <v>2.767266476313635</v>
      </c>
      <c r="H385" s="13">
        <v>0.41017052918523728</v>
      </c>
      <c r="I385" s="13">
        <v>0.72266025708934634</v>
      </c>
      <c r="J385" s="13">
        <v>1.135823327840753</v>
      </c>
      <c r="K385" s="100">
        <v>3.9887299557574112</v>
      </c>
      <c r="L385" s="7">
        <v>1.580004687145024</v>
      </c>
      <c r="M385" s="15">
        <v>5.5522304568177423E-2</v>
      </c>
      <c r="N385" s="7">
        <v>6.302212025852473</v>
      </c>
      <c r="O385" s="7">
        <v>2.767266476313635</v>
      </c>
      <c r="P385" s="7">
        <v>3.9887299557574112</v>
      </c>
      <c r="W385" s="134">
        <f>V383+I385/3</f>
        <v>0.14435310195439868</v>
      </c>
      <c r="X385" s="134">
        <f>V383+I385/5</f>
        <v>4.7998401009152508E-2</v>
      </c>
      <c r="Y385" s="134"/>
      <c r="AA385" s="134"/>
    </row>
    <row r="386" spans="1:27">
      <c r="C386" s="111"/>
      <c r="D386" s="100"/>
      <c r="F386" s="100"/>
      <c r="G386" s="100"/>
      <c r="K386" s="100"/>
      <c r="L386" s="7"/>
      <c r="N386" s="7"/>
      <c r="O386" s="7"/>
      <c r="P386" s="7"/>
      <c r="AA386" s="134"/>
    </row>
    <row r="387" spans="1:27">
      <c r="A387" t="s">
        <v>433</v>
      </c>
      <c r="B387" t="s">
        <v>30</v>
      </c>
      <c r="C387" s="195">
        <v>18.196917393075712</v>
      </c>
      <c r="D387" s="100">
        <v>16.423091439207429</v>
      </c>
      <c r="E387" s="13">
        <v>9.7479474987519299E-2</v>
      </c>
      <c r="F387" s="100">
        <v>58.941849705519637</v>
      </c>
      <c r="G387" s="100">
        <v>2.2391117919757209</v>
      </c>
      <c r="H387" s="13">
        <v>0.11452637544173851</v>
      </c>
      <c r="I387" s="13">
        <v>0.37550162928202901</v>
      </c>
      <c r="J387" s="13">
        <v>0.70425825893437111</v>
      </c>
      <c r="K387" s="100">
        <v>3.5889619152217378</v>
      </c>
      <c r="L387" s="7">
        <v>16.423091439207429</v>
      </c>
      <c r="M387" s="15">
        <v>9.7479474987519299E-2</v>
      </c>
      <c r="N387" s="7">
        <v>58.941849705519637</v>
      </c>
      <c r="O387" s="7">
        <v>2.2391117919757209</v>
      </c>
      <c r="P387" s="7">
        <v>3.5889619152217378</v>
      </c>
      <c r="Q387" s="109">
        <v>7.7180365721338212E-2</v>
      </c>
      <c r="R387" s="109">
        <v>6.661314046282063E-2</v>
      </c>
      <c r="S387" s="109">
        <v>2.3805289768126191E-2</v>
      </c>
      <c r="U387" s="134">
        <f>C387*S387</f>
        <v>0.43318289142882277</v>
      </c>
      <c r="V387" s="134">
        <f>(1+S387)*Q387*(1-U387)+S387</f>
        <v>6.8593855128381898E-2</v>
      </c>
      <c r="W387" s="134">
        <f>V387+I387/3</f>
        <v>0.19376106488905823</v>
      </c>
      <c r="X387" s="134">
        <f>V387+I387/5</f>
        <v>0.1436941809847877</v>
      </c>
      <c r="Y387" s="134"/>
      <c r="AA387" s="134"/>
    </row>
    <row r="388" spans="1:27">
      <c r="A388" t="s">
        <v>434</v>
      </c>
      <c r="B388" t="s">
        <v>32</v>
      </c>
      <c r="C388" s="195">
        <v>21.537526930316609</v>
      </c>
      <c r="D388" s="100">
        <v>16.016295706287419</v>
      </c>
      <c r="E388" s="13">
        <v>0.25635400210492182</v>
      </c>
      <c r="F388" s="100">
        <v>62.623292996835083</v>
      </c>
      <c r="G388" s="100">
        <v>1.907636201660897</v>
      </c>
      <c r="H388" s="13">
        <v>5.1384860385637499E-2</v>
      </c>
      <c r="I388" s="13">
        <v>0.28539446776721039</v>
      </c>
      <c r="J388" s="13">
        <v>0.66515796211677092</v>
      </c>
      <c r="K388" s="100">
        <v>3.9099735759905729</v>
      </c>
      <c r="L388" s="7">
        <v>18.944136438909489</v>
      </c>
      <c r="M388" s="15">
        <v>0.1204126406805149</v>
      </c>
      <c r="N388" s="7">
        <v>62.623292996835083</v>
      </c>
      <c r="O388" s="7">
        <v>1.907636201660897</v>
      </c>
      <c r="P388" s="7">
        <v>3.3056821142933011</v>
      </c>
      <c r="S388" s="109">
        <v>1.37583214171905E-2</v>
      </c>
      <c r="U388" s="134">
        <f>C388*S388</f>
        <v>0.29632021803869218</v>
      </c>
      <c r="V388" s="134">
        <f>(1+S388)*R387*(1-U388)+S388</f>
        <v>6.1277553536753383E-2</v>
      </c>
      <c r="W388" s="134">
        <f>V388+I388/3</f>
        <v>0.15640904279249018</v>
      </c>
      <c r="X388" s="134">
        <f>V388+I388/5</f>
        <v>0.11835644709019547</v>
      </c>
      <c r="Y388" s="134"/>
      <c r="AA388" s="134"/>
    </row>
    <row r="389" spans="1:27">
      <c r="B389" t="s">
        <v>34</v>
      </c>
      <c r="C389" s="195">
        <v>1.404444739398564</v>
      </c>
      <c r="D389" s="100">
        <v>1.327693227487603</v>
      </c>
      <c r="E389" s="13">
        <v>5.4649008079754147E-2</v>
      </c>
      <c r="F389" s="100">
        <v>5.5746860683833113</v>
      </c>
      <c r="G389" s="100">
        <v>2.969316778366518</v>
      </c>
      <c r="H389" s="13">
        <v>0.33927121848742048</v>
      </c>
      <c r="I389" s="13">
        <v>0.73442774953476619</v>
      </c>
      <c r="J389" s="13">
        <v>1.1480020683850021</v>
      </c>
      <c r="K389" s="100">
        <v>4.1987757058400463</v>
      </c>
      <c r="L389" s="7">
        <v>1.327693227487603</v>
      </c>
      <c r="M389" s="15">
        <v>5.4649008079754147E-2</v>
      </c>
      <c r="N389" s="7">
        <v>5.5746860683833113</v>
      </c>
      <c r="O389" s="7">
        <v>2.969316778366518</v>
      </c>
      <c r="P389" s="7">
        <v>4.1987757058400463</v>
      </c>
      <c r="W389" s="134">
        <f>V387+I389/3</f>
        <v>0.31340310497330393</v>
      </c>
      <c r="X389" s="134">
        <f>V387+I389/5</f>
        <v>0.21547940503533514</v>
      </c>
      <c r="Y389" s="134"/>
      <c r="AA389" s="134"/>
    </row>
    <row r="390" spans="1:27">
      <c r="B390" t="s">
        <v>35</v>
      </c>
      <c r="C390" s="195">
        <v>1.4346823066309631</v>
      </c>
      <c r="D390" s="100">
        <v>1.3117641105990829</v>
      </c>
      <c r="E390" s="13">
        <v>8.567624725262446E-2</v>
      </c>
      <c r="F390" s="100">
        <v>5.0449563838435818</v>
      </c>
      <c r="G390" s="100">
        <v>2.5164275467302288</v>
      </c>
      <c r="H390" s="13">
        <v>0.29211455019494381</v>
      </c>
      <c r="I390" s="13">
        <v>0.67934362452096142</v>
      </c>
      <c r="J390" s="13">
        <v>1.098977384076484</v>
      </c>
      <c r="K390" s="100">
        <v>3.8459326208730849</v>
      </c>
      <c r="L390" s="7">
        <v>1.3117641105990829</v>
      </c>
      <c r="M390" s="15">
        <v>8.567624725262446E-2</v>
      </c>
      <c r="N390" s="7">
        <v>5.0449563838435818</v>
      </c>
      <c r="O390" s="7">
        <v>2.5164275467302288</v>
      </c>
      <c r="P390" s="7">
        <v>3.8459326208730849</v>
      </c>
      <c r="W390" s="134">
        <f>V388+I390/3</f>
        <v>0.28772542837707388</v>
      </c>
      <c r="X390" s="134">
        <f>V388+I390/5</f>
        <v>0.19714627844094565</v>
      </c>
      <c r="Y390" s="134"/>
      <c r="AA390" s="134"/>
    </row>
    <row r="392" spans="1:27">
      <c r="A392" t="s">
        <v>435</v>
      </c>
      <c r="B392" t="s">
        <v>30</v>
      </c>
      <c r="C392" s="195">
        <v>22.311089913080181</v>
      </c>
      <c r="D392" s="100">
        <v>16.04592475074389</v>
      </c>
      <c r="E392" s="13">
        <v>0.28080946232318532</v>
      </c>
      <c r="F392" s="100">
        <v>-19.198510490003589</v>
      </c>
      <c r="G392" s="100">
        <v>-1.8604918255807941</v>
      </c>
      <c r="H392" s="13">
        <v>4.9813233825801717E-4</v>
      </c>
      <c r="I392" s="13">
        <v>0.2479386077017407</v>
      </c>
      <c r="J392" s="13">
        <v>0.89610679125072479</v>
      </c>
      <c r="K392" s="100">
        <v>-1.1964726737929861</v>
      </c>
      <c r="L392" s="7">
        <v>17.932073963650769</v>
      </c>
      <c r="M392" s="15">
        <v>0.19627082166264581</v>
      </c>
      <c r="N392" s="7">
        <v>71.615337168132456</v>
      </c>
      <c r="O392" s="7">
        <v>2.2098538192052639</v>
      </c>
      <c r="P392" s="7">
        <v>3.993700746121192</v>
      </c>
      <c r="Q392" s="109">
        <v>7.1931280162004133E-2</v>
      </c>
      <c r="R392" s="109">
        <v>5.5015732242982847E-2</v>
      </c>
      <c r="S392" s="109">
        <v>9.1001784487070164E-3</v>
      </c>
      <c r="U392" s="134"/>
      <c r="V392" s="134"/>
      <c r="W392" s="134"/>
      <c r="X392" s="134"/>
      <c r="Y392" s="134"/>
      <c r="AA392" s="134"/>
    </row>
    <row r="393" spans="1:27">
      <c r="A393" t="s">
        <v>436</v>
      </c>
      <c r="B393" t="s">
        <v>32</v>
      </c>
      <c r="C393" s="195">
        <v>26.79754101072859</v>
      </c>
      <c r="D393" s="100">
        <v>16.014190489061441</v>
      </c>
      <c r="E393" s="13">
        <v>0.40240074704428858</v>
      </c>
      <c r="F393" s="100">
        <v>-10.525995209820721</v>
      </c>
      <c r="G393" s="100">
        <v>-1.392797055730097</v>
      </c>
      <c r="H393" s="13">
        <v>0.1677223197649311</v>
      </c>
      <c r="I393" s="13">
        <v>0.54210805850076116</v>
      </c>
      <c r="J393" s="13">
        <v>1.2670565843507531</v>
      </c>
      <c r="K393" s="100">
        <v>-0.65729174490652809</v>
      </c>
      <c r="L393" s="7">
        <v>24.471472806621101</v>
      </c>
      <c r="M393" s="15">
        <v>8.6801554037223894E-2</v>
      </c>
      <c r="N393" s="7">
        <v>73.833591102535777</v>
      </c>
      <c r="O393" s="7">
        <v>1.755237544854432</v>
      </c>
      <c r="P393" s="7">
        <v>3.0171290337114098</v>
      </c>
      <c r="S393" s="109">
        <v>9.6008084925572369E-3</v>
      </c>
      <c r="U393" s="134"/>
      <c r="V393" s="134"/>
      <c r="W393" s="134"/>
      <c r="X393" s="134"/>
      <c r="Y393" s="134"/>
      <c r="AA393" s="134"/>
    </row>
    <row r="394" spans="1:27">
      <c r="B394" t="s">
        <v>34</v>
      </c>
      <c r="C394" s="195">
        <v>1.6048652592574351</v>
      </c>
      <c r="D394" s="100">
        <v>1.134167169689235</v>
      </c>
      <c r="E394" s="13">
        <v>0.29329445998849191</v>
      </c>
      <c r="F394" s="100">
        <v>6.0615418131450118</v>
      </c>
      <c r="G394" s="100">
        <v>2.7769786455154888</v>
      </c>
      <c r="H394" s="13">
        <v>0.14971870792370751</v>
      </c>
      <c r="I394" s="13">
        <v>0.59062373576617966</v>
      </c>
      <c r="J394" s="13">
        <v>1.062882297067417</v>
      </c>
      <c r="K394" s="100">
        <v>5.3444871048470688</v>
      </c>
      <c r="L394" s="7">
        <v>1.134167169689235</v>
      </c>
      <c r="M394" s="15">
        <v>0.29329445998849191</v>
      </c>
      <c r="N394" s="7">
        <v>6.0615418131450118</v>
      </c>
      <c r="O394" s="7">
        <v>2.7769786455154888</v>
      </c>
      <c r="P394" s="7">
        <v>5.3444871048470688</v>
      </c>
      <c r="W394" s="134"/>
      <c r="X394" s="134"/>
      <c r="Y394" s="134"/>
      <c r="AA394" s="134"/>
    </row>
    <row r="395" spans="1:27">
      <c r="B395" t="s">
        <v>35</v>
      </c>
      <c r="C395" s="195">
        <v>1.4742863410165961</v>
      </c>
      <c r="D395" s="100">
        <v>1.145979630151883</v>
      </c>
      <c r="E395" s="13">
        <v>0.222688565803525</v>
      </c>
      <c r="F395" s="100">
        <v>5.8867564075687691</v>
      </c>
      <c r="G395" s="100">
        <v>2.9929532301774899</v>
      </c>
      <c r="H395" s="13">
        <v>0.27965263216669661</v>
      </c>
      <c r="I395" s="13">
        <v>0.94342411670409154</v>
      </c>
      <c r="J395" s="13">
        <v>1.4452643601544419</v>
      </c>
      <c r="K395" s="100">
        <v>5.1368770025943329</v>
      </c>
      <c r="L395" s="7">
        <v>1.145979630151883</v>
      </c>
      <c r="M395" s="15">
        <v>0.222688565803525</v>
      </c>
      <c r="N395" s="7">
        <v>5.8867564075687691</v>
      </c>
      <c r="O395" s="7">
        <v>2.9929532301774899</v>
      </c>
      <c r="P395" s="7">
        <v>5.1368770025943329</v>
      </c>
      <c r="W395" s="134"/>
      <c r="X395" s="134"/>
      <c r="Y395" s="134"/>
      <c r="AA395" s="134"/>
    </row>
    <row r="396" spans="1:27">
      <c r="C396" s="138"/>
      <c r="D396" s="100"/>
      <c r="F396" s="100"/>
      <c r="G396" s="100"/>
      <c r="K396" s="100"/>
      <c r="L396" s="7"/>
      <c r="N396" s="7"/>
      <c r="O396" s="7"/>
      <c r="P396" s="7"/>
      <c r="U396" s="134"/>
      <c r="V396" s="134"/>
      <c r="W396" s="134"/>
      <c r="X396" s="134"/>
      <c r="Y396" s="134"/>
      <c r="AA396" s="134"/>
    </row>
    <row r="397" spans="1:27">
      <c r="A397" t="s">
        <v>437</v>
      </c>
      <c r="B397" t="s">
        <v>30</v>
      </c>
      <c r="C397" s="195">
        <v>8.2476365417975881</v>
      </c>
      <c r="D397" s="100">
        <v>7.7771738478496513</v>
      </c>
      <c r="E397" s="13">
        <v>5.7042122499423198E-2</v>
      </c>
      <c r="F397" s="100">
        <v>33.221440516766911</v>
      </c>
      <c r="G397" s="100">
        <v>3.0279952139508599</v>
      </c>
      <c r="H397" s="13">
        <v>0.27669339856923952</v>
      </c>
      <c r="I397" s="13">
        <v>0.79021011746636272</v>
      </c>
      <c r="J397" s="13">
        <v>1.4763383013590541</v>
      </c>
      <c r="K397" s="100">
        <v>4.2716597528487128</v>
      </c>
      <c r="L397" s="7">
        <v>7.7771738478496513</v>
      </c>
      <c r="M397" s="15">
        <v>5.7042122499423198E-2</v>
      </c>
      <c r="N397" s="7">
        <v>33.221440516766911</v>
      </c>
      <c r="O397" s="7">
        <v>3.0279952139508599</v>
      </c>
      <c r="P397" s="7">
        <v>4.2716597528487128</v>
      </c>
      <c r="Q397" s="109">
        <v>0.14703755256305939</v>
      </c>
      <c r="R397" s="109">
        <v>8.3404983219244722E-2</v>
      </c>
      <c r="S397" s="109">
        <v>3.4197288998096542E-2</v>
      </c>
      <c r="U397" s="134"/>
      <c r="V397" s="134"/>
      <c r="W397" s="134"/>
      <c r="X397" s="134"/>
      <c r="Y397" s="134"/>
      <c r="AA397" s="134"/>
    </row>
    <row r="398" spans="1:27">
      <c r="A398" t="s">
        <v>438</v>
      </c>
      <c r="B398" t="s">
        <v>32</v>
      </c>
      <c r="C398" s="195">
        <v>13.430746429726421</v>
      </c>
      <c r="D398" s="100">
        <v>11.93326912384871</v>
      </c>
      <c r="E398" s="13">
        <v>0.1114962086219812</v>
      </c>
      <c r="F398" s="100">
        <v>-6.0170755672920544</v>
      </c>
      <c r="G398" s="100">
        <v>-1.4480075324759609</v>
      </c>
      <c r="H398" s="13">
        <v>0.22514078829708711</v>
      </c>
      <c r="I398" s="13">
        <v>0.71829258831396858</v>
      </c>
      <c r="J398" s="13">
        <v>1.935312525959874</v>
      </c>
      <c r="K398" s="100">
        <v>-0.50422692263487889</v>
      </c>
      <c r="L398" s="7">
        <v>11.93326912384871</v>
      </c>
      <c r="M398" s="15">
        <v>0.1114962086219812</v>
      </c>
      <c r="N398" s="7">
        <v>-6.0170755672920544</v>
      </c>
      <c r="O398" s="7">
        <v>-1.4480075324759609</v>
      </c>
      <c r="P398" s="7">
        <v>-0.50422692263487889</v>
      </c>
      <c r="S398" s="109">
        <v>2.2588943610569991E-2</v>
      </c>
      <c r="W398" s="134"/>
      <c r="X398" s="134"/>
      <c r="Y398" s="134"/>
      <c r="AA398" s="134"/>
    </row>
    <row r="399" spans="1:27">
      <c r="B399" t="s">
        <v>34</v>
      </c>
      <c r="C399" s="195">
        <v>1.2127122915355719</v>
      </c>
      <c r="D399" s="100">
        <v>1.151555392897232</v>
      </c>
      <c r="E399" s="13">
        <v>5.0429849738639183E-2</v>
      </c>
      <c r="F399" s="100">
        <v>3.9176047908898641</v>
      </c>
      <c r="G399" s="100">
        <v>2.2304486548324478</v>
      </c>
      <c r="H399" s="13">
        <v>0.2239577442726588</v>
      </c>
      <c r="I399" s="13">
        <v>0.59025707268372374</v>
      </c>
      <c r="J399" s="13">
        <v>0.97241188789702493</v>
      </c>
      <c r="K399" s="100">
        <v>3.4020115880256929</v>
      </c>
      <c r="L399" s="7">
        <v>1.151555392897232</v>
      </c>
      <c r="M399" s="15">
        <v>5.0429849738639183E-2</v>
      </c>
      <c r="N399" s="7">
        <v>3.9176047908898641</v>
      </c>
      <c r="O399" s="7">
        <v>2.2304486548324478</v>
      </c>
      <c r="P399" s="7">
        <v>3.4020115880256929</v>
      </c>
      <c r="W399" s="134"/>
      <c r="X399" s="134"/>
      <c r="Y399" s="134"/>
      <c r="AA399" s="134"/>
    </row>
    <row r="400" spans="1:27">
      <c r="B400" t="s">
        <v>35</v>
      </c>
      <c r="C400" s="195">
        <v>1.1201911805932629</v>
      </c>
      <c r="D400" s="100">
        <v>1.0491752294990739</v>
      </c>
      <c r="E400" s="13">
        <v>6.3396277639481413E-2</v>
      </c>
      <c r="F400" s="100">
        <v>4.449843187724607</v>
      </c>
      <c r="G400" s="100">
        <v>2.972396198805932</v>
      </c>
      <c r="H400" s="13">
        <v>0.39643539607779887</v>
      </c>
      <c r="I400" s="13">
        <v>0.82975659880874519</v>
      </c>
      <c r="J400" s="13">
        <v>1.3369782617192629</v>
      </c>
      <c r="K400" s="100">
        <v>4.241277398294252</v>
      </c>
      <c r="L400" s="7">
        <v>1.0491752294990739</v>
      </c>
      <c r="M400" s="15">
        <v>6.3396277639481413E-2</v>
      </c>
      <c r="N400" s="7">
        <v>4.449843187724607</v>
      </c>
      <c r="O400" s="7">
        <v>2.972396198805932</v>
      </c>
      <c r="P400" s="7">
        <v>4.241277398294252</v>
      </c>
      <c r="U400" s="134"/>
      <c r="V400" s="134"/>
      <c r="W400" s="134"/>
      <c r="X400" s="134"/>
      <c r="Y400" s="134"/>
      <c r="AA400" s="134"/>
    </row>
    <row r="401" spans="1:27">
      <c r="C401" s="138"/>
      <c r="D401" s="100"/>
      <c r="F401" s="100"/>
      <c r="G401" s="100"/>
      <c r="K401" s="100"/>
      <c r="L401" s="7"/>
      <c r="N401" s="7"/>
      <c r="O401" s="7"/>
      <c r="P401" s="7"/>
      <c r="U401" s="134"/>
      <c r="V401" s="134"/>
      <c r="W401" s="134"/>
      <c r="X401" s="134"/>
      <c r="Y401" s="134"/>
      <c r="AA401" s="134"/>
    </row>
    <row r="402" spans="1:27">
      <c r="A402" t="s">
        <v>439</v>
      </c>
      <c r="B402" t="s">
        <v>30</v>
      </c>
      <c r="C402" s="195">
        <v>15.1910248811951</v>
      </c>
      <c r="D402" s="100">
        <v>9.5618482039315733</v>
      </c>
      <c r="E402" s="13">
        <v>0.37055937445220433</v>
      </c>
      <c r="F402" s="100">
        <v>62.356931460601153</v>
      </c>
      <c r="G402" s="100">
        <v>3.104853487389946</v>
      </c>
      <c r="H402" s="13">
        <v>0.20337516443997769</v>
      </c>
      <c r="I402" s="13">
        <v>0.54997008880791332</v>
      </c>
      <c r="J402" s="13">
        <v>1.472627396698994</v>
      </c>
      <c r="K402" s="100">
        <v>6.5214308082156824</v>
      </c>
      <c r="L402" s="7">
        <v>9.5618482039315733</v>
      </c>
      <c r="M402" s="15">
        <v>0.37055937445220433</v>
      </c>
      <c r="N402" s="7">
        <v>62.356931460601153</v>
      </c>
      <c r="O402" s="7">
        <v>3.104853487389946</v>
      </c>
      <c r="P402" s="7">
        <v>6.5214308082156824</v>
      </c>
      <c r="Q402" s="109">
        <v>0.1002447179521672</v>
      </c>
      <c r="R402" s="109">
        <v>1.346386912529606E-2</v>
      </c>
      <c r="S402" s="109">
        <v>3.4461563582612258E-2</v>
      </c>
      <c r="W402" s="134"/>
      <c r="X402" s="134"/>
      <c r="Y402" s="134"/>
      <c r="AA402" s="134"/>
    </row>
    <row r="403" spans="1:27">
      <c r="A403" t="s">
        <v>440</v>
      </c>
      <c r="B403" t="s">
        <v>32</v>
      </c>
      <c r="C403" s="196">
        <v>63.079495425335587</v>
      </c>
      <c r="D403" s="100">
        <v>7.389798494712073</v>
      </c>
      <c r="E403" s="13">
        <v>0.88284943554345563</v>
      </c>
      <c r="F403" s="100">
        <v>845.05951055346839</v>
      </c>
      <c r="G403" s="100">
        <v>12.39673858922553</v>
      </c>
      <c r="H403" s="13">
        <v>-0.67833478910134182</v>
      </c>
      <c r="I403" s="13">
        <v>-0.59040559143895288</v>
      </c>
      <c r="J403" s="13">
        <v>-0.36718352935423498</v>
      </c>
      <c r="K403" s="100">
        <v>114.3548787099092</v>
      </c>
      <c r="L403" s="7">
        <v>7.389798494712073</v>
      </c>
      <c r="M403" s="15">
        <v>0.88284943554345563</v>
      </c>
      <c r="N403" s="7">
        <v>845.05951055346839</v>
      </c>
      <c r="O403" s="7">
        <v>12.39673858922553</v>
      </c>
      <c r="P403" s="7">
        <v>114.3548787099092</v>
      </c>
      <c r="S403" s="109">
        <v>2.200724266840692E-2</v>
      </c>
      <c r="W403" s="134"/>
      <c r="X403" s="134"/>
      <c r="Y403" s="134"/>
      <c r="AA403" s="134"/>
    </row>
    <row r="404" spans="1:27">
      <c r="B404" t="s">
        <v>34</v>
      </c>
      <c r="C404" s="195">
        <v>1.522820004619758</v>
      </c>
      <c r="D404" s="100">
        <v>1.496522940375125</v>
      </c>
      <c r="E404" s="13">
        <v>1.726866219569978E-2</v>
      </c>
      <c r="F404" s="100">
        <v>8.6038496028688272</v>
      </c>
      <c r="G404" s="100">
        <v>4.649945217929532</v>
      </c>
      <c r="H404" s="13">
        <v>0.4089237528270957</v>
      </c>
      <c r="I404" s="13">
        <v>0.88618194086877899</v>
      </c>
      <c r="J404" s="13">
        <v>1.367333520276139</v>
      </c>
      <c r="K404" s="100">
        <v>5.7492266712010096</v>
      </c>
      <c r="L404" s="7">
        <v>1.496522940375125</v>
      </c>
      <c r="M404" s="15">
        <v>1.726866219569978E-2</v>
      </c>
      <c r="N404" s="7">
        <v>8.6038496028688272</v>
      </c>
      <c r="O404" s="7">
        <v>4.649945217929532</v>
      </c>
      <c r="P404" s="7">
        <v>5.7492266712010096</v>
      </c>
      <c r="U404" s="134"/>
      <c r="V404" s="134"/>
      <c r="W404" s="134"/>
      <c r="X404" s="134"/>
      <c r="Y404" s="134"/>
      <c r="AA404" s="134"/>
    </row>
    <row r="405" spans="1:27">
      <c r="B405" t="s">
        <v>35</v>
      </c>
      <c r="C405" s="195">
        <v>0.84929407089642994</v>
      </c>
      <c r="D405" s="100">
        <v>0.81333069198687502</v>
      </c>
      <c r="E405" s="13">
        <v>4.2345025288585303E-2</v>
      </c>
      <c r="F405" s="100">
        <v>5.7192242413755201</v>
      </c>
      <c r="G405" s="100">
        <v>5.7340918032535866</v>
      </c>
      <c r="H405" s="13">
        <v>1.349911437996105</v>
      </c>
      <c r="I405" s="13">
        <v>1.817509872840126</v>
      </c>
      <c r="J405" s="13">
        <v>2.4786546741571769</v>
      </c>
      <c r="K405" s="100">
        <v>7.031855920012192</v>
      </c>
      <c r="L405" s="7">
        <v>0.81333069198687502</v>
      </c>
      <c r="M405" s="15">
        <v>4.2345025288585303E-2</v>
      </c>
      <c r="N405" s="7">
        <v>5.7192242413755201</v>
      </c>
      <c r="O405" s="7">
        <v>5.7340918032535866</v>
      </c>
      <c r="P405" s="7">
        <v>7.031855920012192</v>
      </c>
      <c r="U405" s="134"/>
      <c r="V405" s="134"/>
      <c r="W405" s="134"/>
      <c r="X405" s="134"/>
      <c r="Y405" s="134"/>
      <c r="AA405" s="134"/>
    </row>
    <row r="406" spans="1:27">
      <c r="C406" s="137"/>
      <c r="D406" s="100"/>
      <c r="F406" s="100"/>
      <c r="G406" s="100"/>
      <c r="K406" s="100"/>
      <c r="L406" s="7"/>
      <c r="N406" s="7"/>
      <c r="O406" s="7"/>
      <c r="P406" s="7"/>
      <c r="W406" s="134"/>
      <c r="X406" s="134"/>
      <c r="Y406" s="134"/>
      <c r="AA406" s="134"/>
    </row>
    <row r="407" spans="1:27">
      <c r="A407" t="s">
        <v>441</v>
      </c>
      <c r="B407" t="s">
        <v>30</v>
      </c>
      <c r="C407" s="195">
        <v>14.866968098310741</v>
      </c>
      <c r="D407" s="100">
        <v>9.8306815968571541</v>
      </c>
      <c r="E407" s="13">
        <v>0.33875679749563947</v>
      </c>
      <c r="F407" s="100">
        <v>169.9639213772594</v>
      </c>
      <c r="G407" s="100">
        <v>10.432318967346919</v>
      </c>
      <c r="H407" s="13">
        <v>0.28919006102080158</v>
      </c>
      <c r="I407" s="13">
        <v>1.285691753158827</v>
      </c>
      <c r="J407" s="13">
        <v>2.9577426635133448</v>
      </c>
      <c r="K407" s="100">
        <v>17.28912890756186</v>
      </c>
      <c r="L407" s="7">
        <v>9.8306815968571541</v>
      </c>
      <c r="M407" s="15">
        <v>0.33875679749563947</v>
      </c>
      <c r="N407" s="7">
        <v>125.3338135595836</v>
      </c>
      <c r="O407" s="7">
        <v>7.4303546446584967</v>
      </c>
      <c r="P407" s="7">
        <v>12.74924961455903</v>
      </c>
      <c r="Q407" s="109">
        <v>0.1347888363242814</v>
      </c>
      <c r="R407" s="109">
        <v>6.4879997324882116E-2</v>
      </c>
      <c r="S407" s="109">
        <v>2.8492837003302969E-2</v>
      </c>
      <c r="W407" s="134"/>
      <c r="X407" s="134"/>
      <c r="Y407" s="134"/>
      <c r="AA407" s="134"/>
    </row>
    <row r="408" spans="1:27">
      <c r="A408" t="s">
        <v>442</v>
      </c>
      <c r="B408" t="s">
        <v>32</v>
      </c>
      <c r="C408" s="195">
        <v>25.111281990171712</v>
      </c>
      <c r="D408" s="100">
        <v>16.162107694235321</v>
      </c>
      <c r="E408" s="13">
        <v>0.35638062204227572</v>
      </c>
      <c r="F408" s="100">
        <v>-262.14623456216009</v>
      </c>
      <c r="G408" s="100">
        <v>-11.439380779713341</v>
      </c>
      <c r="H408" s="13">
        <v>0.21754441974795011</v>
      </c>
      <c r="I408" s="13">
        <v>1.007039420125116</v>
      </c>
      <c r="J408" s="13">
        <v>3.3059166461508349</v>
      </c>
      <c r="K408" s="100">
        <v>-16.219804961184739</v>
      </c>
      <c r="L408" s="7">
        <v>16.162107694235321</v>
      </c>
      <c r="M408" s="15">
        <v>0.35638062204227572</v>
      </c>
      <c r="N408" s="7">
        <v>140.30200748711829</v>
      </c>
      <c r="O408" s="7">
        <v>4.5872100652619414</v>
      </c>
      <c r="P408" s="7">
        <v>8.6809226953215397</v>
      </c>
      <c r="S408" s="109">
        <v>1.0715265538630871E-2</v>
      </c>
      <c r="U408" s="134"/>
      <c r="V408" s="134"/>
      <c r="W408" s="134"/>
      <c r="X408" s="134"/>
      <c r="Y408" s="134"/>
      <c r="AA408" s="134"/>
    </row>
    <row r="409" spans="1:27">
      <c r="B409" t="s">
        <v>34</v>
      </c>
      <c r="C409" s="195">
        <v>2.003901329641518</v>
      </c>
      <c r="D409" s="100">
        <v>1.7835903098488231</v>
      </c>
      <c r="E409" s="13">
        <v>0.1099410517543333</v>
      </c>
      <c r="F409" s="100">
        <v>7.9157396237570623</v>
      </c>
      <c r="G409" s="100">
        <v>2.9501643652150888</v>
      </c>
      <c r="H409" s="13">
        <v>0.1371566649634228</v>
      </c>
      <c r="I409" s="13">
        <v>0.37009802436813272</v>
      </c>
      <c r="J409" s="13">
        <v>0.6356753177341965</v>
      </c>
      <c r="K409" s="100">
        <v>4.4380929746293587</v>
      </c>
      <c r="L409" s="7">
        <v>1.859594753403998</v>
      </c>
      <c r="M409" s="15">
        <v>7.2012815253401419E-2</v>
      </c>
      <c r="N409" s="7">
        <v>7.9157396237570623</v>
      </c>
      <c r="O409" s="7">
        <v>2.9501643652150888</v>
      </c>
      <c r="P409" s="7">
        <v>4.2567014180198441</v>
      </c>
      <c r="U409" s="134"/>
      <c r="V409" s="134"/>
      <c r="W409" s="134"/>
      <c r="X409" s="134"/>
      <c r="Y409" s="134"/>
      <c r="AA409" s="134"/>
    </row>
    <row r="410" spans="1:27">
      <c r="B410" t="s">
        <v>35</v>
      </c>
      <c r="C410" s="195">
        <v>1.6292199083467009</v>
      </c>
      <c r="D410" s="100">
        <v>1.321359425536907</v>
      </c>
      <c r="E410" s="13">
        <v>0.1889618959555954</v>
      </c>
      <c r="F410" s="100">
        <v>6.7873694714679607</v>
      </c>
      <c r="G410" s="100">
        <v>3.1660241424103668</v>
      </c>
      <c r="H410" s="13">
        <v>0.28045831958889628</v>
      </c>
      <c r="I410" s="13">
        <v>0.6249540295237066</v>
      </c>
      <c r="J410" s="13">
        <v>0.95391271188399607</v>
      </c>
      <c r="K410" s="100">
        <v>5.1366564920139384</v>
      </c>
      <c r="L410" s="7">
        <v>1.321359425536907</v>
      </c>
      <c r="M410" s="15">
        <v>0.1889618959555954</v>
      </c>
      <c r="N410" s="7">
        <v>6.7873694714679607</v>
      </c>
      <c r="O410" s="7">
        <v>3.1660241424103668</v>
      </c>
      <c r="P410" s="7">
        <v>5.1366564920139384</v>
      </c>
      <c r="W410" s="134"/>
      <c r="X410" s="134"/>
      <c r="Y410" s="134"/>
      <c r="AA410" s="134"/>
    </row>
    <row r="411" spans="1:27">
      <c r="C411" s="139"/>
      <c r="D411" s="100"/>
      <c r="F411" s="100"/>
      <c r="G411" s="100"/>
      <c r="K411" s="100"/>
      <c r="L411" s="7"/>
      <c r="N411" s="7"/>
      <c r="O411" s="7"/>
      <c r="P411" s="7"/>
      <c r="W411" s="134"/>
      <c r="X411" s="134"/>
      <c r="Y411" s="134"/>
      <c r="AA411" s="134"/>
    </row>
    <row r="412" spans="1:27">
      <c r="A412" t="s">
        <v>443</v>
      </c>
      <c r="B412" t="s">
        <v>30</v>
      </c>
      <c r="C412" s="197">
        <v>22.120312671214609</v>
      </c>
      <c r="D412" s="100">
        <v>9.5250010990628411</v>
      </c>
      <c r="E412" s="13">
        <v>0.56940025032024866</v>
      </c>
      <c r="F412" s="100">
        <v>-67.512179999665321</v>
      </c>
      <c r="G412" s="100">
        <v>-4.0520445620788914</v>
      </c>
      <c r="H412" s="13">
        <v>-4.5618911466996148E-2</v>
      </c>
      <c r="I412" s="13">
        <v>0.53807255079234628</v>
      </c>
      <c r="J412" s="13">
        <v>2.01158714418718</v>
      </c>
      <c r="K412" s="100">
        <v>-7.0878920954988436</v>
      </c>
      <c r="L412" s="7">
        <v>16.596505046599109</v>
      </c>
      <c r="M412" s="15">
        <v>0.24971652556266441</v>
      </c>
      <c r="N412" s="7">
        <v>124.2109763600788</v>
      </c>
      <c r="O412" s="7">
        <v>4.6152450558131486</v>
      </c>
      <c r="P412" s="7">
        <v>7.4841646486006148</v>
      </c>
      <c r="Q412" s="109">
        <v>6.2869549082711779E-2</v>
      </c>
      <c r="R412" s="109">
        <v>4.7598265099142813E-2</v>
      </c>
      <c r="S412" s="109">
        <v>2.1826821118295099E-2</v>
      </c>
      <c r="U412" s="134"/>
      <c r="V412" s="134"/>
      <c r="W412" s="134"/>
      <c r="X412" s="134"/>
      <c r="Y412" s="134"/>
      <c r="AA412" s="134"/>
    </row>
    <row r="413" spans="1:27">
      <c r="A413" t="s">
        <v>444</v>
      </c>
      <c r="B413" t="s">
        <v>32</v>
      </c>
      <c r="C413" s="197">
        <v>29.870788342782092</v>
      </c>
      <c r="D413" s="100">
        <v>5.0292400817246676</v>
      </c>
      <c r="E413" s="13">
        <v>0.83163350012689163</v>
      </c>
      <c r="F413" s="100">
        <v>-4.445755231660919</v>
      </c>
      <c r="G413" s="100">
        <v>-1.1488328724586601</v>
      </c>
      <c r="H413" s="13">
        <v>-7.7099928989429967E-2</v>
      </c>
      <c r="I413" s="13">
        <v>0.40201797106016429</v>
      </c>
      <c r="J413" s="13">
        <v>3.7212662926021829</v>
      </c>
      <c r="K413" s="100">
        <v>-0.88398150802463671</v>
      </c>
      <c r="L413" s="7">
        <v>21.812025494900329</v>
      </c>
      <c r="M413" s="15">
        <v>0.26978741757343228</v>
      </c>
      <c r="N413" s="7">
        <v>260.86405038741577</v>
      </c>
      <c r="O413" s="7">
        <v>7.733082213762545</v>
      </c>
      <c r="P413" s="7">
        <v>11.959643566729101</v>
      </c>
      <c r="S413" s="109">
        <v>1.802598114272776E-2</v>
      </c>
      <c r="U413" s="134"/>
      <c r="V413" s="134"/>
      <c r="W413" s="134"/>
      <c r="X413" s="134"/>
      <c r="Y413" s="134"/>
      <c r="AA413" s="134"/>
    </row>
    <row r="414" spans="1:27">
      <c r="B414" t="s">
        <v>34</v>
      </c>
      <c r="C414" s="195">
        <v>1.390694083207858</v>
      </c>
      <c r="D414" s="100">
        <v>1.317677584959877</v>
      </c>
      <c r="E414" s="13">
        <v>5.2503637665270893E-2</v>
      </c>
      <c r="F414" s="100">
        <v>7.6583607972816363</v>
      </c>
      <c r="G414" s="100">
        <v>4.506862285353515</v>
      </c>
      <c r="H414" s="13">
        <v>0.47933853983560998</v>
      </c>
      <c r="I414" s="13">
        <v>1.262926122080954</v>
      </c>
      <c r="J414" s="13">
        <v>2.0899946479498279</v>
      </c>
      <c r="K414" s="100">
        <v>5.8120141715204436</v>
      </c>
      <c r="L414" s="7">
        <v>1.317677584959877</v>
      </c>
      <c r="M414" s="15">
        <v>5.2503637665270893E-2</v>
      </c>
      <c r="N414" s="7">
        <v>7.6583607972816363</v>
      </c>
      <c r="O414" s="7">
        <v>4.506862285353515</v>
      </c>
      <c r="P414" s="7">
        <v>5.8120141715204436</v>
      </c>
      <c r="W414" s="134"/>
      <c r="X414" s="134"/>
      <c r="Y414" s="134"/>
      <c r="AA414" s="134"/>
    </row>
    <row r="415" spans="1:27">
      <c r="B415" t="s">
        <v>35</v>
      </c>
      <c r="C415" s="195">
        <v>1.4217977022601269</v>
      </c>
      <c r="D415" s="100">
        <v>1.3378878158007761</v>
      </c>
      <c r="E415" s="13">
        <v>5.9016754863202459E-2</v>
      </c>
      <c r="F415" s="100">
        <v>-6.6626610842029654</v>
      </c>
      <c r="G415" s="100">
        <v>-5.6860823263477096</v>
      </c>
      <c r="H415" s="13">
        <v>0.51170833859844578</v>
      </c>
      <c r="I415" s="13">
        <v>1.63661597821397</v>
      </c>
      <c r="J415" s="13">
        <v>2.8437677942539898</v>
      </c>
      <c r="K415" s="100">
        <v>-4.9799848728087186</v>
      </c>
      <c r="L415" s="7">
        <v>1.3378878158007761</v>
      </c>
      <c r="M415" s="15">
        <v>5.9016754863202459E-2</v>
      </c>
      <c r="N415" s="7">
        <v>7.8890671347149643</v>
      </c>
      <c r="O415" s="7">
        <v>4.54865655091037</v>
      </c>
      <c r="P415" s="7">
        <v>5.8966581813087666</v>
      </c>
      <c r="W415" s="134"/>
      <c r="X415" s="134"/>
      <c r="Y415" s="134"/>
      <c r="AA415" s="134"/>
    </row>
    <row r="416" spans="1:27">
      <c r="C416" s="138"/>
      <c r="D416" s="100"/>
      <c r="F416" s="100"/>
      <c r="G416" s="100"/>
      <c r="K416" s="100"/>
      <c r="L416" s="7"/>
      <c r="N416" s="7"/>
      <c r="O416" s="7"/>
      <c r="P416" s="7"/>
      <c r="U416" s="134"/>
      <c r="V416" s="134"/>
      <c r="W416" s="134"/>
      <c r="X416" s="134"/>
      <c r="Y416" s="134"/>
      <c r="AA416" s="134"/>
    </row>
    <row r="417" spans="1:27">
      <c r="A417" t="s">
        <v>445</v>
      </c>
      <c r="B417" t="s">
        <v>30</v>
      </c>
      <c r="C417" s="198">
        <v>39.754181839242882</v>
      </c>
      <c r="D417" s="100">
        <v>15.15107240931915</v>
      </c>
      <c r="E417" s="13">
        <v>0.61888104072706762</v>
      </c>
      <c r="F417" s="100">
        <v>-126.8697267133614</v>
      </c>
      <c r="G417" s="100">
        <v>-4.1913554962945678</v>
      </c>
      <c r="H417" s="13">
        <v>-0.38569740035730821</v>
      </c>
      <c r="I417" s="13">
        <v>-0.1313307384567983</v>
      </c>
      <c r="J417" s="13">
        <v>0.32593813772012542</v>
      </c>
      <c r="K417" s="100">
        <v>-8.373646649284451</v>
      </c>
      <c r="L417" s="7">
        <v>15.15107240931915</v>
      </c>
      <c r="M417" s="15">
        <v>0.61888104072706762</v>
      </c>
      <c r="N417" s="7">
        <v>191.10818900871789</v>
      </c>
      <c r="O417" s="7">
        <v>3.807247443338595</v>
      </c>
      <c r="P417" s="7">
        <v>12.613509053733431</v>
      </c>
      <c r="Q417" s="109">
        <v>4.6578741233848781E-2</v>
      </c>
      <c r="R417" s="109">
        <v>5.4831768248431598E-2</v>
      </c>
      <c r="S417" s="109">
        <v>4.6791449752609168E-3</v>
      </c>
      <c r="U417" s="134"/>
      <c r="V417" s="134"/>
      <c r="W417" s="134"/>
      <c r="X417" s="134"/>
      <c r="Y417" s="134"/>
      <c r="AA417" s="134"/>
    </row>
    <row r="418" spans="1:27">
      <c r="A418" t="s">
        <v>446</v>
      </c>
      <c r="B418" t="s">
        <v>32</v>
      </c>
      <c r="C418" s="195">
        <v>24.409601189097671</v>
      </c>
      <c r="D418" s="100">
        <v>18.864163397139802</v>
      </c>
      <c r="E418" s="13">
        <v>0.22718264624637521</v>
      </c>
      <c r="F418" s="100">
        <v>-19.64321864514568</v>
      </c>
      <c r="G418" s="100">
        <v>-1.804733288879752</v>
      </c>
      <c r="H418" s="13">
        <v>9.6679123405559064E-2</v>
      </c>
      <c r="I418" s="13">
        <v>0.51518911438355031</v>
      </c>
      <c r="J418" s="13">
        <v>2.580332341477177</v>
      </c>
      <c r="K418" s="100">
        <v>-1.0412981605176299</v>
      </c>
      <c r="L418" s="7">
        <v>18.864163397139802</v>
      </c>
      <c r="M418" s="15">
        <v>0.22718264624637521</v>
      </c>
      <c r="N418" s="7">
        <v>243.31348054459491</v>
      </c>
      <c r="O418" s="7">
        <v>8.9679416578616067</v>
      </c>
      <c r="P418" s="7">
        <v>12.89818559255516</v>
      </c>
      <c r="S418" s="109">
        <v>6.1912587327318082E-3</v>
      </c>
      <c r="W418" s="134"/>
      <c r="X418" s="134"/>
      <c r="Y418" s="134"/>
      <c r="AA418" s="134"/>
    </row>
    <row r="419" spans="1:27">
      <c r="B419" t="s">
        <v>34</v>
      </c>
      <c r="C419" s="195">
        <v>1.851699748853465</v>
      </c>
      <c r="D419" s="100">
        <v>1.151423213310413</v>
      </c>
      <c r="E419" s="13">
        <v>0.37818039127382752</v>
      </c>
      <c r="F419" s="100">
        <v>12.074733993435229</v>
      </c>
      <c r="G419" s="100">
        <v>5.5208919539529369</v>
      </c>
      <c r="H419" s="13">
        <v>0.1228846717402907</v>
      </c>
      <c r="I419" s="13">
        <v>0.93324196937017678</v>
      </c>
      <c r="J419" s="13">
        <v>1.5927647317527991</v>
      </c>
      <c r="K419" s="100">
        <v>10.48679048142483</v>
      </c>
      <c r="L419" s="7">
        <v>1.151423213310413</v>
      </c>
      <c r="M419" s="15">
        <v>0.37818039127382752</v>
      </c>
      <c r="N419" s="7">
        <v>12.074733993435229</v>
      </c>
      <c r="O419" s="7">
        <v>5.5208919539529369</v>
      </c>
      <c r="P419" s="7">
        <v>10.48679048142483</v>
      </c>
      <c r="W419" s="134"/>
      <c r="X419" s="134"/>
      <c r="Y419" s="134"/>
      <c r="AA419" s="134"/>
    </row>
    <row r="420" spans="1:27">
      <c r="B420" t="s">
        <v>35</v>
      </c>
      <c r="C420" s="195">
        <v>1.338421595437244</v>
      </c>
      <c r="D420" s="100">
        <v>1.182582181861501</v>
      </c>
      <c r="E420" s="13">
        <v>0.1164352204918154</v>
      </c>
      <c r="F420" s="100">
        <v>11.49451435267129</v>
      </c>
      <c r="G420" s="100">
        <v>7.5881118414830944</v>
      </c>
      <c r="H420" s="13">
        <v>0.41491374187861152</v>
      </c>
      <c r="I420" s="13">
        <v>1.2483475677931439</v>
      </c>
      <c r="J420" s="13">
        <v>2.9946475829907189</v>
      </c>
      <c r="K420" s="100">
        <v>9.719844023506079</v>
      </c>
      <c r="L420" s="7">
        <v>1.182582181861501</v>
      </c>
      <c r="M420" s="15">
        <v>0.1164352204918154</v>
      </c>
      <c r="N420" s="7">
        <v>11.49451435267129</v>
      </c>
      <c r="O420" s="7">
        <v>7.5881118414830944</v>
      </c>
      <c r="P420" s="7">
        <v>9.719844023506079</v>
      </c>
      <c r="U420" s="134"/>
      <c r="V420" s="134"/>
      <c r="W420" s="134"/>
      <c r="X420" s="134"/>
      <c r="Y420" s="134"/>
      <c r="AA420" s="134"/>
    </row>
    <row r="421" spans="1:27">
      <c r="C421" s="138"/>
      <c r="D421" s="100"/>
      <c r="F421" s="100"/>
      <c r="G421" s="100"/>
      <c r="K421" s="100"/>
      <c r="L421" s="7"/>
      <c r="N421" s="7"/>
      <c r="O421" s="7"/>
      <c r="P421" s="7"/>
      <c r="U421" s="134"/>
      <c r="V421" s="134"/>
      <c r="W421" s="134"/>
      <c r="X421" s="134"/>
      <c r="Y421" s="134"/>
      <c r="AA421" s="134"/>
    </row>
    <row r="422" spans="1:27">
      <c r="A422" t="s">
        <v>447</v>
      </c>
      <c r="B422" t="s">
        <v>30</v>
      </c>
      <c r="C422" s="152">
        <v>38.674832145914557</v>
      </c>
      <c r="D422" s="100">
        <v>18.104362136740459</v>
      </c>
      <c r="E422" s="13">
        <v>0.53188259309218688</v>
      </c>
      <c r="F422" s="100">
        <v>42.550725475653763</v>
      </c>
      <c r="G422" s="100">
        <v>0.1002174570562067</v>
      </c>
      <c r="H422" s="13">
        <v>-0.49474286500792258</v>
      </c>
      <c r="I422" s="13">
        <v>-0.42692449658333981</v>
      </c>
      <c r="J422" s="13">
        <v>-0.3911427387591514</v>
      </c>
      <c r="K422" s="100">
        <v>2.3503023831644732</v>
      </c>
      <c r="L422" s="7">
        <v>18.104362136740459</v>
      </c>
      <c r="M422" s="15">
        <v>0.53188259309218688</v>
      </c>
      <c r="N422" s="7">
        <v>42.550725475653763</v>
      </c>
      <c r="O422" s="7">
        <v>0.1002174570562067</v>
      </c>
      <c r="P422" s="7">
        <v>2.3503023831644732</v>
      </c>
      <c r="Q422" s="109">
        <v>5.6345064431002033E-2</v>
      </c>
      <c r="R422" s="109">
        <v>5.9095476118891863E-2</v>
      </c>
      <c r="S422" s="109">
        <v>4.4819563109636303E-3</v>
      </c>
      <c r="W422" s="134"/>
      <c r="X422" s="134"/>
      <c r="Y422" s="134"/>
      <c r="AA422" s="134"/>
    </row>
    <row r="423" spans="1:27">
      <c r="A423" t="s">
        <v>446</v>
      </c>
      <c r="B423" t="s">
        <v>32</v>
      </c>
      <c r="C423" s="151">
        <v>24.80075779303867</v>
      </c>
      <c r="D423" s="100">
        <v>20.291913757084071</v>
      </c>
      <c r="E423" s="13">
        <v>0.1818026720627138</v>
      </c>
      <c r="F423" s="100">
        <v>28.47851069561786</v>
      </c>
      <c r="G423" s="100">
        <v>0.14829195677284909</v>
      </c>
      <c r="H423" s="13">
        <v>-8.5530749220983915E-2</v>
      </c>
      <c r="I423" s="13">
        <v>3.4282085739578472E-2</v>
      </c>
      <c r="J423" s="13">
        <v>8.0785572212264123E-2</v>
      </c>
      <c r="K423" s="100">
        <v>1.40344134301654</v>
      </c>
      <c r="L423" s="7">
        <v>20.291913757084071</v>
      </c>
      <c r="M423" s="15">
        <v>0.1818026720627138</v>
      </c>
      <c r="N423" s="7">
        <v>28.47851069561786</v>
      </c>
      <c r="O423" s="7">
        <v>0.14829195677284909</v>
      </c>
      <c r="P423" s="7">
        <v>1.40344134301654</v>
      </c>
      <c r="S423" s="109">
        <v>4.756403438844369E-3</v>
      </c>
      <c r="W423" s="134"/>
      <c r="X423" s="134"/>
      <c r="Y423" s="134"/>
      <c r="AA423" s="134"/>
    </row>
    <row r="424" spans="1:27">
      <c r="B424" t="s">
        <v>34</v>
      </c>
      <c r="C424" s="152">
        <v>2.179135909119744</v>
      </c>
      <c r="D424" s="100">
        <v>1.151423213310413</v>
      </c>
      <c r="E424" s="13">
        <v>0.47161477698950538</v>
      </c>
      <c r="F424" s="100">
        <v>2.3975233685115902</v>
      </c>
      <c r="G424" s="100">
        <v>0.1002174570562067</v>
      </c>
      <c r="H424" s="13">
        <v>-0.45207762645338911</v>
      </c>
      <c r="I424" s="13">
        <v>-0.41057058511396399</v>
      </c>
      <c r="J424" s="13">
        <v>-0.37031908294000371</v>
      </c>
      <c r="K424" s="100">
        <v>2.0822260145499079</v>
      </c>
      <c r="L424" s="7">
        <v>1.151423213310413</v>
      </c>
      <c r="M424" s="15">
        <v>0.47161477698950538</v>
      </c>
      <c r="N424" s="7">
        <v>2.3975233685115902</v>
      </c>
      <c r="O424" s="7">
        <v>0.1002174570562067</v>
      </c>
      <c r="P424" s="7">
        <v>2.0822260145499079</v>
      </c>
      <c r="U424" s="134"/>
      <c r="V424" s="134"/>
      <c r="W424" s="134"/>
      <c r="X424" s="134"/>
      <c r="Y424" s="134"/>
      <c r="AA424" s="134"/>
    </row>
    <row r="425" spans="1:27">
      <c r="B425" t="s">
        <v>35</v>
      </c>
      <c r="C425" s="152">
        <v>1.4656125898889381</v>
      </c>
      <c r="D425" s="100">
        <v>1.182582181861501</v>
      </c>
      <c r="E425" s="13">
        <v>0.19311406710069581</v>
      </c>
      <c r="F425" s="100">
        <v>1.6017969732317681</v>
      </c>
      <c r="G425" s="100">
        <v>9.2919769031971633E-2</v>
      </c>
      <c r="H425" s="13">
        <v>-0.14702018587884089</v>
      </c>
      <c r="I425" s="13">
        <v>-9.6135946942229933E-2</v>
      </c>
      <c r="J425" s="13">
        <v>-1.7348853206442191E-2</v>
      </c>
      <c r="K425" s="100">
        <v>1.3544910432443531</v>
      </c>
      <c r="L425" s="7">
        <v>1.182582181861501</v>
      </c>
      <c r="M425" s="15">
        <v>0.19311406710069581</v>
      </c>
      <c r="N425" s="7">
        <v>1.6017969732317681</v>
      </c>
      <c r="O425" s="7">
        <v>9.2919769031971633E-2</v>
      </c>
      <c r="P425" s="7">
        <v>1.3544910432443531</v>
      </c>
      <c r="U425" s="134"/>
      <c r="V425" s="134"/>
      <c r="W425" s="134"/>
      <c r="X425" s="134"/>
      <c r="Y425" s="134"/>
      <c r="AA425" s="134"/>
    </row>
  </sheetData>
  <conditionalFormatting sqref="Q1:Q206 Q426:Q1048576 Q316:Q391 Q208:Q311">
    <cfRule type="dataBar" priority="54">
      <dataBar>
        <cfvo type="min"/>
        <cfvo type="max"/>
        <color rgb="FF638EC6"/>
      </dataBar>
    </cfRule>
  </conditionalFormatting>
  <conditionalFormatting sqref="R1:R206 R426:R1048576 R316:R391 R208:R311">
    <cfRule type="dataBar" priority="53">
      <dataBar>
        <cfvo type="min"/>
        <cfvo type="max"/>
        <color rgb="FF638EC6"/>
      </dataBar>
    </cfRule>
  </conditionalFormatting>
  <conditionalFormatting sqref="S426:S1048576 S316:S391 S1:S311">
    <cfRule type="dataBar" priority="52">
      <dataBar>
        <cfvo type="min"/>
        <cfvo type="max"/>
        <color rgb="FF638EC6"/>
      </dataBar>
    </cfRule>
  </conditionalFormatting>
  <conditionalFormatting sqref="E1:E280 E282:E311 E426:E1048576 E316:E391">
    <cfRule type="dataBar" priority="51">
      <dataBar>
        <cfvo type="min"/>
        <cfvo type="max"/>
        <color rgb="FF638EC6"/>
      </dataBar>
    </cfRule>
  </conditionalFormatting>
  <conditionalFormatting sqref="M1:M311 M426:M1048576 M316:M391">
    <cfRule type="dataBar" priority="50">
      <dataBar>
        <cfvo type="min"/>
        <cfvo type="max"/>
        <color rgb="FF638EC6"/>
      </dataBar>
    </cfRule>
  </conditionalFormatting>
  <conditionalFormatting sqref="I1:J311 I426:J1048576 I316:J391">
    <cfRule type="dataBar" priority="49">
      <dataBar>
        <cfvo type="min"/>
        <cfvo type="max"/>
        <color rgb="FF638EC6"/>
      </dataBar>
    </cfRule>
  </conditionalFormatting>
  <conditionalFormatting sqref="H1:H311 H426:H1048576 H316:H391">
    <cfRule type="dataBar" priority="48">
      <dataBar>
        <cfvo type="min"/>
        <cfvo type="max"/>
        <color rgb="FF638EC6"/>
      </dataBar>
    </cfRule>
  </conditionalFormatting>
  <conditionalFormatting sqref="V1:V311 V426:V1048576 V316:V391">
    <cfRule type="top10" dxfId="49" priority="35" percent="1" rank="20"/>
    <cfRule type="dataBar" priority="39">
      <dataBar>
        <cfvo type="min"/>
        <cfvo type="max"/>
        <color rgb="FF638EC6"/>
      </dataBar>
    </cfRule>
    <cfRule type="top10" dxfId="48" priority="40" percent="1" rank="10"/>
  </conditionalFormatting>
  <conditionalFormatting sqref="W1:W311 W426:W1048576 W316:W391">
    <cfRule type="top10" dxfId="47" priority="36" percent="1" rank="20"/>
    <cfRule type="top10" dxfId="46" priority="37" percent="1" rank="10"/>
    <cfRule type="dataBar" priority="38">
      <dataBar>
        <cfvo type="min"/>
        <cfvo type="max"/>
        <color rgb="FF638EC6"/>
      </dataBar>
    </cfRule>
  </conditionalFormatting>
  <conditionalFormatting sqref="Q392:Q425">
    <cfRule type="dataBar" priority="34">
      <dataBar>
        <cfvo type="min"/>
        <cfvo type="max"/>
        <color rgb="FF638EC6"/>
      </dataBar>
    </cfRule>
  </conditionalFormatting>
  <conditionalFormatting sqref="R392:R425">
    <cfRule type="dataBar" priority="33">
      <dataBar>
        <cfvo type="min"/>
        <cfvo type="max"/>
        <color rgb="FF638EC6"/>
      </dataBar>
    </cfRule>
  </conditionalFormatting>
  <conditionalFormatting sqref="S392:S425">
    <cfRule type="dataBar" priority="32">
      <dataBar>
        <cfvo type="min"/>
        <cfvo type="max"/>
        <color rgb="FF638EC6"/>
      </dataBar>
    </cfRule>
  </conditionalFormatting>
  <conditionalFormatting sqref="E392:E425">
    <cfRule type="dataBar" priority="31">
      <dataBar>
        <cfvo type="min"/>
        <cfvo type="max"/>
        <color rgb="FF638EC6"/>
      </dataBar>
    </cfRule>
  </conditionalFormatting>
  <conditionalFormatting sqref="M392:M425">
    <cfRule type="dataBar" priority="30">
      <dataBar>
        <cfvo type="min"/>
        <cfvo type="max"/>
        <color rgb="FF638EC6"/>
      </dataBar>
    </cfRule>
  </conditionalFormatting>
  <conditionalFormatting sqref="I392:J425">
    <cfRule type="dataBar" priority="29">
      <dataBar>
        <cfvo type="min"/>
        <cfvo type="max"/>
        <color rgb="FF638EC6"/>
      </dataBar>
    </cfRule>
  </conditionalFormatting>
  <conditionalFormatting sqref="H392:H425">
    <cfRule type="dataBar" priority="28">
      <dataBar>
        <cfvo type="min"/>
        <cfvo type="max"/>
        <color rgb="FF638EC6"/>
      </dataBar>
    </cfRule>
  </conditionalFormatting>
  <conditionalFormatting sqref="V392:V425">
    <cfRule type="top10" dxfId="45" priority="22" percent="1" rank="20"/>
    <cfRule type="dataBar" priority="26">
      <dataBar>
        <cfvo type="min"/>
        <cfvo type="max"/>
        <color rgb="FF638EC6"/>
      </dataBar>
    </cfRule>
    <cfRule type="top10" dxfId="44" priority="27" percent="1" rank="10"/>
  </conditionalFormatting>
  <conditionalFormatting sqref="W392:W425">
    <cfRule type="top10" dxfId="43" priority="23" percent="1" rank="20"/>
    <cfRule type="top10" dxfId="42" priority="24" percent="1" rank="10"/>
    <cfRule type="dataBar" priority="25">
      <dataBar>
        <cfvo type="min"/>
        <cfvo type="max"/>
        <color rgb="FF638EC6"/>
      </dataBar>
    </cfRule>
  </conditionalFormatting>
  <conditionalFormatting sqref="E1:E311 E316:E1048576">
    <cfRule type="dataBar" priority="18">
      <dataBar>
        <cfvo type="min"/>
        <cfvo type="max"/>
        <color rgb="FF638EC6"/>
      </dataBar>
    </cfRule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12:Q315">
    <cfRule type="dataBar" priority="17">
      <dataBar>
        <cfvo type="min"/>
        <cfvo type="max"/>
        <color rgb="FF638EC6"/>
      </dataBar>
    </cfRule>
  </conditionalFormatting>
  <conditionalFormatting sqref="R312:R315">
    <cfRule type="dataBar" priority="16">
      <dataBar>
        <cfvo type="min"/>
        <cfvo type="max"/>
        <color rgb="FF638EC6"/>
      </dataBar>
    </cfRule>
  </conditionalFormatting>
  <conditionalFormatting sqref="S312:S315">
    <cfRule type="dataBar" priority="15">
      <dataBar>
        <cfvo type="min"/>
        <cfvo type="max"/>
        <color rgb="FF638EC6"/>
      </dataBar>
    </cfRule>
  </conditionalFormatting>
  <conditionalFormatting sqref="E312:E315">
    <cfRule type="dataBar" priority="3">
      <dataBar>
        <cfvo type="min"/>
        <cfvo type="max"/>
        <color rgb="FF638EC6"/>
      </dataBar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4">
      <dataBar>
        <cfvo type="min"/>
        <cfvo type="max"/>
        <color rgb="FF638EC6"/>
      </dataBar>
    </cfRule>
  </conditionalFormatting>
  <conditionalFormatting sqref="M312:M315">
    <cfRule type="dataBar" priority="13">
      <dataBar>
        <cfvo type="min"/>
        <cfvo type="max"/>
        <color rgb="FF638EC6"/>
      </dataBar>
    </cfRule>
  </conditionalFormatting>
  <conditionalFormatting sqref="I312:J315">
    <cfRule type="dataBar" priority="12">
      <dataBar>
        <cfvo type="min"/>
        <cfvo type="max"/>
        <color rgb="FF638EC6"/>
      </dataBar>
    </cfRule>
  </conditionalFormatting>
  <conditionalFormatting sqref="H312:H315">
    <cfRule type="dataBar" priority="11">
      <dataBar>
        <cfvo type="min"/>
        <cfvo type="max"/>
        <color rgb="FF638EC6"/>
      </dataBar>
    </cfRule>
  </conditionalFormatting>
  <conditionalFormatting sqref="V312:V315">
    <cfRule type="top10" dxfId="41" priority="5" percent="1" rank="20"/>
    <cfRule type="dataBar" priority="9">
      <dataBar>
        <cfvo type="min"/>
        <cfvo type="max"/>
        <color rgb="FF638EC6"/>
      </dataBar>
    </cfRule>
    <cfRule type="top10" dxfId="40" priority="10" percent="1" rank="10"/>
  </conditionalFormatting>
  <conditionalFormatting sqref="W312:W315">
    <cfRule type="top10" dxfId="39" priority="6" percent="1" rank="20"/>
    <cfRule type="top10" dxfId="38" priority="7" percent="1" rank="10"/>
    <cfRule type="dataBar" priority="8">
      <dataBar>
        <cfvo type="min"/>
        <cfvo type="max"/>
        <color rgb="FF638EC6"/>
      </dataBar>
    </cfRule>
  </conditionalFormatting>
  <conditionalFormatting sqref="Q207">
    <cfRule type="dataBar" priority="2">
      <dataBar>
        <cfvo type="min"/>
        <cfvo type="max"/>
        <color rgb="FF638EC6"/>
      </dataBar>
    </cfRule>
  </conditionalFormatting>
  <conditionalFormatting sqref="R207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Q30"/>
  <sheetViews>
    <sheetView topLeftCell="A2" zoomScale="110" zoomScaleNormal="110" workbookViewId="0">
      <pane ySplit="1" topLeftCell="A6" activePane="bottomLeft" state="frozen"/>
      <selection activeCell="A2" sqref="A2"/>
      <selection pane="bottomLeft" activeCell="O7" sqref="O7"/>
    </sheetView>
  </sheetViews>
  <sheetFormatPr baseColWidth="10" defaultRowHeight="16"/>
  <cols>
    <col min="1" max="2" width="10.83203125" style="182" customWidth="1"/>
    <col min="3" max="3" width="18.5" style="182" customWidth="1"/>
    <col min="4" max="7" width="10.83203125" style="182" customWidth="1"/>
    <col min="8" max="8" width="14.33203125" style="129" customWidth="1"/>
    <col min="9" max="9" width="10.83203125" style="182" customWidth="1"/>
    <col min="10" max="10" width="19" style="129" customWidth="1"/>
    <col min="11" max="12" width="10.83203125" style="182" customWidth="1"/>
    <col min="13" max="13" width="18" style="182" customWidth="1"/>
    <col min="14" max="14" width="11" style="182" customWidth="1"/>
    <col min="15" max="15" width="15.5" style="182" customWidth="1"/>
    <col min="16" max="16" width="9.1640625" style="182" customWidth="1"/>
    <col min="17" max="17" width="17.1640625" style="182" customWidth="1"/>
    <col min="18" max="40" width="10.83203125" style="182" customWidth="1"/>
    <col min="41" max="16384" width="10.83203125" style="182"/>
  </cols>
  <sheetData>
    <row r="1" spans="2:17">
      <c r="B1" s="128">
        <v>43407</v>
      </c>
    </row>
    <row r="2" spans="2:17" ht="17" customHeight="1">
      <c r="B2" s="130" t="s">
        <v>448</v>
      </c>
      <c r="C2" s="130" t="s">
        <v>449</v>
      </c>
      <c r="D2" s="130" t="s">
        <v>450</v>
      </c>
      <c r="E2" s="130" t="s">
        <v>451</v>
      </c>
      <c r="F2" s="130" t="s">
        <v>452</v>
      </c>
      <c r="G2" s="130" t="s">
        <v>453</v>
      </c>
      <c r="H2" s="130" t="s">
        <v>454</v>
      </c>
      <c r="I2" s="130" t="s">
        <v>455</v>
      </c>
      <c r="J2" s="130" t="s">
        <v>456</v>
      </c>
      <c r="K2" s="130" t="s">
        <v>457</v>
      </c>
      <c r="L2" s="130" t="s">
        <v>458</v>
      </c>
      <c r="M2" s="130" t="s">
        <v>459</v>
      </c>
      <c r="O2" s="130"/>
    </row>
    <row r="3" spans="2:17" ht="17" customHeight="1">
      <c r="B3" s="131" t="s">
        <v>460</v>
      </c>
      <c r="C3" s="131" t="s">
        <v>461</v>
      </c>
      <c r="D3" s="131">
        <v>733.45</v>
      </c>
      <c r="E3" s="131">
        <v>-0.04</v>
      </c>
      <c r="F3" s="131">
        <v>7.84</v>
      </c>
      <c r="G3" s="131">
        <v>44.69</v>
      </c>
      <c r="H3" s="131">
        <v>0.27</v>
      </c>
      <c r="I3" s="131">
        <v>2.56</v>
      </c>
      <c r="J3" s="131">
        <v>7.0000000000000007E-2</v>
      </c>
      <c r="K3" s="132">
        <v>36529</v>
      </c>
      <c r="L3" s="133" t="s">
        <v>458</v>
      </c>
      <c r="M3" s="134">
        <f t="shared" ref="M3:M30" si="0">I3/G3</f>
        <v>5.7283508614902667E-2</v>
      </c>
      <c r="N3" s="131"/>
      <c r="O3" s="135"/>
      <c r="P3" s="131"/>
      <c r="Q3" s="135"/>
    </row>
    <row r="4" spans="2:17" ht="17" customHeight="1">
      <c r="B4" s="131" t="s">
        <v>462</v>
      </c>
      <c r="C4" s="131" t="s">
        <v>463</v>
      </c>
      <c r="D4" s="131">
        <v>3980.69</v>
      </c>
      <c r="E4" s="131">
        <v>3.85</v>
      </c>
      <c r="F4" s="131">
        <v>14.39</v>
      </c>
      <c r="G4" s="131">
        <v>48.51</v>
      </c>
      <c r="H4" s="131">
        <v>0.46</v>
      </c>
      <c r="I4" s="131">
        <v>3.87</v>
      </c>
      <c r="J4" s="131">
        <v>0.68</v>
      </c>
      <c r="K4" s="132">
        <v>36529</v>
      </c>
      <c r="L4" s="133" t="s">
        <v>458</v>
      </c>
      <c r="M4" s="134">
        <f t="shared" si="0"/>
        <v>7.9777365491651209E-2</v>
      </c>
      <c r="N4" s="131"/>
      <c r="O4" s="135"/>
      <c r="P4" s="131"/>
      <c r="Q4" s="135"/>
    </row>
    <row r="5" spans="2:17" ht="17" customHeight="1">
      <c r="B5" s="131" t="s">
        <v>464</v>
      </c>
      <c r="C5" s="131" t="s">
        <v>465</v>
      </c>
      <c r="D5" s="131">
        <v>5280.49</v>
      </c>
      <c r="E5" s="131">
        <v>1.33</v>
      </c>
      <c r="F5" s="131">
        <v>13.04</v>
      </c>
      <c r="G5" s="131">
        <v>65.5</v>
      </c>
      <c r="H5" s="131">
        <v>0.83</v>
      </c>
      <c r="I5" s="131">
        <v>4.3099999999999996</v>
      </c>
      <c r="J5" s="131">
        <v>0.55000000000000004</v>
      </c>
      <c r="K5" s="132">
        <v>36529</v>
      </c>
      <c r="L5" s="133" t="s">
        <v>458</v>
      </c>
      <c r="M5" s="134">
        <f t="shared" si="0"/>
        <v>6.5801526717557249E-2</v>
      </c>
      <c r="N5" s="131"/>
      <c r="O5" s="135"/>
      <c r="P5" s="131"/>
      <c r="Q5" s="135"/>
    </row>
    <row r="6" spans="2:17" ht="17" customHeight="1">
      <c r="B6" s="131" t="s">
        <v>466</v>
      </c>
      <c r="C6" s="131" t="s">
        <v>467</v>
      </c>
      <c r="D6" s="131">
        <v>2473.9699999999998</v>
      </c>
      <c r="E6" s="131">
        <v>1.8</v>
      </c>
      <c r="F6" s="131">
        <v>7.3</v>
      </c>
      <c r="G6" s="131">
        <v>40.49</v>
      </c>
      <c r="H6" s="131">
        <v>0.53</v>
      </c>
      <c r="I6" s="131">
        <v>2.89</v>
      </c>
      <c r="J6" s="131">
        <v>0.6</v>
      </c>
      <c r="K6" s="132">
        <v>36529</v>
      </c>
      <c r="L6" s="133" t="s">
        <v>458</v>
      </c>
      <c r="M6" s="134">
        <f t="shared" si="0"/>
        <v>7.1375648308224252E-2</v>
      </c>
      <c r="N6" s="131"/>
      <c r="O6" s="135"/>
      <c r="P6" s="131"/>
      <c r="Q6" s="135"/>
    </row>
    <row r="7" spans="2:17" ht="17" customHeight="1">
      <c r="B7" s="131" t="s">
        <v>468</v>
      </c>
      <c r="C7" s="131" t="s">
        <v>469</v>
      </c>
      <c r="D7" s="131">
        <v>2335.33</v>
      </c>
      <c r="E7" s="131">
        <v>0.32</v>
      </c>
      <c r="F7" s="131">
        <v>-1.94</v>
      </c>
      <c r="G7" s="131">
        <v>17.239999999999998</v>
      </c>
      <c r="H7" s="131">
        <v>0.24</v>
      </c>
      <c r="I7" s="131">
        <v>1.43</v>
      </c>
      <c r="J7" s="131">
        <v>0.14000000000000001</v>
      </c>
      <c r="K7" s="132">
        <v>36529</v>
      </c>
      <c r="L7" s="133" t="s">
        <v>458</v>
      </c>
      <c r="M7" s="134">
        <f t="shared" si="0"/>
        <v>8.2946635730858476E-2</v>
      </c>
      <c r="N7" s="131"/>
      <c r="O7" s="135"/>
      <c r="P7" s="131"/>
      <c r="Q7" s="135"/>
    </row>
    <row r="8" spans="2:17" ht="17" customHeight="1">
      <c r="B8" s="131" t="s">
        <v>470</v>
      </c>
      <c r="C8" s="131" t="s">
        <v>471</v>
      </c>
      <c r="D8" s="131">
        <v>1197.58</v>
      </c>
      <c r="E8" s="131">
        <v>2.02</v>
      </c>
      <c r="F8" s="131">
        <v>6.32</v>
      </c>
      <c r="G8" s="131">
        <v>61.62</v>
      </c>
      <c r="H8" s="131">
        <v>0.46</v>
      </c>
      <c r="I8" s="131">
        <v>2.5299999999999998</v>
      </c>
      <c r="J8" s="131">
        <v>0.27</v>
      </c>
      <c r="K8" s="132">
        <v>36529</v>
      </c>
      <c r="L8" s="133" t="s">
        <v>458</v>
      </c>
      <c r="M8" s="134">
        <f t="shared" si="0"/>
        <v>4.1058098020123335E-2</v>
      </c>
      <c r="N8" s="131"/>
      <c r="O8" s="135"/>
      <c r="P8" s="131"/>
      <c r="Q8" s="135"/>
    </row>
    <row r="9" spans="2:17" ht="17" customHeight="1">
      <c r="B9" s="131" t="s">
        <v>472</v>
      </c>
      <c r="C9" s="131" t="s">
        <v>473</v>
      </c>
      <c r="D9" s="131">
        <v>8493.9500000000007</v>
      </c>
      <c r="E9" s="131">
        <v>1.85</v>
      </c>
      <c r="F9" s="131">
        <v>6.27</v>
      </c>
      <c r="G9" s="131">
        <v>38.630000000000003</v>
      </c>
      <c r="H9" s="131">
        <v>0.48</v>
      </c>
      <c r="I9" s="131">
        <v>3.64</v>
      </c>
      <c r="J9" s="131">
        <v>0.31</v>
      </c>
      <c r="K9" s="132">
        <v>36529</v>
      </c>
      <c r="L9" s="133" t="s">
        <v>458</v>
      </c>
      <c r="M9" s="134">
        <f t="shared" si="0"/>
        <v>9.4227284493916638E-2</v>
      </c>
      <c r="N9" s="131"/>
      <c r="O9" s="135"/>
      <c r="P9" s="131"/>
      <c r="Q9" s="135"/>
    </row>
    <row r="10" spans="2:17" ht="17" customHeight="1">
      <c r="B10" s="131" t="s">
        <v>474</v>
      </c>
      <c r="C10" s="131" t="s">
        <v>475</v>
      </c>
      <c r="D10" s="131">
        <v>4192.07</v>
      </c>
      <c r="E10" s="131">
        <v>-0.52</v>
      </c>
      <c r="F10" s="131">
        <v>-2.34</v>
      </c>
      <c r="G10" s="131">
        <v>9.68</v>
      </c>
      <c r="H10" s="131">
        <v>0.03</v>
      </c>
      <c r="I10" s="131">
        <v>1.4</v>
      </c>
      <c r="J10" s="131">
        <v>0.06</v>
      </c>
      <c r="K10" s="132">
        <v>36529</v>
      </c>
      <c r="L10" s="133" t="s">
        <v>458</v>
      </c>
      <c r="M10" s="134">
        <f t="shared" si="0"/>
        <v>0.14462809917355371</v>
      </c>
      <c r="N10" s="131"/>
      <c r="O10" s="135"/>
      <c r="P10" s="131"/>
      <c r="Q10" s="135"/>
    </row>
    <row r="11" spans="2:17" ht="17" customHeight="1">
      <c r="B11" s="131" t="s">
        <v>476</v>
      </c>
      <c r="C11" s="131" t="s">
        <v>477</v>
      </c>
      <c r="D11" s="131">
        <v>3454.75</v>
      </c>
      <c r="E11" s="131">
        <v>0.64</v>
      </c>
      <c r="F11" s="131">
        <v>4.43</v>
      </c>
      <c r="G11" s="131">
        <v>33.44</v>
      </c>
      <c r="H11" s="131">
        <v>0.23</v>
      </c>
      <c r="I11" s="131">
        <v>3.73</v>
      </c>
      <c r="J11" s="131">
        <v>0.56000000000000005</v>
      </c>
      <c r="K11" s="132">
        <v>36529</v>
      </c>
      <c r="L11" s="133" t="s">
        <v>458</v>
      </c>
      <c r="M11" s="134">
        <f t="shared" si="0"/>
        <v>0.11154306220095694</v>
      </c>
      <c r="N11" s="131"/>
      <c r="O11" s="135"/>
      <c r="P11" s="131"/>
      <c r="Q11" s="135"/>
    </row>
    <row r="12" spans="2:17" ht="17" customHeight="1">
      <c r="B12" s="131" t="s">
        <v>478</v>
      </c>
      <c r="C12" s="131" t="s">
        <v>479</v>
      </c>
      <c r="D12" s="131">
        <v>3345.88</v>
      </c>
      <c r="E12" s="131">
        <v>-0.06</v>
      </c>
      <c r="F12" s="131">
        <v>3.24</v>
      </c>
      <c r="G12" s="131">
        <v>15.26</v>
      </c>
      <c r="H12" s="131">
        <v>0.01</v>
      </c>
      <c r="I12" s="131">
        <v>1.48</v>
      </c>
      <c r="J12" s="131">
        <v>0.03</v>
      </c>
      <c r="K12" s="132">
        <v>36529</v>
      </c>
      <c r="L12" s="133" t="s">
        <v>458</v>
      </c>
      <c r="M12" s="134">
        <f t="shared" si="0"/>
        <v>9.6985583224115338E-2</v>
      </c>
      <c r="N12" s="131"/>
      <c r="O12" s="135"/>
      <c r="P12" s="131"/>
      <c r="Q12" s="135"/>
    </row>
    <row r="13" spans="2:17" ht="17" customHeight="1">
      <c r="B13" s="131" t="s">
        <v>480</v>
      </c>
      <c r="C13" s="131" t="s">
        <v>481</v>
      </c>
      <c r="D13" s="131">
        <v>8091.27</v>
      </c>
      <c r="E13" s="131">
        <v>0.45</v>
      </c>
      <c r="F13" s="131">
        <v>4.01</v>
      </c>
      <c r="G13" s="131">
        <v>17.82</v>
      </c>
      <c r="H13" s="131">
        <v>0.33</v>
      </c>
      <c r="I13" s="131">
        <v>3.5</v>
      </c>
      <c r="J13" s="131">
        <v>0.76</v>
      </c>
      <c r="K13" s="132">
        <v>36529</v>
      </c>
      <c r="L13" s="133" t="s">
        <v>458</v>
      </c>
      <c r="M13" s="134">
        <f t="shared" si="0"/>
        <v>0.19640852974186307</v>
      </c>
      <c r="N13" s="131"/>
      <c r="O13" s="135"/>
      <c r="P13" s="131"/>
      <c r="Q13" s="135"/>
    </row>
    <row r="14" spans="2:17" ht="17" customHeight="1">
      <c r="B14" s="131" t="s">
        <v>482</v>
      </c>
      <c r="C14" s="131" t="s">
        <v>483</v>
      </c>
      <c r="D14" s="131">
        <v>4179.71</v>
      </c>
      <c r="E14" s="131">
        <v>0.09</v>
      </c>
      <c r="F14" s="131">
        <v>6.8</v>
      </c>
      <c r="G14" s="131">
        <v>20.75</v>
      </c>
      <c r="H14" s="131">
        <v>0.51</v>
      </c>
      <c r="I14" s="131">
        <v>1.7</v>
      </c>
      <c r="J14" s="131">
        <v>0.16</v>
      </c>
      <c r="K14" s="132">
        <v>36529</v>
      </c>
      <c r="L14" s="133" t="s">
        <v>458</v>
      </c>
      <c r="M14" s="134">
        <f t="shared" si="0"/>
        <v>8.1927710843373497E-2</v>
      </c>
      <c r="N14" s="131"/>
      <c r="O14" s="135"/>
      <c r="P14" s="131"/>
      <c r="Q14" s="135"/>
    </row>
    <row r="15" spans="2:17" ht="17" customHeight="1">
      <c r="B15" s="131" t="s">
        <v>484</v>
      </c>
      <c r="C15" s="131" t="s">
        <v>485</v>
      </c>
      <c r="D15" s="131">
        <v>1989.44</v>
      </c>
      <c r="E15" s="131">
        <v>0.96</v>
      </c>
      <c r="F15" s="131">
        <v>3.64</v>
      </c>
      <c r="G15" s="131">
        <v>26.15</v>
      </c>
      <c r="H15" s="131">
        <v>0.33</v>
      </c>
      <c r="I15" s="131">
        <v>1.88</v>
      </c>
      <c r="J15" s="131">
        <v>0.22</v>
      </c>
      <c r="K15" s="132">
        <v>36529</v>
      </c>
      <c r="L15" s="133" t="s">
        <v>458</v>
      </c>
      <c r="M15" s="134">
        <f t="shared" si="0"/>
        <v>7.1892925430210322E-2</v>
      </c>
      <c r="N15" s="131"/>
      <c r="O15" s="135"/>
      <c r="P15" s="131"/>
      <c r="Q15" s="135"/>
    </row>
    <row r="16" spans="2:17" ht="17" customHeight="1">
      <c r="B16" s="131" t="s">
        <v>486</v>
      </c>
      <c r="C16" s="131" t="s">
        <v>487</v>
      </c>
      <c r="D16" s="131">
        <v>15513.59</v>
      </c>
      <c r="E16" s="131">
        <v>-0.73</v>
      </c>
      <c r="F16" s="131">
        <v>-0.27</v>
      </c>
      <c r="G16" s="131">
        <v>32.409999999999997</v>
      </c>
      <c r="H16" s="131">
        <v>0.47</v>
      </c>
      <c r="I16" s="131">
        <v>6.58</v>
      </c>
      <c r="J16" s="131">
        <v>0.81</v>
      </c>
      <c r="K16" s="132">
        <v>36529</v>
      </c>
      <c r="L16" s="133" t="s">
        <v>458</v>
      </c>
      <c r="M16" s="134">
        <f t="shared" si="0"/>
        <v>0.20302375809935208</v>
      </c>
      <c r="N16" s="131"/>
      <c r="O16" s="135"/>
      <c r="P16" s="131"/>
      <c r="Q16" s="135"/>
    </row>
    <row r="17" spans="2:17" ht="17" customHeight="1">
      <c r="B17" s="131" t="s">
        <v>488</v>
      </c>
      <c r="C17" s="131" t="s">
        <v>489</v>
      </c>
      <c r="D17" s="131">
        <v>6348.68</v>
      </c>
      <c r="E17" s="131">
        <v>0.79</v>
      </c>
      <c r="F17" s="131">
        <v>0.48</v>
      </c>
      <c r="G17" s="131">
        <v>13.13</v>
      </c>
      <c r="H17" s="131">
        <v>0.06</v>
      </c>
      <c r="I17" s="131">
        <v>1.94</v>
      </c>
      <c r="J17" s="131">
        <v>0.23</v>
      </c>
      <c r="K17" s="132">
        <v>36529</v>
      </c>
      <c r="L17" s="133" t="s">
        <v>458</v>
      </c>
      <c r="M17" s="134">
        <f t="shared" si="0"/>
        <v>0.14775323686214775</v>
      </c>
      <c r="N17" s="131"/>
      <c r="O17" s="135"/>
      <c r="P17" s="131"/>
      <c r="Q17" s="135"/>
    </row>
    <row r="18" spans="2:17" ht="17" customHeight="1">
      <c r="B18" s="131" t="s">
        <v>490</v>
      </c>
      <c r="C18" s="131" t="s">
        <v>491</v>
      </c>
      <c r="D18" s="131">
        <v>2138.92</v>
      </c>
      <c r="E18" s="131">
        <v>0.73</v>
      </c>
      <c r="F18" s="131">
        <v>2.38</v>
      </c>
      <c r="G18" s="131">
        <v>9.7899999999999991</v>
      </c>
      <c r="H18" s="131">
        <v>0.03</v>
      </c>
      <c r="I18" s="131">
        <v>1.03</v>
      </c>
      <c r="J18" s="131">
        <v>0.01</v>
      </c>
      <c r="K18" s="132">
        <v>36529</v>
      </c>
      <c r="L18" s="133" t="s">
        <v>458</v>
      </c>
      <c r="M18" s="134">
        <f t="shared" si="0"/>
        <v>0.10520939734422882</v>
      </c>
      <c r="N18" s="131"/>
      <c r="O18" s="135"/>
      <c r="P18" s="131"/>
      <c r="Q18" s="135"/>
    </row>
    <row r="19" spans="2:17" ht="17" customHeight="1">
      <c r="B19" s="131" t="s">
        <v>492</v>
      </c>
      <c r="C19" s="131" t="s">
        <v>493</v>
      </c>
      <c r="D19" s="131">
        <v>1214.92</v>
      </c>
      <c r="E19" s="131">
        <v>1.1399999999999999</v>
      </c>
      <c r="F19" s="131">
        <v>3.61</v>
      </c>
      <c r="G19" s="131">
        <v>27.64</v>
      </c>
      <c r="H19" s="131">
        <v>0.34</v>
      </c>
      <c r="I19" s="131">
        <v>2.14</v>
      </c>
      <c r="J19" s="131">
        <v>0.22</v>
      </c>
      <c r="K19" s="132">
        <v>36529</v>
      </c>
      <c r="L19" s="133" t="s">
        <v>458</v>
      </c>
      <c r="M19" s="134">
        <f t="shared" si="0"/>
        <v>7.7424023154848046E-2</v>
      </c>
      <c r="N19" s="131"/>
      <c r="O19" s="135"/>
      <c r="P19" s="131"/>
      <c r="Q19" s="135"/>
    </row>
    <row r="20" spans="2:17" ht="17" customHeight="1">
      <c r="B20" s="131" t="s">
        <v>494</v>
      </c>
      <c r="C20" s="131" t="s">
        <v>495</v>
      </c>
      <c r="D20" s="131">
        <v>6020.06</v>
      </c>
      <c r="E20" s="131">
        <v>-3.72</v>
      </c>
      <c r="F20" s="131">
        <v>-2.46</v>
      </c>
      <c r="G20" s="131">
        <v>33.450000000000003</v>
      </c>
      <c r="H20" s="131">
        <v>0.17</v>
      </c>
      <c r="I20" s="131">
        <v>3.58</v>
      </c>
      <c r="J20" s="131">
        <v>0.37</v>
      </c>
      <c r="K20" s="132">
        <v>36529</v>
      </c>
      <c r="L20" s="133" t="s">
        <v>458</v>
      </c>
      <c r="M20" s="134">
        <f t="shared" si="0"/>
        <v>0.10702541106128549</v>
      </c>
      <c r="N20" s="131"/>
      <c r="O20" s="135"/>
      <c r="P20" s="131"/>
      <c r="Q20" s="135"/>
    </row>
    <row r="21" spans="2:17" ht="17" customHeight="1">
      <c r="B21" s="131" t="s">
        <v>496</v>
      </c>
      <c r="C21" s="131" t="s">
        <v>497</v>
      </c>
      <c r="D21" s="131">
        <v>1988.98</v>
      </c>
      <c r="E21" s="131">
        <v>0.41</v>
      </c>
      <c r="F21" s="131">
        <v>0.39</v>
      </c>
      <c r="G21" s="131">
        <v>19.13</v>
      </c>
      <c r="H21" s="131">
        <v>0.12</v>
      </c>
      <c r="I21" s="131">
        <v>1.43</v>
      </c>
      <c r="J21" s="131">
        <v>0.01</v>
      </c>
      <c r="K21" s="132">
        <v>36529</v>
      </c>
      <c r="L21" s="133" t="s">
        <v>458</v>
      </c>
      <c r="M21" s="134">
        <f t="shared" si="0"/>
        <v>7.4751698902247782E-2</v>
      </c>
      <c r="N21" s="131"/>
      <c r="O21" s="135"/>
      <c r="P21" s="131"/>
      <c r="Q21" s="135"/>
    </row>
    <row r="22" spans="2:17" ht="17" customHeight="1">
      <c r="B22" s="131" t="s">
        <v>498</v>
      </c>
      <c r="C22" s="131" t="s">
        <v>499</v>
      </c>
      <c r="D22" s="131">
        <v>4676.4399999999996</v>
      </c>
      <c r="E22" s="131">
        <v>2.1</v>
      </c>
      <c r="F22" s="131">
        <v>7.39</v>
      </c>
      <c r="G22" s="131">
        <v>34.74</v>
      </c>
      <c r="H22" s="131">
        <v>0.28999999999999998</v>
      </c>
      <c r="I22" s="131">
        <v>2.35</v>
      </c>
      <c r="J22" s="131">
        <v>0.16</v>
      </c>
      <c r="K22" s="132">
        <v>36529</v>
      </c>
      <c r="L22" s="133" t="s">
        <v>458</v>
      </c>
      <c r="M22" s="134">
        <f t="shared" si="0"/>
        <v>6.7645365572826716E-2</v>
      </c>
      <c r="N22" s="131"/>
      <c r="O22" s="135"/>
      <c r="P22" s="131"/>
      <c r="Q22" s="135"/>
    </row>
    <row r="23" spans="2:17" ht="17" customHeight="1">
      <c r="B23" s="131" t="s">
        <v>500</v>
      </c>
      <c r="C23" s="131" t="s">
        <v>501</v>
      </c>
      <c r="D23" s="131">
        <v>2222.9499999999998</v>
      </c>
      <c r="E23" s="131">
        <v>0.69</v>
      </c>
      <c r="F23" s="131">
        <v>4.82</v>
      </c>
      <c r="G23" s="131">
        <v>33.950000000000003</v>
      </c>
      <c r="H23" s="131">
        <v>0.18</v>
      </c>
      <c r="I23" s="131">
        <v>1.93</v>
      </c>
      <c r="J23" s="131">
        <v>0.15</v>
      </c>
      <c r="K23" s="132">
        <v>36529</v>
      </c>
      <c r="L23" s="133" t="s">
        <v>458</v>
      </c>
      <c r="M23" s="134">
        <f t="shared" si="0"/>
        <v>5.6848306332842408E-2</v>
      </c>
      <c r="N23" s="131"/>
      <c r="O23" s="135"/>
      <c r="P23" s="131"/>
      <c r="Q23" s="135"/>
    </row>
    <row r="24" spans="2:17" ht="17" customHeight="1">
      <c r="B24" s="131" t="s">
        <v>502</v>
      </c>
      <c r="C24" s="131" t="s">
        <v>503</v>
      </c>
      <c r="D24" s="131">
        <v>2817.49</v>
      </c>
      <c r="E24" s="131">
        <v>0.9</v>
      </c>
      <c r="F24" s="131">
        <v>4.22</v>
      </c>
      <c r="G24" s="131">
        <v>22.57</v>
      </c>
      <c r="H24" s="131">
        <v>0.25</v>
      </c>
      <c r="I24" s="131">
        <v>1.98</v>
      </c>
      <c r="J24" s="131">
        <v>0.13</v>
      </c>
      <c r="K24" s="132">
        <v>36529</v>
      </c>
      <c r="L24" s="133" t="s">
        <v>458</v>
      </c>
      <c r="M24" s="134">
        <f t="shared" si="0"/>
        <v>8.7727071333628712E-2</v>
      </c>
      <c r="N24" s="131"/>
      <c r="O24" s="135"/>
      <c r="P24" s="131"/>
      <c r="Q24" s="135"/>
    </row>
    <row r="25" spans="2:17" ht="17" customHeight="1">
      <c r="B25" s="131" t="s">
        <v>504</v>
      </c>
      <c r="C25" s="131" t="s">
        <v>505</v>
      </c>
      <c r="D25" s="131">
        <v>3168.93</v>
      </c>
      <c r="E25" s="131">
        <v>0.42</v>
      </c>
      <c r="F25" s="131">
        <v>4.3099999999999996</v>
      </c>
      <c r="G25" s="131">
        <v>40.32</v>
      </c>
      <c r="H25" s="131">
        <v>0.45</v>
      </c>
      <c r="I25" s="131">
        <v>2.19</v>
      </c>
      <c r="J25" s="131">
        <v>0.16</v>
      </c>
      <c r="K25" s="132">
        <v>36529</v>
      </c>
      <c r="L25" s="133" t="s">
        <v>458</v>
      </c>
      <c r="M25" s="134">
        <f t="shared" si="0"/>
        <v>5.4315476190476192E-2</v>
      </c>
      <c r="N25" s="131"/>
      <c r="O25" s="135"/>
      <c r="P25" s="131"/>
      <c r="Q25" s="135"/>
    </row>
    <row r="26" spans="2:17" ht="17" customHeight="1">
      <c r="B26" s="131" t="s">
        <v>506</v>
      </c>
      <c r="C26" s="131" t="s">
        <v>507</v>
      </c>
      <c r="D26" s="131">
        <v>2522.44</v>
      </c>
      <c r="E26" s="131">
        <v>-0.19</v>
      </c>
      <c r="F26" s="131">
        <v>0.28999999999999998</v>
      </c>
      <c r="G26" s="131">
        <v>13.04</v>
      </c>
      <c r="H26" s="131">
        <v>0.1</v>
      </c>
      <c r="I26" s="131">
        <v>1.1299999999999999</v>
      </c>
      <c r="J26" s="131">
        <v>0.01</v>
      </c>
      <c r="K26" s="132">
        <v>36529</v>
      </c>
      <c r="L26" s="133" t="s">
        <v>458</v>
      </c>
      <c r="M26" s="134">
        <f t="shared" si="0"/>
        <v>8.665644171779141E-2</v>
      </c>
      <c r="N26" s="131"/>
      <c r="O26" s="135"/>
      <c r="P26" s="131"/>
      <c r="Q26" s="135"/>
    </row>
    <row r="27" spans="2:17" ht="17" customHeight="1">
      <c r="B27" s="131" t="s">
        <v>508</v>
      </c>
      <c r="C27" s="131" t="s">
        <v>509</v>
      </c>
      <c r="D27" s="131">
        <v>2107.86</v>
      </c>
      <c r="E27" s="131">
        <v>0.15</v>
      </c>
      <c r="F27" s="131">
        <v>-1.17</v>
      </c>
      <c r="G27" s="131">
        <v>9.6199999999999992</v>
      </c>
      <c r="H27" s="131">
        <v>0.2</v>
      </c>
      <c r="I27" s="131">
        <v>0.92</v>
      </c>
      <c r="J27" s="131">
        <v>0.09</v>
      </c>
      <c r="K27" s="132">
        <v>36529</v>
      </c>
      <c r="L27" s="133" t="s">
        <v>458</v>
      </c>
      <c r="M27" s="134">
        <f t="shared" si="0"/>
        <v>9.5634095634095639E-2</v>
      </c>
      <c r="N27" s="131"/>
      <c r="O27" s="135"/>
      <c r="P27" s="131"/>
      <c r="Q27" s="135"/>
    </row>
    <row r="28" spans="2:17" ht="17" customHeight="1">
      <c r="B28" s="131" t="s">
        <v>510</v>
      </c>
      <c r="C28" s="131" t="s">
        <v>511</v>
      </c>
      <c r="D28" s="131">
        <v>2395.02</v>
      </c>
      <c r="E28" s="131">
        <v>1.55</v>
      </c>
      <c r="F28" s="131">
        <v>6.4</v>
      </c>
      <c r="G28" s="131">
        <v>25.85</v>
      </c>
      <c r="H28" s="131">
        <v>0.23</v>
      </c>
      <c r="I28" s="131">
        <v>1.87</v>
      </c>
      <c r="J28" s="131">
        <v>0.24</v>
      </c>
      <c r="K28" s="132">
        <v>36529</v>
      </c>
      <c r="L28" s="133" t="s">
        <v>458</v>
      </c>
      <c r="M28" s="134">
        <f t="shared" si="0"/>
        <v>7.2340425531914887E-2</v>
      </c>
      <c r="N28" s="131"/>
      <c r="O28" s="135"/>
      <c r="P28" s="131"/>
      <c r="Q28" s="135"/>
    </row>
    <row r="29" spans="2:17" ht="17" customHeight="1">
      <c r="B29" s="131" t="s">
        <v>512</v>
      </c>
      <c r="C29" s="131" t="s">
        <v>513</v>
      </c>
      <c r="D29" s="131">
        <v>2166.41</v>
      </c>
      <c r="E29" s="131">
        <v>1.5</v>
      </c>
      <c r="F29" s="131">
        <v>1.21</v>
      </c>
      <c r="G29" s="131">
        <v>16.03</v>
      </c>
      <c r="H29" s="131">
        <v>0.12</v>
      </c>
      <c r="I29" s="131">
        <v>1.94</v>
      </c>
      <c r="J29" s="131">
        <v>0.21</v>
      </c>
      <c r="K29" s="132">
        <v>36529</v>
      </c>
      <c r="L29" s="133" t="s">
        <v>458</v>
      </c>
      <c r="M29" s="134">
        <f t="shared" si="0"/>
        <v>0.12102308172177166</v>
      </c>
      <c r="N29" s="131"/>
      <c r="O29" s="135"/>
      <c r="P29" s="131"/>
      <c r="Q29" s="135"/>
    </row>
    <row r="30" spans="2:17" ht="17" customHeight="1">
      <c r="B30" s="131" t="s">
        <v>514</v>
      </c>
      <c r="C30" s="131" t="s">
        <v>515</v>
      </c>
      <c r="D30" s="131">
        <v>3794.77</v>
      </c>
      <c r="E30" s="131">
        <v>0.54</v>
      </c>
      <c r="F30" s="131">
        <v>-0.69</v>
      </c>
      <c r="G30" s="131">
        <v>6.98</v>
      </c>
      <c r="H30" s="131">
        <v>0.3</v>
      </c>
      <c r="I30" s="131">
        <v>0.81</v>
      </c>
      <c r="J30" s="131">
        <v>0.03</v>
      </c>
      <c r="K30" s="132">
        <v>36529</v>
      </c>
      <c r="L30" s="133" t="s">
        <v>458</v>
      </c>
      <c r="M30" s="134">
        <f t="shared" si="0"/>
        <v>0.11604584527220631</v>
      </c>
      <c r="N30" s="131"/>
      <c r="O30" s="135"/>
      <c r="P30" s="131"/>
      <c r="Q30" s="135"/>
    </row>
  </sheetData>
  <autoFilter ref="B2:Q30" xr:uid="{00000000-0009-0000-0000-000005000000}">
    <sortState xmlns:xlrd2="http://schemas.microsoft.com/office/spreadsheetml/2017/richdata2" ref="B3:Q30">
      <sortCondition descending="1" ref="F2:F30"/>
    </sortState>
  </autoFilter>
  <conditionalFormatting sqref="J31:J69 J1 J99:J1048576">
    <cfRule type="dataBar" priority="3">
      <dataBar>
        <cfvo type="min"/>
        <cfvo type="max"/>
        <color rgb="FF638EC6"/>
      </dataBar>
    </cfRule>
    <cfRule type="dataBar" priority="5">
      <dataBar>
        <cfvo type="min"/>
        <cfvo type="max"/>
        <color rgb="FF638EC6"/>
      </dataBar>
    </cfRule>
    <cfRule type="dataBar" priority="11">
      <dataBar>
        <cfvo type="min"/>
        <cfvo type="max"/>
        <color rgb="FF638EC6"/>
      </dataBar>
    </cfRule>
  </conditionalFormatting>
  <conditionalFormatting sqref="H31:H69 H1 H99:H1048576">
    <cfRule type="dataBar" priority="4">
      <dataBar>
        <cfvo type="min"/>
        <cfvo type="max"/>
        <color rgb="FF638EC6"/>
      </dataBar>
    </cfRule>
    <cfRule type="dataBar" priority="6">
      <dataBar>
        <cfvo type="min"/>
        <cfvo type="max"/>
        <color rgb="FF638EC6"/>
      </dataBar>
    </cfRule>
    <cfRule type="dataBar" priority="10">
      <dataBar>
        <cfvo type="min"/>
        <cfvo type="max"/>
        <color rgb="FF638EC6"/>
      </dataBar>
    </cfRule>
  </conditionalFormatting>
  <conditionalFormatting sqref="M3:M30">
    <cfRule type="dataBar" priority="9">
      <dataBar>
        <cfvo type="min"/>
        <cfvo type="max"/>
        <color rgb="FF638EC6"/>
      </dataBar>
    </cfRule>
  </conditionalFormatting>
  <conditionalFormatting sqref="O1:O1048576">
    <cfRule type="dataBar" priority="8">
      <dataBar>
        <cfvo type="min"/>
        <cfvo type="max"/>
        <color rgb="FF638EC6"/>
      </dataBar>
    </cfRule>
  </conditionalFormatting>
  <conditionalFormatting sqref="Q1:Q1048576">
    <cfRule type="dataBar" priority="7">
      <dataBar>
        <cfvo type="min"/>
        <cfvo type="max"/>
        <color rgb="FF638EC6"/>
      </dataBar>
    </cfRule>
  </conditionalFormatting>
  <conditionalFormatting sqref="H1:H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J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L3" r:id="rId1" display="http://discuss.jiucaishuo.com/?/invest/showData/search_gu-si801760" xr:uid="{00000000-0004-0000-0500-000000000000}"/>
    <hyperlink ref="L4" r:id="rId2" display="http://discuss.jiucaishuo.com/?/invest/showData/search_gu-si801080" xr:uid="{00000000-0004-0000-0500-000001000000}"/>
    <hyperlink ref="L5" r:id="rId3" display="http://discuss.jiucaishuo.com/?/invest/showData/search_gu-si801750" xr:uid="{00000000-0004-0000-0500-000002000000}"/>
    <hyperlink ref="L6" r:id="rId4" display="http://discuss.jiucaishuo.com/?/invest/showData/search_gu-si801770" xr:uid="{00000000-0004-0000-0500-000003000000}"/>
    <hyperlink ref="L7" r:id="rId5" display="http://discuss.jiucaishuo.com/?/invest/showData/search_gu-si801170" xr:uid="{00000000-0004-0000-0500-000004000000}"/>
    <hyperlink ref="L8" r:id="rId6" display="http://discuss.jiucaishuo.com/?/invest/showData/search_gu-si801740" xr:uid="{00000000-0004-0000-0500-000005000000}"/>
    <hyperlink ref="L9" r:id="rId7" display="http://discuss.jiucaishuo.com/?/invest/showData/search_gu-si801150" xr:uid="{00000000-0004-0000-0500-000006000000}"/>
    <hyperlink ref="L10" r:id="rId8" display="http://discuss.jiucaishuo.com/?/invest/showData/search_gu-si801180" xr:uid="{00000000-0004-0000-0500-000007000000}"/>
    <hyperlink ref="L11" r:id="rId9" display="http://discuss.jiucaishuo.com/?/invest/showData/search_gu-si801010" xr:uid="{00000000-0004-0000-0500-000008000000}"/>
    <hyperlink ref="L12" r:id="rId10" display="http://discuss.jiucaishuo.com/?/invest/showData/search_gu-si801200" xr:uid="{00000000-0004-0000-0500-000009000000}"/>
    <hyperlink ref="L13" r:id="rId11" display="http://discuss.jiucaishuo.com/?/invest/showData/search_gu-si801110" xr:uid="{00000000-0004-0000-0500-00000A000000}"/>
    <hyperlink ref="L14" r:id="rId12" display="http://discuss.jiucaishuo.com/?/invest/showData/search_gu-si801880" xr:uid="{00000000-0004-0000-0500-00000B000000}"/>
    <hyperlink ref="L15" r:id="rId13" display="http://discuss.jiucaishuo.com/?/invest/showData/search_gu-si801130" xr:uid="{00000000-0004-0000-0500-00000C000000}"/>
    <hyperlink ref="L16" r:id="rId14" display="http://discuss.jiucaishuo.com/?/invest/showData/search_gu-si801120" xr:uid="{00000000-0004-0000-0500-00000D000000}"/>
    <hyperlink ref="L17" r:id="rId15" display="http://discuss.jiucaishuo.com/?/invest/showData/search_gu-si801710" xr:uid="{00000000-0004-0000-0500-00000E000000}"/>
    <hyperlink ref="L18" r:id="rId16" display="http://discuss.jiucaishuo.com/?/invest/showData/search_gu-si801720" xr:uid="{00000000-0004-0000-0500-00000F000000}"/>
    <hyperlink ref="L19" r:id="rId17" display="http://discuss.jiucaishuo.com/?/invest/showData/search_gu-si801890" xr:uid="{00000000-0004-0000-0500-000010000000}"/>
    <hyperlink ref="L20" r:id="rId18" display="http://discuss.jiucaishuo.com/?/invest/showData/search_gu-si801210" xr:uid="{00000000-0004-0000-0500-000011000000}"/>
    <hyperlink ref="L21" r:id="rId19" display="http://discuss.jiucaishuo.com/?/invest/showData/search_gu-si801160" xr:uid="{00000000-0004-0000-0500-000012000000}"/>
    <hyperlink ref="L22" r:id="rId20" display="http://discuss.jiucaishuo.com/?/invest/showData/search_gu-si801730" xr:uid="{00000000-0004-0000-0500-000013000000}"/>
    <hyperlink ref="L23" r:id="rId21" display="http://discuss.jiucaishuo.com/?/invest/showData/search_gu-si801230" xr:uid="{00000000-0004-0000-0500-000014000000}"/>
    <hyperlink ref="L24" r:id="rId22" display="http://discuss.jiucaishuo.com/?/invest/showData/search_gu-si801030" xr:uid="{00000000-0004-0000-0500-000015000000}"/>
    <hyperlink ref="L25" r:id="rId23" display="http://discuss.jiucaishuo.com/?/invest/showData/search_gu-si801050" xr:uid="{00000000-0004-0000-0500-000016000000}"/>
    <hyperlink ref="L26" r:id="rId24" display="http://discuss.jiucaishuo.com/?/invest/showData/search_gu-si801020" xr:uid="{00000000-0004-0000-0500-000017000000}"/>
    <hyperlink ref="L27" r:id="rId25" display="http://discuss.jiucaishuo.com/?/invest/showData/search_gu-si801040" xr:uid="{00000000-0004-0000-0500-000018000000}"/>
    <hyperlink ref="L28" r:id="rId26" display="http://discuss.jiucaishuo.com/?/invest/showData/search_gu-si801140" xr:uid="{00000000-0004-0000-0500-000019000000}"/>
    <hyperlink ref="L29" r:id="rId27" display="http://discuss.jiucaishuo.com/?/invest/showData/search_gu-si801790" xr:uid="{00000000-0004-0000-0500-00001A000000}"/>
    <hyperlink ref="L30" r:id="rId28" display="http://discuss.jiucaishuo.com/?/invest/showData/search_gu-si801780" xr:uid="{00000000-0004-0000-0500-00001B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5"/>
  <sheetViews>
    <sheetView zoomScale="108" workbookViewId="0">
      <pane ySplit="1" topLeftCell="A2" activePane="bottomLeft" state="frozen"/>
      <selection pane="bottomLeft" activeCell="H35" sqref="H35"/>
    </sheetView>
  </sheetViews>
  <sheetFormatPr baseColWidth="10" defaultRowHeight="16"/>
  <cols>
    <col min="1" max="1" width="10.83203125" style="182" customWidth="1"/>
    <col min="3" max="3" width="22.5" style="182" customWidth="1"/>
    <col min="6" max="6" width="14" style="182" customWidth="1"/>
    <col min="8" max="8" width="16.5" style="129" customWidth="1"/>
    <col min="10" max="10" width="18.33203125" style="129" customWidth="1"/>
    <col min="11" max="11" width="15.33203125" style="182" customWidth="1"/>
    <col min="13" max="13" width="19.1640625" style="182" customWidth="1"/>
  </cols>
  <sheetData>
    <row r="1" spans="2:14" ht="17" customHeight="1">
      <c r="B1" s="130" t="s">
        <v>448</v>
      </c>
      <c r="C1" s="130" t="s">
        <v>449</v>
      </c>
      <c r="D1" s="130" t="s">
        <v>450</v>
      </c>
      <c r="E1" s="130" t="s">
        <v>451</v>
      </c>
      <c r="F1" s="130" t="s">
        <v>452</v>
      </c>
      <c r="G1" s="130" t="s">
        <v>453</v>
      </c>
      <c r="H1" s="130" t="s">
        <v>454</v>
      </c>
      <c r="I1" s="130" t="s">
        <v>455</v>
      </c>
      <c r="J1" s="130" t="s">
        <v>456</v>
      </c>
      <c r="K1" s="130" t="s">
        <v>457</v>
      </c>
      <c r="L1" s="130" t="s">
        <v>458</v>
      </c>
      <c r="M1" s="130" t="s">
        <v>459</v>
      </c>
      <c r="N1" s="111"/>
    </row>
    <row r="2" spans="2:14" ht="17" customHeight="1">
      <c r="B2" s="131" t="s">
        <v>516</v>
      </c>
      <c r="C2" s="131" t="s">
        <v>517</v>
      </c>
      <c r="D2" s="131">
        <v>2242.17</v>
      </c>
      <c r="E2" s="131">
        <v>0.2</v>
      </c>
      <c r="F2" s="131">
        <v>27.93</v>
      </c>
      <c r="G2" s="131">
        <v>26.64</v>
      </c>
      <c r="H2" s="131">
        <v>0.04</v>
      </c>
      <c r="I2" s="131">
        <v>1.78</v>
      </c>
      <c r="J2" s="131">
        <v>0.03</v>
      </c>
      <c r="K2" s="132">
        <v>36529</v>
      </c>
      <c r="L2" s="133" t="s">
        <v>458</v>
      </c>
      <c r="M2" s="109">
        <f t="shared" ref="M2:M33" si="0">I2/G2</f>
        <v>6.681681681681681E-2</v>
      </c>
    </row>
    <row r="3" spans="2:14" ht="17" customHeight="1">
      <c r="B3" s="131" t="s">
        <v>518</v>
      </c>
      <c r="C3" s="131" t="s">
        <v>519</v>
      </c>
      <c r="D3" s="131">
        <v>1075.74</v>
      </c>
      <c r="E3" s="131">
        <v>-0.24</v>
      </c>
      <c r="F3" s="131">
        <v>38.39</v>
      </c>
      <c r="G3" s="131">
        <v>33.590000000000003</v>
      </c>
      <c r="H3" s="131">
        <v>0.05</v>
      </c>
      <c r="I3" s="131">
        <v>2.93</v>
      </c>
      <c r="J3" s="131">
        <v>0.04</v>
      </c>
      <c r="K3" s="132">
        <v>36529</v>
      </c>
      <c r="L3" s="133" t="s">
        <v>458</v>
      </c>
      <c r="M3" s="109">
        <f t="shared" si="0"/>
        <v>8.7228341768383441E-2</v>
      </c>
    </row>
    <row r="4" spans="2:14" ht="17" customHeight="1">
      <c r="B4" s="131" t="s">
        <v>520</v>
      </c>
      <c r="C4" s="131" t="s">
        <v>521</v>
      </c>
      <c r="D4" s="131">
        <v>3319.92</v>
      </c>
      <c r="E4" s="131">
        <v>1.48</v>
      </c>
      <c r="F4" s="131">
        <v>32.619999999999997</v>
      </c>
      <c r="G4" s="131">
        <v>19.37</v>
      </c>
      <c r="H4" s="131">
        <v>0.05</v>
      </c>
      <c r="I4" s="131">
        <v>2.73</v>
      </c>
      <c r="J4" s="131">
        <v>0.06</v>
      </c>
      <c r="K4" s="132">
        <v>40826</v>
      </c>
      <c r="L4" s="133" t="s">
        <v>458</v>
      </c>
      <c r="M4" s="109">
        <f t="shared" si="0"/>
        <v>0.14093959731543623</v>
      </c>
    </row>
    <row r="5" spans="2:14" ht="17" customHeight="1">
      <c r="B5" s="131" t="s">
        <v>522</v>
      </c>
      <c r="C5" s="131" t="s">
        <v>523</v>
      </c>
      <c r="D5" s="131">
        <v>4070.1</v>
      </c>
      <c r="E5" s="131">
        <v>-1.63</v>
      </c>
      <c r="F5" s="131">
        <v>42.3</v>
      </c>
      <c r="G5" s="131">
        <v>32.97</v>
      </c>
      <c r="H5" s="131">
        <v>0.14000000000000001</v>
      </c>
      <c r="I5" s="131">
        <v>4.45</v>
      </c>
      <c r="J5" s="131">
        <v>0.28999999999999998</v>
      </c>
      <c r="K5" s="132">
        <v>36529</v>
      </c>
      <c r="L5" s="133" t="s">
        <v>458</v>
      </c>
      <c r="M5" s="109">
        <f t="shared" si="0"/>
        <v>0.13497118592659996</v>
      </c>
    </row>
    <row r="6" spans="2:14" ht="17" customHeight="1">
      <c r="B6" s="131" t="s">
        <v>524</v>
      </c>
      <c r="C6" s="131" t="s">
        <v>525</v>
      </c>
      <c r="D6" s="131">
        <v>1522.81</v>
      </c>
      <c r="E6" s="131">
        <v>-1.08</v>
      </c>
      <c r="F6" s="131">
        <v>41.83</v>
      </c>
      <c r="G6" s="131">
        <v>28.32</v>
      </c>
      <c r="H6" s="131">
        <v>0.13</v>
      </c>
      <c r="I6" s="131">
        <v>2.04</v>
      </c>
      <c r="J6" s="131">
        <v>0.17</v>
      </c>
      <c r="K6" s="132">
        <v>36529</v>
      </c>
      <c r="L6" s="133" t="s">
        <v>458</v>
      </c>
      <c r="M6" s="109">
        <f t="shared" si="0"/>
        <v>7.2033898305084748E-2</v>
      </c>
    </row>
    <row r="7" spans="2:14" ht="17" customHeight="1">
      <c r="B7" s="131" t="s">
        <v>526</v>
      </c>
      <c r="C7" s="131" t="s">
        <v>527</v>
      </c>
      <c r="D7" s="131">
        <v>3661.97</v>
      </c>
      <c r="E7" s="131">
        <v>-1.78</v>
      </c>
      <c r="F7" s="131">
        <v>30.58</v>
      </c>
      <c r="G7" s="131">
        <v>33.21</v>
      </c>
      <c r="H7" s="131">
        <v>0.2</v>
      </c>
      <c r="I7" s="131">
        <v>3.45</v>
      </c>
      <c r="J7" s="131">
        <v>0.56999999999999995</v>
      </c>
      <c r="K7" s="132">
        <v>36529</v>
      </c>
      <c r="L7" s="133" t="s">
        <v>458</v>
      </c>
      <c r="M7" s="109">
        <f t="shared" si="0"/>
        <v>0.10388437217705511</v>
      </c>
    </row>
    <row r="8" spans="2:14" ht="17" customHeight="1">
      <c r="B8" s="131" t="s">
        <v>528</v>
      </c>
      <c r="C8" s="131" t="s">
        <v>529</v>
      </c>
      <c r="D8" s="131">
        <v>4666.24</v>
      </c>
      <c r="E8" s="131">
        <v>-1.23</v>
      </c>
      <c r="F8" s="131">
        <v>34.69</v>
      </c>
      <c r="G8" s="131">
        <v>33.22</v>
      </c>
      <c r="H8" s="131">
        <v>0.18</v>
      </c>
      <c r="I8" s="131">
        <v>3.3</v>
      </c>
      <c r="J8" s="131">
        <v>0.25</v>
      </c>
      <c r="K8" s="132">
        <v>36529</v>
      </c>
      <c r="L8" s="133" t="s">
        <v>458</v>
      </c>
      <c r="M8" s="109">
        <f t="shared" si="0"/>
        <v>9.9337748344370855E-2</v>
      </c>
    </row>
    <row r="9" spans="2:14" ht="17" customHeight="1">
      <c r="B9" s="131" t="s">
        <v>530</v>
      </c>
      <c r="C9" s="131" t="s">
        <v>531</v>
      </c>
      <c r="D9" s="131">
        <v>2031.06</v>
      </c>
      <c r="E9" s="131">
        <v>-1.81</v>
      </c>
      <c r="F9" s="131">
        <v>49.04</v>
      </c>
      <c r="G9" s="131">
        <v>56.12</v>
      </c>
      <c r="H9" s="131">
        <v>0.28000000000000003</v>
      </c>
      <c r="I9" s="131">
        <v>3.35</v>
      </c>
      <c r="J9" s="131">
        <v>0.37</v>
      </c>
      <c r="K9" s="132">
        <v>36529</v>
      </c>
      <c r="L9" s="133" t="s">
        <v>458</v>
      </c>
      <c r="M9" s="109">
        <f t="shared" si="0"/>
        <v>5.9693513898788318E-2</v>
      </c>
    </row>
    <row r="10" spans="2:14" ht="17" customHeight="1">
      <c r="B10" s="131" t="s">
        <v>532</v>
      </c>
      <c r="C10" s="131" t="s">
        <v>533</v>
      </c>
      <c r="D10" s="131">
        <v>4861.95</v>
      </c>
      <c r="E10" s="131">
        <v>-0.31</v>
      </c>
      <c r="F10" s="131">
        <v>47.26</v>
      </c>
      <c r="G10" s="131">
        <v>54.68</v>
      </c>
      <c r="H10" s="131">
        <v>0.57999999999999996</v>
      </c>
      <c r="I10" s="131">
        <v>4.0999999999999996</v>
      </c>
      <c r="J10" s="131">
        <v>0.41</v>
      </c>
      <c r="K10" s="132">
        <v>36529</v>
      </c>
      <c r="L10" s="133" t="s">
        <v>458</v>
      </c>
      <c r="M10" s="109">
        <f t="shared" si="0"/>
        <v>7.4981711777615215E-2</v>
      </c>
    </row>
    <row r="11" spans="2:14" ht="17" customHeight="1">
      <c r="B11" s="131" t="s">
        <v>534</v>
      </c>
      <c r="C11" s="131" t="s">
        <v>535</v>
      </c>
      <c r="D11" s="131">
        <v>3144.97</v>
      </c>
      <c r="E11" s="131">
        <v>-0.13</v>
      </c>
      <c r="F11" s="131">
        <v>45.5</v>
      </c>
      <c r="G11" s="131">
        <v>63.12</v>
      </c>
      <c r="H11" s="131">
        <v>0.73</v>
      </c>
      <c r="I11" s="131">
        <v>3.01</v>
      </c>
      <c r="J11" s="131">
        <v>0.28999999999999998</v>
      </c>
      <c r="K11" s="132">
        <v>36529</v>
      </c>
      <c r="L11" s="133" t="s">
        <v>458</v>
      </c>
      <c r="M11" s="109">
        <f t="shared" si="0"/>
        <v>4.768694550063371E-2</v>
      </c>
    </row>
    <row r="12" spans="2:14" ht="17" customHeight="1">
      <c r="B12" s="131" t="s">
        <v>536</v>
      </c>
      <c r="C12" s="131" t="s">
        <v>537</v>
      </c>
      <c r="D12" s="131">
        <v>2956.87</v>
      </c>
      <c r="E12" s="131">
        <v>0.81</v>
      </c>
      <c r="F12" s="131">
        <v>38.049999999999997</v>
      </c>
      <c r="G12" s="131">
        <v>76.66</v>
      </c>
      <c r="H12" s="131">
        <v>0.71</v>
      </c>
      <c r="I12" s="131">
        <v>1.68</v>
      </c>
      <c r="J12" s="131">
        <v>0.47</v>
      </c>
      <c r="K12" s="132">
        <v>36529</v>
      </c>
      <c r="L12" s="133" t="s">
        <v>458</v>
      </c>
      <c r="M12" s="109">
        <f t="shared" si="0"/>
        <v>2.1914949126010958E-2</v>
      </c>
    </row>
    <row r="13" spans="2:14" ht="17" customHeight="1">
      <c r="B13" s="131" t="s">
        <v>538</v>
      </c>
      <c r="C13" s="131" t="s">
        <v>539</v>
      </c>
      <c r="D13" s="131">
        <v>2465.66</v>
      </c>
      <c r="E13" s="131">
        <v>-0.72</v>
      </c>
      <c r="F13" s="131">
        <v>34.64</v>
      </c>
      <c r="G13" s="131">
        <v>46.5</v>
      </c>
      <c r="H13" s="131">
        <v>0.54</v>
      </c>
      <c r="I13" s="131">
        <v>3.51</v>
      </c>
      <c r="J13" s="131">
        <v>0.46</v>
      </c>
      <c r="K13" s="132">
        <v>36529</v>
      </c>
      <c r="L13" s="133" t="s">
        <v>458</v>
      </c>
      <c r="M13" s="109">
        <f t="shared" si="0"/>
        <v>7.5483870967741937E-2</v>
      </c>
    </row>
    <row r="14" spans="2:14" ht="17" customHeight="1">
      <c r="B14" s="131" t="s">
        <v>540</v>
      </c>
      <c r="C14" s="131" t="s">
        <v>541</v>
      </c>
      <c r="D14" s="131">
        <v>1295.8900000000001</v>
      </c>
      <c r="E14" s="131">
        <v>1.86</v>
      </c>
      <c r="F14" s="131">
        <v>26.74</v>
      </c>
      <c r="G14" s="131">
        <v>60.31</v>
      </c>
      <c r="H14" s="131">
        <v>0.56999999999999995</v>
      </c>
      <c r="I14" s="131">
        <v>3.04</v>
      </c>
      <c r="J14" s="131">
        <v>0.38</v>
      </c>
      <c r="K14" s="132">
        <v>36529</v>
      </c>
      <c r="L14" s="133" t="s">
        <v>458</v>
      </c>
      <c r="M14" s="109">
        <f t="shared" si="0"/>
        <v>5.0406234455314211E-2</v>
      </c>
    </row>
    <row r="15" spans="2:14" ht="17" customHeight="1">
      <c r="B15" s="131" t="s">
        <v>542</v>
      </c>
      <c r="C15" s="131" t="s">
        <v>543</v>
      </c>
      <c r="D15" s="131">
        <v>2799.12</v>
      </c>
      <c r="E15" s="131">
        <v>-0.17</v>
      </c>
      <c r="F15" s="131">
        <v>28.61</v>
      </c>
      <c r="G15" s="131">
        <v>22.68</v>
      </c>
      <c r="H15" s="131">
        <v>0.25</v>
      </c>
      <c r="I15" s="131">
        <v>1.48</v>
      </c>
      <c r="J15" s="131">
        <v>0.04</v>
      </c>
      <c r="K15" s="132">
        <v>36529</v>
      </c>
      <c r="L15" s="133" t="s">
        <v>458</v>
      </c>
      <c r="M15" s="109">
        <f t="shared" si="0"/>
        <v>6.5255731922398585E-2</v>
      </c>
    </row>
    <row r="16" spans="2:14" ht="17" customHeight="1">
      <c r="B16" s="131" t="s">
        <v>544</v>
      </c>
      <c r="C16" s="131" t="s">
        <v>545</v>
      </c>
      <c r="D16" s="131">
        <v>6838.56</v>
      </c>
      <c r="E16" s="131">
        <v>-0.86</v>
      </c>
      <c r="F16" s="131">
        <v>19.29</v>
      </c>
      <c r="G16" s="131">
        <v>24.51</v>
      </c>
      <c r="H16" s="131">
        <v>0.62</v>
      </c>
      <c r="I16" s="131">
        <v>2.83</v>
      </c>
      <c r="J16" s="131">
        <v>0.7</v>
      </c>
      <c r="K16" s="132">
        <v>36529</v>
      </c>
      <c r="L16" s="133" t="s">
        <v>458</v>
      </c>
      <c r="M16" s="109">
        <f t="shared" si="0"/>
        <v>0.11546307629538963</v>
      </c>
    </row>
    <row r="17" spans="2:13" ht="17" customHeight="1">
      <c r="B17" s="131" t="s">
        <v>546</v>
      </c>
      <c r="C17" s="131" t="s">
        <v>547</v>
      </c>
      <c r="D17" s="131">
        <v>4605.6400000000003</v>
      </c>
      <c r="E17" s="131">
        <v>1.64</v>
      </c>
      <c r="F17" s="131">
        <v>30.79</v>
      </c>
      <c r="G17" s="131">
        <v>20.07</v>
      </c>
      <c r="H17" s="131">
        <v>0.27</v>
      </c>
      <c r="I17" s="131">
        <v>1.52</v>
      </c>
      <c r="J17" s="131">
        <v>0.18</v>
      </c>
      <c r="K17" s="132">
        <v>36529</v>
      </c>
      <c r="L17" s="133" t="s">
        <v>458</v>
      </c>
      <c r="M17" s="109">
        <f t="shared" si="0"/>
        <v>7.5734927752864972E-2</v>
      </c>
    </row>
    <row r="18" spans="2:13" ht="17" customHeight="1">
      <c r="B18" s="131" t="s">
        <v>548</v>
      </c>
      <c r="C18" s="131" t="s">
        <v>549</v>
      </c>
      <c r="D18" s="131">
        <v>5357.64</v>
      </c>
      <c r="E18" s="131">
        <v>-0.08</v>
      </c>
      <c r="F18" s="131">
        <v>23.69</v>
      </c>
      <c r="G18" s="131">
        <v>23.03</v>
      </c>
      <c r="H18" s="131">
        <v>0.24</v>
      </c>
      <c r="I18" s="131">
        <v>1.98</v>
      </c>
      <c r="J18" s="131">
        <v>0.16</v>
      </c>
      <c r="K18" s="132">
        <v>36529</v>
      </c>
      <c r="L18" s="133" t="s">
        <v>458</v>
      </c>
      <c r="M18" s="109">
        <f t="shared" si="0"/>
        <v>8.5974815458098125E-2</v>
      </c>
    </row>
    <row r="19" spans="2:13" ht="17" customHeight="1">
      <c r="B19" s="131" t="s">
        <v>550</v>
      </c>
      <c r="C19" s="131" t="s">
        <v>551</v>
      </c>
      <c r="D19" s="131">
        <v>2444.7199999999998</v>
      </c>
      <c r="E19" s="131">
        <v>-0.9</v>
      </c>
      <c r="F19" s="131">
        <v>24.02</v>
      </c>
      <c r="G19" s="131">
        <v>29.19</v>
      </c>
      <c r="H19" s="131">
        <v>0.56999999999999995</v>
      </c>
      <c r="I19" s="131">
        <v>1.26</v>
      </c>
      <c r="J19" s="131">
        <v>0.11</v>
      </c>
      <c r="K19" s="132">
        <v>36529</v>
      </c>
      <c r="L19" s="133" t="s">
        <v>458</v>
      </c>
      <c r="M19" s="109">
        <f t="shared" si="0"/>
        <v>4.3165467625899276E-2</v>
      </c>
    </row>
    <row r="20" spans="2:13" ht="17" customHeight="1">
      <c r="B20" s="131" t="s">
        <v>552</v>
      </c>
      <c r="C20" s="131" t="s">
        <v>553</v>
      </c>
      <c r="D20" s="131">
        <v>1423.58</v>
      </c>
      <c r="E20" s="131">
        <v>1.69</v>
      </c>
      <c r="F20" s="131">
        <v>31.7</v>
      </c>
      <c r="G20" s="131">
        <v>66.72</v>
      </c>
      <c r="H20" s="131">
        <v>0.71</v>
      </c>
      <c r="I20" s="131">
        <v>1.62</v>
      </c>
      <c r="J20" s="131">
        <v>0.22</v>
      </c>
      <c r="K20" s="132">
        <v>36529</v>
      </c>
      <c r="L20" s="133" t="s">
        <v>458</v>
      </c>
      <c r="M20" s="109">
        <f t="shared" si="0"/>
        <v>2.4280575539568347E-2</v>
      </c>
    </row>
    <row r="21" spans="2:13" ht="17" customHeight="1">
      <c r="B21" s="131" t="s">
        <v>554</v>
      </c>
      <c r="C21" s="131" t="s">
        <v>555</v>
      </c>
      <c r="D21" s="131">
        <v>8918.4599999999991</v>
      </c>
      <c r="E21" s="131">
        <v>-0.35</v>
      </c>
      <c r="F21" s="131">
        <v>8.75</v>
      </c>
      <c r="G21" s="131">
        <v>23.64</v>
      </c>
      <c r="H21" s="131">
        <v>0.25</v>
      </c>
      <c r="I21" s="131">
        <v>2.14</v>
      </c>
      <c r="J21" s="131">
        <v>0.25</v>
      </c>
      <c r="K21" s="132">
        <v>36529</v>
      </c>
      <c r="L21" s="133" t="s">
        <v>458</v>
      </c>
      <c r="M21" s="109">
        <f t="shared" si="0"/>
        <v>9.0524534686971234E-2</v>
      </c>
    </row>
    <row r="22" spans="2:13" ht="17" customHeight="1">
      <c r="B22" s="131" t="s">
        <v>556</v>
      </c>
      <c r="C22" s="131" t="s">
        <v>557</v>
      </c>
      <c r="D22" s="131">
        <v>1298.54</v>
      </c>
      <c r="E22" s="131">
        <v>-0.12</v>
      </c>
      <c r="F22" s="131">
        <v>9.25</v>
      </c>
      <c r="G22" s="131">
        <v>11.57</v>
      </c>
      <c r="H22" s="131">
        <v>0.15</v>
      </c>
      <c r="I22" s="131">
        <v>1.25</v>
      </c>
      <c r="J22" s="131">
        <v>0.1</v>
      </c>
      <c r="K22" s="132">
        <v>36529</v>
      </c>
      <c r="L22" s="133" t="s">
        <v>458</v>
      </c>
      <c r="M22" s="109">
        <f t="shared" si="0"/>
        <v>0.10803802938634399</v>
      </c>
    </row>
    <row r="23" spans="2:13" ht="17" customHeight="1">
      <c r="B23" s="131" t="s">
        <v>558</v>
      </c>
      <c r="C23" s="131" t="s">
        <v>559</v>
      </c>
      <c r="D23" s="131">
        <v>2149.4899999999998</v>
      </c>
      <c r="E23" s="131">
        <v>0.93</v>
      </c>
      <c r="F23" s="131">
        <v>22.9</v>
      </c>
      <c r="G23" s="131">
        <v>12.08</v>
      </c>
      <c r="H23" s="131">
        <v>0.16</v>
      </c>
      <c r="I23" s="131">
        <v>1.1599999999999999</v>
      </c>
      <c r="J23" s="131">
        <v>0.17</v>
      </c>
      <c r="K23" s="132">
        <v>36529</v>
      </c>
      <c r="L23" s="133" t="s">
        <v>458</v>
      </c>
      <c r="M23" s="109">
        <f t="shared" si="0"/>
        <v>9.6026490066225156E-2</v>
      </c>
    </row>
    <row r="24" spans="2:13" ht="17" customHeight="1">
      <c r="B24" s="131" t="s">
        <v>560</v>
      </c>
      <c r="C24" s="131" t="s">
        <v>561</v>
      </c>
      <c r="D24" s="131">
        <v>12678.69</v>
      </c>
      <c r="E24" s="131">
        <v>-1.01</v>
      </c>
      <c r="F24" s="131">
        <v>31.26</v>
      </c>
      <c r="G24" s="131">
        <v>58.91</v>
      </c>
      <c r="H24" s="131">
        <v>0.12</v>
      </c>
      <c r="I24" s="131">
        <v>3.04</v>
      </c>
      <c r="J24" s="131">
        <v>0.39</v>
      </c>
      <c r="K24" s="132">
        <v>36529</v>
      </c>
      <c r="L24" s="133" t="s">
        <v>458</v>
      </c>
      <c r="M24" s="109">
        <f t="shared" si="0"/>
        <v>5.1604141911390261E-2</v>
      </c>
    </row>
    <row r="25" spans="2:13" ht="17" customHeight="1">
      <c r="B25" s="131" t="s">
        <v>562</v>
      </c>
      <c r="C25" s="131" t="s">
        <v>563</v>
      </c>
      <c r="D25" s="131">
        <v>6316.19</v>
      </c>
      <c r="E25" s="131">
        <v>-1.41</v>
      </c>
      <c r="F25" s="131">
        <v>29.78</v>
      </c>
      <c r="G25" s="131">
        <v>60.87</v>
      </c>
      <c r="H25" s="131">
        <v>0.21</v>
      </c>
      <c r="I25" s="131">
        <v>2.92</v>
      </c>
      <c r="J25" s="131">
        <v>0.34</v>
      </c>
      <c r="K25" s="132">
        <v>36529</v>
      </c>
      <c r="L25" s="133" t="s">
        <v>458</v>
      </c>
      <c r="M25" s="109">
        <f t="shared" si="0"/>
        <v>4.7971085920814852E-2</v>
      </c>
    </row>
    <row r="26" spans="2:13" ht="17" customHeight="1">
      <c r="B26" s="131" t="s">
        <v>564</v>
      </c>
      <c r="C26" s="131" t="s">
        <v>565</v>
      </c>
      <c r="D26" s="131">
        <v>8411.6</v>
      </c>
      <c r="E26" s="131">
        <v>-1.41</v>
      </c>
      <c r="F26" s="131">
        <v>38.14</v>
      </c>
      <c r="G26" s="131">
        <v>61.06</v>
      </c>
      <c r="H26" s="131">
        <v>0.37</v>
      </c>
      <c r="I26" s="131">
        <v>2.99</v>
      </c>
      <c r="J26" s="131">
        <v>0.16</v>
      </c>
      <c r="K26" s="132">
        <v>39265</v>
      </c>
      <c r="L26" s="133" t="s">
        <v>458</v>
      </c>
      <c r="M26" s="109">
        <f t="shared" si="0"/>
        <v>4.8968227972486081E-2</v>
      </c>
    </row>
    <row r="27" spans="2:13" ht="17" customHeight="1">
      <c r="B27" s="131" t="s">
        <v>566</v>
      </c>
      <c r="C27" s="131" t="s">
        <v>567</v>
      </c>
      <c r="D27" s="131">
        <v>2405.67</v>
      </c>
      <c r="E27" s="131">
        <v>0.31</v>
      </c>
      <c r="F27" s="131">
        <v>38.950000000000003</v>
      </c>
      <c r="G27" s="131">
        <v>146.91999999999999</v>
      </c>
      <c r="H27" s="131">
        <v>0.82</v>
      </c>
      <c r="I27" s="131">
        <v>1.68</v>
      </c>
      <c r="J27" s="131">
        <v>0.13</v>
      </c>
      <c r="K27" s="132">
        <v>39265</v>
      </c>
      <c r="L27" s="133" t="s">
        <v>458</v>
      </c>
      <c r="M27" s="109">
        <f t="shared" si="0"/>
        <v>1.1434794445956985E-2</v>
      </c>
    </row>
    <row r="28" spans="2:13" ht="17" customHeight="1">
      <c r="B28" s="131" t="s">
        <v>568</v>
      </c>
      <c r="C28" s="131" t="s">
        <v>569</v>
      </c>
      <c r="D28" s="131">
        <v>6706.07</v>
      </c>
      <c r="E28" s="131">
        <v>0.23</v>
      </c>
      <c r="F28" s="131">
        <v>23.8</v>
      </c>
      <c r="G28" s="131">
        <v>21.7</v>
      </c>
      <c r="H28" s="131">
        <v>0.02</v>
      </c>
      <c r="I28" s="131">
        <v>2.58</v>
      </c>
      <c r="J28" s="131">
        <v>0.15</v>
      </c>
      <c r="K28" s="132">
        <v>36529</v>
      </c>
      <c r="L28" s="133" t="s">
        <v>458</v>
      </c>
      <c r="M28" s="109">
        <f t="shared" si="0"/>
        <v>0.11889400921658987</v>
      </c>
    </row>
    <row r="29" spans="2:13" ht="17" customHeight="1">
      <c r="B29" s="131" t="s">
        <v>570</v>
      </c>
      <c r="C29" s="131" t="s">
        <v>571</v>
      </c>
      <c r="D29" s="131">
        <v>5414.77</v>
      </c>
      <c r="E29" s="131">
        <v>0.31</v>
      </c>
      <c r="F29" s="131">
        <v>32.97</v>
      </c>
      <c r="G29" s="131">
        <v>79.45</v>
      </c>
      <c r="H29" s="131">
        <v>0.41</v>
      </c>
      <c r="I29" s="131">
        <v>7.34</v>
      </c>
      <c r="J29" s="131">
        <v>0.55000000000000004</v>
      </c>
      <c r="K29" s="132">
        <v>39265</v>
      </c>
      <c r="L29" s="133" t="s">
        <v>458</v>
      </c>
      <c r="M29" s="109">
        <f t="shared" si="0"/>
        <v>9.2385147891755823E-2</v>
      </c>
    </row>
    <row r="30" spans="2:13" ht="17" customHeight="1">
      <c r="B30" s="131" t="s">
        <v>572</v>
      </c>
      <c r="C30" s="131" t="s">
        <v>573</v>
      </c>
      <c r="D30" s="131">
        <v>5208.21</v>
      </c>
      <c r="E30" s="131">
        <v>-0.38</v>
      </c>
      <c r="F30" s="131">
        <v>27.82</v>
      </c>
      <c r="G30" s="131">
        <v>53.2</v>
      </c>
      <c r="H30" s="131">
        <v>0.54</v>
      </c>
      <c r="I30" s="131">
        <v>4.18</v>
      </c>
      <c r="J30" s="131">
        <v>0.52</v>
      </c>
      <c r="K30" s="132">
        <v>36529</v>
      </c>
      <c r="L30" s="133" t="s">
        <v>458</v>
      </c>
      <c r="M30" s="109">
        <f t="shared" si="0"/>
        <v>7.8571428571428556E-2</v>
      </c>
    </row>
    <row r="31" spans="2:13" ht="17" customHeight="1">
      <c r="B31" s="131" t="s">
        <v>574</v>
      </c>
      <c r="C31" s="131" t="s">
        <v>575</v>
      </c>
      <c r="D31" s="131">
        <v>6820.1</v>
      </c>
      <c r="E31" s="131">
        <v>0.93</v>
      </c>
      <c r="F31" s="131">
        <v>24.68</v>
      </c>
      <c r="G31" s="131">
        <v>16.45</v>
      </c>
      <c r="H31" s="131">
        <v>0.01</v>
      </c>
      <c r="I31" s="131">
        <v>1.95</v>
      </c>
      <c r="J31" s="131">
        <v>0.12</v>
      </c>
      <c r="K31" s="132">
        <v>36529</v>
      </c>
      <c r="L31" s="133" t="s">
        <v>458</v>
      </c>
      <c r="M31" s="109">
        <f t="shared" si="0"/>
        <v>0.11854103343465046</v>
      </c>
    </row>
    <row r="32" spans="2:13" ht="17" customHeight="1">
      <c r="B32" s="131" t="s">
        <v>576</v>
      </c>
      <c r="C32" s="131" t="s">
        <v>577</v>
      </c>
      <c r="D32" s="131">
        <v>7930.96</v>
      </c>
      <c r="E32" s="131">
        <v>-0.88</v>
      </c>
      <c r="F32" s="131">
        <v>28.17</v>
      </c>
      <c r="G32" s="131">
        <v>44.19</v>
      </c>
      <c r="H32" s="131">
        <v>0.36</v>
      </c>
      <c r="I32" s="131">
        <v>5.03</v>
      </c>
      <c r="J32" s="131">
        <v>0.45</v>
      </c>
      <c r="K32" s="132">
        <v>36529</v>
      </c>
      <c r="L32" s="133" t="s">
        <v>458</v>
      </c>
      <c r="M32" s="109">
        <f t="shared" si="0"/>
        <v>0.11382665761484499</v>
      </c>
    </row>
    <row r="33" spans="2:13" ht="17" customHeight="1">
      <c r="B33" s="131" t="s">
        <v>578</v>
      </c>
      <c r="C33" s="131" t="s">
        <v>579</v>
      </c>
      <c r="D33" s="131">
        <v>8730.81</v>
      </c>
      <c r="E33" s="131">
        <v>-0.05</v>
      </c>
      <c r="F33" s="131">
        <v>32.840000000000003</v>
      </c>
      <c r="G33" s="131">
        <v>31.3</v>
      </c>
      <c r="H33" s="131">
        <v>0.27</v>
      </c>
      <c r="I33" s="131">
        <v>3.21</v>
      </c>
      <c r="J33" s="131">
        <v>0.27</v>
      </c>
      <c r="K33" s="132">
        <v>36529</v>
      </c>
      <c r="L33" s="133" t="s">
        <v>458</v>
      </c>
      <c r="M33" s="109">
        <f t="shared" si="0"/>
        <v>0.10255591054313098</v>
      </c>
    </row>
    <row r="34" spans="2:13" ht="17" customHeight="1">
      <c r="B34" s="131" t="s">
        <v>580</v>
      </c>
      <c r="C34" s="131" t="s">
        <v>581</v>
      </c>
      <c r="D34" s="131">
        <v>3176.33</v>
      </c>
      <c r="E34" s="131">
        <v>0.33</v>
      </c>
      <c r="F34" s="131">
        <v>50.39</v>
      </c>
      <c r="G34" s="131">
        <v>26.5</v>
      </c>
      <c r="H34" s="131">
        <v>0.23</v>
      </c>
      <c r="I34" s="131">
        <v>2.5099999999999998</v>
      </c>
      <c r="J34" s="131">
        <v>0.48</v>
      </c>
      <c r="K34" s="132">
        <v>36529</v>
      </c>
      <c r="L34" s="133" t="s">
        <v>458</v>
      </c>
      <c r="M34" s="109">
        <f t="shared" ref="M34:M65" si="1">I34/G34</f>
        <v>9.4716981132075467E-2</v>
      </c>
    </row>
    <row r="35" spans="2:13" ht="17" customHeight="1">
      <c r="B35" s="131" t="s">
        <v>582</v>
      </c>
      <c r="C35" s="131" t="s">
        <v>583</v>
      </c>
      <c r="D35" s="131">
        <v>5265.12</v>
      </c>
      <c r="E35" s="131">
        <v>0.75</v>
      </c>
      <c r="F35" s="131">
        <v>29.71</v>
      </c>
      <c r="G35" s="131">
        <v>10.62</v>
      </c>
      <c r="H35" s="131">
        <v>0.04</v>
      </c>
      <c r="I35" s="131">
        <v>1.51</v>
      </c>
      <c r="J35" s="131">
        <v>7.0000000000000007E-2</v>
      </c>
      <c r="K35" s="132">
        <v>36529</v>
      </c>
      <c r="L35" s="133" t="s">
        <v>458</v>
      </c>
      <c r="M35" s="109">
        <f t="shared" si="1"/>
        <v>0.14218455743879474</v>
      </c>
    </row>
    <row r="36" spans="2:13" ht="17" customHeight="1">
      <c r="B36" s="131" t="s">
        <v>584</v>
      </c>
      <c r="C36" s="131" t="s">
        <v>585</v>
      </c>
      <c r="D36" s="131">
        <v>2194.31</v>
      </c>
      <c r="E36" s="131">
        <v>0.33</v>
      </c>
      <c r="F36" s="131">
        <v>47.23</v>
      </c>
      <c r="G36" s="131">
        <v>38.58</v>
      </c>
      <c r="H36" s="131">
        <v>0.24</v>
      </c>
      <c r="I36" s="131">
        <v>3.39</v>
      </c>
      <c r="J36" s="131">
        <v>0.43</v>
      </c>
      <c r="K36" s="132">
        <v>36529</v>
      </c>
      <c r="L36" s="133" t="s">
        <v>458</v>
      </c>
      <c r="M36" s="109">
        <f t="shared" si="1"/>
        <v>8.7869362363919137E-2</v>
      </c>
    </row>
    <row r="37" spans="2:13" ht="17" customHeight="1">
      <c r="B37" s="131" t="s">
        <v>586</v>
      </c>
      <c r="C37" s="131" t="s">
        <v>587</v>
      </c>
      <c r="D37" s="131">
        <v>2089.0500000000002</v>
      </c>
      <c r="E37" s="131">
        <v>0.89</v>
      </c>
      <c r="F37" s="131">
        <v>26.13</v>
      </c>
      <c r="G37" s="131">
        <v>28.29</v>
      </c>
      <c r="H37" s="131">
        <v>0.09</v>
      </c>
      <c r="I37" s="131">
        <v>2.4300000000000002</v>
      </c>
      <c r="J37" s="131">
        <v>0.28999999999999998</v>
      </c>
      <c r="K37" s="132">
        <v>36529</v>
      </c>
      <c r="L37" s="133" t="s">
        <v>458</v>
      </c>
      <c r="M37" s="109">
        <f t="shared" si="1"/>
        <v>8.5896076352067877E-2</v>
      </c>
    </row>
    <row r="38" spans="2:13" ht="17" customHeight="1">
      <c r="B38" s="131" t="s">
        <v>588</v>
      </c>
      <c r="C38" s="131" t="s">
        <v>589</v>
      </c>
      <c r="D38" s="131">
        <v>5778.81</v>
      </c>
      <c r="E38" s="131">
        <v>0.65</v>
      </c>
      <c r="F38" s="131">
        <v>19.440000000000001</v>
      </c>
      <c r="G38" s="131">
        <v>25.88</v>
      </c>
      <c r="H38" s="131">
        <v>0.19</v>
      </c>
      <c r="I38" s="131">
        <v>3.13</v>
      </c>
      <c r="J38" s="131">
        <v>0.32</v>
      </c>
      <c r="K38" s="132">
        <v>36529</v>
      </c>
      <c r="L38" s="133" t="s">
        <v>458</v>
      </c>
      <c r="M38" s="109">
        <f t="shared" si="1"/>
        <v>0.12094281298299846</v>
      </c>
    </row>
    <row r="39" spans="2:13" ht="17" customHeight="1">
      <c r="B39" s="131" t="s">
        <v>590</v>
      </c>
      <c r="C39" s="131" t="s">
        <v>591</v>
      </c>
      <c r="D39" s="131">
        <v>1620.3</v>
      </c>
      <c r="E39" s="131">
        <v>-0.84</v>
      </c>
      <c r="F39" s="131">
        <v>40.6</v>
      </c>
      <c r="G39" s="131">
        <v>83.48</v>
      </c>
      <c r="H39" s="131">
        <v>0.51</v>
      </c>
      <c r="I39" s="131">
        <v>2.89</v>
      </c>
      <c r="J39" s="131">
        <v>0.38</v>
      </c>
      <c r="K39" s="132">
        <v>36529</v>
      </c>
      <c r="L39" s="133" t="s">
        <v>458</v>
      </c>
      <c r="M39" s="109">
        <f t="shared" si="1"/>
        <v>3.461907043603258E-2</v>
      </c>
    </row>
    <row r="40" spans="2:13" ht="17" customHeight="1">
      <c r="B40" s="131" t="s">
        <v>592</v>
      </c>
      <c r="C40" s="131" t="s">
        <v>593</v>
      </c>
      <c r="D40" s="131">
        <v>1119.33</v>
      </c>
      <c r="E40" s="131">
        <v>0.57999999999999996</v>
      </c>
      <c r="F40" s="131">
        <v>24.65</v>
      </c>
      <c r="G40" s="131">
        <v>37.35</v>
      </c>
      <c r="H40" s="131">
        <v>0.18</v>
      </c>
      <c r="I40" s="131">
        <v>1.9</v>
      </c>
      <c r="J40" s="131">
        <v>0.15</v>
      </c>
      <c r="K40" s="132">
        <v>36529</v>
      </c>
      <c r="L40" s="133" t="s">
        <v>458</v>
      </c>
      <c r="M40" s="109">
        <f t="shared" si="1"/>
        <v>5.0870147255689419E-2</v>
      </c>
    </row>
    <row r="41" spans="2:13" ht="17" customHeight="1">
      <c r="B41" s="131" t="s">
        <v>594</v>
      </c>
      <c r="C41" s="131" t="s">
        <v>595</v>
      </c>
      <c r="D41" s="131">
        <v>4497.22</v>
      </c>
      <c r="E41" s="131">
        <v>-4.38</v>
      </c>
      <c r="F41" s="131">
        <v>57.2</v>
      </c>
      <c r="G41" s="131">
        <v>42.95</v>
      </c>
      <c r="H41" s="131">
        <v>0.39</v>
      </c>
      <c r="I41" s="131">
        <v>5.37</v>
      </c>
      <c r="J41" s="131">
        <v>0.92</v>
      </c>
      <c r="K41" s="132">
        <v>36529</v>
      </c>
      <c r="L41" s="133" t="s">
        <v>458</v>
      </c>
      <c r="M41" s="109">
        <f t="shared" si="1"/>
        <v>0.1250291036088475</v>
      </c>
    </row>
    <row r="42" spans="2:13" ht="17" customHeight="1">
      <c r="B42" s="131" t="s">
        <v>596</v>
      </c>
      <c r="C42" s="131" t="s">
        <v>597</v>
      </c>
      <c r="D42" s="131">
        <v>2285.19</v>
      </c>
      <c r="E42" s="131">
        <v>1.05</v>
      </c>
      <c r="F42" s="131">
        <v>20.93</v>
      </c>
      <c r="G42" s="131">
        <v>40.299999999999997</v>
      </c>
      <c r="H42" s="131">
        <v>0.18</v>
      </c>
      <c r="I42" s="131">
        <v>2.37</v>
      </c>
      <c r="J42" s="131">
        <v>0.19</v>
      </c>
      <c r="K42" s="132">
        <v>36529</v>
      </c>
      <c r="L42" s="133" t="s">
        <v>458</v>
      </c>
      <c r="M42" s="109">
        <f t="shared" si="1"/>
        <v>5.8808933002481398E-2</v>
      </c>
    </row>
    <row r="43" spans="2:13" ht="17" customHeight="1">
      <c r="B43" s="131" t="s">
        <v>598</v>
      </c>
      <c r="C43" s="131" t="s">
        <v>599</v>
      </c>
      <c r="D43" s="131">
        <v>4956.5200000000004</v>
      </c>
      <c r="E43" s="131">
        <v>-3.73</v>
      </c>
      <c r="F43" s="131">
        <v>67.64</v>
      </c>
      <c r="G43" s="131">
        <v>35.04</v>
      </c>
      <c r="H43" s="131">
        <v>0.43</v>
      </c>
      <c r="I43" s="131">
        <v>3.5</v>
      </c>
      <c r="J43" s="131">
        <v>0.56000000000000005</v>
      </c>
      <c r="K43" s="132">
        <v>36529</v>
      </c>
      <c r="L43" s="133" t="s">
        <v>458</v>
      </c>
      <c r="M43" s="109">
        <f t="shared" si="1"/>
        <v>9.9885844748858449E-2</v>
      </c>
    </row>
    <row r="44" spans="2:13" ht="17" customHeight="1">
      <c r="B44" s="131" t="s">
        <v>600</v>
      </c>
      <c r="C44" s="131" t="s">
        <v>601</v>
      </c>
      <c r="D44" s="131">
        <v>864.3</v>
      </c>
      <c r="E44" s="131">
        <v>-0.24</v>
      </c>
      <c r="F44" s="131">
        <v>27.3</v>
      </c>
      <c r="G44" s="131">
        <v>15.89</v>
      </c>
      <c r="H44" s="131">
        <v>0.08</v>
      </c>
      <c r="I44" s="131">
        <v>1.66</v>
      </c>
      <c r="J44" s="131">
        <v>0.06</v>
      </c>
      <c r="K44" s="132">
        <v>39265</v>
      </c>
      <c r="L44" s="133" t="s">
        <v>458</v>
      </c>
      <c r="M44" s="109">
        <f t="shared" si="1"/>
        <v>0.10446821900566393</v>
      </c>
    </row>
    <row r="45" spans="2:13" ht="17" customHeight="1">
      <c r="B45" s="131" t="s">
        <v>602</v>
      </c>
      <c r="C45" s="131" t="s">
        <v>603</v>
      </c>
      <c r="D45" s="131">
        <v>4363.21</v>
      </c>
      <c r="E45" s="131">
        <v>0.18</v>
      </c>
      <c r="F45" s="131">
        <v>32.9</v>
      </c>
      <c r="G45" s="131">
        <v>17.2</v>
      </c>
      <c r="H45" s="131">
        <v>0.17</v>
      </c>
      <c r="I45" s="131">
        <v>1.33</v>
      </c>
      <c r="J45" s="131">
        <v>0.04</v>
      </c>
      <c r="K45" s="132">
        <v>36529</v>
      </c>
      <c r="L45" s="133" t="s">
        <v>458</v>
      </c>
      <c r="M45" s="109">
        <f t="shared" si="1"/>
        <v>7.7325581395348841E-2</v>
      </c>
    </row>
    <row r="46" spans="2:13" ht="17" customHeight="1">
      <c r="B46" s="131" t="s">
        <v>604</v>
      </c>
      <c r="C46" s="131" t="s">
        <v>605</v>
      </c>
      <c r="D46" s="131">
        <v>1237.93</v>
      </c>
      <c r="E46" s="131">
        <v>-0.67</v>
      </c>
      <c r="F46" s="131">
        <v>51.3</v>
      </c>
      <c r="G46" s="131">
        <v>15.4</v>
      </c>
      <c r="H46" s="131">
        <v>0.04</v>
      </c>
      <c r="I46" s="131">
        <v>1.73</v>
      </c>
      <c r="J46" s="131">
        <v>0.44</v>
      </c>
      <c r="K46" s="132">
        <v>36529</v>
      </c>
      <c r="L46" s="133" t="s">
        <v>458</v>
      </c>
      <c r="M46" s="109">
        <f t="shared" si="1"/>
        <v>0.11233766233766233</v>
      </c>
    </row>
    <row r="47" spans="2:13" ht="17" customHeight="1">
      <c r="B47" s="131" t="s">
        <v>606</v>
      </c>
      <c r="C47" s="131" t="s">
        <v>607</v>
      </c>
      <c r="D47" s="131">
        <v>14166.1</v>
      </c>
      <c r="E47" s="131">
        <v>-1.02</v>
      </c>
      <c r="F47" s="131">
        <v>30.63</v>
      </c>
      <c r="G47" s="131">
        <v>13.78</v>
      </c>
      <c r="H47" s="131">
        <v>0.21</v>
      </c>
      <c r="I47" s="131">
        <v>3.3</v>
      </c>
      <c r="J47" s="131">
        <v>0.56999999999999995</v>
      </c>
      <c r="K47" s="132">
        <v>36529</v>
      </c>
      <c r="L47" s="133" t="s">
        <v>458</v>
      </c>
      <c r="M47" s="109">
        <f t="shared" si="1"/>
        <v>0.23947750362844702</v>
      </c>
    </row>
    <row r="48" spans="2:13" ht="17" customHeight="1">
      <c r="B48" s="131" t="s">
        <v>608</v>
      </c>
      <c r="C48" s="131" t="s">
        <v>609</v>
      </c>
      <c r="D48" s="131">
        <v>4733.46</v>
      </c>
      <c r="E48" s="131">
        <v>-0.18</v>
      </c>
      <c r="F48" s="131">
        <v>11.97</v>
      </c>
      <c r="G48" s="131">
        <v>15.09</v>
      </c>
      <c r="H48" s="131">
        <v>0.39</v>
      </c>
      <c r="I48" s="131">
        <v>1.47</v>
      </c>
      <c r="J48" s="131">
        <v>0.1</v>
      </c>
      <c r="K48" s="132">
        <v>36529</v>
      </c>
      <c r="L48" s="133" t="s">
        <v>458</v>
      </c>
      <c r="M48" s="109">
        <f t="shared" si="1"/>
        <v>9.7415506958250492E-2</v>
      </c>
    </row>
    <row r="49" spans="2:13" ht="17" customHeight="1">
      <c r="B49" s="131" t="s">
        <v>610</v>
      </c>
      <c r="C49" s="131" t="s">
        <v>611</v>
      </c>
      <c r="D49" s="131">
        <v>4718.29</v>
      </c>
      <c r="E49" s="131">
        <v>0.21</v>
      </c>
      <c r="F49" s="131">
        <v>25.29</v>
      </c>
      <c r="G49" s="131">
        <v>16.12</v>
      </c>
      <c r="H49" s="131">
        <v>0.13</v>
      </c>
      <c r="I49" s="131">
        <v>1.9</v>
      </c>
      <c r="J49" s="131">
        <v>0.16</v>
      </c>
      <c r="K49" s="132">
        <v>36529</v>
      </c>
      <c r="L49" s="133" t="s">
        <v>458</v>
      </c>
      <c r="M49" s="109">
        <f t="shared" si="1"/>
        <v>0.11786600496277914</v>
      </c>
    </row>
    <row r="50" spans="2:13" ht="17" customHeight="1">
      <c r="B50" s="131" t="s">
        <v>612</v>
      </c>
      <c r="C50" s="131" t="s">
        <v>613</v>
      </c>
      <c r="D50" s="131">
        <v>1058.24</v>
      </c>
      <c r="E50" s="131">
        <v>0.27</v>
      </c>
      <c r="F50" s="131">
        <v>34.26</v>
      </c>
      <c r="G50" s="131">
        <v>26.64</v>
      </c>
      <c r="H50" s="131">
        <v>0.11</v>
      </c>
      <c r="I50" s="131">
        <v>1.63</v>
      </c>
      <c r="J50" s="131">
        <v>0.1</v>
      </c>
      <c r="K50" s="132">
        <v>36529</v>
      </c>
      <c r="L50" s="133" t="s">
        <v>458</v>
      </c>
      <c r="M50" s="109">
        <f t="shared" si="1"/>
        <v>6.1186186186186181E-2</v>
      </c>
    </row>
    <row r="51" spans="2:13" ht="17" customHeight="1">
      <c r="B51" s="131" t="s">
        <v>614</v>
      </c>
      <c r="C51" s="131" t="s">
        <v>615</v>
      </c>
      <c r="D51" s="131">
        <v>2093.08</v>
      </c>
      <c r="E51" s="131">
        <v>-0.35</v>
      </c>
      <c r="F51" s="131">
        <v>21.41</v>
      </c>
      <c r="G51" s="131">
        <v>27.38</v>
      </c>
      <c r="H51" s="131">
        <v>0.47</v>
      </c>
      <c r="I51" s="131">
        <v>2.16</v>
      </c>
      <c r="J51" s="131">
        <v>0.3</v>
      </c>
      <c r="K51" s="132">
        <v>36529</v>
      </c>
      <c r="L51" s="133" t="s">
        <v>458</v>
      </c>
      <c r="M51" s="109">
        <f t="shared" si="1"/>
        <v>7.8889700511322144E-2</v>
      </c>
    </row>
    <row r="52" spans="2:13" ht="17" customHeight="1">
      <c r="B52" s="131" t="s">
        <v>616</v>
      </c>
      <c r="C52" s="131" t="s">
        <v>617</v>
      </c>
      <c r="D52" s="131">
        <v>2382.98</v>
      </c>
      <c r="E52" s="131">
        <v>0.7</v>
      </c>
      <c r="F52" s="131">
        <v>24.71</v>
      </c>
      <c r="G52" s="131">
        <v>19.559999999999999</v>
      </c>
      <c r="H52" s="131">
        <v>0.03</v>
      </c>
      <c r="I52" s="131">
        <v>1.59</v>
      </c>
      <c r="J52" s="131">
        <v>0.11</v>
      </c>
      <c r="K52" s="132">
        <v>36529</v>
      </c>
      <c r="L52" s="133" t="s">
        <v>458</v>
      </c>
      <c r="M52" s="109">
        <f t="shared" si="1"/>
        <v>8.1288343558282211E-2</v>
      </c>
    </row>
    <row r="53" spans="2:13" ht="17" customHeight="1">
      <c r="B53" s="131" t="s">
        <v>618</v>
      </c>
      <c r="C53" s="131" t="s">
        <v>619</v>
      </c>
      <c r="D53" s="131">
        <v>15155.17</v>
      </c>
      <c r="E53" s="131">
        <v>0.23</v>
      </c>
      <c r="F53" s="131">
        <v>41.7</v>
      </c>
      <c r="G53" s="131">
        <v>28.24</v>
      </c>
      <c r="H53" s="131">
        <v>0.3</v>
      </c>
      <c r="I53" s="131">
        <v>5.56</v>
      </c>
      <c r="J53" s="131">
        <v>0.67</v>
      </c>
      <c r="K53" s="132">
        <v>36529</v>
      </c>
      <c r="L53" s="133" t="s">
        <v>458</v>
      </c>
      <c r="M53" s="109">
        <f t="shared" si="1"/>
        <v>0.19688385269121814</v>
      </c>
    </row>
    <row r="54" spans="2:13" ht="17" customHeight="1">
      <c r="B54" s="131" t="s">
        <v>620</v>
      </c>
      <c r="C54" s="131" t="s">
        <v>621</v>
      </c>
      <c r="D54" s="131" t="s">
        <v>622</v>
      </c>
      <c r="E54" s="131" t="s">
        <v>622</v>
      </c>
      <c r="F54" s="131" t="s">
        <v>622</v>
      </c>
      <c r="G54" s="131">
        <v>50.65</v>
      </c>
      <c r="H54" s="131">
        <v>0.76</v>
      </c>
      <c r="I54" s="131">
        <v>2.13</v>
      </c>
      <c r="J54" s="131">
        <v>0.27</v>
      </c>
      <c r="K54" s="132">
        <v>36529</v>
      </c>
      <c r="L54" s="133" t="s">
        <v>458</v>
      </c>
      <c r="M54" s="109">
        <f t="shared" si="1"/>
        <v>4.2053307008884502E-2</v>
      </c>
    </row>
    <row r="55" spans="2:13" ht="17" customHeight="1">
      <c r="B55" s="131" t="s">
        <v>623</v>
      </c>
      <c r="C55" s="131" t="s">
        <v>624</v>
      </c>
      <c r="D55" s="131">
        <v>4121.5200000000004</v>
      </c>
      <c r="E55" s="131">
        <v>0.25</v>
      </c>
      <c r="F55" s="131">
        <v>23.69</v>
      </c>
      <c r="G55" s="131">
        <v>20.87</v>
      </c>
      <c r="H55" s="131">
        <v>0.16</v>
      </c>
      <c r="I55" s="131">
        <v>1.83</v>
      </c>
      <c r="J55" s="131">
        <v>0.1</v>
      </c>
      <c r="K55" s="132">
        <v>36529</v>
      </c>
      <c r="L55" s="133" t="s">
        <v>458</v>
      </c>
      <c r="M55" s="109">
        <f t="shared" si="1"/>
        <v>8.7685673215141355E-2</v>
      </c>
    </row>
    <row r="56" spans="2:13" ht="17" customHeight="1">
      <c r="B56" s="131" t="s">
        <v>625</v>
      </c>
      <c r="C56" s="131" t="s">
        <v>626</v>
      </c>
      <c r="D56" s="131">
        <v>14055.3</v>
      </c>
      <c r="E56" s="131">
        <v>0.17</v>
      </c>
      <c r="F56" s="131">
        <v>21.66</v>
      </c>
      <c r="G56" s="131">
        <v>28.34</v>
      </c>
      <c r="H56" s="131">
        <v>0.2</v>
      </c>
      <c r="I56" s="131">
        <v>4.5199999999999996</v>
      </c>
      <c r="J56" s="131">
        <v>0.53</v>
      </c>
      <c r="K56" s="132">
        <v>36529</v>
      </c>
      <c r="L56" s="133" t="s">
        <v>458</v>
      </c>
      <c r="M56" s="109">
        <f t="shared" si="1"/>
        <v>0.15949188426252645</v>
      </c>
    </row>
    <row r="57" spans="2:13" ht="17" customHeight="1">
      <c r="B57" s="131" t="s">
        <v>627</v>
      </c>
      <c r="C57" s="131" t="s">
        <v>628</v>
      </c>
      <c r="D57" s="131">
        <v>7769.53</v>
      </c>
      <c r="E57" s="131">
        <v>0.76</v>
      </c>
      <c r="F57" s="131">
        <v>25.12</v>
      </c>
      <c r="G57" s="131">
        <v>18.12</v>
      </c>
      <c r="H57" s="131">
        <v>0.05</v>
      </c>
      <c r="I57" s="131">
        <v>1.91</v>
      </c>
      <c r="J57" s="131">
        <v>0.04</v>
      </c>
      <c r="K57" s="132">
        <v>40147</v>
      </c>
      <c r="L57" s="133" t="s">
        <v>458</v>
      </c>
      <c r="M57" s="109">
        <f t="shared" si="1"/>
        <v>0.10540838852097129</v>
      </c>
    </row>
    <row r="58" spans="2:13" ht="17" customHeight="1">
      <c r="B58" s="131" t="s">
        <v>629</v>
      </c>
      <c r="C58" s="131" t="s">
        <v>630</v>
      </c>
      <c r="D58" s="131">
        <v>1795.17</v>
      </c>
      <c r="E58" s="131">
        <v>0.62</v>
      </c>
      <c r="F58" s="131">
        <v>28.43</v>
      </c>
      <c r="G58" s="131">
        <v>14.42</v>
      </c>
      <c r="H58" s="131">
        <v>0.06</v>
      </c>
      <c r="I58" s="131">
        <v>1.35</v>
      </c>
      <c r="J58" s="131">
        <v>0.06</v>
      </c>
      <c r="K58" s="132">
        <v>40826</v>
      </c>
      <c r="L58" s="133" t="s">
        <v>458</v>
      </c>
      <c r="M58" s="109">
        <f t="shared" si="1"/>
        <v>9.361997226074896E-2</v>
      </c>
    </row>
    <row r="59" spans="2:13" ht="17" customHeight="1">
      <c r="B59" s="131" t="s">
        <v>631</v>
      </c>
      <c r="C59" s="131" t="s">
        <v>632</v>
      </c>
      <c r="D59" s="131">
        <v>2746.13</v>
      </c>
      <c r="E59" s="131">
        <v>-0.01</v>
      </c>
      <c r="F59" s="131">
        <v>16.899999999999999</v>
      </c>
      <c r="G59" s="131">
        <v>11.09</v>
      </c>
      <c r="H59" s="131">
        <v>0.32</v>
      </c>
      <c r="I59" s="131">
        <v>1.17</v>
      </c>
      <c r="J59" s="131">
        <v>0.3</v>
      </c>
      <c r="K59" s="132">
        <v>40826</v>
      </c>
      <c r="L59" s="133" t="s">
        <v>458</v>
      </c>
      <c r="M59" s="109">
        <f t="shared" si="1"/>
        <v>0.10550045085662758</v>
      </c>
    </row>
    <row r="60" spans="2:13" ht="17" customHeight="1">
      <c r="B60" s="131" t="s">
        <v>633</v>
      </c>
      <c r="C60" s="131" t="s">
        <v>634</v>
      </c>
      <c r="D60" s="131">
        <v>6876.71</v>
      </c>
      <c r="E60" s="131">
        <v>1.98</v>
      </c>
      <c r="F60" s="131">
        <v>30.55</v>
      </c>
      <c r="G60" s="131">
        <v>9.4</v>
      </c>
      <c r="H60" s="131">
        <v>0.02</v>
      </c>
      <c r="I60" s="131">
        <v>1.69</v>
      </c>
      <c r="J60" s="131">
        <v>0.28000000000000003</v>
      </c>
      <c r="K60" s="132">
        <v>36529</v>
      </c>
      <c r="L60" s="133" t="s">
        <v>458</v>
      </c>
      <c r="M60" s="109">
        <f t="shared" si="1"/>
        <v>0.17978723404255317</v>
      </c>
    </row>
    <row r="61" spans="2:13" ht="17" customHeight="1">
      <c r="B61" s="131" t="s">
        <v>635</v>
      </c>
      <c r="C61" s="131" t="s">
        <v>636</v>
      </c>
      <c r="D61" s="131">
        <v>4877.58</v>
      </c>
      <c r="E61" s="131">
        <v>0.6</v>
      </c>
      <c r="F61" s="131">
        <v>37.14</v>
      </c>
      <c r="G61" s="131">
        <v>21.71</v>
      </c>
      <c r="H61" s="131">
        <v>0.16</v>
      </c>
      <c r="I61" s="131">
        <v>1.8</v>
      </c>
      <c r="J61" s="131">
        <v>0.05</v>
      </c>
      <c r="K61" s="132">
        <v>36529</v>
      </c>
      <c r="L61" s="133" t="s">
        <v>458</v>
      </c>
      <c r="M61" s="109">
        <f t="shared" si="1"/>
        <v>8.2911100875172727E-2</v>
      </c>
    </row>
    <row r="62" spans="2:13" ht="17" customHeight="1">
      <c r="B62" s="131" t="s">
        <v>637</v>
      </c>
      <c r="C62" s="131" t="s">
        <v>638</v>
      </c>
      <c r="D62" s="131">
        <v>5311.94</v>
      </c>
      <c r="E62" s="131">
        <v>1.1000000000000001</v>
      </c>
      <c r="F62" s="131">
        <v>36.11</v>
      </c>
      <c r="G62" s="131">
        <v>25.17</v>
      </c>
      <c r="H62" s="131">
        <v>0.14000000000000001</v>
      </c>
      <c r="I62" s="131">
        <v>2.67</v>
      </c>
      <c r="J62" s="131">
        <v>0.32</v>
      </c>
      <c r="K62" s="132">
        <v>36529</v>
      </c>
      <c r="L62" s="133" t="s">
        <v>458</v>
      </c>
      <c r="M62" s="109">
        <f t="shared" si="1"/>
        <v>0.10607866507747317</v>
      </c>
    </row>
    <row r="63" spans="2:13" ht="17" customHeight="1">
      <c r="B63" s="131" t="s">
        <v>639</v>
      </c>
      <c r="C63" s="131" t="s">
        <v>640</v>
      </c>
      <c r="D63" s="131">
        <v>3953.41</v>
      </c>
      <c r="E63" s="131">
        <v>-0.44</v>
      </c>
      <c r="F63" s="131">
        <v>15.67</v>
      </c>
      <c r="G63" s="131">
        <v>9.57</v>
      </c>
      <c r="H63" s="131">
        <v>0.73</v>
      </c>
      <c r="I63" s="131">
        <v>1.26</v>
      </c>
      <c r="J63" s="131">
        <v>0.63</v>
      </c>
      <c r="K63" s="132">
        <v>40826</v>
      </c>
      <c r="L63" s="133" t="s">
        <v>458</v>
      </c>
      <c r="M63" s="109">
        <f t="shared" si="1"/>
        <v>0.13166144200626959</v>
      </c>
    </row>
    <row r="64" spans="2:13" ht="17" customHeight="1">
      <c r="B64" s="131" t="s">
        <v>641</v>
      </c>
      <c r="C64" s="131" t="s">
        <v>642</v>
      </c>
      <c r="D64" s="131">
        <v>5806.86</v>
      </c>
      <c r="E64" s="131">
        <v>0.31</v>
      </c>
      <c r="F64" s="131">
        <v>36.29</v>
      </c>
      <c r="G64" s="131">
        <v>30.09</v>
      </c>
      <c r="H64" s="131">
        <v>0.44</v>
      </c>
      <c r="I64" s="131">
        <v>2.0299999999999998</v>
      </c>
      <c r="J64" s="131">
        <v>0.19</v>
      </c>
      <c r="K64" s="132">
        <v>36529</v>
      </c>
      <c r="L64" s="133" t="s">
        <v>458</v>
      </c>
      <c r="M64" s="109">
        <f t="shared" si="1"/>
        <v>6.7464273845131262E-2</v>
      </c>
    </row>
    <row r="65" spans="2:13" ht="17" customHeight="1">
      <c r="B65" s="131" t="s">
        <v>643</v>
      </c>
      <c r="C65" s="131" t="s">
        <v>644</v>
      </c>
      <c r="D65" s="131">
        <v>3921.81</v>
      </c>
      <c r="E65" s="131">
        <v>0.37</v>
      </c>
      <c r="F65" s="131">
        <v>36.770000000000003</v>
      </c>
      <c r="G65" s="131">
        <v>39.42</v>
      </c>
      <c r="H65" s="131">
        <v>0.34</v>
      </c>
      <c r="I65" s="131">
        <v>2.58</v>
      </c>
      <c r="J65" s="131">
        <v>0.3</v>
      </c>
      <c r="K65" s="132">
        <v>36529</v>
      </c>
      <c r="L65" s="133" t="s">
        <v>458</v>
      </c>
      <c r="M65" s="109">
        <f t="shared" si="1"/>
        <v>6.5449010654490103E-2</v>
      </c>
    </row>
    <row r="66" spans="2:13" ht="17" customHeight="1">
      <c r="B66" s="131" t="s">
        <v>645</v>
      </c>
      <c r="C66" s="131" t="s">
        <v>646</v>
      </c>
      <c r="D66" s="131">
        <v>7447.38</v>
      </c>
      <c r="E66" s="131">
        <v>-1</v>
      </c>
      <c r="F66" s="131">
        <v>25.74</v>
      </c>
      <c r="G66" s="131">
        <v>20.16</v>
      </c>
      <c r="H66" s="131">
        <v>0.08</v>
      </c>
      <c r="I66" s="131">
        <v>1.99</v>
      </c>
      <c r="J66" s="131">
        <v>0.05</v>
      </c>
      <c r="K66" s="132">
        <v>39042</v>
      </c>
      <c r="L66" s="133" t="s">
        <v>458</v>
      </c>
      <c r="M66" s="109">
        <f t="shared" ref="M66:M97" si="2">I66/G66</f>
        <v>9.8710317460317457E-2</v>
      </c>
    </row>
    <row r="67" spans="2:13" ht="17" customHeight="1">
      <c r="B67" s="131" t="s">
        <v>647</v>
      </c>
      <c r="C67" s="131" t="s">
        <v>648</v>
      </c>
      <c r="D67" s="131" t="s">
        <v>622</v>
      </c>
      <c r="E67" s="131">
        <v>0</v>
      </c>
      <c r="F67" s="131">
        <v>0</v>
      </c>
      <c r="G67" s="131">
        <v>38.270000000000003</v>
      </c>
      <c r="H67" s="131">
        <v>0.35</v>
      </c>
      <c r="I67" s="131">
        <v>2.3199999999999998</v>
      </c>
      <c r="J67" s="131">
        <v>0.37</v>
      </c>
      <c r="K67" s="132">
        <v>42901</v>
      </c>
      <c r="L67" s="133" t="s">
        <v>458</v>
      </c>
      <c r="M67" s="109">
        <f t="shared" si="2"/>
        <v>6.0621897047295523E-2</v>
      </c>
    </row>
    <row r="68" spans="2:13" ht="17" customHeight="1">
      <c r="B68" s="131" t="s">
        <v>649</v>
      </c>
      <c r="C68" s="131" t="s">
        <v>650</v>
      </c>
      <c r="D68" s="131">
        <v>5703.36</v>
      </c>
      <c r="E68" s="131">
        <v>1.33</v>
      </c>
      <c r="F68" s="131">
        <v>12.28</v>
      </c>
      <c r="G68" s="131">
        <v>30.25</v>
      </c>
      <c r="H68" s="131">
        <v>7.0000000000000007E-2</v>
      </c>
      <c r="I68" s="131">
        <v>4.09</v>
      </c>
      <c r="J68" s="131">
        <v>0.55000000000000004</v>
      </c>
      <c r="K68" s="132">
        <v>36529</v>
      </c>
      <c r="L68" s="133" t="s">
        <v>458</v>
      </c>
      <c r="M68" s="109">
        <f t="shared" si="2"/>
        <v>0.13520661157024794</v>
      </c>
    </row>
    <row r="69" spans="2:13" ht="17" customHeight="1">
      <c r="B69" s="131" t="s">
        <v>651</v>
      </c>
      <c r="C69" s="131" t="s">
        <v>652</v>
      </c>
      <c r="D69" s="131">
        <v>8208.0300000000007</v>
      </c>
      <c r="E69" s="131">
        <v>1.38</v>
      </c>
      <c r="F69" s="131">
        <v>15.91</v>
      </c>
      <c r="G69" s="131">
        <v>25.21</v>
      </c>
      <c r="H69" s="131">
        <v>0.05</v>
      </c>
      <c r="I69" s="131">
        <v>2.5299999999999998</v>
      </c>
      <c r="J69" s="131">
        <v>0.02</v>
      </c>
      <c r="K69" s="132">
        <v>36529</v>
      </c>
      <c r="L69" s="133" t="s">
        <v>458</v>
      </c>
      <c r="M69" s="109">
        <f t="shared" si="2"/>
        <v>0.10035700119000396</v>
      </c>
    </row>
    <row r="70" spans="2:13" ht="17" customHeight="1">
      <c r="B70" s="131" t="s">
        <v>653</v>
      </c>
      <c r="C70" s="131" t="s">
        <v>654</v>
      </c>
      <c r="D70" s="131">
        <v>3467.43</v>
      </c>
      <c r="E70" s="131">
        <v>0.33</v>
      </c>
      <c r="F70" s="131">
        <v>28.53</v>
      </c>
      <c r="G70" s="131">
        <v>28.25</v>
      </c>
      <c r="H70" s="131">
        <v>0.06</v>
      </c>
      <c r="I70" s="131">
        <v>2.19</v>
      </c>
      <c r="J70" s="131">
        <v>0.14000000000000001</v>
      </c>
      <c r="K70" s="132">
        <v>36529</v>
      </c>
      <c r="L70" s="133" t="s">
        <v>458</v>
      </c>
      <c r="M70" s="109">
        <f t="shared" si="2"/>
        <v>7.7522123893805306E-2</v>
      </c>
    </row>
    <row r="71" spans="2:13" ht="17" customHeight="1">
      <c r="B71" s="131" t="s">
        <v>655</v>
      </c>
      <c r="C71" s="131" t="s">
        <v>656</v>
      </c>
      <c r="D71" s="131">
        <v>994.71</v>
      </c>
      <c r="E71" s="131">
        <v>3.62</v>
      </c>
      <c r="F71" s="131">
        <v>24.97</v>
      </c>
      <c r="G71" s="131">
        <v>82.59</v>
      </c>
      <c r="H71" s="131">
        <v>0.51</v>
      </c>
      <c r="I71" s="131">
        <v>4.82</v>
      </c>
      <c r="J71" s="131">
        <v>0.49</v>
      </c>
      <c r="K71" s="132">
        <v>36529</v>
      </c>
      <c r="L71" s="133" t="s">
        <v>458</v>
      </c>
      <c r="M71" s="109">
        <f t="shared" si="2"/>
        <v>5.8360576340961375E-2</v>
      </c>
    </row>
    <row r="72" spans="2:13" ht="17" customHeight="1">
      <c r="B72" s="131" t="s">
        <v>657</v>
      </c>
      <c r="C72" s="131" t="s">
        <v>658</v>
      </c>
      <c r="D72" s="131">
        <v>1523.05</v>
      </c>
      <c r="E72" s="131">
        <v>1.26</v>
      </c>
      <c r="F72" s="131">
        <v>23.81</v>
      </c>
      <c r="G72" s="131">
        <v>21.79</v>
      </c>
      <c r="H72" s="131">
        <v>0.1</v>
      </c>
      <c r="I72" s="131">
        <v>1.9</v>
      </c>
      <c r="J72" s="131">
        <v>7.0000000000000007E-2</v>
      </c>
      <c r="K72" s="132">
        <v>36529</v>
      </c>
      <c r="L72" s="133" t="s">
        <v>458</v>
      </c>
      <c r="M72" s="109">
        <f t="shared" si="2"/>
        <v>8.7195961450206513E-2</v>
      </c>
    </row>
    <row r="73" spans="2:13" ht="17" customHeight="1">
      <c r="B73" s="131" t="s">
        <v>659</v>
      </c>
      <c r="C73" s="131" t="s">
        <v>660</v>
      </c>
      <c r="D73" s="131">
        <v>3176.43</v>
      </c>
      <c r="E73" s="131">
        <v>0.28999999999999998</v>
      </c>
      <c r="F73" s="131">
        <v>21.45</v>
      </c>
      <c r="G73" s="131">
        <v>22.76</v>
      </c>
      <c r="H73" s="131">
        <v>0.1</v>
      </c>
      <c r="I73" s="131">
        <v>1.57</v>
      </c>
      <c r="J73" s="131">
        <v>0.03</v>
      </c>
      <c r="K73" s="132">
        <v>36529</v>
      </c>
      <c r="L73" s="133" t="s">
        <v>458</v>
      </c>
      <c r="M73" s="109">
        <f t="shared" si="2"/>
        <v>6.8980667838312831E-2</v>
      </c>
    </row>
    <row r="74" spans="2:13" ht="17" customHeight="1">
      <c r="B74" s="131" t="s">
        <v>661</v>
      </c>
      <c r="C74" s="131" t="s">
        <v>662</v>
      </c>
      <c r="D74" s="131">
        <v>3698.34</v>
      </c>
      <c r="E74" s="131">
        <v>-1.1000000000000001</v>
      </c>
      <c r="F74" s="131">
        <v>26.45</v>
      </c>
      <c r="G74" s="131">
        <v>33.1</v>
      </c>
      <c r="H74" s="131">
        <v>0.28000000000000003</v>
      </c>
      <c r="I74" s="131">
        <v>2.15</v>
      </c>
      <c r="J74" s="131">
        <v>0.1</v>
      </c>
      <c r="K74" s="132">
        <v>36878</v>
      </c>
      <c r="L74" s="133" t="s">
        <v>458</v>
      </c>
      <c r="M74" s="109">
        <f t="shared" si="2"/>
        <v>6.4954682779456194E-2</v>
      </c>
    </row>
    <row r="75" spans="2:13" ht="17" customHeight="1">
      <c r="B75" s="131" t="s">
        <v>663</v>
      </c>
      <c r="C75" s="131" t="s">
        <v>664</v>
      </c>
      <c r="D75" s="131">
        <v>2620.6799999999998</v>
      </c>
      <c r="E75" s="131">
        <v>-0.14000000000000001</v>
      </c>
      <c r="F75" s="131">
        <v>17</v>
      </c>
      <c r="G75" s="131">
        <v>23.36</v>
      </c>
      <c r="H75" s="131">
        <v>0.43</v>
      </c>
      <c r="I75" s="131">
        <v>1.59</v>
      </c>
      <c r="J75" s="131">
        <v>0.13</v>
      </c>
      <c r="K75" s="132">
        <v>36529</v>
      </c>
      <c r="L75" s="133" t="s">
        <v>458</v>
      </c>
      <c r="M75" s="109">
        <f t="shared" si="2"/>
        <v>6.8065068493150693E-2</v>
      </c>
    </row>
    <row r="76" spans="2:13" ht="17" customHeight="1">
      <c r="B76" s="131" t="s">
        <v>665</v>
      </c>
      <c r="C76" s="131" t="s">
        <v>666</v>
      </c>
      <c r="D76" s="131">
        <v>5548.79</v>
      </c>
      <c r="E76" s="131">
        <v>-0.66</v>
      </c>
      <c r="F76" s="131">
        <v>26.83</v>
      </c>
      <c r="G76" s="131">
        <v>29.58</v>
      </c>
      <c r="H76" s="131">
        <v>0.08</v>
      </c>
      <c r="I76" s="131">
        <v>2.0699999999999998</v>
      </c>
      <c r="J76" s="131">
        <v>0.11</v>
      </c>
      <c r="K76" s="132">
        <v>36529</v>
      </c>
      <c r="L76" s="133" t="s">
        <v>458</v>
      </c>
      <c r="M76" s="109">
        <f t="shared" si="2"/>
        <v>6.9979716024340763E-2</v>
      </c>
    </row>
    <row r="77" spans="2:13" ht="17" customHeight="1">
      <c r="B77" s="131" t="s">
        <v>667</v>
      </c>
      <c r="C77" s="131" t="s">
        <v>668</v>
      </c>
      <c r="D77" s="131">
        <v>7165.93</v>
      </c>
      <c r="E77" s="131">
        <v>-0.17</v>
      </c>
      <c r="F77" s="131">
        <v>38.14</v>
      </c>
      <c r="G77" s="131">
        <v>34.47</v>
      </c>
      <c r="H77" s="131">
        <v>0.3</v>
      </c>
      <c r="I77" s="131">
        <v>2.15</v>
      </c>
      <c r="J77" s="131">
        <v>0.09</v>
      </c>
      <c r="K77" s="132">
        <v>36529</v>
      </c>
      <c r="L77" s="133" t="s">
        <v>458</v>
      </c>
      <c r="M77" s="109">
        <f t="shared" si="2"/>
        <v>6.2373078038874381E-2</v>
      </c>
    </row>
    <row r="78" spans="2:13" ht="17" customHeight="1">
      <c r="B78" s="131" t="s">
        <v>669</v>
      </c>
      <c r="C78" s="131" t="s">
        <v>670</v>
      </c>
      <c r="D78" s="131">
        <v>5534.56</v>
      </c>
      <c r="E78" s="131">
        <v>-2.23</v>
      </c>
      <c r="F78" s="131">
        <v>31.01</v>
      </c>
      <c r="G78" s="131">
        <v>27.82</v>
      </c>
      <c r="H78" s="131">
        <v>0.16</v>
      </c>
      <c r="I78" s="131">
        <v>1.76</v>
      </c>
      <c r="J78" s="131">
        <v>7.0000000000000007E-2</v>
      </c>
      <c r="K78" s="132">
        <v>36529</v>
      </c>
      <c r="L78" s="133" t="s">
        <v>458</v>
      </c>
      <c r="M78" s="109">
        <f t="shared" si="2"/>
        <v>6.3263838964773542E-2</v>
      </c>
    </row>
    <row r="79" spans="2:13" ht="17" customHeight="1">
      <c r="B79" s="131" t="s">
        <v>671</v>
      </c>
      <c r="C79" s="131" t="s">
        <v>672</v>
      </c>
      <c r="D79" s="131">
        <v>4542.3</v>
      </c>
      <c r="E79" s="131">
        <v>-0.8</v>
      </c>
      <c r="F79" s="131">
        <v>32.69</v>
      </c>
      <c r="G79" s="131">
        <v>22.55</v>
      </c>
      <c r="H79" s="131">
        <v>0.05</v>
      </c>
      <c r="I79" s="131">
        <v>2.33</v>
      </c>
      <c r="J79" s="131">
        <v>0.14000000000000001</v>
      </c>
      <c r="K79" s="132">
        <v>36529</v>
      </c>
      <c r="L79" s="133" t="s">
        <v>458</v>
      </c>
      <c r="M79" s="109">
        <f t="shared" si="2"/>
        <v>0.1033259423503326</v>
      </c>
    </row>
    <row r="80" spans="2:13" ht="17" customHeight="1">
      <c r="B80" s="131" t="s">
        <v>673</v>
      </c>
      <c r="C80" s="131" t="s">
        <v>674</v>
      </c>
      <c r="D80" s="131">
        <v>2304.4499999999998</v>
      </c>
      <c r="E80" s="131">
        <v>0.94</v>
      </c>
      <c r="F80" s="131">
        <v>37.22</v>
      </c>
      <c r="G80" s="131">
        <v>34.090000000000003</v>
      </c>
      <c r="H80" s="131">
        <v>0.16</v>
      </c>
      <c r="I80" s="131">
        <v>1.76</v>
      </c>
      <c r="J80" s="131">
        <v>0.09</v>
      </c>
      <c r="K80" s="132">
        <v>36529</v>
      </c>
      <c r="L80" s="133" t="s">
        <v>458</v>
      </c>
      <c r="M80" s="109">
        <f t="shared" si="2"/>
        <v>5.1628043414491051E-2</v>
      </c>
    </row>
    <row r="81" spans="2:13" ht="17" customHeight="1">
      <c r="B81" s="131" t="s">
        <v>675</v>
      </c>
      <c r="C81" s="131" t="s">
        <v>676</v>
      </c>
      <c r="D81" s="131">
        <v>3536.02</v>
      </c>
      <c r="E81" s="131">
        <v>0.32</v>
      </c>
      <c r="F81" s="131">
        <v>24.26</v>
      </c>
      <c r="G81" s="131">
        <v>19.22</v>
      </c>
      <c r="H81" s="131">
        <v>0.06</v>
      </c>
      <c r="I81" s="131">
        <v>1.67</v>
      </c>
      <c r="J81" s="131">
        <v>0.13</v>
      </c>
      <c r="K81" s="132">
        <v>36529</v>
      </c>
      <c r="L81" s="133" t="s">
        <v>458</v>
      </c>
      <c r="M81" s="109">
        <f t="shared" si="2"/>
        <v>8.6888657648283046E-2</v>
      </c>
    </row>
    <row r="82" spans="2:13" ht="17" customHeight="1">
      <c r="B82" s="131" t="s">
        <v>677</v>
      </c>
      <c r="C82" s="131" t="s">
        <v>678</v>
      </c>
      <c r="D82" s="131">
        <v>3332.31</v>
      </c>
      <c r="E82" s="131">
        <v>0.78</v>
      </c>
      <c r="F82" s="131">
        <v>19.25</v>
      </c>
      <c r="G82" s="131">
        <v>21.54</v>
      </c>
      <c r="H82" s="131">
        <v>0.13</v>
      </c>
      <c r="I82" s="131">
        <v>1.97</v>
      </c>
      <c r="J82" s="131">
        <v>0.17</v>
      </c>
      <c r="K82" s="132">
        <v>36529</v>
      </c>
      <c r="L82" s="133" t="s">
        <v>458</v>
      </c>
      <c r="M82" s="109">
        <f t="shared" si="2"/>
        <v>9.1457753017641599E-2</v>
      </c>
    </row>
    <row r="83" spans="2:13" ht="17" customHeight="1">
      <c r="B83" s="131" t="s">
        <v>679</v>
      </c>
      <c r="C83" s="131" t="s">
        <v>680</v>
      </c>
      <c r="D83" s="131">
        <v>2501.29</v>
      </c>
      <c r="E83" s="131">
        <v>-0.59</v>
      </c>
      <c r="F83" s="131">
        <v>21.19</v>
      </c>
      <c r="G83" s="131">
        <v>11.88</v>
      </c>
      <c r="H83" s="131">
        <v>0.08</v>
      </c>
      <c r="I83" s="131">
        <v>1.28</v>
      </c>
      <c r="J83" s="131">
        <v>0.02</v>
      </c>
      <c r="K83" s="132">
        <v>36529</v>
      </c>
      <c r="L83" s="133" t="s">
        <v>458</v>
      </c>
      <c r="M83" s="109">
        <f t="shared" si="2"/>
        <v>0.10774410774410774</v>
      </c>
    </row>
    <row r="84" spans="2:13" ht="17" customHeight="1">
      <c r="B84" s="131" t="s">
        <v>681</v>
      </c>
      <c r="C84" s="131" t="s">
        <v>682</v>
      </c>
      <c r="D84" s="131">
        <v>4023.08</v>
      </c>
      <c r="E84" s="131">
        <v>-0.18</v>
      </c>
      <c r="F84" s="131">
        <v>28.74</v>
      </c>
      <c r="G84" s="131">
        <v>17.350000000000001</v>
      </c>
      <c r="H84" s="131">
        <v>7.0000000000000007E-2</v>
      </c>
      <c r="I84" s="131">
        <v>2.08</v>
      </c>
      <c r="J84" s="131">
        <v>0.1</v>
      </c>
      <c r="K84" s="132">
        <v>36529</v>
      </c>
      <c r="L84" s="133" t="s">
        <v>458</v>
      </c>
      <c r="M84" s="109">
        <f t="shared" si="2"/>
        <v>0.11988472622478386</v>
      </c>
    </row>
    <row r="85" spans="2:13" ht="17" customHeight="1">
      <c r="B85" s="131" t="s">
        <v>683</v>
      </c>
      <c r="C85" s="131" t="s">
        <v>684</v>
      </c>
      <c r="D85" s="131">
        <v>2345.98</v>
      </c>
      <c r="E85" s="131">
        <v>7.0000000000000007E-2</v>
      </c>
      <c r="F85" s="131">
        <v>35.01</v>
      </c>
      <c r="G85" s="131">
        <v>15.04</v>
      </c>
      <c r="H85" s="131">
        <v>0.04</v>
      </c>
      <c r="I85" s="131">
        <v>1.69</v>
      </c>
      <c r="J85" s="131">
        <v>0.19</v>
      </c>
      <c r="K85" s="132">
        <v>36529</v>
      </c>
      <c r="L85" s="133" t="s">
        <v>458</v>
      </c>
      <c r="M85" s="109">
        <f t="shared" si="2"/>
        <v>0.11236702127659574</v>
      </c>
    </row>
    <row r="86" spans="2:13" ht="17" customHeight="1">
      <c r="B86" s="131" t="s">
        <v>685</v>
      </c>
      <c r="C86" s="131" t="s">
        <v>686</v>
      </c>
      <c r="D86" s="131">
        <v>3152.12</v>
      </c>
      <c r="E86" s="131">
        <v>-0.33</v>
      </c>
      <c r="F86" s="131">
        <v>30.49</v>
      </c>
      <c r="G86" s="131">
        <v>20.260000000000002</v>
      </c>
      <c r="H86" s="131">
        <v>0.02</v>
      </c>
      <c r="I86" s="131">
        <v>2.17</v>
      </c>
      <c r="J86" s="131">
        <v>0.3</v>
      </c>
      <c r="K86" s="132">
        <v>36529</v>
      </c>
      <c r="L86" s="133" t="s">
        <v>458</v>
      </c>
      <c r="M86" s="109">
        <f t="shared" si="2"/>
        <v>0.10710760118460018</v>
      </c>
    </row>
    <row r="87" spans="2:13" ht="17" customHeight="1">
      <c r="B87" s="131" t="s">
        <v>687</v>
      </c>
      <c r="C87" s="131" t="s">
        <v>688</v>
      </c>
      <c r="D87" s="131">
        <v>1238.1500000000001</v>
      </c>
      <c r="E87" s="131">
        <v>0.28999999999999998</v>
      </c>
      <c r="F87" s="131">
        <v>29.2</v>
      </c>
      <c r="G87" s="131">
        <v>32.18</v>
      </c>
      <c r="H87" s="131">
        <v>0.44</v>
      </c>
      <c r="I87" s="131">
        <v>1.64</v>
      </c>
      <c r="J87" s="131">
        <v>0.11</v>
      </c>
      <c r="K87" s="132">
        <v>36529</v>
      </c>
      <c r="L87" s="133" t="s">
        <v>458</v>
      </c>
      <c r="M87" s="109">
        <f t="shared" si="2"/>
        <v>5.09633312616532E-2</v>
      </c>
    </row>
    <row r="88" spans="2:13" ht="17" customHeight="1">
      <c r="B88" s="131" t="s">
        <v>689</v>
      </c>
      <c r="C88" s="131" t="s">
        <v>690</v>
      </c>
      <c r="D88" s="131">
        <v>8345.08</v>
      </c>
      <c r="E88" s="131">
        <v>-2.0299999999999998</v>
      </c>
      <c r="F88" s="131">
        <v>33.25</v>
      </c>
      <c r="G88" s="131">
        <v>37.979999999999997</v>
      </c>
      <c r="H88" s="131">
        <v>0.26</v>
      </c>
      <c r="I88" s="131">
        <v>3.56</v>
      </c>
      <c r="J88" s="131">
        <v>0.28000000000000003</v>
      </c>
      <c r="K88" s="132">
        <v>36529</v>
      </c>
      <c r="L88" s="133" t="s">
        <v>458</v>
      </c>
      <c r="M88" s="109">
        <f t="shared" si="2"/>
        <v>9.3733543970510799E-2</v>
      </c>
    </row>
    <row r="89" spans="2:13" ht="17" customHeight="1">
      <c r="B89" s="131" t="s">
        <v>691</v>
      </c>
      <c r="C89" s="131" t="s">
        <v>692</v>
      </c>
      <c r="D89" s="131">
        <v>5841.62</v>
      </c>
      <c r="E89" s="131">
        <v>-0.97</v>
      </c>
      <c r="F89" s="131">
        <v>4.51</v>
      </c>
      <c r="G89" s="131">
        <v>33.479999999999997</v>
      </c>
      <c r="H89" s="131">
        <v>0.35</v>
      </c>
      <c r="I89" s="131">
        <v>2.61</v>
      </c>
      <c r="J89" s="131">
        <v>0.11</v>
      </c>
      <c r="K89" s="132">
        <v>39265</v>
      </c>
      <c r="L89" s="133" t="s">
        <v>458</v>
      </c>
      <c r="M89" s="109">
        <f t="shared" si="2"/>
        <v>7.7956989247311828E-2</v>
      </c>
    </row>
    <row r="90" spans="2:13" ht="17" customHeight="1">
      <c r="B90" s="131" t="s">
        <v>693</v>
      </c>
      <c r="C90" s="131" t="s">
        <v>694</v>
      </c>
      <c r="D90" s="131">
        <v>4317.8100000000004</v>
      </c>
      <c r="E90" s="131">
        <v>-1</v>
      </c>
      <c r="F90" s="131">
        <v>38.409999999999997</v>
      </c>
      <c r="G90" s="131">
        <v>19.87</v>
      </c>
      <c r="H90" s="131">
        <v>0.03</v>
      </c>
      <c r="I90" s="131">
        <v>2.71</v>
      </c>
      <c r="J90" s="131">
        <v>0.18</v>
      </c>
      <c r="K90" s="132">
        <v>36529</v>
      </c>
      <c r="L90" s="133" t="s">
        <v>458</v>
      </c>
      <c r="M90" s="109">
        <f t="shared" si="2"/>
        <v>0.13638651233014595</v>
      </c>
    </row>
    <row r="91" spans="2:13" ht="17" customHeight="1">
      <c r="B91" s="131" t="s">
        <v>695</v>
      </c>
      <c r="C91" s="131" t="s">
        <v>696</v>
      </c>
      <c r="D91" s="131">
        <v>2777.63</v>
      </c>
      <c r="E91" s="131">
        <v>0.11</v>
      </c>
      <c r="F91" s="131">
        <v>24.13</v>
      </c>
      <c r="G91" s="131">
        <v>11.68</v>
      </c>
      <c r="H91" s="131">
        <v>0.11</v>
      </c>
      <c r="I91" s="131">
        <v>1.25</v>
      </c>
      <c r="J91" s="131">
        <v>7.0000000000000007E-2</v>
      </c>
      <c r="K91" s="132">
        <v>36529</v>
      </c>
      <c r="L91" s="133" t="s">
        <v>458</v>
      </c>
      <c r="M91" s="109">
        <f t="shared" si="2"/>
        <v>0.10702054794520548</v>
      </c>
    </row>
    <row r="92" spans="2:13" ht="17" customHeight="1">
      <c r="B92" s="131" t="s">
        <v>697</v>
      </c>
      <c r="C92" s="131" t="s">
        <v>698</v>
      </c>
      <c r="D92" s="131">
        <v>368.74</v>
      </c>
      <c r="E92" s="131">
        <v>-0.99</v>
      </c>
      <c r="F92" s="131">
        <v>16.04</v>
      </c>
      <c r="G92" s="131">
        <v>28.64</v>
      </c>
      <c r="H92" s="131">
        <v>0.75</v>
      </c>
      <c r="I92" s="131">
        <v>1.24</v>
      </c>
      <c r="J92" s="131">
        <v>0.06</v>
      </c>
      <c r="K92" s="132">
        <v>36529</v>
      </c>
      <c r="L92" s="133" t="s">
        <v>458</v>
      </c>
      <c r="M92" s="109">
        <f t="shared" si="2"/>
        <v>4.3296089385474856E-2</v>
      </c>
    </row>
    <row r="93" spans="2:13" ht="17" customHeight="1">
      <c r="B93" s="131" t="s">
        <v>699</v>
      </c>
      <c r="C93" s="131" t="s">
        <v>700</v>
      </c>
      <c r="D93" s="131">
        <v>4673.2700000000004</v>
      </c>
      <c r="E93" s="131">
        <v>-0.69</v>
      </c>
      <c r="F93" s="131">
        <v>27.29</v>
      </c>
      <c r="G93" s="131">
        <v>114.95</v>
      </c>
      <c r="H93" s="131">
        <v>0.98</v>
      </c>
      <c r="I93" s="131">
        <v>1.54</v>
      </c>
      <c r="J93" s="131">
        <v>0.03</v>
      </c>
      <c r="K93" s="132">
        <v>37313</v>
      </c>
      <c r="L93" s="133" t="s">
        <v>458</v>
      </c>
      <c r="M93" s="109">
        <f t="shared" si="2"/>
        <v>1.3397129186602871E-2</v>
      </c>
    </row>
    <row r="94" spans="2:13" ht="17" customHeight="1">
      <c r="B94" s="131" t="s">
        <v>701</v>
      </c>
      <c r="C94" s="131" t="s">
        <v>702</v>
      </c>
      <c r="D94" s="131">
        <v>3688.85</v>
      </c>
      <c r="E94" s="131">
        <v>-0.16</v>
      </c>
      <c r="F94" s="131">
        <v>30.31</v>
      </c>
      <c r="G94" s="131">
        <v>23.14</v>
      </c>
      <c r="H94" s="131">
        <v>0.24</v>
      </c>
      <c r="I94" s="131">
        <v>1.73</v>
      </c>
      <c r="J94" s="131">
        <v>0.13</v>
      </c>
      <c r="K94" s="132">
        <v>39624</v>
      </c>
      <c r="L94" s="133" t="s">
        <v>458</v>
      </c>
      <c r="M94" s="109">
        <f t="shared" si="2"/>
        <v>7.4762316335350035E-2</v>
      </c>
    </row>
    <row r="95" spans="2:13" ht="17" customHeight="1">
      <c r="B95" s="131" t="s">
        <v>703</v>
      </c>
      <c r="C95" s="131" t="s">
        <v>704</v>
      </c>
      <c r="D95" s="131">
        <v>2949.35</v>
      </c>
      <c r="E95" s="131">
        <v>-0.23</v>
      </c>
      <c r="F95" s="131">
        <v>25.28</v>
      </c>
      <c r="G95" s="131">
        <v>7.51</v>
      </c>
      <c r="H95" s="131">
        <v>0.1</v>
      </c>
      <c r="I95" s="131">
        <v>1.28</v>
      </c>
      <c r="J95" s="131">
        <v>0.3</v>
      </c>
      <c r="K95" s="132">
        <v>36529</v>
      </c>
      <c r="L95" s="133" t="s">
        <v>458</v>
      </c>
      <c r="M95" s="109">
        <f t="shared" si="2"/>
        <v>0.17043941411451399</v>
      </c>
    </row>
    <row r="96" spans="2:13" ht="17" customHeight="1">
      <c r="B96" s="131" t="s">
        <v>705</v>
      </c>
      <c r="C96" s="131" t="s">
        <v>706</v>
      </c>
      <c r="D96" s="131">
        <v>881.45</v>
      </c>
      <c r="E96" s="131">
        <v>0.4</v>
      </c>
      <c r="F96" s="131">
        <v>29.02</v>
      </c>
      <c r="G96" s="131">
        <v>22.93</v>
      </c>
      <c r="H96" s="131">
        <v>0.05</v>
      </c>
      <c r="I96" s="131">
        <v>2.83</v>
      </c>
      <c r="J96" s="131">
        <v>0.27</v>
      </c>
      <c r="K96" s="132">
        <v>36529</v>
      </c>
      <c r="L96" s="133" t="s">
        <v>458</v>
      </c>
      <c r="M96" s="109">
        <f t="shared" si="2"/>
        <v>0.12341910161360663</v>
      </c>
    </row>
    <row r="97" spans="2:13" ht="17" customHeight="1">
      <c r="B97" s="131" t="s">
        <v>707</v>
      </c>
      <c r="C97" s="131" t="s">
        <v>708</v>
      </c>
      <c r="D97" s="131" t="s">
        <v>622</v>
      </c>
      <c r="E97" s="131">
        <v>0</v>
      </c>
      <c r="F97" s="131">
        <v>0</v>
      </c>
      <c r="G97" s="131">
        <v>57.79</v>
      </c>
      <c r="H97" s="131">
        <v>0.42</v>
      </c>
      <c r="I97" s="131">
        <v>4.2699999999999996</v>
      </c>
      <c r="J97" s="131">
        <v>0.48</v>
      </c>
      <c r="K97" s="132">
        <v>43216</v>
      </c>
      <c r="L97" s="133" t="s">
        <v>458</v>
      </c>
      <c r="M97" s="109">
        <f t="shared" si="2"/>
        <v>7.3888215954317354E-2</v>
      </c>
    </row>
    <row r="98" spans="2:13" ht="17" customHeight="1">
      <c r="B98" s="131" t="s">
        <v>709</v>
      </c>
      <c r="C98" s="131" t="s">
        <v>710</v>
      </c>
      <c r="D98" s="131">
        <v>2809.45</v>
      </c>
      <c r="E98" s="131">
        <v>0.41</v>
      </c>
      <c r="F98" s="131">
        <v>30.66</v>
      </c>
      <c r="G98" s="131">
        <v>29.92</v>
      </c>
      <c r="H98" s="131">
        <v>0.33</v>
      </c>
      <c r="I98" s="131">
        <v>2.61</v>
      </c>
      <c r="J98" s="131">
        <v>0.37</v>
      </c>
      <c r="K98" s="132">
        <v>36529</v>
      </c>
      <c r="L98" s="133" t="s">
        <v>458</v>
      </c>
      <c r="M98" s="109">
        <f t="shared" ref="M98:M105" si="3">I98/G98</f>
        <v>8.7232620320855603E-2</v>
      </c>
    </row>
    <row r="99" spans="2:13" ht="17" customHeight="1">
      <c r="B99" s="131" t="s">
        <v>711</v>
      </c>
      <c r="C99" s="131" t="s">
        <v>712</v>
      </c>
      <c r="D99" s="131">
        <v>2159.1999999999998</v>
      </c>
      <c r="E99" s="131">
        <v>-0.4</v>
      </c>
      <c r="F99" s="131">
        <v>26.07</v>
      </c>
      <c r="G99" s="131">
        <v>29.41</v>
      </c>
      <c r="H99" s="131">
        <v>0.11</v>
      </c>
      <c r="I99" s="131">
        <v>2.12</v>
      </c>
      <c r="J99" s="131">
        <v>0.14000000000000001</v>
      </c>
      <c r="K99" s="132">
        <v>36529</v>
      </c>
      <c r="L99" s="133" t="s">
        <v>458</v>
      </c>
      <c r="M99" s="109">
        <f t="shared" si="3"/>
        <v>7.2084325059503573E-2</v>
      </c>
    </row>
    <row r="100" spans="2:13" ht="17" customHeight="1">
      <c r="B100" s="131" t="s">
        <v>713</v>
      </c>
      <c r="C100" s="131" t="s">
        <v>714</v>
      </c>
      <c r="D100" s="131">
        <v>2220.86</v>
      </c>
      <c r="E100" s="131">
        <v>0.16</v>
      </c>
      <c r="F100" s="131">
        <v>24.5</v>
      </c>
      <c r="G100" s="131">
        <v>10.34</v>
      </c>
      <c r="H100" s="131">
        <v>0.03</v>
      </c>
      <c r="I100" s="131">
        <v>1.33</v>
      </c>
      <c r="J100" s="131">
        <v>0.13</v>
      </c>
      <c r="K100" s="132">
        <v>36529</v>
      </c>
      <c r="L100" s="133" t="s">
        <v>458</v>
      </c>
      <c r="M100" s="109">
        <f t="shared" si="3"/>
        <v>0.1286266924564797</v>
      </c>
    </row>
    <row r="101" spans="2:13" ht="17" customHeight="1">
      <c r="B101" s="131" t="s">
        <v>715</v>
      </c>
      <c r="C101" s="131" t="s">
        <v>716</v>
      </c>
      <c r="D101" s="131">
        <v>1553.77</v>
      </c>
      <c r="E101" s="131">
        <v>1.17</v>
      </c>
      <c r="F101" s="131">
        <v>34.35</v>
      </c>
      <c r="G101" s="131">
        <v>14.02</v>
      </c>
      <c r="H101" s="131">
        <v>0.34</v>
      </c>
      <c r="I101" s="131">
        <v>2.4</v>
      </c>
      <c r="J101" s="131">
        <v>0.48</v>
      </c>
      <c r="K101" s="132">
        <v>39099</v>
      </c>
      <c r="L101" s="133" t="s">
        <v>458</v>
      </c>
      <c r="M101" s="109">
        <f t="shared" si="3"/>
        <v>0.17118402282453637</v>
      </c>
    </row>
    <row r="102" spans="2:13" ht="17" customHeight="1">
      <c r="B102" s="131" t="s">
        <v>717</v>
      </c>
      <c r="C102" s="131" t="s">
        <v>718</v>
      </c>
      <c r="D102" s="131">
        <v>6571.91</v>
      </c>
      <c r="E102" s="131">
        <v>1.49</v>
      </c>
      <c r="F102" s="131">
        <v>49.41</v>
      </c>
      <c r="G102" s="131">
        <v>37.159999999999997</v>
      </c>
      <c r="H102" s="131">
        <v>0.56999999999999995</v>
      </c>
      <c r="I102" s="131">
        <v>1.87</v>
      </c>
      <c r="J102" s="131">
        <v>0.21</v>
      </c>
      <c r="K102" s="132">
        <v>36529</v>
      </c>
      <c r="L102" s="133" t="s">
        <v>458</v>
      </c>
      <c r="M102" s="109">
        <f t="shared" si="3"/>
        <v>5.0322927879440267E-2</v>
      </c>
    </row>
    <row r="103" spans="2:13" ht="17" customHeight="1">
      <c r="B103" s="131" t="s">
        <v>719</v>
      </c>
      <c r="C103" s="131" t="s">
        <v>720</v>
      </c>
      <c r="D103" s="131">
        <v>3656.35</v>
      </c>
      <c r="E103" s="131">
        <v>0.18</v>
      </c>
      <c r="F103" s="131">
        <v>17.59</v>
      </c>
      <c r="G103" s="131">
        <v>7.15</v>
      </c>
      <c r="H103" s="131">
        <v>0.32</v>
      </c>
      <c r="I103" s="131">
        <v>0.89</v>
      </c>
      <c r="J103" s="131">
        <v>0.06</v>
      </c>
      <c r="K103" s="132">
        <v>36529</v>
      </c>
      <c r="L103" s="133" t="s">
        <v>458</v>
      </c>
      <c r="M103" s="109">
        <f t="shared" si="3"/>
        <v>0.12447552447552447</v>
      </c>
    </row>
    <row r="104" spans="2:13" ht="17" customHeight="1">
      <c r="B104" s="131" t="s">
        <v>721</v>
      </c>
      <c r="C104" s="131" t="s">
        <v>722</v>
      </c>
      <c r="D104" s="131">
        <v>2093.92</v>
      </c>
      <c r="E104" s="131">
        <v>2.88</v>
      </c>
      <c r="F104" s="131">
        <v>44.14</v>
      </c>
      <c r="G104" s="131">
        <v>25.83</v>
      </c>
      <c r="H104" s="131">
        <v>0.13</v>
      </c>
      <c r="I104" s="131">
        <v>2.4</v>
      </c>
      <c r="J104" s="131">
        <v>0.13</v>
      </c>
      <c r="K104" s="132">
        <v>36529</v>
      </c>
      <c r="L104" s="133" t="s">
        <v>458</v>
      </c>
      <c r="M104" s="109">
        <f t="shared" si="3"/>
        <v>9.2915214866434379E-2</v>
      </c>
    </row>
    <row r="105" spans="2:13" ht="17" customHeight="1">
      <c r="B105" s="131" t="s">
        <v>723</v>
      </c>
      <c r="C105" s="131" t="s">
        <v>724</v>
      </c>
      <c r="D105" s="131">
        <v>3232.14</v>
      </c>
      <c r="E105" s="131">
        <v>-0.95</v>
      </c>
      <c r="F105" s="131">
        <v>38.61</v>
      </c>
      <c r="G105" s="131">
        <v>40.81</v>
      </c>
      <c r="H105" s="131">
        <v>0.05</v>
      </c>
      <c r="I105" s="131">
        <v>3.35</v>
      </c>
      <c r="J105" s="131">
        <v>0.25</v>
      </c>
      <c r="K105" s="132">
        <v>36529</v>
      </c>
      <c r="L105" s="133" t="s">
        <v>458</v>
      </c>
      <c r="M105" s="109">
        <f t="shared" si="3"/>
        <v>8.2087723597157561E-2</v>
      </c>
    </row>
  </sheetData>
  <autoFilter ref="J1:J105" xr:uid="{00000000-0009-0000-0000-000006000000}"/>
  <conditionalFormatting sqref="H106:H1048576">
    <cfRule type="dataBar" priority="3">
      <dataBar>
        <cfvo type="min"/>
        <cfvo type="max"/>
        <color rgb="FF638EC6"/>
      </dataBar>
    </cfRule>
  </conditionalFormatting>
  <conditionalFormatting sqref="J106:J1048576">
    <cfRule type="dataBar" priority="2">
      <dataBar>
        <cfvo type="min"/>
        <cfvo type="max"/>
        <color rgb="FF638EC6"/>
      </dataBar>
    </cfRule>
  </conditionalFormatting>
  <conditionalFormatting sqref="M2:M105">
    <cfRule type="dataBar" priority="1">
      <dataBar>
        <cfvo type="min"/>
        <cfvo type="max"/>
        <color rgb="FF638EC6"/>
      </dataBar>
    </cfRule>
  </conditionalFormatting>
  <hyperlinks>
    <hyperlink ref="L2" r:id="rId1" display="http://discuss.jiucaishuo.com/?/invest/showData/search_gu-si801761" xr:uid="{00000000-0004-0000-0600-000000000000}"/>
    <hyperlink ref="L3" r:id="rId2" display="http://discuss.jiucaishuo.com/?/invest/showData/search_gu-si801752" xr:uid="{00000000-0004-0000-0600-000001000000}"/>
    <hyperlink ref="L4" r:id="rId3" display="http://discuss.jiucaishuo.com/?/invest/showData/search_gu-si801751" xr:uid="{00000000-0004-0000-0600-000002000000}"/>
    <hyperlink ref="L5" r:id="rId4" display="http://discuss.jiucaishuo.com/?/invest/showData/search_gu-si801085" xr:uid="{00000000-0004-0000-0600-000003000000}"/>
    <hyperlink ref="L6" r:id="rId5" display="http://discuss.jiucaishuo.com/?/invest/showData/search_gu-si801084" xr:uid="{00000000-0004-0000-0600-000004000000}"/>
    <hyperlink ref="L7" r:id="rId6" display="http://discuss.jiucaishuo.com/?/invest/showData/search_gu-si801083" xr:uid="{00000000-0004-0000-0600-000005000000}"/>
    <hyperlink ref="L8" r:id="rId7" display="http://discuss.jiucaishuo.com/?/invest/showData/search_gu-si801082" xr:uid="{00000000-0004-0000-0600-000006000000}"/>
    <hyperlink ref="L9" r:id="rId8" display="http://discuss.jiucaishuo.com/?/invest/showData/search_gu-si801081" xr:uid="{00000000-0004-0000-0600-000007000000}"/>
    <hyperlink ref="L10" r:id="rId9" display="http://discuss.jiucaishuo.com/?/invest/showData/search_gu-si801222" xr:uid="{00000000-0004-0000-0600-000008000000}"/>
    <hyperlink ref="L11" r:id="rId10" display="http://discuss.jiucaishuo.com/?/invest/showData/search_gu-si801101" xr:uid="{00000000-0004-0000-0600-000009000000}"/>
    <hyperlink ref="L12" r:id="rId11" display="http://discuss.jiucaishuo.com/?/invest/showData/search_gu-si801223" xr:uid="{00000000-0004-0000-0600-00000A000000}"/>
    <hyperlink ref="L13" r:id="rId12" display="http://discuss.jiucaishuo.com/?/invest/showData/search_gu-si801102" xr:uid="{00000000-0004-0000-0600-00000B000000}"/>
    <hyperlink ref="L14" r:id="rId13" display="http://discuss.jiucaishuo.com/?/invest/showData/search_gu-si801881" xr:uid="{00000000-0004-0000-0600-00000C000000}"/>
    <hyperlink ref="L15" r:id="rId14" display="http://discuss.jiucaishuo.com/?/invest/showData/search_gu-si801172" xr:uid="{00000000-0004-0000-0600-00000D000000}"/>
    <hyperlink ref="L16" r:id="rId15" display="http://discuss.jiucaishuo.com/?/invest/showData/search_gu-si801174" xr:uid="{00000000-0004-0000-0600-00000E000000}"/>
    <hyperlink ref="L17" r:id="rId16" display="http://discuss.jiucaishuo.com/?/invest/showData/search_gu-si801171" xr:uid="{00000000-0004-0000-0600-00000F000000}"/>
    <hyperlink ref="L18" r:id="rId17" display="http://discuss.jiucaishuo.com/?/invest/showData/search_gu-si801178" xr:uid="{00000000-0004-0000-0600-000010000000}"/>
    <hyperlink ref="L19" r:id="rId18" display="http://discuss.jiucaishuo.com/?/invest/showData/search_gu-si801173" xr:uid="{00000000-0004-0000-0600-000011000000}"/>
    <hyperlink ref="L20" r:id="rId19" display="http://discuss.jiucaishuo.com/?/invest/showData/search_gu-si801176" xr:uid="{00000000-0004-0000-0600-000012000000}"/>
    <hyperlink ref="L21" r:id="rId20" display="http://discuss.jiucaishuo.com/?/invest/showData/search_gu-si801076" xr:uid="{00000000-0004-0000-0600-000013000000}"/>
    <hyperlink ref="L22" r:id="rId21" display="http://discuss.jiucaishuo.com/?/invest/showData/search_gu-si801177" xr:uid="{00000000-0004-0000-0600-000014000000}"/>
    <hyperlink ref="L23" r:id="rId22" display="http://discuss.jiucaishuo.com/?/invest/showData/search_gu-si801175" xr:uid="{00000000-0004-0000-0600-000015000000}"/>
    <hyperlink ref="L24" r:id="rId23" display="http://discuss.jiucaishuo.com/?/invest/showData/search_gu-si801743" xr:uid="{00000000-0004-0000-0600-000016000000}"/>
    <hyperlink ref="L25" r:id="rId24" display="http://discuss.jiucaishuo.com/?/invest/showData/search_gu-si801742" xr:uid="{00000000-0004-0000-0600-000017000000}"/>
    <hyperlink ref="L26" r:id="rId25" display="http://discuss.jiucaishuo.com/?/invest/showData/search_gu-si801741" xr:uid="{00000000-0004-0000-0600-000018000000}"/>
    <hyperlink ref="L27" r:id="rId26" display="http://discuss.jiucaishuo.com/?/invest/showData/search_gu-si801744" xr:uid="{00000000-0004-0000-0600-000019000000}"/>
    <hyperlink ref="L28" r:id="rId27" display="http://discuss.jiucaishuo.com/?/invest/showData/search_gu-si801155" xr:uid="{00000000-0004-0000-0600-00001A000000}"/>
    <hyperlink ref="L29" r:id="rId28" display="http://discuss.jiucaishuo.com/?/invest/showData/search_gu-si801156" xr:uid="{00000000-0004-0000-0600-00001B000000}"/>
    <hyperlink ref="L30" r:id="rId29" display="http://discuss.jiucaishuo.com/?/invest/showData/search_gu-si801153" xr:uid="{00000000-0004-0000-0600-00001C000000}"/>
    <hyperlink ref="L31" r:id="rId30" display="http://discuss.jiucaishuo.com/?/invest/showData/search_gu-si801154" xr:uid="{00000000-0004-0000-0600-00001D000000}"/>
    <hyperlink ref="L32" r:id="rId31" display="http://discuss.jiucaishuo.com/?/invest/showData/search_gu-si801152" xr:uid="{00000000-0004-0000-0600-00001E000000}"/>
    <hyperlink ref="L33" r:id="rId32" display="http://discuss.jiucaishuo.com/?/invest/showData/search_gu-si801151" xr:uid="{00000000-0004-0000-0600-00001F000000}"/>
    <hyperlink ref="L34" r:id="rId33" display="http://discuss.jiucaishuo.com/?/invest/showData/search_gu-si801182" xr:uid="{00000000-0004-0000-0600-000020000000}"/>
    <hyperlink ref="L35" r:id="rId34" display="http://discuss.jiucaishuo.com/?/invest/showData/search_gu-si801181" xr:uid="{00000000-0004-0000-0600-000021000000}"/>
    <hyperlink ref="L36" r:id="rId35" display="http://discuss.jiucaishuo.com/?/invest/showData/search_gu-si801013" xr:uid="{00000000-0004-0000-0600-000022000000}"/>
    <hyperlink ref="L37" r:id="rId36" display="http://discuss.jiucaishuo.com/?/invest/showData/search_gu-si801012" xr:uid="{00000000-0004-0000-0600-000023000000}"/>
    <hyperlink ref="L38" r:id="rId37" display="http://discuss.jiucaishuo.com/?/invest/showData/search_gu-si801018" xr:uid="{00000000-0004-0000-0600-000024000000}"/>
    <hyperlink ref="L39" r:id="rId38" display="http://discuss.jiucaishuo.com/?/invest/showData/search_gu-si801011" xr:uid="{00000000-0004-0000-0600-000025000000}"/>
    <hyperlink ref="L40" r:id="rId39" display="http://discuss.jiucaishuo.com/?/invest/showData/search_gu-si801015" xr:uid="{00000000-0004-0000-0600-000026000000}"/>
    <hyperlink ref="L41" r:id="rId40" display="http://discuss.jiucaishuo.com/?/invest/showData/search_gu-si801017" xr:uid="{00000000-0004-0000-0600-000027000000}"/>
    <hyperlink ref="L42" r:id="rId41" display="http://discuss.jiucaishuo.com/?/invest/showData/search_gu-si801016" xr:uid="{00000000-0004-0000-0600-000028000000}"/>
    <hyperlink ref="L43" r:id="rId42" display="http://discuss.jiucaishuo.com/?/invest/showData/search_gu-si801014" xr:uid="{00000000-0004-0000-0600-000029000000}"/>
    <hyperlink ref="L44" r:id="rId43" display="http://discuss.jiucaishuo.com/?/invest/showData/search_gu-si801205" xr:uid="{00000000-0004-0000-0600-00002A000000}"/>
    <hyperlink ref="L45" r:id="rId44" display="http://discuss.jiucaishuo.com/?/invest/showData/search_gu-si801202" xr:uid="{00000000-0004-0000-0600-00002B000000}"/>
    <hyperlink ref="L46" r:id="rId45" display="http://discuss.jiucaishuo.com/?/invest/showData/search_gu-si801112" xr:uid="{00000000-0004-0000-0600-00002C000000}"/>
    <hyperlink ref="L47" r:id="rId46" display="http://discuss.jiucaishuo.com/?/invest/showData/search_gu-si801111" xr:uid="{00000000-0004-0000-0600-00002D000000}"/>
    <hyperlink ref="L48" r:id="rId47" display="http://discuss.jiucaishuo.com/?/invest/showData/search_gu-si801094" xr:uid="{00000000-0004-0000-0600-00002E000000}"/>
    <hyperlink ref="L49" r:id="rId48" display="http://discuss.jiucaishuo.com/?/invest/showData/search_gu-si801093" xr:uid="{00000000-0004-0000-0600-00002F000000}"/>
    <hyperlink ref="L50" r:id="rId49" display="http://discuss.jiucaishuo.com/?/invest/showData/search_gu-si801092" xr:uid="{00000000-0004-0000-0600-000030000000}"/>
    <hyperlink ref="L51" r:id="rId50" display="http://discuss.jiucaishuo.com/?/invest/showData/search_gu-si801132" xr:uid="{00000000-0004-0000-0600-000031000000}"/>
    <hyperlink ref="L52" r:id="rId51" display="http://discuss.jiucaishuo.com/?/invest/showData/search_gu-si801131" xr:uid="{00000000-0004-0000-0600-000032000000}"/>
    <hyperlink ref="L53" r:id="rId52" display="http://discuss.jiucaishuo.com/?/invest/showData/search_gu-si801123" xr:uid="{00000000-0004-0000-0600-000033000000}"/>
    <hyperlink ref="L54" r:id="rId53" display="http://discuss.jiucaishuo.com/?/invest/showData/search_gu-si801204" xr:uid="{00000000-0004-0000-0600-000034000000}"/>
    <hyperlink ref="L55" r:id="rId54" display="http://discuss.jiucaishuo.com/?/invest/showData/search_gu-si801203" xr:uid="{00000000-0004-0000-0600-000035000000}"/>
    <hyperlink ref="L56" r:id="rId55" display="http://discuss.jiucaishuo.com/?/invest/showData/search_gu-si801124" xr:uid="{00000000-0004-0000-0600-000036000000}"/>
    <hyperlink ref="L57" r:id="rId56" display="http://discuss.jiucaishuo.com/?/invest/showData/search_gu-si801725" xr:uid="{00000000-0004-0000-0600-000037000000}"/>
    <hyperlink ref="L58" r:id="rId57" display="http://discuss.jiucaishuo.com/?/invest/showData/search_gu-si801724" xr:uid="{00000000-0004-0000-0600-000038000000}"/>
    <hyperlink ref="L59" r:id="rId58" display="http://discuss.jiucaishuo.com/?/invest/showData/search_gu-si801723" xr:uid="{00000000-0004-0000-0600-000039000000}"/>
    <hyperlink ref="L60" r:id="rId59" display="http://discuss.jiucaishuo.com/?/invest/showData/search_gu-si801711" xr:uid="{00000000-0004-0000-0600-00003A000000}"/>
    <hyperlink ref="L61" r:id="rId60" display="http://discuss.jiucaishuo.com/?/invest/showData/search_gu-si801712" xr:uid="{00000000-0004-0000-0600-00003B000000}"/>
    <hyperlink ref="L62" r:id="rId61" display="http://discuss.jiucaishuo.com/?/invest/showData/search_gu-si801713" xr:uid="{00000000-0004-0000-0600-00003C000000}"/>
    <hyperlink ref="L63" r:id="rId62" display="http://discuss.jiucaishuo.com/?/invest/showData/search_gu-si801721" xr:uid="{00000000-0004-0000-0600-00003D000000}"/>
    <hyperlink ref="L64" r:id="rId63" display="http://discuss.jiucaishuo.com/?/invest/showData/search_gu-si801074" xr:uid="{00000000-0004-0000-0600-00003E000000}"/>
    <hyperlink ref="L65" r:id="rId64" display="http://discuss.jiucaishuo.com/?/invest/showData/search_gu-si801072" xr:uid="{00000000-0004-0000-0600-00003F000000}"/>
    <hyperlink ref="L66" r:id="rId65" display="http://discuss.jiucaishuo.com/?/invest/showData/search_gu-si801722" xr:uid="{00000000-0004-0000-0600-000040000000}"/>
    <hyperlink ref="L67" r:id="rId66" display="http://discuss.jiucaishuo.com/?/invest/showData/search_gu-si801215" xr:uid="{00000000-0004-0000-0600-000041000000}"/>
    <hyperlink ref="L68" r:id="rId67" display="http://discuss.jiucaishuo.com/?/invest/showData/search_gu-si801214" xr:uid="{00000000-0004-0000-0600-000042000000}"/>
    <hyperlink ref="L69" r:id="rId68" display="http://discuss.jiucaishuo.com/?/invest/showData/search_gu-si801212" xr:uid="{00000000-0004-0000-0600-000043000000}"/>
    <hyperlink ref="L70" r:id="rId69" display="http://discuss.jiucaishuo.com/?/invest/showData/search_gu-si801213" xr:uid="{00000000-0004-0000-0600-000044000000}"/>
    <hyperlink ref="L71" r:id="rId70" display="http://discuss.jiucaishuo.com/?/invest/showData/search_gu-si801211" xr:uid="{00000000-0004-0000-0600-000045000000}"/>
    <hyperlink ref="L72" r:id="rId71" display="http://discuss.jiucaishuo.com/?/invest/showData/search_gu-si801162" xr:uid="{00000000-0004-0000-0600-000046000000}"/>
    <hyperlink ref="L73" r:id="rId72" display="http://discuss.jiucaishuo.com/?/invest/showData/search_gu-si801164" xr:uid="{00000000-0004-0000-0600-000047000000}"/>
    <hyperlink ref="L74" r:id="rId73" display="http://discuss.jiucaishuo.com/?/invest/showData/search_gu-si801163" xr:uid="{00000000-0004-0000-0600-000048000000}"/>
    <hyperlink ref="L75" r:id="rId74" display="http://discuss.jiucaishuo.com/?/invest/showData/search_gu-si801161" xr:uid="{00000000-0004-0000-0600-000049000000}"/>
    <hyperlink ref="L76" r:id="rId75" display="http://discuss.jiucaishuo.com/?/invest/showData/search_gu-si801734" xr:uid="{00000000-0004-0000-0600-00004A000000}"/>
    <hyperlink ref="L77" r:id="rId76" display="http://discuss.jiucaishuo.com/?/invest/showData/search_gu-si801733" xr:uid="{00000000-0004-0000-0600-00004B000000}"/>
    <hyperlink ref="L78" r:id="rId77" display="http://discuss.jiucaishuo.com/?/invest/showData/search_gu-si801731" xr:uid="{00000000-0004-0000-0600-00004C000000}"/>
    <hyperlink ref="L79" r:id="rId78" display="http://discuss.jiucaishuo.com/?/invest/showData/search_gu-si801732" xr:uid="{00000000-0004-0000-0600-00004D000000}"/>
    <hyperlink ref="L80" r:id="rId79" display="http://discuss.jiucaishuo.com/?/invest/showData/search_gu-si801231" xr:uid="{00000000-0004-0000-0600-00004E000000}"/>
    <hyperlink ref="L81" r:id="rId80" display="http://discuss.jiucaishuo.com/?/invest/showData/search_gu-si801037" xr:uid="{00000000-0004-0000-0600-00004F000000}"/>
    <hyperlink ref="L82" r:id="rId81" display="http://discuss.jiucaishuo.com/?/invest/showData/search_gu-si801036" xr:uid="{00000000-0004-0000-0600-000050000000}"/>
    <hyperlink ref="L83" r:id="rId82" display="http://discuss.jiucaishuo.com/?/invest/showData/search_gu-si801035" xr:uid="{00000000-0004-0000-0600-000051000000}"/>
    <hyperlink ref="L84" r:id="rId83" display="http://discuss.jiucaishuo.com/?/invest/showData/search_gu-si801034" xr:uid="{00000000-0004-0000-0600-000052000000}"/>
    <hyperlink ref="L85" r:id="rId84" display="http://discuss.jiucaishuo.com/?/invest/showData/search_gu-si801033" xr:uid="{00000000-0004-0000-0600-000053000000}"/>
    <hyperlink ref="L86" r:id="rId85" display="http://discuss.jiucaishuo.com/?/invest/showData/search_gu-si801032" xr:uid="{00000000-0004-0000-0600-000054000000}"/>
    <hyperlink ref="L87" r:id="rId86" display="http://discuss.jiucaishuo.com/?/invest/showData/search_gu-si801055" xr:uid="{00000000-0004-0000-0600-000055000000}"/>
    <hyperlink ref="L88" r:id="rId87" display="http://discuss.jiucaishuo.com/?/invest/showData/search_gu-si801054" xr:uid="{00000000-0004-0000-0600-000056000000}"/>
    <hyperlink ref="L89" r:id="rId88" display="http://discuss.jiucaishuo.com/?/invest/showData/search_gu-si801053" xr:uid="{00000000-0004-0000-0600-000057000000}"/>
    <hyperlink ref="L90" r:id="rId89" display="http://discuss.jiucaishuo.com/?/invest/showData/search_gu-si801051" xr:uid="{00000000-0004-0000-0600-000058000000}"/>
    <hyperlink ref="L91" r:id="rId90" display="http://discuss.jiucaishuo.com/?/invest/showData/search_gu-si801021" xr:uid="{00000000-0004-0000-0600-000059000000}"/>
    <hyperlink ref="L92" r:id="rId91" display="http://discuss.jiucaishuo.com/?/invest/showData/search_gu-si801023" xr:uid="{00000000-0004-0000-0600-00005A000000}"/>
    <hyperlink ref="L93" r:id="rId92" display="http://discuss.jiucaishuo.com/?/invest/showData/search_gu-si801024" xr:uid="{00000000-0004-0000-0600-00005B000000}"/>
    <hyperlink ref="L94" r:id="rId93" display="http://discuss.jiucaishuo.com/?/invest/showData/search_gu-si801075" xr:uid="{00000000-0004-0000-0600-00005C000000}"/>
    <hyperlink ref="L95" r:id="rId94" display="http://discuss.jiucaishuo.com/?/invest/showData/search_gu-si801041" xr:uid="{00000000-0004-0000-0600-00005D000000}"/>
    <hyperlink ref="L96" r:id="rId95" display="http://discuss.jiucaishuo.com/?/invest/showData/search_gu-si801022" xr:uid="{00000000-0004-0000-0600-00005E000000}"/>
    <hyperlink ref="L97" r:id="rId96" display="http://discuss.jiucaishuo.com/?/invest/showData/search_gu-si801144" xr:uid="{00000000-0004-0000-0600-00005F000000}"/>
    <hyperlink ref="L98" r:id="rId97" display="http://discuss.jiucaishuo.com/?/invest/showData/search_gu-si801141" xr:uid="{00000000-0004-0000-0600-000060000000}"/>
    <hyperlink ref="L99" r:id="rId98" display="http://discuss.jiucaishuo.com/?/invest/showData/search_gu-si801142" xr:uid="{00000000-0004-0000-0600-000061000000}"/>
    <hyperlink ref="L100" r:id="rId99" display="http://discuss.jiucaishuo.com/?/invest/showData/search_gu-si801143" xr:uid="{00000000-0004-0000-0600-000062000000}"/>
    <hyperlink ref="L101" r:id="rId100" display="http://discuss.jiucaishuo.com/?/invest/showData/search_gu-si801194" xr:uid="{00000000-0004-0000-0600-000063000000}"/>
    <hyperlink ref="L102" r:id="rId101" display="http://discuss.jiucaishuo.com/?/invest/showData/search_gu-si801193" xr:uid="{00000000-0004-0000-0600-000064000000}"/>
    <hyperlink ref="L103" r:id="rId102" display="http://discuss.jiucaishuo.com/?/invest/showData/search_gu-si801192" xr:uid="{00000000-0004-0000-0600-000065000000}"/>
    <hyperlink ref="L104" r:id="rId103" display="http://discuss.jiucaishuo.com/?/invest/showData/search_gu-si801191" xr:uid="{00000000-0004-0000-0600-000066000000}"/>
    <hyperlink ref="L105" r:id="rId104" display="http://discuss.jiucaishuo.com/?/invest/showData/search_gu-si801073" xr:uid="{00000000-0004-0000-0600-000067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53"/>
  <sheetViews>
    <sheetView topLeftCell="A13" zoomScale="150" workbookViewId="0">
      <selection activeCell="B28" sqref="B28:E28"/>
    </sheetView>
  </sheetViews>
  <sheetFormatPr baseColWidth="10" defaultRowHeight="16"/>
  <cols>
    <col min="1" max="5" width="10.83203125" style="182" customWidth="1"/>
  </cols>
  <sheetData>
    <row r="1" spans="1:18" ht="17" customHeight="1"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</row>
    <row r="2" spans="1:18" ht="17" customHeight="1">
      <c r="B2">
        <v>19</v>
      </c>
      <c r="C2">
        <v>20</v>
      </c>
      <c r="D2">
        <v>21</v>
      </c>
      <c r="E2">
        <v>22</v>
      </c>
      <c r="H2" s="131"/>
      <c r="I2" s="131"/>
      <c r="J2" s="131"/>
      <c r="K2" s="131"/>
      <c r="L2" s="131"/>
      <c r="M2" s="131"/>
      <c r="N2" s="131"/>
      <c r="O2" s="131"/>
      <c r="P2" s="131"/>
      <c r="Q2" s="132"/>
      <c r="R2" s="133"/>
    </row>
    <row r="3" spans="1:18" ht="17" customHeight="1">
      <c r="A3" t="s">
        <v>725</v>
      </c>
      <c r="B3" s="165">
        <v>39.11</v>
      </c>
      <c r="C3" s="165">
        <v>10.74</v>
      </c>
      <c r="D3" s="165">
        <v>17.89</v>
      </c>
      <c r="E3" s="165">
        <v>17.760000000000002</v>
      </c>
      <c r="H3" s="131"/>
      <c r="I3" s="131"/>
      <c r="J3" s="131"/>
      <c r="K3" s="131"/>
      <c r="L3" s="131"/>
      <c r="M3" s="131"/>
      <c r="N3" s="131"/>
      <c r="O3" s="131"/>
      <c r="P3" s="131"/>
      <c r="Q3" s="132"/>
      <c r="R3" s="133"/>
    </row>
    <row r="4" spans="1:18" ht="17" customHeight="1">
      <c r="A4" t="s">
        <v>726</v>
      </c>
      <c r="B4" s="165">
        <v>19.32</v>
      </c>
      <c r="C4" s="165">
        <v>17.46</v>
      </c>
      <c r="D4" s="165">
        <v>18.39</v>
      </c>
      <c r="H4" s="131"/>
      <c r="I4" s="131"/>
      <c r="J4" s="131"/>
      <c r="K4" s="131"/>
      <c r="L4" s="131"/>
      <c r="M4" s="131"/>
      <c r="N4" s="131"/>
      <c r="O4" s="131"/>
      <c r="P4" s="131"/>
      <c r="Q4" s="132"/>
      <c r="R4" s="133"/>
    </row>
    <row r="5" spans="1:18" ht="17" customHeight="1">
      <c r="A5" t="s">
        <v>727</v>
      </c>
      <c r="B5" s="165">
        <v>15.28</v>
      </c>
      <c r="C5" s="165">
        <v>12.89</v>
      </c>
      <c r="D5" s="165">
        <v>14.37</v>
      </c>
      <c r="H5" s="131"/>
      <c r="I5" s="131"/>
      <c r="J5" s="131"/>
      <c r="K5" s="131"/>
      <c r="L5" s="131"/>
      <c r="M5" s="131"/>
      <c r="N5" s="131"/>
      <c r="O5" s="131"/>
      <c r="P5" s="131"/>
      <c r="Q5" s="132"/>
      <c r="R5" s="133"/>
    </row>
    <row r="6" spans="1:18" ht="17" customHeight="1">
      <c r="A6" t="s">
        <v>728</v>
      </c>
      <c r="B6" s="165">
        <v>30.72</v>
      </c>
      <c r="C6" s="165">
        <v>21.49</v>
      </c>
      <c r="D6" s="165">
        <v>18.7</v>
      </c>
      <c r="E6" s="165"/>
      <c r="H6" s="131"/>
      <c r="I6" s="131"/>
      <c r="J6" s="131"/>
      <c r="K6" s="131"/>
      <c r="L6" s="131"/>
      <c r="M6" s="131"/>
      <c r="N6" s="131"/>
      <c r="O6" s="131"/>
      <c r="P6" s="131"/>
      <c r="Q6" s="132"/>
      <c r="R6" s="133"/>
    </row>
    <row r="7" spans="1:18" ht="17" customHeight="1">
      <c r="A7" t="s">
        <v>729</v>
      </c>
      <c r="B7" s="165">
        <v>-4.6500000000000004</v>
      </c>
      <c r="C7" s="165">
        <v>5.71</v>
      </c>
      <c r="D7" s="165">
        <v>2.64</v>
      </c>
      <c r="E7" s="165">
        <v>31.03</v>
      </c>
      <c r="F7" s="165"/>
      <c r="H7" s="131"/>
      <c r="I7" s="131"/>
      <c r="J7" s="131"/>
      <c r="K7" s="131"/>
      <c r="L7" s="131"/>
      <c r="M7" s="131"/>
      <c r="N7" s="131"/>
      <c r="O7" s="131"/>
      <c r="P7" s="131"/>
      <c r="Q7" s="132"/>
      <c r="R7" s="133"/>
    </row>
    <row r="8" spans="1:18" ht="17" customHeight="1">
      <c r="A8" t="s">
        <v>730</v>
      </c>
      <c r="B8" s="165">
        <v>29.75</v>
      </c>
      <c r="C8" s="165">
        <v>29.4</v>
      </c>
      <c r="D8" s="165">
        <v>26.95</v>
      </c>
      <c r="H8" s="131"/>
      <c r="I8" s="131"/>
      <c r="J8" s="131"/>
      <c r="K8" s="131"/>
      <c r="L8" s="131"/>
      <c r="M8" s="131"/>
      <c r="N8" s="131"/>
      <c r="O8" s="131"/>
      <c r="P8" s="131"/>
      <c r="Q8" s="132"/>
      <c r="R8" s="133"/>
    </row>
    <row r="9" spans="1:18" ht="17" customHeight="1">
      <c r="A9" t="s">
        <v>731</v>
      </c>
      <c r="B9" s="165">
        <v>17.489999999999998</v>
      </c>
      <c r="C9" s="165">
        <v>13.19</v>
      </c>
      <c r="D9" s="165">
        <v>12.75</v>
      </c>
      <c r="H9" s="131"/>
      <c r="I9" s="131"/>
      <c r="J9" s="131"/>
      <c r="K9" s="131"/>
      <c r="L9" s="131"/>
      <c r="M9" s="131"/>
      <c r="N9" s="131"/>
      <c r="O9" s="131"/>
      <c r="P9" s="131"/>
      <c r="Q9" s="132"/>
      <c r="R9" s="133"/>
    </row>
    <row r="10" spans="1:18" ht="17" customHeight="1">
      <c r="A10" t="s">
        <v>732</v>
      </c>
      <c r="B10" s="165">
        <v>7.59</v>
      </c>
      <c r="C10" s="165">
        <v>11.43</v>
      </c>
      <c r="D10" s="165">
        <v>11.27</v>
      </c>
      <c r="E10" s="165"/>
      <c r="H10" s="131"/>
      <c r="I10" s="131"/>
      <c r="J10" s="131"/>
      <c r="K10" s="131"/>
      <c r="L10" s="131"/>
      <c r="M10" s="131"/>
      <c r="N10" s="131"/>
      <c r="O10" s="131"/>
      <c r="P10" s="131"/>
      <c r="Q10" s="132"/>
      <c r="R10" s="133"/>
    </row>
    <row r="11" spans="1:18" ht="17" customHeight="1">
      <c r="A11" t="s">
        <v>733</v>
      </c>
      <c r="B11" s="165">
        <v>4.09</v>
      </c>
      <c r="C11" s="165">
        <v>16.37</v>
      </c>
      <c r="D11" s="165">
        <v>14.88</v>
      </c>
      <c r="E11" s="165"/>
      <c r="H11" s="131"/>
      <c r="I11" s="131"/>
      <c r="J11" s="131"/>
      <c r="K11" s="131"/>
      <c r="L11" s="131"/>
      <c r="M11" s="131"/>
      <c r="N11" s="131"/>
      <c r="O11" s="131"/>
      <c r="P11" s="131"/>
      <c r="Q11" s="132"/>
      <c r="R11" s="133"/>
    </row>
    <row r="12" spans="1:18" ht="17" customHeight="1">
      <c r="A12" t="s">
        <v>734</v>
      </c>
      <c r="B12" s="165">
        <v>9.2100000000000009</v>
      </c>
      <c r="C12" s="165">
        <v>24.99</v>
      </c>
      <c r="D12" s="165">
        <v>23.19</v>
      </c>
      <c r="E12" s="165"/>
      <c r="H12" s="131"/>
      <c r="I12" s="131"/>
      <c r="J12" s="131"/>
      <c r="K12" s="131"/>
      <c r="L12" s="131"/>
      <c r="M12" s="131"/>
      <c r="N12" s="131"/>
      <c r="O12" s="131"/>
      <c r="P12" s="131"/>
      <c r="Q12" s="132"/>
      <c r="R12" s="133"/>
    </row>
    <row r="13" spans="1:18" ht="17" customHeight="1">
      <c r="A13" t="s">
        <v>735</v>
      </c>
      <c r="B13" s="165">
        <v>25.85</v>
      </c>
      <c r="C13" s="165">
        <v>21.76</v>
      </c>
      <c r="D13" s="165">
        <v>21.67</v>
      </c>
      <c r="H13" s="131"/>
      <c r="I13" s="131"/>
      <c r="J13" s="131"/>
      <c r="K13" s="131"/>
      <c r="L13" s="131"/>
      <c r="M13" s="131"/>
      <c r="N13" s="131"/>
      <c r="O13" s="131"/>
      <c r="P13" s="131"/>
      <c r="Q13" s="132"/>
      <c r="R13" s="133"/>
    </row>
    <row r="14" spans="1:18" ht="17" customHeight="1">
      <c r="A14" t="s">
        <v>736</v>
      </c>
      <c r="B14" s="165">
        <v>20.59</v>
      </c>
      <c r="C14" s="165">
        <v>19.489999999999998</v>
      </c>
      <c r="D14" s="165">
        <v>17.79</v>
      </c>
      <c r="E14" s="165"/>
      <c r="H14" s="131"/>
      <c r="I14" s="131"/>
      <c r="J14" s="131"/>
      <c r="K14" s="131"/>
      <c r="L14" s="131"/>
      <c r="M14" s="131"/>
      <c r="N14" s="131"/>
      <c r="O14" s="131"/>
      <c r="P14" s="131"/>
      <c r="Q14" s="132"/>
      <c r="R14" s="133"/>
    </row>
    <row r="15" spans="1:18" ht="17" customHeight="1">
      <c r="A15" t="s">
        <v>737</v>
      </c>
      <c r="B15" s="165">
        <v>10</v>
      </c>
      <c r="C15" s="165">
        <v>7.83</v>
      </c>
      <c r="D15" s="165">
        <v>15.45</v>
      </c>
      <c r="H15" s="131"/>
      <c r="I15" s="131"/>
      <c r="J15" s="131"/>
      <c r="K15" s="131"/>
      <c r="L15" s="131"/>
      <c r="M15" s="131"/>
      <c r="N15" s="131"/>
      <c r="O15" s="131"/>
      <c r="P15" s="131"/>
      <c r="Q15" s="132"/>
      <c r="R15" s="133"/>
    </row>
    <row r="16" spans="1:18" ht="17" customHeight="1">
      <c r="A16" t="s">
        <v>738</v>
      </c>
      <c r="B16" s="165">
        <v>-1.76</v>
      </c>
      <c r="C16" s="165">
        <v>25.89</v>
      </c>
      <c r="D16" s="165">
        <v>26.64</v>
      </c>
      <c r="E16" s="165"/>
      <c r="H16" s="131"/>
      <c r="I16" s="131"/>
      <c r="J16" s="131"/>
      <c r="K16" s="131"/>
      <c r="L16" s="131"/>
      <c r="M16" s="131"/>
      <c r="N16" s="131"/>
      <c r="O16" s="131"/>
      <c r="P16" s="131"/>
      <c r="Q16" s="132"/>
      <c r="R16" s="133"/>
    </row>
    <row r="17" spans="1:18" ht="17" customHeight="1">
      <c r="A17" t="s">
        <v>739</v>
      </c>
      <c r="B17" s="165">
        <v>-9.5299999999999994</v>
      </c>
      <c r="C17" s="165">
        <v>23.08</v>
      </c>
      <c r="D17" s="165">
        <v>13.9</v>
      </c>
      <c r="H17" s="131"/>
      <c r="I17" s="131"/>
      <c r="J17" s="131"/>
      <c r="K17" s="131"/>
      <c r="L17" s="131"/>
      <c r="M17" s="131"/>
      <c r="N17" s="131"/>
      <c r="O17" s="131"/>
      <c r="P17" s="131"/>
      <c r="Q17" s="132"/>
      <c r="R17" s="133"/>
    </row>
    <row r="18" spans="1:18" ht="17" customHeight="1">
      <c r="A18" t="s">
        <v>740</v>
      </c>
      <c r="B18" s="165">
        <v>-21.85</v>
      </c>
      <c r="C18" s="165">
        <v>12.34</v>
      </c>
      <c r="D18" s="165">
        <v>8.6300000000000008</v>
      </c>
      <c r="H18" s="131"/>
      <c r="I18" s="131"/>
      <c r="J18" s="131"/>
      <c r="K18" s="131"/>
      <c r="L18" s="131"/>
      <c r="M18" s="131"/>
      <c r="N18" s="131"/>
      <c r="O18" s="131"/>
      <c r="P18" s="131"/>
      <c r="Q18" s="132"/>
      <c r="R18" s="133"/>
    </row>
    <row r="19" spans="1:18" ht="17" customHeight="1">
      <c r="A19" t="s">
        <v>741</v>
      </c>
      <c r="B19" s="165">
        <v>10.92</v>
      </c>
      <c r="C19" s="165">
        <v>10.6</v>
      </c>
      <c r="D19" s="165">
        <v>10.58</v>
      </c>
      <c r="H19" s="131"/>
      <c r="I19" s="131"/>
      <c r="J19" s="131"/>
      <c r="K19" s="131"/>
      <c r="L19" s="131"/>
      <c r="M19" s="131"/>
      <c r="N19" s="131"/>
      <c r="O19" s="131"/>
      <c r="P19" s="131"/>
      <c r="Q19" s="132"/>
      <c r="R19" s="133"/>
    </row>
    <row r="20" spans="1:18" ht="17" customHeight="1">
      <c r="A20" t="s">
        <v>742</v>
      </c>
      <c r="B20" s="165">
        <v>-0.24</v>
      </c>
      <c r="C20" s="165">
        <v>17.38</v>
      </c>
      <c r="D20" s="165">
        <v>19.86</v>
      </c>
      <c r="H20" s="131"/>
      <c r="I20" s="131"/>
      <c r="J20" s="131"/>
      <c r="K20" s="131"/>
      <c r="L20" s="131"/>
      <c r="M20" s="131"/>
      <c r="N20" s="131"/>
      <c r="O20" s="131"/>
      <c r="P20" s="131"/>
      <c r="Q20" s="132"/>
      <c r="R20" s="133"/>
    </row>
    <row r="21" spans="1:18" ht="17" customHeight="1">
      <c r="A21" t="s">
        <v>743</v>
      </c>
      <c r="B21" s="165">
        <v>50.38</v>
      </c>
      <c r="C21" s="165">
        <v>9.9499999999999993</v>
      </c>
      <c r="D21" s="165">
        <v>23.14</v>
      </c>
      <c r="H21" s="131"/>
      <c r="I21" s="131"/>
      <c r="J21" s="131"/>
      <c r="K21" s="131"/>
      <c r="L21" s="131"/>
      <c r="M21" s="131"/>
      <c r="N21" s="131"/>
      <c r="O21" s="131"/>
      <c r="P21" s="131"/>
      <c r="Q21" s="132"/>
      <c r="R21" s="133"/>
    </row>
    <row r="22" spans="1:18" ht="17" customHeight="1">
      <c r="A22" t="s">
        <v>744</v>
      </c>
      <c r="B22" s="165">
        <v>22.6</v>
      </c>
      <c r="C22" s="165">
        <v>16.12</v>
      </c>
      <c r="D22" s="165">
        <v>19.600000000000001</v>
      </c>
      <c r="H22" s="131"/>
      <c r="I22" s="131"/>
      <c r="J22" s="131"/>
      <c r="K22" s="131"/>
      <c r="L22" s="131"/>
      <c r="M22" s="131"/>
      <c r="N22" s="131"/>
      <c r="O22" s="131"/>
      <c r="P22" s="131"/>
      <c r="Q22" s="132"/>
      <c r="R22" s="133"/>
    </row>
    <row r="23" spans="1:18" ht="17" customHeight="1">
      <c r="A23" t="s">
        <v>745</v>
      </c>
      <c r="B23" s="165">
        <v>211.19</v>
      </c>
      <c r="C23" s="165">
        <v>21.75</v>
      </c>
      <c r="D23" s="165">
        <v>17.97</v>
      </c>
      <c r="H23" s="131"/>
      <c r="I23" s="131"/>
      <c r="J23" s="131"/>
      <c r="K23" s="131"/>
      <c r="L23" s="131"/>
      <c r="M23" s="131"/>
      <c r="N23" s="131"/>
      <c r="O23" s="131"/>
      <c r="P23" s="131"/>
      <c r="Q23" s="132"/>
      <c r="R23" s="133"/>
    </row>
    <row r="24" spans="1:18" ht="17" customHeight="1">
      <c r="A24" t="s">
        <v>746</v>
      </c>
      <c r="B24" s="165">
        <v>36.92</v>
      </c>
      <c r="C24" s="165">
        <v>32.590000000000003</v>
      </c>
      <c r="D24" s="165">
        <v>30.67</v>
      </c>
      <c r="H24" s="131"/>
      <c r="I24" s="131"/>
      <c r="J24" s="131"/>
      <c r="K24" s="131"/>
      <c r="L24" s="131"/>
      <c r="M24" s="131"/>
      <c r="N24" s="131"/>
      <c r="O24" s="131"/>
      <c r="P24" s="131"/>
      <c r="Q24" s="132"/>
      <c r="R24" s="133"/>
    </row>
    <row r="25" spans="1:18" ht="17" customHeight="1">
      <c r="A25" t="s">
        <v>747</v>
      </c>
      <c r="B25" s="165">
        <v>9.44</v>
      </c>
      <c r="C25" s="165">
        <v>7.71</v>
      </c>
      <c r="D25" s="165">
        <v>10.68</v>
      </c>
      <c r="H25" s="131"/>
      <c r="I25" s="131"/>
      <c r="J25" s="131"/>
      <c r="K25" s="131"/>
      <c r="L25" s="131"/>
      <c r="M25" s="131"/>
      <c r="N25" s="131"/>
      <c r="O25" s="131"/>
      <c r="P25" s="131"/>
      <c r="Q25" s="132"/>
      <c r="R25" s="133"/>
    </row>
    <row r="26" spans="1:18" ht="17" customHeight="1">
      <c r="A26" t="s">
        <v>748</v>
      </c>
      <c r="B26" s="165">
        <v>29.73</v>
      </c>
      <c r="C26" s="165">
        <v>67.17</v>
      </c>
      <c r="D26" s="165">
        <v>46.59</v>
      </c>
      <c r="H26" s="131"/>
      <c r="I26" s="131"/>
      <c r="J26" s="131"/>
      <c r="K26" s="131"/>
      <c r="L26" s="131"/>
      <c r="M26" s="131"/>
      <c r="N26" s="131"/>
      <c r="O26" s="131"/>
      <c r="P26" s="131"/>
      <c r="Q26" s="132"/>
      <c r="R26" s="133"/>
    </row>
    <row r="27" spans="1:18" ht="17" customHeight="1">
      <c r="A27" t="s">
        <v>749</v>
      </c>
      <c r="B27" s="165">
        <v>20.8</v>
      </c>
      <c r="C27" s="165">
        <v>3.97</v>
      </c>
      <c r="D27" s="165">
        <v>12.91</v>
      </c>
      <c r="H27" s="131"/>
      <c r="I27" s="131"/>
      <c r="J27" s="131"/>
      <c r="K27" s="131"/>
      <c r="L27" s="131"/>
      <c r="M27" s="131"/>
      <c r="N27" s="131"/>
      <c r="O27" s="131"/>
      <c r="P27" s="131"/>
      <c r="Q27" s="132"/>
      <c r="R27" s="133"/>
    </row>
    <row r="28" spans="1:18" ht="17" customHeight="1">
      <c r="A28" t="s">
        <v>750</v>
      </c>
      <c r="B28" s="165">
        <v>14.7</v>
      </c>
      <c r="C28" s="165">
        <v>14.41</v>
      </c>
      <c r="D28" s="165">
        <v>13.41</v>
      </c>
      <c r="E28" s="165"/>
      <c r="H28" s="131"/>
      <c r="I28" s="131"/>
      <c r="J28" s="131"/>
      <c r="K28" s="131"/>
      <c r="L28" s="131"/>
      <c r="M28" s="131"/>
      <c r="N28" s="131"/>
      <c r="O28" s="131"/>
      <c r="P28" s="131"/>
      <c r="Q28" s="132"/>
      <c r="R28" s="133"/>
    </row>
    <row r="29" spans="1:18" ht="17" customHeight="1">
      <c r="H29" s="131"/>
      <c r="I29" s="131"/>
      <c r="J29" s="131"/>
      <c r="K29" s="131"/>
      <c r="L29" s="131"/>
      <c r="M29" s="131"/>
      <c r="N29" s="131"/>
      <c r="O29" s="131"/>
      <c r="P29" s="131"/>
      <c r="Q29" s="132"/>
      <c r="R29" s="133"/>
    </row>
    <row r="30" spans="1:18" ht="17" customHeight="1">
      <c r="B30" s="166"/>
      <c r="D30" s="166"/>
      <c r="H30" s="131"/>
      <c r="I30" s="131"/>
      <c r="J30" s="131"/>
      <c r="K30" s="131"/>
      <c r="L30" s="131"/>
      <c r="M30" s="131"/>
      <c r="N30" s="131"/>
      <c r="O30" s="131"/>
      <c r="P30" s="131"/>
      <c r="Q30" s="132"/>
      <c r="R30" s="133"/>
    </row>
    <row r="31" spans="1:18">
      <c r="B31" s="166"/>
      <c r="D31" s="166"/>
    </row>
    <row r="32" spans="1:18">
      <c r="B32" s="166"/>
      <c r="D32" s="166"/>
    </row>
    <row r="37" spans="5:5" ht="19" customHeight="1">
      <c r="E37" s="165"/>
    </row>
    <row r="51" spans="6:10" ht="18" customHeight="1">
      <c r="F51" s="148"/>
    </row>
    <row r="52" spans="6:10" ht="18" customHeight="1">
      <c r="F52" s="149"/>
      <c r="G52" s="149"/>
      <c r="H52" s="149"/>
      <c r="I52" s="149"/>
    </row>
    <row r="53" spans="6:10" ht="18" customHeight="1">
      <c r="F53" s="149"/>
      <c r="G53" s="149"/>
      <c r="H53" s="149"/>
      <c r="I53" s="149"/>
      <c r="J53" s="14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46"/>
  <sheetViews>
    <sheetView zoomScale="115" workbookViewId="0">
      <pane ySplit="1" topLeftCell="A321" activePane="bottomLeft" state="frozen"/>
      <selection pane="bottomLeft" activeCell="C332" sqref="C332"/>
    </sheetView>
  </sheetViews>
  <sheetFormatPr baseColWidth="10" defaultRowHeight="16"/>
  <cols>
    <col min="1" max="2" width="22.83203125" style="182" customWidth="1"/>
    <col min="3" max="3" width="16.1640625" style="182" customWidth="1"/>
    <col min="4" max="4" width="10.83203125" style="111" customWidth="1"/>
    <col min="5" max="5" width="11.6640625" style="182" bestFit="1" customWidth="1"/>
    <col min="6" max="6" width="11.6640625" style="182" customWidth="1"/>
    <col min="7" max="7" width="10.83203125" style="182" customWidth="1"/>
    <col min="8" max="8" width="13.6640625" style="182" bestFit="1" customWidth="1"/>
    <col min="10" max="10" width="10.83203125" style="182" customWidth="1"/>
    <col min="11" max="11" width="13.6640625" style="182" bestFit="1" customWidth="1"/>
  </cols>
  <sheetData>
    <row r="1" spans="1:11">
      <c r="B1" t="s">
        <v>751</v>
      </c>
      <c r="C1" t="s">
        <v>752</v>
      </c>
      <c r="D1" s="111">
        <v>2014.03</v>
      </c>
      <c r="E1">
        <v>2019.03</v>
      </c>
      <c r="G1" s="86" t="s">
        <v>18</v>
      </c>
      <c r="H1" s="86" t="s">
        <v>1</v>
      </c>
      <c r="J1" s="86" t="s">
        <v>18</v>
      </c>
      <c r="K1" s="86" t="s">
        <v>1</v>
      </c>
    </row>
    <row r="2" spans="1:11">
      <c r="A2" s="88" t="s">
        <v>29</v>
      </c>
      <c r="B2" s="108">
        <f>(E3/D3)^(1/5)-1</f>
        <v>6.7059032095312165E-2</v>
      </c>
      <c r="C2" s="108">
        <f>(E2/D2)^(1/5)-1</f>
        <v>0.11988360401466758</v>
      </c>
      <c r="D2" s="111">
        <f>G2/H4</f>
        <v>1254.3103448275863</v>
      </c>
      <c r="E2" s="111">
        <f>J2/K4</f>
        <v>2209.375</v>
      </c>
      <c r="F2" s="111"/>
      <c r="G2">
        <v>1455</v>
      </c>
      <c r="H2" s="48">
        <v>7.21</v>
      </c>
      <c r="J2">
        <v>2828</v>
      </c>
      <c r="K2" s="41">
        <v>10.130000000000001</v>
      </c>
    </row>
    <row r="3" spans="1:11">
      <c r="A3" t="s">
        <v>31</v>
      </c>
      <c r="D3" s="111">
        <f>G2/H2</f>
        <v>201.80305131761443</v>
      </c>
      <c r="E3" s="111">
        <f>J2/K2</f>
        <v>279.17077986179663</v>
      </c>
      <c r="F3" s="111"/>
      <c r="G3" s="184"/>
      <c r="H3" s="48"/>
      <c r="J3" s="184"/>
      <c r="K3" s="42"/>
    </row>
    <row r="4" spans="1:11">
      <c r="A4" t="s">
        <v>33</v>
      </c>
      <c r="E4" s="111"/>
      <c r="F4" s="111"/>
      <c r="G4" s="184"/>
      <c r="H4" s="48">
        <v>1.1599999999999999</v>
      </c>
      <c r="J4" s="184"/>
      <c r="K4" s="42">
        <v>1.28</v>
      </c>
    </row>
    <row r="5" spans="1:11">
      <c r="A5">
        <v>2.4900000000000002</v>
      </c>
      <c r="E5" s="111"/>
      <c r="F5" s="111"/>
      <c r="G5" s="184"/>
      <c r="H5" s="48"/>
      <c r="J5" s="184"/>
      <c r="K5" s="42"/>
    </row>
    <row r="6" spans="1:11">
      <c r="E6" s="111"/>
      <c r="F6" s="111"/>
      <c r="H6" s="109">
        <f>H4/H2</f>
        <v>0.16088765603328709</v>
      </c>
      <c r="I6" s="109"/>
      <c r="J6" s="109"/>
      <c r="K6" s="109">
        <f>K4/K2</f>
        <v>0.12635735439289239</v>
      </c>
    </row>
    <row r="7" spans="1:11">
      <c r="A7" s="88" t="s">
        <v>36</v>
      </c>
      <c r="B7" s="108">
        <f>(E8/D8)^(1/5)-1</f>
        <v>3.430294679654855E-2</v>
      </c>
      <c r="C7" s="108">
        <f>(E7/D7)^(1/5)-1</f>
        <v>7.5980057783728183E-2</v>
      </c>
      <c r="D7" s="111">
        <f>G7/H9</f>
        <v>1707.0866141732283</v>
      </c>
      <c r="E7" s="111">
        <f>J7/K9</f>
        <v>2461.9354838709678</v>
      </c>
      <c r="F7" s="111"/>
      <c r="G7">
        <v>2168</v>
      </c>
      <c r="H7" s="48">
        <v>8.4600000000000009</v>
      </c>
      <c r="J7">
        <v>3816</v>
      </c>
      <c r="K7" s="41">
        <v>12.58</v>
      </c>
    </row>
    <row r="8" spans="1:11">
      <c r="A8" t="s">
        <v>37</v>
      </c>
      <c r="D8" s="111">
        <f>G7/H7</f>
        <v>256.26477541371156</v>
      </c>
      <c r="E8" s="111">
        <f>J7/K7</f>
        <v>303.33863275039744</v>
      </c>
      <c r="F8" s="111"/>
      <c r="G8" s="184"/>
      <c r="H8" s="49"/>
      <c r="J8" s="184"/>
      <c r="K8" s="42"/>
    </row>
    <row r="9" spans="1:11">
      <c r="A9" t="s">
        <v>38</v>
      </c>
      <c r="E9" s="111"/>
      <c r="F9" s="111"/>
      <c r="G9" s="184"/>
      <c r="H9" s="48">
        <v>1.27</v>
      </c>
      <c r="J9" s="184"/>
      <c r="K9" s="42">
        <v>1.55</v>
      </c>
    </row>
    <row r="10" spans="1:11">
      <c r="A10">
        <v>2.66</v>
      </c>
      <c r="E10" s="111"/>
      <c r="F10" s="111"/>
      <c r="G10" s="184"/>
      <c r="H10" s="49"/>
      <c r="J10" s="184"/>
      <c r="K10" s="42"/>
    </row>
    <row r="11" spans="1:11">
      <c r="E11" s="111"/>
      <c r="F11" s="111"/>
      <c r="H11" s="109">
        <f>H9/H7</f>
        <v>0.15011820330969267</v>
      </c>
      <c r="I11" s="109"/>
      <c r="J11" s="109"/>
      <c r="K11" s="109">
        <f>K9/K7</f>
        <v>0.1232114467408585</v>
      </c>
    </row>
    <row r="12" spans="1:11">
      <c r="A12" t="s">
        <v>100</v>
      </c>
      <c r="B12" s="108">
        <f>(E13/D13)^(1/5)-1</f>
        <v>7.7457547832471274E-2</v>
      </c>
      <c r="C12" s="108">
        <f>(E12/D12)^(1/5)-1</f>
        <v>7.2737088430575358E-2</v>
      </c>
      <c r="D12" s="111">
        <f>G12/H14</f>
        <v>1779.2022792022792</v>
      </c>
      <c r="E12" s="111">
        <f>J12/K14</f>
        <v>2527.5037369207771</v>
      </c>
      <c r="F12" s="111"/>
      <c r="G12">
        <v>6245</v>
      </c>
      <c r="H12" s="50">
        <v>17.059999999999999</v>
      </c>
      <c r="J12">
        <v>16909</v>
      </c>
      <c r="K12" s="43">
        <v>31.81</v>
      </c>
    </row>
    <row r="13" spans="1:11">
      <c r="A13" t="s">
        <v>101</v>
      </c>
      <c r="D13" s="111">
        <f>G12/H12</f>
        <v>366.06096131301291</v>
      </c>
      <c r="E13" s="111">
        <f>J12/K12</f>
        <v>531.56240176045276</v>
      </c>
      <c r="F13" s="111"/>
      <c r="H13" s="51"/>
      <c r="K13" s="96"/>
    </row>
    <row r="14" spans="1:11">
      <c r="A14" t="s">
        <v>102</v>
      </c>
      <c r="E14" s="111"/>
      <c r="F14" s="111"/>
      <c r="H14" s="52">
        <v>3.51</v>
      </c>
      <c r="K14" s="43">
        <v>6.69</v>
      </c>
    </row>
    <row r="15" spans="1:11">
      <c r="A15">
        <v>2.93</v>
      </c>
      <c r="E15" s="111"/>
      <c r="F15" s="111"/>
      <c r="H15" s="50"/>
      <c r="K15" s="96"/>
    </row>
    <row r="16" spans="1:11">
      <c r="E16" s="111"/>
      <c r="F16" s="111"/>
      <c r="H16" s="109">
        <f>H14/H12</f>
        <v>0.20574443141852286</v>
      </c>
      <c r="I16" s="109"/>
      <c r="J16" s="109"/>
      <c r="K16" s="109">
        <f>K14/K12</f>
        <v>0.21031122288588497</v>
      </c>
    </row>
    <row r="17" spans="1:17">
      <c r="A17" s="90" t="s">
        <v>143</v>
      </c>
      <c r="B17" s="108">
        <f>(E18/D18)^(1/4)-1</f>
        <v>0.12667668430919088</v>
      </c>
      <c r="C17" s="108">
        <f>(E17/D17)^(1/4)-1</f>
        <v>0.11043077057842821</v>
      </c>
      <c r="D17" s="111">
        <f>G17/H19</f>
        <v>1599.4426609306754</v>
      </c>
      <c r="E17" s="111">
        <f>J17/K19</f>
        <v>2431.8379225941894</v>
      </c>
      <c r="F17" s="111"/>
      <c r="G17">
        <v>7158.18</v>
      </c>
      <c r="H17" s="51">
        <v>35.994169061547638</v>
      </c>
      <c r="J17">
        <v>8660.4699999999993</v>
      </c>
      <c r="K17" s="96">
        <v>27.0255020604659</v>
      </c>
    </row>
    <row r="18" spans="1:17">
      <c r="A18" t="s">
        <v>144</v>
      </c>
      <c r="D18" s="111">
        <f>G17/H17</f>
        <v>198.87054449735979</v>
      </c>
      <c r="E18" s="111">
        <f>J17/K17</f>
        <v>320.45547130348848</v>
      </c>
      <c r="F18" s="111"/>
      <c r="H18" s="51">
        <v>41.069496744427667</v>
      </c>
      <c r="K18" s="96">
        <v>23.40346311226287</v>
      </c>
    </row>
    <row r="19" spans="1:17">
      <c r="A19" t="s">
        <v>102</v>
      </c>
      <c r="E19" s="111"/>
      <c r="F19" s="111"/>
      <c r="H19" s="51">
        <v>4.4754214545176856</v>
      </c>
      <c r="K19" s="96">
        <v>3.5612858568968071</v>
      </c>
    </row>
    <row r="20" spans="1:17">
      <c r="A20">
        <v>3.41</v>
      </c>
      <c r="E20" s="111"/>
      <c r="F20" s="111"/>
      <c r="H20" s="51">
        <v>4.5664628468838284</v>
      </c>
      <c r="K20" s="96">
        <v>2.701233557280279</v>
      </c>
    </row>
    <row r="21" spans="1:17">
      <c r="E21" s="111"/>
      <c r="F21" s="111"/>
      <c r="H21" s="109">
        <f>H19/H17</f>
        <v>0.12433740161816244</v>
      </c>
      <c r="I21" s="109"/>
      <c r="J21" s="109"/>
      <c r="K21" s="109">
        <f>K19/K17</f>
        <v>0.1317750119471939</v>
      </c>
    </row>
    <row r="22" spans="1:17">
      <c r="A22" s="88" t="s">
        <v>59</v>
      </c>
      <c r="B22" s="108">
        <f>(E23/D23)^(1/5)-1</f>
        <v>0.10044144174991487</v>
      </c>
      <c r="C22" s="108">
        <f>(E22/D22)^(1/5)-1</f>
        <v>8.9197945014001911E-2</v>
      </c>
      <c r="D22" s="111">
        <f>G22/H25</f>
        <v>429.92957746478874</v>
      </c>
      <c r="E22" s="111">
        <f>J22/K25</f>
        <v>659.06976744186045</v>
      </c>
      <c r="F22" s="111"/>
      <c r="G22">
        <v>1221</v>
      </c>
      <c r="H22" s="49"/>
      <c r="J22">
        <v>1417</v>
      </c>
      <c r="K22" s="42"/>
    </row>
    <row r="23" spans="1:17">
      <c r="A23" t="s">
        <v>60</v>
      </c>
      <c r="D23" s="111">
        <f>G22/H23</f>
        <v>31.259600614439321</v>
      </c>
      <c r="E23" s="111">
        <f>J22/K23</f>
        <v>50.444998220007122</v>
      </c>
      <c r="F23" s="111"/>
      <c r="G23" s="184"/>
      <c r="H23" s="49">
        <v>39.06</v>
      </c>
      <c r="J23" s="184"/>
      <c r="K23" s="42">
        <v>28.09</v>
      </c>
    </row>
    <row r="24" spans="1:17">
      <c r="A24" t="s">
        <v>61</v>
      </c>
      <c r="E24" s="111"/>
      <c r="F24" s="111"/>
      <c r="G24" s="184"/>
      <c r="H24" s="53"/>
      <c r="J24" s="184"/>
      <c r="K24" s="42"/>
    </row>
    <row r="25" spans="1:17">
      <c r="A25">
        <v>4.3</v>
      </c>
      <c r="E25" s="111"/>
      <c r="F25" s="111"/>
      <c r="G25" s="184"/>
      <c r="H25" s="53">
        <v>2.84</v>
      </c>
      <c r="J25" s="184"/>
      <c r="K25" s="42">
        <v>2.15</v>
      </c>
    </row>
    <row r="26" spans="1:17">
      <c r="E26" s="111"/>
      <c r="F26" s="111"/>
      <c r="H26" s="109">
        <f>H25/H23</f>
        <v>7.2708653353814642E-2</v>
      </c>
      <c r="I26" s="109"/>
      <c r="J26" s="109"/>
      <c r="K26" s="109">
        <f>K25/K23</f>
        <v>7.6539693841224637E-2</v>
      </c>
    </row>
    <row r="27" spans="1:17">
      <c r="A27" s="91" t="s">
        <v>62</v>
      </c>
      <c r="B27" s="108">
        <f>(E28/D28)^(1/4)-1</f>
        <v>0.22920160571555814</v>
      </c>
      <c r="C27" s="108">
        <f>(E27/D27)^(1/4)-1</f>
        <v>0.11492906749895337</v>
      </c>
      <c r="D27" s="111">
        <f>G27/H29</f>
        <v>1601.2515989212309</v>
      </c>
      <c r="E27" s="111">
        <f>J27/K29</f>
        <v>2474.2782020622531</v>
      </c>
      <c r="F27" s="111"/>
      <c r="G27">
        <v>6240.77</v>
      </c>
      <c r="H27" s="51">
        <v>64.590673619817949</v>
      </c>
      <c r="J27">
        <v>4847.04</v>
      </c>
      <c r="K27" s="96">
        <v>21.974336198138339</v>
      </c>
    </row>
    <row r="28" spans="1:17">
      <c r="A28" t="s">
        <v>63</v>
      </c>
      <c r="D28" s="111">
        <f>G27/H27</f>
        <v>96.620295938285182</v>
      </c>
      <c r="E28" s="111">
        <f>J27/K27</f>
        <v>220.57731147349244</v>
      </c>
      <c r="F28" s="111"/>
      <c r="H28" s="51">
        <v>65.297114842793079</v>
      </c>
      <c r="K28" s="96">
        <v>26.025725060110879</v>
      </c>
    </row>
    <row r="29" spans="1:17">
      <c r="A29" t="s">
        <v>64</v>
      </c>
      <c r="E29" s="111"/>
      <c r="F29" s="111"/>
      <c r="H29" s="50">
        <v>3.897432486065544</v>
      </c>
      <c r="K29" s="96">
        <v>1.9589713056357629</v>
      </c>
    </row>
    <row r="30" spans="1:17">
      <c r="A30">
        <v>5.04</v>
      </c>
      <c r="E30" s="111"/>
      <c r="F30" s="111"/>
      <c r="H30" s="50">
        <v>3.6543843362992789</v>
      </c>
      <c r="K30" s="96">
        <v>1.8367471547140231</v>
      </c>
    </row>
    <row r="31" spans="1:17">
      <c r="E31" s="111"/>
      <c r="F31" s="111"/>
      <c r="H31" s="109">
        <f>H29/H27</f>
        <v>6.0340483658769574E-2</v>
      </c>
      <c r="I31" s="109"/>
      <c r="J31" s="109"/>
      <c r="K31" s="109">
        <f>K29/K27</f>
        <v>8.9148144816393896E-2</v>
      </c>
    </row>
    <row r="32" spans="1:17">
      <c r="A32" s="90" t="s">
        <v>42</v>
      </c>
      <c r="B32" s="108">
        <f>(E33/D33)^(1/6)-1</f>
        <v>0.14049301597596453</v>
      </c>
      <c r="C32" s="108">
        <f>(E32/D32)^(1/6)-1</f>
        <v>0.10042194721036113</v>
      </c>
      <c r="D32" s="111">
        <f>G32/H34</f>
        <v>1517.6767676767677</v>
      </c>
      <c r="E32" s="111">
        <f>J32/K34</f>
        <v>2694.8509347166059</v>
      </c>
      <c r="F32" s="111"/>
      <c r="G32">
        <v>3005</v>
      </c>
      <c r="H32" s="54">
        <v>28.36</v>
      </c>
      <c r="J32">
        <v>4554.67</v>
      </c>
      <c r="K32" s="42">
        <v>19.532727253774979</v>
      </c>
      <c r="L32">
        <v>1651</v>
      </c>
      <c r="M32">
        <v>1875</v>
      </c>
      <c r="N32">
        <v>2025</v>
      </c>
      <c r="O32">
        <v>2254</v>
      </c>
      <c r="P32">
        <v>2543</v>
      </c>
      <c r="Q32">
        <v>2700</v>
      </c>
    </row>
    <row r="33" spans="1:17">
      <c r="A33" t="s">
        <v>43</v>
      </c>
      <c r="D33" s="111">
        <f>G32/H32</f>
        <v>105.95909732016925</v>
      </c>
      <c r="E33" s="111">
        <f>J32/K32</f>
        <v>233.18146722802086</v>
      </c>
      <c r="F33" s="111"/>
      <c r="G33" s="184"/>
      <c r="H33" s="49"/>
      <c r="J33" s="184"/>
      <c r="K33" s="42">
        <v>24.89961385263549</v>
      </c>
      <c r="M33">
        <f>M32/L32</f>
        <v>1.1356753482737734</v>
      </c>
      <c r="N33">
        <f>N32/M32</f>
        <v>1.08</v>
      </c>
      <c r="O33">
        <f>O32/N32</f>
        <v>1.1130864197530863</v>
      </c>
      <c r="P33">
        <f>P32/O32</f>
        <v>1.1282165039929015</v>
      </c>
      <c r="Q33">
        <f>Q32/P32</f>
        <v>1.0617381046008652</v>
      </c>
    </row>
    <row r="34" spans="1:17">
      <c r="A34" t="s">
        <v>41</v>
      </c>
      <c r="E34" s="111"/>
      <c r="F34" s="111"/>
      <c r="G34" s="184"/>
      <c r="H34" s="49">
        <v>1.98</v>
      </c>
      <c r="J34" s="184"/>
      <c r="K34" s="42">
        <v>1.6901380114662909</v>
      </c>
    </row>
    <row r="35" spans="1:17">
      <c r="A35">
        <v>4.3</v>
      </c>
      <c r="E35" s="111"/>
      <c r="F35" s="111"/>
      <c r="G35" s="184"/>
      <c r="H35" s="49"/>
      <c r="J35" s="184"/>
      <c r="K35" s="42">
        <v>1.5739362534911909</v>
      </c>
    </row>
    <row r="36" spans="1:17">
      <c r="E36" s="111"/>
      <c r="F36" s="111"/>
      <c r="H36" s="109">
        <f>H34/H32</f>
        <v>6.981664315937941E-2</v>
      </c>
      <c r="I36" s="109"/>
      <c r="J36" s="109"/>
      <c r="K36" s="109">
        <f>K34/K32</f>
        <v>8.6528521568315434E-2</v>
      </c>
    </row>
    <row r="37" spans="1:17">
      <c r="A37" s="90" t="s">
        <v>753</v>
      </c>
      <c r="B37" s="108">
        <f>(E38/D38)^(1/3)-1</f>
        <v>0.16129190672564309</v>
      </c>
      <c r="C37" s="108">
        <f>(E37/D37)^(1/3)-1</f>
        <v>0.20510333778059486</v>
      </c>
      <c r="D37" s="111">
        <f>G37/H39</f>
        <v>4905.0387596899227</v>
      </c>
      <c r="E37" s="111">
        <f>J37/K39</f>
        <v>8584.5060590126704</v>
      </c>
      <c r="F37" s="111"/>
      <c r="G37">
        <v>12655</v>
      </c>
      <c r="H37" s="54">
        <v>33.18</v>
      </c>
      <c r="J37">
        <v>14509</v>
      </c>
      <c r="K37" s="42">
        <v>24.29</v>
      </c>
    </row>
    <row r="38" spans="1:17">
      <c r="D38" s="111">
        <f>G37/H37</f>
        <v>381.40446051838455</v>
      </c>
      <c r="E38" s="111">
        <f>J37/K37</f>
        <v>597.32400164676824</v>
      </c>
      <c r="F38" s="111"/>
      <c r="G38" s="184"/>
      <c r="H38" s="49"/>
      <c r="J38" s="184"/>
      <c r="K38" s="42"/>
    </row>
    <row r="39" spans="1:17">
      <c r="E39" s="111"/>
      <c r="F39" s="111"/>
      <c r="G39" s="184"/>
      <c r="H39" s="49">
        <v>2.58</v>
      </c>
      <c r="J39" s="184"/>
      <c r="K39" s="42">
        <v>1.6901380114662909</v>
      </c>
    </row>
    <row r="40" spans="1:17">
      <c r="A40">
        <v>4.3</v>
      </c>
      <c r="E40" s="111"/>
      <c r="F40" s="111"/>
      <c r="G40" s="184"/>
      <c r="H40" s="49"/>
      <c r="J40" s="184"/>
      <c r="K40" s="42"/>
    </row>
    <row r="41" spans="1:17">
      <c r="E41" s="111"/>
      <c r="F41" s="111"/>
      <c r="H41" s="109">
        <f>H39/H37</f>
        <v>7.7757685352622063E-2</v>
      </c>
      <c r="I41" s="109"/>
      <c r="J41" s="109"/>
      <c r="K41" s="109">
        <f>K39/K37</f>
        <v>6.9581639006434381E-2</v>
      </c>
    </row>
    <row r="42" spans="1:17">
      <c r="A42" s="91" t="s">
        <v>56</v>
      </c>
      <c r="B42" s="108">
        <f>(E43/D43)^(1/5)-1</f>
        <v>8.7477519757491518E-2</v>
      </c>
      <c r="C42" s="108">
        <f>(E42/D42)^(1/5)-1</f>
        <v>0.13355211644259346</v>
      </c>
      <c r="D42" s="111">
        <f>G42/H44</f>
        <v>2178.8461538461538</v>
      </c>
      <c r="E42" s="111">
        <f>J42/K44</f>
        <v>4077.8761061946907</v>
      </c>
      <c r="F42" s="111"/>
      <c r="G42">
        <v>2266</v>
      </c>
      <c r="H42" s="48">
        <v>6.26</v>
      </c>
      <c r="J42">
        <v>4608</v>
      </c>
      <c r="K42" s="42">
        <v>8.3699999999999992</v>
      </c>
    </row>
    <row r="43" spans="1:17">
      <c r="A43" t="s">
        <v>57</v>
      </c>
      <c r="D43" s="111">
        <f>G42/H42</f>
        <v>361.98083067092654</v>
      </c>
      <c r="E43" s="111">
        <f>J42/K42</f>
        <v>550.53763440860223</v>
      </c>
      <c r="F43" s="111"/>
      <c r="G43" s="184"/>
      <c r="H43" s="49"/>
      <c r="J43" s="184"/>
      <c r="K43" s="42"/>
    </row>
    <row r="44" spans="1:17">
      <c r="A44" t="s">
        <v>58</v>
      </c>
      <c r="E44" s="111"/>
      <c r="F44" s="111"/>
      <c r="G44" s="184"/>
      <c r="H44" s="48">
        <v>1.04</v>
      </c>
      <c r="J44" s="184"/>
      <c r="K44" s="42">
        <v>1.1299999999999999</v>
      </c>
    </row>
    <row r="45" spans="1:17">
      <c r="A45">
        <v>3</v>
      </c>
      <c r="E45" s="111"/>
      <c r="F45" s="111"/>
      <c r="G45" s="184"/>
      <c r="H45" s="49"/>
      <c r="J45" s="184"/>
      <c r="K45" s="42"/>
    </row>
    <row r="46" spans="1:17">
      <c r="E46" s="111"/>
      <c r="F46" s="111"/>
      <c r="H46" s="109">
        <f>H44/H42</f>
        <v>0.1661341853035144</v>
      </c>
      <c r="I46" s="109"/>
      <c r="J46" s="109"/>
      <c r="K46" s="109">
        <f>K44/K42</f>
        <v>0.13500597371565112</v>
      </c>
    </row>
    <row r="47" spans="1:17">
      <c r="A47" s="88" t="s">
        <v>129</v>
      </c>
      <c r="B47" s="108">
        <f>(E48/D48)^(1/4)-1</f>
        <v>-8.1024662187364149E-2</v>
      </c>
      <c r="C47" s="108">
        <f>(E47/D47)^(1/4)-1</f>
        <v>-1.2192583370863819E-2</v>
      </c>
      <c r="D47" s="111">
        <f>G47/H49</f>
        <v>1685.4539103798077</v>
      </c>
      <c r="E47" s="111">
        <f>J47/K49</f>
        <v>1604.7449268077871</v>
      </c>
      <c r="F47" s="111"/>
      <c r="G47">
        <v>2013.18</v>
      </c>
      <c r="H47" s="55">
        <v>11.27196574612312</v>
      </c>
      <c r="J47">
        <v>1802.2</v>
      </c>
      <c r="K47" s="43">
        <v>14.14831147601285</v>
      </c>
    </row>
    <row r="48" spans="1:17">
      <c r="A48" t="s">
        <v>130</v>
      </c>
      <c r="D48" s="111">
        <f>G47/H47</f>
        <v>178.60061371215693</v>
      </c>
      <c r="E48" s="111">
        <f>J47/K47</f>
        <v>127.37915779246612</v>
      </c>
      <c r="F48" s="111"/>
      <c r="H48" s="51">
        <v>31.192223337050091</v>
      </c>
      <c r="K48" s="96">
        <v>12.643119128420871</v>
      </c>
    </row>
    <row r="49" spans="1:11">
      <c r="A49" t="s">
        <v>67</v>
      </c>
      <c r="E49" s="111"/>
      <c r="F49" s="111"/>
      <c r="H49" s="52">
        <v>1.1944438157590089</v>
      </c>
      <c r="K49" s="96">
        <v>1.123044522461895</v>
      </c>
    </row>
    <row r="50" spans="1:11">
      <c r="A50">
        <v>2.14</v>
      </c>
      <c r="E50" s="111"/>
      <c r="F50" s="111"/>
      <c r="H50" s="52">
        <v>1.5030558665428491</v>
      </c>
      <c r="K50" s="96">
        <v>1.137437778765692</v>
      </c>
    </row>
    <row r="51" spans="1:11">
      <c r="E51" s="111"/>
      <c r="F51" s="111"/>
      <c r="H51" s="109">
        <f>H49/H47</f>
        <v>0.10596588409344891</v>
      </c>
      <c r="I51" s="109"/>
      <c r="J51" s="109"/>
      <c r="K51" s="109">
        <f>K49/K47</f>
        <v>7.9376576092907825E-2</v>
      </c>
    </row>
    <row r="52" spans="1:11">
      <c r="A52" t="s">
        <v>125</v>
      </c>
      <c r="B52" s="108">
        <f>(E53/D53)^(1/4)-1</f>
        <v>0.25744152764001549</v>
      </c>
      <c r="C52" s="108">
        <f>(E52/D52)^(1/4)-1</f>
        <v>6.4662053546711507E-2</v>
      </c>
      <c r="D52" s="111">
        <f>G52/H54</f>
        <v>1163.0306624794052</v>
      </c>
      <c r="E52" s="111">
        <f>J52/K54</f>
        <v>1494.3016156005119</v>
      </c>
      <c r="F52" s="111"/>
      <c r="G52">
        <v>2188.14</v>
      </c>
      <c r="H52" s="55">
        <v>27.5008245053208</v>
      </c>
      <c r="J52">
        <v>2292.67</v>
      </c>
      <c r="K52" s="96">
        <v>11.52553148362232</v>
      </c>
    </row>
    <row r="53" spans="1:11">
      <c r="A53" t="s">
        <v>126</v>
      </c>
      <c r="D53" s="111">
        <f>G52/H52</f>
        <v>79.566341713741835</v>
      </c>
      <c r="E53" s="111">
        <f>J52/K52</f>
        <v>198.92097846054773</v>
      </c>
      <c r="F53" s="111"/>
      <c r="H53" s="55">
        <v>33.942365730139741</v>
      </c>
      <c r="K53" s="96">
        <v>13.706869168031741</v>
      </c>
    </row>
    <row r="54" spans="1:11">
      <c r="A54" t="s">
        <v>67</v>
      </c>
      <c r="E54" s="111"/>
      <c r="F54" s="111"/>
      <c r="H54" s="55">
        <v>1.8814121334816889</v>
      </c>
      <c r="K54" s="96">
        <v>1.534275260137927</v>
      </c>
    </row>
    <row r="55" spans="1:11">
      <c r="A55">
        <v>2.7</v>
      </c>
      <c r="E55" s="111"/>
      <c r="F55" s="111"/>
      <c r="H55" s="50">
        <v>2.0628507395390789</v>
      </c>
      <c r="K55" s="96">
        <v>1.5152591102944399</v>
      </c>
    </row>
    <row r="56" spans="1:11">
      <c r="E56" s="111"/>
      <c r="F56" s="111"/>
      <c r="H56" s="109">
        <f>H54/H52</f>
        <v>6.8412935514630749E-2</v>
      </c>
      <c r="I56" s="109"/>
      <c r="J56" s="109"/>
      <c r="K56" s="109">
        <f>K54/K52</f>
        <v>0.13311969711055138</v>
      </c>
    </row>
    <row r="57" spans="1:11">
      <c r="A57" t="s">
        <v>133</v>
      </c>
      <c r="B57" s="108">
        <f>(E58/D58)^(1/4)-1</f>
        <v>2.3558748886840508E-2</v>
      </c>
      <c r="C57" s="108">
        <f>(E57/D57)^(1/4)-1</f>
        <v>2.4959176001463579E-2</v>
      </c>
      <c r="D57" s="111">
        <f>G57/H59</f>
        <v>1464.0757537762984</v>
      </c>
      <c r="E57" s="111">
        <f>J57/K59</f>
        <v>1615.8082447107695</v>
      </c>
      <c r="F57" s="111"/>
      <c r="G57">
        <v>2680.25</v>
      </c>
      <c r="H57" s="50">
        <v>19.044297328370181</v>
      </c>
      <c r="J57">
        <v>2409.38</v>
      </c>
      <c r="K57" s="96">
        <v>15.59709977823662</v>
      </c>
    </row>
    <row r="58" spans="1:11">
      <c r="A58" t="s">
        <v>134</v>
      </c>
      <c r="D58" s="111">
        <f>G57/H57</f>
        <v>140.7376682786425</v>
      </c>
      <c r="E58" s="111">
        <f>J57/K57</f>
        <v>154.47615481449463</v>
      </c>
      <c r="F58" s="111"/>
      <c r="H58" s="50">
        <v>27.824224840889059</v>
      </c>
      <c r="K58" s="43">
        <v>24.617811427223561</v>
      </c>
    </row>
    <row r="59" spans="1:11">
      <c r="A59" t="s">
        <v>67</v>
      </c>
      <c r="E59" s="111"/>
      <c r="F59" s="111"/>
      <c r="H59" s="55">
        <v>1.8306771306654159</v>
      </c>
      <c r="K59" s="96">
        <v>1.4911299084448479</v>
      </c>
    </row>
    <row r="60" spans="1:11">
      <c r="A60">
        <v>3.76</v>
      </c>
      <c r="E60" s="111"/>
      <c r="F60" s="111"/>
      <c r="H60" s="50">
        <v>2.1890100902461702</v>
      </c>
      <c r="K60" s="96">
        <v>1.521939574333069</v>
      </c>
    </row>
    <row r="61" spans="1:11">
      <c r="E61" s="111"/>
      <c r="F61" s="111"/>
      <c r="H61" s="109">
        <f>H59/H57</f>
        <v>9.6127313027100592E-2</v>
      </c>
      <c r="I61" s="109"/>
      <c r="J61" s="109"/>
      <c r="K61" s="109">
        <f>K59/K57</f>
        <v>9.5603024257464378E-2</v>
      </c>
    </row>
    <row r="62" spans="1:11">
      <c r="A62" t="s">
        <v>113</v>
      </c>
      <c r="B62" s="108">
        <f>(E63/D63)^(1/4)-1</f>
        <v>5.9196381291361178E-2</v>
      </c>
      <c r="C62" s="108">
        <f>(E62/D62)^(1/4)-1</f>
        <v>8.0929631560824111E-2</v>
      </c>
      <c r="D62" s="111">
        <f>G62/H64</f>
        <v>1644.6782545741664</v>
      </c>
      <c r="E62" s="111">
        <f>J62/K64</f>
        <v>2245.2806815352837</v>
      </c>
      <c r="F62" s="111"/>
      <c r="G62">
        <v>4050.98</v>
      </c>
      <c r="H62" s="55">
        <v>17.62953681715415</v>
      </c>
      <c r="J62">
        <v>4047.4</v>
      </c>
      <c r="K62" s="96">
        <v>13.99429346922221</v>
      </c>
    </row>
    <row r="63" spans="1:11">
      <c r="A63" t="s">
        <v>114</v>
      </c>
      <c r="D63" s="111">
        <f>G62/H62</f>
        <v>229.78368870464345</v>
      </c>
      <c r="E63" s="111">
        <f>J62/K62</f>
        <v>289.21788791277584</v>
      </c>
      <c r="F63" s="111"/>
      <c r="H63" s="55">
        <v>23.163940672417031</v>
      </c>
      <c r="K63" s="96">
        <v>21.049563233608591</v>
      </c>
    </row>
    <row r="64" spans="1:11">
      <c r="A64" t="s">
        <v>67</v>
      </c>
      <c r="E64" s="111"/>
      <c r="F64" s="111"/>
      <c r="H64" s="50">
        <v>2.4630835780393192</v>
      </c>
      <c r="K64" s="96">
        <v>1.8026254059392071</v>
      </c>
    </row>
    <row r="65" spans="1:11">
      <c r="A65">
        <v>3.57</v>
      </c>
      <c r="E65" s="111"/>
      <c r="F65" s="111"/>
      <c r="H65" s="50">
        <v>2.4575958604392532</v>
      </c>
      <c r="K65" s="96">
        <v>1.5029029851199021</v>
      </c>
    </row>
    <row r="66" spans="1:11">
      <c r="E66" s="111"/>
      <c r="F66" s="111"/>
      <c r="H66" s="109">
        <f>H64/H62</f>
        <v>0.13971345949614816</v>
      </c>
      <c r="I66" s="109"/>
      <c r="J66" s="109"/>
      <c r="K66" s="109">
        <f>K64/K62</f>
        <v>0.12881146232239157</v>
      </c>
    </row>
    <row r="67" spans="1:11">
      <c r="A67" t="s">
        <v>65</v>
      </c>
      <c r="B67" s="108">
        <f>(E68/D68)^(1/4)-1</f>
        <v>0.1200275211581987</v>
      </c>
      <c r="C67" s="108">
        <f>(E67/D67)^(1/4)-1</f>
        <v>5.8137813369593783E-2</v>
      </c>
      <c r="D67" s="111">
        <f>G67/H69</f>
        <v>1887.9539657943633</v>
      </c>
      <c r="E67" s="111">
        <f>J67/K69</f>
        <v>2366.7933408466761</v>
      </c>
      <c r="F67" s="111"/>
      <c r="G67">
        <v>5774.06</v>
      </c>
      <c r="H67" s="55">
        <v>20.947728093644979</v>
      </c>
      <c r="J67">
        <v>9755.51</v>
      </c>
      <c r="K67" s="43">
        <v>22.490071550281659</v>
      </c>
    </row>
    <row r="68" spans="1:11">
      <c r="A68" t="s">
        <v>66</v>
      </c>
      <c r="D68" s="111">
        <f>G67/H67</f>
        <v>275.6413475574808</v>
      </c>
      <c r="E68" s="111">
        <f>J67/K67</f>
        <v>433.76962933129596</v>
      </c>
      <c r="F68" s="111"/>
      <c r="H68" s="55">
        <v>32.332178293488369</v>
      </c>
      <c r="K68" s="96">
        <v>27.443996009340982</v>
      </c>
    </row>
    <row r="69" spans="1:11">
      <c r="A69" t="s">
        <v>67</v>
      </c>
      <c r="E69" s="111"/>
      <c r="F69" s="111"/>
      <c r="H69" s="52">
        <v>3.058369062283012</v>
      </c>
      <c r="K69" s="43">
        <v>4.1218258610234848</v>
      </c>
    </row>
    <row r="70" spans="1:11">
      <c r="A70">
        <v>2.36</v>
      </c>
      <c r="E70" s="111"/>
      <c r="F70" s="111"/>
      <c r="H70" s="55">
        <v>3.022589856617234</v>
      </c>
      <c r="K70" s="96">
        <v>2.3640654422438221</v>
      </c>
    </row>
    <row r="71" spans="1:11">
      <c r="E71" s="111"/>
      <c r="F71" s="111"/>
      <c r="H71" s="109">
        <f>H69/H67</f>
        <v>0.14600003630994451</v>
      </c>
      <c r="I71" s="109"/>
      <c r="J71" s="109"/>
      <c r="K71" s="109">
        <f>K69/K67</f>
        <v>0.18327313240459051</v>
      </c>
    </row>
    <row r="72" spans="1:11">
      <c r="A72" s="90" t="s">
        <v>95</v>
      </c>
      <c r="B72" s="108">
        <f>(E73/D73)^(1/4)-1</f>
        <v>0.11752310013697786</v>
      </c>
      <c r="C72" s="108">
        <f>(E72/D72)^(1/4)-1</f>
        <v>0.11251116474446388</v>
      </c>
      <c r="D72" s="111">
        <f>G72/H74</f>
        <v>1684.7417024766216</v>
      </c>
      <c r="E72" s="111">
        <f>J72/K74</f>
        <v>2580.7791325081466</v>
      </c>
      <c r="F72" s="111"/>
      <c r="G72">
        <v>7239.72</v>
      </c>
      <c r="H72" s="50">
        <v>33.786519816732437</v>
      </c>
      <c r="J72">
        <v>8906.23</v>
      </c>
      <c r="K72" s="96">
        <v>26.64953033387274</v>
      </c>
    </row>
    <row r="73" spans="1:11">
      <c r="A73" t="s">
        <v>96</v>
      </c>
      <c r="D73" s="111">
        <f>G72/H72</f>
        <v>214.27835832960224</v>
      </c>
      <c r="E73" s="111">
        <f>J72/K72</f>
        <v>334.19838505295473</v>
      </c>
      <c r="F73" s="111"/>
      <c r="H73" s="50">
        <v>37.021980512378612</v>
      </c>
      <c r="K73" s="96">
        <v>22.655927107973099</v>
      </c>
    </row>
    <row r="74" spans="1:11">
      <c r="A74" t="s">
        <v>67</v>
      </c>
      <c r="E74" s="111"/>
      <c r="F74" s="111"/>
      <c r="H74" s="55">
        <v>4.2972284649672954</v>
      </c>
      <c r="K74" s="96">
        <v>3.4509849710945328</v>
      </c>
    </row>
    <row r="75" spans="1:11">
      <c r="A75">
        <v>3.34</v>
      </c>
      <c r="E75" s="111"/>
      <c r="F75" s="111"/>
      <c r="H75" s="50">
        <v>3.9602560779708749</v>
      </c>
      <c r="K75" s="96">
        <v>2.4629758579466698</v>
      </c>
    </row>
    <row r="76" spans="1:11">
      <c r="E76" s="111"/>
      <c r="F76" s="111"/>
      <c r="H76" s="109">
        <f>H74/H72</f>
        <v>0.12718766206986301</v>
      </c>
      <c r="I76" s="109"/>
      <c r="J76" s="109"/>
      <c r="K76" s="109">
        <f>K74/K72</f>
        <v>0.12949515161654376</v>
      </c>
    </row>
    <row r="77" spans="1:11">
      <c r="A77" s="91" t="s">
        <v>153</v>
      </c>
      <c r="B77" s="108">
        <f>(E78/D78)^(1/5)-1</f>
        <v>0.11746622711586641</v>
      </c>
      <c r="C77" s="108">
        <f>(E77/D77)^(1/5)-1</f>
        <v>0.1083754011298832</v>
      </c>
      <c r="D77" s="111">
        <f>G77/H80</f>
        <v>2279.8994974874372</v>
      </c>
      <c r="E77" s="111">
        <f>J77/K80</f>
        <v>3813.7313432835822</v>
      </c>
      <c r="F77" s="111"/>
      <c r="G77">
        <v>9074</v>
      </c>
      <c r="H77" s="49"/>
      <c r="J77">
        <v>12776</v>
      </c>
      <c r="K77" s="42"/>
    </row>
    <row r="78" spans="1:11">
      <c r="D78" s="111">
        <f>G77/H78</f>
        <v>244.31879375336564</v>
      </c>
      <c r="E78" s="111">
        <f>J77/K78</f>
        <v>425.72475841386205</v>
      </c>
      <c r="F78" s="111"/>
      <c r="G78" s="184"/>
      <c r="H78" s="49">
        <v>37.14</v>
      </c>
      <c r="J78" s="184"/>
      <c r="K78" s="42">
        <v>30.01</v>
      </c>
    </row>
    <row r="79" spans="1:11">
      <c r="E79" s="111"/>
      <c r="F79" s="111"/>
      <c r="G79" s="184"/>
      <c r="H79" s="53"/>
      <c r="J79" s="184"/>
      <c r="K79" s="42"/>
    </row>
    <row r="80" spans="1:11">
      <c r="E80" s="111"/>
      <c r="F80" s="111"/>
      <c r="G80" s="184"/>
      <c r="H80" s="53">
        <v>3.98</v>
      </c>
      <c r="J80" s="184"/>
      <c r="K80" s="42">
        <v>3.35</v>
      </c>
    </row>
    <row r="81" spans="1:11">
      <c r="E81" s="111"/>
      <c r="F81" s="111"/>
      <c r="H81" s="109">
        <f>H80/H78</f>
        <v>0.10716208939149165</v>
      </c>
      <c r="I81" s="109"/>
      <c r="J81" s="109"/>
      <c r="K81" s="109">
        <f>K80/K78</f>
        <v>0.11162945684771743</v>
      </c>
    </row>
    <row r="82" spans="1:11">
      <c r="A82" t="s">
        <v>115</v>
      </c>
      <c r="B82" s="108">
        <f>(E83/D83)^(1/4)-1</f>
        <v>2.0435733278237223E-2</v>
      </c>
      <c r="C82" s="108">
        <f>(E82/D82)^(1/4)-1</f>
        <v>9.6672991883535841E-2</v>
      </c>
      <c r="D82" s="111">
        <f>G82/H84</f>
        <v>3666.1634984850625</v>
      </c>
      <c r="E82" s="111">
        <f>J82/K84</f>
        <v>5302.9852785889616</v>
      </c>
      <c r="F82" s="111"/>
      <c r="G82">
        <v>3949.23</v>
      </c>
      <c r="H82" s="52">
        <v>6.3311908444427392</v>
      </c>
      <c r="J82">
        <v>5438.12</v>
      </c>
      <c r="K82" s="43">
        <v>8.0404273357205476</v>
      </c>
    </row>
    <row r="83" spans="1:11">
      <c r="A83" t="s">
        <v>116</v>
      </c>
      <c r="D83" s="111">
        <f>G82/H82</f>
        <v>623.77364654336282</v>
      </c>
      <c r="E83" s="111">
        <f>J82/K82</f>
        <v>676.34713590912133</v>
      </c>
      <c r="F83" s="111"/>
      <c r="H83" s="55">
        <v>13.65733273434917</v>
      </c>
      <c r="K83" s="43">
        <v>13.330887405003329</v>
      </c>
    </row>
    <row r="84" spans="1:11">
      <c r="A84" t="s">
        <v>67</v>
      </c>
      <c r="E84" s="111"/>
      <c r="F84" s="111"/>
      <c r="H84" s="52">
        <v>1.077210550383775</v>
      </c>
      <c r="K84" s="96">
        <v>1.0254827638229831</v>
      </c>
    </row>
    <row r="85" spans="1:11">
      <c r="A85">
        <v>2.72</v>
      </c>
      <c r="E85" s="111"/>
      <c r="F85" s="111"/>
      <c r="H85" s="55">
        <v>1.6950477964647901</v>
      </c>
      <c r="K85" s="96">
        <v>1.166253100727709</v>
      </c>
    </row>
    <row r="86" spans="1:11">
      <c r="E86" s="111"/>
      <c r="F86" s="111"/>
      <c r="H86" s="109">
        <f>H84/H82</f>
        <v>0.1701434338106087</v>
      </c>
      <c r="I86" s="109"/>
      <c r="J86" s="109"/>
      <c r="K86" s="109">
        <f>K84/K82</f>
        <v>0.12754082849143539</v>
      </c>
    </row>
    <row r="87" spans="1:11">
      <c r="A87" t="s">
        <v>106</v>
      </c>
      <c r="B87" s="108">
        <f>(E88/D88)^(1/4)-1</f>
        <v>9.8881427073624684E-2</v>
      </c>
      <c r="C87" s="108">
        <f>(E87/D87)^(1/4)-1</f>
        <v>5.5479117599023242E-2</v>
      </c>
      <c r="D87" s="111">
        <f>G87/H89</f>
        <v>839.67524999795171</v>
      </c>
      <c r="E87" s="111">
        <f>J87/K89</f>
        <v>1042.1012900266824</v>
      </c>
      <c r="F87" s="111"/>
      <c r="G87">
        <v>3174.29</v>
      </c>
      <c r="H87" s="55">
        <v>43.540292802117563</v>
      </c>
      <c r="J87">
        <v>3147.45</v>
      </c>
      <c r="K87" s="96">
        <v>29.60739865885245</v>
      </c>
    </row>
    <row r="88" spans="1:11">
      <c r="A88" t="s">
        <v>107</v>
      </c>
      <c r="D88" s="111">
        <f>G87/H87</f>
        <v>72.904654418070876</v>
      </c>
      <c r="E88" s="111">
        <f>J87/K87</f>
        <v>106.30619853726763</v>
      </c>
      <c r="F88" s="111"/>
      <c r="H88" s="55">
        <v>50.560286862271298</v>
      </c>
      <c r="K88" s="43">
        <v>45.307424407143358</v>
      </c>
    </row>
    <row r="89" spans="1:11">
      <c r="A89" t="s">
        <v>67</v>
      </c>
      <c r="E89" s="111"/>
      <c r="F89" s="111"/>
      <c r="H89" s="55">
        <v>3.780378187886023</v>
      </c>
      <c r="K89" s="96">
        <v>3.0202918181968772</v>
      </c>
    </row>
    <row r="90" spans="1:11">
      <c r="A90">
        <v>5.21</v>
      </c>
      <c r="E90" s="111"/>
      <c r="F90" s="111"/>
      <c r="H90" s="50">
        <v>4.0102662717353814</v>
      </c>
      <c r="K90" s="96">
        <v>2.3041174287553861</v>
      </c>
    </row>
    <row r="91" spans="1:11">
      <c r="E91" s="111"/>
      <c r="F91" s="111"/>
      <c r="H91" s="109">
        <f>H89/H87</f>
        <v>8.6824822356320164E-2</v>
      </c>
      <c r="I91" s="109"/>
      <c r="J91" s="109"/>
      <c r="K91" s="109">
        <f>K89/K87</f>
        <v>0.10201138752505116</v>
      </c>
    </row>
    <row r="92" spans="1:11">
      <c r="A92" t="s">
        <v>141</v>
      </c>
      <c r="B92" s="108">
        <f>(E93/D93)^(1/4)-1</f>
        <v>-0.25267933506380347</v>
      </c>
      <c r="C92" s="108">
        <f>(E92/D92)^(1/4)-1</f>
        <v>1.8942852483632144E-3</v>
      </c>
      <c r="D92" s="111">
        <f>G92/H94</f>
        <v>2087.9914081159991</v>
      </c>
      <c r="E92" s="111">
        <f>J92/K94</f>
        <v>2103.8574244514834</v>
      </c>
      <c r="F92" s="111"/>
      <c r="G92">
        <v>3680.71</v>
      </c>
      <c r="H92" s="52">
        <v>26.433284633381209</v>
      </c>
      <c r="J92">
        <v>4055.42</v>
      </c>
      <c r="K92" s="44">
        <v>93.374309620556602</v>
      </c>
    </row>
    <row r="93" spans="1:11">
      <c r="A93" t="s">
        <v>142</v>
      </c>
      <c r="D93" s="111">
        <f>G92/H92</f>
        <v>139.24527545668028</v>
      </c>
      <c r="E93" s="111">
        <f>J92/K92</f>
        <v>43.43186061005359</v>
      </c>
      <c r="F93" s="111"/>
      <c r="H93" s="50">
        <v>40.911145721052961</v>
      </c>
      <c r="K93" s="43">
        <v>36.625567252079428</v>
      </c>
    </row>
    <row r="94" spans="1:11">
      <c r="A94" t="s">
        <v>67</v>
      </c>
      <c r="E94" s="111"/>
      <c r="F94" s="111"/>
      <c r="H94" s="55">
        <v>1.7627993993141551</v>
      </c>
      <c r="K94" s="43">
        <v>1.9276116113511479</v>
      </c>
    </row>
    <row r="95" spans="1:11">
      <c r="A95">
        <v>5.13</v>
      </c>
      <c r="E95" s="111"/>
      <c r="F95" s="111"/>
      <c r="H95" s="50">
        <v>2.6186564803088181</v>
      </c>
      <c r="K95" s="96">
        <v>2.1414705813623849</v>
      </c>
    </row>
    <row r="96" spans="1:11">
      <c r="E96" s="111"/>
      <c r="F96" s="111"/>
      <c r="H96" s="109">
        <f>H94/H92</f>
        <v>6.6688624730655233E-2</v>
      </c>
      <c r="I96" s="109"/>
      <c r="J96" s="109"/>
      <c r="K96" s="109">
        <f>K94/K92</f>
        <v>2.0643918216738055E-2</v>
      </c>
    </row>
    <row r="97" spans="1:11">
      <c r="A97" t="s">
        <v>135</v>
      </c>
      <c r="B97" s="108">
        <f>(E98/D98)^(1/4)-1</f>
        <v>-9.471580938252E-2</v>
      </c>
      <c r="C97" s="108">
        <f>(E97/D97)^(1/4)-1</f>
        <v>2.9388444119899937E-2</v>
      </c>
      <c r="D97" s="111">
        <f>G97/H99</f>
        <v>1118.7271349261346</v>
      </c>
      <c r="E97" s="111">
        <f>J97/K99</f>
        <v>1256.1494900143593</v>
      </c>
      <c r="F97" s="111"/>
      <c r="G97">
        <v>1983.49</v>
      </c>
      <c r="H97" s="55">
        <v>13.15423923919427</v>
      </c>
      <c r="J97">
        <v>1910.18</v>
      </c>
      <c r="K97" s="43">
        <v>18.861241242742029</v>
      </c>
    </row>
    <row r="98" spans="1:11">
      <c r="A98" t="s">
        <v>136</v>
      </c>
      <c r="D98" s="111">
        <f>G97/H97</f>
        <v>150.78713135230265</v>
      </c>
      <c r="E98" s="111">
        <f>J97/K97</f>
        <v>101.27541318284416</v>
      </c>
      <c r="F98" s="111"/>
      <c r="H98" s="55">
        <v>18.71866650287388</v>
      </c>
      <c r="K98" s="43">
        <v>21.905102679067269</v>
      </c>
    </row>
    <row r="99" spans="1:11">
      <c r="A99" t="s">
        <v>67</v>
      </c>
      <c r="E99" s="111"/>
      <c r="F99" s="111"/>
      <c r="H99" s="55">
        <v>1.772988191737177</v>
      </c>
      <c r="K99" s="96">
        <v>1.5206629586564291</v>
      </c>
    </row>
    <row r="100" spans="1:11">
      <c r="A100">
        <v>3.37</v>
      </c>
      <c r="E100" s="111"/>
      <c r="F100" s="111"/>
      <c r="H100" s="50">
        <v>2.2178724660699962</v>
      </c>
      <c r="K100" s="96">
        <v>1.383101471692654</v>
      </c>
    </row>
    <row r="101" spans="1:11">
      <c r="E101" s="111"/>
      <c r="F101" s="111"/>
      <c r="H101" s="109">
        <f>H99/H97</f>
        <v>0.13478454812152077</v>
      </c>
      <c r="I101" s="109"/>
      <c r="J101" s="109"/>
      <c r="K101" s="109">
        <f>K99/K97</f>
        <v>8.0623694861100062E-2</v>
      </c>
    </row>
    <row r="102" spans="1:11">
      <c r="A102" s="91" t="s">
        <v>44</v>
      </c>
      <c r="B102" s="108">
        <f>(E103/D103)^(1/4)-1</f>
        <v>0.2081111483419289</v>
      </c>
      <c r="C102" s="108">
        <f>(E102/D102)^(1/4)-1</f>
        <v>0.14509829387000628</v>
      </c>
      <c r="D102" s="111">
        <f>G102/H104</f>
        <v>2827.268486940789</v>
      </c>
      <c r="E102" s="111">
        <f>J102/K104</f>
        <v>4861.1399332476922</v>
      </c>
      <c r="F102" s="111"/>
      <c r="G102">
        <v>4391.37</v>
      </c>
      <c r="H102" s="55">
        <v>9.627921707640569</v>
      </c>
      <c r="J102">
        <v>7974.98</v>
      </c>
      <c r="K102" s="96">
        <v>8.2079472003309508</v>
      </c>
    </row>
    <row r="103" spans="1:11">
      <c r="A103" t="s">
        <v>45</v>
      </c>
      <c r="D103" s="111">
        <f>G102/H102</f>
        <v>456.10778040655202</v>
      </c>
      <c r="E103" s="111">
        <f>J102/K102</f>
        <v>971.61687390952545</v>
      </c>
      <c r="F103" s="111"/>
      <c r="H103" s="55">
        <v>11.51366009565697</v>
      </c>
      <c r="K103" s="96">
        <v>7.6355854091890629</v>
      </c>
    </row>
    <row r="104" spans="1:11">
      <c r="A104" t="s">
        <v>46</v>
      </c>
      <c r="E104" s="111"/>
      <c r="F104" s="111"/>
      <c r="H104" s="55">
        <v>1.5532200144004109</v>
      </c>
      <c r="K104" s="96">
        <v>1.640557587214317</v>
      </c>
    </row>
    <row r="105" spans="1:11">
      <c r="A105">
        <v>3.11</v>
      </c>
      <c r="E105" s="111"/>
      <c r="F105" s="111"/>
      <c r="H105" s="55">
        <v>1.5435051690584991</v>
      </c>
      <c r="K105" s="96">
        <v>1.3400790342078079</v>
      </c>
    </row>
    <row r="106" spans="1:11">
      <c r="E106" s="111"/>
      <c r="F106" s="111"/>
      <c r="H106" s="109">
        <f>H104/H102</f>
        <v>0.16132453727451893</v>
      </c>
      <c r="I106" s="109"/>
      <c r="J106" s="109"/>
      <c r="K106" s="109">
        <f>K104/K102</f>
        <v>0.19987428612457064</v>
      </c>
    </row>
    <row r="107" spans="1:11">
      <c r="A107" s="91" t="s">
        <v>754</v>
      </c>
      <c r="B107" s="108">
        <f>(E108/D108)^(1/5)-1</f>
        <v>0.17846638528392589</v>
      </c>
      <c r="C107" s="108">
        <f>(E107/D107)^(1/5)-1</f>
        <v>0.14553616405505831</v>
      </c>
      <c r="D107" s="111">
        <f>G107/H110</f>
        <v>2616.911764705882</v>
      </c>
      <c r="E107" s="111">
        <f>J107/K110</f>
        <v>5162.1794871794873</v>
      </c>
      <c r="F107" s="111"/>
      <c r="G107">
        <v>3559</v>
      </c>
      <c r="H107" s="55"/>
      <c r="J107">
        <v>8053</v>
      </c>
      <c r="K107" s="96"/>
    </row>
    <row r="108" spans="1:11">
      <c r="A108" t="s">
        <v>45</v>
      </c>
      <c r="D108" s="111">
        <f>G107/H108</f>
        <v>399.88764044943821</v>
      </c>
      <c r="E108" s="111">
        <f>J107/K108</f>
        <v>908.91647855530482</v>
      </c>
      <c r="F108" s="111"/>
      <c r="H108" s="55">
        <v>8.9</v>
      </c>
      <c r="K108" s="96">
        <v>8.86</v>
      </c>
    </row>
    <row r="109" spans="1:11">
      <c r="A109" t="s">
        <v>46</v>
      </c>
      <c r="E109" s="111"/>
      <c r="F109" s="111"/>
      <c r="H109" s="55"/>
      <c r="K109" s="96"/>
    </row>
    <row r="110" spans="1:11">
      <c r="A110">
        <v>3.11</v>
      </c>
      <c r="E110" s="111"/>
      <c r="F110" s="111"/>
      <c r="H110" s="55">
        <v>1.36</v>
      </c>
      <c r="K110" s="96">
        <v>1.56</v>
      </c>
    </row>
    <row r="111" spans="1:11">
      <c r="E111" s="111"/>
      <c r="F111" s="111"/>
      <c r="H111" s="109">
        <f>H110/H108</f>
        <v>0.15280898876404495</v>
      </c>
      <c r="I111" s="109"/>
      <c r="J111" s="109"/>
      <c r="K111" s="109">
        <f>K110/K108</f>
        <v>0.1760722347629797</v>
      </c>
    </row>
    <row r="112" spans="1:11">
      <c r="A112" t="s">
        <v>123</v>
      </c>
      <c r="B112" s="108">
        <f>(E113/D113)^(1/4)-1</f>
        <v>-9.2640576885999137E-2</v>
      </c>
      <c r="C112" s="108">
        <f>(E112/D112)^(1/4)-1</f>
        <v>-2.9673145610916052E-2</v>
      </c>
      <c r="D112" s="111">
        <f>G112/H114</f>
        <v>1644.8845110960069</v>
      </c>
      <c r="E112" s="111">
        <f>J112/K114</f>
        <v>1458.1681729690004</v>
      </c>
      <c r="F112" s="111"/>
      <c r="G112">
        <v>1994.59</v>
      </c>
      <c r="H112" s="55">
        <v>11.575037186003719</v>
      </c>
      <c r="J112">
        <v>1647.77</v>
      </c>
      <c r="K112" s="43">
        <v>14.107430971195789</v>
      </c>
    </row>
    <row r="113" spans="1:11">
      <c r="A113" t="s">
        <v>124</v>
      </c>
      <c r="D113" s="111">
        <f>G112/H112</f>
        <v>172.31823690482949</v>
      </c>
      <c r="E113" s="111">
        <f>J112/K112</f>
        <v>116.80156389667097</v>
      </c>
      <c r="F113" s="111"/>
      <c r="H113" s="51">
        <v>40.342810808980161</v>
      </c>
      <c r="K113" s="44">
        <v>14.990564598518089</v>
      </c>
    </row>
    <row r="114" spans="1:11">
      <c r="A114" t="s">
        <v>55</v>
      </c>
      <c r="E114" s="111"/>
      <c r="F114" s="111"/>
      <c r="H114" s="52">
        <v>1.212601849275716</v>
      </c>
      <c r="K114" s="96">
        <v>1.13002740736341</v>
      </c>
    </row>
    <row r="115" spans="1:11">
      <c r="A115">
        <v>2.16</v>
      </c>
      <c r="E115" s="111"/>
      <c r="F115" s="111"/>
      <c r="H115" s="55">
        <v>1.7248011781075181</v>
      </c>
      <c r="K115" s="96">
        <v>1.20212581782367</v>
      </c>
    </row>
    <row r="116" spans="1:11">
      <c r="E116" s="111"/>
      <c r="F116" s="111"/>
      <c r="H116" s="109">
        <f>H114/H112</f>
        <v>0.10476008239022917</v>
      </c>
      <c r="I116" s="109"/>
      <c r="J116" s="109"/>
      <c r="K116" s="109">
        <f>K114/K112</f>
        <v>8.0101572686811132E-2</v>
      </c>
    </row>
    <row r="117" spans="1:11">
      <c r="A117" t="s">
        <v>127</v>
      </c>
      <c r="B117" s="108">
        <f>(E118/D118)^(1/4)-1</f>
        <v>0.3007116674709942</v>
      </c>
      <c r="C117" s="108">
        <f>(E117/D117)^(1/4)-1</f>
        <v>4.5728952666864497E-2</v>
      </c>
      <c r="D117" s="111">
        <f>G117/H119</f>
        <v>1243.6304685569619</v>
      </c>
      <c r="E117" s="111">
        <f>J117/K119</f>
        <v>1487.1948842486488</v>
      </c>
      <c r="F117" s="111"/>
      <c r="G117">
        <v>2582.42</v>
      </c>
      <c r="H117" s="50">
        <v>39.894557071589567</v>
      </c>
      <c r="J117">
        <v>2456.11</v>
      </c>
      <c r="K117" s="96">
        <v>13.255937288652071</v>
      </c>
    </row>
    <row r="118" spans="1:11">
      <c r="A118" t="s">
        <v>128</v>
      </c>
      <c r="D118" s="111">
        <f>G117/H117</f>
        <v>64.731136013514984</v>
      </c>
      <c r="E118" s="111">
        <f>J117/K117</f>
        <v>185.28376730497868</v>
      </c>
      <c r="F118" s="111"/>
      <c r="H118" s="50">
        <v>64.328899378536448</v>
      </c>
      <c r="K118" s="96">
        <v>19.17814520005988</v>
      </c>
    </row>
    <row r="119" spans="1:11">
      <c r="A119" t="s">
        <v>55</v>
      </c>
      <c r="E119" s="111"/>
      <c r="F119" s="111"/>
      <c r="H119" s="50">
        <v>2.0765171530386302</v>
      </c>
      <c r="K119" s="96">
        <v>1.651505143013493</v>
      </c>
    </row>
    <row r="120" spans="1:11">
      <c r="A120">
        <v>3.13</v>
      </c>
      <c r="E120" s="111"/>
      <c r="F120" s="111"/>
      <c r="H120" s="51">
        <v>2.470299365764745</v>
      </c>
      <c r="K120" s="96">
        <v>1.7773804331081979</v>
      </c>
    </row>
    <row r="121" spans="1:11">
      <c r="E121" s="111"/>
      <c r="F121" s="111"/>
      <c r="H121" s="109">
        <f>H119/H117</f>
        <v>5.2050136797167176E-2</v>
      </c>
      <c r="I121" s="109"/>
      <c r="J121" s="109"/>
      <c r="K121" s="109">
        <f>K119/K117</f>
        <v>0.12458607090931903</v>
      </c>
    </row>
    <row r="122" spans="1:11">
      <c r="A122" t="s">
        <v>131</v>
      </c>
      <c r="B122" s="108">
        <f>(E123/D123)^(1/4)-1</f>
        <v>2.6240833972413169E-2</v>
      </c>
      <c r="C122" s="108">
        <f>(E122/D122)^(1/4)-1</f>
        <v>2.7922072882654803E-2</v>
      </c>
      <c r="D122" s="111">
        <f>G122/H124</f>
        <v>1463.5825558092147</v>
      </c>
      <c r="E122" s="111">
        <f>J122/K124</f>
        <v>1634.0223487792555</v>
      </c>
      <c r="F122" s="111"/>
      <c r="G122">
        <v>3157.8</v>
      </c>
      <c r="H122" s="51">
        <v>24.260809610565531</v>
      </c>
      <c r="J122">
        <v>2627.45</v>
      </c>
      <c r="K122" s="96">
        <v>18.199437481645379</v>
      </c>
    </row>
    <row r="123" spans="1:11">
      <c r="A123" t="s">
        <v>132</v>
      </c>
      <c r="D123" s="111">
        <f>G122/H122</f>
        <v>130.16053671287148</v>
      </c>
      <c r="E123" s="111">
        <f>J122/K122</f>
        <v>144.36984674113438</v>
      </c>
      <c r="F123" s="111"/>
      <c r="H123" s="51">
        <v>41.991328135851738</v>
      </c>
      <c r="K123" s="43">
        <v>29.54261029910958</v>
      </c>
    </row>
    <row r="124" spans="1:11">
      <c r="A124" t="s">
        <v>55</v>
      </c>
      <c r="E124" s="111"/>
      <c r="F124" s="111"/>
      <c r="H124" s="51">
        <v>2.1575824250337918</v>
      </c>
      <c r="K124" s="96">
        <v>1.6079645434243379</v>
      </c>
    </row>
    <row r="125" spans="1:11">
      <c r="A125" s="111">
        <v>4.0999999999999996</v>
      </c>
      <c r="E125" s="111"/>
      <c r="F125" s="111"/>
      <c r="H125" s="51">
        <v>2.7796665463750259</v>
      </c>
      <c r="K125" s="96">
        <v>1.777825290073374</v>
      </c>
    </row>
    <row r="126" spans="1:11">
      <c r="E126" s="111"/>
      <c r="F126" s="111"/>
      <c r="H126" s="109">
        <f>H124/H122</f>
        <v>8.8932828692335528E-2</v>
      </c>
      <c r="I126" s="109"/>
      <c r="J126" s="109"/>
      <c r="K126" s="109">
        <f>K124/K122</f>
        <v>8.8352430949913324E-2</v>
      </c>
    </row>
    <row r="127" spans="1:11">
      <c r="A127" t="s">
        <v>108</v>
      </c>
      <c r="B127" s="108">
        <f>(E128/D128)^(1/4)-1</f>
        <v>4.473818778008698E-2</v>
      </c>
      <c r="C127" s="108">
        <f>(E127/D127)^(1/4)-1</f>
        <v>8.0654153185881317E-2</v>
      </c>
      <c r="D127" s="111">
        <f>G127/H129</f>
        <v>1616.4635148631257</v>
      </c>
      <c r="E127" s="111">
        <f>J127/K129</f>
        <v>2204.5137612800681</v>
      </c>
      <c r="F127" s="111"/>
      <c r="G127">
        <v>4359.8999999999996</v>
      </c>
      <c r="H127" s="53">
        <v>21.4932800096399</v>
      </c>
      <c r="J127">
        <v>3944.75</v>
      </c>
      <c r="K127" s="42">
        <v>16.323593645008589</v>
      </c>
    </row>
    <row r="128" spans="1:11">
      <c r="A128" t="s">
        <v>109</v>
      </c>
      <c r="D128" s="111">
        <f>G127/H127</f>
        <v>202.84944866695781</v>
      </c>
      <c r="E128" s="111">
        <f>J127/K127</f>
        <v>241.65940942827999</v>
      </c>
      <c r="F128" s="111"/>
      <c r="G128" s="184"/>
      <c r="H128" s="53">
        <v>32.950675101332394</v>
      </c>
      <c r="J128" s="184"/>
      <c r="K128" s="42">
        <v>25.671524175064931</v>
      </c>
    </row>
    <row r="129" spans="1:11">
      <c r="A129" t="s">
        <v>55</v>
      </c>
      <c r="E129" s="111"/>
      <c r="F129" s="111"/>
      <c r="G129" s="184"/>
      <c r="H129" s="53">
        <v>2.6971842914556441</v>
      </c>
      <c r="J129" s="184"/>
      <c r="K129" s="42">
        <v>1.7893968589742211</v>
      </c>
    </row>
    <row r="130" spans="1:11">
      <c r="A130">
        <v>3.94</v>
      </c>
      <c r="E130" s="111"/>
      <c r="F130" s="111"/>
      <c r="G130" s="184"/>
      <c r="H130" s="53">
        <v>2.828551127987768</v>
      </c>
      <c r="J130" s="184"/>
      <c r="K130" s="42">
        <v>1.6925444164550929</v>
      </c>
    </row>
    <row r="131" spans="1:11">
      <c r="E131" s="111"/>
      <c r="F131" s="111"/>
      <c r="H131" s="109">
        <f>H129/H127</f>
        <v>0.12548965491753405</v>
      </c>
      <c r="I131" s="109"/>
      <c r="J131" s="109"/>
      <c r="K131" s="109">
        <f>K129/K127</f>
        <v>0.10962027712086431</v>
      </c>
    </row>
    <row r="132" spans="1:11">
      <c r="A132" t="s">
        <v>145</v>
      </c>
      <c r="B132" s="108">
        <f>(E133/D133)^(1/5)-1</f>
        <v>8.3975973116018121E-2</v>
      </c>
      <c r="C132" s="108">
        <f>(E132/D132)^(1/5)-1</f>
        <v>7.043205785495843E-2</v>
      </c>
      <c r="D132" s="111">
        <f>G132/H134</f>
        <v>1770.125786163522</v>
      </c>
      <c r="E132" s="111">
        <f>J132/K134</f>
        <v>2487.7094972067039</v>
      </c>
      <c r="F132" s="111"/>
      <c r="G132">
        <v>5629</v>
      </c>
      <c r="H132" s="54">
        <v>22.09</v>
      </c>
      <c r="J132">
        <v>13359</v>
      </c>
      <c r="K132" s="41">
        <v>35.03</v>
      </c>
    </row>
    <row r="133" spans="1:11">
      <c r="A133" t="s">
        <v>146</v>
      </c>
      <c r="D133" s="111">
        <f>G132/H132</f>
        <v>254.8211860570394</v>
      </c>
      <c r="E133" s="111">
        <f>J132/K132</f>
        <v>381.35883528404224</v>
      </c>
      <c r="F133" s="111"/>
      <c r="G133" s="184"/>
      <c r="H133" s="53"/>
      <c r="J133" s="184"/>
      <c r="K133" s="42"/>
    </row>
    <row r="134" spans="1:11">
      <c r="A134" t="s">
        <v>55</v>
      </c>
      <c r="E134" s="111"/>
      <c r="F134" s="111"/>
      <c r="G134" s="184"/>
      <c r="H134" s="48">
        <v>3.18</v>
      </c>
      <c r="J134" s="184"/>
      <c r="K134" s="41">
        <v>5.37</v>
      </c>
    </row>
    <row r="135" spans="1:11">
      <c r="E135" s="111"/>
      <c r="F135" s="111"/>
      <c r="G135" s="184"/>
      <c r="H135" s="54"/>
      <c r="J135" s="184"/>
      <c r="K135" s="42"/>
    </row>
    <row r="136" spans="1:11">
      <c r="E136" s="111"/>
      <c r="F136" s="111"/>
      <c r="H136" s="109">
        <f>H134/H132</f>
        <v>0.14395654142145767</v>
      </c>
      <c r="I136" s="109"/>
      <c r="J136" s="109"/>
      <c r="K136" s="109">
        <f>K134/K132</f>
        <v>0.15329717385098487</v>
      </c>
    </row>
    <row r="137" spans="1:11">
      <c r="A137" s="90" t="s">
        <v>53</v>
      </c>
      <c r="B137" s="108">
        <f>(E138/D138)^(1/4)-1</f>
        <v>0.13114874028032752</v>
      </c>
      <c r="C137" s="108">
        <f>(E137/D137)^(1/4)-1</f>
        <v>0.12558838275701567</v>
      </c>
      <c r="D137" s="111">
        <f>G137/H139</f>
        <v>1636.3932577770327</v>
      </c>
      <c r="E137" s="111">
        <f>J137/K139</f>
        <v>2626.6734829580246</v>
      </c>
      <c r="F137" s="111"/>
      <c r="G137">
        <v>7622.29</v>
      </c>
      <c r="H137" s="53">
        <v>40.158707555699273</v>
      </c>
      <c r="J137">
        <v>8518.66</v>
      </c>
      <c r="K137" s="42">
        <v>27.414900838451331</v>
      </c>
    </row>
    <row r="138" spans="1:11">
      <c r="A138" t="s">
        <v>54</v>
      </c>
      <c r="D138" s="111">
        <f>G137/H137</f>
        <v>189.80416611834548</v>
      </c>
      <c r="E138" s="111">
        <f>J137/K137</f>
        <v>310.73101632569023</v>
      </c>
      <c r="F138" s="111"/>
      <c r="G138" s="184"/>
      <c r="H138" s="53">
        <v>49.515263928142012</v>
      </c>
      <c r="J138" s="184"/>
      <c r="K138" s="42">
        <v>26.514195618850849</v>
      </c>
    </row>
    <row r="139" spans="1:11">
      <c r="A139" t="s">
        <v>55</v>
      </c>
      <c r="E139" s="111"/>
      <c r="F139" s="111"/>
      <c r="G139" s="184"/>
      <c r="H139" s="53">
        <v>4.657981792441837</v>
      </c>
      <c r="J139" s="184"/>
      <c r="K139" s="42">
        <v>3.2431362539993831</v>
      </c>
    </row>
    <row r="140" spans="1:11">
      <c r="A140">
        <v>3.82</v>
      </c>
      <c r="E140" s="111"/>
      <c r="F140" s="111"/>
      <c r="G140" s="184"/>
      <c r="H140" s="53">
        <v>4.5081928583342794</v>
      </c>
      <c r="J140" s="184"/>
      <c r="K140" s="42">
        <v>2.489904122223435</v>
      </c>
    </row>
    <row r="141" spans="1:11">
      <c r="E141" s="111"/>
      <c r="F141" s="111"/>
      <c r="H141" s="109">
        <f>H139/H137</f>
        <v>0.1159893352140707</v>
      </c>
      <c r="I141" s="109"/>
      <c r="J141" s="109"/>
      <c r="K141" s="109">
        <f>K139/K137</f>
        <v>0.11829830328806647</v>
      </c>
    </row>
    <row r="142" spans="1:11">
      <c r="A142" t="s">
        <v>68</v>
      </c>
      <c r="B142" s="108">
        <f>(E143/D143)^(1/4)-1</f>
        <v>1.4104929514053177E-2</v>
      </c>
      <c r="C142" s="108">
        <f>(E142/D142)^(1/4)-1</f>
        <v>8.9109211034464231E-2</v>
      </c>
      <c r="D142" s="111">
        <f>G142/H144</f>
        <v>3584.2912201564218</v>
      </c>
      <c r="E142" s="111">
        <f>J142/K144</f>
        <v>5043.000516858473</v>
      </c>
      <c r="F142" s="111"/>
      <c r="G142">
        <v>3892.21</v>
      </c>
      <c r="H142" s="49">
        <v>6.4043925256375429</v>
      </c>
      <c r="J142">
        <v>5209.0200000000004</v>
      </c>
      <c r="K142" s="41">
        <v>8.1041249346599908</v>
      </c>
    </row>
    <row r="143" spans="1:11">
      <c r="A143" t="s">
        <v>69</v>
      </c>
      <c r="D143" s="111">
        <f>G142/H142</f>
        <v>607.74070052999116</v>
      </c>
      <c r="E143" s="111">
        <f>J142/K142</f>
        <v>642.76156179699183</v>
      </c>
      <c r="F143" s="111"/>
      <c r="G143" s="184"/>
      <c r="H143" s="54">
        <v>14.5359350100386</v>
      </c>
      <c r="J143" s="184"/>
      <c r="K143" s="42">
        <v>12.82551987026001</v>
      </c>
    </row>
    <row r="144" spans="1:11">
      <c r="A144" t="s">
        <v>55</v>
      </c>
      <c r="E144" s="111"/>
      <c r="F144" s="111"/>
      <c r="G144" s="184"/>
      <c r="H144" s="49">
        <v>1.0859078576294201</v>
      </c>
      <c r="J144" s="184"/>
      <c r="K144" s="42">
        <v>1.032920774563979</v>
      </c>
    </row>
    <row r="145" spans="1:11">
      <c r="A145">
        <v>2.75</v>
      </c>
      <c r="E145" s="111"/>
      <c r="F145" s="111"/>
      <c r="G145" s="184"/>
      <c r="H145" s="54">
        <v>1.746833901842161</v>
      </c>
      <c r="J145" s="184"/>
      <c r="K145" s="42">
        <v>1.1925031623501789</v>
      </c>
    </row>
    <row r="146" spans="1:11">
      <c r="E146" s="111"/>
      <c r="F146" s="111"/>
      <c r="H146" s="109">
        <f>H144/H142</f>
        <v>0.16955673052243475</v>
      </c>
      <c r="I146" s="109"/>
      <c r="J146" s="109"/>
      <c r="K146" s="109">
        <f>K144/K142</f>
        <v>0.12745617606983686</v>
      </c>
    </row>
    <row r="147" spans="1:11">
      <c r="A147" s="90" t="s">
        <v>70</v>
      </c>
      <c r="B147" s="108">
        <f>(E148/D148)^(1/5)-1</f>
        <v>0.15071716380500022</v>
      </c>
      <c r="C147" s="108">
        <f>(E147/D147)^(1/5)-1</f>
        <v>0.1189233020529421</v>
      </c>
      <c r="D147" s="111">
        <f>G147/H149</f>
        <v>832.02614379084969</v>
      </c>
      <c r="E147" s="111">
        <f>J147/K149</f>
        <v>1459.2797783933518</v>
      </c>
      <c r="F147" s="111"/>
      <c r="G147">
        <v>3819</v>
      </c>
      <c r="H147" s="53">
        <v>58.58</v>
      </c>
      <c r="J147">
        <v>5268</v>
      </c>
      <c r="K147" s="42">
        <v>40.049999999999997</v>
      </c>
    </row>
    <row r="148" spans="1:11">
      <c r="A148" t="s">
        <v>71</v>
      </c>
      <c r="D148" s="111">
        <f>G147/H147</f>
        <v>65.192898600204856</v>
      </c>
      <c r="E148" s="111">
        <f>J147/K147</f>
        <v>131.53558052434457</v>
      </c>
      <c r="F148" s="111"/>
      <c r="G148" s="184"/>
      <c r="H148" s="53"/>
      <c r="J148" s="184"/>
      <c r="K148" s="41"/>
    </row>
    <row r="149" spans="1:11">
      <c r="A149" t="s">
        <v>55</v>
      </c>
      <c r="E149" s="111"/>
      <c r="F149" s="111"/>
      <c r="G149" s="184"/>
      <c r="H149" s="53">
        <v>4.59</v>
      </c>
      <c r="J149" s="184"/>
      <c r="K149" s="42">
        <v>3.61</v>
      </c>
    </row>
    <row r="150" spans="1:11">
      <c r="A150">
        <v>6.72</v>
      </c>
      <c r="E150" s="111"/>
      <c r="F150" s="111"/>
      <c r="G150" s="184"/>
      <c r="H150" s="53"/>
      <c r="J150" s="184"/>
      <c r="K150" s="42"/>
    </row>
    <row r="151" spans="1:11">
      <c r="E151" s="111"/>
      <c r="F151" s="111"/>
      <c r="H151" s="109">
        <f>H149/H147</f>
        <v>7.8354387162854214E-2</v>
      </c>
      <c r="I151" s="109"/>
      <c r="J151" s="109"/>
      <c r="K151" s="109">
        <f>K149/K147</f>
        <v>9.0137328339575537E-2</v>
      </c>
    </row>
    <row r="152" spans="1:11">
      <c r="A152" t="s">
        <v>139</v>
      </c>
      <c r="B152" s="108">
        <f>(E153/D153)^(1/5)-1</f>
        <v>9.8852599752412784E-2</v>
      </c>
      <c r="C152" s="108">
        <f>(E152/D152)^(1/5)-1</f>
        <v>8.0423787130314173E-2</v>
      </c>
      <c r="D152" s="111">
        <f>G152/H154</f>
        <v>1002.0004390218695</v>
      </c>
      <c r="E152" s="111">
        <f>J152/K154</f>
        <v>1475.1582012263341</v>
      </c>
      <c r="F152" s="111"/>
      <c r="G152">
        <v>4486.87</v>
      </c>
      <c r="H152" s="53">
        <v>55.544960504731058</v>
      </c>
      <c r="J152">
        <v>4130.24</v>
      </c>
      <c r="K152" s="42">
        <v>31.91385473780182</v>
      </c>
    </row>
    <row r="153" spans="1:11">
      <c r="A153" t="s">
        <v>140</v>
      </c>
      <c r="D153" s="111">
        <f>G152/H152</f>
        <v>80.779065449471858</v>
      </c>
      <c r="E153" s="111">
        <f>J152/K152</f>
        <v>129.41839943602139</v>
      </c>
      <c r="F153" s="111"/>
      <c r="G153" s="184"/>
      <c r="H153" s="53"/>
      <c r="J153" s="184"/>
      <c r="K153" s="41"/>
    </row>
    <row r="154" spans="1:11">
      <c r="A154" t="s">
        <v>55</v>
      </c>
      <c r="E154" s="111"/>
      <c r="F154" s="111"/>
      <c r="G154" s="184"/>
      <c r="H154" s="53">
        <v>4.4779122096792516</v>
      </c>
      <c r="J154" s="184"/>
      <c r="K154" s="42">
        <v>2.7998624124290079</v>
      </c>
    </row>
    <row r="155" spans="1:11">
      <c r="A155">
        <v>3.48</v>
      </c>
      <c r="E155" s="111"/>
      <c r="F155" s="111"/>
      <c r="G155" s="184"/>
      <c r="H155" s="53"/>
      <c r="J155" s="184"/>
      <c r="K155" s="42"/>
    </row>
    <row r="156" spans="1:11">
      <c r="E156" s="111"/>
      <c r="F156" s="111"/>
      <c r="H156" s="109">
        <f>H154/H152</f>
        <v>8.0617794467561898E-2</v>
      </c>
      <c r="I156" s="109"/>
      <c r="J156" s="109"/>
      <c r="K156" s="109">
        <f>K154/K152</f>
        <v>8.7731878064625748E-2</v>
      </c>
    </row>
    <row r="157" spans="1:11">
      <c r="A157" t="s">
        <v>137</v>
      </c>
      <c r="B157" s="108">
        <f>(E158/D158)^(1/4)-1</f>
        <v>-0.11167813486975575</v>
      </c>
      <c r="C157" s="108">
        <f>(E157/D157)^(1/4)-1</f>
        <v>1.8071113376117776E-2</v>
      </c>
      <c r="D157" s="111">
        <f>G157/H159</f>
        <v>1235.2846808828488</v>
      </c>
      <c r="E157" s="111">
        <f>J157/K159</f>
        <v>1327.0262557926583</v>
      </c>
      <c r="F157" s="111"/>
      <c r="G157">
        <v>2179.6559999999999</v>
      </c>
      <c r="H157" s="55">
        <v>13.53964835347676</v>
      </c>
      <c r="J157">
        <v>1948.71</v>
      </c>
      <c r="K157" s="45">
        <v>19.439506423002221</v>
      </c>
    </row>
    <row r="158" spans="1:11">
      <c r="A158" t="s">
        <v>138</v>
      </c>
      <c r="D158" s="111">
        <f>G157/H157</f>
        <v>160.98320599591494</v>
      </c>
      <c r="E158" s="111">
        <f>J157/K157</f>
        <v>100.24482914309729</v>
      </c>
      <c r="F158" s="111"/>
      <c r="H158" s="55">
        <v>19.58649690223039</v>
      </c>
      <c r="K158" s="45">
        <v>26.88958729664316</v>
      </c>
    </row>
    <row r="159" spans="1:11">
      <c r="A159" t="s">
        <v>55</v>
      </c>
      <c r="E159" s="111"/>
      <c r="F159" s="111"/>
      <c r="H159" s="51">
        <v>1.764496908066743</v>
      </c>
      <c r="K159" s="96">
        <v>1.468478857515896</v>
      </c>
    </row>
    <row r="160" spans="1:11">
      <c r="E160" s="111"/>
      <c r="F160" s="111"/>
      <c r="H160" s="51">
        <v>2.039174834043207</v>
      </c>
      <c r="K160" s="96">
        <v>1.3511936695135249</v>
      </c>
    </row>
    <row r="161" spans="1:11">
      <c r="E161" s="111"/>
      <c r="F161" s="111"/>
      <c r="H161" s="109">
        <f>H159/H157</f>
        <v>0.13032073374443651</v>
      </c>
      <c r="I161" s="109"/>
      <c r="J161" s="109"/>
      <c r="K161" s="109">
        <f>K159/K157</f>
        <v>7.5540953847381964E-2</v>
      </c>
    </row>
    <row r="162" spans="1:11">
      <c r="A162" t="s">
        <v>75</v>
      </c>
      <c r="B162" s="108">
        <f>(E163/D163)^(1/4)-1</f>
        <v>0.10254051177334755</v>
      </c>
      <c r="C162" s="108">
        <f>(E162/D162)^(1/4)-1</f>
        <v>6.2448880709490284E-2</v>
      </c>
      <c r="D162" s="111">
        <f>G162/H164</f>
        <v>1438.3230585122062</v>
      </c>
      <c r="E162" s="111">
        <f>J162/K164</f>
        <v>1832.6883376175554</v>
      </c>
      <c r="F162" s="111"/>
      <c r="G162">
        <v>5425.35</v>
      </c>
      <c r="H162" s="50">
        <v>31.37014498702603</v>
      </c>
      <c r="J162">
        <v>5224.42</v>
      </c>
      <c r="K162" s="96">
        <v>20.443188070547919</v>
      </c>
    </row>
    <row r="163" spans="1:11">
      <c r="A163" t="s">
        <v>76</v>
      </c>
      <c r="D163" s="111">
        <f>G162/H162</f>
        <v>172.94628387097987</v>
      </c>
      <c r="E163" s="111">
        <f>J162/K162</f>
        <v>255.55798743184849</v>
      </c>
      <c r="F163" s="111"/>
      <c r="H163" s="50">
        <v>33.693416755459268</v>
      </c>
      <c r="K163" s="96">
        <v>20.041643182247739</v>
      </c>
    </row>
    <row r="164" spans="1:11">
      <c r="A164" t="s">
        <v>77</v>
      </c>
      <c r="E164" s="111"/>
      <c r="F164" s="111"/>
      <c r="H164" s="55">
        <v>3.7719968180249812</v>
      </c>
      <c r="K164" s="96">
        <v>2.850686553062046</v>
      </c>
    </row>
    <row r="165" spans="1:11">
      <c r="E165" s="111"/>
      <c r="F165" s="111"/>
      <c r="H165" s="55">
        <v>3.707914976245239</v>
      </c>
      <c r="K165" s="96">
        <v>2.40861704661123</v>
      </c>
    </row>
    <row r="166" spans="1:11">
      <c r="E166" s="111"/>
      <c r="F166" s="111"/>
      <c r="H166" s="109">
        <f>H164/H162</f>
        <v>0.12024161251358552</v>
      </c>
      <c r="I166" s="109"/>
      <c r="J166" s="109"/>
      <c r="K166" s="109">
        <f>K164/K162</f>
        <v>0.13944432459480091</v>
      </c>
    </row>
    <row r="167" spans="1:11">
      <c r="A167" t="s">
        <v>78</v>
      </c>
      <c r="B167" s="108">
        <f>(E168/D168)^(1/4)-1</f>
        <v>0.1507925819294913</v>
      </c>
      <c r="C167" s="108">
        <f>(E167/D167)^(1/4)-1</f>
        <v>0.11539964738411346</v>
      </c>
      <c r="D167" s="111">
        <f>G167/H169</f>
        <v>248.48203422480367</v>
      </c>
      <c r="E167" s="111">
        <f>J167/K169</f>
        <v>384.60684141924588</v>
      </c>
      <c r="F167" s="111"/>
      <c r="G167">
        <v>1504.83</v>
      </c>
      <c r="H167" s="50">
        <v>58.776279599115931</v>
      </c>
      <c r="J167">
        <v>1363.03</v>
      </c>
      <c r="K167" s="96">
        <v>30.355112855126698</v>
      </c>
    </row>
    <row r="168" spans="1:11">
      <c r="A168" t="s">
        <v>79</v>
      </c>
      <c r="D168" s="111">
        <f>G167/H167</f>
        <v>25.602675267364734</v>
      </c>
      <c r="E168" s="111">
        <f>J167/K167</f>
        <v>44.902814445303463</v>
      </c>
      <c r="F168" s="111"/>
      <c r="H168" s="51">
        <v>61.188174610485937</v>
      </c>
      <c r="K168" s="96">
        <v>30.768611528042481</v>
      </c>
    </row>
    <row r="169" spans="1:11">
      <c r="A169" t="s">
        <v>80</v>
      </c>
      <c r="E169" s="111"/>
      <c r="F169" s="111"/>
      <c r="H169" s="51">
        <v>6.0560917600930786</v>
      </c>
      <c r="K169" s="96">
        <v>3.54395671946514</v>
      </c>
    </row>
    <row r="170" spans="1:11">
      <c r="A170">
        <v>6.4</v>
      </c>
      <c r="E170" s="111"/>
      <c r="F170" s="111"/>
      <c r="H170" s="51">
        <v>5.5481654905451796</v>
      </c>
      <c r="K170" s="96">
        <v>2.772773965480881</v>
      </c>
    </row>
    <row r="171" spans="1:11">
      <c r="E171" s="111"/>
      <c r="F171" s="111"/>
      <c r="H171" s="109">
        <f>H169/H167</f>
        <v>0.10303632352028232</v>
      </c>
      <c r="I171" s="109"/>
      <c r="J171" s="109"/>
      <c r="K171" s="109">
        <f>K169/K167</f>
        <v>0.11674991084299653</v>
      </c>
    </row>
    <row r="172" spans="1:11">
      <c r="A172" t="s">
        <v>81</v>
      </c>
      <c r="B172" s="108">
        <f>(E173/D173)^(1/4)-1</f>
        <v>7.8456894516593101E-2</v>
      </c>
      <c r="C172" s="108">
        <f>(E172/D172)^(1/4)-1</f>
        <v>5.1556522092527146E-2</v>
      </c>
      <c r="D172" s="111">
        <f>G172/H174</f>
        <v>230.673114412084</v>
      </c>
      <c r="E172" s="111">
        <f>J172/K174</f>
        <v>282.05088365924473</v>
      </c>
      <c r="F172" s="111"/>
      <c r="G172">
        <v>1431.67</v>
      </c>
      <c r="H172" s="50">
        <v>54.816597575538481</v>
      </c>
      <c r="J172">
        <v>1115.68</v>
      </c>
      <c r="K172" s="96">
        <v>31.578946254911781</v>
      </c>
    </row>
    <row r="173" spans="1:11">
      <c r="A173" t="s">
        <v>82</v>
      </c>
      <c r="D173" s="111">
        <f>G172/H172</f>
        <v>26.117454627261885</v>
      </c>
      <c r="E173" s="111">
        <f>J172/K172</f>
        <v>35.329867912437628</v>
      </c>
      <c r="F173" s="111"/>
      <c r="H173" s="50">
        <v>57.438290002047559</v>
      </c>
      <c r="K173" s="96">
        <v>30.391832730990881</v>
      </c>
    </row>
    <row r="174" spans="1:11">
      <c r="A174" t="s">
        <v>83</v>
      </c>
      <c r="E174" s="111"/>
      <c r="F174" s="111"/>
      <c r="H174" s="55">
        <v>6.2064883618920819</v>
      </c>
      <c r="K174" s="96">
        <v>3.9555983144796349</v>
      </c>
    </row>
    <row r="175" spans="1:11">
      <c r="E175" s="111"/>
      <c r="F175" s="111"/>
      <c r="H175" s="50">
        <v>5.663598380615757</v>
      </c>
      <c r="K175" s="96">
        <v>3.0649938068701901</v>
      </c>
    </row>
    <row r="176" spans="1:11">
      <c r="E176" s="111"/>
      <c r="F176" s="111"/>
      <c r="H176" s="109">
        <f>H174/H172</f>
        <v>0.1132227944891947</v>
      </c>
      <c r="I176" s="109"/>
      <c r="J176" s="109"/>
      <c r="K176" s="109">
        <f>K174/K172</f>
        <v>0.12526061770868566</v>
      </c>
    </row>
    <row r="177" spans="1:11">
      <c r="A177" t="s">
        <v>84</v>
      </c>
      <c r="B177" s="108">
        <f>(E178/D178)^(1/4)-1</f>
        <v>0.10061626483085351</v>
      </c>
      <c r="C177" s="108">
        <f>(E177/D177)^(1/4)-1</f>
        <v>0.11499455090434507</v>
      </c>
      <c r="D177" s="111">
        <f>G177/H180</f>
        <v>1647.0137989761051</v>
      </c>
      <c r="E177" s="111">
        <f>J177/K180</f>
        <v>2545.5886010409308</v>
      </c>
      <c r="F177" s="111"/>
      <c r="G177">
        <v>6304.6149999999998</v>
      </c>
      <c r="H177" s="50">
        <v>20.884644087881728</v>
      </c>
      <c r="J177">
        <v>6616.57</v>
      </c>
      <c r="K177" s="42">
        <v>19.128437552326311</v>
      </c>
    </row>
    <row r="178" spans="1:11">
      <c r="A178" t="s">
        <v>85</v>
      </c>
      <c r="D178" s="111">
        <f>G177/H178</f>
        <v>209.23498883746416</v>
      </c>
      <c r="E178" s="111">
        <f>J177/K178</f>
        <v>307.02802301377125</v>
      </c>
      <c r="F178" s="111"/>
      <c r="H178" s="51">
        <v>30.1317434289037</v>
      </c>
      <c r="J178" s="184"/>
      <c r="K178" s="42">
        <v>21.55037815458045</v>
      </c>
    </row>
    <row r="179" spans="1:11">
      <c r="A179" t="s">
        <v>86</v>
      </c>
      <c r="E179" s="111"/>
      <c r="F179" s="111"/>
      <c r="H179" s="50">
        <v>2.6690960333675151</v>
      </c>
      <c r="J179" s="184"/>
      <c r="K179" s="42">
        <v>2.7209417522970529</v>
      </c>
    </row>
    <row r="180" spans="1:11">
      <c r="E180" s="111"/>
      <c r="F180" s="111"/>
      <c r="H180" s="51">
        <v>3.8279066052266071</v>
      </c>
      <c r="J180" s="184"/>
      <c r="K180" s="42">
        <v>2.5992298980653752</v>
      </c>
    </row>
    <row r="181" spans="1:11">
      <c r="E181" s="111"/>
      <c r="F181" s="111"/>
      <c r="H181" s="109">
        <f>H180/H178</f>
        <v>0.12703900171785978</v>
      </c>
      <c r="I181" s="109"/>
      <c r="J181" s="109"/>
      <c r="K181" s="109">
        <f>K180/K178</f>
        <v>0.12061179991465341</v>
      </c>
    </row>
    <row r="182" spans="1:11">
      <c r="A182" t="s">
        <v>39</v>
      </c>
      <c r="B182" s="108">
        <f>(E183/D183)^(1/4)-1</f>
        <v>0.15090735374467878</v>
      </c>
      <c r="C182" s="108">
        <f>(E182/D182)^(1/4)-1</f>
        <v>9.1957588530832579E-2</v>
      </c>
      <c r="D182" s="111">
        <f>G182/H184</f>
        <v>1509.5999446014484</v>
      </c>
      <c r="E182" s="111">
        <f>J182/K184</f>
        <v>2146.2729608173067</v>
      </c>
      <c r="F182" s="111"/>
      <c r="G182">
        <v>3466.14</v>
      </c>
      <c r="H182" s="49">
        <v>24.768643235814281</v>
      </c>
      <c r="J182">
        <v>3211.04</v>
      </c>
      <c r="K182" s="96">
        <v>13.077971092274611</v>
      </c>
    </row>
    <row r="183" spans="1:11">
      <c r="A183" t="s">
        <v>755</v>
      </c>
      <c r="D183" s="111">
        <f>G182/H182</f>
        <v>139.94064862576428</v>
      </c>
      <c r="E183" s="111">
        <f>J182/K182</f>
        <v>245.5304402604788</v>
      </c>
      <c r="F183" s="111"/>
      <c r="G183" s="184"/>
      <c r="H183" s="54">
        <v>25.952574208132621</v>
      </c>
      <c r="K183" s="96">
        <v>17.370134583029841</v>
      </c>
    </row>
    <row r="184" spans="1:11">
      <c r="A184" t="s">
        <v>41</v>
      </c>
      <c r="E184" s="111"/>
      <c r="F184" s="111"/>
      <c r="G184" s="184"/>
      <c r="H184" s="49">
        <v>2.2960652670897521</v>
      </c>
      <c r="K184" s="96">
        <v>1.49610047678988</v>
      </c>
    </row>
    <row r="185" spans="1:11">
      <c r="A185">
        <v>3.16</v>
      </c>
      <c r="E185" s="111"/>
      <c r="F185" s="111"/>
      <c r="G185" s="184"/>
      <c r="H185" s="49">
        <v>2.2757989502490972</v>
      </c>
      <c r="K185" s="96">
        <v>1.681594426137704</v>
      </c>
    </row>
    <row r="186" spans="1:11">
      <c r="E186" s="111"/>
      <c r="F186" s="111"/>
      <c r="H186" s="109">
        <f>H184/H182</f>
        <v>9.2700486063352502E-2</v>
      </c>
      <c r="I186" s="109"/>
      <c r="J186" s="109"/>
      <c r="K186" s="109">
        <f>K184/K182</f>
        <v>0.11439851535332213</v>
      </c>
    </row>
    <row r="187" spans="1:11">
      <c r="A187" t="s">
        <v>47</v>
      </c>
      <c r="B187" s="108">
        <f>(E188/D188)^(1/5)-1</f>
        <v>9.1745871718501126E-2</v>
      </c>
      <c r="C187" s="108">
        <f>(E187/D187)^(1/5)-1</f>
        <v>7.655574011353683E-2</v>
      </c>
      <c r="D187" s="111">
        <f>G187/H189</f>
        <v>180.65099457504519</v>
      </c>
      <c r="E187" s="111">
        <f>J187/K189</f>
        <v>261.22994652406413</v>
      </c>
      <c r="F187" s="111"/>
      <c r="G187">
        <v>999</v>
      </c>
      <c r="H187" s="55">
        <v>27.69</v>
      </c>
      <c r="J187" s="77">
        <v>977</v>
      </c>
      <c r="K187" s="96">
        <v>17.46</v>
      </c>
    </row>
    <row r="188" spans="1:11">
      <c r="A188" t="s">
        <v>756</v>
      </c>
      <c r="D188" s="111">
        <f>G187/H187</f>
        <v>36.078006500541711</v>
      </c>
      <c r="E188" s="111">
        <f>J187/K187</f>
        <v>55.956471935853379</v>
      </c>
      <c r="F188" s="111"/>
      <c r="H188" s="50"/>
      <c r="K188" s="96"/>
    </row>
    <row r="189" spans="1:11">
      <c r="A189" t="s">
        <v>49</v>
      </c>
      <c r="E189" s="111"/>
      <c r="F189" s="111"/>
      <c r="H189" s="55">
        <v>5.53</v>
      </c>
      <c r="K189" s="96">
        <v>3.74</v>
      </c>
    </row>
    <row r="190" spans="1:11">
      <c r="A190">
        <v>3.4</v>
      </c>
      <c r="E190" s="111"/>
      <c r="F190" s="111"/>
      <c r="H190" s="50"/>
      <c r="K190" s="96"/>
    </row>
    <row r="191" spans="1:11">
      <c r="E191" s="111"/>
      <c r="F191" s="111"/>
      <c r="H191" s="109">
        <f>H189/H187</f>
        <v>0.19971108703503071</v>
      </c>
      <c r="I191" s="109"/>
      <c r="J191" s="109"/>
      <c r="K191" s="109">
        <f>K189/K187</f>
        <v>0.21420389461626574</v>
      </c>
    </row>
    <row r="192" spans="1:11">
      <c r="A192" t="s">
        <v>87</v>
      </c>
      <c r="B192" s="108">
        <f>(E193/D193)^(1/4)-1</f>
        <v>6.5959896279315755E-2</v>
      </c>
      <c r="C192" s="108">
        <f>(E192/D192)^(1/4)-1</f>
        <v>8.7661654325708049E-2</v>
      </c>
      <c r="D192" s="111">
        <f>G192/H194</f>
        <v>2233.9560335193964</v>
      </c>
      <c r="E192" s="111">
        <f>J192/K194</f>
        <v>3126.4385154099468</v>
      </c>
      <c r="F192" s="111"/>
      <c r="G192">
        <v>8904.39</v>
      </c>
      <c r="H192" s="51">
        <v>84.031315248746125</v>
      </c>
      <c r="J192">
        <v>6960.44</v>
      </c>
      <c r="K192" s="42">
        <v>50.875678994204229</v>
      </c>
    </row>
    <row r="193" spans="1:11">
      <c r="A193" t="s">
        <v>88</v>
      </c>
      <c r="D193" s="111">
        <f>G192/H192</f>
        <v>105.96513899183395</v>
      </c>
      <c r="E193" s="111">
        <f>J192/K192</f>
        <v>136.81271950774229</v>
      </c>
      <c r="F193" s="111"/>
      <c r="H193" s="51">
        <v>96.580695431881537</v>
      </c>
      <c r="J193" s="184"/>
      <c r="K193" s="42">
        <v>51.627946829709771</v>
      </c>
    </row>
    <row r="194" spans="1:11">
      <c r="A194" t="s">
        <v>89</v>
      </c>
      <c r="E194" s="111"/>
      <c r="F194" s="111"/>
      <c r="H194" s="51">
        <v>3.985928937899434</v>
      </c>
      <c r="J194" s="184"/>
      <c r="K194" s="42">
        <v>2.226315971253741</v>
      </c>
    </row>
    <row r="195" spans="1:11">
      <c r="A195">
        <v>6.44</v>
      </c>
      <c r="E195" s="111"/>
      <c r="F195" s="111"/>
      <c r="H195" s="51">
        <v>4.6619134164257012</v>
      </c>
      <c r="J195" s="184"/>
      <c r="K195" s="42">
        <v>2.5016535601473979</v>
      </c>
    </row>
    <row r="196" spans="1:11">
      <c r="E196" s="111"/>
      <c r="F196" s="111"/>
      <c r="H196" s="109">
        <f>H194/H192</f>
        <v>4.743385160758757E-2</v>
      </c>
      <c r="I196" s="109"/>
      <c r="J196" s="109"/>
      <c r="K196" s="109">
        <f>K194/K192</f>
        <v>4.3759926457342488E-2</v>
      </c>
    </row>
    <row r="197" spans="1:11">
      <c r="A197" t="s">
        <v>120</v>
      </c>
      <c r="B197" s="108">
        <f>(E198/D198)^(1/4)-1</f>
        <v>0.11014386348161742</v>
      </c>
      <c r="C197" s="108">
        <f>(E197/D197)^(1/4)-1</f>
        <v>5.0885037957893786E-2</v>
      </c>
      <c r="D197" s="111">
        <f>G197/H199</f>
        <v>465.68375145024908</v>
      </c>
      <c r="E197" s="111">
        <f>J197/K199</f>
        <v>567.95237506869933</v>
      </c>
      <c r="F197" s="111"/>
      <c r="G197">
        <v>1961.123</v>
      </c>
      <c r="H197" s="53">
        <v>43.645882163439623</v>
      </c>
      <c r="J197">
        <v>1793.32</v>
      </c>
      <c r="K197" s="96">
        <v>26.277205904760081</v>
      </c>
    </row>
    <row r="198" spans="1:11">
      <c r="A198" t="s">
        <v>121</v>
      </c>
      <c r="D198" s="111">
        <f>G197/H197</f>
        <v>44.932600804269065</v>
      </c>
      <c r="E198" s="111">
        <f>J197/K197</f>
        <v>68.24622094524679</v>
      </c>
      <c r="F198" s="111"/>
      <c r="G198" s="184"/>
      <c r="H198" s="54">
        <v>40.360809660646517</v>
      </c>
      <c r="K198" s="96">
        <v>25.119211800846589</v>
      </c>
    </row>
    <row r="199" spans="1:11">
      <c r="A199" t="s">
        <v>122</v>
      </c>
      <c r="E199" s="111"/>
      <c r="F199" s="111"/>
      <c r="G199" s="184"/>
      <c r="H199" s="53">
        <v>4.2112764164362622</v>
      </c>
      <c r="K199" s="96">
        <v>3.1575182686454659</v>
      </c>
    </row>
    <row r="200" spans="1:11">
      <c r="E200" s="111"/>
      <c r="F200" s="111"/>
      <c r="G200" s="184"/>
      <c r="H200" s="54">
        <v>4.108670942812032</v>
      </c>
      <c r="K200" s="96">
        <v>2.721947418224508</v>
      </c>
    </row>
    <row r="201" spans="1:11">
      <c r="E201" s="111"/>
      <c r="F201" s="111"/>
      <c r="H201" s="109">
        <f>H199/H197</f>
        <v>9.6487370805484071E-2</v>
      </c>
      <c r="I201" s="109"/>
      <c r="J201" s="109"/>
      <c r="K201" s="109">
        <f>K199/K197</f>
        <v>0.12016187261650546</v>
      </c>
    </row>
    <row r="202" spans="1:11">
      <c r="A202" t="s">
        <v>92</v>
      </c>
      <c r="B202" s="108">
        <f>(E203/D203)^(1/4)-1</f>
        <v>0.10905174586457611</v>
      </c>
      <c r="C202" s="108">
        <f>(E202/D202)^(1/4)-1</f>
        <v>5.4869711006239497E-2</v>
      </c>
      <c r="D202" s="111">
        <f>G202/H204</f>
        <v>372.49537589153499</v>
      </c>
      <c r="E202" s="111">
        <f>J202/K204</f>
        <v>461.22854276828826</v>
      </c>
      <c r="F202" s="111"/>
      <c r="G202">
        <v>1819.472</v>
      </c>
      <c r="H202" s="51">
        <v>49.856092646360402</v>
      </c>
      <c r="J202">
        <v>1172.97</v>
      </c>
      <c r="K202" s="42">
        <v>21.244794156073048</v>
      </c>
    </row>
    <row r="203" spans="1:11">
      <c r="A203" t="s">
        <v>93</v>
      </c>
      <c r="D203" s="111">
        <f>G202/H202</f>
        <v>36.494476470627006</v>
      </c>
      <c r="E203" s="111">
        <f>J202/K202</f>
        <v>55.212114148194473</v>
      </c>
      <c r="F203" s="111"/>
      <c r="H203" s="51">
        <v>53.129082092972581</v>
      </c>
      <c r="J203" s="184"/>
      <c r="K203" s="42">
        <v>21.607911933939231</v>
      </c>
    </row>
    <row r="204" spans="1:11">
      <c r="A204" t="s">
        <v>94</v>
      </c>
      <c r="E204" s="111"/>
      <c r="F204" s="111"/>
      <c r="H204" s="50">
        <v>4.8845492260011376</v>
      </c>
      <c r="J204" s="184"/>
      <c r="K204" s="42">
        <v>2.5431426965899551</v>
      </c>
    </row>
    <row r="205" spans="1:11">
      <c r="A205">
        <v>7.4</v>
      </c>
      <c r="E205" s="111"/>
      <c r="F205" s="111"/>
      <c r="H205" s="50">
        <v>4.6847108228427414</v>
      </c>
      <c r="J205" s="184"/>
      <c r="K205" s="42">
        <v>1.9055394754334689</v>
      </c>
    </row>
    <row r="206" spans="1:11">
      <c r="E206" s="111"/>
      <c r="F206" s="111"/>
      <c r="H206" s="109">
        <f>H204/H202</f>
        <v>9.7972965122803693E-2</v>
      </c>
      <c r="I206" s="109"/>
      <c r="J206" s="109"/>
      <c r="K206" s="109">
        <f>K204/K202</f>
        <v>0.11970662920558216</v>
      </c>
    </row>
    <row r="207" spans="1:11">
      <c r="A207" t="s">
        <v>72</v>
      </c>
      <c r="B207" s="108">
        <f>(E208/D208)^(1/4)-1</f>
        <v>-1.6867572625301586E-2</v>
      </c>
      <c r="C207" s="108">
        <f>(E207/D207)^(1/4)-1</f>
        <v>9.0598448968115086E-2</v>
      </c>
      <c r="D207" s="111">
        <f>G207/H209</f>
        <v>325.37896196784646</v>
      </c>
      <c r="E207" s="111">
        <f>J207/K209</f>
        <v>460.30847620071501</v>
      </c>
      <c r="F207" s="111"/>
      <c r="G207">
        <v>766.3922</v>
      </c>
      <c r="H207" s="54">
        <v>29.707370845620339</v>
      </c>
      <c r="J207">
        <v>606.46</v>
      </c>
      <c r="K207" s="46">
        <v>25.16327820978718</v>
      </c>
    </row>
    <row r="208" spans="1:11">
      <c r="A208" t="s">
        <v>73</v>
      </c>
      <c r="D208" s="111">
        <f>G207/H207</f>
        <v>25.798048705915242</v>
      </c>
      <c r="E208" s="111">
        <f>J207/K207</f>
        <v>24.100993318275965</v>
      </c>
      <c r="F208" s="111"/>
      <c r="G208" s="184"/>
      <c r="H208" s="54">
        <v>35.445205718967372</v>
      </c>
      <c r="J208" s="184"/>
      <c r="K208" s="47">
        <v>37.871431589933792</v>
      </c>
    </row>
    <row r="209" spans="1:11">
      <c r="A209" t="s">
        <v>74</v>
      </c>
      <c r="E209" s="111"/>
      <c r="F209" s="111"/>
      <c r="G209" s="184"/>
      <c r="H209" s="53">
        <v>2.355383382394999</v>
      </c>
      <c r="J209" s="184"/>
      <c r="K209" s="42">
        <v>1.317507783053633</v>
      </c>
    </row>
    <row r="210" spans="1:11">
      <c r="A210">
        <v>4.2699999999999996</v>
      </c>
      <c r="E210" s="111"/>
      <c r="F210" s="111"/>
      <c r="G210" s="184"/>
      <c r="H210" s="53">
        <v>2.6970407224418969</v>
      </c>
      <c r="J210" s="184"/>
      <c r="K210" s="42">
        <v>1.3694874941412341</v>
      </c>
    </row>
    <row r="211" spans="1:11">
      <c r="E211" s="111"/>
      <c r="F211" s="111"/>
      <c r="H211" s="109">
        <f>H209/H207</f>
        <v>7.9286160819655491E-2</v>
      </c>
      <c r="I211" s="109"/>
      <c r="J211" s="109"/>
      <c r="K211" s="109">
        <f>K209/K207</f>
        <v>5.2358352201550287E-2</v>
      </c>
    </row>
    <row r="212" spans="1:11">
      <c r="A212" s="90" t="s">
        <v>90</v>
      </c>
      <c r="B212" s="108">
        <f>(E213/D213)^(1/5)-1</f>
        <v>5.1100626525358628E-2</v>
      </c>
      <c r="C212" s="108">
        <f>(E212/D212)^(1/5)-1</f>
        <v>0.13627852610220281</v>
      </c>
      <c r="D212" s="111">
        <f>G212/H214</f>
        <v>4010.4651162790697</v>
      </c>
      <c r="E212" s="111">
        <f>J212/K214</f>
        <v>7596.590909090909</v>
      </c>
      <c r="F212" s="111"/>
      <c r="G212">
        <v>3449</v>
      </c>
      <c r="H212" s="48">
        <v>4.66</v>
      </c>
      <c r="J212">
        <v>6685</v>
      </c>
      <c r="K212" s="41">
        <v>7.04</v>
      </c>
    </row>
    <row r="213" spans="1:11">
      <c r="A213" t="s">
        <v>91</v>
      </c>
      <c r="D213" s="111">
        <f>G212/H212</f>
        <v>740.12875536480681</v>
      </c>
      <c r="E213" s="111">
        <f>J212/K212</f>
        <v>949.57386363636363</v>
      </c>
      <c r="F213" s="111"/>
      <c r="G213" s="184"/>
      <c r="H213" s="48"/>
      <c r="J213" s="184"/>
      <c r="K213" s="41"/>
    </row>
    <row r="214" spans="1:11">
      <c r="A214" t="s">
        <v>74</v>
      </c>
      <c r="E214" s="111"/>
      <c r="F214" s="111"/>
      <c r="G214" s="184"/>
      <c r="H214" s="48">
        <v>0.86</v>
      </c>
      <c r="J214" s="184"/>
      <c r="K214" s="42">
        <v>0.88</v>
      </c>
    </row>
    <row r="215" spans="1:11">
      <c r="A215">
        <v>2.4</v>
      </c>
      <c r="E215" s="111"/>
      <c r="F215" s="111"/>
      <c r="G215" s="184"/>
      <c r="H215" s="48"/>
      <c r="J215" s="184"/>
      <c r="K215" s="42"/>
    </row>
    <row r="216" spans="1:11">
      <c r="E216" s="111"/>
      <c r="F216" s="111"/>
      <c r="H216" s="109">
        <f>H214/H212</f>
        <v>0.18454935622317595</v>
      </c>
      <c r="I216" s="109"/>
      <c r="J216" s="109"/>
      <c r="K216" s="109">
        <f>K214/K212</f>
        <v>0.125</v>
      </c>
    </row>
    <row r="217" spans="1:11">
      <c r="A217" t="s">
        <v>97</v>
      </c>
      <c r="B217" s="108"/>
      <c r="C217" s="108">
        <f>(E217/D217)^(1/5)-1</f>
        <v>4.6666166103174866E-2</v>
      </c>
      <c r="D217" s="111">
        <f>G217/H219</f>
        <v>1135.0409836065573</v>
      </c>
      <c r="E217" s="111">
        <f>J217/K219</f>
        <v>1425.7798457712654</v>
      </c>
      <c r="F217" s="111"/>
      <c r="G217">
        <v>11078</v>
      </c>
      <c r="H217" s="49"/>
      <c r="J217">
        <v>6790.45</v>
      </c>
      <c r="K217" s="96">
        <v>38.701378381208677</v>
      </c>
    </row>
    <row r="218" spans="1:11">
      <c r="A218" t="s">
        <v>98</v>
      </c>
      <c r="E218" s="111">
        <f>J217/K217</f>
        <v>175.457575001956</v>
      </c>
      <c r="F218" s="111"/>
      <c r="G218" s="184"/>
      <c r="H218" s="49"/>
      <c r="K218" s="96">
        <v>35.015789849580997</v>
      </c>
    </row>
    <row r="219" spans="1:11">
      <c r="A219" t="s">
        <v>99</v>
      </c>
      <c r="E219" s="111"/>
      <c r="F219" s="111"/>
      <c r="G219" s="184"/>
      <c r="H219" s="49">
        <v>9.76</v>
      </c>
      <c r="K219" s="96">
        <v>4.7626216769299008</v>
      </c>
    </row>
    <row r="220" spans="1:11">
      <c r="E220" s="111"/>
      <c r="F220" s="111"/>
      <c r="G220" s="184"/>
      <c r="H220" s="54"/>
      <c r="K220" s="96">
        <v>3.057924150737545</v>
      </c>
    </row>
    <row r="221" spans="1:11">
      <c r="E221" s="111"/>
      <c r="F221" s="111"/>
      <c r="H221" s="66"/>
      <c r="K221" s="66"/>
    </row>
    <row r="222" spans="1:11">
      <c r="A222" t="s">
        <v>110</v>
      </c>
      <c r="B222" s="108">
        <f>(E223/D223)^(1/4)-1</f>
        <v>0.11247544036794865</v>
      </c>
      <c r="C222" s="108">
        <f>(E222/D222)^(1/4)-1</f>
        <v>6.4631774347907012E-2</v>
      </c>
      <c r="D222" s="111">
        <f>G222/H224</f>
        <v>686</v>
      </c>
      <c r="E222" s="111">
        <f>J222/K224</f>
        <v>881.29602356406485</v>
      </c>
      <c r="F222" s="111"/>
      <c r="G222">
        <v>2401</v>
      </c>
      <c r="H222" s="96">
        <v>17.14</v>
      </c>
      <c r="J222">
        <v>5984</v>
      </c>
      <c r="K222" s="43">
        <v>27.89</v>
      </c>
    </row>
    <row r="223" spans="1:11">
      <c r="A223" t="s">
        <v>111</v>
      </c>
      <c r="D223" s="111">
        <f>G222/H222</f>
        <v>140.08168028004667</v>
      </c>
      <c r="E223" s="111">
        <f>J222/K222</f>
        <v>214.55718895661528</v>
      </c>
      <c r="F223" s="111"/>
      <c r="H223" s="96"/>
      <c r="K223" s="96"/>
    </row>
    <row r="224" spans="1:11">
      <c r="A224" t="s">
        <v>112</v>
      </c>
      <c r="E224" s="111"/>
      <c r="F224" s="111"/>
      <c r="H224" s="96">
        <v>3.5</v>
      </c>
      <c r="K224" s="45">
        <v>6.79</v>
      </c>
    </row>
    <row r="225" spans="1:11">
      <c r="E225" s="111"/>
      <c r="F225" s="111"/>
      <c r="H225" s="96"/>
      <c r="K225" s="96"/>
    </row>
    <row r="226" spans="1:11">
      <c r="E226" s="111"/>
      <c r="F226" s="111"/>
      <c r="H226" s="109">
        <f>H224/H222</f>
        <v>0.20420070011668612</v>
      </c>
      <c r="I226" s="109"/>
      <c r="J226" s="109"/>
      <c r="K226" s="109">
        <f>K224/K222</f>
        <v>0.24345643599856578</v>
      </c>
    </row>
    <row r="227" spans="1:11">
      <c r="A227" t="s">
        <v>117</v>
      </c>
      <c r="B227" s="108"/>
      <c r="C227" s="108"/>
      <c r="E227" s="111">
        <f>J227/K229</f>
        <v>1159.5450955770273</v>
      </c>
      <c r="F227" s="111"/>
      <c r="H227" s="43"/>
      <c r="J227">
        <v>1288.56</v>
      </c>
      <c r="K227" s="96">
        <v>9.2048484229956422</v>
      </c>
    </row>
    <row r="228" spans="1:11">
      <c r="A228" t="s">
        <v>118</v>
      </c>
      <c r="E228" s="111"/>
      <c r="F228" s="111"/>
      <c r="H228" s="96"/>
      <c r="K228" s="44">
        <v>11.35413643208571</v>
      </c>
    </row>
    <row r="229" spans="1:11">
      <c r="A229" t="s">
        <v>119</v>
      </c>
      <c r="E229" s="111"/>
      <c r="F229" s="111"/>
      <c r="H229" s="45"/>
      <c r="K229" s="96">
        <v>1.1112633781256871</v>
      </c>
    </row>
    <row r="230" spans="1:11">
      <c r="E230" s="111"/>
      <c r="F230" s="111"/>
      <c r="H230" s="96"/>
      <c r="K230" s="96">
        <v>1.072882285396312</v>
      </c>
    </row>
    <row r="231" spans="1:11">
      <c r="E231" s="111"/>
      <c r="F231" s="111"/>
      <c r="H231" s="66"/>
    </row>
    <row r="232" spans="1:11">
      <c r="A232" t="s">
        <v>50</v>
      </c>
      <c r="B232" s="108">
        <f>(E233/D233)^(1/4)-1</f>
        <v>9.3967016244458357E-3</v>
      </c>
      <c r="C232" s="108">
        <f>(E232/D232)^(1/4)-1</f>
        <v>4.8547515326808677E-2</v>
      </c>
      <c r="D232" s="111">
        <f>G232/H234</f>
        <v>2031.25</v>
      </c>
      <c r="E232" s="111">
        <f>J232/K234</f>
        <v>2455.3637521524797</v>
      </c>
      <c r="F232" s="111"/>
      <c r="G232">
        <v>3575</v>
      </c>
      <c r="H232" s="43">
        <v>14</v>
      </c>
      <c r="J232">
        <v>3712.11</v>
      </c>
      <c r="K232" s="43">
        <v>14.00313583206505</v>
      </c>
    </row>
    <row r="233" spans="1:11">
      <c r="A233" t="s">
        <v>51</v>
      </c>
      <c r="D233" s="111">
        <f>G232/H232</f>
        <v>255.35714285714286</v>
      </c>
      <c r="E233" s="111">
        <f>J232/K232</f>
        <v>265.09133700608925</v>
      </c>
      <c r="F233" s="111"/>
      <c r="H233" s="96"/>
      <c r="K233" s="96">
        <v>31.800141405562592</v>
      </c>
    </row>
    <row r="234" spans="1:11">
      <c r="A234" t="s">
        <v>52</v>
      </c>
      <c r="E234" s="111"/>
      <c r="F234" s="111"/>
      <c r="H234" s="96">
        <v>1.76</v>
      </c>
      <c r="K234" s="96">
        <v>1.5118370940948369</v>
      </c>
    </row>
    <row r="235" spans="1:11">
      <c r="E235" s="111"/>
      <c r="F235" s="111"/>
      <c r="H235" s="96"/>
      <c r="K235" s="96">
        <v>1.924461058310335</v>
      </c>
    </row>
    <row r="236" spans="1:11">
      <c r="H236" s="109">
        <f>H234/H232</f>
        <v>0.12571428571428572</v>
      </c>
      <c r="I236" s="109"/>
      <c r="J236" s="109"/>
      <c r="K236" s="109">
        <f>K234/K232</f>
        <v>0.10796418118240059</v>
      </c>
    </row>
    <row r="237" spans="1:11">
      <c r="A237" t="s">
        <v>147</v>
      </c>
      <c r="B237" s="108">
        <f>(E238/D238)^(1/4)-1</f>
        <v>0.20773224628439535</v>
      </c>
      <c r="C237" s="108">
        <f>(E237/D237)^(1/4)-1</f>
        <v>1.3808855664687147E-2</v>
      </c>
      <c r="D237" s="111">
        <f>G237/H240</f>
        <v>465.72580645161293</v>
      </c>
      <c r="E237" s="111">
        <f>J237/K240</f>
        <v>491.98813056379822</v>
      </c>
      <c r="G237">
        <v>2310</v>
      </c>
      <c r="J237">
        <v>1658</v>
      </c>
    </row>
    <row r="238" spans="1:11">
      <c r="A238" t="s">
        <v>148</v>
      </c>
      <c r="D238" s="111">
        <f>G237/H238</f>
        <v>29.664825992038011</v>
      </c>
      <c r="E238" s="111">
        <f>J237/K238</f>
        <v>63.113818043395511</v>
      </c>
      <c r="H238">
        <v>77.87</v>
      </c>
      <c r="K238" s="96">
        <v>26.27</v>
      </c>
    </row>
    <row r="239" spans="1:11">
      <c r="A239" t="s">
        <v>149</v>
      </c>
      <c r="E239" s="111"/>
      <c r="K239" s="96"/>
    </row>
    <row r="240" spans="1:11">
      <c r="E240" s="111"/>
      <c r="H240">
        <v>4.96</v>
      </c>
      <c r="K240" s="96">
        <v>3.37</v>
      </c>
    </row>
    <row r="241" spans="1:11">
      <c r="H241" s="109">
        <f>H240/H238</f>
        <v>6.369590342879157E-2</v>
      </c>
      <c r="I241" s="109"/>
      <c r="J241" s="109"/>
      <c r="K241" s="109">
        <f>K240/K238</f>
        <v>0.12828321279025506</v>
      </c>
    </row>
    <row r="242" spans="1:11" ht="17" customHeight="1">
      <c r="A242" t="s">
        <v>757</v>
      </c>
      <c r="B242" s="108"/>
      <c r="C242" s="108"/>
      <c r="E242" s="111"/>
      <c r="H242" s="109"/>
    </row>
    <row r="243" spans="1:11">
      <c r="A243">
        <v>399959</v>
      </c>
      <c r="E243" s="111"/>
      <c r="H243" s="96"/>
    </row>
    <row r="244" spans="1:11" ht="17" customHeight="1">
      <c r="A244" s="128">
        <v>40785</v>
      </c>
      <c r="E244" s="111"/>
      <c r="H244" s="96"/>
    </row>
    <row r="245" spans="1:11">
      <c r="A245">
        <v>5.74</v>
      </c>
      <c r="E245" s="111"/>
      <c r="H245" s="96"/>
    </row>
    <row r="247" spans="1:11">
      <c r="A247" s="90" t="s">
        <v>758</v>
      </c>
      <c r="B247" s="108">
        <f>(E248/D248)^(1/5)-1</f>
        <v>0.12568600218571757</v>
      </c>
      <c r="C247" s="108">
        <f>(E247/D247)^(1/5)-1</f>
        <v>0.19037517360735001</v>
      </c>
      <c r="D247" s="111">
        <f>G247/H249</f>
        <v>435.96403596403599</v>
      </c>
      <c r="E247" s="111">
        <f>J247/K249</f>
        <v>1042.0053956834533</v>
      </c>
      <c r="G247">
        <v>4364</v>
      </c>
      <c r="H247">
        <v>46.36</v>
      </c>
      <c r="J247">
        <v>5793.55</v>
      </c>
      <c r="K247">
        <v>34.049999999999997</v>
      </c>
    </row>
    <row r="248" spans="1:11">
      <c r="D248" s="111">
        <f>G247/H247</f>
        <v>94.13287316652287</v>
      </c>
      <c r="E248" s="111">
        <f>J247/K247</f>
        <v>170.14831130690163</v>
      </c>
    </row>
    <row r="249" spans="1:11">
      <c r="E249" s="111"/>
      <c r="H249">
        <v>10.01</v>
      </c>
      <c r="K249">
        <v>5.56</v>
      </c>
    </row>
    <row r="250" spans="1:11">
      <c r="E250" s="111"/>
    </row>
    <row r="251" spans="1:11">
      <c r="H251" s="109">
        <f>H249/H247</f>
        <v>0.21591889559965488</v>
      </c>
      <c r="I251" s="109"/>
      <c r="J251" s="109"/>
      <c r="K251" s="109">
        <f>K249/K247</f>
        <v>0.16328928046989721</v>
      </c>
    </row>
    <row r="252" spans="1:11">
      <c r="A252" s="90" t="s">
        <v>759</v>
      </c>
      <c r="B252" s="108">
        <f>(E253/D253)^(1/5)-1</f>
        <v>0.13062236905492997</v>
      </c>
      <c r="C252" s="108">
        <f>(E252/D252)^(1/5)-1</f>
        <v>0.10988664676246973</v>
      </c>
      <c r="D252" s="111">
        <f>G252/H254</f>
        <v>4024.3654822335025</v>
      </c>
      <c r="E252" s="111">
        <f>J252/K254</f>
        <v>6777.8280542986422</v>
      </c>
      <c r="F252" s="111"/>
      <c r="G252">
        <v>7928</v>
      </c>
      <c r="H252" s="49">
        <v>10.15</v>
      </c>
      <c r="J252">
        <v>14979</v>
      </c>
      <c r="K252" s="70">
        <v>10.38</v>
      </c>
    </row>
    <row r="253" spans="1:11">
      <c r="D253" s="111">
        <f>G252/H252</f>
        <v>781.08374384236447</v>
      </c>
      <c r="E253" s="111">
        <f>J252/K252</f>
        <v>1443.0635838150288</v>
      </c>
      <c r="F253" s="111"/>
      <c r="G253" s="184"/>
      <c r="H253" s="54"/>
      <c r="J253" s="184"/>
      <c r="K253" s="42"/>
    </row>
    <row r="254" spans="1:11">
      <c r="E254" s="111"/>
      <c r="F254" s="111"/>
      <c r="G254" s="184"/>
      <c r="H254" s="49">
        <v>1.97</v>
      </c>
      <c r="J254" s="184"/>
      <c r="K254" s="42">
        <v>2.21</v>
      </c>
    </row>
    <row r="255" spans="1:11">
      <c r="E255" s="111"/>
      <c r="F255" s="111"/>
      <c r="G255" s="184"/>
      <c r="H255" s="54"/>
      <c r="J255" s="184"/>
      <c r="K255" s="42"/>
    </row>
    <row r="256" spans="1:11">
      <c r="H256" s="109">
        <f>H254/H252</f>
        <v>0.1940886699507389</v>
      </c>
      <c r="I256" s="109"/>
      <c r="J256" s="109"/>
      <c r="K256" s="109">
        <f>K254/K252</f>
        <v>0.21290944123314062</v>
      </c>
    </row>
    <row r="257" spans="1:11">
      <c r="A257" s="90" t="s">
        <v>164</v>
      </c>
      <c r="B257" s="108">
        <f>(E258/D258)^(1/4)-1</f>
        <v>0.14643654756027269</v>
      </c>
      <c r="C257" s="108">
        <f>(E257/D257)^(1/4)-1</f>
        <v>0.1394616697799913</v>
      </c>
      <c r="D257" s="111">
        <f>G257/H259</f>
        <v>1326.4192139737991</v>
      </c>
      <c r="E257" s="111">
        <f>J257/K259</f>
        <v>2236.040609137056</v>
      </c>
      <c r="F257" s="111"/>
      <c r="G257">
        <v>6075</v>
      </c>
      <c r="H257" s="43">
        <v>33.96</v>
      </c>
      <c r="J257">
        <v>8810</v>
      </c>
      <c r="K257" s="43">
        <v>28.51</v>
      </c>
    </row>
    <row r="258" spans="1:11">
      <c r="D258" s="111">
        <f>G257/H257</f>
        <v>178.886925795053</v>
      </c>
      <c r="E258" s="111">
        <f>J257/K257</f>
        <v>309.0143809189758</v>
      </c>
      <c r="F258" s="111"/>
      <c r="H258" s="96"/>
      <c r="K258" s="96"/>
    </row>
    <row r="259" spans="1:11">
      <c r="E259" s="111"/>
      <c r="F259" s="111"/>
      <c r="H259" s="96">
        <v>4.58</v>
      </c>
      <c r="K259" s="96">
        <v>3.94</v>
      </c>
    </row>
    <row r="260" spans="1:11">
      <c r="E260" s="111"/>
      <c r="F260" s="111"/>
      <c r="H260" s="96"/>
      <c r="K260" s="96"/>
    </row>
    <row r="261" spans="1:11">
      <c r="H261" s="109">
        <f>H259/H257</f>
        <v>0.1348645465253239</v>
      </c>
      <c r="I261" s="109"/>
      <c r="J261" s="109"/>
      <c r="K261" s="109">
        <f>K259/K257</f>
        <v>0.13819712381620483</v>
      </c>
    </row>
    <row r="262" spans="1:11">
      <c r="A262" t="s">
        <v>97</v>
      </c>
      <c r="B262" s="108">
        <f>(E263/D263)^(1/3)-1</f>
        <v>0.17171668360401138</v>
      </c>
      <c r="C262" s="108">
        <f>(E262/D262)^(1/3)-1</f>
        <v>5.8622607133122173E-2</v>
      </c>
      <c r="D262" s="111">
        <f>G262/H264</f>
        <v>1197.0108695652173</v>
      </c>
      <c r="E262" s="111">
        <f>J262/K264</f>
        <v>1420.108695652174</v>
      </c>
      <c r="F262" s="111"/>
      <c r="G262">
        <v>8810</v>
      </c>
      <c r="H262" s="43">
        <v>77</v>
      </c>
      <c r="J262">
        <v>7839</v>
      </c>
      <c r="K262" s="43">
        <v>42.59</v>
      </c>
    </row>
    <row r="263" spans="1:11">
      <c r="D263" s="111">
        <f>G262/H262</f>
        <v>114.41558441558442</v>
      </c>
      <c r="E263" s="111">
        <f>J262/K262</f>
        <v>184.05729044376614</v>
      </c>
      <c r="F263" s="111"/>
      <c r="H263" s="96"/>
      <c r="K263" s="96"/>
    </row>
    <row r="264" spans="1:11">
      <c r="E264" s="111"/>
      <c r="F264" s="111"/>
      <c r="H264" s="96">
        <v>7.36</v>
      </c>
      <c r="K264" s="96">
        <v>5.52</v>
      </c>
    </row>
    <row r="265" spans="1:11">
      <c r="E265" s="111"/>
      <c r="F265" s="111"/>
      <c r="H265" s="96"/>
      <c r="K265" s="96"/>
    </row>
    <row r="266" spans="1:11">
      <c r="H266" s="109">
        <f>H264/H262</f>
        <v>9.5584415584415591E-2</v>
      </c>
      <c r="I266" s="109"/>
      <c r="J266" s="109"/>
      <c r="K266" s="109">
        <f>K264/K262</f>
        <v>0.12960788917586286</v>
      </c>
    </row>
    <row r="267" spans="1:11">
      <c r="A267" t="s">
        <v>760</v>
      </c>
      <c r="B267" s="108">
        <f>(E268/D268)^(1/3)-1</f>
        <v>5.1682697791145316E-2</v>
      </c>
      <c r="C267" s="108">
        <f>(E267/D267)^(1/3)-1</f>
        <v>7.0814768094149105E-2</v>
      </c>
      <c r="D267" s="111">
        <f>G267/H269</f>
        <v>2745.6919060052219</v>
      </c>
      <c r="E267" s="111">
        <f>J267/K269</f>
        <v>3371.2802768166089</v>
      </c>
      <c r="F267" s="111"/>
      <c r="G267">
        <v>10516</v>
      </c>
      <c r="H267" s="49">
        <v>30.32</v>
      </c>
      <c r="J267">
        <v>9743</v>
      </c>
      <c r="K267" s="96">
        <v>24.15</v>
      </c>
    </row>
    <row r="268" spans="1:11" ht="18" customHeight="1">
      <c r="A268" s="89" t="s">
        <v>391</v>
      </c>
      <c r="D268" s="111">
        <f>G267/H267</f>
        <v>346.83377308707122</v>
      </c>
      <c r="E268" s="111">
        <f>J267/K267</f>
        <v>403.43685300207039</v>
      </c>
      <c r="F268" s="111"/>
      <c r="G268" s="184"/>
      <c r="H268" s="49"/>
      <c r="K268" s="96"/>
    </row>
    <row r="269" spans="1:11">
      <c r="E269" s="111"/>
      <c r="F269" s="111"/>
      <c r="G269" s="184"/>
      <c r="H269" s="49">
        <v>3.83</v>
      </c>
      <c r="K269" s="96">
        <v>2.89</v>
      </c>
    </row>
    <row r="270" spans="1:11">
      <c r="E270" s="111"/>
      <c r="F270" s="111"/>
      <c r="G270" s="184"/>
      <c r="H270" s="54"/>
      <c r="K270" s="96"/>
    </row>
    <row r="271" spans="1:11" ht="15" customHeight="1">
      <c r="H271" s="109">
        <f>H269/H267</f>
        <v>0.12631926121372031</v>
      </c>
      <c r="I271" s="109"/>
      <c r="J271" s="109"/>
      <c r="K271" s="109">
        <f>K269/K267</f>
        <v>0.11966873706004141</v>
      </c>
    </row>
    <row r="272" spans="1:11">
      <c r="A272" t="s">
        <v>150</v>
      </c>
      <c r="B272" s="108">
        <f>(E273/D273)^(1/5)-1</f>
        <v>6.4352247160335274E-2</v>
      </c>
      <c r="C272" s="108">
        <f>(E272/D272)^(1/5)-1</f>
        <v>0.12347771846993938</v>
      </c>
      <c r="D272" s="111">
        <f>G272/H274</f>
        <v>1642.5742574257426</v>
      </c>
      <c r="E272" s="111">
        <f>J272/K274</f>
        <v>2940</v>
      </c>
      <c r="G272">
        <v>1659</v>
      </c>
      <c r="H272">
        <v>5.99</v>
      </c>
      <c r="J272">
        <v>3087</v>
      </c>
      <c r="K272" s="92">
        <v>8.16</v>
      </c>
    </row>
    <row r="273" spans="1:11">
      <c r="A273" t="s">
        <v>151</v>
      </c>
      <c r="D273" s="111">
        <f>G272/H272</f>
        <v>276.9616026711185</v>
      </c>
      <c r="E273" s="111">
        <f>J272/K272</f>
        <v>378.30882352941177</v>
      </c>
      <c r="K273" s="92"/>
    </row>
    <row r="274" spans="1:11">
      <c r="A274" t="s">
        <v>152</v>
      </c>
      <c r="H274">
        <v>1.01</v>
      </c>
      <c r="K274" s="93">
        <v>1.05</v>
      </c>
    </row>
    <row r="275" spans="1:11">
      <c r="K275" s="92"/>
    </row>
    <row r="276" spans="1:11">
      <c r="H276" s="109">
        <f>H274/H272</f>
        <v>0.1686143572621035</v>
      </c>
      <c r="K276" s="109">
        <f>K274/K272</f>
        <v>0.12867647058823531</v>
      </c>
    </row>
    <row r="278" spans="1:11">
      <c r="A278" t="s">
        <v>159</v>
      </c>
      <c r="B278" s="108">
        <f>(E279/D279)^(1/4)-1</f>
        <v>6.0119667132102039E-2</v>
      </c>
      <c r="C278" s="108">
        <f>(E278/D278)^(1/4)-1</f>
        <v>0.10153658332317672</v>
      </c>
      <c r="D278" s="111">
        <f>G278/H280</f>
        <v>999.04761904761904</v>
      </c>
      <c r="E278" s="111">
        <f>J278/K280</f>
        <v>1470.895738580547</v>
      </c>
      <c r="G278">
        <v>2098</v>
      </c>
      <c r="H278">
        <v>15.54</v>
      </c>
      <c r="J278">
        <v>2595</v>
      </c>
      <c r="K278" s="94">
        <v>15.21820137713296</v>
      </c>
    </row>
    <row r="279" spans="1:11">
      <c r="A279" t="s">
        <v>160</v>
      </c>
      <c r="D279" s="111">
        <f>G278/H278</f>
        <v>135.00643500643503</v>
      </c>
      <c r="E279" s="111">
        <f>J278/K278</f>
        <v>170.51949410390088</v>
      </c>
      <c r="K279" s="94"/>
    </row>
    <row r="280" spans="1:11">
      <c r="A280" t="s">
        <v>761</v>
      </c>
      <c r="H280">
        <v>2.1</v>
      </c>
      <c r="K280" s="94">
        <v>1.7642310953353111</v>
      </c>
    </row>
    <row r="281" spans="1:11">
      <c r="K281" s="95"/>
    </row>
    <row r="282" spans="1:11">
      <c r="H282" s="109">
        <f>H280/H278</f>
        <v>0.13513513513513514</v>
      </c>
      <c r="K282" s="109">
        <f>K280/K278</f>
        <v>0.1159290149745465</v>
      </c>
    </row>
    <row r="284" spans="1:11">
      <c r="A284" t="s">
        <v>762</v>
      </c>
      <c r="B284" s="108">
        <f>(E285/D285)^(1/3)-1</f>
        <v>-6.1873397974069655E-2</v>
      </c>
      <c r="C284" s="108">
        <f>(E284/D284)^(1/3)-1</f>
        <v>6.5563142938678931E-2</v>
      </c>
      <c r="D284" s="111">
        <f>G284/H286</f>
        <v>1633.6116910229646</v>
      </c>
      <c r="E284" s="111">
        <f>J284/K286</f>
        <v>1976.4525993883792</v>
      </c>
      <c r="G284">
        <v>7825</v>
      </c>
      <c r="H284">
        <v>78.73</v>
      </c>
      <c r="J284">
        <v>6463</v>
      </c>
      <c r="K284">
        <v>78.760000000000005</v>
      </c>
    </row>
    <row r="285" spans="1:11">
      <c r="D285" s="111">
        <f>G284/H284</f>
        <v>99.390321351454332</v>
      </c>
      <c r="E285" s="111">
        <f>J284/K284</f>
        <v>82.059421025901472</v>
      </c>
    </row>
    <row r="286" spans="1:11">
      <c r="H286">
        <v>4.79</v>
      </c>
      <c r="K286">
        <v>3.27</v>
      </c>
    </row>
    <row r="288" spans="1:11">
      <c r="H288" s="109">
        <f>H286/H284</f>
        <v>6.0840848469452556E-2</v>
      </c>
      <c r="K288" s="109">
        <f>K286/K284</f>
        <v>4.1518537328593189E-2</v>
      </c>
    </row>
    <row r="290" spans="1:11">
      <c r="A290" t="s">
        <v>97</v>
      </c>
      <c r="B290" s="108">
        <f>(E291/D291)^(1/4)-1</f>
        <v>0.10046650661253254</v>
      </c>
      <c r="C290" s="108">
        <f>(E290/D290)^(1/4)-1</f>
        <v>5.9830786236366063E-2</v>
      </c>
      <c r="D290" s="111">
        <f>G290/H292</f>
        <v>1109.1111111111111</v>
      </c>
      <c r="E290" s="111">
        <f>J290/K292</f>
        <v>1399.3333333333333</v>
      </c>
      <c r="G290">
        <v>9982</v>
      </c>
      <c r="H290">
        <v>82.02</v>
      </c>
      <c r="J290">
        <v>8396</v>
      </c>
      <c r="K290">
        <v>47.04</v>
      </c>
    </row>
    <row r="291" spans="1:11">
      <c r="D291" s="111">
        <f>G290/H290</f>
        <v>121.70202389661058</v>
      </c>
      <c r="E291" s="111">
        <f>J290/K290</f>
        <v>178.48639455782313</v>
      </c>
    </row>
    <row r="292" spans="1:11">
      <c r="H292">
        <v>9</v>
      </c>
      <c r="K292">
        <v>6</v>
      </c>
    </row>
    <row r="294" spans="1:11">
      <c r="H294" s="109">
        <f>H292/H290</f>
        <v>0.1097293343087052</v>
      </c>
      <c r="K294" s="109">
        <f>K292/K290</f>
        <v>0.12755102040816327</v>
      </c>
    </row>
    <row r="296" spans="1:11">
      <c r="A296" t="s">
        <v>763</v>
      </c>
      <c r="B296" s="108">
        <f>(E297/D297)^(1/3)-1</f>
        <v>0.10316035365809406</v>
      </c>
      <c r="C296" s="108">
        <f>(E296/D296)^(1/3)-1</f>
        <v>0.20019475490959859</v>
      </c>
      <c r="D296" s="111">
        <f>G296/H298</f>
        <v>10.931899641577061</v>
      </c>
      <c r="E296" s="111">
        <f>J296/K298</f>
        <v>18.899521531100479</v>
      </c>
      <c r="G296">
        <v>61</v>
      </c>
      <c r="H296">
        <v>15.57</v>
      </c>
      <c r="J296">
        <v>79</v>
      </c>
      <c r="K296">
        <v>15.02</v>
      </c>
    </row>
    <row r="297" spans="1:11">
      <c r="D297" s="111">
        <f>G296/H296</f>
        <v>3.9177906229929351</v>
      </c>
      <c r="E297" s="111">
        <f>J296/K296</f>
        <v>5.2596537949400801</v>
      </c>
    </row>
    <row r="298" spans="1:11">
      <c r="H298">
        <v>5.58</v>
      </c>
      <c r="K298">
        <v>4.18</v>
      </c>
    </row>
    <row r="300" spans="1:11">
      <c r="H300" s="109">
        <f>H298/H296</f>
        <v>0.3583815028901734</v>
      </c>
      <c r="K300" s="109">
        <f>K298/K296</f>
        <v>0.27829560585885482</v>
      </c>
    </row>
    <row r="302" spans="1:11">
      <c r="A302" t="s">
        <v>764</v>
      </c>
      <c r="B302" s="108">
        <f>(E303/D303)^(1/4)-1</f>
        <v>6.8534393530170323E-2</v>
      </c>
      <c r="C302" s="108">
        <f>(E302/D302)^(1/4)-1</f>
        <v>7.3760972379786738E-2</v>
      </c>
      <c r="D302" s="111">
        <f>G302/H304</f>
        <v>2989.6103896103896</v>
      </c>
      <c r="E302" s="111">
        <f>J302/K304</f>
        <v>3974.1573033707864</v>
      </c>
      <c r="G302">
        <v>6906</v>
      </c>
      <c r="H302">
        <v>19.93</v>
      </c>
      <c r="J302">
        <v>3537</v>
      </c>
      <c r="K302">
        <v>7.83</v>
      </c>
    </row>
    <row r="303" spans="1:11">
      <c r="D303" s="111">
        <f>G302/H302</f>
        <v>346.51279478173609</v>
      </c>
      <c r="E303" s="111">
        <f>J302/K302</f>
        <v>451.72413793103448</v>
      </c>
    </row>
    <row r="304" spans="1:11">
      <c r="H304">
        <v>2.31</v>
      </c>
      <c r="K304">
        <v>0.89</v>
      </c>
    </row>
    <row r="306" spans="1:11">
      <c r="H306" s="109">
        <f>H304/H302</f>
        <v>0.11590566984445561</v>
      </c>
      <c r="K306" s="109">
        <f>K304/K302</f>
        <v>0.1136653895274585</v>
      </c>
    </row>
    <row r="310" spans="1:11">
      <c r="A310" t="s">
        <v>731</v>
      </c>
      <c r="B310" s="108">
        <f>(E311/D311)^(1/5)-1</f>
        <v>0.18685228541169607</v>
      </c>
      <c r="C310" s="108">
        <f>(E310/D310)^(1/5)-1</f>
        <v>0.21151625063305191</v>
      </c>
      <c r="D310" s="111">
        <f>G310/H312</f>
        <v>5.4112149532710285</v>
      </c>
      <c r="E310" s="111">
        <f>J310/K312</f>
        <v>14.123456790123457</v>
      </c>
      <c r="G310">
        <v>17.37</v>
      </c>
      <c r="H310">
        <v>12.05</v>
      </c>
      <c r="J310">
        <v>57.2</v>
      </c>
      <c r="K310">
        <v>16.850000000000001</v>
      </c>
    </row>
    <row r="311" spans="1:11">
      <c r="D311" s="111">
        <f>G310/H310</f>
        <v>1.4414937759336099</v>
      </c>
      <c r="E311" s="111">
        <f>J310/K310</f>
        <v>3.3946587537091988</v>
      </c>
    </row>
    <row r="312" spans="1:11">
      <c r="H312">
        <v>3.21</v>
      </c>
      <c r="K312">
        <v>4.05</v>
      </c>
    </row>
    <row r="314" spans="1:11">
      <c r="H314" s="109">
        <f>H312/H310</f>
        <v>0.26639004149377593</v>
      </c>
      <c r="K314" s="109">
        <f>K312/K310</f>
        <v>0.24035608308605338</v>
      </c>
    </row>
    <row r="315" spans="1:11">
      <c r="H315" s="109"/>
      <c r="K315" s="109"/>
    </row>
    <row r="317" spans="1:11">
      <c r="A317" t="s">
        <v>765</v>
      </c>
      <c r="B317" s="108">
        <f>(E318/D318)^(1/6)-1</f>
        <v>6.790548249459416E-2</v>
      </c>
      <c r="C317" s="108">
        <f>(E317/D317)^(1/6)-1</f>
        <v>3.6736774764190461E-2</v>
      </c>
      <c r="D317" s="111">
        <f>G317/H319</f>
        <v>3592.217898832685</v>
      </c>
      <c r="E317" s="111">
        <f>J317/K319</f>
        <v>4460.398860398861</v>
      </c>
      <c r="G317">
        <v>9232</v>
      </c>
      <c r="H317">
        <v>12.45</v>
      </c>
      <c r="J317">
        <v>31312</v>
      </c>
      <c r="K317">
        <v>28.47</v>
      </c>
    </row>
    <row r="318" spans="1:11">
      <c r="D318" s="111">
        <f>G317/H317</f>
        <v>741.52610441767069</v>
      </c>
      <c r="E318" s="111">
        <f>J317/K317</f>
        <v>1099.8243765367054</v>
      </c>
    </row>
    <row r="319" spans="1:11">
      <c r="H319">
        <v>2.57</v>
      </c>
      <c r="K319">
        <v>7.02</v>
      </c>
    </row>
    <row r="321" spans="1:11">
      <c r="H321" s="109">
        <f>H319/H317</f>
        <v>0.20642570281124498</v>
      </c>
      <c r="K321" s="109">
        <f>K319/K317</f>
        <v>0.24657534246575341</v>
      </c>
    </row>
    <row r="323" spans="1:11">
      <c r="A323" t="s">
        <v>766</v>
      </c>
      <c r="B323" s="108">
        <f>(E324/D324)^(1/6)-1</f>
        <v>0.23131423298887333</v>
      </c>
      <c r="C323" s="108">
        <f>(E323/D323)^(1/6)-1</f>
        <v>0.15015067926681924</v>
      </c>
      <c r="D323" s="111">
        <f>G323/H325</f>
        <v>2150.5102040816328</v>
      </c>
      <c r="E323" s="111">
        <f>J323/K325</f>
        <v>4978.1725888324872</v>
      </c>
      <c r="G323">
        <v>8430</v>
      </c>
      <c r="H323">
        <v>35.200000000000003</v>
      </c>
      <c r="J323">
        <v>29421</v>
      </c>
      <c r="K323">
        <v>35.25</v>
      </c>
    </row>
    <row r="324" spans="1:11">
      <c r="D324" s="111">
        <f>G323/H323</f>
        <v>239.48863636363635</v>
      </c>
      <c r="E324" s="111">
        <f>J323/K323</f>
        <v>834.63829787234044</v>
      </c>
    </row>
    <row r="325" spans="1:11">
      <c r="H325">
        <v>3.92</v>
      </c>
      <c r="K325">
        <v>5.91</v>
      </c>
    </row>
    <row r="327" spans="1:11">
      <c r="H327" s="109">
        <f>H325/H323</f>
        <v>0.11136363636363636</v>
      </c>
      <c r="K327" s="109">
        <f>K325/K323</f>
        <v>0.1676595744680851</v>
      </c>
    </row>
    <row r="330" spans="1:11">
      <c r="A330" t="s">
        <v>767</v>
      </c>
      <c r="B330" s="108">
        <f>(E331/D331)^(1/1)-1</f>
        <v>0.15370759233240427</v>
      </c>
      <c r="C330" s="108">
        <f>(E330/D330)^(1/1)-1</f>
        <v>0.30135351049567483</v>
      </c>
      <c r="D330" s="111">
        <f>G330/H332</f>
        <v>5338.3333333333339</v>
      </c>
      <c r="E330" s="111">
        <f>J330/K332</f>
        <v>6947.0588235294117</v>
      </c>
      <c r="G330">
        <v>12812</v>
      </c>
      <c r="H330">
        <v>17.84</v>
      </c>
      <c r="J330">
        <v>15353</v>
      </c>
      <c r="K330">
        <v>18.53</v>
      </c>
    </row>
    <row r="331" spans="1:11">
      <c r="D331" s="111">
        <f>G330/H330</f>
        <v>718.16143497757844</v>
      </c>
      <c r="E331" s="111">
        <f>J330/K330</f>
        <v>828.5483000539665</v>
      </c>
    </row>
    <row r="332" spans="1:11">
      <c r="H332">
        <v>2.4</v>
      </c>
      <c r="K332">
        <v>2.21</v>
      </c>
    </row>
    <row r="334" spans="1:11">
      <c r="H334" s="109">
        <f>H332/H330</f>
        <v>0.13452914798206278</v>
      </c>
      <c r="K334" s="109">
        <f>K332/K330</f>
        <v>0.11926605504587155</v>
      </c>
    </row>
    <row r="335" spans="1:11">
      <c r="H335" s="109"/>
      <c r="K335" s="109"/>
    </row>
    <row r="336" spans="1:11">
      <c r="A336" t="s">
        <v>768</v>
      </c>
      <c r="B336" s="108">
        <f>(E337/D337)^(1/4)-1</f>
        <v>7.0995237826669388E-2</v>
      </c>
      <c r="C336" s="108">
        <f>(E336/D336)^(1/4)-1</f>
        <v>8.1606055452747128E-2</v>
      </c>
      <c r="D336" s="111">
        <f>G336/H338</f>
        <v>343.23570432357042</v>
      </c>
      <c r="E336" s="111">
        <f>J336/K338</f>
        <v>469.75228161668838</v>
      </c>
      <c r="G336">
        <v>2461</v>
      </c>
      <c r="H336">
        <v>61.9</v>
      </c>
      <c r="J336">
        <v>3603</v>
      </c>
      <c r="K336">
        <v>68.88</v>
      </c>
    </row>
    <row r="337" spans="1:11">
      <c r="D337" s="111">
        <f>G336/H336</f>
        <v>39.757673667205168</v>
      </c>
      <c r="E337" s="111">
        <f>J336/K336</f>
        <v>52.308362369337985</v>
      </c>
    </row>
    <row r="338" spans="1:11">
      <c r="H338">
        <v>7.17</v>
      </c>
      <c r="K338">
        <v>7.67</v>
      </c>
    </row>
    <row r="340" spans="1:11">
      <c r="H340" s="109">
        <f>H338/H336</f>
        <v>0.11583198707592891</v>
      </c>
      <c r="K340" s="109">
        <f>K338/K336</f>
        <v>0.11135307781649245</v>
      </c>
    </row>
    <row r="341" spans="1:11">
      <c r="H341" s="109"/>
      <c r="K341" s="109"/>
    </row>
    <row r="342" spans="1:11">
      <c r="A342" t="s">
        <v>769</v>
      </c>
      <c r="B342" s="108">
        <f>(E343/D343)^(1/8)-1</f>
        <v>0.11150525248040033</v>
      </c>
      <c r="C342" s="108">
        <f>(E342/D342)^(1/8)-1</f>
        <v>9.6200804053405919E-2</v>
      </c>
      <c r="D342" s="111">
        <f>G342/H344</f>
        <v>15.896640826873385</v>
      </c>
      <c r="E342" s="111">
        <f>J342/K344</f>
        <v>33.145631067961162</v>
      </c>
      <c r="G342">
        <v>61.52</v>
      </c>
      <c r="H342">
        <v>17.850000000000001</v>
      </c>
      <c r="J342">
        <v>170.7</v>
      </c>
      <c r="K342">
        <v>21.26</v>
      </c>
    </row>
    <row r="343" spans="1:11">
      <c r="D343" s="111">
        <f>G342/H342</f>
        <v>3.4464985994397757</v>
      </c>
      <c r="E343" s="111">
        <f>J342/K342</f>
        <v>8.0291627469426139</v>
      </c>
    </row>
    <row r="344" spans="1:11">
      <c r="H344">
        <v>3.87</v>
      </c>
      <c r="K344">
        <v>5.15</v>
      </c>
    </row>
    <row r="346" spans="1:11">
      <c r="H346" s="109">
        <f>H344/H342</f>
        <v>0.21680672268907561</v>
      </c>
      <c r="K346" s="109">
        <f>K344/K342</f>
        <v>0.24223894637817497</v>
      </c>
    </row>
  </sheetData>
  <conditionalFormatting sqref="B347:B1048576 B321:B322 B1:B36 B42:B289 B295 B301 B303:B309 B326:B329">
    <cfRule type="top10" dxfId="37" priority="38" percent="1" rank="40"/>
  </conditionalFormatting>
  <conditionalFormatting sqref="C347:C1048576 C321:C322 C1:C36 C42:C289 C295 C301 C303:C309 C326:C329">
    <cfRule type="top10" dxfId="36" priority="37" percent="1" rank="40"/>
  </conditionalFormatting>
  <conditionalFormatting sqref="B37:B41">
    <cfRule type="top10" dxfId="35" priority="36" percent="1" rank="40"/>
  </conditionalFormatting>
  <conditionalFormatting sqref="C37:C41">
    <cfRule type="top10" dxfId="34" priority="35" percent="1" rank="40"/>
  </conditionalFormatting>
  <conditionalFormatting sqref="B290:B294">
    <cfRule type="top10" dxfId="33" priority="34" percent="1" rank="40"/>
  </conditionalFormatting>
  <conditionalFormatting sqref="C290:C294">
    <cfRule type="top10" dxfId="32" priority="33" percent="1" rank="40"/>
  </conditionalFormatting>
  <conditionalFormatting sqref="B296:B300">
    <cfRule type="top10" dxfId="31" priority="32" percent="1" rank="40"/>
  </conditionalFormatting>
  <conditionalFormatting sqref="C296:C300">
    <cfRule type="top10" dxfId="30" priority="31" percent="1" rank="40"/>
  </conditionalFormatting>
  <conditionalFormatting sqref="B302:C302">
    <cfRule type="top10" dxfId="29" priority="25" percent="1" rank="40"/>
  </conditionalFormatting>
  <conditionalFormatting sqref="B311:B316">
    <cfRule type="top10" dxfId="28" priority="24" percent="1" rank="40"/>
  </conditionalFormatting>
  <conditionalFormatting sqref="C311:C316">
    <cfRule type="top10" dxfId="27" priority="23" percent="1" rank="40"/>
  </conditionalFormatting>
  <conditionalFormatting sqref="B310:C310">
    <cfRule type="top10" dxfId="26" priority="22" percent="1" rank="40"/>
  </conditionalFormatting>
  <conditionalFormatting sqref="B318:B320">
    <cfRule type="top10" dxfId="25" priority="21" percent="1" rank="40"/>
  </conditionalFormatting>
  <conditionalFormatting sqref="C318:C320">
    <cfRule type="top10" dxfId="24" priority="20" percent="1" rank="40"/>
  </conditionalFormatting>
  <conditionalFormatting sqref="B317:C317">
    <cfRule type="top10" dxfId="23" priority="19" percent="1" rank="40"/>
  </conditionalFormatting>
  <conditionalFormatting sqref="B324:B325">
    <cfRule type="top10" dxfId="22" priority="18" percent="1" rank="40"/>
  </conditionalFormatting>
  <conditionalFormatting sqref="C324:C325">
    <cfRule type="top10" dxfId="21" priority="17" percent="1" rank="40"/>
  </conditionalFormatting>
  <conditionalFormatting sqref="B323:C323">
    <cfRule type="top10" dxfId="20" priority="16" percent="1" rank="40"/>
  </conditionalFormatting>
  <conditionalFormatting sqref="B333:B335">
    <cfRule type="top10" dxfId="19" priority="15" percent="1" rank="40"/>
  </conditionalFormatting>
  <conditionalFormatting sqref="C333:C335">
    <cfRule type="top10" dxfId="18" priority="14" percent="1" rank="40"/>
  </conditionalFormatting>
  <conditionalFormatting sqref="B331:B332">
    <cfRule type="top10" dxfId="17" priority="13" percent="1" rank="40"/>
  </conditionalFormatting>
  <conditionalFormatting sqref="C331:C332">
    <cfRule type="top10" dxfId="16" priority="12" percent="1" rank="40"/>
  </conditionalFormatting>
  <conditionalFormatting sqref="B330:C330">
    <cfRule type="top10" dxfId="15" priority="11" percent="1" rank="40"/>
  </conditionalFormatting>
  <conditionalFormatting sqref="B339:B341">
    <cfRule type="top10" dxfId="14" priority="10" percent="1" rank="40"/>
  </conditionalFormatting>
  <conditionalFormatting sqref="C339:C341">
    <cfRule type="top10" dxfId="13" priority="9" percent="1" rank="40"/>
  </conditionalFormatting>
  <conditionalFormatting sqref="B337:B338">
    <cfRule type="top10" dxfId="12" priority="8" percent="1" rank="40"/>
  </conditionalFormatting>
  <conditionalFormatting sqref="C337:C338">
    <cfRule type="top10" dxfId="11" priority="7" percent="1" rank="40"/>
  </conditionalFormatting>
  <conditionalFormatting sqref="B336:C336">
    <cfRule type="top10" dxfId="10" priority="6" percent="1" rank="40"/>
  </conditionalFormatting>
  <conditionalFormatting sqref="B345:B346">
    <cfRule type="top10" dxfId="9" priority="5" percent="1" rank="40"/>
  </conditionalFormatting>
  <conditionalFormatting sqref="C345:C346">
    <cfRule type="top10" dxfId="8" priority="4" percent="1" rank="40"/>
  </conditionalFormatting>
  <conditionalFormatting sqref="B343:B344">
    <cfRule type="top10" dxfId="7" priority="3" percent="1" rank="40"/>
  </conditionalFormatting>
  <conditionalFormatting sqref="C343:C344">
    <cfRule type="top10" dxfId="6" priority="2" percent="1" rank="40"/>
  </conditionalFormatting>
  <conditionalFormatting sqref="B342:C342">
    <cfRule type="top10" dxfId="5" priority="1" percent="1" rank="40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58"/>
  <sheetViews>
    <sheetView workbookViewId="0">
      <pane ySplit="1" topLeftCell="A338" activePane="bottomLeft" state="frozen"/>
      <selection pane="bottomLeft" activeCell="B354" sqref="B354"/>
    </sheetView>
  </sheetViews>
  <sheetFormatPr baseColWidth="10" defaultRowHeight="16"/>
  <cols>
    <col min="2" max="2" width="23" style="182" customWidth="1"/>
    <col min="7" max="7" width="10.83203125" style="129" customWidth="1"/>
    <col min="9" max="9" width="10.83203125" style="129" customWidth="1"/>
    <col min="10" max="10" width="20.33203125" style="182" customWidth="1"/>
  </cols>
  <sheetData>
    <row r="1" spans="1:25" ht="17" customHeight="1">
      <c r="A1" s="130" t="s">
        <v>448</v>
      </c>
      <c r="B1" s="130" t="s">
        <v>449</v>
      </c>
      <c r="C1" s="130" t="s">
        <v>450</v>
      </c>
      <c r="D1" s="130" t="s">
        <v>451</v>
      </c>
      <c r="E1" s="130" t="s">
        <v>452</v>
      </c>
      <c r="F1" s="130" t="s">
        <v>453</v>
      </c>
      <c r="G1" s="130" t="s">
        <v>454</v>
      </c>
      <c r="H1" s="130" t="s">
        <v>455</v>
      </c>
      <c r="I1" s="130" t="s">
        <v>456</v>
      </c>
      <c r="J1" s="130" t="s">
        <v>457</v>
      </c>
      <c r="K1" s="130" t="s">
        <v>458</v>
      </c>
      <c r="L1" s="121" t="s">
        <v>770</v>
      </c>
      <c r="M1" s="133"/>
      <c r="N1" s="133"/>
      <c r="O1" s="115"/>
      <c r="P1" s="115"/>
      <c r="Q1" s="116"/>
      <c r="R1" s="133"/>
      <c r="S1" s="117"/>
      <c r="T1" s="115"/>
      <c r="U1" s="116"/>
      <c r="V1" s="116"/>
      <c r="W1" s="133"/>
      <c r="X1" s="115"/>
      <c r="Y1" s="133"/>
    </row>
    <row r="2" spans="1:25" ht="17" customHeight="1">
      <c r="A2" s="131" t="s">
        <v>490</v>
      </c>
      <c r="B2" s="131" t="s">
        <v>491</v>
      </c>
      <c r="C2" s="131">
        <v>2002.71</v>
      </c>
      <c r="D2" s="131">
        <v>-0.53</v>
      </c>
      <c r="E2" s="131">
        <v>-6.16</v>
      </c>
      <c r="F2" s="131">
        <v>9.08</v>
      </c>
      <c r="G2" s="131">
        <v>0</v>
      </c>
      <c r="H2" s="131">
        <v>0.95</v>
      </c>
      <c r="I2" s="131">
        <v>0</v>
      </c>
      <c r="J2" s="132">
        <v>36529</v>
      </c>
      <c r="K2" s="133" t="s">
        <v>458</v>
      </c>
      <c r="L2" s="126">
        <f t="shared" ref="L2:L65" si="0">H2/F2</f>
        <v>0.10462555066079295</v>
      </c>
      <c r="M2" s="133"/>
      <c r="N2" s="133"/>
      <c r="O2" s="115"/>
      <c r="P2" s="115"/>
      <c r="Q2" s="116"/>
      <c r="R2" s="133"/>
      <c r="S2" s="117"/>
      <c r="T2" s="115"/>
      <c r="U2" s="116"/>
      <c r="V2" s="116"/>
      <c r="W2" s="133"/>
      <c r="X2" s="115"/>
      <c r="Y2" s="133"/>
    </row>
    <row r="3" spans="1:25" ht="17" customHeight="1">
      <c r="A3" s="131" t="s">
        <v>496</v>
      </c>
      <c r="B3" s="131" t="s">
        <v>497</v>
      </c>
      <c r="C3" s="131">
        <v>1938.92</v>
      </c>
      <c r="D3" s="131">
        <v>-0.01</v>
      </c>
      <c r="E3" s="131">
        <v>2.88</v>
      </c>
      <c r="F3" s="131">
        <v>18.57</v>
      </c>
      <c r="G3" s="131">
        <v>0.08</v>
      </c>
      <c r="H3" s="131">
        <v>1.39</v>
      </c>
      <c r="I3" s="131">
        <v>0</v>
      </c>
      <c r="J3" s="132">
        <v>36529</v>
      </c>
      <c r="K3" s="133" t="s">
        <v>458</v>
      </c>
      <c r="L3" s="126">
        <f t="shared" si="0"/>
        <v>7.4851911685514264E-2</v>
      </c>
      <c r="M3" s="133"/>
      <c r="N3" s="133"/>
      <c r="O3" s="115"/>
      <c r="P3" s="115"/>
      <c r="Q3" s="116"/>
      <c r="R3" s="133"/>
      <c r="S3" s="117"/>
      <c r="T3" s="115"/>
      <c r="U3" s="116"/>
      <c r="V3" s="116"/>
      <c r="W3" s="133"/>
      <c r="X3" s="115"/>
      <c r="Y3" s="133"/>
    </row>
    <row r="4" spans="1:25" ht="17" customHeight="1">
      <c r="A4" s="131" t="s">
        <v>506</v>
      </c>
      <c r="B4" s="131" t="s">
        <v>507</v>
      </c>
      <c r="C4" s="131">
        <v>2411.73</v>
      </c>
      <c r="D4" s="131">
        <v>-1.19</v>
      </c>
      <c r="E4" s="131">
        <v>4.58</v>
      </c>
      <c r="F4" s="131">
        <v>12.51</v>
      </c>
      <c r="G4" s="131">
        <v>0.08</v>
      </c>
      <c r="H4" s="131">
        <v>1.0900000000000001</v>
      </c>
      <c r="I4" s="131">
        <v>0</v>
      </c>
      <c r="J4" s="132">
        <v>36529</v>
      </c>
      <c r="K4" s="133" t="s">
        <v>458</v>
      </c>
      <c r="L4" s="126">
        <f t="shared" si="0"/>
        <v>8.7130295763389293E-2</v>
      </c>
      <c r="M4" s="133"/>
      <c r="N4" s="133"/>
      <c r="O4" s="115"/>
      <c r="P4" s="115"/>
      <c r="Q4" s="116"/>
      <c r="R4" s="133"/>
      <c r="S4" s="117"/>
      <c r="T4" s="115"/>
      <c r="U4" s="116"/>
      <c r="V4" s="116"/>
      <c r="W4" s="133"/>
      <c r="X4" s="115"/>
      <c r="Y4" s="133"/>
    </row>
    <row r="5" spans="1:25" ht="17" customHeight="1">
      <c r="A5" s="131" t="s">
        <v>556</v>
      </c>
      <c r="B5" s="131" t="s">
        <v>557</v>
      </c>
      <c r="C5" s="131">
        <v>1123.69</v>
      </c>
      <c r="D5" s="131">
        <v>0.04</v>
      </c>
      <c r="E5" s="131">
        <v>-5.46</v>
      </c>
      <c r="F5" s="131">
        <v>9.92</v>
      </c>
      <c r="G5" s="131">
        <v>0.06</v>
      </c>
      <c r="H5" s="131">
        <v>1</v>
      </c>
      <c r="I5" s="131">
        <v>0</v>
      </c>
      <c r="J5" s="132">
        <v>36529</v>
      </c>
      <c r="K5" s="133" t="s">
        <v>458</v>
      </c>
      <c r="L5" s="126">
        <f t="shared" si="0"/>
        <v>0.10080645161290323</v>
      </c>
      <c r="M5" s="133"/>
      <c r="N5" s="133"/>
      <c r="O5" s="115"/>
      <c r="P5" s="115"/>
      <c r="Q5" s="116"/>
      <c r="R5" s="133"/>
      <c r="S5" s="117"/>
      <c r="T5" s="115"/>
      <c r="U5" s="116"/>
      <c r="V5" s="116"/>
      <c r="W5" s="133"/>
      <c r="X5" s="115"/>
      <c r="Y5" s="133"/>
    </row>
    <row r="6" spans="1:25" ht="17" customHeight="1">
      <c r="A6" s="131" t="s">
        <v>623</v>
      </c>
      <c r="B6" s="131" t="s">
        <v>624</v>
      </c>
      <c r="C6" s="131">
        <v>3328.76</v>
      </c>
      <c r="D6" s="131">
        <v>-0.12</v>
      </c>
      <c r="E6" s="131">
        <v>-0.1</v>
      </c>
      <c r="F6" s="131">
        <v>18.39</v>
      </c>
      <c r="G6" s="131">
        <v>0.12</v>
      </c>
      <c r="H6" s="131">
        <v>1.34</v>
      </c>
      <c r="I6" s="131">
        <v>0</v>
      </c>
      <c r="J6" s="132">
        <v>36529</v>
      </c>
      <c r="K6" s="133" t="s">
        <v>458</v>
      </c>
      <c r="L6" s="126">
        <f t="shared" si="0"/>
        <v>7.2865687873844481E-2</v>
      </c>
      <c r="M6" s="133"/>
      <c r="N6" s="133"/>
      <c r="O6" s="115"/>
      <c r="P6" s="115"/>
      <c r="Q6" s="116"/>
      <c r="R6" s="133"/>
      <c r="S6" s="117"/>
      <c r="T6" s="115"/>
      <c r="U6" s="116"/>
      <c r="V6" s="116"/>
      <c r="W6" s="133"/>
      <c r="X6" s="115"/>
      <c r="Y6" s="133"/>
    </row>
    <row r="7" spans="1:25" ht="17" customHeight="1">
      <c r="A7" s="131" t="s">
        <v>627</v>
      </c>
      <c r="B7" s="131" t="s">
        <v>628</v>
      </c>
      <c r="C7" s="131">
        <v>5359.62</v>
      </c>
      <c r="D7" s="131">
        <v>-0.66</v>
      </c>
      <c r="E7" s="131">
        <v>-13.69</v>
      </c>
      <c r="F7" s="131">
        <v>50.96</v>
      </c>
      <c r="G7" s="131">
        <v>0.59</v>
      </c>
      <c r="H7" s="131">
        <v>1.22</v>
      </c>
      <c r="I7" s="131">
        <v>0</v>
      </c>
      <c r="J7" s="132">
        <v>40147</v>
      </c>
      <c r="K7" s="133" t="s">
        <v>458</v>
      </c>
      <c r="L7" s="126">
        <f t="shared" si="0"/>
        <v>2.3940345368916798E-2</v>
      </c>
      <c r="M7" s="133"/>
      <c r="N7" s="133"/>
      <c r="O7" s="115"/>
      <c r="P7" s="115"/>
      <c r="Q7" s="116"/>
      <c r="R7" s="133"/>
      <c r="S7" s="117"/>
      <c r="T7" s="115"/>
      <c r="U7" s="116"/>
      <c r="V7" s="116"/>
      <c r="W7" s="133"/>
      <c r="X7" s="115"/>
      <c r="Y7" s="133"/>
    </row>
    <row r="8" spans="1:25" ht="17" customHeight="1">
      <c r="A8" s="131" t="s">
        <v>659</v>
      </c>
      <c r="B8" s="131" t="s">
        <v>660</v>
      </c>
      <c r="C8" s="131">
        <v>2660.19</v>
      </c>
      <c r="D8" s="131">
        <v>-0.85</v>
      </c>
      <c r="E8" s="131">
        <v>1.71</v>
      </c>
      <c r="F8" s="131">
        <v>18.54</v>
      </c>
      <c r="G8" s="131">
        <v>0.01</v>
      </c>
      <c r="H8" s="131">
        <v>1.22</v>
      </c>
      <c r="I8" s="131">
        <v>0</v>
      </c>
      <c r="J8" s="132">
        <v>36529</v>
      </c>
      <c r="K8" s="133" t="s">
        <v>458</v>
      </c>
      <c r="L8" s="126">
        <f t="shared" si="0"/>
        <v>6.5803667745415323E-2</v>
      </c>
      <c r="M8" s="133"/>
      <c r="N8" s="133"/>
      <c r="O8" s="115"/>
      <c r="P8" s="115"/>
      <c r="Q8" s="116"/>
      <c r="R8" s="133"/>
      <c r="S8" s="117"/>
      <c r="T8" s="115"/>
      <c r="U8" s="116"/>
      <c r="V8" s="116"/>
      <c r="W8" s="133"/>
      <c r="X8" s="115"/>
      <c r="Y8" s="133"/>
    </row>
    <row r="9" spans="1:25" ht="17" customHeight="1">
      <c r="A9" s="131" t="s">
        <v>661</v>
      </c>
      <c r="B9" s="131" t="s">
        <v>662</v>
      </c>
      <c r="C9" s="131">
        <v>2719.04</v>
      </c>
      <c r="D9" s="131">
        <v>-0.78</v>
      </c>
      <c r="E9" s="131">
        <v>-7.03</v>
      </c>
      <c r="F9" s="131">
        <v>31.92</v>
      </c>
      <c r="G9" s="131">
        <v>0.24</v>
      </c>
      <c r="H9" s="131">
        <v>1.62</v>
      </c>
      <c r="I9" s="131">
        <v>0</v>
      </c>
      <c r="J9" s="132">
        <v>36878</v>
      </c>
      <c r="K9" s="133" t="s">
        <v>458</v>
      </c>
      <c r="L9" s="126">
        <f t="shared" si="0"/>
        <v>5.0751879699248117E-2</v>
      </c>
      <c r="M9" s="133"/>
      <c r="N9" s="133"/>
      <c r="O9" s="115"/>
      <c r="P9" s="115"/>
      <c r="Q9" s="116"/>
      <c r="R9" s="133"/>
      <c r="S9" s="117"/>
      <c r="T9" s="115"/>
      <c r="U9" s="116"/>
      <c r="V9" s="116"/>
      <c r="W9" s="133"/>
      <c r="X9" s="115"/>
      <c r="Y9" s="133"/>
    </row>
    <row r="10" spans="1:25" ht="17" customHeight="1">
      <c r="A10" s="131" t="s">
        <v>679</v>
      </c>
      <c r="B10" s="131" t="s">
        <v>680</v>
      </c>
      <c r="C10" s="131">
        <v>1992.36</v>
      </c>
      <c r="D10" s="131">
        <v>-0.32</v>
      </c>
      <c r="E10" s="131">
        <v>-3.47</v>
      </c>
      <c r="F10" s="131">
        <v>14.33</v>
      </c>
      <c r="G10" s="131">
        <v>0.16</v>
      </c>
      <c r="H10" s="131">
        <v>1.01</v>
      </c>
      <c r="I10" s="131">
        <v>0</v>
      </c>
      <c r="J10" s="132">
        <v>36529</v>
      </c>
      <c r="K10" s="133" t="s">
        <v>458</v>
      </c>
      <c r="L10" s="126">
        <f t="shared" si="0"/>
        <v>7.048150732728542E-2</v>
      </c>
      <c r="M10" s="133"/>
      <c r="N10" s="133"/>
      <c r="O10" s="115"/>
      <c r="P10" s="115"/>
      <c r="Q10" s="116"/>
      <c r="R10" s="133"/>
      <c r="S10" s="117"/>
      <c r="T10" s="115"/>
      <c r="U10" s="116"/>
      <c r="V10" s="116"/>
      <c r="W10" s="133"/>
      <c r="X10" s="115"/>
      <c r="Y10" s="133"/>
    </row>
    <row r="11" spans="1:25" ht="17" customHeight="1">
      <c r="A11" s="131" t="s">
        <v>697</v>
      </c>
      <c r="B11" s="131" t="s">
        <v>698</v>
      </c>
      <c r="C11" s="131">
        <v>273.97000000000003</v>
      </c>
      <c r="D11" s="131">
        <v>-1.47</v>
      </c>
      <c r="E11" s="131">
        <v>-13.79</v>
      </c>
      <c r="F11" s="131">
        <v>23.8</v>
      </c>
      <c r="G11" s="131">
        <v>0.66</v>
      </c>
      <c r="H11" s="131">
        <v>0.87</v>
      </c>
      <c r="I11" s="131">
        <v>0</v>
      </c>
      <c r="J11" s="132">
        <v>36529</v>
      </c>
      <c r="K11" s="133" t="s">
        <v>458</v>
      </c>
      <c r="L11" s="126">
        <f t="shared" si="0"/>
        <v>3.6554621848739498E-2</v>
      </c>
      <c r="M11" s="133"/>
      <c r="N11" s="133"/>
      <c r="O11" s="115"/>
      <c r="P11" s="115"/>
      <c r="Q11" s="116"/>
      <c r="R11" s="133"/>
      <c r="S11" s="117"/>
      <c r="T11" s="115"/>
      <c r="U11" s="116"/>
      <c r="V11" s="116"/>
      <c r="W11" s="133"/>
      <c r="X11" s="115"/>
      <c r="Y11" s="133"/>
    </row>
    <row r="12" spans="1:25" ht="17" customHeight="1">
      <c r="A12" s="131" t="s">
        <v>771</v>
      </c>
      <c r="B12" s="131" t="s">
        <v>772</v>
      </c>
      <c r="C12" s="131">
        <v>1510.91</v>
      </c>
      <c r="D12" s="131">
        <v>-0.39</v>
      </c>
      <c r="E12" s="131">
        <v>8.84</v>
      </c>
      <c r="F12" s="131">
        <v>16.21</v>
      </c>
      <c r="G12" s="131">
        <v>0.49</v>
      </c>
      <c r="H12" s="131">
        <v>1.07</v>
      </c>
      <c r="I12" s="131">
        <v>0</v>
      </c>
      <c r="J12" s="132">
        <v>40298</v>
      </c>
      <c r="K12" s="133" t="s">
        <v>458</v>
      </c>
      <c r="L12" s="126">
        <f t="shared" si="0"/>
        <v>6.6008636644046881E-2</v>
      </c>
      <c r="M12" s="133"/>
      <c r="N12" s="133"/>
      <c r="O12" s="115"/>
      <c r="P12" s="115"/>
      <c r="Q12" s="116"/>
      <c r="R12" s="133"/>
      <c r="S12" s="117"/>
      <c r="T12" s="115"/>
      <c r="U12" s="116"/>
      <c r="V12" s="116"/>
      <c r="W12" s="133"/>
      <c r="X12" s="115"/>
      <c r="Y12" s="133"/>
    </row>
    <row r="13" spans="1:25" ht="17" customHeight="1">
      <c r="A13" s="131" t="s">
        <v>773</v>
      </c>
      <c r="B13" s="131" t="s">
        <v>123</v>
      </c>
      <c r="C13" s="131">
        <v>1527.93</v>
      </c>
      <c r="D13" s="131">
        <v>-0.88</v>
      </c>
      <c r="E13" s="131">
        <v>4.18</v>
      </c>
      <c r="F13" s="131">
        <v>14.05</v>
      </c>
      <c r="G13" s="131">
        <v>0.47</v>
      </c>
      <c r="H13" s="131">
        <v>0.92</v>
      </c>
      <c r="I13" s="131">
        <v>0</v>
      </c>
      <c r="J13" s="132">
        <v>40757</v>
      </c>
      <c r="K13" s="133" t="s">
        <v>458</v>
      </c>
      <c r="L13" s="126">
        <f t="shared" si="0"/>
        <v>6.5480427046263348E-2</v>
      </c>
      <c r="M13" s="133"/>
      <c r="N13" s="133"/>
      <c r="O13" s="115"/>
      <c r="P13" s="115"/>
      <c r="Q13" s="116"/>
      <c r="R13" s="133"/>
      <c r="S13" s="117"/>
      <c r="T13" s="115"/>
      <c r="U13" s="116"/>
      <c r="V13" s="116"/>
      <c r="W13" s="133"/>
      <c r="X13" s="115"/>
      <c r="Y13" s="133"/>
    </row>
    <row r="14" spans="1:25" ht="17" customHeight="1">
      <c r="A14" s="131" t="s">
        <v>774</v>
      </c>
      <c r="B14" s="131" t="s">
        <v>775</v>
      </c>
      <c r="C14" s="131">
        <v>2070.56</v>
      </c>
      <c r="D14" s="131">
        <v>-0.18</v>
      </c>
      <c r="E14" s="131">
        <v>4.2</v>
      </c>
      <c r="F14" s="131">
        <v>16.559999999999999</v>
      </c>
      <c r="G14" s="131">
        <v>0.44</v>
      </c>
      <c r="H14" s="131">
        <v>1.05</v>
      </c>
      <c r="I14" s="131">
        <v>0</v>
      </c>
      <c r="J14" s="132">
        <v>40114</v>
      </c>
      <c r="K14" s="133" t="s">
        <v>458</v>
      </c>
      <c r="L14" s="126">
        <f t="shared" si="0"/>
        <v>6.3405797101449279E-2</v>
      </c>
      <c r="M14" s="133"/>
      <c r="N14" s="133"/>
      <c r="O14" s="115"/>
      <c r="P14" s="115"/>
      <c r="Q14" s="116"/>
      <c r="R14" s="133"/>
      <c r="S14" s="117"/>
      <c r="T14" s="115"/>
      <c r="U14" s="116"/>
      <c r="V14" s="116"/>
      <c r="W14" s="133"/>
      <c r="X14" s="115"/>
      <c r="Y14" s="133"/>
    </row>
    <row r="15" spans="1:25" ht="17" customHeight="1">
      <c r="A15" s="131" t="s">
        <v>776</v>
      </c>
      <c r="B15" s="131" t="s">
        <v>777</v>
      </c>
      <c r="C15" s="131">
        <v>7914.05</v>
      </c>
      <c r="D15" s="131">
        <v>-0.71</v>
      </c>
      <c r="E15" s="131">
        <v>7.96</v>
      </c>
      <c r="F15" s="131">
        <v>7.29</v>
      </c>
      <c r="G15" s="131">
        <v>0.2</v>
      </c>
      <c r="H15" s="131">
        <v>0.9</v>
      </c>
      <c r="I15" s="131">
        <v>0</v>
      </c>
      <c r="J15" s="132">
        <v>39086</v>
      </c>
      <c r="K15" s="133" t="s">
        <v>458</v>
      </c>
      <c r="L15" s="126">
        <f t="shared" si="0"/>
        <v>0.1234567901234568</v>
      </c>
      <c r="M15" s="133"/>
      <c r="N15" s="133"/>
      <c r="O15" s="115"/>
      <c r="P15" s="115"/>
      <c r="Q15" s="116"/>
      <c r="R15" s="133"/>
      <c r="S15" s="117"/>
      <c r="T15" s="115"/>
      <c r="U15" s="116"/>
      <c r="V15" s="116"/>
      <c r="W15" s="133"/>
      <c r="X15" s="115"/>
      <c r="Y15" s="133"/>
    </row>
    <row r="16" spans="1:25" ht="17" customHeight="1">
      <c r="A16" s="131" t="s">
        <v>778</v>
      </c>
      <c r="B16" s="131" t="s">
        <v>779</v>
      </c>
      <c r="C16" s="131">
        <v>1595.7</v>
      </c>
      <c r="D16" s="131">
        <v>-0.46</v>
      </c>
      <c r="E16" s="131">
        <v>4.1500000000000004</v>
      </c>
      <c r="F16" s="131">
        <v>16.739999999999998</v>
      </c>
      <c r="G16" s="131">
        <v>0.5</v>
      </c>
      <c r="H16" s="131">
        <v>1.03</v>
      </c>
      <c r="I16" s="131">
        <v>0</v>
      </c>
      <c r="J16" s="132">
        <v>40326</v>
      </c>
      <c r="K16" s="133" t="s">
        <v>458</v>
      </c>
      <c r="L16" s="126">
        <f t="shared" si="0"/>
        <v>6.1529271206690571E-2</v>
      </c>
      <c r="M16" s="133"/>
      <c r="N16" s="133"/>
      <c r="O16" s="115"/>
      <c r="P16" s="115"/>
      <c r="Q16" s="116"/>
      <c r="R16" s="133"/>
      <c r="S16" s="117"/>
      <c r="T16" s="115"/>
      <c r="U16" s="116"/>
      <c r="V16" s="116"/>
      <c r="W16" s="133"/>
      <c r="X16" s="115"/>
      <c r="Y16" s="133"/>
    </row>
    <row r="17" spans="1:25" ht="17" customHeight="1">
      <c r="A17" s="131" t="s">
        <v>780</v>
      </c>
      <c r="B17" s="131" t="s">
        <v>129</v>
      </c>
      <c r="C17" s="131">
        <v>1706.83</v>
      </c>
      <c r="D17" s="131">
        <v>-0.44</v>
      </c>
      <c r="E17" s="131">
        <v>5.87</v>
      </c>
      <c r="F17" s="131">
        <v>14.06</v>
      </c>
      <c r="G17" s="131">
        <v>0.39</v>
      </c>
      <c r="H17" s="131">
        <v>0.92</v>
      </c>
      <c r="I17" s="131">
        <v>0</v>
      </c>
      <c r="J17" s="132">
        <v>39997</v>
      </c>
      <c r="K17" s="133" t="s">
        <v>458</v>
      </c>
      <c r="L17" s="126">
        <f t="shared" si="0"/>
        <v>6.5433854907539113E-2</v>
      </c>
      <c r="M17" s="133"/>
      <c r="N17" s="133"/>
      <c r="O17" s="115"/>
      <c r="P17" s="115"/>
      <c r="Q17" s="116"/>
      <c r="R17" s="133"/>
      <c r="S17" s="117"/>
      <c r="T17" s="115"/>
      <c r="U17" s="116"/>
      <c r="V17" s="116"/>
      <c r="W17" s="133"/>
      <c r="X17" s="115"/>
      <c r="Y17" s="133"/>
    </row>
    <row r="18" spans="1:25" ht="17" customHeight="1">
      <c r="A18" s="131" t="s">
        <v>474</v>
      </c>
      <c r="B18" s="131" t="s">
        <v>475</v>
      </c>
      <c r="C18" s="131">
        <v>3946.7</v>
      </c>
      <c r="D18" s="131">
        <v>-0.52</v>
      </c>
      <c r="E18" s="131">
        <v>12.87</v>
      </c>
      <c r="F18" s="131">
        <v>9.08</v>
      </c>
      <c r="G18" s="131">
        <v>0.01</v>
      </c>
      <c r="H18" s="131">
        <v>1.28</v>
      </c>
      <c r="I18" s="131">
        <v>0.01</v>
      </c>
      <c r="J18" s="132">
        <v>36529</v>
      </c>
      <c r="K18" s="133" t="s">
        <v>458</v>
      </c>
      <c r="L18" s="126">
        <f t="shared" si="0"/>
        <v>0.14096916299559473</v>
      </c>
      <c r="M18" s="133"/>
      <c r="N18" s="133"/>
      <c r="O18" s="115"/>
      <c r="P18" s="115"/>
      <c r="Q18" s="116"/>
      <c r="R18" s="133"/>
      <c r="S18" s="117"/>
      <c r="T18" s="115"/>
      <c r="U18" s="116"/>
      <c r="V18" s="116"/>
      <c r="W18" s="133"/>
      <c r="X18" s="115"/>
      <c r="Y18" s="133"/>
    </row>
    <row r="19" spans="1:25" ht="17" customHeight="1">
      <c r="A19" s="131" t="s">
        <v>478</v>
      </c>
      <c r="B19" s="131" t="s">
        <v>479</v>
      </c>
      <c r="C19" s="131">
        <v>3101.44</v>
      </c>
      <c r="D19" s="131">
        <v>-0.32</v>
      </c>
      <c r="E19" s="131">
        <v>4.12</v>
      </c>
      <c r="F19" s="131">
        <v>14.15</v>
      </c>
      <c r="G19" s="131">
        <v>0</v>
      </c>
      <c r="H19" s="131">
        <v>1.37</v>
      </c>
      <c r="I19" s="131">
        <v>0.01</v>
      </c>
      <c r="J19" s="132">
        <v>36529</v>
      </c>
      <c r="K19" s="133" t="s">
        <v>458</v>
      </c>
      <c r="L19" s="126">
        <f t="shared" si="0"/>
        <v>9.6819787985865727E-2</v>
      </c>
      <c r="M19" s="133"/>
      <c r="N19" s="133"/>
      <c r="O19" s="115"/>
      <c r="P19" s="115"/>
      <c r="Q19" s="116"/>
      <c r="R19" s="133"/>
      <c r="S19" s="117"/>
      <c r="T19" s="115"/>
      <c r="U19" s="116"/>
      <c r="V19" s="116"/>
      <c r="W19" s="133"/>
      <c r="X19" s="115"/>
      <c r="Y19" s="133"/>
    </row>
    <row r="20" spans="1:25" ht="17" customHeight="1">
      <c r="A20" s="131" t="s">
        <v>514</v>
      </c>
      <c r="B20" s="131" t="s">
        <v>515</v>
      </c>
      <c r="C20" s="131">
        <v>3707.07</v>
      </c>
      <c r="D20" s="131">
        <v>-0.63</v>
      </c>
      <c r="E20" s="131">
        <v>19.27</v>
      </c>
      <c r="F20" s="131">
        <v>6.76</v>
      </c>
      <c r="G20" s="131">
        <v>0.24</v>
      </c>
      <c r="H20" s="131">
        <v>0.78</v>
      </c>
      <c r="I20" s="131">
        <v>0.01</v>
      </c>
      <c r="J20" s="132">
        <v>36529</v>
      </c>
      <c r="K20" s="133" t="s">
        <v>458</v>
      </c>
      <c r="L20" s="126">
        <f t="shared" si="0"/>
        <v>0.11538461538461539</v>
      </c>
      <c r="M20" s="133"/>
      <c r="N20" s="133"/>
      <c r="O20" s="115"/>
      <c r="P20" s="115"/>
      <c r="Q20" s="116"/>
      <c r="R20" s="133"/>
      <c r="S20" s="117"/>
      <c r="T20" s="115"/>
      <c r="U20" s="116"/>
      <c r="V20" s="116"/>
      <c r="W20" s="133"/>
      <c r="X20" s="115"/>
      <c r="Y20" s="133"/>
    </row>
    <row r="21" spans="1:25" ht="17" customHeight="1">
      <c r="A21" s="131" t="s">
        <v>542</v>
      </c>
      <c r="B21" s="131" t="s">
        <v>543</v>
      </c>
      <c r="C21" s="131">
        <v>2267.4499999999998</v>
      </c>
      <c r="D21" s="131">
        <v>-0.1</v>
      </c>
      <c r="E21" s="131">
        <v>4.18</v>
      </c>
      <c r="F21" s="131">
        <v>15.86</v>
      </c>
      <c r="G21" s="131">
        <v>0.02</v>
      </c>
      <c r="H21" s="131">
        <v>1.2</v>
      </c>
      <c r="I21" s="131">
        <v>0.01</v>
      </c>
      <c r="J21" s="132">
        <v>36529</v>
      </c>
      <c r="K21" s="133" t="s">
        <v>458</v>
      </c>
      <c r="L21" s="126">
        <f t="shared" si="0"/>
        <v>7.5662042875157626E-2</v>
      </c>
      <c r="M21" s="133"/>
      <c r="N21" s="133"/>
      <c r="O21" s="115"/>
      <c r="P21" s="115"/>
      <c r="Q21" s="116"/>
      <c r="R21" s="133"/>
      <c r="S21" s="117"/>
      <c r="T21" s="115"/>
      <c r="U21" s="116"/>
      <c r="V21" s="116"/>
      <c r="W21" s="133"/>
      <c r="X21" s="115"/>
      <c r="Y21" s="133"/>
    </row>
    <row r="22" spans="1:25" ht="17" customHeight="1">
      <c r="A22" s="131" t="s">
        <v>546</v>
      </c>
      <c r="B22" s="131" t="s">
        <v>547</v>
      </c>
      <c r="C22" s="131">
        <v>3742.93</v>
      </c>
      <c r="D22" s="131">
        <v>0.02</v>
      </c>
      <c r="E22" s="131">
        <v>6.29</v>
      </c>
      <c r="F22" s="131">
        <v>14.66</v>
      </c>
      <c r="G22" s="131">
        <v>0.04</v>
      </c>
      <c r="H22" s="131">
        <v>1.17</v>
      </c>
      <c r="I22" s="131">
        <v>0.01</v>
      </c>
      <c r="J22" s="132">
        <v>36529</v>
      </c>
      <c r="K22" s="133" t="s">
        <v>458</v>
      </c>
      <c r="L22" s="126">
        <f t="shared" si="0"/>
        <v>7.9809004092769434E-2</v>
      </c>
      <c r="M22" s="133"/>
      <c r="N22" s="133"/>
      <c r="O22" s="115"/>
      <c r="P22" s="115"/>
      <c r="Q22" s="116"/>
      <c r="R22" s="133"/>
      <c r="S22" s="117"/>
      <c r="T22" s="115"/>
      <c r="U22" s="116"/>
      <c r="V22" s="116"/>
      <c r="W22" s="133"/>
      <c r="X22" s="115"/>
      <c r="Y22" s="133"/>
    </row>
    <row r="23" spans="1:25" ht="17" customHeight="1">
      <c r="A23" s="131" t="s">
        <v>554</v>
      </c>
      <c r="B23" s="131" t="s">
        <v>555</v>
      </c>
      <c r="C23" s="131">
        <v>6895.97</v>
      </c>
      <c r="D23" s="131">
        <v>-0.03</v>
      </c>
      <c r="E23" s="131">
        <v>-15.92</v>
      </c>
      <c r="F23" s="131">
        <v>18.829999999999998</v>
      </c>
      <c r="G23" s="131">
        <v>0.13</v>
      </c>
      <c r="H23" s="131">
        <v>1.51</v>
      </c>
      <c r="I23" s="131">
        <v>0.01</v>
      </c>
      <c r="J23" s="132">
        <v>36529</v>
      </c>
      <c r="K23" s="133" t="s">
        <v>458</v>
      </c>
      <c r="L23" s="126">
        <f t="shared" si="0"/>
        <v>8.0191184280403616E-2</v>
      </c>
      <c r="M23" s="133"/>
      <c r="N23" s="133"/>
      <c r="O23" s="115"/>
      <c r="P23" s="115"/>
      <c r="Q23" s="116"/>
      <c r="R23" s="133"/>
      <c r="S23" s="117"/>
      <c r="T23" s="115"/>
      <c r="U23" s="116"/>
      <c r="V23" s="116"/>
      <c r="W23" s="133"/>
      <c r="X23" s="115"/>
      <c r="Y23" s="133"/>
    </row>
    <row r="24" spans="1:25" ht="17" customHeight="1">
      <c r="A24" s="131" t="s">
        <v>574</v>
      </c>
      <c r="B24" s="131" t="s">
        <v>575</v>
      </c>
      <c r="C24" s="131">
        <v>6215.21</v>
      </c>
      <c r="D24" s="131">
        <v>-0.21</v>
      </c>
      <c r="E24" s="131">
        <v>13.62</v>
      </c>
      <c r="F24" s="131">
        <v>14.7</v>
      </c>
      <c r="G24" s="131">
        <v>0.01</v>
      </c>
      <c r="H24" s="131">
        <v>1.39</v>
      </c>
      <c r="I24" s="131">
        <v>0.01</v>
      </c>
      <c r="J24" s="132">
        <v>36529</v>
      </c>
      <c r="K24" s="133" t="s">
        <v>458</v>
      </c>
      <c r="L24" s="126">
        <f t="shared" si="0"/>
        <v>9.4557823129251692E-2</v>
      </c>
      <c r="M24" s="133"/>
      <c r="N24" s="133"/>
      <c r="O24" s="115"/>
      <c r="P24" s="115"/>
      <c r="Q24" s="116"/>
      <c r="R24" s="133"/>
      <c r="S24" s="117"/>
      <c r="T24" s="115"/>
      <c r="U24" s="116"/>
      <c r="V24" s="116"/>
      <c r="W24" s="133"/>
      <c r="X24" s="115"/>
      <c r="Y24" s="133"/>
    </row>
    <row r="25" spans="1:25" ht="17" customHeight="1">
      <c r="A25" s="131" t="s">
        <v>582</v>
      </c>
      <c r="B25" s="131" t="s">
        <v>583</v>
      </c>
      <c r="C25" s="131">
        <v>4595.8900000000003</v>
      </c>
      <c r="D25" s="131">
        <v>-0.48</v>
      </c>
      <c r="E25" s="131">
        <v>13.23</v>
      </c>
      <c r="F25" s="131">
        <v>8.7799999999999994</v>
      </c>
      <c r="G25" s="131">
        <v>0.01</v>
      </c>
      <c r="H25" s="131">
        <v>1.26</v>
      </c>
      <c r="I25" s="131">
        <v>0.01</v>
      </c>
      <c r="J25" s="132">
        <v>36529</v>
      </c>
      <c r="K25" s="133" t="s">
        <v>458</v>
      </c>
      <c r="L25" s="126">
        <f t="shared" si="0"/>
        <v>0.14350797266514809</v>
      </c>
      <c r="M25" s="133"/>
      <c r="N25" s="133"/>
      <c r="O25" s="115"/>
      <c r="P25" s="115"/>
      <c r="Q25" s="116"/>
      <c r="R25" s="133"/>
      <c r="S25" s="117"/>
      <c r="T25" s="115"/>
      <c r="U25" s="116"/>
      <c r="V25" s="116"/>
      <c r="W25" s="133"/>
      <c r="X25" s="115"/>
      <c r="Y25" s="133"/>
    </row>
    <row r="26" spans="1:25" ht="17" customHeight="1">
      <c r="A26" s="131" t="s">
        <v>612</v>
      </c>
      <c r="B26" s="131" t="s">
        <v>613</v>
      </c>
      <c r="C26" s="131">
        <v>795.88</v>
      </c>
      <c r="D26" s="131">
        <v>0.04</v>
      </c>
      <c r="E26" s="131">
        <v>0.97</v>
      </c>
      <c r="F26" s="131">
        <v>18</v>
      </c>
      <c r="G26" s="131">
        <v>0.05</v>
      </c>
      <c r="H26" s="131">
        <v>1.19</v>
      </c>
      <c r="I26" s="131">
        <v>0.01</v>
      </c>
      <c r="J26" s="132">
        <v>36529</v>
      </c>
      <c r="K26" s="133" t="s">
        <v>458</v>
      </c>
      <c r="L26" s="126">
        <f t="shared" si="0"/>
        <v>6.6111111111111107E-2</v>
      </c>
      <c r="M26" s="133"/>
      <c r="N26" s="133"/>
      <c r="O26" s="115"/>
      <c r="P26" s="115"/>
      <c r="Q26" s="116"/>
      <c r="R26" s="133"/>
      <c r="S26" s="117"/>
      <c r="T26" s="115"/>
      <c r="U26" s="116"/>
      <c r="V26" s="116"/>
      <c r="W26" s="133"/>
      <c r="X26" s="115"/>
      <c r="Y26" s="133"/>
    </row>
    <row r="27" spans="1:25" ht="17" customHeight="1">
      <c r="A27" s="131" t="s">
        <v>629</v>
      </c>
      <c r="B27" s="131" t="s">
        <v>630</v>
      </c>
      <c r="C27" s="131">
        <v>1372.3</v>
      </c>
      <c r="D27" s="131">
        <v>-0.77</v>
      </c>
      <c r="E27" s="131">
        <v>-1.82</v>
      </c>
      <c r="F27" s="131">
        <v>11.02</v>
      </c>
      <c r="G27" s="131">
        <v>0.01</v>
      </c>
      <c r="H27" s="131">
        <v>0.99</v>
      </c>
      <c r="I27" s="131">
        <v>0.01</v>
      </c>
      <c r="J27" s="132">
        <v>40826</v>
      </c>
      <c r="K27" s="133" t="s">
        <v>458</v>
      </c>
      <c r="L27" s="126">
        <f t="shared" si="0"/>
        <v>8.9836660617059888E-2</v>
      </c>
      <c r="M27" s="133"/>
      <c r="N27" s="133"/>
      <c r="O27" s="115"/>
      <c r="P27" s="115"/>
      <c r="Q27" s="116"/>
      <c r="R27" s="133"/>
      <c r="S27" s="117"/>
      <c r="T27" s="115"/>
      <c r="U27" s="116"/>
      <c r="V27" s="116"/>
      <c r="W27" s="133"/>
      <c r="X27" s="115"/>
      <c r="Y27" s="133"/>
    </row>
    <row r="28" spans="1:25" ht="17" customHeight="1">
      <c r="A28" s="131" t="s">
        <v>631</v>
      </c>
      <c r="B28" s="131" t="s">
        <v>632</v>
      </c>
      <c r="C28" s="131">
        <v>2128.9</v>
      </c>
      <c r="D28" s="131">
        <v>-0.7</v>
      </c>
      <c r="E28" s="131">
        <v>-9.3800000000000008</v>
      </c>
      <c r="F28" s="131">
        <v>7.88</v>
      </c>
      <c r="G28" s="131">
        <v>0.01</v>
      </c>
      <c r="H28" s="131">
        <v>0.79</v>
      </c>
      <c r="I28" s="131">
        <v>0.01</v>
      </c>
      <c r="J28" s="132">
        <v>40826</v>
      </c>
      <c r="K28" s="133" t="s">
        <v>458</v>
      </c>
      <c r="L28" s="126">
        <f t="shared" si="0"/>
        <v>0.10025380710659899</v>
      </c>
      <c r="M28" s="133"/>
      <c r="N28" s="133"/>
      <c r="O28" s="115"/>
      <c r="P28" s="115"/>
      <c r="Q28" s="116"/>
      <c r="R28" s="133"/>
      <c r="S28" s="117"/>
      <c r="T28" s="115"/>
      <c r="U28" s="116"/>
      <c r="V28" s="116"/>
      <c r="W28" s="133"/>
      <c r="X28" s="115"/>
      <c r="Y28" s="133"/>
    </row>
    <row r="29" spans="1:25" ht="17" customHeight="1">
      <c r="A29" s="131" t="s">
        <v>645</v>
      </c>
      <c r="B29" s="131" t="s">
        <v>646</v>
      </c>
      <c r="C29" s="131">
        <v>5981.37</v>
      </c>
      <c r="D29" s="131">
        <v>7.0000000000000007E-2</v>
      </c>
      <c r="E29" s="131">
        <v>0.99</v>
      </c>
      <c r="F29" s="131">
        <v>19.38</v>
      </c>
      <c r="G29" s="131">
        <v>0.09</v>
      </c>
      <c r="H29" s="131">
        <v>1.56</v>
      </c>
      <c r="I29" s="131">
        <v>0.01</v>
      </c>
      <c r="J29" s="132">
        <v>39042</v>
      </c>
      <c r="K29" s="133" t="s">
        <v>458</v>
      </c>
      <c r="L29" s="126">
        <f t="shared" si="0"/>
        <v>8.0495356037151716E-2</v>
      </c>
      <c r="M29" s="133"/>
      <c r="N29" s="133"/>
      <c r="O29" s="115"/>
      <c r="P29" s="115"/>
      <c r="Q29" s="116"/>
      <c r="R29" s="133"/>
      <c r="S29" s="117"/>
      <c r="T29" s="115"/>
      <c r="U29" s="116"/>
      <c r="V29" s="116"/>
      <c r="W29" s="133"/>
      <c r="X29" s="115"/>
      <c r="Y29" s="133"/>
    </row>
    <row r="30" spans="1:25" ht="17" customHeight="1">
      <c r="A30" s="131" t="s">
        <v>657</v>
      </c>
      <c r="B30" s="131" t="s">
        <v>658</v>
      </c>
      <c r="C30" s="131">
        <v>1126.27</v>
      </c>
      <c r="D30" s="131">
        <v>-0.28000000000000003</v>
      </c>
      <c r="E30" s="131">
        <v>-8.4499999999999993</v>
      </c>
      <c r="F30" s="131">
        <v>24.86</v>
      </c>
      <c r="G30" s="131">
        <v>0.16</v>
      </c>
      <c r="H30" s="131">
        <v>1.55</v>
      </c>
      <c r="I30" s="131">
        <v>0.01</v>
      </c>
      <c r="J30" s="132">
        <v>36529</v>
      </c>
      <c r="K30" s="133" t="s">
        <v>458</v>
      </c>
      <c r="L30" s="126">
        <f t="shared" si="0"/>
        <v>6.2349155269509252E-2</v>
      </c>
      <c r="M30" s="133"/>
      <c r="N30" s="133"/>
      <c r="O30" s="115"/>
      <c r="P30" s="115"/>
      <c r="Q30" s="116"/>
      <c r="R30" s="133"/>
      <c r="S30" s="117"/>
      <c r="T30" s="115"/>
      <c r="U30" s="116"/>
      <c r="V30" s="116"/>
      <c r="W30" s="133"/>
      <c r="X30" s="115"/>
      <c r="Y30" s="133"/>
    </row>
    <row r="31" spans="1:25" ht="17" customHeight="1">
      <c r="A31" s="131" t="s">
        <v>781</v>
      </c>
      <c r="B31" s="131" t="s">
        <v>103</v>
      </c>
      <c r="C31" s="131">
        <v>1369.54</v>
      </c>
      <c r="D31" s="131">
        <v>-0.4</v>
      </c>
      <c r="E31" s="131">
        <v>-0.26</v>
      </c>
      <c r="F31" s="131">
        <v>28.01</v>
      </c>
      <c r="G31" s="131">
        <v>0.14000000000000001</v>
      </c>
      <c r="H31" s="131">
        <v>1.61</v>
      </c>
      <c r="I31" s="131">
        <v>0.01</v>
      </c>
      <c r="J31" s="132">
        <v>41841</v>
      </c>
      <c r="K31" s="133" t="s">
        <v>458</v>
      </c>
      <c r="L31" s="126">
        <f t="shared" si="0"/>
        <v>5.7479471617279544E-2</v>
      </c>
      <c r="M31" s="133"/>
      <c r="N31" s="133"/>
      <c r="O31" s="115"/>
      <c r="P31" s="115"/>
      <c r="Q31" s="116"/>
      <c r="R31" s="133"/>
      <c r="S31" s="117"/>
      <c r="T31" s="115"/>
      <c r="U31" s="116"/>
      <c r="V31" s="116"/>
      <c r="W31" s="133"/>
      <c r="X31" s="115"/>
      <c r="Y31" s="133"/>
    </row>
    <row r="32" spans="1:25" ht="17" customHeight="1">
      <c r="A32" s="131" t="s">
        <v>687</v>
      </c>
      <c r="B32" s="131" t="s">
        <v>688</v>
      </c>
      <c r="C32" s="131">
        <v>1012.42</v>
      </c>
      <c r="D32" s="131">
        <v>-1.24</v>
      </c>
      <c r="E32" s="131">
        <v>5.64</v>
      </c>
      <c r="F32" s="131">
        <v>27.37</v>
      </c>
      <c r="G32" s="131">
        <v>0.28000000000000003</v>
      </c>
      <c r="H32" s="131">
        <v>1.29</v>
      </c>
      <c r="I32" s="131">
        <v>0.01</v>
      </c>
      <c r="J32" s="132">
        <v>36529</v>
      </c>
      <c r="K32" s="133" t="s">
        <v>458</v>
      </c>
      <c r="L32" s="126">
        <f t="shared" si="0"/>
        <v>4.7131896236755573E-2</v>
      </c>
      <c r="M32" s="133"/>
      <c r="N32" s="133"/>
      <c r="O32" s="115"/>
      <c r="P32" s="115"/>
      <c r="Q32" s="116"/>
      <c r="R32" s="133"/>
      <c r="S32" s="117"/>
      <c r="T32" s="115"/>
      <c r="U32" s="116"/>
      <c r="V32" s="116"/>
      <c r="W32" s="133"/>
      <c r="X32" s="115"/>
      <c r="Y32" s="133"/>
    </row>
    <row r="33" spans="1:25" ht="17" customHeight="1">
      <c r="A33" s="131" t="s">
        <v>695</v>
      </c>
      <c r="B33" s="131" t="s">
        <v>696</v>
      </c>
      <c r="C33" s="131">
        <v>2368.6</v>
      </c>
      <c r="D33" s="131">
        <v>-1.5</v>
      </c>
      <c r="E33" s="131">
        <v>5.85</v>
      </c>
      <c r="F33" s="131">
        <v>9.66</v>
      </c>
      <c r="G33" s="131">
        <v>0.04</v>
      </c>
      <c r="H33" s="131">
        <v>1.01</v>
      </c>
      <c r="I33" s="131">
        <v>0.01</v>
      </c>
      <c r="J33" s="132">
        <v>36529</v>
      </c>
      <c r="K33" s="133" t="s">
        <v>458</v>
      </c>
      <c r="L33" s="126">
        <f t="shared" si="0"/>
        <v>0.10455486542443064</v>
      </c>
      <c r="M33" s="133"/>
      <c r="N33" s="133"/>
      <c r="O33" s="115"/>
      <c r="P33" s="115"/>
      <c r="Q33" s="116"/>
      <c r="R33" s="133"/>
      <c r="S33" s="117"/>
      <c r="T33" s="115"/>
      <c r="U33" s="116"/>
      <c r="V33" s="116"/>
      <c r="W33" s="133"/>
      <c r="X33" s="115"/>
      <c r="Y33" s="133"/>
    </row>
    <row r="34" spans="1:25" ht="17" customHeight="1">
      <c r="A34" s="131" t="s">
        <v>782</v>
      </c>
      <c r="B34" s="131" t="s">
        <v>161</v>
      </c>
      <c r="C34" s="131">
        <v>3155.52</v>
      </c>
      <c r="D34" s="131">
        <v>-0.7</v>
      </c>
      <c r="E34" s="131">
        <v>3.16</v>
      </c>
      <c r="F34" s="131">
        <v>14.02</v>
      </c>
      <c r="G34" s="131">
        <v>0.28000000000000003</v>
      </c>
      <c r="H34" s="131">
        <v>1.22</v>
      </c>
      <c r="I34" s="131">
        <v>0.01</v>
      </c>
      <c r="J34" s="132">
        <v>40777</v>
      </c>
      <c r="K34" s="133" t="s">
        <v>458</v>
      </c>
      <c r="L34" s="126">
        <f t="shared" si="0"/>
        <v>8.7018544935805991E-2</v>
      </c>
      <c r="M34" s="133"/>
      <c r="N34" s="133"/>
      <c r="O34" s="115"/>
      <c r="P34" s="115"/>
      <c r="Q34" s="116"/>
      <c r="R34" s="133"/>
      <c r="S34" s="117"/>
      <c r="T34" s="115"/>
      <c r="U34" s="116"/>
      <c r="V34" s="116"/>
      <c r="W34" s="133"/>
      <c r="X34" s="115"/>
      <c r="Y34" s="133"/>
    </row>
    <row r="35" spans="1:25" ht="17" customHeight="1">
      <c r="A35" s="131" t="s">
        <v>719</v>
      </c>
      <c r="B35" s="131" t="s">
        <v>720</v>
      </c>
      <c r="C35" s="131">
        <v>3708.66</v>
      </c>
      <c r="D35" s="131">
        <v>-0.63</v>
      </c>
      <c r="E35" s="131">
        <v>19.27</v>
      </c>
      <c r="F35" s="131">
        <v>6.76</v>
      </c>
      <c r="G35" s="131">
        <v>0.25</v>
      </c>
      <c r="H35" s="131">
        <v>0.78</v>
      </c>
      <c r="I35" s="131">
        <v>0.01</v>
      </c>
      <c r="J35" s="132">
        <v>36529</v>
      </c>
      <c r="K35" s="133" t="s">
        <v>458</v>
      </c>
      <c r="L35" s="126">
        <f t="shared" si="0"/>
        <v>0.11538461538461539</v>
      </c>
      <c r="M35" s="133"/>
      <c r="N35" s="133"/>
      <c r="O35" s="115"/>
      <c r="P35" s="115"/>
      <c r="Q35" s="116"/>
      <c r="R35" s="133"/>
      <c r="S35" s="117"/>
      <c r="T35" s="115"/>
      <c r="U35" s="116"/>
      <c r="V35" s="116"/>
      <c r="W35" s="133"/>
      <c r="X35" s="115"/>
      <c r="Y35" s="133"/>
    </row>
    <row r="36" spans="1:25" ht="17" customHeight="1">
      <c r="A36" s="131" t="s">
        <v>721</v>
      </c>
      <c r="B36" s="131" t="s">
        <v>722</v>
      </c>
      <c r="C36" s="131">
        <v>1489.62</v>
      </c>
      <c r="D36" s="131">
        <v>0.03</v>
      </c>
      <c r="E36" s="131">
        <v>2.54</v>
      </c>
      <c r="F36" s="131">
        <v>20.73</v>
      </c>
      <c r="G36" s="131">
        <v>0.08</v>
      </c>
      <c r="H36" s="131">
        <v>1.56</v>
      </c>
      <c r="I36" s="131">
        <v>0.01</v>
      </c>
      <c r="J36" s="132">
        <v>36529</v>
      </c>
      <c r="K36" s="133" t="s">
        <v>458</v>
      </c>
      <c r="L36" s="126">
        <f t="shared" si="0"/>
        <v>7.5253256150506515E-2</v>
      </c>
      <c r="M36" s="133"/>
      <c r="N36" s="133"/>
      <c r="O36" s="115"/>
      <c r="P36" s="115"/>
      <c r="Q36" s="116"/>
      <c r="R36" s="133"/>
      <c r="S36" s="117"/>
      <c r="T36" s="115"/>
      <c r="U36" s="116"/>
      <c r="V36" s="116"/>
      <c r="W36" s="133"/>
      <c r="X36" s="115"/>
      <c r="Y36" s="133"/>
    </row>
    <row r="37" spans="1:25" ht="17" customHeight="1">
      <c r="A37" s="131" t="s">
        <v>783</v>
      </c>
      <c r="B37" s="131" t="s">
        <v>117</v>
      </c>
      <c r="C37" s="131">
        <v>1230.1199999999999</v>
      </c>
      <c r="D37" s="131">
        <v>-1.71</v>
      </c>
      <c r="E37" s="131">
        <v>6.87</v>
      </c>
      <c r="F37" s="131">
        <v>8.44</v>
      </c>
      <c r="G37" s="131">
        <v>0.01</v>
      </c>
      <c r="H37" s="131">
        <v>0.98</v>
      </c>
      <c r="I37" s="131">
        <v>0.01</v>
      </c>
      <c r="J37" s="132">
        <v>42048</v>
      </c>
      <c r="K37" s="133" t="s">
        <v>458</v>
      </c>
      <c r="L37" s="126">
        <f t="shared" si="0"/>
        <v>0.11611374407582939</v>
      </c>
      <c r="M37" s="133"/>
      <c r="N37" s="133"/>
      <c r="O37" s="115"/>
      <c r="P37" s="115"/>
      <c r="Q37" s="116"/>
      <c r="R37" s="133"/>
      <c r="S37" s="117"/>
      <c r="T37" s="115"/>
      <c r="U37" s="116"/>
      <c r="V37" s="116"/>
      <c r="W37" s="133"/>
      <c r="X37" s="115"/>
      <c r="Y37" s="133"/>
    </row>
    <row r="38" spans="1:25" ht="17" customHeight="1">
      <c r="A38" s="131" t="s">
        <v>784</v>
      </c>
      <c r="B38" s="131" t="s">
        <v>785</v>
      </c>
      <c r="C38" s="131">
        <v>1606.44</v>
      </c>
      <c r="D38" s="131">
        <v>-2.21</v>
      </c>
      <c r="E38" s="131">
        <v>7.56</v>
      </c>
      <c r="F38" s="131">
        <v>8.44</v>
      </c>
      <c r="G38" s="131">
        <v>0.01</v>
      </c>
      <c r="H38" s="131">
        <v>0.98</v>
      </c>
      <c r="I38" s="131">
        <v>0.01</v>
      </c>
      <c r="J38" s="132">
        <v>42025</v>
      </c>
      <c r="K38" s="133" t="s">
        <v>458</v>
      </c>
      <c r="L38" s="126">
        <f t="shared" si="0"/>
        <v>0.11611374407582939</v>
      </c>
      <c r="M38" s="133"/>
      <c r="N38" s="133"/>
      <c r="O38" s="115"/>
      <c r="P38" s="115"/>
      <c r="Q38" s="116"/>
      <c r="R38" s="133"/>
      <c r="S38" s="117"/>
      <c r="T38" s="115"/>
      <c r="U38" s="116"/>
      <c r="V38" s="116"/>
      <c r="W38" s="133"/>
      <c r="X38" s="115"/>
      <c r="Y38" s="133"/>
    </row>
    <row r="39" spans="1:25" ht="17" customHeight="1">
      <c r="A39" s="131" t="s">
        <v>786</v>
      </c>
      <c r="B39" s="131" t="s">
        <v>787</v>
      </c>
      <c r="C39" s="131" t="s">
        <v>622</v>
      </c>
      <c r="D39" s="131">
        <v>0</v>
      </c>
      <c r="E39" s="131">
        <v>0</v>
      </c>
      <c r="F39" s="131">
        <v>8.67</v>
      </c>
      <c r="G39" s="131">
        <v>7.0000000000000007E-2</v>
      </c>
      <c r="H39" s="131">
        <v>0.99</v>
      </c>
      <c r="I39" s="131">
        <v>0.01</v>
      </c>
      <c r="J39" s="132">
        <v>42348</v>
      </c>
      <c r="K39" s="133" t="s">
        <v>458</v>
      </c>
      <c r="L39" s="126">
        <f t="shared" si="0"/>
        <v>0.11418685121107267</v>
      </c>
      <c r="M39" s="133"/>
      <c r="N39" s="133"/>
      <c r="O39" s="115"/>
      <c r="P39" s="115"/>
      <c r="Q39" s="116"/>
      <c r="R39" s="133"/>
      <c r="S39" s="117"/>
      <c r="T39" s="115"/>
      <c r="U39" s="116"/>
      <c r="V39" s="116"/>
      <c r="W39" s="133"/>
      <c r="X39" s="115"/>
      <c r="Y39" s="133"/>
    </row>
    <row r="40" spans="1:25" ht="17" customHeight="1">
      <c r="A40" s="131" t="s">
        <v>788</v>
      </c>
      <c r="B40" s="131" t="s">
        <v>789</v>
      </c>
      <c r="C40" s="131">
        <v>3437.61</v>
      </c>
      <c r="D40" s="131">
        <v>-0.45</v>
      </c>
      <c r="E40" s="131">
        <v>13.7</v>
      </c>
      <c r="F40" s="131">
        <v>16.809999999999999</v>
      </c>
      <c r="G40" s="131">
        <v>0.49</v>
      </c>
      <c r="H40" s="131">
        <v>1.07</v>
      </c>
      <c r="I40" s="131">
        <v>0.01</v>
      </c>
      <c r="J40" s="132">
        <v>40914</v>
      </c>
      <c r="K40" s="133" t="s">
        <v>458</v>
      </c>
      <c r="L40" s="126">
        <f t="shared" si="0"/>
        <v>6.3652587745389663E-2</v>
      </c>
      <c r="M40" s="133"/>
      <c r="N40" s="133"/>
      <c r="O40" s="115"/>
      <c r="P40" s="115"/>
      <c r="Q40" s="116"/>
      <c r="R40" s="133"/>
      <c r="S40" s="117"/>
      <c r="T40" s="115"/>
      <c r="U40" s="116"/>
      <c r="V40" s="116"/>
      <c r="W40" s="133"/>
      <c r="X40" s="115"/>
      <c r="Y40" s="133"/>
    </row>
    <row r="41" spans="1:25" ht="17" customHeight="1">
      <c r="A41" s="131" t="s">
        <v>790</v>
      </c>
      <c r="B41" s="131" t="s">
        <v>791</v>
      </c>
      <c r="C41" s="131">
        <v>1490.17</v>
      </c>
      <c r="D41" s="131">
        <v>-0.21</v>
      </c>
      <c r="E41" s="131">
        <v>9.3699999999999992</v>
      </c>
      <c r="F41" s="131">
        <v>8.83</v>
      </c>
      <c r="G41" s="131">
        <v>0.24</v>
      </c>
      <c r="H41" s="131">
        <v>0.99</v>
      </c>
      <c r="I41" s="131">
        <v>0.01</v>
      </c>
      <c r="J41" s="132">
        <v>39902</v>
      </c>
      <c r="K41" s="133" t="s">
        <v>458</v>
      </c>
      <c r="L41" s="126">
        <f t="shared" si="0"/>
        <v>0.11211778029445073</v>
      </c>
      <c r="M41" s="133"/>
      <c r="N41" s="133"/>
      <c r="O41" s="115"/>
      <c r="P41" s="115"/>
      <c r="Q41" s="116"/>
      <c r="R41" s="133"/>
      <c r="S41" s="117"/>
      <c r="T41" s="115"/>
      <c r="U41" s="116"/>
      <c r="V41" s="116"/>
      <c r="W41" s="133"/>
      <c r="X41" s="115"/>
      <c r="Y41" s="133"/>
    </row>
    <row r="42" spans="1:25" ht="17" customHeight="1">
      <c r="A42" s="131" t="s">
        <v>792</v>
      </c>
      <c r="B42" s="131" t="s">
        <v>150</v>
      </c>
      <c r="C42" s="131">
        <v>2632.37</v>
      </c>
      <c r="D42" s="131">
        <v>-0.25</v>
      </c>
      <c r="E42" s="131">
        <v>5.88</v>
      </c>
      <c r="F42" s="131">
        <v>7.41</v>
      </c>
      <c r="G42" s="131">
        <v>0.14000000000000001</v>
      </c>
      <c r="H42" s="131">
        <v>0.92</v>
      </c>
      <c r="I42" s="131">
        <v>0.01</v>
      </c>
      <c r="J42" s="132">
        <v>38356</v>
      </c>
      <c r="K42" s="133" t="s">
        <v>458</v>
      </c>
      <c r="L42" s="126">
        <f t="shared" si="0"/>
        <v>0.12415654520917679</v>
      </c>
      <c r="M42" s="133"/>
      <c r="N42" s="133"/>
      <c r="O42" s="115"/>
      <c r="P42" s="115"/>
      <c r="Q42" s="116"/>
      <c r="R42" s="133"/>
      <c r="S42" s="117"/>
      <c r="T42" s="115"/>
      <c r="U42" s="116"/>
      <c r="V42" s="116"/>
      <c r="W42" s="133"/>
      <c r="X42" s="115"/>
      <c r="Y42" s="133"/>
    </row>
    <row r="43" spans="1:25" ht="17" customHeight="1">
      <c r="A43" s="131" t="s">
        <v>793</v>
      </c>
      <c r="B43" s="131" t="s">
        <v>794</v>
      </c>
      <c r="C43" s="131">
        <v>1950.15</v>
      </c>
      <c r="D43" s="131">
        <v>-0.22</v>
      </c>
      <c r="E43" s="131">
        <v>13.62</v>
      </c>
      <c r="F43" s="131">
        <v>7.66</v>
      </c>
      <c r="G43" s="131">
        <v>0.01</v>
      </c>
      <c r="H43" s="131">
        <v>1</v>
      </c>
      <c r="I43" s="131">
        <v>0.01</v>
      </c>
      <c r="J43" s="132">
        <v>41596</v>
      </c>
      <c r="K43" s="133" t="s">
        <v>458</v>
      </c>
      <c r="L43" s="126">
        <f t="shared" si="0"/>
        <v>0.13054830287206265</v>
      </c>
      <c r="M43" s="115"/>
      <c r="N43" s="133"/>
      <c r="O43" s="115"/>
      <c r="P43" s="115"/>
      <c r="Q43" s="116"/>
      <c r="R43" s="133"/>
      <c r="S43" s="117"/>
      <c r="T43" s="115"/>
      <c r="U43" s="116"/>
      <c r="V43" s="116"/>
      <c r="W43" s="133"/>
      <c r="X43" s="115"/>
      <c r="Y43" s="133"/>
    </row>
    <row r="44" spans="1:25" ht="17" customHeight="1">
      <c r="A44" s="131" t="s">
        <v>795</v>
      </c>
      <c r="B44" s="131" t="s">
        <v>169</v>
      </c>
      <c r="C44" s="131">
        <v>4331.7299999999996</v>
      </c>
      <c r="D44" s="131">
        <v>1.28</v>
      </c>
      <c r="E44" s="131">
        <v>1.26</v>
      </c>
      <c r="F44" s="131">
        <v>7.7</v>
      </c>
      <c r="G44" s="131">
        <v>0.14000000000000001</v>
      </c>
      <c r="H44" s="131">
        <v>0.98</v>
      </c>
      <c r="I44" s="131">
        <v>0.01</v>
      </c>
      <c r="J44" s="132">
        <v>39468</v>
      </c>
      <c r="K44" s="133" t="s">
        <v>458</v>
      </c>
      <c r="L44" s="126">
        <f t="shared" si="0"/>
        <v>0.12727272727272726</v>
      </c>
      <c r="M44" s="115"/>
      <c r="N44" s="133"/>
      <c r="O44" s="115"/>
      <c r="P44" s="115"/>
      <c r="Q44" s="116"/>
      <c r="R44" s="133"/>
      <c r="S44" s="117"/>
      <c r="T44" s="115"/>
      <c r="U44" s="116"/>
      <c r="V44" s="116"/>
      <c r="W44" s="133"/>
      <c r="X44" s="115"/>
      <c r="Y44" s="133"/>
    </row>
    <row r="45" spans="1:25" ht="17" customHeight="1">
      <c r="A45" s="131" t="s">
        <v>796</v>
      </c>
      <c r="B45" s="131" t="s">
        <v>797</v>
      </c>
      <c r="C45" s="131">
        <v>1980.54</v>
      </c>
      <c r="D45" s="131">
        <v>-0.14000000000000001</v>
      </c>
      <c r="E45" s="131">
        <v>2.33</v>
      </c>
      <c r="F45" s="131">
        <v>14.3</v>
      </c>
      <c r="G45" s="131">
        <v>0.34</v>
      </c>
      <c r="H45" s="131">
        <v>1.1599999999999999</v>
      </c>
      <c r="I45" s="131">
        <v>0.01</v>
      </c>
      <c r="J45" s="132">
        <v>40284</v>
      </c>
      <c r="K45" s="133" t="s">
        <v>458</v>
      </c>
      <c r="L45" s="126">
        <f t="shared" si="0"/>
        <v>8.1118881118881103E-2</v>
      </c>
      <c r="M45" s="115"/>
      <c r="N45" s="133"/>
      <c r="O45" s="115"/>
      <c r="P45" s="115"/>
      <c r="Q45" s="116"/>
      <c r="R45" s="133"/>
      <c r="S45" s="117"/>
      <c r="T45" s="115"/>
      <c r="U45" s="116"/>
      <c r="V45" s="116"/>
      <c r="W45" s="133"/>
      <c r="X45" s="115"/>
      <c r="Y45" s="133"/>
    </row>
    <row r="46" spans="1:25" ht="17" customHeight="1">
      <c r="A46" s="131" t="s">
        <v>798</v>
      </c>
      <c r="B46" s="131" t="s">
        <v>799</v>
      </c>
      <c r="C46" s="131">
        <v>6042.28</v>
      </c>
      <c r="D46" s="131">
        <v>0.39</v>
      </c>
      <c r="E46" s="131">
        <v>1.65</v>
      </c>
      <c r="F46" s="131">
        <v>17</v>
      </c>
      <c r="G46" s="131">
        <v>0.01</v>
      </c>
      <c r="H46" s="131">
        <v>2.0499999999999998</v>
      </c>
      <c r="I46" s="131">
        <v>0.01</v>
      </c>
      <c r="J46" s="132">
        <v>40298</v>
      </c>
      <c r="K46" s="133" t="s">
        <v>458</v>
      </c>
      <c r="L46" s="126">
        <f t="shared" si="0"/>
        <v>0.12058823529411763</v>
      </c>
      <c r="M46" s="115"/>
      <c r="N46" s="133"/>
      <c r="O46" s="115"/>
      <c r="P46" s="115"/>
      <c r="Q46" s="116"/>
      <c r="R46" s="133"/>
      <c r="S46" s="117"/>
      <c r="T46" s="115"/>
      <c r="U46" s="116"/>
      <c r="V46" s="116"/>
      <c r="W46" s="133"/>
      <c r="X46" s="115"/>
      <c r="Y46" s="133"/>
    </row>
    <row r="47" spans="1:25" ht="17" customHeight="1">
      <c r="A47" s="131" t="s">
        <v>800</v>
      </c>
      <c r="B47" s="131" t="s">
        <v>801</v>
      </c>
      <c r="C47" s="131">
        <v>1591.18</v>
      </c>
      <c r="D47" s="131">
        <v>-0.38</v>
      </c>
      <c r="E47" s="131">
        <v>10.52</v>
      </c>
      <c r="F47" s="131">
        <v>12.74</v>
      </c>
      <c r="G47" s="131">
        <v>0.04</v>
      </c>
      <c r="H47" s="131">
        <v>1.1100000000000001</v>
      </c>
      <c r="I47" s="131">
        <v>0.01</v>
      </c>
      <c r="J47" s="132">
        <v>42117</v>
      </c>
      <c r="K47" s="133" t="s">
        <v>458</v>
      </c>
      <c r="L47" s="126">
        <f t="shared" si="0"/>
        <v>8.7127158555729986E-2</v>
      </c>
      <c r="M47" s="115"/>
      <c r="N47" s="133"/>
      <c r="O47" s="115"/>
      <c r="P47" s="115"/>
      <c r="Q47" s="116"/>
      <c r="R47" s="133"/>
      <c r="S47" s="117"/>
      <c r="T47" s="115"/>
      <c r="U47" s="116"/>
      <c r="V47" s="116"/>
      <c r="W47" s="133"/>
      <c r="X47" s="115"/>
      <c r="Y47" s="133"/>
    </row>
    <row r="48" spans="1:25" ht="17" customHeight="1">
      <c r="A48" s="131" t="s">
        <v>802</v>
      </c>
      <c r="B48" s="131" t="s">
        <v>803</v>
      </c>
      <c r="C48" s="131">
        <v>1439.32</v>
      </c>
      <c r="D48" s="131">
        <v>-0.28000000000000003</v>
      </c>
      <c r="E48" s="131">
        <v>11.7</v>
      </c>
      <c r="F48" s="131">
        <v>13.87</v>
      </c>
      <c r="G48" s="131">
        <v>0.05</v>
      </c>
      <c r="H48" s="131">
        <v>1.1399999999999999</v>
      </c>
      <c r="I48" s="131">
        <v>0.01</v>
      </c>
      <c r="J48" s="132">
        <v>42051</v>
      </c>
      <c r="K48" s="133" t="s">
        <v>458</v>
      </c>
      <c r="L48" s="126">
        <f t="shared" si="0"/>
        <v>8.2191780821917804E-2</v>
      </c>
      <c r="M48" s="115"/>
      <c r="N48" s="133"/>
      <c r="O48" s="115"/>
      <c r="P48" s="115"/>
      <c r="Q48" s="116"/>
      <c r="R48" s="133"/>
      <c r="S48" s="117"/>
      <c r="T48" s="115"/>
      <c r="U48" s="116"/>
      <c r="V48" s="116"/>
      <c r="W48" s="133"/>
      <c r="X48" s="115"/>
      <c r="Y48" s="133"/>
    </row>
    <row r="49" spans="1:25" ht="17" customHeight="1">
      <c r="A49" s="131" t="s">
        <v>804</v>
      </c>
      <c r="B49" s="131" t="s">
        <v>805</v>
      </c>
      <c r="C49" s="131">
        <v>4681.38</v>
      </c>
      <c r="D49" s="131">
        <v>0.56000000000000005</v>
      </c>
      <c r="E49" s="131">
        <v>3.61</v>
      </c>
      <c r="F49" s="131">
        <v>24.58</v>
      </c>
      <c r="G49" s="131">
        <v>1</v>
      </c>
      <c r="H49" s="131">
        <v>1.34</v>
      </c>
      <c r="I49" s="131">
        <v>0.01</v>
      </c>
      <c r="J49" s="132">
        <v>41470</v>
      </c>
      <c r="K49" s="133" t="s">
        <v>458</v>
      </c>
      <c r="L49" s="126">
        <f t="shared" si="0"/>
        <v>5.4515866558177389E-2</v>
      </c>
      <c r="M49" s="115"/>
      <c r="N49" s="133"/>
      <c r="O49" s="115"/>
      <c r="P49" s="115"/>
      <c r="Q49" s="116"/>
      <c r="R49" s="133"/>
      <c r="S49" s="117"/>
      <c r="T49" s="115"/>
      <c r="U49" s="116"/>
      <c r="V49" s="116"/>
      <c r="W49" s="133"/>
      <c r="X49" s="115"/>
      <c r="Y49" s="133"/>
    </row>
    <row r="50" spans="1:25" ht="17" customHeight="1">
      <c r="A50" s="131" t="s">
        <v>806</v>
      </c>
      <c r="B50" s="131" t="s">
        <v>90</v>
      </c>
      <c r="C50" s="131">
        <v>6624.7</v>
      </c>
      <c r="D50" s="131">
        <v>-0.61</v>
      </c>
      <c r="E50" s="131">
        <v>19.059999999999999</v>
      </c>
      <c r="F50" s="131">
        <v>6.59</v>
      </c>
      <c r="G50" s="131">
        <v>0.62</v>
      </c>
      <c r="H50" s="131">
        <v>0.82</v>
      </c>
      <c r="I50" s="131">
        <v>0.01</v>
      </c>
      <c r="J50" s="132">
        <v>41470</v>
      </c>
      <c r="K50" s="133" t="s">
        <v>458</v>
      </c>
      <c r="L50" s="126">
        <f t="shared" si="0"/>
        <v>0.1244309559939302</v>
      </c>
      <c r="M50" s="115"/>
      <c r="N50" s="133"/>
      <c r="O50" s="115"/>
      <c r="P50" s="115"/>
      <c r="Q50" s="116"/>
      <c r="R50" s="133"/>
      <c r="S50" s="117"/>
      <c r="T50" s="115"/>
      <c r="U50" s="116"/>
      <c r="V50" s="116"/>
      <c r="W50" s="133"/>
      <c r="X50" s="115"/>
      <c r="Y50" s="133"/>
    </row>
    <row r="51" spans="1:25" ht="17" customHeight="1">
      <c r="A51" s="131" t="s">
        <v>807</v>
      </c>
      <c r="B51" s="131" t="s">
        <v>808</v>
      </c>
      <c r="C51" s="131">
        <v>4134.38</v>
      </c>
      <c r="D51" s="131">
        <v>-0.83</v>
      </c>
      <c r="E51" s="131">
        <v>0.01</v>
      </c>
      <c r="F51" s="131">
        <v>9.4700000000000006</v>
      </c>
      <c r="G51" s="131">
        <v>0.18</v>
      </c>
      <c r="H51" s="131">
        <v>1.17</v>
      </c>
      <c r="I51" s="131">
        <v>0.02</v>
      </c>
      <c r="J51" s="132">
        <v>40081</v>
      </c>
      <c r="K51" s="133" t="s">
        <v>458</v>
      </c>
      <c r="L51" s="126">
        <f t="shared" si="0"/>
        <v>0.12354804646251319</v>
      </c>
      <c r="M51" s="115"/>
      <c r="N51" s="133"/>
      <c r="O51" s="115"/>
      <c r="P51" s="115"/>
      <c r="Q51" s="116"/>
      <c r="R51" s="133"/>
      <c r="S51" s="117"/>
      <c r="T51" s="115"/>
      <c r="U51" s="116"/>
      <c r="V51" s="116"/>
      <c r="W51" s="133"/>
      <c r="X51" s="115"/>
      <c r="Y51" s="133"/>
    </row>
    <row r="52" spans="1:25" ht="17" customHeight="1">
      <c r="A52" s="131" t="s">
        <v>516</v>
      </c>
      <c r="B52" s="131" t="s">
        <v>517</v>
      </c>
      <c r="C52" s="131">
        <v>1856.45</v>
      </c>
      <c r="D52" s="131">
        <v>-0.44</v>
      </c>
      <c r="E52" s="131">
        <v>5.92</v>
      </c>
      <c r="F52" s="131">
        <v>32.61</v>
      </c>
      <c r="G52" s="131">
        <v>0.17</v>
      </c>
      <c r="H52" s="131">
        <v>1.5</v>
      </c>
      <c r="I52" s="131">
        <v>0.02</v>
      </c>
      <c r="J52" s="132">
        <v>36529</v>
      </c>
      <c r="K52" s="133" t="s">
        <v>458</v>
      </c>
      <c r="L52" s="126">
        <f t="shared" si="0"/>
        <v>4.5998160073597055E-2</v>
      </c>
      <c r="M52" s="115"/>
      <c r="N52" s="133"/>
      <c r="O52" s="115"/>
      <c r="P52" s="115"/>
      <c r="Q52" s="116"/>
      <c r="R52" s="133"/>
      <c r="S52" s="117"/>
      <c r="T52" s="115"/>
      <c r="U52" s="116"/>
      <c r="V52" s="116"/>
      <c r="W52" s="133"/>
      <c r="X52" s="115"/>
      <c r="Y52" s="133"/>
    </row>
    <row r="53" spans="1:25" ht="17" customHeight="1">
      <c r="A53" s="131" t="s">
        <v>600</v>
      </c>
      <c r="B53" s="131" t="s">
        <v>601</v>
      </c>
      <c r="C53" s="131">
        <v>710.43</v>
      </c>
      <c r="D53" s="131">
        <v>-0.44</v>
      </c>
      <c r="E53" s="131">
        <v>4.63</v>
      </c>
      <c r="F53" s="131">
        <v>21.67</v>
      </c>
      <c r="G53" s="131">
        <v>0.16</v>
      </c>
      <c r="H53" s="131">
        <v>1.32</v>
      </c>
      <c r="I53" s="131">
        <v>0.02</v>
      </c>
      <c r="J53" s="132">
        <v>39265</v>
      </c>
      <c r="K53" s="133" t="s">
        <v>458</v>
      </c>
      <c r="L53" s="126">
        <f t="shared" si="0"/>
        <v>6.091370558375634E-2</v>
      </c>
      <c r="M53" s="115"/>
      <c r="N53" s="133"/>
      <c r="O53" s="115"/>
      <c r="P53" s="115"/>
      <c r="Q53" s="116"/>
      <c r="R53" s="133"/>
      <c r="S53" s="117"/>
      <c r="T53" s="115"/>
      <c r="U53" s="116"/>
      <c r="V53" s="116"/>
      <c r="W53" s="133"/>
      <c r="X53" s="115"/>
      <c r="Y53" s="133"/>
    </row>
    <row r="54" spans="1:25" ht="17" customHeight="1">
      <c r="A54" s="131" t="s">
        <v>809</v>
      </c>
      <c r="B54" s="131" t="s">
        <v>764</v>
      </c>
      <c r="C54" s="131">
        <v>3658.71</v>
      </c>
      <c r="D54" s="131">
        <v>-0.52</v>
      </c>
      <c r="E54" s="131">
        <v>-7.72</v>
      </c>
      <c r="F54" s="131">
        <v>8.14</v>
      </c>
      <c r="G54" s="131">
        <v>0.01</v>
      </c>
      <c r="H54" s="131">
        <v>0.93</v>
      </c>
      <c r="I54" s="131">
        <v>0.02</v>
      </c>
      <c r="J54" s="132">
        <v>42075</v>
      </c>
      <c r="K54" s="133" t="s">
        <v>458</v>
      </c>
      <c r="L54" s="126">
        <f t="shared" si="0"/>
        <v>0.11425061425061425</v>
      </c>
      <c r="M54" s="115"/>
      <c r="N54" s="133"/>
      <c r="O54" s="115"/>
      <c r="P54" s="115"/>
      <c r="Q54" s="116"/>
      <c r="R54" s="133"/>
      <c r="S54" s="117"/>
      <c r="T54" s="115"/>
      <c r="U54" s="116"/>
      <c r="V54" s="116"/>
      <c r="W54" s="133"/>
      <c r="X54" s="115"/>
      <c r="Y54" s="133"/>
    </row>
    <row r="55" spans="1:25" ht="17" customHeight="1">
      <c r="A55" s="131" t="s">
        <v>663</v>
      </c>
      <c r="B55" s="131" t="s">
        <v>664</v>
      </c>
      <c r="C55" s="131">
        <v>2418.63</v>
      </c>
      <c r="D55" s="131">
        <v>0.24</v>
      </c>
      <c r="E55" s="131">
        <v>7.98</v>
      </c>
      <c r="F55" s="131">
        <v>16.899999999999999</v>
      </c>
      <c r="G55" s="131">
        <v>0.12</v>
      </c>
      <c r="H55" s="131">
        <v>1.36</v>
      </c>
      <c r="I55" s="131">
        <v>0.02</v>
      </c>
      <c r="J55" s="132">
        <v>36529</v>
      </c>
      <c r="K55" s="133" t="s">
        <v>458</v>
      </c>
      <c r="L55" s="126">
        <f t="shared" si="0"/>
        <v>8.0473372781065103E-2</v>
      </c>
      <c r="M55" s="115"/>
      <c r="N55" s="133"/>
      <c r="O55" s="115"/>
      <c r="P55" s="115"/>
      <c r="Q55" s="116"/>
      <c r="R55" s="133"/>
      <c r="S55" s="117"/>
      <c r="T55" s="115"/>
      <c r="U55" s="116"/>
      <c r="V55" s="116"/>
      <c r="W55" s="133"/>
      <c r="X55" s="115"/>
      <c r="Y55" s="133"/>
    </row>
    <row r="56" spans="1:25" ht="17" customHeight="1">
      <c r="A56" s="131" t="s">
        <v>665</v>
      </c>
      <c r="B56" s="131" t="s">
        <v>666</v>
      </c>
      <c r="C56" s="131">
        <v>4415.8900000000003</v>
      </c>
      <c r="D56" s="131">
        <v>0.26</v>
      </c>
      <c r="E56" s="131">
        <v>0.93</v>
      </c>
      <c r="F56" s="131">
        <v>25.59</v>
      </c>
      <c r="G56" s="131">
        <v>0.04</v>
      </c>
      <c r="H56" s="131">
        <v>1.61</v>
      </c>
      <c r="I56" s="131">
        <v>0.02</v>
      </c>
      <c r="J56" s="132">
        <v>36529</v>
      </c>
      <c r="K56" s="133" t="s">
        <v>458</v>
      </c>
      <c r="L56" s="126">
        <f t="shared" si="0"/>
        <v>6.2915201250488481E-2</v>
      </c>
      <c r="M56" s="115"/>
      <c r="N56" s="133"/>
      <c r="O56" s="115"/>
      <c r="P56" s="115"/>
      <c r="Q56" s="116"/>
      <c r="R56" s="133"/>
      <c r="S56" s="117"/>
      <c r="T56" s="115"/>
      <c r="U56" s="116"/>
      <c r="V56" s="116"/>
      <c r="W56" s="133"/>
      <c r="X56" s="115"/>
      <c r="Y56" s="133"/>
    </row>
    <row r="57" spans="1:25" ht="17" customHeight="1">
      <c r="A57" s="131" t="s">
        <v>701</v>
      </c>
      <c r="B57" s="131" t="s">
        <v>702</v>
      </c>
      <c r="C57" s="131">
        <v>2909.16</v>
      </c>
      <c r="D57" s="131">
        <v>-0.6</v>
      </c>
      <c r="E57" s="131">
        <v>2.77</v>
      </c>
      <c r="F57" s="131">
        <v>35.68</v>
      </c>
      <c r="G57" s="131">
        <v>0.61</v>
      </c>
      <c r="H57" s="131">
        <v>1.23</v>
      </c>
      <c r="I57" s="131">
        <v>0.02</v>
      </c>
      <c r="J57" s="132">
        <v>39624</v>
      </c>
      <c r="K57" s="133" t="s">
        <v>458</v>
      </c>
      <c r="L57" s="126">
        <f t="shared" si="0"/>
        <v>3.447309417040359E-2</v>
      </c>
      <c r="M57" s="115"/>
      <c r="N57" s="133"/>
      <c r="O57" s="115"/>
      <c r="P57" s="115"/>
      <c r="Q57" s="116"/>
      <c r="R57" s="133"/>
      <c r="S57" s="117"/>
      <c r="T57" s="115"/>
      <c r="U57" s="116"/>
      <c r="V57" s="116"/>
      <c r="W57" s="133"/>
      <c r="X57" s="115"/>
      <c r="Y57" s="133"/>
    </row>
    <row r="58" spans="1:25" ht="17" customHeight="1">
      <c r="A58" s="131" t="s">
        <v>810</v>
      </c>
      <c r="B58" s="131" t="s">
        <v>811</v>
      </c>
      <c r="C58" s="131">
        <v>1390.04</v>
      </c>
      <c r="D58" s="131">
        <v>-0.08</v>
      </c>
      <c r="E58" s="131">
        <v>20.13</v>
      </c>
      <c r="F58" s="131">
        <v>15.6</v>
      </c>
      <c r="G58" s="131">
        <v>0.23</v>
      </c>
      <c r="H58" s="131">
        <v>1.59</v>
      </c>
      <c r="I58" s="131">
        <v>0.02</v>
      </c>
      <c r="J58" s="132">
        <v>42132</v>
      </c>
      <c r="K58" s="133" t="s">
        <v>458</v>
      </c>
      <c r="L58" s="126">
        <f t="shared" si="0"/>
        <v>0.10192307692307694</v>
      </c>
      <c r="M58" s="115"/>
      <c r="N58" s="133"/>
      <c r="O58" s="115"/>
      <c r="P58" s="115"/>
      <c r="Q58" s="116"/>
      <c r="R58" s="133"/>
      <c r="S58" s="117"/>
      <c r="T58" s="115"/>
      <c r="U58" s="116"/>
      <c r="V58" s="116"/>
      <c r="W58" s="133"/>
      <c r="X58" s="115"/>
      <c r="Y58" s="133"/>
    </row>
    <row r="59" spans="1:25" ht="17" customHeight="1">
      <c r="A59" s="131" t="s">
        <v>812</v>
      </c>
      <c r="B59" s="131" t="s">
        <v>813</v>
      </c>
      <c r="C59" s="131">
        <v>6098.52</v>
      </c>
      <c r="D59" s="131">
        <v>-0.32</v>
      </c>
      <c r="E59" s="131">
        <v>0.19</v>
      </c>
      <c r="F59" s="131">
        <v>9.14</v>
      </c>
      <c r="G59" s="131">
        <v>0.41</v>
      </c>
      <c r="H59" s="131">
        <v>1.21</v>
      </c>
      <c r="I59" s="131">
        <v>0.03</v>
      </c>
      <c r="J59" s="132">
        <v>40949</v>
      </c>
      <c r="K59" s="133" t="s">
        <v>458</v>
      </c>
      <c r="L59" s="126">
        <f t="shared" si="0"/>
        <v>0.13238512035010941</v>
      </c>
      <c r="M59" s="115"/>
      <c r="N59" s="133"/>
      <c r="O59" s="115"/>
      <c r="P59" s="115"/>
      <c r="Q59" s="116"/>
      <c r="R59" s="133"/>
      <c r="S59" s="117"/>
      <c r="T59" s="115"/>
      <c r="U59" s="116"/>
      <c r="V59" s="116"/>
      <c r="W59" s="133"/>
      <c r="X59" s="115"/>
      <c r="Y59" s="133"/>
    </row>
    <row r="60" spans="1:25" ht="17" customHeight="1">
      <c r="A60" s="131" t="s">
        <v>608</v>
      </c>
      <c r="B60" s="131" t="s">
        <v>609</v>
      </c>
      <c r="C60" s="131">
        <v>4245.5</v>
      </c>
      <c r="D60" s="131">
        <v>0.87</v>
      </c>
      <c r="E60" s="131">
        <v>0.43</v>
      </c>
      <c r="F60" s="131">
        <v>19</v>
      </c>
      <c r="G60" s="131">
        <v>0.6</v>
      </c>
      <c r="H60" s="131">
        <v>1.29</v>
      </c>
      <c r="I60" s="131">
        <v>0.03</v>
      </c>
      <c r="J60" s="132">
        <v>36529</v>
      </c>
      <c r="K60" s="133" t="s">
        <v>458</v>
      </c>
      <c r="L60" s="126">
        <f t="shared" si="0"/>
        <v>6.7894736842105272E-2</v>
      </c>
      <c r="M60" s="115"/>
      <c r="N60" s="133"/>
      <c r="O60" s="115"/>
      <c r="P60" s="115"/>
      <c r="Q60" s="116"/>
      <c r="R60" s="133"/>
      <c r="S60" s="117"/>
      <c r="T60" s="115"/>
      <c r="U60" s="116"/>
      <c r="V60" s="116"/>
      <c r="W60" s="133"/>
      <c r="X60" s="115"/>
      <c r="Y60" s="133"/>
    </row>
    <row r="61" spans="1:25" ht="17" customHeight="1">
      <c r="A61" s="131" t="s">
        <v>814</v>
      </c>
      <c r="B61" s="131" t="s">
        <v>815</v>
      </c>
      <c r="C61" s="131">
        <v>1320.55</v>
      </c>
      <c r="D61" s="131">
        <v>-1.0900000000000001</v>
      </c>
      <c r="E61" s="131">
        <v>7.74</v>
      </c>
      <c r="F61" s="131">
        <v>13.97</v>
      </c>
      <c r="G61" s="131">
        <v>0.3</v>
      </c>
      <c r="H61" s="131">
        <v>0.9</v>
      </c>
      <c r="I61" s="131">
        <v>0.03</v>
      </c>
      <c r="J61" s="132">
        <v>43179</v>
      </c>
      <c r="K61" s="133" t="s">
        <v>458</v>
      </c>
      <c r="L61" s="126">
        <f t="shared" si="0"/>
        <v>6.4423765211166786E-2</v>
      </c>
      <c r="M61" s="115"/>
      <c r="N61" s="133"/>
      <c r="O61" s="115"/>
      <c r="P61" s="115"/>
      <c r="Q61" s="116"/>
      <c r="R61" s="133"/>
      <c r="S61" s="117"/>
      <c r="T61" s="115"/>
      <c r="U61" s="116"/>
      <c r="V61" s="116"/>
      <c r="W61" s="133"/>
      <c r="X61" s="115"/>
      <c r="Y61" s="133"/>
    </row>
    <row r="62" spans="1:25" ht="17" customHeight="1">
      <c r="A62" s="131" t="s">
        <v>816</v>
      </c>
      <c r="B62" s="131" t="s">
        <v>817</v>
      </c>
      <c r="C62" s="131">
        <v>3485.98</v>
      </c>
      <c r="D62" s="131">
        <v>0.31</v>
      </c>
      <c r="E62" s="131">
        <v>24.32</v>
      </c>
      <c r="F62" s="131">
        <v>8.4499999999999993</v>
      </c>
      <c r="G62" s="131">
        <v>0.28999999999999998</v>
      </c>
      <c r="H62" s="131">
        <v>1.08</v>
      </c>
      <c r="I62" s="131">
        <v>0.03</v>
      </c>
      <c r="J62" s="132">
        <v>43692</v>
      </c>
      <c r="K62" s="133" t="s">
        <v>458</v>
      </c>
      <c r="L62" s="126">
        <f t="shared" si="0"/>
        <v>0.12781065088757398</v>
      </c>
      <c r="M62" s="115"/>
      <c r="N62" s="133"/>
      <c r="O62" s="115"/>
      <c r="P62" s="115"/>
      <c r="Q62" s="116"/>
      <c r="R62" s="133"/>
      <c r="S62" s="117"/>
      <c r="T62" s="115"/>
      <c r="U62" s="116"/>
      <c r="V62" s="116"/>
      <c r="W62" s="133"/>
      <c r="X62" s="115"/>
      <c r="Y62" s="133"/>
    </row>
    <row r="63" spans="1:25" ht="17" customHeight="1">
      <c r="A63" s="131" t="s">
        <v>818</v>
      </c>
      <c r="B63" s="131" t="s">
        <v>819</v>
      </c>
      <c r="C63" s="131">
        <v>4020.56</v>
      </c>
      <c r="D63" s="131">
        <v>-0.31</v>
      </c>
      <c r="E63" s="131">
        <v>15.07</v>
      </c>
      <c r="F63" s="131">
        <v>7.52</v>
      </c>
      <c r="G63" s="131">
        <v>0.18</v>
      </c>
      <c r="H63" s="131">
        <v>0.98</v>
      </c>
      <c r="I63" s="131">
        <v>0.03</v>
      </c>
      <c r="J63" s="132">
        <v>39822</v>
      </c>
      <c r="K63" s="133" t="s">
        <v>458</v>
      </c>
      <c r="L63" s="126">
        <f t="shared" si="0"/>
        <v>0.13031914893617022</v>
      </c>
      <c r="M63" s="115"/>
      <c r="N63" s="133"/>
      <c r="O63" s="115"/>
      <c r="P63" s="115"/>
      <c r="Q63" s="116"/>
      <c r="R63" s="133"/>
      <c r="S63" s="117"/>
      <c r="T63" s="115"/>
      <c r="U63" s="116"/>
      <c r="V63" s="116"/>
      <c r="W63" s="133"/>
      <c r="X63" s="115"/>
      <c r="Y63" s="133"/>
    </row>
    <row r="64" spans="1:25" ht="17" customHeight="1">
      <c r="A64" s="131" t="s">
        <v>820</v>
      </c>
      <c r="B64" s="131" t="s">
        <v>821</v>
      </c>
      <c r="C64" s="131">
        <v>946.47</v>
      </c>
      <c r="D64" s="131">
        <v>-0.14000000000000001</v>
      </c>
      <c r="E64" s="131">
        <v>16.989999999999998</v>
      </c>
      <c r="F64" s="131">
        <v>9.3699999999999992</v>
      </c>
      <c r="G64" s="131">
        <v>0.28000000000000003</v>
      </c>
      <c r="H64" s="131">
        <v>1.1000000000000001</v>
      </c>
      <c r="I64" s="131">
        <v>0.03</v>
      </c>
      <c r="J64" s="132">
        <v>39701</v>
      </c>
      <c r="K64" s="133" t="s">
        <v>458</v>
      </c>
      <c r="L64" s="126">
        <f t="shared" si="0"/>
        <v>0.11739594450373535</v>
      </c>
      <c r="M64" s="115"/>
      <c r="N64" s="133"/>
      <c r="O64" s="115"/>
      <c r="P64" s="115"/>
      <c r="Q64" s="116"/>
      <c r="R64" s="133"/>
      <c r="S64" s="117"/>
      <c r="T64" s="115"/>
      <c r="U64" s="116"/>
      <c r="V64" s="116"/>
      <c r="W64" s="133"/>
      <c r="X64" s="115"/>
      <c r="Y64" s="133"/>
    </row>
    <row r="65" spans="1:25" ht="17" customHeight="1">
      <c r="A65" s="131" t="s">
        <v>822</v>
      </c>
      <c r="B65" s="131" t="s">
        <v>42</v>
      </c>
      <c r="C65" s="131">
        <v>4882.16</v>
      </c>
      <c r="D65" s="131">
        <v>-0.39</v>
      </c>
      <c r="E65" s="131">
        <v>17.13</v>
      </c>
      <c r="F65" s="131">
        <v>25.51</v>
      </c>
      <c r="G65" s="131">
        <v>0.14000000000000001</v>
      </c>
      <c r="H65" s="131">
        <v>1.76</v>
      </c>
      <c r="I65" s="131">
        <v>0.04</v>
      </c>
      <c r="J65" s="132">
        <v>39097</v>
      </c>
      <c r="K65" s="133" t="s">
        <v>458</v>
      </c>
      <c r="L65" s="126">
        <f t="shared" si="0"/>
        <v>6.8992551940415522E-2</v>
      </c>
      <c r="M65" s="115"/>
      <c r="N65" s="133"/>
      <c r="O65" s="115"/>
      <c r="P65" s="115"/>
      <c r="Q65" s="116"/>
      <c r="R65" s="133"/>
      <c r="S65" s="117"/>
      <c r="T65" s="115"/>
      <c r="U65" s="116"/>
      <c r="V65" s="116"/>
      <c r="W65" s="133"/>
      <c r="X65" s="115"/>
      <c r="Y65" s="133"/>
    </row>
    <row r="66" spans="1:25" ht="17" customHeight="1">
      <c r="A66" s="131" t="s">
        <v>460</v>
      </c>
      <c r="B66" s="131" t="s">
        <v>461</v>
      </c>
      <c r="C66" s="131">
        <v>615.82000000000005</v>
      </c>
      <c r="D66" s="131">
        <v>7.0000000000000007E-2</v>
      </c>
      <c r="E66" s="131">
        <v>9.74</v>
      </c>
      <c r="F66" s="131">
        <v>37.57</v>
      </c>
      <c r="G66" s="131">
        <v>0.19</v>
      </c>
      <c r="H66" s="131">
        <v>2.17</v>
      </c>
      <c r="I66" s="131">
        <v>0.04</v>
      </c>
      <c r="J66" s="132">
        <v>36529</v>
      </c>
      <c r="K66" s="133" t="s">
        <v>458</v>
      </c>
      <c r="L66" s="126">
        <f t="shared" ref="L66:L129" si="1">H66/F66</f>
        <v>5.7758850146393398E-2</v>
      </c>
      <c r="M66" s="115"/>
      <c r="N66" s="133"/>
      <c r="O66" s="115"/>
      <c r="P66" s="115"/>
      <c r="Q66" s="116"/>
      <c r="R66" s="133"/>
      <c r="S66" s="117"/>
      <c r="T66" s="115"/>
      <c r="U66" s="116"/>
      <c r="V66" s="116"/>
      <c r="W66" s="133"/>
      <c r="X66" s="115"/>
      <c r="Y66" s="133"/>
    </row>
    <row r="67" spans="1:25" ht="17" customHeight="1">
      <c r="A67" s="131" t="s">
        <v>548</v>
      </c>
      <c r="B67" s="131" t="s">
        <v>549</v>
      </c>
      <c r="C67" s="131">
        <v>4592.34</v>
      </c>
      <c r="D67" s="131">
        <v>0.34</v>
      </c>
      <c r="E67" s="131">
        <v>6.03</v>
      </c>
      <c r="F67" s="131">
        <v>15.52</v>
      </c>
      <c r="G67" s="131">
        <v>0.09</v>
      </c>
      <c r="H67" s="131">
        <v>1.67</v>
      </c>
      <c r="I67" s="131">
        <v>0.04</v>
      </c>
      <c r="J67" s="132">
        <v>36529</v>
      </c>
      <c r="K67" s="133" t="s">
        <v>458</v>
      </c>
      <c r="L67" s="126">
        <f t="shared" si="1"/>
        <v>0.10760309278350515</v>
      </c>
      <c r="M67" s="115"/>
      <c r="N67" s="133"/>
      <c r="O67" s="115"/>
      <c r="P67" s="115"/>
      <c r="Q67" s="116"/>
      <c r="R67" s="133"/>
      <c r="S67" s="117"/>
      <c r="T67" s="115"/>
      <c r="U67" s="116"/>
      <c r="V67" s="116"/>
      <c r="W67" s="133"/>
      <c r="X67" s="115"/>
      <c r="Y67" s="133"/>
    </row>
    <row r="68" spans="1:25" ht="17" customHeight="1">
      <c r="A68" s="131" t="s">
        <v>823</v>
      </c>
      <c r="B68" s="131" t="s">
        <v>824</v>
      </c>
      <c r="C68" s="131">
        <v>1349.44</v>
      </c>
      <c r="D68" s="131">
        <v>-0.54</v>
      </c>
      <c r="E68" s="131">
        <v>-6.05</v>
      </c>
      <c r="F68" s="131">
        <v>11.72</v>
      </c>
      <c r="G68" s="131">
        <v>0.01</v>
      </c>
      <c r="H68" s="131">
        <v>1.1100000000000001</v>
      </c>
      <c r="I68" s="131">
        <v>0.04</v>
      </c>
      <c r="J68" s="132">
        <v>42024</v>
      </c>
      <c r="K68" s="133" t="s">
        <v>458</v>
      </c>
      <c r="L68" s="126">
        <f t="shared" si="1"/>
        <v>9.4709897610921509E-2</v>
      </c>
      <c r="M68" s="115"/>
      <c r="N68" s="133"/>
      <c r="O68" s="115"/>
      <c r="P68" s="115"/>
      <c r="Q68" s="116"/>
      <c r="R68" s="133"/>
      <c r="S68" s="117"/>
      <c r="T68" s="115"/>
      <c r="U68" s="116"/>
      <c r="V68" s="116"/>
      <c r="W68" s="133"/>
      <c r="X68" s="115"/>
      <c r="Y68" s="133"/>
    </row>
    <row r="69" spans="1:25" ht="17" customHeight="1">
      <c r="A69" s="131" t="s">
        <v>635</v>
      </c>
      <c r="B69" s="131" t="s">
        <v>636</v>
      </c>
      <c r="C69" s="131">
        <v>4309.47</v>
      </c>
      <c r="D69" s="131">
        <v>-0.63</v>
      </c>
      <c r="E69" s="131">
        <v>21.17</v>
      </c>
      <c r="F69" s="131">
        <v>22.23</v>
      </c>
      <c r="G69" s="131">
        <v>0.18</v>
      </c>
      <c r="H69" s="131">
        <v>1.54</v>
      </c>
      <c r="I69" s="131">
        <v>0.04</v>
      </c>
      <c r="J69" s="132">
        <v>36529</v>
      </c>
      <c r="K69" s="133" t="s">
        <v>458</v>
      </c>
      <c r="L69" s="126">
        <f t="shared" si="1"/>
        <v>6.9275753486279804E-2</v>
      </c>
      <c r="M69" s="115"/>
      <c r="N69" s="133"/>
      <c r="O69" s="115"/>
      <c r="P69" s="115"/>
      <c r="Q69" s="116"/>
      <c r="R69" s="133"/>
      <c r="S69" s="117"/>
      <c r="T69" s="115"/>
      <c r="U69" s="116"/>
      <c r="V69" s="116"/>
      <c r="W69" s="133"/>
      <c r="X69" s="115"/>
      <c r="Y69" s="133"/>
    </row>
    <row r="70" spans="1:25" ht="17" customHeight="1">
      <c r="A70" s="131" t="s">
        <v>705</v>
      </c>
      <c r="B70" s="131" t="s">
        <v>706</v>
      </c>
      <c r="C70" s="131">
        <v>715.42</v>
      </c>
      <c r="D70" s="131">
        <v>-0.24</v>
      </c>
      <c r="E70" s="131">
        <v>4.72</v>
      </c>
      <c r="F70" s="131">
        <v>15.7</v>
      </c>
      <c r="G70" s="131">
        <v>0.05</v>
      </c>
      <c r="H70" s="131">
        <v>1.78</v>
      </c>
      <c r="I70" s="131">
        <v>0.04</v>
      </c>
      <c r="J70" s="132">
        <v>36529</v>
      </c>
      <c r="K70" s="133" t="s">
        <v>458</v>
      </c>
      <c r="L70" s="126">
        <f t="shared" si="1"/>
        <v>0.11337579617834395</v>
      </c>
      <c r="M70" s="115"/>
      <c r="N70" s="133"/>
      <c r="O70" s="115"/>
      <c r="P70" s="115"/>
      <c r="Q70" s="116"/>
      <c r="R70" s="133"/>
      <c r="S70" s="117"/>
      <c r="T70" s="115"/>
      <c r="U70" s="116"/>
      <c r="V70" s="116"/>
      <c r="W70" s="133"/>
      <c r="X70" s="115"/>
      <c r="Y70" s="133"/>
    </row>
    <row r="71" spans="1:25" ht="17" customHeight="1">
      <c r="A71" s="131" t="s">
        <v>717</v>
      </c>
      <c r="B71" s="131" t="s">
        <v>718</v>
      </c>
      <c r="C71" s="131">
        <v>5529.7</v>
      </c>
      <c r="D71" s="131">
        <v>-0.09</v>
      </c>
      <c r="E71" s="131">
        <v>25.71</v>
      </c>
      <c r="F71" s="131">
        <v>24.43</v>
      </c>
      <c r="G71" s="131">
        <v>0.33</v>
      </c>
      <c r="H71" s="131">
        <v>1.42</v>
      </c>
      <c r="I71" s="131">
        <v>0.04</v>
      </c>
      <c r="J71" s="132">
        <v>36529</v>
      </c>
      <c r="K71" s="133" t="s">
        <v>458</v>
      </c>
      <c r="L71" s="126">
        <f t="shared" si="1"/>
        <v>5.8125255832992218E-2</v>
      </c>
      <c r="M71" s="115"/>
      <c r="N71" s="133"/>
      <c r="O71" s="115"/>
      <c r="P71" s="115"/>
      <c r="Q71" s="116"/>
      <c r="R71" s="133"/>
      <c r="S71" s="117"/>
      <c r="T71" s="115"/>
      <c r="U71" s="116"/>
      <c r="V71" s="116"/>
      <c r="W71" s="133"/>
      <c r="X71" s="115"/>
      <c r="Y71" s="133"/>
    </row>
    <row r="72" spans="1:25" ht="17" customHeight="1">
      <c r="A72" s="131" t="s">
        <v>825</v>
      </c>
      <c r="B72" s="131" t="s">
        <v>826</v>
      </c>
      <c r="C72" s="131">
        <v>9319.7900000000009</v>
      </c>
      <c r="D72" s="131">
        <v>-0.04</v>
      </c>
      <c r="E72" s="131">
        <v>4.8</v>
      </c>
      <c r="F72" s="131">
        <v>8.52</v>
      </c>
      <c r="G72" s="131">
        <v>0.24</v>
      </c>
      <c r="H72" s="131">
        <v>0.97</v>
      </c>
      <c r="I72" s="131">
        <v>0.04</v>
      </c>
      <c r="J72" s="132">
        <v>38971</v>
      </c>
      <c r="K72" s="133" t="s">
        <v>458</v>
      </c>
      <c r="L72" s="126">
        <f t="shared" si="1"/>
        <v>0.11384976525821597</v>
      </c>
      <c r="M72" s="115"/>
      <c r="N72" s="133"/>
      <c r="O72" s="115"/>
      <c r="P72" s="115"/>
      <c r="Q72" s="116"/>
      <c r="R72" s="133"/>
      <c r="S72" s="117"/>
      <c r="T72" s="115"/>
      <c r="U72" s="116"/>
      <c r="V72" s="116"/>
      <c r="W72" s="133"/>
      <c r="X72" s="115"/>
      <c r="Y72" s="133"/>
    </row>
    <row r="73" spans="1:25" ht="17" customHeight="1">
      <c r="A73" s="131" t="s">
        <v>827</v>
      </c>
      <c r="B73" s="131" t="s">
        <v>828</v>
      </c>
      <c r="C73" s="131">
        <v>3465.42</v>
      </c>
      <c r="D73" s="131">
        <v>-1.85</v>
      </c>
      <c r="E73" s="131">
        <v>6.15</v>
      </c>
      <c r="F73" s="131">
        <v>15.13</v>
      </c>
      <c r="G73" s="131">
        <v>0.23</v>
      </c>
      <c r="H73" s="131">
        <v>1.4</v>
      </c>
      <c r="I73" s="131">
        <v>0.04</v>
      </c>
      <c r="J73" s="132">
        <v>41584</v>
      </c>
      <c r="K73" s="133" t="s">
        <v>458</v>
      </c>
      <c r="L73" s="126">
        <f t="shared" si="1"/>
        <v>9.2531394580304016E-2</v>
      </c>
      <c r="M73" s="115"/>
      <c r="N73" s="133"/>
      <c r="O73" s="115"/>
      <c r="P73" s="115"/>
      <c r="Q73" s="116"/>
      <c r="R73" s="133"/>
      <c r="S73" s="117"/>
      <c r="T73" s="115"/>
      <c r="U73" s="116"/>
      <c r="V73" s="116"/>
      <c r="W73" s="133"/>
      <c r="X73" s="115"/>
      <c r="Y73" s="133"/>
    </row>
    <row r="74" spans="1:25" ht="17" customHeight="1">
      <c r="A74" s="131" t="s">
        <v>829</v>
      </c>
      <c r="B74" s="131" t="s">
        <v>830</v>
      </c>
      <c r="C74" s="131">
        <v>2907.06</v>
      </c>
      <c r="D74" s="131">
        <v>0.03</v>
      </c>
      <c r="E74" s="131">
        <v>16.57</v>
      </c>
      <c r="F74" s="131">
        <v>12.66</v>
      </c>
      <c r="G74" s="131">
        <v>0.19</v>
      </c>
      <c r="H74" s="131">
        <v>1.35</v>
      </c>
      <c r="I74" s="131">
        <v>0.05</v>
      </c>
      <c r="J74" s="132">
        <v>36529</v>
      </c>
      <c r="K74" s="133" t="s">
        <v>458</v>
      </c>
      <c r="L74" s="126">
        <f t="shared" si="1"/>
        <v>0.1066350710900474</v>
      </c>
      <c r="M74" s="115"/>
      <c r="N74" s="133"/>
      <c r="O74" s="115"/>
      <c r="P74" s="115"/>
      <c r="Q74" s="116"/>
      <c r="R74" s="133"/>
      <c r="S74" s="117"/>
      <c r="T74" s="115"/>
      <c r="U74" s="116"/>
      <c r="V74" s="116"/>
      <c r="W74" s="133"/>
      <c r="X74" s="115"/>
      <c r="Y74" s="133"/>
    </row>
    <row r="75" spans="1:25" ht="17" customHeight="1">
      <c r="A75" s="131" t="s">
        <v>831</v>
      </c>
      <c r="B75" s="131" t="s">
        <v>192</v>
      </c>
      <c r="C75" s="131">
        <v>26913.919999999998</v>
      </c>
      <c r="D75" s="131">
        <v>-0.28999999999999998</v>
      </c>
      <c r="E75" s="131">
        <v>4.13</v>
      </c>
      <c r="F75" s="131">
        <v>9.68</v>
      </c>
      <c r="G75" s="131">
        <v>0.25</v>
      </c>
      <c r="H75" s="131">
        <v>1.03</v>
      </c>
      <c r="I75" s="131">
        <v>0.05</v>
      </c>
      <c r="J75" s="132">
        <v>37438</v>
      </c>
      <c r="K75" s="133" t="s">
        <v>458</v>
      </c>
      <c r="L75" s="126">
        <f t="shared" si="1"/>
        <v>0.10640495867768596</v>
      </c>
      <c r="M75" s="115"/>
      <c r="N75" s="133"/>
      <c r="O75" s="115"/>
      <c r="P75" s="115"/>
      <c r="Q75" s="116"/>
      <c r="R75" s="133"/>
      <c r="S75" s="117"/>
      <c r="T75" s="115"/>
      <c r="U75" s="116"/>
      <c r="V75" s="116"/>
      <c r="W75" s="133"/>
      <c r="X75" s="115"/>
      <c r="Y75" s="133"/>
    </row>
    <row r="76" spans="1:25" ht="17" customHeight="1">
      <c r="A76" s="131" t="s">
        <v>832</v>
      </c>
      <c r="B76" s="131" t="s">
        <v>833</v>
      </c>
      <c r="C76" s="131">
        <v>3786.41</v>
      </c>
      <c r="D76" s="131">
        <v>0.6</v>
      </c>
      <c r="E76" s="131">
        <v>23.04</v>
      </c>
      <c r="F76" s="131">
        <v>11.82</v>
      </c>
      <c r="G76" s="131">
        <v>0.11</v>
      </c>
      <c r="H76" s="131">
        <v>1.42</v>
      </c>
      <c r="I76" s="131">
        <v>0.05</v>
      </c>
      <c r="J76" s="132">
        <v>43682</v>
      </c>
      <c r="K76" s="133" t="s">
        <v>458</v>
      </c>
      <c r="L76" s="126">
        <f t="shared" si="1"/>
        <v>0.12013536379018612</v>
      </c>
      <c r="M76" s="115"/>
      <c r="N76" s="133"/>
      <c r="O76" s="115"/>
      <c r="P76" s="115"/>
      <c r="Q76" s="116"/>
      <c r="R76" s="133"/>
      <c r="S76" s="117"/>
      <c r="T76" s="115"/>
      <c r="U76" s="116"/>
      <c r="V76" s="116"/>
      <c r="W76" s="133"/>
      <c r="X76" s="115"/>
      <c r="Y76" s="133"/>
    </row>
    <row r="77" spans="1:25" ht="17" customHeight="1">
      <c r="A77" s="131" t="s">
        <v>502</v>
      </c>
      <c r="B77" s="131" t="s">
        <v>503</v>
      </c>
      <c r="C77" s="131">
        <v>2467.4899999999998</v>
      </c>
      <c r="D77" s="131">
        <v>-0.08</v>
      </c>
      <c r="E77" s="131">
        <v>13.38</v>
      </c>
      <c r="F77" s="131">
        <v>19.54</v>
      </c>
      <c r="G77" s="131">
        <v>0.15</v>
      </c>
      <c r="H77" s="131">
        <v>1.72</v>
      </c>
      <c r="I77" s="131">
        <v>0.05</v>
      </c>
      <c r="J77" s="132">
        <v>36529</v>
      </c>
      <c r="K77" s="133" t="s">
        <v>458</v>
      </c>
      <c r="L77" s="126">
        <f t="shared" si="1"/>
        <v>8.8024564994882301E-2</v>
      </c>
      <c r="M77" s="115"/>
      <c r="N77" s="133"/>
      <c r="O77" s="115"/>
      <c r="P77" s="115"/>
      <c r="Q77" s="116"/>
      <c r="R77" s="133"/>
      <c r="S77" s="117"/>
      <c r="T77" s="115"/>
      <c r="U77" s="116"/>
      <c r="V77" s="116"/>
      <c r="W77" s="133"/>
      <c r="X77" s="115"/>
      <c r="Y77" s="133"/>
    </row>
    <row r="78" spans="1:25" ht="17" customHeight="1">
      <c r="A78" s="131" t="s">
        <v>834</v>
      </c>
      <c r="B78" s="131" t="s">
        <v>835</v>
      </c>
      <c r="C78" s="131">
        <v>4390.17</v>
      </c>
      <c r="D78" s="131">
        <v>-0.3</v>
      </c>
      <c r="E78" s="131">
        <v>16.89</v>
      </c>
      <c r="F78" s="131">
        <v>31.09</v>
      </c>
      <c r="G78" s="131">
        <v>0.38</v>
      </c>
      <c r="H78" s="131">
        <v>1.86</v>
      </c>
      <c r="I78" s="131">
        <v>0.05</v>
      </c>
      <c r="J78" s="132">
        <v>41157</v>
      </c>
      <c r="K78" s="133" t="s">
        <v>458</v>
      </c>
      <c r="L78" s="126">
        <f t="shared" si="1"/>
        <v>5.9826310710839499E-2</v>
      </c>
      <c r="M78" s="115"/>
      <c r="N78" s="133"/>
      <c r="O78" s="115"/>
      <c r="P78" s="115"/>
      <c r="Q78" s="116"/>
      <c r="R78" s="133"/>
      <c r="S78" s="117"/>
      <c r="T78" s="115"/>
      <c r="U78" s="116"/>
      <c r="V78" s="116"/>
      <c r="W78" s="133"/>
      <c r="X78" s="115"/>
      <c r="Y78" s="133"/>
    </row>
    <row r="79" spans="1:25" ht="17" customHeight="1">
      <c r="A79" s="131" t="s">
        <v>836</v>
      </c>
      <c r="B79" s="131" t="s">
        <v>837</v>
      </c>
      <c r="C79" s="131">
        <v>5765.92</v>
      </c>
      <c r="D79" s="131">
        <v>-0.41</v>
      </c>
      <c r="E79" s="131">
        <v>15.47</v>
      </c>
      <c r="F79" s="131">
        <v>25.51</v>
      </c>
      <c r="G79" s="131">
        <v>0.15</v>
      </c>
      <c r="H79" s="131">
        <v>1.76</v>
      </c>
      <c r="I79" s="131">
        <v>0.05</v>
      </c>
      <c r="J79" s="132">
        <v>40707</v>
      </c>
      <c r="K79" s="133" t="s">
        <v>458</v>
      </c>
      <c r="L79" s="126">
        <f t="shared" si="1"/>
        <v>6.8992551940415522E-2</v>
      </c>
      <c r="M79" s="115"/>
      <c r="N79" s="133"/>
      <c r="O79" s="115"/>
      <c r="P79" s="115"/>
      <c r="Q79" s="116"/>
      <c r="R79" s="133"/>
      <c r="S79" s="117"/>
      <c r="T79" s="115"/>
      <c r="U79" s="116"/>
      <c r="V79" s="116"/>
      <c r="W79" s="133"/>
      <c r="X79" s="115"/>
      <c r="Y79" s="133"/>
    </row>
    <row r="80" spans="1:25" ht="17" customHeight="1">
      <c r="A80" s="131" t="s">
        <v>558</v>
      </c>
      <c r="B80" s="131" t="s">
        <v>559</v>
      </c>
      <c r="C80" s="131">
        <v>1856.87</v>
      </c>
      <c r="D80" s="131">
        <v>-0.15</v>
      </c>
      <c r="E80" s="131">
        <v>6.17</v>
      </c>
      <c r="F80" s="131">
        <v>9.19</v>
      </c>
      <c r="G80" s="131">
        <v>0.01</v>
      </c>
      <c r="H80" s="131">
        <v>0.97</v>
      </c>
      <c r="I80" s="131">
        <v>0.05</v>
      </c>
      <c r="J80" s="132">
        <v>36529</v>
      </c>
      <c r="K80" s="133" t="s">
        <v>458</v>
      </c>
      <c r="L80" s="126">
        <f t="shared" si="1"/>
        <v>0.10554951033732318</v>
      </c>
      <c r="M80" s="115"/>
      <c r="N80" s="133"/>
      <c r="O80" s="115"/>
      <c r="P80" s="115"/>
      <c r="Q80" s="116"/>
      <c r="R80" s="133"/>
      <c r="S80" s="117"/>
      <c r="T80" s="115"/>
      <c r="U80" s="116"/>
      <c r="V80" s="116"/>
      <c r="W80" s="133"/>
      <c r="X80" s="115"/>
      <c r="Y80" s="133"/>
    </row>
    <row r="81" spans="1:25" ht="17" customHeight="1">
      <c r="A81" s="131" t="s">
        <v>592</v>
      </c>
      <c r="B81" s="131" t="s">
        <v>593</v>
      </c>
      <c r="C81" s="131">
        <v>778.91</v>
      </c>
      <c r="D81" s="131">
        <v>-0.18</v>
      </c>
      <c r="E81" s="131">
        <v>-13.26</v>
      </c>
      <c r="F81" s="131">
        <v>110.3</v>
      </c>
      <c r="G81" s="131">
        <v>0.89</v>
      </c>
      <c r="H81" s="131">
        <v>1.41</v>
      </c>
      <c r="I81" s="131">
        <v>0.05</v>
      </c>
      <c r="J81" s="132">
        <v>36529</v>
      </c>
      <c r="K81" s="133" t="s">
        <v>458</v>
      </c>
      <c r="L81" s="126">
        <f t="shared" si="1"/>
        <v>1.2783318223028105E-2</v>
      </c>
      <c r="M81" s="115"/>
      <c r="N81" s="133"/>
      <c r="O81" s="115"/>
      <c r="P81" s="115"/>
      <c r="Q81" s="116"/>
      <c r="R81" s="133"/>
      <c r="S81" s="117"/>
      <c r="T81" s="115"/>
      <c r="U81" s="116"/>
      <c r="V81" s="116"/>
      <c r="W81" s="133"/>
      <c r="X81" s="115"/>
      <c r="Y81" s="133"/>
    </row>
    <row r="82" spans="1:25" ht="17" customHeight="1">
      <c r="A82" s="131" t="s">
        <v>838</v>
      </c>
      <c r="B82" s="131" t="s">
        <v>839</v>
      </c>
      <c r="C82" s="131">
        <v>1139.33</v>
      </c>
      <c r="D82" s="131">
        <v>-2.5</v>
      </c>
      <c r="E82" s="131">
        <v>-5.91</v>
      </c>
      <c r="F82" s="131">
        <v>10.37</v>
      </c>
      <c r="G82" s="131">
        <v>0.44</v>
      </c>
      <c r="H82" s="131">
        <v>0.93</v>
      </c>
      <c r="I82" s="131">
        <v>0.05</v>
      </c>
      <c r="J82" s="132">
        <v>42003</v>
      </c>
      <c r="K82" s="133" t="s">
        <v>458</v>
      </c>
      <c r="L82" s="126">
        <f t="shared" si="1"/>
        <v>8.9681774349083906E-2</v>
      </c>
      <c r="M82" s="115"/>
      <c r="N82" s="133"/>
      <c r="O82" s="115"/>
      <c r="P82" s="115"/>
      <c r="Q82" s="116"/>
      <c r="R82" s="133"/>
      <c r="S82" s="117"/>
      <c r="T82" s="115"/>
      <c r="U82" s="116"/>
      <c r="V82" s="116"/>
      <c r="W82" s="133"/>
      <c r="X82" s="115"/>
      <c r="Y82" s="133"/>
    </row>
    <row r="83" spans="1:25" ht="17" customHeight="1">
      <c r="A83" s="131" t="s">
        <v>840</v>
      </c>
      <c r="B83" s="131" t="s">
        <v>56</v>
      </c>
      <c r="C83" s="131">
        <v>4226.17</v>
      </c>
      <c r="D83" s="131">
        <v>-0.21</v>
      </c>
      <c r="E83" s="131">
        <v>10.15</v>
      </c>
      <c r="F83" s="131">
        <v>7.86</v>
      </c>
      <c r="G83" s="131">
        <v>0.35</v>
      </c>
      <c r="H83" s="131">
        <v>1</v>
      </c>
      <c r="I83" s="131">
        <v>0.05</v>
      </c>
      <c r="J83" s="132">
        <v>43577</v>
      </c>
      <c r="K83" s="133" t="s">
        <v>458</v>
      </c>
      <c r="L83" s="126">
        <f t="shared" si="1"/>
        <v>0.1272264631043257</v>
      </c>
      <c r="M83" s="115"/>
      <c r="N83" s="133"/>
      <c r="O83" s="115"/>
      <c r="P83" s="115"/>
      <c r="Q83" s="116"/>
      <c r="R83" s="133"/>
      <c r="S83" s="117"/>
      <c r="T83" s="115"/>
      <c r="U83" s="116"/>
      <c r="V83" s="116"/>
      <c r="W83" s="133"/>
      <c r="X83" s="115"/>
      <c r="Y83" s="133"/>
    </row>
    <row r="84" spans="1:25" ht="17" customHeight="1">
      <c r="A84" s="131" t="s">
        <v>841</v>
      </c>
      <c r="B84" s="131" t="s">
        <v>842</v>
      </c>
      <c r="C84" s="131">
        <v>1052.6500000000001</v>
      </c>
      <c r="D84" s="131">
        <v>-0.06</v>
      </c>
      <c r="E84" s="131">
        <v>12.13</v>
      </c>
      <c r="F84" s="131">
        <v>22.43</v>
      </c>
      <c r="G84" s="131">
        <v>0.21</v>
      </c>
      <c r="H84" s="131">
        <v>1.5</v>
      </c>
      <c r="I84" s="131">
        <v>0.05</v>
      </c>
      <c r="J84" s="132">
        <v>42012</v>
      </c>
      <c r="K84" s="133" t="s">
        <v>458</v>
      </c>
      <c r="L84" s="126">
        <f t="shared" si="1"/>
        <v>6.6874721355327682E-2</v>
      </c>
      <c r="M84" s="115"/>
      <c r="N84" s="133"/>
      <c r="O84" s="115"/>
      <c r="P84" s="115"/>
      <c r="Q84" s="116"/>
      <c r="R84" s="133"/>
      <c r="S84" s="117"/>
      <c r="T84" s="115"/>
      <c r="U84" s="116"/>
      <c r="V84" s="116"/>
      <c r="W84" s="133"/>
      <c r="X84" s="115"/>
      <c r="Y84" s="133"/>
    </row>
    <row r="85" spans="1:25" ht="17" customHeight="1">
      <c r="A85" s="131" t="s">
        <v>843</v>
      </c>
      <c r="B85" s="131" t="s">
        <v>39</v>
      </c>
      <c r="C85" s="131">
        <v>3807.81</v>
      </c>
      <c r="D85" s="131">
        <v>0.91</v>
      </c>
      <c r="E85" s="131">
        <v>27.89</v>
      </c>
      <c r="F85" s="131">
        <v>15.55</v>
      </c>
      <c r="G85" s="131">
        <v>0.09</v>
      </c>
      <c r="H85" s="131">
        <v>1.69</v>
      </c>
      <c r="I85" s="131">
        <v>0.06</v>
      </c>
      <c r="J85" s="132">
        <v>39097</v>
      </c>
      <c r="K85" s="133" t="s">
        <v>458</v>
      </c>
      <c r="L85" s="126">
        <f t="shared" si="1"/>
        <v>0.10868167202572346</v>
      </c>
      <c r="M85" s="115"/>
      <c r="N85" s="133"/>
      <c r="O85" s="115"/>
      <c r="P85" s="115"/>
      <c r="Q85" s="116"/>
      <c r="R85" s="133"/>
      <c r="S85" s="117"/>
      <c r="T85" s="115"/>
      <c r="U85" s="116"/>
      <c r="V85" s="116"/>
      <c r="W85" s="133"/>
      <c r="X85" s="115"/>
      <c r="Y85" s="133"/>
    </row>
    <row r="86" spans="1:25" ht="17" customHeight="1">
      <c r="A86" s="131" t="s">
        <v>498</v>
      </c>
      <c r="B86" s="131" t="s">
        <v>499</v>
      </c>
      <c r="C86" s="131">
        <v>4037.7</v>
      </c>
      <c r="D86" s="131">
        <v>0.76</v>
      </c>
      <c r="E86" s="131">
        <v>15.33</v>
      </c>
      <c r="F86" s="131">
        <v>29.95</v>
      </c>
      <c r="G86" s="131">
        <v>0.16</v>
      </c>
      <c r="H86" s="131">
        <v>2.0299999999999998</v>
      </c>
      <c r="I86" s="131">
        <v>0.06</v>
      </c>
      <c r="J86" s="132">
        <v>36529</v>
      </c>
      <c r="K86" s="133" t="s">
        <v>458</v>
      </c>
      <c r="L86" s="126">
        <f t="shared" si="1"/>
        <v>6.7779632721201993E-2</v>
      </c>
      <c r="M86" s="115"/>
      <c r="N86" s="133"/>
      <c r="O86" s="115"/>
      <c r="P86" s="115"/>
      <c r="Q86" s="116"/>
      <c r="R86" s="133"/>
      <c r="S86" s="117"/>
      <c r="T86" s="115"/>
      <c r="U86" s="116"/>
      <c r="V86" s="116"/>
      <c r="W86" s="133"/>
      <c r="X86" s="115"/>
      <c r="Y86" s="133"/>
    </row>
    <row r="87" spans="1:25" ht="17" customHeight="1">
      <c r="A87" s="131" t="s">
        <v>564</v>
      </c>
      <c r="B87" s="131" t="s">
        <v>565</v>
      </c>
      <c r="C87" s="131">
        <v>7081.94</v>
      </c>
      <c r="D87" s="131">
        <v>-0.47</v>
      </c>
      <c r="E87" s="131">
        <v>16.309999999999999</v>
      </c>
      <c r="F87" s="131">
        <v>60.58</v>
      </c>
      <c r="G87" s="131">
        <v>0.37</v>
      </c>
      <c r="H87" s="131">
        <v>2.59</v>
      </c>
      <c r="I87" s="131">
        <v>0.06</v>
      </c>
      <c r="J87" s="132">
        <v>39265</v>
      </c>
      <c r="K87" s="133" t="s">
        <v>458</v>
      </c>
      <c r="L87" s="126">
        <f t="shared" si="1"/>
        <v>4.2753383955100692E-2</v>
      </c>
      <c r="M87" s="115"/>
      <c r="N87" s="133"/>
      <c r="O87" s="115"/>
      <c r="P87" s="115"/>
      <c r="Q87" s="116"/>
      <c r="R87" s="133"/>
      <c r="S87" s="117"/>
      <c r="T87" s="115"/>
      <c r="U87" s="116"/>
      <c r="V87" s="116"/>
      <c r="W87" s="133"/>
      <c r="X87" s="115"/>
      <c r="Y87" s="133"/>
    </row>
    <row r="88" spans="1:25" ht="17" customHeight="1">
      <c r="A88" s="131" t="s">
        <v>844</v>
      </c>
      <c r="B88" s="131" t="s">
        <v>108</v>
      </c>
      <c r="C88" s="131">
        <v>4231.1400000000003</v>
      </c>
      <c r="D88" s="131">
        <v>0.35</v>
      </c>
      <c r="E88" s="131">
        <v>14.65</v>
      </c>
      <c r="F88" s="131">
        <v>26.48</v>
      </c>
      <c r="G88" s="131">
        <v>0.76</v>
      </c>
      <c r="H88" s="131">
        <v>1.9</v>
      </c>
      <c r="I88" s="131">
        <v>0.06</v>
      </c>
      <c r="J88" s="132">
        <v>40757</v>
      </c>
      <c r="K88" s="133" t="s">
        <v>458</v>
      </c>
      <c r="L88" s="126">
        <f t="shared" si="1"/>
        <v>7.175226586102719E-2</v>
      </c>
      <c r="M88" s="115"/>
      <c r="N88" s="133"/>
      <c r="O88" s="115"/>
      <c r="P88" s="115"/>
      <c r="Q88" s="116"/>
      <c r="R88" s="133"/>
      <c r="S88" s="117"/>
      <c r="T88" s="115"/>
      <c r="U88" s="116"/>
      <c r="V88" s="116"/>
      <c r="W88" s="133"/>
      <c r="X88" s="115"/>
      <c r="Y88" s="133"/>
    </row>
    <row r="89" spans="1:25" ht="17" customHeight="1">
      <c r="A89" s="131" t="s">
        <v>845</v>
      </c>
      <c r="B89" s="131" t="s">
        <v>846</v>
      </c>
      <c r="C89" s="131">
        <v>5416.21</v>
      </c>
      <c r="D89" s="131">
        <v>-0.47</v>
      </c>
      <c r="E89" s="131">
        <v>12.28</v>
      </c>
      <c r="F89" s="131">
        <v>8.8800000000000008</v>
      </c>
      <c r="G89" s="131">
        <v>0.05</v>
      </c>
      <c r="H89" s="131">
        <v>1.36</v>
      </c>
      <c r="I89" s="131">
        <v>0.06</v>
      </c>
      <c r="J89" s="132">
        <v>41470</v>
      </c>
      <c r="K89" s="133" t="s">
        <v>458</v>
      </c>
      <c r="L89" s="126">
        <f t="shared" si="1"/>
        <v>0.15315315315315314</v>
      </c>
      <c r="M89" s="115"/>
      <c r="N89" s="133"/>
      <c r="O89" s="115"/>
      <c r="P89" s="115"/>
      <c r="Q89" s="116"/>
      <c r="R89" s="133"/>
      <c r="S89" s="117"/>
      <c r="T89" s="115"/>
      <c r="U89" s="116"/>
      <c r="V89" s="116"/>
      <c r="W89" s="133"/>
      <c r="X89" s="115"/>
      <c r="Y89" s="133"/>
    </row>
    <row r="90" spans="1:25" ht="17" customHeight="1">
      <c r="A90" s="131" t="s">
        <v>616</v>
      </c>
      <c r="B90" s="131" t="s">
        <v>617</v>
      </c>
      <c r="C90" s="131">
        <v>1947.95</v>
      </c>
      <c r="D90" s="131">
        <v>0.63</v>
      </c>
      <c r="E90" s="131">
        <v>1.94</v>
      </c>
      <c r="F90" s="131">
        <v>18.920000000000002</v>
      </c>
      <c r="G90" s="131">
        <v>0.05</v>
      </c>
      <c r="H90" s="131">
        <v>1.42</v>
      </c>
      <c r="I90" s="131">
        <v>0.06</v>
      </c>
      <c r="J90" s="132">
        <v>36529</v>
      </c>
      <c r="K90" s="133" t="s">
        <v>458</v>
      </c>
      <c r="L90" s="126">
        <f t="shared" si="1"/>
        <v>7.5052854122621554E-2</v>
      </c>
      <c r="M90" s="115"/>
      <c r="N90" s="133"/>
      <c r="O90" s="115"/>
      <c r="P90" s="115"/>
      <c r="Q90" s="116"/>
      <c r="R90" s="133"/>
      <c r="S90" s="117"/>
      <c r="T90" s="115"/>
      <c r="U90" s="116"/>
      <c r="V90" s="116"/>
      <c r="W90" s="133"/>
      <c r="X90" s="115"/>
      <c r="Y90" s="133"/>
    </row>
    <row r="91" spans="1:25" ht="17" customHeight="1">
      <c r="A91" s="131" t="s">
        <v>669</v>
      </c>
      <c r="B91" s="131" t="s">
        <v>670</v>
      </c>
      <c r="C91" s="131">
        <v>4250.1099999999997</v>
      </c>
      <c r="D91" s="131">
        <v>-0.53</v>
      </c>
      <c r="E91" s="131">
        <v>0.6</v>
      </c>
      <c r="F91" s="131">
        <v>29.19</v>
      </c>
      <c r="G91" s="131">
        <v>0.18</v>
      </c>
      <c r="H91" s="131">
        <v>1.67</v>
      </c>
      <c r="I91" s="131">
        <v>0.06</v>
      </c>
      <c r="J91" s="132">
        <v>36529</v>
      </c>
      <c r="K91" s="133" t="s">
        <v>458</v>
      </c>
      <c r="L91" s="126">
        <f t="shared" si="1"/>
        <v>5.7211373758136341E-2</v>
      </c>
      <c r="M91" s="115"/>
      <c r="N91" s="133"/>
      <c r="O91" s="115"/>
      <c r="P91" s="115"/>
      <c r="Q91" s="116"/>
      <c r="R91" s="133"/>
      <c r="S91" s="117"/>
      <c r="T91" s="115"/>
      <c r="U91" s="116"/>
      <c r="V91" s="116"/>
      <c r="W91" s="133"/>
      <c r="X91" s="115"/>
      <c r="Y91" s="133"/>
    </row>
    <row r="92" spans="1:25" ht="17" customHeight="1">
      <c r="A92" s="131" t="s">
        <v>699</v>
      </c>
      <c r="B92" s="131" t="s">
        <v>700</v>
      </c>
      <c r="C92" s="131">
        <v>4242.8</v>
      </c>
      <c r="D92" s="131">
        <v>-0.32</v>
      </c>
      <c r="E92" s="131">
        <v>15.56</v>
      </c>
      <c r="F92" s="131">
        <v>51.52</v>
      </c>
      <c r="G92" s="131">
        <v>0.84</v>
      </c>
      <c r="H92" s="131">
        <v>1.57</v>
      </c>
      <c r="I92" s="131">
        <v>0.06</v>
      </c>
      <c r="J92" s="132">
        <v>37313</v>
      </c>
      <c r="K92" s="133" t="s">
        <v>458</v>
      </c>
      <c r="L92" s="126">
        <f t="shared" si="1"/>
        <v>3.0473602484472048E-2</v>
      </c>
      <c r="M92" s="115"/>
      <c r="N92" s="133"/>
      <c r="O92" s="115"/>
      <c r="P92" s="115"/>
      <c r="Q92" s="116"/>
      <c r="R92" s="133"/>
      <c r="S92" s="117"/>
      <c r="T92" s="115"/>
      <c r="U92" s="116"/>
      <c r="V92" s="116"/>
      <c r="W92" s="133"/>
      <c r="X92" s="115"/>
      <c r="Y92" s="133"/>
    </row>
    <row r="93" spans="1:25" ht="17" customHeight="1">
      <c r="A93" s="131" t="s">
        <v>847</v>
      </c>
      <c r="B93" s="131" t="s">
        <v>848</v>
      </c>
      <c r="C93" s="131">
        <v>1504.95</v>
      </c>
      <c r="D93" s="131">
        <v>0.14000000000000001</v>
      </c>
      <c r="E93" s="131">
        <v>15.13</v>
      </c>
      <c r="F93" s="131">
        <v>11.28</v>
      </c>
      <c r="G93" s="131">
        <v>0.12</v>
      </c>
      <c r="H93" s="131">
        <v>1.27</v>
      </c>
      <c r="I93" s="131">
        <v>0.06</v>
      </c>
      <c r="J93" s="132">
        <v>42501</v>
      </c>
      <c r="K93" s="133" t="s">
        <v>458</v>
      </c>
      <c r="L93" s="126">
        <f t="shared" si="1"/>
        <v>0.11258865248226951</v>
      </c>
      <c r="M93" s="115"/>
      <c r="N93" s="133"/>
      <c r="O93" s="115"/>
      <c r="P93" s="115"/>
      <c r="Q93" s="116"/>
      <c r="R93" s="133"/>
      <c r="S93" s="117"/>
      <c r="T93" s="115"/>
      <c r="U93" s="116"/>
      <c r="V93" s="116"/>
      <c r="W93" s="133"/>
      <c r="X93" s="115"/>
      <c r="Y93" s="133"/>
    </row>
    <row r="94" spans="1:25" ht="17" customHeight="1">
      <c r="A94" s="131" t="s">
        <v>849</v>
      </c>
      <c r="B94" s="131" t="s">
        <v>850</v>
      </c>
      <c r="C94" s="131">
        <v>6681.88</v>
      </c>
      <c r="D94" s="131">
        <v>1.01</v>
      </c>
      <c r="E94" s="131">
        <v>20.76</v>
      </c>
      <c r="F94" s="131">
        <v>18.760000000000002</v>
      </c>
      <c r="G94" s="131">
        <v>0.31</v>
      </c>
      <c r="H94" s="131">
        <v>1.92</v>
      </c>
      <c r="I94" s="131">
        <v>0.06</v>
      </c>
      <c r="J94" s="132">
        <v>40298</v>
      </c>
      <c r="K94" s="133" t="s">
        <v>458</v>
      </c>
      <c r="L94" s="126">
        <f t="shared" si="1"/>
        <v>0.10234541577825158</v>
      </c>
      <c r="M94" s="115"/>
      <c r="N94" s="133"/>
      <c r="O94" s="115"/>
      <c r="P94" s="115"/>
      <c r="Q94" s="116"/>
      <c r="R94" s="133"/>
      <c r="S94" s="117"/>
      <c r="T94" s="115"/>
      <c r="U94" s="116"/>
      <c r="V94" s="116"/>
      <c r="W94" s="133"/>
      <c r="X94" s="115"/>
      <c r="Y94" s="133"/>
    </row>
    <row r="95" spans="1:25" ht="17" customHeight="1">
      <c r="A95" s="131" t="s">
        <v>851</v>
      </c>
      <c r="B95" s="131" t="s">
        <v>852</v>
      </c>
      <c r="C95" s="131">
        <v>4901.83</v>
      </c>
      <c r="D95" s="131">
        <v>-0.06</v>
      </c>
      <c r="E95" s="131">
        <v>10.210000000000001</v>
      </c>
      <c r="F95" s="131">
        <v>10.93</v>
      </c>
      <c r="G95" s="131">
        <v>0.17</v>
      </c>
      <c r="H95" s="131">
        <v>1.28</v>
      </c>
      <c r="I95" s="131">
        <v>0.06</v>
      </c>
      <c r="J95" s="132">
        <v>38716</v>
      </c>
      <c r="K95" s="133" t="s">
        <v>458</v>
      </c>
      <c r="L95" s="126">
        <f t="shared" si="1"/>
        <v>0.1171088746569076</v>
      </c>
      <c r="M95" s="115"/>
      <c r="N95" s="133"/>
      <c r="O95" s="115"/>
      <c r="P95" s="115"/>
      <c r="Q95" s="116"/>
      <c r="R95" s="133"/>
      <c r="S95" s="117"/>
      <c r="T95" s="115"/>
      <c r="U95" s="116"/>
      <c r="V95" s="116"/>
      <c r="W95" s="133"/>
      <c r="X95" s="115"/>
      <c r="Y95" s="133"/>
    </row>
    <row r="96" spans="1:25" ht="17" customHeight="1">
      <c r="A96" s="131" t="s">
        <v>853</v>
      </c>
      <c r="B96" s="131" t="s">
        <v>854</v>
      </c>
      <c r="C96" s="131">
        <v>3331.58</v>
      </c>
      <c r="D96" s="131">
        <v>-0.3</v>
      </c>
      <c r="E96" s="131">
        <v>23.52</v>
      </c>
      <c r="F96" s="131">
        <v>8.58</v>
      </c>
      <c r="G96" s="131">
        <v>0.3</v>
      </c>
      <c r="H96" s="131">
        <v>1.04</v>
      </c>
      <c r="I96" s="131">
        <v>0.06</v>
      </c>
      <c r="J96" s="132">
        <v>40212</v>
      </c>
      <c r="K96" s="133" t="s">
        <v>458</v>
      </c>
      <c r="L96" s="126">
        <f t="shared" si="1"/>
        <v>0.12121212121212122</v>
      </c>
      <c r="M96" s="115"/>
      <c r="N96" s="133"/>
      <c r="O96" s="115"/>
      <c r="P96" s="115"/>
      <c r="Q96" s="116"/>
      <c r="R96" s="133"/>
      <c r="S96" s="117"/>
      <c r="T96" s="115"/>
      <c r="U96" s="116"/>
      <c r="V96" s="116"/>
      <c r="W96" s="133"/>
      <c r="X96" s="115"/>
      <c r="Y96" s="133"/>
    </row>
    <row r="97" spans="1:25" ht="17" customHeight="1">
      <c r="A97" s="131" t="s">
        <v>855</v>
      </c>
      <c r="B97" s="131" t="s">
        <v>856</v>
      </c>
      <c r="C97" s="131">
        <v>3858.07</v>
      </c>
      <c r="D97" s="131">
        <v>-1.38</v>
      </c>
      <c r="E97" s="131">
        <v>18.899999999999999</v>
      </c>
      <c r="F97" s="131">
        <v>16.63</v>
      </c>
      <c r="G97" s="131">
        <v>0.23</v>
      </c>
      <c r="H97" s="131">
        <v>1.61</v>
      </c>
      <c r="I97" s="131">
        <v>0.06</v>
      </c>
      <c r="J97" s="132">
        <v>36529</v>
      </c>
      <c r="K97" s="133" t="s">
        <v>458</v>
      </c>
      <c r="L97" s="126">
        <f t="shared" si="1"/>
        <v>9.6812988574864714E-2</v>
      </c>
      <c r="M97" s="115"/>
      <c r="N97" s="133"/>
      <c r="O97" s="115"/>
      <c r="P97" s="115"/>
      <c r="Q97" s="116"/>
      <c r="R97" s="133"/>
      <c r="S97" s="117"/>
      <c r="T97" s="115"/>
      <c r="U97" s="116"/>
      <c r="V97" s="116"/>
      <c r="W97" s="133"/>
      <c r="X97" s="115"/>
      <c r="Y97" s="133"/>
    </row>
    <row r="98" spans="1:25" ht="17" customHeight="1">
      <c r="A98" s="131" t="s">
        <v>857</v>
      </c>
      <c r="B98" s="131" t="s">
        <v>858</v>
      </c>
      <c r="C98" s="131">
        <v>1411.59</v>
      </c>
      <c r="D98" s="131">
        <v>0.34</v>
      </c>
      <c r="E98" s="131">
        <v>15.92</v>
      </c>
      <c r="F98" s="131">
        <v>43.58</v>
      </c>
      <c r="G98" s="131">
        <v>0.04</v>
      </c>
      <c r="H98" s="131">
        <v>2.86</v>
      </c>
      <c r="I98" s="131">
        <v>0.06</v>
      </c>
      <c r="J98" s="132">
        <v>42599</v>
      </c>
      <c r="K98" s="133" t="s">
        <v>458</v>
      </c>
      <c r="L98" s="126">
        <f t="shared" si="1"/>
        <v>6.5626434144102797E-2</v>
      </c>
      <c r="M98" s="115"/>
      <c r="N98" s="133"/>
      <c r="O98" s="115"/>
      <c r="P98" s="115"/>
      <c r="Q98" s="116"/>
      <c r="R98" s="133"/>
      <c r="S98" s="117"/>
      <c r="T98" s="115"/>
      <c r="U98" s="116"/>
      <c r="V98" s="116"/>
      <c r="W98" s="133"/>
      <c r="X98" s="115"/>
      <c r="Y98" s="133"/>
    </row>
    <row r="99" spans="1:25" ht="17" customHeight="1">
      <c r="A99" s="131" t="s">
        <v>859</v>
      </c>
      <c r="B99" s="131" t="s">
        <v>29</v>
      </c>
      <c r="C99" s="131">
        <v>2946.57</v>
      </c>
      <c r="D99" s="131">
        <v>-0.16</v>
      </c>
      <c r="E99" s="131">
        <v>28.5</v>
      </c>
      <c r="F99" s="131">
        <v>9.5</v>
      </c>
      <c r="G99" s="131">
        <v>0.2</v>
      </c>
      <c r="H99" s="131">
        <v>1.1599999999999999</v>
      </c>
      <c r="I99" s="131">
        <v>7.0000000000000007E-2</v>
      </c>
      <c r="J99" s="132">
        <v>37988</v>
      </c>
      <c r="K99" s="133" t="s">
        <v>458</v>
      </c>
      <c r="L99" s="126">
        <f t="shared" si="1"/>
        <v>0.12210526315789473</v>
      </c>
      <c r="M99" s="115"/>
      <c r="N99" s="133"/>
      <c r="O99" s="115"/>
      <c r="P99" s="115"/>
      <c r="Q99" s="116"/>
      <c r="R99" s="133"/>
      <c r="S99" s="117"/>
      <c r="T99" s="115"/>
      <c r="U99" s="116"/>
      <c r="V99" s="116"/>
      <c r="W99" s="133"/>
      <c r="X99" s="115"/>
      <c r="Y99" s="133"/>
    </row>
    <row r="100" spans="1:25" ht="17" customHeight="1">
      <c r="A100" s="131" t="s">
        <v>504</v>
      </c>
      <c r="B100" s="131" t="s">
        <v>505</v>
      </c>
      <c r="C100" s="131">
        <v>2662.4</v>
      </c>
      <c r="D100" s="131">
        <v>-0.11</v>
      </c>
      <c r="E100" s="131">
        <v>8.91</v>
      </c>
      <c r="F100" s="131">
        <v>33.979999999999997</v>
      </c>
      <c r="G100" s="131">
        <v>0.31</v>
      </c>
      <c r="H100" s="131">
        <v>1.89</v>
      </c>
      <c r="I100" s="131">
        <v>7.0000000000000007E-2</v>
      </c>
      <c r="J100" s="132">
        <v>36529</v>
      </c>
      <c r="K100" s="133" t="s">
        <v>458</v>
      </c>
      <c r="L100" s="126">
        <f t="shared" si="1"/>
        <v>5.562095350206004E-2</v>
      </c>
      <c r="M100" s="115"/>
      <c r="N100" s="133"/>
      <c r="O100" s="115"/>
      <c r="P100" s="115"/>
      <c r="Q100" s="116"/>
      <c r="R100" s="133"/>
      <c r="S100" s="117"/>
      <c r="T100" s="115"/>
      <c r="U100" s="116"/>
      <c r="V100" s="116"/>
      <c r="W100" s="133"/>
      <c r="X100" s="115"/>
      <c r="Y100" s="133"/>
    </row>
    <row r="101" spans="1:25" ht="17" customHeight="1">
      <c r="A101" s="131" t="s">
        <v>508</v>
      </c>
      <c r="B101" s="131" t="s">
        <v>509</v>
      </c>
      <c r="C101" s="131">
        <v>2058.59</v>
      </c>
      <c r="D101" s="131">
        <v>-2.82</v>
      </c>
      <c r="E101" s="131">
        <v>-5.5</v>
      </c>
      <c r="F101" s="131">
        <v>9.39</v>
      </c>
      <c r="G101" s="131">
        <v>0.19</v>
      </c>
      <c r="H101" s="131">
        <v>0.89</v>
      </c>
      <c r="I101" s="131">
        <v>7.0000000000000007E-2</v>
      </c>
      <c r="J101" s="132">
        <v>36529</v>
      </c>
      <c r="K101" s="133" t="s">
        <v>458</v>
      </c>
      <c r="L101" s="126">
        <f t="shared" si="1"/>
        <v>9.4781682641107562E-2</v>
      </c>
      <c r="M101" s="115"/>
      <c r="N101" s="133"/>
      <c r="O101" s="115"/>
      <c r="P101" s="115"/>
      <c r="Q101" s="116"/>
      <c r="R101" s="133"/>
      <c r="S101" s="117"/>
      <c r="T101" s="115"/>
      <c r="U101" s="116"/>
      <c r="V101" s="116"/>
      <c r="W101" s="133"/>
      <c r="X101" s="115"/>
      <c r="Y101" s="133"/>
    </row>
    <row r="102" spans="1:25" ht="17" customHeight="1">
      <c r="A102" s="131" t="s">
        <v>860</v>
      </c>
      <c r="B102" s="131" t="s">
        <v>861</v>
      </c>
      <c r="C102" s="131">
        <v>8964.5400000000009</v>
      </c>
      <c r="D102" s="131">
        <v>0.22</v>
      </c>
      <c r="E102" s="131">
        <v>22.2</v>
      </c>
      <c r="F102" s="131">
        <v>40.29</v>
      </c>
      <c r="G102" s="131">
        <v>0.48</v>
      </c>
      <c r="H102" s="131">
        <v>2.5</v>
      </c>
      <c r="I102" s="131">
        <v>7.0000000000000007E-2</v>
      </c>
      <c r="J102" s="132">
        <v>38687</v>
      </c>
      <c r="K102" s="133" t="s">
        <v>458</v>
      </c>
      <c r="L102" s="126">
        <f t="shared" si="1"/>
        <v>6.2050136510300322E-2</v>
      </c>
      <c r="M102" s="115"/>
      <c r="N102" s="133"/>
      <c r="O102" s="115"/>
      <c r="P102" s="115"/>
      <c r="Q102" s="116"/>
      <c r="R102" s="133"/>
      <c r="S102" s="117"/>
      <c r="T102" s="115"/>
      <c r="U102" s="116"/>
      <c r="V102" s="116"/>
      <c r="W102" s="133"/>
      <c r="X102" s="115"/>
      <c r="Y102" s="133"/>
    </row>
    <row r="103" spans="1:25" ht="17" customHeight="1">
      <c r="A103" s="131" t="s">
        <v>862</v>
      </c>
      <c r="B103" s="131" t="s">
        <v>863</v>
      </c>
      <c r="C103" s="131">
        <v>1172.19</v>
      </c>
      <c r="D103" s="131">
        <v>0.39</v>
      </c>
      <c r="E103" s="131">
        <v>26.27</v>
      </c>
      <c r="F103" s="131">
        <v>27.78</v>
      </c>
      <c r="G103" s="131">
        <v>0.15</v>
      </c>
      <c r="H103" s="131">
        <v>2.8</v>
      </c>
      <c r="I103" s="131">
        <v>7.0000000000000007E-2</v>
      </c>
      <c r="J103" s="132">
        <v>40259</v>
      </c>
      <c r="K103" s="133" t="s">
        <v>458</v>
      </c>
      <c r="L103" s="126">
        <f t="shared" si="1"/>
        <v>0.10079193664506839</v>
      </c>
      <c r="M103" s="115"/>
      <c r="N103" s="133"/>
      <c r="O103" s="115"/>
      <c r="P103" s="115"/>
      <c r="Q103" s="116"/>
      <c r="R103" s="133"/>
      <c r="S103" s="117"/>
      <c r="T103" s="115"/>
      <c r="U103" s="116"/>
      <c r="V103" s="116"/>
      <c r="W103" s="133"/>
      <c r="X103" s="115"/>
      <c r="Y103" s="133"/>
    </row>
    <row r="104" spans="1:25" ht="17" customHeight="1">
      <c r="A104" s="131" t="s">
        <v>864</v>
      </c>
      <c r="B104" s="131" t="s">
        <v>865</v>
      </c>
      <c r="C104" s="131">
        <v>5134.43</v>
      </c>
      <c r="D104" s="131">
        <v>-0.5</v>
      </c>
      <c r="E104" s="131">
        <v>17.41</v>
      </c>
      <c r="F104" s="131">
        <v>21.79</v>
      </c>
      <c r="G104" s="131">
        <v>0.17</v>
      </c>
      <c r="H104" s="131">
        <v>1.68</v>
      </c>
      <c r="I104" s="131">
        <v>7.0000000000000007E-2</v>
      </c>
      <c r="J104" s="132">
        <v>40855</v>
      </c>
      <c r="K104" s="133" t="s">
        <v>458</v>
      </c>
      <c r="L104" s="126">
        <f t="shared" si="1"/>
        <v>7.7099586966498393E-2</v>
      </c>
      <c r="M104" s="115"/>
      <c r="N104" s="133"/>
      <c r="O104" s="115"/>
      <c r="P104" s="115"/>
      <c r="Q104" s="116"/>
      <c r="R104" s="133"/>
      <c r="S104" s="117"/>
      <c r="T104" s="115"/>
      <c r="U104" s="116"/>
      <c r="V104" s="116"/>
      <c r="W104" s="133"/>
      <c r="X104" s="115"/>
      <c r="Y104" s="133"/>
    </row>
    <row r="105" spans="1:25" ht="17" customHeight="1">
      <c r="A105" s="131" t="s">
        <v>866</v>
      </c>
      <c r="B105" s="131" t="s">
        <v>867</v>
      </c>
      <c r="C105" s="131">
        <v>6351.28</v>
      </c>
      <c r="D105" s="131">
        <v>-0.41</v>
      </c>
      <c r="E105" s="131">
        <v>15.6</v>
      </c>
      <c r="F105" s="131">
        <v>7.96</v>
      </c>
      <c r="G105" s="131">
        <v>0.03</v>
      </c>
      <c r="H105" s="131">
        <v>1.41</v>
      </c>
      <c r="I105" s="131">
        <v>7.0000000000000007E-2</v>
      </c>
      <c r="J105" s="132">
        <v>41264</v>
      </c>
      <c r="K105" s="133" t="s">
        <v>458</v>
      </c>
      <c r="L105" s="126">
        <f t="shared" si="1"/>
        <v>0.17713567839195979</v>
      </c>
      <c r="M105" s="115"/>
      <c r="N105" s="133"/>
      <c r="O105" s="115"/>
      <c r="P105" s="115"/>
      <c r="Q105" s="116"/>
      <c r="R105" s="133"/>
      <c r="S105" s="117"/>
      <c r="T105" s="115"/>
      <c r="U105" s="116"/>
      <c r="V105" s="116"/>
      <c r="W105" s="133"/>
      <c r="X105" s="115"/>
      <c r="Y105" s="133"/>
    </row>
    <row r="106" spans="1:25" ht="17" customHeight="1">
      <c r="A106" s="131" t="s">
        <v>868</v>
      </c>
      <c r="B106" s="131" t="s">
        <v>869</v>
      </c>
      <c r="C106" s="131">
        <v>5932.45</v>
      </c>
      <c r="D106" s="131">
        <v>-0.59</v>
      </c>
      <c r="E106" s="131">
        <v>13.29</v>
      </c>
      <c r="F106" s="131">
        <v>8.5299999999999994</v>
      </c>
      <c r="G106" s="131">
        <v>0.05</v>
      </c>
      <c r="H106" s="131">
        <v>1.42</v>
      </c>
      <c r="I106" s="131">
        <v>7.0000000000000007E-2</v>
      </c>
      <c r="J106" s="132">
        <v>41141</v>
      </c>
      <c r="K106" s="133" t="s">
        <v>458</v>
      </c>
      <c r="L106" s="126">
        <f t="shared" si="1"/>
        <v>0.16647127784290738</v>
      </c>
      <c r="M106" s="115"/>
      <c r="N106" s="133"/>
      <c r="O106" s="115"/>
      <c r="P106" s="115"/>
      <c r="Q106" s="116"/>
      <c r="R106" s="133"/>
      <c r="S106" s="117"/>
      <c r="T106" s="115"/>
      <c r="U106" s="116"/>
      <c r="V106" s="116"/>
      <c r="W106" s="133"/>
      <c r="X106" s="115"/>
      <c r="Y106" s="133"/>
    </row>
    <row r="107" spans="1:25" ht="17" customHeight="1">
      <c r="A107" s="131" t="s">
        <v>681</v>
      </c>
      <c r="B107" s="131" t="s">
        <v>682</v>
      </c>
      <c r="C107" s="131">
        <v>3665.68</v>
      </c>
      <c r="D107" s="131">
        <v>-0.28999999999999998</v>
      </c>
      <c r="E107" s="131">
        <v>17.3</v>
      </c>
      <c r="F107" s="131">
        <v>19.670000000000002</v>
      </c>
      <c r="G107" s="131">
        <v>0.13</v>
      </c>
      <c r="H107" s="131">
        <v>1.98</v>
      </c>
      <c r="I107" s="131">
        <v>7.0000000000000007E-2</v>
      </c>
      <c r="J107" s="132">
        <v>36529</v>
      </c>
      <c r="K107" s="133" t="s">
        <v>458</v>
      </c>
      <c r="L107" s="126">
        <f t="shared" si="1"/>
        <v>0.10066090493136756</v>
      </c>
      <c r="M107" s="115"/>
      <c r="N107" s="133"/>
      <c r="O107" s="115"/>
      <c r="P107" s="115"/>
      <c r="Q107" s="116"/>
      <c r="R107" s="133"/>
      <c r="S107" s="117"/>
      <c r="T107" s="115"/>
      <c r="U107" s="116"/>
      <c r="V107" s="116"/>
      <c r="W107" s="133"/>
      <c r="X107" s="115"/>
      <c r="Y107" s="133"/>
    </row>
    <row r="108" spans="1:25" ht="17" customHeight="1">
      <c r="A108" s="131" t="s">
        <v>683</v>
      </c>
      <c r="B108" s="131" t="s">
        <v>684</v>
      </c>
      <c r="C108" s="131">
        <v>1876.26</v>
      </c>
      <c r="D108" s="131">
        <v>-0.4</v>
      </c>
      <c r="E108" s="131">
        <v>7.98</v>
      </c>
      <c r="F108" s="131">
        <v>18.62</v>
      </c>
      <c r="G108" s="131">
        <v>0.13</v>
      </c>
      <c r="H108" s="131">
        <v>1.4</v>
      </c>
      <c r="I108" s="131">
        <v>7.0000000000000007E-2</v>
      </c>
      <c r="J108" s="132">
        <v>36529</v>
      </c>
      <c r="K108" s="133" t="s">
        <v>458</v>
      </c>
      <c r="L108" s="126">
        <f t="shared" si="1"/>
        <v>7.5187969924812026E-2</v>
      </c>
      <c r="M108" s="115"/>
      <c r="N108" s="133"/>
      <c r="O108" s="115"/>
      <c r="P108" s="115"/>
      <c r="Q108" s="116"/>
      <c r="R108" s="133"/>
      <c r="S108" s="117"/>
      <c r="T108" s="115"/>
      <c r="U108" s="116"/>
      <c r="V108" s="116"/>
      <c r="W108" s="133"/>
      <c r="X108" s="115"/>
      <c r="Y108" s="133"/>
    </row>
    <row r="109" spans="1:25" ht="17" customHeight="1">
      <c r="A109" s="131" t="s">
        <v>693</v>
      </c>
      <c r="B109" s="131" t="s">
        <v>694</v>
      </c>
      <c r="C109" s="131">
        <v>3506.77</v>
      </c>
      <c r="D109" s="131">
        <v>-0.55000000000000004</v>
      </c>
      <c r="E109" s="131">
        <v>12.41</v>
      </c>
      <c r="F109" s="131">
        <v>23.48</v>
      </c>
      <c r="G109" s="131">
        <v>0.06</v>
      </c>
      <c r="H109" s="131">
        <v>2.13</v>
      </c>
      <c r="I109" s="131">
        <v>7.0000000000000007E-2</v>
      </c>
      <c r="J109" s="132">
        <v>36529</v>
      </c>
      <c r="K109" s="133" t="s">
        <v>458</v>
      </c>
      <c r="L109" s="126">
        <f t="shared" si="1"/>
        <v>9.0715502555366256E-2</v>
      </c>
      <c r="M109" s="115"/>
      <c r="N109" s="133"/>
      <c r="O109" s="115"/>
      <c r="P109" s="115"/>
      <c r="Q109" s="116"/>
      <c r="R109" s="133"/>
      <c r="S109" s="117"/>
      <c r="T109" s="115"/>
      <c r="U109" s="116"/>
      <c r="V109" s="116"/>
      <c r="W109" s="133"/>
      <c r="X109" s="115"/>
      <c r="Y109" s="133"/>
    </row>
    <row r="110" spans="1:25" ht="17" customHeight="1">
      <c r="A110" s="131" t="s">
        <v>703</v>
      </c>
      <c r="B110" s="131" t="s">
        <v>704</v>
      </c>
      <c r="C110" s="131">
        <v>2224.84</v>
      </c>
      <c r="D110" s="131">
        <v>-2.82</v>
      </c>
      <c r="E110" s="131">
        <v>-5.49</v>
      </c>
      <c r="F110" s="131">
        <v>9.39</v>
      </c>
      <c r="G110" s="131">
        <v>0.2</v>
      </c>
      <c r="H110" s="131">
        <v>0.89</v>
      </c>
      <c r="I110" s="131">
        <v>7.0000000000000007E-2</v>
      </c>
      <c r="J110" s="132">
        <v>36529</v>
      </c>
      <c r="K110" s="133" t="s">
        <v>458</v>
      </c>
      <c r="L110" s="126">
        <f t="shared" si="1"/>
        <v>9.4781682641107562E-2</v>
      </c>
      <c r="M110" s="115"/>
      <c r="N110" s="133"/>
      <c r="O110" s="115"/>
      <c r="P110" s="115"/>
      <c r="Q110" s="116"/>
      <c r="R110" s="133"/>
      <c r="S110" s="117"/>
      <c r="T110" s="115"/>
      <c r="U110" s="116"/>
      <c r="V110" s="116"/>
      <c r="W110" s="133"/>
      <c r="X110" s="115"/>
      <c r="Y110" s="133"/>
    </row>
    <row r="111" spans="1:25" ht="17" customHeight="1">
      <c r="A111" s="131" t="s">
        <v>711</v>
      </c>
      <c r="B111" s="131" t="s">
        <v>712</v>
      </c>
      <c r="C111" s="131">
        <v>1912.28</v>
      </c>
      <c r="D111" s="131">
        <v>0.67</v>
      </c>
      <c r="E111" s="131">
        <v>11.65</v>
      </c>
      <c r="F111" s="131">
        <v>25.48</v>
      </c>
      <c r="G111" s="131">
        <v>0.05</v>
      </c>
      <c r="H111" s="131">
        <v>1.86</v>
      </c>
      <c r="I111" s="131">
        <v>7.0000000000000007E-2</v>
      </c>
      <c r="J111" s="132">
        <v>36529</v>
      </c>
      <c r="K111" s="133" t="s">
        <v>458</v>
      </c>
      <c r="L111" s="126">
        <f t="shared" si="1"/>
        <v>7.299843014128729E-2</v>
      </c>
      <c r="M111" s="115"/>
      <c r="N111" s="133"/>
      <c r="O111" s="115"/>
      <c r="P111" s="115"/>
      <c r="Q111" s="116"/>
      <c r="R111" s="133"/>
      <c r="S111" s="117"/>
      <c r="T111" s="115"/>
      <c r="U111" s="116"/>
      <c r="V111" s="116"/>
      <c r="W111" s="133"/>
      <c r="X111" s="115"/>
      <c r="Y111" s="133"/>
    </row>
    <row r="112" spans="1:25" ht="17" customHeight="1">
      <c r="A112" s="131" t="s">
        <v>870</v>
      </c>
      <c r="B112" s="131" t="s">
        <v>309</v>
      </c>
      <c r="C112" s="131">
        <v>3294.52</v>
      </c>
      <c r="D112" s="131">
        <v>0.02</v>
      </c>
      <c r="E112" s="131">
        <v>6.56</v>
      </c>
      <c r="F112" s="131">
        <v>45.21</v>
      </c>
      <c r="G112" s="131">
        <v>0.36</v>
      </c>
      <c r="H112" s="131">
        <v>2</v>
      </c>
      <c r="I112" s="131">
        <v>7.0000000000000007E-2</v>
      </c>
      <c r="J112" s="132">
        <v>41038</v>
      </c>
      <c r="K112" s="133" t="s">
        <v>458</v>
      </c>
      <c r="L112" s="126">
        <f t="shared" si="1"/>
        <v>4.423800044238E-2</v>
      </c>
      <c r="M112" s="115"/>
      <c r="N112" s="133"/>
      <c r="O112" s="115"/>
      <c r="P112" s="115"/>
      <c r="Q112" s="116"/>
      <c r="R112" s="133"/>
      <c r="S112" s="117"/>
      <c r="T112" s="115"/>
      <c r="U112" s="116"/>
      <c r="V112" s="116"/>
      <c r="W112" s="133"/>
      <c r="X112" s="115"/>
      <c r="Y112" s="133"/>
    </row>
    <row r="113" spans="1:25" ht="17" customHeight="1">
      <c r="A113" s="131" t="s">
        <v>871</v>
      </c>
      <c r="B113" s="131" t="s">
        <v>172</v>
      </c>
      <c r="C113" s="131">
        <v>11777.94</v>
      </c>
      <c r="D113" s="131">
        <v>-0.78</v>
      </c>
      <c r="E113" s="131">
        <v>14.61</v>
      </c>
      <c r="F113" s="131">
        <v>18.329999999999998</v>
      </c>
      <c r="G113" s="131">
        <v>0.12</v>
      </c>
      <c r="H113" s="131">
        <v>1.39</v>
      </c>
      <c r="I113" s="131">
        <v>7.0000000000000007E-2</v>
      </c>
      <c r="J113" s="132">
        <v>42404</v>
      </c>
      <c r="K113" s="133" t="s">
        <v>458</v>
      </c>
      <c r="L113" s="126">
        <f t="shared" si="1"/>
        <v>7.5831969448990733E-2</v>
      </c>
      <c r="M113" s="115"/>
      <c r="N113" s="133"/>
      <c r="O113" s="115"/>
      <c r="P113" s="115"/>
      <c r="Q113" s="116"/>
      <c r="R113" s="133"/>
      <c r="S113" s="117"/>
      <c r="T113" s="115"/>
      <c r="U113" s="116"/>
      <c r="V113" s="116"/>
      <c r="W113" s="133"/>
      <c r="X113" s="115"/>
      <c r="Y113" s="133"/>
    </row>
    <row r="114" spans="1:25" ht="17" customHeight="1">
      <c r="A114" s="131" t="s">
        <v>872</v>
      </c>
      <c r="B114" s="131" t="s">
        <v>873</v>
      </c>
      <c r="C114" s="131">
        <v>1041.93</v>
      </c>
      <c r="D114" s="131">
        <v>-7.0000000000000007E-2</v>
      </c>
      <c r="E114" s="131">
        <v>19.77</v>
      </c>
      <c r="F114" s="131">
        <v>9.6300000000000008</v>
      </c>
      <c r="G114" s="131">
        <v>0.35</v>
      </c>
      <c r="H114" s="131">
        <v>1.1100000000000001</v>
      </c>
      <c r="I114" s="131">
        <v>7.0000000000000007E-2</v>
      </c>
      <c r="J114" s="132">
        <v>40182</v>
      </c>
      <c r="K114" s="133" t="s">
        <v>458</v>
      </c>
      <c r="L114" s="126">
        <f t="shared" si="1"/>
        <v>0.11526479750778816</v>
      </c>
      <c r="M114" s="115"/>
      <c r="N114" s="133"/>
      <c r="O114" s="115"/>
      <c r="P114" s="115"/>
      <c r="Q114" s="116"/>
      <c r="R114" s="133"/>
      <c r="S114" s="117"/>
      <c r="T114" s="115"/>
      <c r="U114" s="116"/>
      <c r="V114" s="116"/>
      <c r="W114" s="133"/>
      <c r="X114" s="115"/>
      <c r="Y114" s="133"/>
    </row>
    <row r="115" spans="1:25" ht="17" customHeight="1">
      <c r="A115" s="131" t="s">
        <v>874</v>
      </c>
      <c r="B115" s="131" t="s">
        <v>875</v>
      </c>
      <c r="C115" s="131">
        <v>5570.49</v>
      </c>
      <c r="D115" s="131">
        <v>-0.34</v>
      </c>
      <c r="E115" s="131">
        <v>15.25</v>
      </c>
      <c r="F115" s="131">
        <v>22.44</v>
      </c>
      <c r="G115" s="131">
        <v>0.15</v>
      </c>
      <c r="H115" s="131">
        <v>1.93</v>
      </c>
      <c r="I115" s="131">
        <v>7.0000000000000007E-2</v>
      </c>
      <c r="J115" s="132">
        <v>40331</v>
      </c>
      <c r="K115" s="133" t="s">
        <v>458</v>
      </c>
      <c r="L115" s="126">
        <f t="shared" si="1"/>
        <v>8.6007130124777176E-2</v>
      </c>
      <c r="M115" s="115"/>
      <c r="N115" s="133"/>
      <c r="O115" s="115"/>
      <c r="P115" s="115"/>
      <c r="Q115" s="116"/>
      <c r="R115" s="133"/>
      <c r="S115" s="117"/>
      <c r="T115" s="115"/>
      <c r="U115" s="116"/>
      <c r="V115" s="116"/>
      <c r="W115" s="133"/>
      <c r="X115" s="115"/>
      <c r="Y115" s="133"/>
    </row>
    <row r="116" spans="1:25" ht="17" customHeight="1">
      <c r="A116" s="131" t="s">
        <v>876</v>
      </c>
      <c r="B116" s="131" t="s">
        <v>877</v>
      </c>
      <c r="C116" s="131">
        <v>3944.67</v>
      </c>
      <c r="D116" s="131">
        <v>1.28</v>
      </c>
      <c r="E116" s="131">
        <v>1.07</v>
      </c>
      <c r="F116" s="131">
        <v>8.25</v>
      </c>
      <c r="G116" s="131">
        <v>0.21</v>
      </c>
      <c r="H116" s="131">
        <v>1.05</v>
      </c>
      <c r="I116" s="131">
        <v>7.0000000000000007E-2</v>
      </c>
      <c r="J116" s="132">
        <v>39870</v>
      </c>
      <c r="K116" s="133" t="s">
        <v>458</v>
      </c>
      <c r="L116" s="126">
        <f t="shared" si="1"/>
        <v>0.12727272727272729</v>
      </c>
      <c r="M116" s="115"/>
      <c r="N116" s="133"/>
      <c r="O116" s="115"/>
      <c r="P116" s="115"/>
      <c r="Q116" s="116"/>
      <c r="R116" s="133"/>
      <c r="S116" s="117"/>
      <c r="T116" s="115"/>
      <c r="U116" s="116"/>
      <c r="V116" s="116"/>
      <c r="W116" s="133"/>
      <c r="X116" s="115"/>
      <c r="Y116" s="133"/>
    </row>
    <row r="117" spans="1:25" ht="17" customHeight="1">
      <c r="A117" s="131" t="s">
        <v>878</v>
      </c>
      <c r="B117" s="131" t="s">
        <v>879</v>
      </c>
      <c r="C117" s="131">
        <v>4077.24</v>
      </c>
      <c r="D117" s="131">
        <v>-1.41</v>
      </c>
      <c r="E117" s="131">
        <v>18.79</v>
      </c>
      <c r="F117" s="131">
        <v>15.65</v>
      </c>
      <c r="G117" s="131">
        <v>0.28999999999999998</v>
      </c>
      <c r="H117" s="131">
        <v>1.58</v>
      </c>
      <c r="I117" s="131">
        <v>7.0000000000000007E-2</v>
      </c>
      <c r="J117" s="132">
        <v>38356</v>
      </c>
      <c r="K117" s="133" t="s">
        <v>458</v>
      </c>
      <c r="L117" s="126">
        <f t="shared" si="1"/>
        <v>0.10095846645367412</v>
      </c>
      <c r="M117" s="115"/>
      <c r="N117" s="133"/>
      <c r="O117" s="115"/>
      <c r="P117" s="115"/>
      <c r="Q117" s="116"/>
      <c r="R117" s="133"/>
      <c r="S117" s="117"/>
      <c r="T117" s="115"/>
      <c r="U117" s="116"/>
      <c r="V117" s="116"/>
      <c r="W117" s="133"/>
      <c r="X117" s="115"/>
      <c r="Y117" s="133"/>
    </row>
    <row r="118" spans="1:25" ht="17" customHeight="1">
      <c r="A118" s="131" t="s">
        <v>880</v>
      </c>
      <c r="B118" s="131" t="s">
        <v>881</v>
      </c>
      <c r="C118" s="131">
        <v>4459.07</v>
      </c>
      <c r="D118" s="131">
        <v>0.01</v>
      </c>
      <c r="E118" s="131">
        <v>7.33</v>
      </c>
      <c r="F118" s="131">
        <v>9.57</v>
      </c>
      <c r="G118" s="131">
        <v>0.18</v>
      </c>
      <c r="H118" s="131">
        <v>0.95</v>
      </c>
      <c r="I118" s="131">
        <v>7.0000000000000007E-2</v>
      </c>
      <c r="J118" s="132">
        <v>38971</v>
      </c>
      <c r="K118" s="133" t="s">
        <v>458</v>
      </c>
      <c r="L118" s="126">
        <f t="shared" si="1"/>
        <v>9.9268547544409599E-2</v>
      </c>
      <c r="M118" s="115"/>
      <c r="N118" s="133"/>
      <c r="O118" s="115"/>
      <c r="P118" s="115"/>
      <c r="Q118" s="116"/>
      <c r="R118" s="133"/>
      <c r="S118" s="117"/>
      <c r="T118" s="115"/>
      <c r="U118" s="116"/>
      <c r="V118" s="116"/>
      <c r="W118" s="133"/>
      <c r="X118" s="115"/>
      <c r="Y118" s="133"/>
    </row>
    <row r="119" spans="1:25" ht="17" customHeight="1">
      <c r="A119" s="131" t="s">
        <v>882</v>
      </c>
      <c r="B119" s="131" t="s">
        <v>883</v>
      </c>
      <c r="C119" s="131">
        <v>1571.93</v>
      </c>
      <c r="D119" s="131">
        <v>0.28999999999999998</v>
      </c>
      <c r="E119" s="131">
        <v>20.84</v>
      </c>
      <c r="F119" s="131">
        <v>42.14</v>
      </c>
      <c r="G119" s="131">
        <v>0.43</v>
      </c>
      <c r="H119" s="131">
        <v>2.52</v>
      </c>
      <c r="I119" s="131">
        <v>0.08</v>
      </c>
      <c r="J119" s="132">
        <v>40770</v>
      </c>
      <c r="K119" s="133" t="s">
        <v>458</v>
      </c>
      <c r="L119" s="126">
        <f t="shared" si="1"/>
        <v>5.9800664451827239E-2</v>
      </c>
      <c r="M119" s="115"/>
      <c r="N119" s="133"/>
      <c r="O119" s="115"/>
      <c r="P119" s="115"/>
      <c r="Q119" s="116"/>
      <c r="R119" s="133"/>
      <c r="S119" s="117"/>
      <c r="T119" s="115"/>
      <c r="U119" s="116"/>
      <c r="V119" s="116"/>
      <c r="W119" s="133"/>
      <c r="X119" s="115"/>
      <c r="Y119" s="133"/>
    </row>
    <row r="120" spans="1:25" ht="17" customHeight="1">
      <c r="A120" s="131" t="s">
        <v>482</v>
      </c>
      <c r="B120" s="131" t="s">
        <v>483</v>
      </c>
      <c r="C120" s="131">
        <v>3637.34</v>
      </c>
      <c r="D120" s="131">
        <v>0.19</v>
      </c>
      <c r="E120" s="131">
        <v>6.51</v>
      </c>
      <c r="F120" s="131">
        <v>18.07</v>
      </c>
      <c r="G120" s="131">
        <v>0.41</v>
      </c>
      <c r="H120" s="131">
        <v>1.48</v>
      </c>
      <c r="I120" s="131">
        <v>0.08</v>
      </c>
      <c r="J120" s="132">
        <v>36529</v>
      </c>
      <c r="K120" s="133" t="s">
        <v>458</v>
      </c>
      <c r="L120" s="126">
        <f t="shared" si="1"/>
        <v>8.1903707802988376E-2</v>
      </c>
      <c r="M120" s="115"/>
      <c r="N120" s="133"/>
      <c r="O120" s="115"/>
      <c r="P120" s="115"/>
      <c r="Q120" s="116"/>
      <c r="R120" s="133"/>
      <c r="S120" s="117"/>
      <c r="T120" s="115"/>
      <c r="U120" s="116"/>
      <c r="V120" s="116"/>
      <c r="W120" s="133"/>
      <c r="X120" s="115"/>
      <c r="Y120" s="133"/>
    </row>
    <row r="121" spans="1:25" ht="17" customHeight="1">
      <c r="A121" s="131" t="s">
        <v>484</v>
      </c>
      <c r="B121" s="131" t="s">
        <v>485</v>
      </c>
      <c r="C121" s="131">
        <v>1775.36</v>
      </c>
      <c r="D121" s="131">
        <v>-0.01</v>
      </c>
      <c r="E121" s="131">
        <v>-0.95</v>
      </c>
      <c r="F121" s="131">
        <v>22.83</v>
      </c>
      <c r="G121" s="131">
        <v>0.19</v>
      </c>
      <c r="H121" s="131">
        <v>1.64</v>
      </c>
      <c r="I121" s="131">
        <v>0.08</v>
      </c>
      <c r="J121" s="132">
        <v>36529</v>
      </c>
      <c r="K121" s="133" t="s">
        <v>458</v>
      </c>
      <c r="L121" s="126">
        <f t="shared" si="1"/>
        <v>7.1835304424003502E-2</v>
      </c>
      <c r="M121" s="115"/>
      <c r="N121" s="133"/>
      <c r="O121" s="115"/>
      <c r="P121" s="115"/>
      <c r="Q121" s="116"/>
      <c r="R121" s="133"/>
      <c r="S121" s="117"/>
      <c r="T121" s="115"/>
      <c r="U121" s="116"/>
      <c r="V121" s="116"/>
      <c r="W121" s="133"/>
      <c r="X121" s="115"/>
      <c r="Y121" s="133"/>
    </row>
    <row r="122" spans="1:25" ht="17" customHeight="1">
      <c r="A122" s="131" t="s">
        <v>492</v>
      </c>
      <c r="B122" s="131" t="s">
        <v>493</v>
      </c>
      <c r="C122" s="131">
        <v>1084.25</v>
      </c>
      <c r="D122" s="131">
        <v>-0.05</v>
      </c>
      <c r="E122" s="131">
        <v>14.58</v>
      </c>
      <c r="F122" s="131">
        <v>24.31</v>
      </c>
      <c r="G122" s="131">
        <v>0.27</v>
      </c>
      <c r="H122" s="131">
        <v>1.9</v>
      </c>
      <c r="I122" s="131">
        <v>0.08</v>
      </c>
      <c r="J122" s="132">
        <v>36529</v>
      </c>
      <c r="K122" s="133" t="s">
        <v>458</v>
      </c>
      <c r="L122" s="126">
        <f t="shared" si="1"/>
        <v>7.8157136980666397E-2</v>
      </c>
      <c r="M122" s="115"/>
      <c r="N122" s="133"/>
      <c r="O122" s="115"/>
      <c r="P122" s="115"/>
      <c r="Q122" s="116"/>
      <c r="R122" s="133"/>
      <c r="S122" s="117"/>
      <c r="T122" s="115"/>
      <c r="U122" s="116"/>
      <c r="V122" s="116"/>
      <c r="W122" s="133"/>
      <c r="X122" s="115"/>
      <c r="Y122" s="133"/>
    </row>
    <row r="123" spans="1:25" ht="17" customHeight="1">
      <c r="A123" s="131" t="s">
        <v>512</v>
      </c>
      <c r="B123" s="131" t="s">
        <v>513</v>
      </c>
      <c r="C123" s="131">
        <v>1970.9</v>
      </c>
      <c r="D123" s="131">
        <v>-0.1</v>
      </c>
      <c r="E123" s="131">
        <v>33.97</v>
      </c>
      <c r="F123" s="131">
        <v>14.6</v>
      </c>
      <c r="G123" s="131">
        <v>0.06</v>
      </c>
      <c r="H123" s="131">
        <v>1.76</v>
      </c>
      <c r="I123" s="131">
        <v>0.08</v>
      </c>
      <c r="J123" s="132">
        <v>36529</v>
      </c>
      <c r="K123" s="133" t="s">
        <v>458</v>
      </c>
      <c r="L123" s="126">
        <f t="shared" si="1"/>
        <v>0.12054794520547946</v>
      </c>
      <c r="M123" s="115"/>
      <c r="N123" s="133"/>
      <c r="O123" s="115"/>
      <c r="P123" s="115"/>
      <c r="Q123" s="116"/>
      <c r="R123" s="133"/>
      <c r="S123" s="117"/>
      <c r="T123" s="115"/>
      <c r="U123" s="116"/>
      <c r="V123" s="116"/>
      <c r="W123" s="133"/>
      <c r="X123" s="115"/>
      <c r="Y123" s="133"/>
    </row>
    <row r="124" spans="1:25" ht="17" customHeight="1">
      <c r="A124" s="131" t="s">
        <v>518</v>
      </c>
      <c r="B124" s="131" t="s">
        <v>519</v>
      </c>
      <c r="C124" s="131">
        <v>886.37</v>
      </c>
      <c r="D124" s="131">
        <v>-0.47</v>
      </c>
      <c r="E124" s="131">
        <v>14.03</v>
      </c>
      <c r="F124" s="131">
        <v>39.71</v>
      </c>
      <c r="G124" s="131">
        <v>0.09</v>
      </c>
      <c r="H124" s="131">
        <v>3.02</v>
      </c>
      <c r="I124" s="131">
        <v>0.08</v>
      </c>
      <c r="J124" s="132">
        <v>36529</v>
      </c>
      <c r="K124" s="133" t="s">
        <v>458</v>
      </c>
      <c r="L124" s="126">
        <f t="shared" si="1"/>
        <v>7.6051372450264415E-2</v>
      </c>
      <c r="M124" s="115"/>
      <c r="N124" s="133"/>
      <c r="O124" s="115"/>
      <c r="P124" s="115"/>
      <c r="Q124" s="116"/>
      <c r="R124" s="133"/>
      <c r="S124" s="117"/>
      <c r="T124" s="115"/>
      <c r="U124" s="116"/>
      <c r="V124" s="116"/>
      <c r="W124" s="133"/>
      <c r="X124" s="115"/>
      <c r="Y124" s="133"/>
    </row>
    <row r="125" spans="1:25" ht="17" customHeight="1">
      <c r="A125" s="131" t="s">
        <v>520</v>
      </c>
      <c r="B125" s="131" t="s">
        <v>521</v>
      </c>
      <c r="C125" s="131">
        <v>2586.59</v>
      </c>
      <c r="D125" s="131">
        <v>-0.56999999999999995</v>
      </c>
      <c r="E125" s="131">
        <v>3.33</v>
      </c>
      <c r="F125" s="131">
        <v>43.41</v>
      </c>
      <c r="G125" s="131">
        <v>0.52</v>
      </c>
      <c r="H125" s="131">
        <v>2.42</v>
      </c>
      <c r="I125" s="131">
        <v>0.08</v>
      </c>
      <c r="J125" s="132">
        <v>40826</v>
      </c>
      <c r="K125" s="133" t="s">
        <v>458</v>
      </c>
      <c r="L125" s="126">
        <f t="shared" si="1"/>
        <v>5.5747523612070957E-2</v>
      </c>
      <c r="M125" s="115"/>
      <c r="N125" s="133"/>
      <c r="O125" s="115"/>
      <c r="P125" s="115"/>
      <c r="Q125" s="116"/>
      <c r="R125" s="133"/>
      <c r="S125" s="117"/>
      <c r="T125" s="115"/>
      <c r="U125" s="116"/>
      <c r="V125" s="116"/>
      <c r="W125" s="133"/>
      <c r="X125" s="115"/>
      <c r="Y125" s="133"/>
    </row>
    <row r="126" spans="1:25" ht="17" customHeight="1">
      <c r="A126" s="131" t="s">
        <v>884</v>
      </c>
      <c r="B126" s="131" t="s">
        <v>62</v>
      </c>
      <c r="C126" s="131">
        <v>5147.7299999999996</v>
      </c>
      <c r="D126" s="131">
        <v>-7.0000000000000007E-2</v>
      </c>
      <c r="E126" s="131">
        <v>16.2</v>
      </c>
      <c r="F126" s="131">
        <v>39.159999999999997</v>
      </c>
      <c r="G126" s="131">
        <v>0.3</v>
      </c>
      <c r="H126" s="131">
        <v>2.06</v>
      </c>
      <c r="I126" s="131">
        <v>0.08</v>
      </c>
      <c r="J126" s="132">
        <v>41929</v>
      </c>
      <c r="K126" s="133" t="s">
        <v>458</v>
      </c>
      <c r="L126" s="126">
        <f t="shared" si="1"/>
        <v>5.2604698672114411E-2</v>
      </c>
      <c r="M126" s="115"/>
      <c r="N126" s="133"/>
      <c r="O126" s="115"/>
      <c r="P126" s="115"/>
      <c r="Q126" s="116"/>
      <c r="R126" s="133"/>
      <c r="S126" s="117"/>
      <c r="T126" s="115"/>
      <c r="U126" s="116"/>
      <c r="V126" s="116"/>
      <c r="W126" s="133"/>
      <c r="X126" s="115"/>
      <c r="Y126" s="133"/>
    </row>
    <row r="127" spans="1:25" ht="17" customHeight="1">
      <c r="A127" s="131" t="s">
        <v>568</v>
      </c>
      <c r="B127" s="131" t="s">
        <v>569</v>
      </c>
      <c r="C127" s="131">
        <v>5443.02</v>
      </c>
      <c r="D127" s="131">
        <v>0.63</v>
      </c>
      <c r="E127" s="131">
        <v>0.48</v>
      </c>
      <c r="F127" s="131">
        <v>24.71</v>
      </c>
      <c r="G127" s="131">
        <v>0.1</v>
      </c>
      <c r="H127" s="131">
        <v>2.2200000000000002</v>
      </c>
      <c r="I127" s="131">
        <v>0.08</v>
      </c>
      <c r="J127" s="132">
        <v>36529</v>
      </c>
      <c r="K127" s="133" t="s">
        <v>458</v>
      </c>
      <c r="L127" s="126">
        <f t="shared" si="1"/>
        <v>8.9842169162282479E-2</v>
      </c>
      <c r="M127" s="115"/>
      <c r="N127" s="133"/>
      <c r="O127" s="115"/>
      <c r="P127" s="115"/>
      <c r="Q127" s="116"/>
      <c r="R127" s="133"/>
      <c r="S127" s="117"/>
      <c r="T127" s="115"/>
      <c r="U127" s="116"/>
      <c r="V127" s="116"/>
      <c r="W127" s="133"/>
      <c r="X127" s="115"/>
      <c r="Y127" s="133"/>
    </row>
    <row r="128" spans="1:25" ht="17" customHeight="1">
      <c r="A128" s="131" t="s">
        <v>653</v>
      </c>
      <c r="B128" s="131" t="s">
        <v>654</v>
      </c>
      <c r="C128" s="131">
        <v>2855.08</v>
      </c>
      <c r="D128" s="131">
        <v>-0.95</v>
      </c>
      <c r="E128" s="131">
        <v>5.83</v>
      </c>
      <c r="F128" s="131">
        <v>24.76</v>
      </c>
      <c r="G128" s="131">
        <v>0.05</v>
      </c>
      <c r="H128" s="131">
        <v>1.89</v>
      </c>
      <c r="I128" s="131">
        <v>0.08</v>
      </c>
      <c r="J128" s="132">
        <v>36529</v>
      </c>
      <c r="K128" s="133" t="s">
        <v>458</v>
      </c>
      <c r="L128" s="126">
        <f t="shared" si="1"/>
        <v>7.6332794830371559E-2</v>
      </c>
      <c r="M128" s="115"/>
      <c r="N128" s="133"/>
      <c r="O128" s="115"/>
      <c r="P128" s="115"/>
      <c r="Q128" s="116"/>
      <c r="R128" s="133"/>
      <c r="S128" s="117"/>
      <c r="T128" s="115"/>
      <c r="U128" s="116"/>
      <c r="V128" s="116"/>
      <c r="W128" s="133"/>
      <c r="X128" s="115"/>
      <c r="Y128" s="133"/>
    </row>
    <row r="129" spans="1:25" ht="17" customHeight="1">
      <c r="A129" s="131" t="s">
        <v>885</v>
      </c>
      <c r="B129" s="131" t="s">
        <v>886</v>
      </c>
      <c r="C129" s="131">
        <v>1584.66</v>
      </c>
      <c r="D129" s="131">
        <v>0.94</v>
      </c>
      <c r="E129" s="131">
        <v>10.71</v>
      </c>
      <c r="F129" s="131">
        <v>23.29</v>
      </c>
      <c r="G129" s="131">
        <v>0.49</v>
      </c>
      <c r="H129" s="131">
        <v>1.84</v>
      </c>
      <c r="I129" s="131">
        <v>0.08</v>
      </c>
      <c r="J129" s="132">
        <v>41775</v>
      </c>
      <c r="K129" s="133" t="s">
        <v>458</v>
      </c>
      <c r="L129" s="126">
        <f t="shared" si="1"/>
        <v>7.9003864319450418E-2</v>
      </c>
      <c r="M129" s="115"/>
      <c r="N129" s="133"/>
      <c r="O129" s="115"/>
      <c r="P129" s="115"/>
      <c r="Q129" s="116"/>
      <c r="R129" s="133"/>
      <c r="S129" s="117"/>
      <c r="T129" s="115"/>
      <c r="U129" s="116"/>
      <c r="V129" s="116"/>
      <c r="W129" s="133"/>
      <c r="X129" s="115"/>
      <c r="Y129" s="133"/>
    </row>
    <row r="130" spans="1:25" ht="17" customHeight="1">
      <c r="A130" s="131" t="s">
        <v>713</v>
      </c>
      <c r="B130" s="131" t="s">
        <v>714</v>
      </c>
      <c r="C130" s="131">
        <v>2052.12</v>
      </c>
      <c r="D130" s="131">
        <v>-1.76</v>
      </c>
      <c r="E130" s="131">
        <v>15.04</v>
      </c>
      <c r="F130" s="131">
        <v>16.84</v>
      </c>
      <c r="G130" s="131">
        <v>0.15</v>
      </c>
      <c r="H130" s="131">
        <v>1.2</v>
      </c>
      <c r="I130" s="131">
        <v>0.08</v>
      </c>
      <c r="J130" s="132">
        <v>36529</v>
      </c>
      <c r="K130" s="133" t="s">
        <v>458</v>
      </c>
      <c r="L130" s="126">
        <f t="shared" ref="L130:L193" si="2">H130/F130</f>
        <v>7.1258907363420429E-2</v>
      </c>
      <c r="M130" s="115"/>
      <c r="N130" s="133"/>
      <c r="O130" s="115"/>
      <c r="P130" s="115"/>
      <c r="Q130" s="116"/>
      <c r="R130" s="133"/>
      <c r="S130" s="117"/>
      <c r="T130" s="115"/>
      <c r="U130" s="116"/>
      <c r="V130" s="116"/>
      <c r="W130" s="133"/>
      <c r="X130" s="115"/>
      <c r="Y130" s="133"/>
    </row>
    <row r="131" spans="1:25" ht="17" customHeight="1">
      <c r="A131" s="131" t="s">
        <v>887</v>
      </c>
      <c r="B131" s="131" t="s">
        <v>75</v>
      </c>
      <c r="C131" s="131">
        <v>6154.78</v>
      </c>
      <c r="D131" s="131">
        <v>0.61</v>
      </c>
      <c r="E131" s="131">
        <v>30.87</v>
      </c>
      <c r="F131" s="131">
        <v>24.94</v>
      </c>
      <c r="G131" s="131">
        <v>0.15</v>
      </c>
      <c r="H131" s="131">
        <v>3.22</v>
      </c>
      <c r="I131" s="131">
        <v>0.09</v>
      </c>
      <c r="J131" s="132">
        <v>39078</v>
      </c>
      <c r="K131" s="133" t="s">
        <v>458</v>
      </c>
      <c r="L131" s="126">
        <f t="shared" si="2"/>
        <v>0.12910986367281477</v>
      </c>
      <c r="M131" s="115"/>
      <c r="N131" s="133"/>
      <c r="O131" s="115"/>
      <c r="P131" s="115"/>
      <c r="Q131" s="116"/>
      <c r="R131" s="133"/>
      <c r="S131" s="117"/>
      <c r="T131" s="115"/>
      <c r="U131" s="116"/>
      <c r="V131" s="116"/>
      <c r="W131" s="133"/>
      <c r="X131" s="115"/>
      <c r="Y131" s="133"/>
    </row>
    <row r="132" spans="1:25" ht="17" customHeight="1">
      <c r="A132" s="131" t="s">
        <v>500</v>
      </c>
      <c r="B132" s="131" t="s">
        <v>501</v>
      </c>
      <c r="C132" s="131">
        <v>1941.67</v>
      </c>
      <c r="D132" s="131">
        <v>-0.6</v>
      </c>
      <c r="E132" s="131">
        <v>15.48</v>
      </c>
      <c r="F132" s="131">
        <v>29.76</v>
      </c>
      <c r="G132" s="131">
        <v>0.12</v>
      </c>
      <c r="H132" s="131">
        <v>1.65</v>
      </c>
      <c r="I132" s="131">
        <v>0.09</v>
      </c>
      <c r="J132" s="132">
        <v>36529</v>
      </c>
      <c r="K132" s="133" t="s">
        <v>458</v>
      </c>
      <c r="L132" s="126">
        <f t="shared" si="2"/>
        <v>5.5443548387096767E-2</v>
      </c>
      <c r="M132" s="115"/>
      <c r="N132" s="133"/>
      <c r="O132" s="115"/>
      <c r="P132" s="115"/>
      <c r="Q132" s="116"/>
      <c r="R132" s="133"/>
      <c r="S132" s="117"/>
      <c r="T132" s="115"/>
      <c r="U132" s="116"/>
      <c r="V132" s="116"/>
      <c r="W132" s="133"/>
      <c r="X132" s="115"/>
      <c r="Y132" s="133"/>
    </row>
    <row r="133" spans="1:25" ht="17" customHeight="1">
      <c r="A133" s="131" t="s">
        <v>888</v>
      </c>
      <c r="B133" s="131" t="s">
        <v>889</v>
      </c>
      <c r="C133" s="131">
        <v>8485.8700000000008</v>
      </c>
      <c r="D133" s="131">
        <v>7.0000000000000007E-2</v>
      </c>
      <c r="E133" s="131">
        <v>24.63</v>
      </c>
      <c r="F133" s="131">
        <v>10.41</v>
      </c>
      <c r="G133" s="131">
        <v>0.22</v>
      </c>
      <c r="H133" s="131">
        <v>1.25</v>
      </c>
      <c r="I133" s="131">
        <v>0.09</v>
      </c>
      <c r="J133" s="132">
        <v>37438</v>
      </c>
      <c r="K133" s="133" t="s">
        <v>458</v>
      </c>
      <c r="L133" s="126">
        <f t="shared" si="2"/>
        <v>0.12007684918347743</v>
      </c>
      <c r="M133" s="115"/>
      <c r="N133" s="133"/>
      <c r="O133" s="115"/>
      <c r="P133" s="115"/>
      <c r="Q133" s="116"/>
      <c r="R133" s="133"/>
      <c r="S133" s="117"/>
      <c r="T133" s="115"/>
      <c r="U133" s="116"/>
      <c r="V133" s="116"/>
      <c r="W133" s="133"/>
      <c r="X133" s="115"/>
      <c r="Y133" s="133"/>
    </row>
    <row r="134" spans="1:25" ht="17" customHeight="1">
      <c r="A134" s="131" t="s">
        <v>890</v>
      </c>
      <c r="B134" s="131" t="s">
        <v>891</v>
      </c>
      <c r="C134" s="131">
        <v>3166.58</v>
      </c>
      <c r="D134" s="131">
        <v>0.4</v>
      </c>
      <c r="E134" s="131">
        <v>26.97</v>
      </c>
      <c r="F134" s="131">
        <v>24.94</v>
      </c>
      <c r="G134" s="131">
        <v>0.15</v>
      </c>
      <c r="H134" s="131">
        <v>3.22</v>
      </c>
      <c r="I134" s="131">
        <v>0.09</v>
      </c>
      <c r="J134" s="132">
        <v>39080</v>
      </c>
      <c r="K134" s="133" t="s">
        <v>458</v>
      </c>
      <c r="L134" s="126">
        <f t="shared" si="2"/>
        <v>0.12910986367281477</v>
      </c>
      <c r="M134" s="115"/>
      <c r="N134" s="133"/>
      <c r="O134" s="115"/>
      <c r="P134" s="115"/>
      <c r="Q134" s="116"/>
      <c r="R134" s="133"/>
      <c r="S134" s="117"/>
      <c r="T134" s="115"/>
      <c r="U134" s="116"/>
      <c r="V134" s="116"/>
      <c r="W134" s="133"/>
      <c r="X134" s="115"/>
      <c r="Y134" s="133"/>
    </row>
    <row r="135" spans="1:25" ht="17" customHeight="1">
      <c r="A135" s="131" t="s">
        <v>550</v>
      </c>
      <c r="B135" s="131" t="s">
        <v>551</v>
      </c>
      <c r="C135" s="131">
        <v>2114.1999999999998</v>
      </c>
      <c r="D135" s="131">
        <v>-0.13</v>
      </c>
      <c r="E135" s="131">
        <v>7.25</v>
      </c>
      <c r="F135" s="131">
        <v>29.69</v>
      </c>
      <c r="G135" s="131">
        <v>0.56999999999999995</v>
      </c>
      <c r="H135" s="131">
        <v>1.08</v>
      </c>
      <c r="I135" s="131">
        <v>0.09</v>
      </c>
      <c r="J135" s="132">
        <v>36529</v>
      </c>
      <c r="K135" s="133" t="s">
        <v>458</v>
      </c>
      <c r="L135" s="126">
        <f t="shared" si="2"/>
        <v>3.6375884136072754E-2</v>
      </c>
      <c r="M135" s="115"/>
      <c r="N135" s="133"/>
      <c r="O135" s="115"/>
      <c r="P135" s="115"/>
      <c r="Q135" s="116"/>
      <c r="R135" s="133"/>
      <c r="S135" s="117"/>
      <c r="T135" s="115"/>
      <c r="U135" s="116"/>
      <c r="V135" s="116"/>
      <c r="W135" s="133"/>
      <c r="X135" s="115"/>
      <c r="Y135" s="133"/>
    </row>
    <row r="136" spans="1:25" ht="17" customHeight="1">
      <c r="A136" s="131" t="s">
        <v>610</v>
      </c>
      <c r="B136" s="131" t="s">
        <v>611</v>
      </c>
      <c r="C136" s="131">
        <v>4170.9399999999996</v>
      </c>
      <c r="D136" s="131">
        <v>-0.19</v>
      </c>
      <c r="E136" s="131">
        <v>10.75</v>
      </c>
      <c r="F136" s="131">
        <v>17.21</v>
      </c>
      <c r="G136" s="131">
        <v>0.2</v>
      </c>
      <c r="H136" s="131">
        <v>1.66</v>
      </c>
      <c r="I136" s="131">
        <v>0.09</v>
      </c>
      <c r="J136" s="132">
        <v>36529</v>
      </c>
      <c r="K136" s="133" t="s">
        <v>458</v>
      </c>
      <c r="L136" s="126">
        <f t="shared" si="2"/>
        <v>9.6455549099360827E-2</v>
      </c>
      <c r="M136" s="115"/>
      <c r="N136" s="133"/>
      <c r="O136" s="115"/>
      <c r="P136" s="115"/>
      <c r="Q136" s="116"/>
      <c r="R136" s="133"/>
      <c r="S136" s="117"/>
      <c r="T136" s="115"/>
      <c r="U136" s="116"/>
      <c r="V136" s="116"/>
      <c r="W136" s="133"/>
      <c r="X136" s="115"/>
      <c r="Y136" s="133"/>
    </row>
    <row r="137" spans="1:25" ht="17" customHeight="1">
      <c r="A137" s="131" t="s">
        <v>892</v>
      </c>
      <c r="B137" s="131" t="s">
        <v>115</v>
      </c>
      <c r="C137" s="131">
        <v>6213.86</v>
      </c>
      <c r="D137" s="131">
        <v>-0.34</v>
      </c>
      <c r="E137" s="131">
        <v>25.01</v>
      </c>
      <c r="F137" s="131">
        <v>8.24</v>
      </c>
      <c r="G137" s="131">
        <v>0.37</v>
      </c>
      <c r="H137" s="131">
        <v>1.05</v>
      </c>
      <c r="I137" s="131">
        <v>0.09</v>
      </c>
      <c r="J137" s="132">
        <v>39997</v>
      </c>
      <c r="K137" s="133" t="s">
        <v>458</v>
      </c>
      <c r="L137" s="126">
        <f t="shared" si="2"/>
        <v>0.12742718446601942</v>
      </c>
      <c r="M137" s="115"/>
      <c r="N137" s="133"/>
      <c r="O137" s="115"/>
      <c r="P137" s="115"/>
      <c r="Q137" s="116"/>
      <c r="R137" s="133"/>
      <c r="S137" s="117"/>
      <c r="T137" s="115"/>
      <c r="U137" s="116"/>
      <c r="V137" s="116"/>
      <c r="W137" s="133"/>
      <c r="X137" s="115"/>
      <c r="Y137" s="133"/>
    </row>
    <row r="138" spans="1:25" ht="17" customHeight="1">
      <c r="A138" s="131" t="s">
        <v>893</v>
      </c>
      <c r="B138" s="131" t="s">
        <v>894</v>
      </c>
      <c r="C138" s="131">
        <v>5392.65</v>
      </c>
      <c r="D138" s="131">
        <v>-0.36</v>
      </c>
      <c r="E138" s="131">
        <v>23.77</v>
      </c>
      <c r="F138" s="131">
        <v>7.65</v>
      </c>
      <c r="G138" s="131">
        <v>0.34</v>
      </c>
      <c r="H138" s="131">
        <v>1</v>
      </c>
      <c r="I138" s="131">
        <v>0.09</v>
      </c>
      <c r="J138" s="132">
        <v>39822</v>
      </c>
      <c r="K138" s="133" t="s">
        <v>458</v>
      </c>
      <c r="L138" s="126">
        <f t="shared" si="2"/>
        <v>0.13071895424836602</v>
      </c>
      <c r="M138" s="115"/>
      <c r="N138" s="133"/>
      <c r="O138" s="115"/>
      <c r="P138" s="115"/>
      <c r="Q138" s="116"/>
      <c r="R138" s="133"/>
      <c r="S138" s="117"/>
      <c r="T138" s="115"/>
      <c r="U138" s="116"/>
      <c r="V138" s="116"/>
      <c r="W138" s="133"/>
      <c r="X138" s="115"/>
      <c r="Y138" s="133"/>
    </row>
    <row r="139" spans="1:25" ht="17" customHeight="1">
      <c r="A139" s="131" t="s">
        <v>895</v>
      </c>
      <c r="B139" s="131" t="s">
        <v>896</v>
      </c>
      <c r="C139" s="131">
        <v>5436.96</v>
      </c>
      <c r="D139" s="131">
        <v>-0.28999999999999998</v>
      </c>
      <c r="E139" s="131">
        <v>23.6</v>
      </c>
      <c r="F139" s="131">
        <v>7.94</v>
      </c>
      <c r="G139" s="131">
        <v>0.42</v>
      </c>
      <c r="H139" s="131">
        <v>1.01</v>
      </c>
      <c r="I139" s="131">
        <v>0.09</v>
      </c>
      <c r="J139" s="132">
        <v>39426</v>
      </c>
      <c r="K139" s="133" t="s">
        <v>458</v>
      </c>
      <c r="L139" s="126">
        <f t="shared" si="2"/>
        <v>0.12720403022670024</v>
      </c>
      <c r="M139" s="115"/>
      <c r="N139" s="133"/>
      <c r="O139" s="115"/>
      <c r="P139" s="115"/>
      <c r="Q139" s="116"/>
      <c r="R139" s="133"/>
      <c r="S139" s="117"/>
      <c r="T139" s="115"/>
      <c r="U139" s="116"/>
      <c r="V139" s="116"/>
      <c r="W139" s="133"/>
      <c r="X139" s="115"/>
      <c r="Y139" s="133"/>
    </row>
    <row r="140" spans="1:25" ht="17" customHeight="1">
      <c r="A140" s="131" t="s">
        <v>897</v>
      </c>
      <c r="B140" s="131" t="s">
        <v>87</v>
      </c>
      <c r="C140" s="131">
        <v>7420.02</v>
      </c>
      <c r="D140" s="131">
        <v>0.38</v>
      </c>
      <c r="E140" s="131">
        <v>16.63</v>
      </c>
      <c r="F140" s="131">
        <v>60.58</v>
      </c>
      <c r="G140" s="131">
        <v>0.19</v>
      </c>
      <c r="H140" s="131">
        <v>2.35</v>
      </c>
      <c r="I140" s="131">
        <v>0.09</v>
      </c>
      <c r="J140" s="132">
        <v>41634</v>
      </c>
      <c r="K140" s="133" t="s">
        <v>458</v>
      </c>
      <c r="L140" s="126">
        <f t="shared" si="2"/>
        <v>3.8791680422581715E-2</v>
      </c>
      <c r="M140" s="115"/>
      <c r="N140" s="133"/>
      <c r="O140" s="115"/>
      <c r="P140" s="115"/>
      <c r="Q140" s="116"/>
      <c r="R140" s="133"/>
      <c r="S140" s="117"/>
      <c r="T140" s="115"/>
      <c r="U140" s="116"/>
      <c r="V140" s="116"/>
      <c r="W140" s="133"/>
      <c r="X140" s="115"/>
      <c r="Y140" s="133"/>
    </row>
    <row r="141" spans="1:25" ht="17" customHeight="1">
      <c r="A141" s="131" t="s">
        <v>673</v>
      </c>
      <c r="B141" s="131" t="s">
        <v>674</v>
      </c>
      <c r="C141" s="131">
        <v>1939.65</v>
      </c>
      <c r="D141" s="131">
        <v>-0.6</v>
      </c>
      <c r="E141" s="131">
        <v>15.49</v>
      </c>
      <c r="F141" s="131">
        <v>29.76</v>
      </c>
      <c r="G141" s="131">
        <v>0.12</v>
      </c>
      <c r="H141" s="131">
        <v>1.65</v>
      </c>
      <c r="I141" s="131">
        <v>0.09</v>
      </c>
      <c r="J141" s="132">
        <v>36529</v>
      </c>
      <c r="K141" s="133" t="s">
        <v>458</v>
      </c>
      <c r="L141" s="126">
        <f t="shared" si="2"/>
        <v>5.5443548387096767E-2</v>
      </c>
      <c r="M141" s="115"/>
      <c r="N141" s="133"/>
      <c r="O141" s="115"/>
      <c r="P141" s="115"/>
      <c r="Q141" s="116"/>
      <c r="R141" s="133"/>
      <c r="S141" s="117"/>
      <c r="T141" s="115"/>
      <c r="U141" s="116"/>
      <c r="V141" s="116"/>
      <c r="W141" s="133"/>
      <c r="X141" s="115"/>
      <c r="Y141" s="133"/>
    </row>
    <row r="142" spans="1:25" ht="17" customHeight="1">
      <c r="A142" s="131" t="s">
        <v>898</v>
      </c>
      <c r="B142" s="131" t="s">
        <v>127</v>
      </c>
      <c r="C142" s="131">
        <v>2500</v>
      </c>
      <c r="D142" s="131">
        <v>-0.64</v>
      </c>
      <c r="E142" s="131">
        <v>11.5</v>
      </c>
      <c r="F142" s="131">
        <v>18.34</v>
      </c>
      <c r="G142" s="131">
        <v>0.17</v>
      </c>
      <c r="H142" s="131">
        <v>1.65</v>
      </c>
      <c r="I142" s="131">
        <v>0.09</v>
      </c>
      <c r="J142" s="132">
        <v>40757</v>
      </c>
      <c r="K142" s="133" t="s">
        <v>458</v>
      </c>
      <c r="L142" s="126">
        <f t="shared" si="2"/>
        <v>8.9967284623773167E-2</v>
      </c>
      <c r="M142" s="115"/>
      <c r="N142" s="133"/>
      <c r="O142" s="115"/>
      <c r="P142" s="115"/>
      <c r="Q142" s="116"/>
      <c r="R142" s="133"/>
      <c r="S142" s="117"/>
      <c r="T142" s="115"/>
      <c r="U142" s="116"/>
      <c r="V142" s="116"/>
      <c r="W142" s="133"/>
      <c r="X142" s="115"/>
      <c r="Y142" s="133"/>
    </row>
    <row r="143" spans="1:25" ht="17" customHeight="1">
      <c r="A143" s="131" t="s">
        <v>899</v>
      </c>
      <c r="B143" s="131" t="s">
        <v>900</v>
      </c>
      <c r="C143" s="131">
        <v>965.32</v>
      </c>
      <c r="D143" s="131">
        <v>-0.8</v>
      </c>
      <c r="E143" s="131">
        <v>-0.02</v>
      </c>
      <c r="F143" s="131">
        <v>8.2100000000000009</v>
      </c>
      <c r="G143" s="131">
        <v>0.3</v>
      </c>
      <c r="H143" s="131">
        <v>1.08</v>
      </c>
      <c r="I143" s="131">
        <v>0.09</v>
      </c>
      <c r="J143" s="132">
        <v>41198</v>
      </c>
      <c r="K143" s="133" t="s">
        <v>458</v>
      </c>
      <c r="L143" s="126">
        <f t="shared" si="2"/>
        <v>0.13154689403166869</v>
      </c>
      <c r="M143" s="115"/>
      <c r="N143" s="133"/>
      <c r="O143" s="115"/>
      <c r="P143" s="115"/>
      <c r="Q143" s="116"/>
      <c r="R143" s="133"/>
      <c r="S143" s="117"/>
      <c r="T143" s="115"/>
      <c r="U143" s="116"/>
      <c r="V143" s="116"/>
      <c r="W143" s="133"/>
      <c r="X143" s="115"/>
      <c r="Y143" s="133"/>
    </row>
    <row r="144" spans="1:25" ht="17" customHeight="1">
      <c r="A144" s="131" t="s">
        <v>901</v>
      </c>
      <c r="B144" s="131" t="s">
        <v>902</v>
      </c>
      <c r="C144" s="131">
        <v>1835.16</v>
      </c>
      <c r="D144" s="131">
        <v>0.36</v>
      </c>
      <c r="E144" s="131">
        <v>-2.41</v>
      </c>
      <c r="F144" s="131">
        <v>10.77</v>
      </c>
      <c r="G144" s="131">
        <v>0.21</v>
      </c>
      <c r="H144" s="131">
        <v>0.88</v>
      </c>
      <c r="I144" s="131">
        <v>0.09</v>
      </c>
      <c r="J144" s="132">
        <v>38971</v>
      </c>
      <c r="K144" s="133" t="s">
        <v>458</v>
      </c>
      <c r="L144" s="126">
        <f t="shared" si="2"/>
        <v>8.1708449396471677E-2</v>
      </c>
      <c r="M144" s="115"/>
      <c r="N144" s="133"/>
      <c r="O144" s="115"/>
      <c r="P144" s="115"/>
      <c r="Q144" s="116"/>
      <c r="R144" s="133"/>
      <c r="S144" s="117"/>
      <c r="T144" s="115"/>
      <c r="U144" s="116"/>
      <c r="V144" s="116"/>
      <c r="W144" s="133"/>
      <c r="X144" s="115"/>
      <c r="Y144" s="133"/>
    </row>
    <row r="145" spans="1:25" ht="17" customHeight="1">
      <c r="A145" s="131" t="s">
        <v>602</v>
      </c>
      <c r="B145" s="131" t="s">
        <v>603</v>
      </c>
      <c r="C145" s="131">
        <v>3632.56</v>
      </c>
      <c r="D145" s="131">
        <v>-0.51</v>
      </c>
      <c r="E145" s="131">
        <v>10.65</v>
      </c>
      <c r="F145" s="131">
        <v>14.88</v>
      </c>
      <c r="G145" s="131">
        <v>0.15</v>
      </c>
      <c r="H145" s="131">
        <v>1.52</v>
      </c>
      <c r="I145" s="131">
        <v>0.1</v>
      </c>
      <c r="J145" s="132">
        <v>36529</v>
      </c>
      <c r="K145" s="133" t="s">
        <v>458</v>
      </c>
      <c r="L145" s="126">
        <f t="shared" si="2"/>
        <v>0.10215053763440859</v>
      </c>
      <c r="M145" s="115"/>
      <c r="N145" s="133"/>
      <c r="O145" s="115"/>
      <c r="P145" s="115"/>
      <c r="Q145" s="116"/>
      <c r="R145" s="133"/>
      <c r="S145" s="119"/>
      <c r="T145" s="120"/>
      <c r="U145" s="118"/>
      <c r="V145" s="118"/>
      <c r="W145" s="133"/>
      <c r="X145" s="115"/>
      <c r="Y145" s="133"/>
    </row>
    <row r="146" spans="1:25" ht="17" customHeight="1">
      <c r="A146" s="131" t="s">
        <v>903</v>
      </c>
      <c r="B146" s="131" t="s">
        <v>904</v>
      </c>
      <c r="C146" s="131">
        <v>6526.84</v>
      </c>
      <c r="D146" s="131">
        <v>-0.27</v>
      </c>
      <c r="E146" s="131">
        <v>26.21</v>
      </c>
      <c r="F146" s="131">
        <v>8.11</v>
      </c>
      <c r="G146" s="131">
        <v>0.33</v>
      </c>
      <c r="H146" s="131">
        <v>1.05</v>
      </c>
      <c r="I146" s="131">
        <v>0.1</v>
      </c>
      <c r="J146" s="132">
        <v>39265</v>
      </c>
      <c r="K146" s="133" t="s">
        <v>458</v>
      </c>
      <c r="L146" s="126">
        <f t="shared" si="2"/>
        <v>0.12946979038224415</v>
      </c>
      <c r="M146" s="115"/>
      <c r="N146" s="133"/>
      <c r="O146" s="115"/>
      <c r="P146" s="115"/>
      <c r="Q146" s="116"/>
      <c r="R146" s="133"/>
      <c r="S146" s="117"/>
      <c r="T146" s="115"/>
      <c r="U146" s="116"/>
      <c r="V146" s="116"/>
      <c r="W146" s="133"/>
      <c r="X146" s="115"/>
      <c r="Y146" s="133"/>
    </row>
    <row r="147" spans="1:25" ht="17" customHeight="1">
      <c r="A147" s="131" t="s">
        <v>643</v>
      </c>
      <c r="B147" s="131" t="s">
        <v>644</v>
      </c>
      <c r="C147" s="131">
        <v>3128.96</v>
      </c>
      <c r="D147" s="131">
        <v>-0.35</v>
      </c>
      <c r="E147" s="131">
        <v>9.1199999999999992</v>
      </c>
      <c r="F147" s="131">
        <v>38.92</v>
      </c>
      <c r="G147" s="131">
        <v>0.33</v>
      </c>
      <c r="H147" s="131">
        <v>2.0099999999999998</v>
      </c>
      <c r="I147" s="131">
        <v>0.1</v>
      </c>
      <c r="J147" s="132">
        <v>36529</v>
      </c>
      <c r="K147" s="133" t="s">
        <v>458</v>
      </c>
      <c r="L147" s="126">
        <f t="shared" si="2"/>
        <v>5.1644398766700919E-2</v>
      </c>
      <c r="M147" s="115"/>
      <c r="N147" s="133"/>
      <c r="O147" s="115"/>
      <c r="P147" s="115"/>
      <c r="Q147" s="116"/>
      <c r="R147" s="133"/>
      <c r="S147" s="119"/>
      <c r="T147" s="120"/>
      <c r="U147" s="118"/>
      <c r="V147" s="118"/>
      <c r="W147" s="133"/>
      <c r="X147" s="115"/>
      <c r="Y147" s="133"/>
    </row>
    <row r="148" spans="1:25" ht="17" customHeight="1">
      <c r="A148" s="131" t="s">
        <v>905</v>
      </c>
      <c r="B148" s="131" t="s">
        <v>906</v>
      </c>
      <c r="C148" s="131">
        <v>4417.07</v>
      </c>
      <c r="D148" s="131">
        <v>0.28999999999999998</v>
      </c>
      <c r="E148" s="131">
        <v>1.17</v>
      </c>
      <c r="F148" s="131">
        <v>18.329999999999998</v>
      </c>
      <c r="G148" s="131">
        <v>0.17</v>
      </c>
      <c r="H148" s="131">
        <v>2.44</v>
      </c>
      <c r="I148" s="131">
        <v>0.1</v>
      </c>
      <c r="J148" s="132">
        <v>40284</v>
      </c>
      <c r="K148" s="133" t="s">
        <v>458</v>
      </c>
      <c r="L148" s="126">
        <f t="shared" si="2"/>
        <v>0.1331151118385161</v>
      </c>
      <c r="M148" s="115"/>
      <c r="N148" s="133"/>
      <c r="O148" s="115"/>
      <c r="P148" s="115"/>
      <c r="Q148" s="116"/>
      <c r="R148" s="133"/>
      <c r="S148" s="117"/>
      <c r="T148" s="115"/>
      <c r="U148" s="116"/>
      <c r="V148" s="116"/>
      <c r="W148" s="133"/>
      <c r="X148" s="115"/>
      <c r="Y148" s="133"/>
    </row>
    <row r="149" spans="1:25" ht="17" customHeight="1">
      <c r="A149" s="131" t="s">
        <v>907</v>
      </c>
      <c r="B149" s="131" t="s">
        <v>760</v>
      </c>
      <c r="C149" s="131">
        <v>7863.73</v>
      </c>
      <c r="D149" s="131">
        <v>0.46</v>
      </c>
      <c r="E149" s="131">
        <v>-0.63</v>
      </c>
      <c r="F149" s="131">
        <v>24.02</v>
      </c>
      <c r="G149" s="131">
        <v>0.19</v>
      </c>
      <c r="H149" s="131">
        <v>2.4</v>
      </c>
      <c r="I149" s="131">
        <v>0.1</v>
      </c>
      <c r="J149" s="132">
        <v>42143</v>
      </c>
      <c r="K149" s="133" t="s">
        <v>458</v>
      </c>
      <c r="L149" s="126">
        <f t="shared" si="2"/>
        <v>9.9916736053288921E-2</v>
      </c>
      <c r="M149" s="115"/>
      <c r="N149" s="133"/>
      <c r="O149" s="115"/>
      <c r="P149" s="115"/>
      <c r="Q149" s="116"/>
      <c r="R149" s="133"/>
      <c r="S149" s="117"/>
      <c r="T149" s="115"/>
      <c r="U149" s="116"/>
      <c r="V149" s="116"/>
      <c r="W149" s="133"/>
      <c r="X149" s="115"/>
      <c r="Y149" s="133"/>
    </row>
    <row r="150" spans="1:25" ht="17" customHeight="1">
      <c r="A150" s="131" t="s">
        <v>468</v>
      </c>
      <c r="B150" s="131" t="s">
        <v>469</v>
      </c>
      <c r="C150" s="131">
        <v>2270.12</v>
      </c>
      <c r="D150" s="131">
        <v>0.19</v>
      </c>
      <c r="E150" s="131">
        <v>11.8</v>
      </c>
      <c r="F150" s="131">
        <v>16.64</v>
      </c>
      <c r="G150" s="131">
        <v>0.21</v>
      </c>
      <c r="H150" s="131">
        <v>1.38</v>
      </c>
      <c r="I150" s="131">
        <v>0.11</v>
      </c>
      <c r="J150" s="132">
        <v>36529</v>
      </c>
      <c r="K150" s="133" t="s">
        <v>458</v>
      </c>
      <c r="L150" s="126">
        <f t="shared" si="2"/>
        <v>8.2932692307692304E-2</v>
      </c>
      <c r="M150" s="115"/>
      <c r="N150" s="133"/>
      <c r="O150" s="115"/>
      <c r="P150" s="115"/>
      <c r="Q150" s="116"/>
      <c r="R150" s="133"/>
      <c r="S150" s="117"/>
      <c r="T150" s="115"/>
      <c r="U150" s="116"/>
      <c r="V150" s="116"/>
      <c r="W150" s="133"/>
      <c r="X150" s="115"/>
      <c r="Y150" s="133"/>
    </row>
    <row r="151" spans="1:25" ht="17" customHeight="1">
      <c r="A151" s="131" t="s">
        <v>908</v>
      </c>
      <c r="B151" s="131" t="s">
        <v>909</v>
      </c>
      <c r="C151" s="131">
        <v>4041.21</v>
      </c>
      <c r="D151" s="131">
        <v>0.18</v>
      </c>
      <c r="E151" s="131">
        <v>26.29</v>
      </c>
      <c r="F151" s="131">
        <v>13.05</v>
      </c>
      <c r="G151" s="131">
        <v>0.31</v>
      </c>
      <c r="H151" s="131">
        <v>1.47</v>
      </c>
      <c r="I151" s="131">
        <v>0.11</v>
      </c>
      <c r="J151" s="132">
        <v>39097</v>
      </c>
      <c r="K151" s="133" t="s">
        <v>458</v>
      </c>
      <c r="L151" s="126">
        <f t="shared" si="2"/>
        <v>0.11264367816091954</v>
      </c>
      <c r="M151" s="115"/>
      <c r="N151" s="133"/>
      <c r="O151" s="115"/>
      <c r="P151" s="115"/>
      <c r="Q151" s="116"/>
      <c r="R151" s="133"/>
      <c r="S151" s="117"/>
      <c r="T151" s="115"/>
      <c r="U151" s="116"/>
      <c r="V151" s="116"/>
      <c r="W151" s="133"/>
      <c r="X151" s="115"/>
      <c r="Y151" s="133"/>
    </row>
    <row r="152" spans="1:25" ht="17" customHeight="1">
      <c r="A152" s="131" t="s">
        <v>488</v>
      </c>
      <c r="B152" s="131" t="s">
        <v>489</v>
      </c>
      <c r="C152" s="131">
        <v>5615.53</v>
      </c>
      <c r="D152" s="131">
        <v>-1.17</v>
      </c>
      <c r="E152" s="131">
        <v>34.22</v>
      </c>
      <c r="F152" s="131">
        <v>11.58</v>
      </c>
      <c r="G152" s="131">
        <v>0.03</v>
      </c>
      <c r="H152" s="131">
        <v>1.71</v>
      </c>
      <c r="I152" s="131">
        <v>0.11</v>
      </c>
      <c r="J152" s="132">
        <v>36529</v>
      </c>
      <c r="K152" s="133" t="s">
        <v>458</v>
      </c>
      <c r="L152" s="126">
        <f t="shared" si="2"/>
        <v>0.14766839378238342</v>
      </c>
      <c r="M152" s="115"/>
      <c r="N152" s="133"/>
      <c r="O152" s="115"/>
      <c r="P152" s="115"/>
      <c r="Q152" s="116"/>
      <c r="R152" s="133"/>
      <c r="S152" s="117"/>
      <c r="T152" s="115"/>
      <c r="U152" s="116"/>
      <c r="V152" s="116"/>
      <c r="W152" s="133"/>
      <c r="X152" s="115"/>
      <c r="Y152" s="133"/>
    </row>
    <row r="153" spans="1:25" ht="17" customHeight="1">
      <c r="A153" s="131" t="s">
        <v>910</v>
      </c>
      <c r="B153" s="131" t="s">
        <v>911</v>
      </c>
      <c r="C153" s="131">
        <v>4928</v>
      </c>
      <c r="D153" s="131">
        <v>-0.02</v>
      </c>
      <c r="E153" s="131">
        <v>18.29</v>
      </c>
      <c r="F153" s="131">
        <v>13.05</v>
      </c>
      <c r="G153" s="131">
        <v>0.31</v>
      </c>
      <c r="H153" s="131">
        <v>1.47</v>
      </c>
      <c r="I153" s="131">
        <v>0.11</v>
      </c>
      <c r="J153" s="132">
        <v>39097</v>
      </c>
      <c r="K153" s="133" t="s">
        <v>458</v>
      </c>
      <c r="L153" s="126">
        <f t="shared" si="2"/>
        <v>0.11264367816091954</v>
      </c>
      <c r="M153" s="115"/>
      <c r="N153" s="133"/>
      <c r="O153" s="115"/>
      <c r="P153" s="115"/>
      <c r="Q153" s="116"/>
      <c r="R153" s="133"/>
      <c r="S153" s="117"/>
      <c r="T153" s="115"/>
      <c r="U153" s="116"/>
      <c r="V153" s="116"/>
      <c r="W153" s="133"/>
      <c r="X153" s="115"/>
      <c r="Y153" s="133"/>
    </row>
    <row r="154" spans="1:25" ht="17" customHeight="1">
      <c r="A154" s="131" t="s">
        <v>912</v>
      </c>
      <c r="B154" s="131" t="s">
        <v>68</v>
      </c>
      <c r="C154" s="131">
        <v>5850.82</v>
      </c>
      <c r="D154" s="131">
        <v>-0.38</v>
      </c>
      <c r="E154" s="131">
        <v>22.68</v>
      </c>
      <c r="F154" s="131">
        <v>8.34</v>
      </c>
      <c r="G154" s="131">
        <v>0.48</v>
      </c>
      <c r="H154" s="131">
        <v>1.06</v>
      </c>
      <c r="I154" s="131">
        <v>0.11</v>
      </c>
      <c r="J154" s="132">
        <v>40757</v>
      </c>
      <c r="K154" s="133" t="s">
        <v>458</v>
      </c>
      <c r="L154" s="126">
        <f t="shared" si="2"/>
        <v>0.12709832134292567</v>
      </c>
      <c r="M154" s="115"/>
      <c r="N154" s="133"/>
      <c r="O154" s="115"/>
      <c r="P154" s="115"/>
      <c r="Q154" s="116"/>
      <c r="R154" s="133"/>
      <c r="S154" s="119"/>
      <c r="T154" s="120"/>
      <c r="U154" s="118"/>
      <c r="V154" s="118"/>
      <c r="W154" s="133"/>
      <c r="X154" s="115"/>
      <c r="Y154" s="133"/>
    </row>
    <row r="155" spans="1:25" ht="17" customHeight="1">
      <c r="A155" s="131" t="s">
        <v>667</v>
      </c>
      <c r="B155" s="131" t="s">
        <v>668</v>
      </c>
      <c r="C155" s="131">
        <v>6440.7</v>
      </c>
      <c r="D155" s="131">
        <v>1.35</v>
      </c>
      <c r="E155" s="131">
        <v>24.16</v>
      </c>
      <c r="F155" s="131">
        <v>31.02</v>
      </c>
      <c r="G155" s="131">
        <v>0.26</v>
      </c>
      <c r="H155" s="131">
        <v>2.19</v>
      </c>
      <c r="I155" s="131">
        <v>0.11</v>
      </c>
      <c r="J155" s="132">
        <v>36529</v>
      </c>
      <c r="K155" s="133" t="s">
        <v>458</v>
      </c>
      <c r="L155" s="126">
        <f t="shared" si="2"/>
        <v>7.0599613152804636E-2</v>
      </c>
      <c r="M155" s="115"/>
      <c r="N155" s="133"/>
      <c r="O155" s="115"/>
      <c r="P155" s="115"/>
      <c r="Q155" s="116"/>
      <c r="R155" s="133"/>
      <c r="S155" s="117"/>
      <c r="T155" s="115"/>
      <c r="U155" s="116"/>
      <c r="V155" s="116"/>
      <c r="W155" s="133"/>
      <c r="X155" s="115"/>
      <c r="Y155" s="133"/>
    </row>
    <row r="156" spans="1:25" ht="17" customHeight="1">
      <c r="A156" s="131" t="s">
        <v>913</v>
      </c>
      <c r="B156" s="131" t="s">
        <v>914</v>
      </c>
      <c r="C156" s="131">
        <v>970.42</v>
      </c>
      <c r="D156" s="131">
        <v>0.83</v>
      </c>
      <c r="E156" s="131">
        <v>1.99</v>
      </c>
      <c r="F156" s="131">
        <v>18.47</v>
      </c>
      <c r="G156" s="131">
        <v>0.01</v>
      </c>
      <c r="H156" s="131">
        <v>2.12</v>
      </c>
      <c r="I156" s="131">
        <v>0.11</v>
      </c>
      <c r="J156" s="132">
        <v>40564</v>
      </c>
      <c r="K156" s="133" t="s">
        <v>458</v>
      </c>
      <c r="L156" s="126">
        <f t="shared" si="2"/>
        <v>0.11478072550081214</v>
      </c>
      <c r="M156" s="115"/>
      <c r="N156" s="133"/>
      <c r="O156" s="115"/>
      <c r="P156" s="115"/>
      <c r="Q156" s="116"/>
      <c r="R156" s="133"/>
      <c r="S156" s="117"/>
      <c r="T156" s="115"/>
      <c r="U156" s="116"/>
      <c r="V156" s="116"/>
      <c r="W156" s="133"/>
      <c r="X156" s="115"/>
      <c r="Y156" s="133"/>
    </row>
    <row r="157" spans="1:25" ht="17" customHeight="1">
      <c r="A157" s="131" t="s">
        <v>677</v>
      </c>
      <c r="B157" s="131" t="s">
        <v>678</v>
      </c>
      <c r="C157" s="131">
        <v>2738.72</v>
      </c>
      <c r="D157" s="131">
        <v>0.36</v>
      </c>
      <c r="E157" s="131">
        <v>-1.99</v>
      </c>
      <c r="F157" s="131">
        <v>38.590000000000003</v>
      </c>
      <c r="G157" s="131">
        <v>0.46</v>
      </c>
      <c r="H157" s="131">
        <v>1.66</v>
      </c>
      <c r="I157" s="131">
        <v>0.11</v>
      </c>
      <c r="J157" s="132">
        <v>36529</v>
      </c>
      <c r="K157" s="133" t="s">
        <v>458</v>
      </c>
      <c r="L157" s="126">
        <f t="shared" si="2"/>
        <v>4.301632547292044E-2</v>
      </c>
      <c r="M157" s="115"/>
      <c r="N157" s="133"/>
      <c r="O157" s="115"/>
      <c r="P157" s="115"/>
      <c r="Q157" s="116"/>
      <c r="R157" s="133"/>
      <c r="S157" s="119"/>
      <c r="T157" s="120"/>
      <c r="U157" s="118"/>
      <c r="V157" s="118"/>
      <c r="W157" s="133"/>
      <c r="X157" s="115"/>
      <c r="Y157" s="133"/>
    </row>
    <row r="158" spans="1:25" ht="17" customHeight="1">
      <c r="A158" s="131" t="s">
        <v>915</v>
      </c>
      <c r="B158" s="131" t="s">
        <v>916</v>
      </c>
      <c r="C158" s="131">
        <v>3371.21</v>
      </c>
      <c r="D158" s="131">
        <v>0.05</v>
      </c>
      <c r="E158" s="131">
        <v>8.42</v>
      </c>
      <c r="F158" s="131">
        <v>41.5</v>
      </c>
      <c r="G158" s="131">
        <v>0.28999999999999998</v>
      </c>
      <c r="H158" s="131">
        <v>1.94</v>
      </c>
      <c r="I158" s="131">
        <v>0.11</v>
      </c>
      <c r="J158" s="132">
        <v>41264</v>
      </c>
      <c r="K158" s="133" t="s">
        <v>458</v>
      </c>
      <c r="L158" s="126">
        <f t="shared" si="2"/>
        <v>4.6746987951807227E-2</v>
      </c>
      <c r="M158" s="115"/>
      <c r="N158" s="133"/>
      <c r="O158" s="115"/>
      <c r="P158" s="115"/>
      <c r="Q158" s="116"/>
      <c r="R158" s="133"/>
      <c r="S158" s="117"/>
      <c r="T158" s="115"/>
      <c r="U158" s="116"/>
      <c r="V158" s="116"/>
      <c r="W158" s="133"/>
      <c r="X158" s="115"/>
      <c r="Y158" s="133"/>
    </row>
    <row r="159" spans="1:25" ht="17" customHeight="1">
      <c r="A159" s="131" t="s">
        <v>917</v>
      </c>
      <c r="B159" s="131" t="s">
        <v>918</v>
      </c>
      <c r="C159" s="131">
        <v>4719.75</v>
      </c>
      <c r="D159" s="131">
        <v>0.09</v>
      </c>
      <c r="E159" s="131">
        <v>12.23</v>
      </c>
      <c r="F159" s="131">
        <v>9.17</v>
      </c>
      <c r="G159" s="131">
        <v>0.26</v>
      </c>
      <c r="H159" s="131">
        <v>1.17</v>
      </c>
      <c r="I159" s="131">
        <v>0.11</v>
      </c>
      <c r="J159" s="132">
        <v>41894</v>
      </c>
      <c r="K159" s="133" t="s">
        <v>458</v>
      </c>
      <c r="L159" s="126">
        <f t="shared" si="2"/>
        <v>0.12758996728462377</v>
      </c>
      <c r="M159" s="115"/>
      <c r="N159" s="133"/>
      <c r="O159" s="115"/>
      <c r="P159" s="115"/>
      <c r="Q159" s="116"/>
      <c r="R159" s="133"/>
      <c r="S159" s="117"/>
      <c r="T159" s="115"/>
      <c r="U159" s="116"/>
      <c r="V159" s="116"/>
      <c r="W159" s="133"/>
      <c r="X159" s="115"/>
      <c r="Y159" s="133"/>
    </row>
    <row r="160" spans="1:25" ht="17" customHeight="1">
      <c r="A160" s="131" t="s">
        <v>919</v>
      </c>
      <c r="B160" s="131" t="s">
        <v>92</v>
      </c>
      <c r="C160" s="131">
        <v>1243.57</v>
      </c>
      <c r="D160" s="131">
        <v>0.04</v>
      </c>
      <c r="E160" s="131">
        <v>14.24</v>
      </c>
      <c r="F160" s="131">
        <v>36.15</v>
      </c>
      <c r="G160" s="131">
        <v>0.38</v>
      </c>
      <c r="H160" s="131">
        <v>2.62</v>
      </c>
      <c r="I160" s="131">
        <v>0.11</v>
      </c>
      <c r="J160" s="132">
        <v>41744</v>
      </c>
      <c r="K160" s="133" t="s">
        <v>458</v>
      </c>
      <c r="L160" s="126">
        <f t="shared" si="2"/>
        <v>7.2475795297372067E-2</v>
      </c>
      <c r="M160" s="115"/>
      <c r="N160" s="133"/>
      <c r="O160" s="115"/>
      <c r="P160" s="115"/>
      <c r="Q160" s="116"/>
      <c r="R160" s="133"/>
      <c r="S160" s="117"/>
      <c r="T160" s="115"/>
      <c r="U160" s="116"/>
      <c r="V160" s="116"/>
      <c r="W160" s="133"/>
      <c r="X160" s="115"/>
      <c r="Y160" s="133"/>
    </row>
    <row r="161" spans="1:25" ht="17" customHeight="1">
      <c r="A161" s="131" t="s">
        <v>920</v>
      </c>
      <c r="B161" s="131" t="s">
        <v>921</v>
      </c>
      <c r="C161" s="131">
        <v>3526.92</v>
      </c>
      <c r="D161" s="131">
        <v>0.96</v>
      </c>
      <c r="E161" s="131">
        <v>1.25</v>
      </c>
      <c r="F161" s="131">
        <v>6.17</v>
      </c>
      <c r="G161" s="131">
        <v>0.19</v>
      </c>
      <c r="H161" s="131">
        <v>0.66</v>
      </c>
      <c r="I161" s="131">
        <v>0.11</v>
      </c>
      <c r="J161" s="132">
        <v>43262</v>
      </c>
      <c r="K161" s="133" t="s">
        <v>458</v>
      </c>
      <c r="L161" s="126">
        <f t="shared" si="2"/>
        <v>0.10696920583468396</v>
      </c>
      <c r="M161" s="115"/>
      <c r="N161" s="133"/>
      <c r="O161" s="115"/>
      <c r="P161" s="115"/>
      <c r="Q161" s="116"/>
      <c r="R161" s="133"/>
      <c r="S161" s="117"/>
      <c r="T161" s="115"/>
      <c r="U161" s="116"/>
      <c r="V161" s="116"/>
      <c r="W161" s="133"/>
      <c r="X161" s="115"/>
      <c r="Y161" s="133"/>
    </row>
    <row r="162" spans="1:25" ht="17" customHeight="1">
      <c r="A162" s="131" t="s">
        <v>510</v>
      </c>
      <c r="B162" s="131" t="s">
        <v>511</v>
      </c>
      <c r="C162" s="131">
        <v>2102.09</v>
      </c>
      <c r="D162" s="131">
        <v>-0.12</v>
      </c>
      <c r="E162" s="131">
        <v>11.38</v>
      </c>
      <c r="F162" s="131">
        <v>22.35</v>
      </c>
      <c r="G162" s="131">
        <v>0.16</v>
      </c>
      <c r="H162" s="131">
        <v>1.63</v>
      </c>
      <c r="I162" s="131">
        <v>0.12</v>
      </c>
      <c r="J162" s="132">
        <v>36529</v>
      </c>
      <c r="K162" s="133" t="s">
        <v>458</v>
      </c>
      <c r="L162" s="126">
        <f t="shared" si="2"/>
        <v>7.2930648769574932E-2</v>
      </c>
      <c r="M162" s="115"/>
      <c r="N162" s="133"/>
      <c r="O162" s="115"/>
      <c r="P162" s="115"/>
      <c r="Q162" s="116"/>
      <c r="R162" s="133"/>
      <c r="S162" s="117"/>
      <c r="T162" s="115"/>
      <c r="U162" s="116"/>
      <c r="V162" s="116"/>
      <c r="W162" s="133"/>
      <c r="X162" s="115"/>
      <c r="Y162" s="133"/>
    </row>
    <row r="163" spans="1:25" ht="17" customHeight="1">
      <c r="A163" s="131" t="s">
        <v>922</v>
      </c>
      <c r="B163" s="131" t="s">
        <v>923</v>
      </c>
      <c r="C163" s="131">
        <v>2303.5700000000002</v>
      </c>
      <c r="D163" s="131">
        <v>-0.05</v>
      </c>
      <c r="E163" s="131">
        <v>18.010000000000002</v>
      </c>
      <c r="F163" s="131">
        <v>9.5</v>
      </c>
      <c r="G163" s="131">
        <v>0.36</v>
      </c>
      <c r="H163" s="131">
        <v>1.1599999999999999</v>
      </c>
      <c r="I163" s="131">
        <v>0.12</v>
      </c>
      <c r="J163" s="132">
        <v>40547</v>
      </c>
      <c r="K163" s="133" t="s">
        <v>458</v>
      </c>
      <c r="L163" s="126">
        <f t="shared" si="2"/>
        <v>0.12210526315789473</v>
      </c>
      <c r="M163" s="115"/>
      <c r="N163" s="133"/>
      <c r="O163" s="115"/>
      <c r="P163" s="115"/>
      <c r="Q163" s="116"/>
      <c r="R163" s="133"/>
      <c r="S163" s="117"/>
      <c r="T163" s="115"/>
      <c r="U163" s="116"/>
      <c r="V163" s="116"/>
      <c r="W163" s="133"/>
      <c r="X163" s="115"/>
      <c r="Y163" s="133"/>
    </row>
    <row r="164" spans="1:25" ht="17" customHeight="1">
      <c r="A164" s="131" t="s">
        <v>614</v>
      </c>
      <c r="B164" s="131" t="s">
        <v>615</v>
      </c>
      <c r="C164" s="131">
        <v>1678.11</v>
      </c>
      <c r="D164" s="131">
        <v>-0.34</v>
      </c>
      <c r="E164" s="131">
        <v>-2.66</v>
      </c>
      <c r="F164" s="131">
        <v>26.04</v>
      </c>
      <c r="G164" s="131">
        <v>0.39</v>
      </c>
      <c r="H164" s="131">
        <v>1.8</v>
      </c>
      <c r="I164" s="131">
        <v>0.12</v>
      </c>
      <c r="J164" s="132">
        <v>36529</v>
      </c>
      <c r="K164" s="133" t="s">
        <v>458</v>
      </c>
      <c r="L164" s="126">
        <f t="shared" si="2"/>
        <v>6.9124423963133647E-2</v>
      </c>
    </row>
    <row r="165" spans="1:25" ht="17" customHeight="1">
      <c r="A165" s="131" t="s">
        <v>924</v>
      </c>
      <c r="B165" s="131" t="s">
        <v>925</v>
      </c>
      <c r="C165" s="131">
        <v>2422.09</v>
      </c>
      <c r="D165" s="131">
        <v>0.22</v>
      </c>
      <c r="E165" s="131">
        <v>13.33</v>
      </c>
      <c r="F165" s="131">
        <v>17.079999999999998</v>
      </c>
      <c r="G165" s="131">
        <v>0.14000000000000001</v>
      </c>
      <c r="H165" s="131">
        <v>1.67</v>
      </c>
      <c r="I165" s="131">
        <v>0.12</v>
      </c>
      <c r="J165" s="132">
        <v>41991</v>
      </c>
      <c r="K165" s="133" t="s">
        <v>458</v>
      </c>
      <c r="L165" s="126">
        <f t="shared" si="2"/>
        <v>9.7775175644028114E-2</v>
      </c>
    </row>
    <row r="166" spans="1:25" ht="17" customHeight="1">
      <c r="A166" s="131" t="s">
        <v>926</v>
      </c>
      <c r="B166" s="131" t="s">
        <v>927</v>
      </c>
      <c r="C166" s="131">
        <v>5394.59</v>
      </c>
      <c r="D166" s="131">
        <v>0.56000000000000005</v>
      </c>
      <c r="E166" s="131">
        <v>19.05</v>
      </c>
      <c r="F166" s="131">
        <v>59.25</v>
      </c>
      <c r="G166" s="131">
        <v>0.44</v>
      </c>
      <c r="H166" s="131">
        <v>2.36</v>
      </c>
      <c r="I166" s="131">
        <v>0.12</v>
      </c>
      <c r="J166" s="132">
        <v>40121</v>
      </c>
      <c r="K166" s="133" t="s">
        <v>458</v>
      </c>
      <c r="L166" s="126">
        <f t="shared" si="2"/>
        <v>3.9831223628691979E-2</v>
      </c>
    </row>
    <row r="167" spans="1:25" ht="17" customHeight="1">
      <c r="A167" s="131" t="s">
        <v>566</v>
      </c>
      <c r="B167" s="131" t="s">
        <v>567</v>
      </c>
      <c r="C167" s="131">
        <v>2364.87</v>
      </c>
      <c r="D167" s="131">
        <v>1.56</v>
      </c>
      <c r="E167" s="131">
        <v>36.6</v>
      </c>
      <c r="F167" s="131">
        <v>107.86</v>
      </c>
      <c r="G167" s="131">
        <v>0.71</v>
      </c>
      <c r="H167" s="131">
        <v>1.66</v>
      </c>
      <c r="I167" s="131">
        <v>0.13</v>
      </c>
      <c r="J167" s="132">
        <v>39265</v>
      </c>
      <c r="K167" s="133" t="s">
        <v>458</v>
      </c>
      <c r="L167" s="126">
        <f t="shared" si="2"/>
        <v>1.5390320786204338E-2</v>
      </c>
    </row>
    <row r="168" spans="1:25" ht="17" customHeight="1">
      <c r="A168" s="131" t="s">
        <v>651</v>
      </c>
      <c r="B168" s="131" t="s">
        <v>652</v>
      </c>
      <c r="C168" s="131">
        <v>8855.5300000000007</v>
      </c>
      <c r="D168" s="131">
        <v>2.5499999999999998</v>
      </c>
      <c r="E168" s="131">
        <v>25.05</v>
      </c>
      <c r="F168" s="131">
        <v>29.71</v>
      </c>
      <c r="G168" s="131">
        <v>0.19</v>
      </c>
      <c r="H168" s="131">
        <v>2.96</v>
      </c>
      <c r="I168" s="131">
        <v>0.13</v>
      </c>
      <c r="J168" s="132">
        <v>36529</v>
      </c>
      <c r="K168" s="133" t="s">
        <v>458</v>
      </c>
      <c r="L168" s="126">
        <f t="shared" si="2"/>
        <v>9.9629754291484351E-2</v>
      </c>
    </row>
    <row r="169" spans="1:25" ht="17" customHeight="1">
      <c r="A169" s="131" t="s">
        <v>928</v>
      </c>
      <c r="B169" s="131" t="s">
        <v>59</v>
      </c>
      <c r="C169" s="131">
        <v>1162.17</v>
      </c>
      <c r="D169" s="131">
        <v>0.64</v>
      </c>
      <c r="E169" s="131">
        <v>9.52</v>
      </c>
      <c r="F169" s="131">
        <v>22.62</v>
      </c>
      <c r="G169" s="131">
        <v>0.15</v>
      </c>
      <c r="H169" s="131">
        <v>2.13</v>
      </c>
      <c r="I169" s="131">
        <v>0.13</v>
      </c>
      <c r="J169" s="132">
        <v>41177</v>
      </c>
      <c r="K169" s="133" t="s">
        <v>458</v>
      </c>
      <c r="L169" s="126">
        <f t="shared" si="2"/>
        <v>9.4164456233421748E-2</v>
      </c>
    </row>
    <row r="170" spans="1:25" ht="17" customHeight="1">
      <c r="A170" s="131" t="s">
        <v>929</v>
      </c>
      <c r="B170" s="131" t="s">
        <v>930</v>
      </c>
      <c r="C170" s="131">
        <v>1658.02</v>
      </c>
      <c r="D170" s="131">
        <v>2.08</v>
      </c>
      <c r="E170" s="131">
        <v>11.3</v>
      </c>
      <c r="F170" s="131">
        <v>28.65</v>
      </c>
      <c r="G170" s="131">
        <v>0.46</v>
      </c>
      <c r="H170" s="131">
        <v>1.95</v>
      </c>
      <c r="I170" s="131">
        <v>0.13</v>
      </c>
      <c r="J170" s="132">
        <v>41906</v>
      </c>
      <c r="K170" s="133" t="s">
        <v>458</v>
      </c>
      <c r="L170" s="126">
        <f t="shared" si="2"/>
        <v>6.8062827225130892E-2</v>
      </c>
    </row>
    <row r="171" spans="1:25" ht="17" customHeight="1">
      <c r="A171" s="131" t="s">
        <v>931</v>
      </c>
      <c r="B171" s="131" t="s">
        <v>932</v>
      </c>
      <c r="C171" s="131">
        <v>9808.0499999999993</v>
      </c>
      <c r="D171" s="131">
        <v>0.64</v>
      </c>
      <c r="E171" s="131">
        <v>28.29</v>
      </c>
      <c r="F171" s="131">
        <v>33.31</v>
      </c>
      <c r="G171" s="131">
        <v>0.55000000000000004</v>
      </c>
      <c r="H171" s="131">
        <v>3.53</v>
      </c>
      <c r="I171" s="131">
        <v>0.13</v>
      </c>
      <c r="J171" s="132">
        <v>41264</v>
      </c>
      <c r="K171" s="133" t="s">
        <v>458</v>
      </c>
      <c r="L171" s="126">
        <f t="shared" si="2"/>
        <v>0.10597418192734913</v>
      </c>
    </row>
    <row r="172" spans="1:25" ht="17" customHeight="1">
      <c r="A172" s="131" t="s">
        <v>675</v>
      </c>
      <c r="B172" s="131" t="s">
        <v>676</v>
      </c>
      <c r="C172" s="131">
        <v>3496.02</v>
      </c>
      <c r="D172" s="131">
        <v>0.52</v>
      </c>
      <c r="E172" s="131">
        <v>22.85</v>
      </c>
      <c r="F172" s="131">
        <v>19.29</v>
      </c>
      <c r="G172" s="131">
        <v>7.0000000000000007E-2</v>
      </c>
      <c r="H172" s="131">
        <v>1.68</v>
      </c>
      <c r="I172" s="131">
        <v>0.14000000000000001</v>
      </c>
      <c r="J172" s="132">
        <v>36529</v>
      </c>
      <c r="K172" s="133" t="s">
        <v>458</v>
      </c>
      <c r="L172" s="126">
        <f t="shared" si="2"/>
        <v>8.7091757387247282E-2</v>
      </c>
    </row>
    <row r="173" spans="1:25" ht="17" customHeight="1">
      <c r="A173" s="131" t="s">
        <v>933</v>
      </c>
      <c r="B173" s="131" t="s">
        <v>934</v>
      </c>
      <c r="C173" s="131">
        <v>1373.74</v>
      </c>
      <c r="D173" s="131">
        <v>1.01</v>
      </c>
      <c r="E173" s="131">
        <v>13.61</v>
      </c>
      <c r="F173" s="131">
        <v>30.68</v>
      </c>
      <c r="G173" s="131">
        <v>0.25</v>
      </c>
      <c r="H173" s="131">
        <v>2.15</v>
      </c>
      <c r="I173" s="131">
        <v>0.14000000000000001</v>
      </c>
      <c r="J173" s="132">
        <v>42045</v>
      </c>
      <c r="K173" s="133" t="s">
        <v>458</v>
      </c>
      <c r="L173" s="126">
        <f t="shared" si="2"/>
        <v>7.0078226857887879E-2</v>
      </c>
    </row>
    <row r="174" spans="1:25" ht="17" customHeight="1">
      <c r="A174" s="131" t="s">
        <v>689</v>
      </c>
      <c r="B174" s="131" t="s">
        <v>690</v>
      </c>
      <c r="C174" s="131">
        <v>6780.16</v>
      </c>
      <c r="D174" s="131">
        <v>0.7</v>
      </c>
      <c r="E174" s="131">
        <v>8.26</v>
      </c>
      <c r="F174" s="131">
        <v>63.35</v>
      </c>
      <c r="G174" s="131">
        <v>0.68</v>
      </c>
      <c r="H174" s="131">
        <v>2.74</v>
      </c>
      <c r="I174" s="131">
        <v>0.14000000000000001</v>
      </c>
      <c r="J174" s="132">
        <v>36529</v>
      </c>
      <c r="K174" s="133" t="s">
        <v>458</v>
      </c>
      <c r="L174" s="126">
        <f t="shared" si="2"/>
        <v>4.3251775848460933E-2</v>
      </c>
    </row>
    <row r="175" spans="1:25" ht="17" customHeight="1">
      <c r="A175" s="131" t="s">
        <v>691</v>
      </c>
      <c r="B175" s="131" t="s">
        <v>692</v>
      </c>
      <c r="C175" s="131">
        <v>6328.08</v>
      </c>
      <c r="D175" s="131">
        <v>0.86</v>
      </c>
      <c r="E175" s="131">
        <v>13.22</v>
      </c>
      <c r="F175" s="131">
        <v>42.75</v>
      </c>
      <c r="G175" s="131">
        <v>0.51</v>
      </c>
      <c r="H175" s="131">
        <v>2.6</v>
      </c>
      <c r="I175" s="131">
        <v>0.14000000000000001</v>
      </c>
      <c r="J175" s="132">
        <v>39265</v>
      </c>
      <c r="K175" s="133" t="s">
        <v>458</v>
      </c>
      <c r="L175" s="126">
        <f t="shared" si="2"/>
        <v>6.0818713450292397E-2</v>
      </c>
    </row>
    <row r="176" spans="1:25" ht="17" customHeight="1">
      <c r="A176" s="131" t="s">
        <v>935</v>
      </c>
      <c r="B176" s="131" t="s">
        <v>936</v>
      </c>
      <c r="C176" s="131">
        <v>3212.68</v>
      </c>
      <c r="D176" s="131">
        <v>0.13</v>
      </c>
      <c r="E176" s="131">
        <v>9.5</v>
      </c>
      <c r="F176" s="131">
        <v>42.07</v>
      </c>
      <c r="G176" s="131">
        <v>0.23</v>
      </c>
      <c r="H176" s="131">
        <v>1.98</v>
      </c>
      <c r="I176" s="131">
        <v>0.14000000000000001</v>
      </c>
      <c r="J176" s="132">
        <v>41211</v>
      </c>
      <c r="K176" s="133" t="s">
        <v>458</v>
      </c>
      <c r="L176" s="126">
        <f t="shared" si="2"/>
        <v>4.7064416448775848E-2</v>
      </c>
    </row>
    <row r="177" spans="1:12" ht="17" customHeight="1">
      <c r="A177" s="131" t="s">
        <v>937</v>
      </c>
      <c r="B177" s="131" t="s">
        <v>938</v>
      </c>
      <c r="C177" s="131">
        <v>2152.2199999999998</v>
      </c>
      <c r="D177" s="131">
        <v>0.24</v>
      </c>
      <c r="E177" s="131">
        <v>18.2</v>
      </c>
      <c r="F177" s="131">
        <v>38.78</v>
      </c>
      <c r="G177" s="131">
        <v>0.33</v>
      </c>
      <c r="H177" s="131">
        <v>3.4</v>
      </c>
      <c r="I177" s="131">
        <v>0.14000000000000001</v>
      </c>
      <c r="J177" s="132">
        <v>41841</v>
      </c>
      <c r="K177" s="133" t="s">
        <v>458</v>
      </c>
      <c r="L177" s="126">
        <f t="shared" si="2"/>
        <v>8.7674058793192358E-2</v>
      </c>
    </row>
    <row r="178" spans="1:12" ht="17" customHeight="1">
      <c r="A178" s="131" t="s">
        <v>939</v>
      </c>
      <c r="B178" s="131" t="s">
        <v>36</v>
      </c>
      <c r="C178" s="131">
        <v>3891.65</v>
      </c>
      <c r="D178" s="131">
        <v>0.35</v>
      </c>
      <c r="E178" s="131">
        <v>29.26</v>
      </c>
      <c r="F178" s="131">
        <v>11.82</v>
      </c>
      <c r="G178" s="131">
        <v>0.28999999999999998</v>
      </c>
      <c r="H178" s="131">
        <v>1.42</v>
      </c>
      <c r="I178" s="131">
        <v>0.15</v>
      </c>
      <c r="J178" s="132">
        <v>38450</v>
      </c>
      <c r="K178" s="133" t="s">
        <v>458</v>
      </c>
      <c r="L178" s="126">
        <f t="shared" si="2"/>
        <v>0.12013536379018612</v>
      </c>
    </row>
    <row r="179" spans="1:12" ht="17" customHeight="1">
      <c r="A179" s="131" t="s">
        <v>940</v>
      </c>
      <c r="B179" s="131" t="s">
        <v>47</v>
      </c>
      <c r="C179" s="131">
        <v>975.99</v>
      </c>
      <c r="D179" s="131">
        <v>0.77</v>
      </c>
      <c r="E179" s="131">
        <v>24.37</v>
      </c>
      <c r="F179" s="131">
        <v>24.47</v>
      </c>
      <c r="G179" s="131">
        <v>0.23</v>
      </c>
      <c r="H179" s="131">
        <v>4.09</v>
      </c>
      <c r="I179" s="131">
        <v>0.15</v>
      </c>
      <c r="J179" s="132">
        <v>40261</v>
      </c>
      <c r="K179" s="133" t="s">
        <v>458</v>
      </c>
      <c r="L179" s="126">
        <f t="shared" si="2"/>
        <v>0.16714344094809971</v>
      </c>
    </row>
    <row r="180" spans="1:12" ht="17" customHeight="1">
      <c r="A180" s="131" t="s">
        <v>596</v>
      </c>
      <c r="B180" s="131" t="s">
        <v>597</v>
      </c>
      <c r="C180" s="131">
        <v>1988.81</v>
      </c>
      <c r="D180" s="131">
        <v>-0.56999999999999995</v>
      </c>
      <c r="E180" s="131">
        <v>5.24</v>
      </c>
      <c r="F180" s="131">
        <v>44.56</v>
      </c>
      <c r="G180" s="131">
        <v>0.26</v>
      </c>
      <c r="H180" s="131">
        <v>2.13</v>
      </c>
      <c r="I180" s="131">
        <v>0.15</v>
      </c>
      <c r="J180" s="132">
        <v>36529</v>
      </c>
      <c r="K180" s="133" t="s">
        <v>458</v>
      </c>
      <c r="L180" s="126">
        <f t="shared" si="2"/>
        <v>4.7800718132854574E-2</v>
      </c>
    </row>
    <row r="181" spans="1:12" ht="17" customHeight="1">
      <c r="A181" s="131" t="s">
        <v>723</v>
      </c>
      <c r="B181" s="131" t="s">
        <v>724</v>
      </c>
      <c r="C181" s="131">
        <v>2851.73</v>
      </c>
      <c r="D181" s="131">
        <v>0.23</v>
      </c>
      <c r="E181" s="131">
        <v>22.3</v>
      </c>
      <c r="F181" s="131">
        <v>37.25</v>
      </c>
      <c r="G181" s="131">
        <v>0.04</v>
      </c>
      <c r="H181" s="131">
        <v>3.02</v>
      </c>
      <c r="I181" s="131">
        <v>0.15</v>
      </c>
      <c r="J181" s="132">
        <v>36529</v>
      </c>
      <c r="K181" s="133" t="s">
        <v>458</v>
      </c>
      <c r="L181" s="126">
        <f t="shared" si="2"/>
        <v>8.1073825503355706E-2</v>
      </c>
    </row>
    <row r="182" spans="1:12" ht="17" customHeight="1">
      <c r="A182" s="131" t="s">
        <v>941</v>
      </c>
      <c r="B182" s="131" t="s">
        <v>942</v>
      </c>
      <c r="C182" s="131">
        <v>1093.92</v>
      </c>
      <c r="D182" s="131">
        <v>0.35</v>
      </c>
      <c r="E182" s="131">
        <v>17.14</v>
      </c>
      <c r="F182" s="131">
        <v>40.07</v>
      </c>
      <c r="G182" s="131">
        <v>0.01</v>
      </c>
      <c r="H182" s="131">
        <v>2.85</v>
      </c>
      <c r="I182" s="131">
        <v>0.15</v>
      </c>
      <c r="J182" s="132">
        <v>41744</v>
      </c>
      <c r="K182" s="133" t="s">
        <v>458</v>
      </c>
      <c r="L182" s="126">
        <f t="shared" si="2"/>
        <v>7.1125530321936609E-2</v>
      </c>
    </row>
    <row r="183" spans="1:12" ht="17" customHeight="1">
      <c r="A183" s="131" t="s">
        <v>943</v>
      </c>
      <c r="B183" s="131" t="s">
        <v>72</v>
      </c>
      <c r="C183" s="131">
        <v>683.3</v>
      </c>
      <c r="D183" s="131">
        <v>0.06</v>
      </c>
      <c r="E183" s="131">
        <v>25.3</v>
      </c>
      <c r="F183" s="131">
        <v>24.93</v>
      </c>
      <c r="G183" s="131">
        <v>0.5</v>
      </c>
      <c r="H183" s="131">
        <v>1.53</v>
      </c>
      <c r="I183" s="131">
        <v>0.15</v>
      </c>
      <c r="J183" s="132">
        <v>41470</v>
      </c>
      <c r="K183" s="133" t="s">
        <v>458</v>
      </c>
      <c r="L183" s="126">
        <f t="shared" si="2"/>
        <v>6.1371841155234662E-2</v>
      </c>
    </row>
    <row r="184" spans="1:12" ht="17" customHeight="1">
      <c r="A184" s="131" t="s">
        <v>524</v>
      </c>
      <c r="B184" s="131" t="s">
        <v>525</v>
      </c>
      <c r="C184" s="131">
        <v>1389.77</v>
      </c>
      <c r="D184" s="131">
        <v>1.55</v>
      </c>
      <c r="E184" s="131">
        <v>29.44</v>
      </c>
      <c r="F184" s="131">
        <v>32.909999999999997</v>
      </c>
      <c r="G184" s="131">
        <v>0.23</v>
      </c>
      <c r="H184" s="131">
        <v>1.8</v>
      </c>
      <c r="I184" s="131">
        <v>0.16</v>
      </c>
      <c r="J184" s="132">
        <v>36529</v>
      </c>
      <c r="K184" s="133" t="s">
        <v>458</v>
      </c>
      <c r="L184" s="126">
        <f t="shared" si="2"/>
        <v>5.4694621695533283E-2</v>
      </c>
    </row>
    <row r="185" spans="1:12" ht="17" customHeight="1">
      <c r="A185" s="131" t="s">
        <v>528</v>
      </c>
      <c r="B185" s="131" t="s">
        <v>529</v>
      </c>
      <c r="C185" s="131">
        <v>4696.2</v>
      </c>
      <c r="D185" s="131">
        <v>1.88</v>
      </c>
      <c r="E185" s="131">
        <v>35.549999999999997</v>
      </c>
      <c r="F185" s="131">
        <v>37.799999999999997</v>
      </c>
      <c r="G185" s="131">
        <v>0.32</v>
      </c>
      <c r="H185" s="131">
        <v>2.97</v>
      </c>
      <c r="I185" s="131">
        <v>0.16</v>
      </c>
      <c r="J185" s="132">
        <v>36529</v>
      </c>
      <c r="K185" s="133" t="s">
        <v>458</v>
      </c>
      <c r="L185" s="126">
        <f t="shared" si="2"/>
        <v>7.8571428571428584E-2</v>
      </c>
    </row>
    <row r="186" spans="1:12" ht="17" customHeight="1">
      <c r="A186" s="131" t="s">
        <v>944</v>
      </c>
      <c r="B186" s="131" t="s">
        <v>945</v>
      </c>
      <c r="C186" s="131">
        <v>2583.17</v>
      </c>
      <c r="D186" s="131">
        <v>-0.35</v>
      </c>
      <c r="E186" s="131">
        <v>26.59</v>
      </c>
      <c r="F186" s="131">
        <v>11.05</v>
      </c>
      <c r="G186" s="131">
        <v>0.04</v>
      </c>
      <c r="H186" s="131">
        <v>1.61</v>
      </c>
      <c r="I186" s="131">
        <v>0.16</v>
      </c>
      <c r="J186" s="132">
        <v>42045</v>
      </c>
      <c r="K186" s="133" t="s">
        <v>458</v>
      </c>
      <c r="L186" s="126">
        <f t="shared" si="2"/>
        <v>0.14570135746606336</v>
      </c>
    </row>
    <row r="187" spans="1:12" ht="17" customHeight="1">
      <c r="A187" s="131" t="s">
        <v>586</v>
      </c>
      <c r="B187" s="131" t="s">
        <v>587</v>
      </c>
      <c r="C187" s="131">
        <v>1772.48</v>
      </c>
      <c r="D187" s="131">
        <v>-0.76</v>
      </c>
      <c r="E187" s="131">
        <v>7.01</v>
      </c>
      <c r="F187" s="131">
        <v>27.41</v>
      </c>
      <c r="G187" s="131">
        <v>0.08</v>
      </c>
      <c r="H187" s="131">
        <v>2.1</v>
      </c>
      <c r="I187" s="131">
        <v>0.16</v>
      </c>
      <c r="J187" s="132">
        <v>36529</v>
      </c>
      <c r="K187" s="133" t="s">
        <v>458</v>
      </c>
      <c r="L187" s="126">
        <f t="shared" si="2"/>
        <v>7.661437431594309E-2</v>
      </c>
    </row>
    <row r="188" spans="1:12" ht="17" customHeight="1">
      <c r="A188" s="131" t="s">
        <v>641</v>
      </c>
      <c r="B188" s="131" t="s">
        <v>642</v>
      </c>
      <c r="C188" s="131">
        <v>5349.04</v>
      </c>
      <c r="D188" s="131">
        <v>0.08</v>
      </c>
      <c r="E188" s="131">
        <v>25.54</v>
      </c>
      <c r="F188" s="131">
        <v>20.98</v>
      </c>
      <c r="G188" s="131">
        <v>0.21</v>
      </c>
      <c r="H188" s="131">
        <v>1.93</v>
      </c>
      <c r="I188" s="131">
        <v>0.16</v>
      </c>
      <c r="J188" s="132">
        <v>36529</v>
      </c>
      <c r="K188" s="133" t="s">
        <v>458</v>
      </c>
      <c r="L188" s="126">
        <f t="shared" si="2"/>
        <v>9.199237368922783E-2</v>
      </c>
    </row>
    <row r="189" spans="1:12" ht="17" customHeight="1">
      <c r="A189" s="131" t="s">
        <v>946</v>
      </c>
      <c r="B189" s="131" t="s">
        <v>757</v>
      </c>
      <c r="C189" s="131">
        <v>1017.75</v>
      </c>
      <c r="D189" s="131">
        <v>0.28000000000000003</v>
      </c>
      <c r="E189" s="131">
        <v>22.4</v>
      </c>
      <c r="F189" s="131">
        <v>63.96</v>
      </c>
      <c r="G189" s="131">
        <v>0.39</v>
      </c>
      <c r="H189" s="131">
        <v>2.4300000000000002</v>
      </c>
      <c r="I189" s="131">
        <v>0.16</v>
      </c>
      <c r="J189" s="132">
        <v>40785</v>
      </c>
      <c r="K189" s="133" t="s">
        <v>458</v>
      </c>
      <c r="L189" s="126">
        <f t="shared" si="2"/>
        <v>3.7992495309568483E-2</v>
      </c>
    </row>
    <row r="190" spans="1:12" ht="17" customHeight="1">
      <c r="A190" s="131" t="s">
        <v>671</v>
      </c>
      <c r="B190" s="131" t="s">
        <v>672</v>
      </c>
      <c r="C190" s="131">
        <v>4105.08</v>
      </c>
      <c r="D190" s="131">
        <v>7.0000000000000007E-2</v>
      </c>
      <c r="E190" s="131">
        <v>19.920000000000002</v>
      </c>
      <c r="F190" s="131">
        <v>33.44</v>
      </c>
      <c r="G190" s="131">
        <v>0.39</v>
      </c>
      <c r="H190" s="131">
        <v>2.35</v>
      </c>
      <c r="I190" s="131">
        <v>0.16</v>
      </c>
      <c r="J190" s="132">
        <v>36529</v>
      </c>
      <c r="K190" s="133" t="s">
        <v>458</v>
      </c>
      <c r="L190" s="126">
        <f t="shared" si="2"/>
        <v>7.0275119617224893E-2</v>
      </c>
    </row>
    <row r="191" spans="1:12" ht="17" customHeight="1">
      <c r="A191" s="131" t="s">
        <v>709</v>
      </c>
      <c r="B191" s="131" t="s">
        <v>710</v>
      </c>
      <c r="C191" s="131">
        <v>2314.33</v>
      </c>
      <c r="D191" s="131">
        <v>-2.0099999999999998</v>
      </c>
      <c r="E191" s="131">
        <v>7.63</v>
      </c>
      <c r="F191" s="131">
        <v>25.78</v>
      </c>
      <c r="G191" s="131">
        <v>0.17</v>
      </c>
      <c r="H191" s="131">
        <v>1.96</v>
      </c>
      <c r="I191" s="131">
        <v>0.16</v>
      </c>
      <c r="J191" s="132">
        <v>36529</v>
      </c>
      <c r="K191" s="133" t="s">
        <v>458</v>
      </c>
      <c r="L191" s="126">
        <f t="shared" si="2"/>
        <v>7.6027928626842503E-2</v>
      </c>
    </row>
    <row r="192" spans="1:12" ht="17" customHeight="1">
      <c r="A192" s="131" t="s">
        <v>947</v>
      </c>
      <c r="B192" s="131" t="s">
        <v>948</v>
      </c>
      <c r="C192" s="131">
        <v>3013.6</v>
      </c>
      <c r="D192" s="131">
        <v>-0.21</v>
      </c>
      <c r="E192" s="131">
        <v>35.869999999999997</v>
      </c>
      <c r="F192" s="131">
        <v>12.81</v>
      </c>
      <c r="G192" s="131">
        <v>0.01</v>
      </c>
      <c r="H192" s="131">
        <v>2.84</v>
      </c>
      <c r="I192" s="131">
        <v>0.16</v>
      </c>
      <c r="J192" s="132">
        <v>42221</v>
      </c>
      <c r="K192" s="133" t="s">
        <v>458</v>
      </c>
      <c r="L192" s="126">
        <f t="shared" si="2"/>
        <v>0.22170179547228724</v>
      </c>
    </row>
    <row r="193" spans="1:12" ht="17" customHeight="1">
      <c r="A193" s="131" t="s">
        <v>949</v>
      </c>
      <c r="B193" s="131" t="s">
        <v>950</v>
      </c>
      <c r="C193" s="131">
        <v>10617.37</v>
      </c>
      <c r="D193" s="131">
        <v>-0.11</v>
      </c>
      <c r="E193" s="131">
        <v>4.87</v>
      </c>
      <c r="F193" s="131">
        <v>8.44</v>
      </c>
      <c r="G193" s="131">
        <v>0.28999999999999998</v>
      </c>
      <c r="H193" s="131">
        <v>0.97</v>
      </c>
      <c r="I193" s="131">
        <v>0.17</v>
      </c>
      <c r="J193" s="132">
        <v>37438</v>
      </c>
      <c r="K193" s="133" t="s">
        <v>458</v>
      </c>
      <c r="L193" s="126">
        <f t="shared" si="2"/>
        <v>0.11492890995260664</v>
      </c>
    </row>
    <row r="194" spans="1:12" ht="17" customHeight="1">
      <c r="A194" s="131" t="s">
        <v>470</v>
      </c>
      <c r="B194" s="131" t="s">
        <v>471</v>
      </c>
      <c r="C194" s="131">
        <v>1068.72</v>
      </c>
      <c r="D194" s="131">
        <v>0.49</v>
      </c>
      <c r="E194" s="131">
        <v>20.67</v>
      </c>
      <c r="F194" s="131">
        <v>54.57</v>
      </c>
      <c r="G194" s="131">
        <v>0.34</v>
      </c>
      <c r="H194" s="131">
        <v>2.27</v>
      </c>
      <c r="I194" s="131">
        <v>0.17</v>
      </c>
      <c r="J194" s="132">
        <v>36529</v>
      </c>
      <c r="K194" s="133" t="s">
        <v>458</v>
      </c>
      <c r="L194" s="126">
        <f t="shared" ref="L194:L257" si="3">H194/F194</f>
        <v>4.1597947590251053E-2</v>
      </c>
    </row>
    <row r="195" spans="1:12" ht="17" customHeight="1">
      <c r="A195" s="131" t="s">
        <v>633</v>
      </c>
      <c r="B195" s="131" t="s">
        <v>634</v>
      </c>
      <c r="C195" s="131">
        <v>7449.79</v>
      </c>
      <c r="D195" s="131">
        <v>-1.88</v>
      </c>
      <c r="E195" s="131">
        <v>41.42</v>
      </c>
      <c r="F195" s="131">
        <v>8.3800000000000008</v>
      </c>
      <c r="G195" s="131">
        <v>0.03</v>
      </c>
      <c r="H195" s="131">
        <v>1.47</v>
      </c>
      <c r="I195" s="131">
        <v>0.17</v>
      </c>
      <c r="J195" s="132">
        <v>36529</v>
      </c>
      <c r="K195" s="133" t="s">
        <v>458</v>
      </c>
      <c r="L195" s="126">
        <f t="shared" si="3"/>
        <v>0.17541766109785201</v>
      </c>
    </row>
    <row r="196" spans="1:12" ht="17" customHeight="1">
      <c r="A196" s="131" t="s">
        <v>951</v>
      </c>
      <c r="B196" s="131" t="s">
        <v>754</v>
      </c>
      <c r="C196" s="131">
        <v>7117.61</v>
      </c>
      <c r="D196" s="131">
        <v>-0.19</v>
      </c>
      <c r="E196" s="131">
        <v>22.59</v>
      </c>
      <c r="F196" s="131">
        <v>7.63</v>
      </c>
      <c r="G196" s="131">
        <v>0.05</v>
      </c>
      <c r="H196" s="131">
        <v>1.56</v>
      </c>
      <c r="I196" s="131">
        <v>0.17</v>
      </c>
      <c r="J196" s="132">
        <v>40114</v>
      </c>
      <c r="K196" s="133" t="s">
        <v>458</v>
      </c>
      <c r="L196" s="126">
        <f t="shared" si="3"/>
        <v>0.20445609436435125</v>
      </c>
    </row>
    <row r="197" spans="1:12" ht="17" customHeight="1">
      <c r="A197" s="131" t="s">
        <v>952</v>
      </c>
      <c r="B197" s="131" t="s">
        <v>953</v>
      </c>
      <c r="C197" s="131">
        <v>7809.71</v>
      </c>
      <c r="D197" s="131">
        <v>0.3</v>
      </c>
      <c r="E197" s="131">
        <v>16.86</v>
      </c>
      <c r="F197" s="131">
        <v>10.41</v>
      </c>
      <c r="G197" s="131">
        <v>0.46</v>
      </c>
      <c r="H197" s="131">
        <v>1.25</v>
      </c>
      <c r="I197" s="131">
        <v>0.18</v>
      </c>
      <c r="J197" s="132">
        <v>40687</v>
      </c>
      <c r="K197" s="133" t="s">
        <v>458</v>
      </c>
      <c r="L197" s="126">
        <f t="shared" si="3"/>
        <v>0.12007684918347743</v>
      </c>
    </row>
    <row r="198" spans="1:12" ht="17" customHeight="1">
      <c r="A198" s="131" t="s">
        <v>562</v>
      </c>
      <c r="B198" s="131" t="s">
        <v>563</v>
      </c>
      <c r="C198" s="131">
        <v>5533.84</v>
      </c>
      <c r="D198" s="131">
        <v>0.76</v>
      </c>
      <c r="E198" s="131">
        <v>13.71</v>
      </c>
      <c r="F198" s="131">
        <v>44.12</v>
      </c>
      <c r="G198" s="131">
        <v>0.05</v>
      </c>
      <c r="H198" s="131">
        <v>2.5099999999999998</v>
      </c>
      <c r="I198" s="131">
        <v>0.18</v>
      </c>
      <c r="J198" s="132">
        <v>36529</v>
      </c>
      <c r="K198" s="133" t="s">
        <v>458</v>
      </c>
      <c r="L198" s="126">
        <f t="shared" si="3"/>
        <v>5.6890299184043515E-2</v>
      </c>
    </row>
    <row r="199" spans="1:12" ht="17" customHeight="1">
      <c r="A199" s="131" t="s">
        <v>604</v>
      </c>
      <c r="B199" s="131" t="s">
        <v>605</v>
      </c>
      <c r="C199" s="131">
        <v>967.41</v>
      </c>
      <c r="D199" s="131">
        <v>0.8</v>
      </c>
      <c r="E199" s="131">
        <v>18.239999999999998</v>
      </c>
      <c r="F199" s="131">
        <v>38.4</v>
      </c>
      <c r="G199" s="131">
        <v>0.5</v>
      </c>
      <c r="H199" s="131">
        <v>1.28</v>
      </c>
      <c r="I199" s="131">
        <v>0.18</v>
      </c>
      <c r="J199" s="132">
        <v>36529</v>
      </c>
      <c r="K199" s="133" t="s">
        <v>458</v>
      </c>
      <c r="L199" s="126">
        <f t="shared" si="3"/>
        <v>3.3333333333333333E-2</v>
      </c>
    </row>
    <row r="200" spans="1:12" ht="17" customHeight="1">
      <c r="A200" s="131" t="s">
        <v>954</v>
      </c>
      <c r="B200" s="131" t="s">
        <v>95</v>
      </c>
      <c r="C200" s="131">
        <v>9988.66</v>
      </c>
      <c r="D200" s="131">
        <v>0.59</v>
      </c>
      <c r="E200" s="131">
        <v>29.77</v>
      </c>
      <c r="F200" s="131">
        <v>35.29</v>
      </c>
      <c r="G200" s="131">
        <v>0.73</v>
      </c>
      <c r="H200" s="131">
        <v>3.81</v>
      </c>
      <c r="I200" s="131">
        <v>0.18</v>
      </c>
      <c r="J200" s="132">
        <v>39997</v>
      </c>
      <c r="K200" s="133" t="s">
        <v>458</v>
      </c>
      <c r="L200" s="126">
        <f t="shared" si="3"/>
        <v>0.10796259563615755</v>
      </c>
    </row>
    <row r="201" spans="1:12" ht="17" customHeight="1">
      <c r="A201" s="131" t="s">
        <v>955</v>
      </c>
      <c r="B201" s="131" t="s">
        <v>956</v>
      </c>
      <c r="C201" s="131">
        <v>4138.13</v>
      </c>
      <c r="D201" s="131">
        <v>0.1</v>
      </c>
      <c r="E201" s="131">
        <v>29.89</v>
      </c>
      <c r="F201" s="131">
        <v>10.8</v>
      </c>
      <c r="G201" s="131">
        <v>0.34</v>
      </c>
      <c r="H201" s="131">
        <v>1.34</v>
      </c>
      <c r="I201" s="131">
        <v>0.19</v>
      </c>
      <c r="J201" s="132">
        <v>38721</v>
      </c>
      <c r="K201" s="133" t="s">
        <v>458</v>
      </c>
      <c r="L201" s="126">
        <f t="shared" si="3"/>
        <v>0.12407407407407407</v>
      </c>
    </row>
    <row r="202" spans="1:12" ht="17" customHeight="1">
      <c r="A202" s="131" t="s">
        <v>957</v>
      </c>
      <c r="B202" s="131" t="s">
        <v>958</v>
      </c>
      <c r="C202" s="131">
        <v>6656.32</v>
      </c>
      <c r="D202" s="131">
        <v>0.73</v>
      </c>
      <c r="E202" s="131">
        <v>0.72</v>
      </c>
      <c r="F202" s="131">
        <v>16.670000000000002</v>
      </c>
      <c r="G202" s="131">
        <v>0.95</v>
      </c>
      <c r="H202" s="131">
        <v>1.32</v>
      </c>
      <c r="I202" s="131">
        <v>0.19</v>
      </c>
      <c r="J202" s="132">
        <v>43483</v>
      </c>
      <c r="K202" s="133" t="s">
        <v>458</v>
      </c>
      <c r="L202" s="126">
        <f t="shared" si="3"/>
        <v>7.9184163167366525E-2</v>
      </c>
    </row>
    <row r="203" spans="1:12" ht="17" customHeight="1">
      <c r="A203" s="131" t="s">
        <v>580</v>
      </c>
      <c r="B203" s="131" t="s">
        <v>581</v>
      </c>
      <c r="C203" s="131">
        <v>2278.5500000000002</v>
      </c>
      <c r="D203" s="131">
        <v>-1.19</v>
      </c>
      <c r="E203" s="131">
        <v>7.88</v>
      </c>
      <c r="F203" s="131">
        <v>19.18</v>
      </c>
      <c r="G203" s="131">
        <v>0.02</v>
      </c>
      <c r="H203" s="131">
        <v>1.86</v>
      </c>
      <c r="I203" s="131">
        <v>0.19</v>
      </c>
      <c r="J203" s="132">
        <v>36529</v>
      </c>
      <c r="K203" s="133" t="s">
        <v>458</v>
      </c>
      <c r="L203" s="126">
        <f t="shared" si="3"/>
        <v>9.6976016684045888E-2</v>
      </c>
    </row>
    <row r="204" spans="1:12" ht="17" customHeight="1">
      <c r="A204" s="131" t="s">
        <v>959</v>
      </c>
      <c r="B204" s="131" t="s">
        <v>960</v>
      </c>
      <c r="C204" s="131">
        <v>6390.59</v>
      </c>
      <c r="D204" s="131">
        <v>-0.34</v>
      </c>
      <c r="E204" s="131">
        <v>25.4</v>
      </c>
      <c r="F204" s="131">
        <v>8.27</v>
      </c>
      <c r="G204" s="131">
        <v>0.59</v>
      </c>
      <c r="H204" s="131">
        <v>1.03</v>
      </c>
      <c r="I204" s="131">
        <v>0.19</v>
      </c>
      <c r="J204" s="132">
        <v>41403</v>
      </c>
      <c r="K204" s="133" t="s">
        <v>458</v>
      </c>
      <c r="L204" s="126">
        <f t="shared" si="3"/>
        <v>0.12454655380894801</v>
      </c>
    </row>
    <row r="205" spans="1:12" ht="17" customHeight="1">
      <c r="A205" s="131" t="s">
        <v>961</v>
      </c>
      <c r="B205" s="131" t="s">
        <v>962</v>
      </c>
      <c r="C205" s="131">
        <v>2389.0100000000002</v>
      </c>
      <c r="D205" s="131">
        <v>-0.92</v>
      </c>
      <c r="E205" s="131">
        <v>34.64</v>
      </c>
      <c r="F205" s="131">
        <v>22.92</v>
      </c>
      <c r="G205" s="131">
        <v>0.43</v>
      </c>
      <c r="H205" s="131">
        <v>2.82</v>
      </c>
      <c r="I205" s="131">
        <v>0.19</v>
      </c>
      <c r="J205" s="132">
        <v>42160</v>
      </c>
      <c r="K205" s="133" t="s">
        <v>458</v>
      </c>
      <c r="L205" s="126">
        <f t="shared" si="3"/>
        <v>0.12303664921465966</v>
      </c>
    </row>
    <row r="206" spans="1:12" ht="17" customHeight="1">
      <c r="A206" s="131" t="s">
        <v>963</v>
      </c>
      <c r="B206" s="131" t="s">
        <v>964</v>
      </c>
      <c r="C206" s="131">
        <v>1399.34</v>
      </c>
      <c r="D206" s="131">
        <v>0.59</v>
      </c>
      <c r="E206" s="131">
        <v>22.8</v>
      </c>
      <c r="F206" s="131">
        <v>30.87</v>
      </c>
      <c r="G206" s="131">
        <v>0.34</v>
      </c>
      <c r="H206" s="131">
        <v>2.2400000000000002</v>
      </c>
      <c r="I206" s="131">
        <v>0.19</v>
      </c>
      <c r="J206" s="132">
        <v>42166</v>
      </c>
      <c r="K206" s="133" t="s">
        <v>458</v>
      </c>
      <c r="L206" s="126">
        <f t="shared" si="3"/>
        <v>7.2562358276643993E-2</v>
      </c>
    </row>
    <row r="207" spans="1:12" ht="17" customHeight="1">
      <c r="A207" s="131" t="s">
        <v>965</v>
      </c>
      <c r="B207" s="131" t="s">
        <v>966</v>
      </c>
      <c r="C207" s="131">
        <v>2553.79</v>
      </c>
      <c r="D207" s="131">
        <v>0.23</v>
      </c>
      <c r="E207" s="131">
        <v>21.39</v>
      </c>
      <c r="F207" s="131">
        <v>28.31</v>
      </c>
      <c r="G207" s="131">
        <v>0.26</v>
      </c>
      <c r="H207" s="131">
        <v>1.9</v>
      </c>
      <c r="I207" s="131">
        <v>0.19</v>
      </c>
      <c r="J207" s="132">
        <v>42725</v>
      </c>
      <c r="K207" s="133" t="s">
        <v>458</v>
      </c>
      <c r="L207" s="126">
        <f t="shared" si="3"/>
        <v>6.7114093959731544E-2</v>
      </c>
    </row>
    <row r="208" spans="1:12" ht="17" customHeight="1">
      <c r="A208" s="131" t="s">
        <v>967</v>
      </c>
      <c r="B208" s="131" t="s">
        <v>968</v>
      </c>
      <c r="C208" s="131">
        <v>1449.89</v>
      </c>
      <c r="D208" s="131">
        <v>-0.36</v>
      </c>
      <c r="E208" s="131">
        <v>21.57</v>
      </c>
      <c r="F208" s="131">
        <v>9.86</v>
      </c>
      <c r="G208" s="131">
        <v>0.2</v>
      </c>
      <c r="H208" s="131">
        <v>1.33</v>
      </c>
      <c r="I208" s="131">
        <v>0.19</v>
      </c>
      <c r="J208" s="132">
        <v>40030</v>
      </c>
      <c r="K208" s="133" t="s">
        <v>458</v>
      </c>
      <c r="L208" s="126">
        <f t="shared" si="3"/>
        <v>0.13488843813387424</v>
      </c>
    </row>
    <row r="209" spans="1:12" ht="17" customHeight="1">
      <c r="A209" s="131" t="s">
        <v>969</v>
      </c>
      <c r="B209" s="131" t="s">
        <v>970</v>
      </c>
      <c r="C209" s="131">
        <v>2476.96</v>
      </c>
      <c r="D209" s="131">
        <v>0.6</v>
      </c>
      <c r="E209" s="131">
        <v>38.409999999999997</v>
      </c>
      <c r="F209" s="131">
        <v>25.64</v>
      </c>
      <c r="G209" s="131">
        <v>0.16</v>
      </c>
      <c r="H209" s="131">
        <v>3.19</v>
      </c>
      <c r="I209" s="131">
        <v>0.19</v>
      </c>
      <c r="J209" s="132">
        <v>41899</v>
      </c>
      <c r="K209" s="133" t="s">
        <v>458</v>
      </c>
      <c r="L209" s="126">
        <f t="shared" si="3"/>
        <v>0.12441497659906396</v>
      </c>
    </row>
    <row r="210" spans="1:12" ht="17" customHeight="1">
      <c r="A210" s="131" t="s">
        <v>971</v>
      </c>
      <c r="B210" s="131" t="s">
        <v>972</v>
      </c>
      <c r="C210" s="131">
        <v>2637.06</v>
      </c>
      <c r="D210" s="131">
        <v>-2.0099999999999998</v>
      </c>
      <c r="E210" s="131">
        <v>15.55</v>
      </c>
      <c r="F210" s="131">
        <v>39.619999999999997</v>
      </c>
      <c r="G210" s="131">
        <v>0.52</v>
      </c>
      <c r="H210" s="131">
        <v>2.0699999999999998</v>
      </c>
      <c r="I210" s="131">
        <v>0.19</v>
      </c>
      <c r="J210" s="132">
        <v>42219</v>
      </c>
      <c r="K210" s="133" t="s">
        <v>458</v>
      </c>
      <c r="L210" s="126">
        <f t="shared" si="3"/>
        <v>5.2246340232205958E-2</v>
      </c>
    </row>
    <row r="211" spans="1:12" ht="17" customHeight="1">
      <c r="A211" s="131" t="s">
        <v>973</v>
      </c>
      <c r="B211" s="131" t="s">
        <v>974</v>
      </c>
      <c r="C211" s="131">
        <v>1229.06</v>
      </c>
      <c r="D211" s="131">
        <v>0.5</v>
      </c>
      <c r="E211" s="131">
        <v>8.74</v>
      </c>
      <c r="F211" s="131">
        <v>76.05</v>
      </c>
      <c r="G211" s="131">
        <v>0.95</v>
      </c>
      <c r="H211" s="131">
        <v>2.0499999999999998</v>
      </c>
      <c r="I211" s="131">
        <v>0.19</v>
      </c>
      <c r="J211" s="132">
        <v>42451</v>
      </c>
      <c r="K211" s="133" t="s">
        <v>458</v>
      </c>
      <c r="L211" s="126">
        <f t="shared" si="3"/>
        <v>2.695595003287311E-2</v>
      </c>
    </row>
    <row r="212" spans="1:12" ht="17" customHeight="1">
      <c r="A212" s="131" t="s">
        <v>975</v>
      </c>
      <c r="B212" s="131" t="s">
        <v>976</v>
      </c>
      <c r="C212" s="131">
        <v>3278.77</v>
      </c>
      <c r="D212" s="131">
        <v>-2.02</v>
      </c>
      <c r="E212" s="131">
        <v>2.2200000000000002</v>
      </c>
      <c r="F212" s="131">
        <v>848.26</v>
      </c>
      <c r="G212" s="131">
        <v>0.94</v>
      </c>
      <c r="H212" s="131">
        <v>2.42</v>
      </c>
      <c r="I212" s="131">
        <v>0.2</v>
      </c>
      <c r="J212" s="132">
        <v>42160</v>
      </c>
      <c r="K212" s="133" t="s">
        <v>458</v>
      </c>
      <c r="L212" s="126">
        <f t="shared" si="3"/>
        <v>2.8528988753448235E-3</v>
      </c>
    </row>
    <row r="213" spans="1:12" ht="17" customHeight="1">
      <c r="A213" s="131" t="s">
        <v>977</v>
      </c>
      <c r="B213" s="131" t="s">
        <v>978</v>
      </c>
      <c r="C213" s="131">
        <v>1816.22</v>
      </c>
      <c r="D213" s="131">
        <v>-1.45</v>
      </c>
      <c r="E213" s="131">
        <v>14.07</v>
      </c>
      <c r="F213" s="131">
        <v>14.22</v>
      </c>
      <c r="G213" s="131">
        <v>0.74</v>
      </c>
      <c r="H213" s="131">
        <v>1.58</v>
      </c>
      <c r="I213" s="131">
        <v>0.2</v>
      </c>
      <c r="J213" s="132">
        <v>43179</v>
      </c>
      <c r="K213" s="133" t="s">
        <v>458</v>
      </c>
      <c r="L213" s="126">
        <f t="shared" si="3"/>
        <v>0.1111111111111111</v>
      </c>
    </row>
    <row r="214" spans="1:12" ht="17" customHeight="1">
      <c r="A214" s="131" t="s">
        <v>552</v>
      </c>
      <c r="B214" s="131" t="s">
        <v>553</v>
      </c>
      <c r="C214" s="131">
        <v>1371.97</v>
      </c>
      <c r="D214" s="131">
        <v>-0.35</v>
      </c>
      <c r="E214" s="131">
        <v>26.93</v>
      </c>
      <c r="F214" s="131">
        <v>27.83</v>
      </c>
      <c r="G214" s="131">
        <v>0.26</v>
      </c>
      <c r="H214" s="131">
        <v>1.56</v>
      </c>
      <c r="I214" s="131">
        <v>0.21</v>
      </c>
      <c r="J214" s="132">
        <v>36529</v>
      </c>
      <c r="K214" s="133" t="s">
        <v>458</v>
      </c>
      <c r="L214" s="126">
        <f t="shared" si="3"/>
        <v>5.6054617319439462E-2</v>
      </c>
    </row>
    <row r="215" spans="1:12" ht="17" customHeight="1">
      <c r="A215" s="131" t="s">
        <v>639</v>
      </c>
      <c r="B215" s="131" t="s">
        <v>640</v>
      </c>
      <c r="C215" s="131">
        <v>3336.77</v>
      </c>
      <c r="D215" s="131">
        <v>-0.32</v>
      </c>
      <c r="E215" s="131">
        <v>-2.37</v>
      </c>
      <c r="F215" s="131">
        <v>6.71</v>
      </c>
      <c r="G215" s="131">
        <v>0.19</v>
      </c>
      <c r="H215" s="131">
        <v>1.03</v>
      </c>
      <c r="I215" s="131">
        <v>0.21</v>
      </c>
      <c r="J215" s="132">
        <v>40826</v>
      </c>
      <c r="K215" s="133" t="s">
        <v>458</v>
      </c>
      <c r="L215" s="126">
        <f t="shared" si="3"/>
        <v>0.15350223546944858</v>
      </c>
    </row>
    <row r="216" spans="1:12" ht="17" customHeight="1">
      <c r="A216" s="131" t="s">
        <v>979</v>
      </c>
      <c r="B216" s="131" t="s">
        <v>980</v>
      </c>
      <c r="C216" s="131">
        <v>2694.92</v>
      </c>
      <c r="D216" s="131">
        <v>0.35</v>
      </c>
      <c r="E216" s="131">
        <v>42.04</v>
      </c>
      <c r="F216" s="131">
        <v>45.29</v>
      </c>
      <c r="G216" s="131">
        <v>0.26</v>
      </c>
      <c r="H216" s="131">
        <v>3.97</v>
      </c>
      <c r="I216" s="131">
        <v>0.21</v>
      </c>
      <c r="J216" s="132">
        <v>42216</v>
      </c>
      <c r="K216" s="133" t="s">
        <v>458</v>
      </c>
      <c r="L216" s="126">
        <f t="shared" si="3"/>
        <v>8.7657319496577624E-2</v>
      </c>
    </row>
    <row r="217" spans="1:12" ht="17" customHeight="1">
      <c r="A217" s="131" t="s">
        <v>981</v>
      </c>
      <c r="B217" s="131" t="s">
        <v>982</v>
      </c>
      <c r="C217" s="131">
        <v>4690.66</v>
      </c>
      <c r="D217" s="131">
        <v>0.19</v>
      </c>
      <c r="E217" s="131">
        <v>32.46</v>
      </c>
      <c r="F217" s="131">
        <v>10.65</v>
      </c>
      <c r="G217" s="131">
        <v>0.34</v>
      </c>
      <c r="H217" s="131">
        <v>1.34</v>
      </c>
      <c r="I217" s="131">
        <v>0.22</v>
      </c>
      <c r="J217" s="132">
        <v>38356</v>
      </c>
      <c r="K217" s="133" t="s">
        <v>458</v>
      </c>
      <c r="L217" s="126">
        <f t="shared" si="3"/>
        <v>0.12582159624413145</v>
      </c>
    </row>
    <row r="218" spans="1:12" ht="17" customHeight="1">
      <c r="A218" s="131" t="s">
        <v>983</v>
      </c>
      <c r="B218" s="131" t="s">
        <v>984</v>
      </c>
      <c r="C218" s="131">
        <v>4523.5</v>
      </c>
      <c r="D218" s="131">
        <v>-0.22</v>
      </c>
      <c r="E218" s="131">
        <v>17.25</v>
      </c>
      <c r="F218" s="131">
        <v>17.93</v>
      </c>
      <c r="G218" s="131">
        <v>0.09</v>
      </c>
      <c r="H218" s="131">
        <v>1.85</v>
      </c>
      <c r="I218" s="131">
        <v>0.22</v>
      </c>
      <c r="J218" s="132">
        <v>40511</v>
      </c>
      <c r="K218" s="133" t="s">
        <v>458</v>
      </c>
      <c r="L218" s="126">
        <f t="shared" si="3"/>
        <v>0.10317902955939766</v>
      </c>
    </row>
    <row r="219" spans="1:12" ht="17" customHeight="1">
      <c r="A219" s="131" t="s">
        <v>655</v>
      </c>
      <c r="B219" s="131" t="s">
        <v>656</v>
      </c>
      <c r="C219" s="131">
        <v>682.34</v>
      </c>
      <c r="D219" s="131">
        <v>-0.78</v>
      </c>
      <c r="E219" s="131">
        <v>-14.27</v>
      </c>
      <c r="F219" s="131">
        <v>900.58</v>
      </c>
      <c r="G219" s="131">
        <v>1</v>
      </c>
      <c r="H219" s="131">
        <v>3.53</v>
      </c>
      <c r="I219" s="131">
        <v>0.22</v>
      </c>
      <c r="J219" s="132">
        <v>36529</v>
      </c>
      <c r="K219" s="133" t="s">
        <v>458</v>
      </c>
      <c r="L219" s="126">
        <f t="shared" si="3"/>
        <v>3.919696195784938E-3</v>
      </c>
    </row>
    <row r="220" spans="1:12" ht="17" customHeight="1">
      <c r="A220" s="131" t="s">
        <v>985</v>
      </c>
      <c r="B220" s="131" t="s">
        <v>53</v>
      </c>
      <c r="C220" s="131">
        <v>9855.35</v>
      </c>
      <c r="D220" s="131">
        <v>0.56000000000000005</v>
      </c>
      <c r="E220" s="131">
        <v>32.61</v>
      </c>
      <c r="F220" s="131">
        <v>37.5</v>
      </c>
      <c r="G220" s="131">
        <v>0.56000000000000005</v>
      </c>
      <c r="H220" s="131">
        <v>3.77</v>
      </c>
      <c r="I220" s="131">
        <v>0.22</v>
      </c>
      <c r="J220" s="132">
        <v>40757</v>
      </c>
      <c r="K220" s="133" t="s">
        <v>458</v>
      </c>
      <c r="L220" s="126">
        <f t="shared" si="3"/>
        <v>0.10053333333333334</v>
      </c>
    </row>
    <row r="221" spans="1:12" ht="17" customHeight="1">
      <c r="A221" s="131" t="s">
        <v>986</v>
      </c>
      <c r="B221" s="131" t="s">
        <v>987</v>
      </c>
      <c r="C221" s="131">
        <v>6988.21</v>
      </c>
      <c r="D221" s="131">
        <v>-0.28000000000000003</v>
      </c>
      <c r="E221" s="131">
        <v>28.65</v>
      </c>
      <c r="F221" s="131">
        <v>13.53</v>
      </c>
      <c r="G221" s="131">
        <v>0</v>
      </c>
      <c r="H221" s="131">
        <v>2.41</v>
      </c>
      <c r="I221" s="131">
        <v>0.23</v>
      </c>
      <c r="J221" s="132">
        <v>42226</v>
      </c>
      <c r="K221" s="133" t="s">
        <v>458</v>
      </c>
      <c r="L221" s="126">
        <f t="shared" si="3"/>
        <v>0.17812269031781228</v>
      </c>
    </row>
    <row r="222" spans="1:12" ht="17" customHeight="1">
      <c r="A222" s="131" t="s">
        <v>988</v>
      </c>
      <c r="B222" s="131" t="s">
        <v>989</v>
      </c>
      <c r="C222" s="131">
        <v>4227.8900000000003</v>
      </c>
      <c r="D222" s="131">
        <v>-1.96</v>
      </c>
      <c r="E222" s="131">
        <v>2.48</v>
      </c>
      <c r="F222" s="131">
        <v>31.75</v>
      </c>
      <c r="G222" s="131">
        <v>0.23</v>
      </c>
      <c r="H222" s="131">
        <v>2.5499999999999998</v>
      </c>
      <c r="I222" s="131">
        <v>0.23</v>
      </c>
      <c r="J222" s="132">
        <v>42065</v>
      </c>
      <c r="K222" s="133" t="s">
        <v>458</v>
      </c>
      <c r="L222" s="126">
        <f t="shared" si="3"/>
        <v>8.0314960629921259E-2</v>
      </c>
    </row>
    <row r="223" spans="1:12" ht="17" customHeight="1">
      <c r="A223" s="131" t="s">
        <v>990</v>
      </c>
      <c r="B223" s="131" t="s">
        <v>156</v>
      </c>
      <c r="C223" s="131">
        <v>1479.5</v>
      </c>
      <c r="D223" s="131">
        <v>0.22</v>
      </c>
      <c r="E223" s="131">
        <v>23.94</v>
      </c>
      <c r="F223" s="131">
        <v>10.23</v>
      </c>
      <c r="G223" s="131">
        <v>0.19</v>
      </c>
      <c r="H223" s="131">
        <v>1.32</v>
      </c>
      <c r="I223" s="131">
        <v>0.23</v>
      </c>
      <c r="J223" s="132">
        <v>41858</v>
      </c>
      <c r="K223" s="133" t="s">
        <v>458</v>
      </c>
      <c r="L223" s="126">
        <f t="shared" si="3"/>
        <v>0.12903225806451613</v>
      </c>
    </row>
    <row r="224" spans="1:12" ht="17" customHeight="1">
      <c r="A224" s="131" t="s">
        <v>991</v>
      </c>
      <c r="B224" s="131" t="s">
        <v>992</v>
      </c>
      <c r="C224" s="131">
        <v>5612.63</v>
      </c>
      <c r="D224" s="131">
        <v>0.13</v>
      </c>
      <c r="E224" s="131">
        <v>25.93</v>
      </c>
      <c r="F224" s="131">
        <v>25.13</v>
      </c>
      <c r="G224" s="131">
        <v>0.71</v>
      </c>
      <c r="H224" s="131">
        <v>1.56</v>
      </c>
      <c r="I224" s="131">
        <v>0.23</v>
      </c>
      <c r="J224" s="132">
        <v>42110</v>
      </c>
      <c r="K224" s="133" t="s">
        <v>458</v>
      </c>
      <c r="L224" s="126">
        <f t="shared" si="3"/>
        <v>6.2077198567449268E-2</v>
      </c>
    </row>
    <row r="225" spans="1:12" ht="17" customHeight="1">
      <c r="A225" s="131" t="s">
        <v>472</v>
      </c>
      <c r="B225" s="131" t="s">
        <v>473</v>
      </c>
      <c r="C225" s="131">
        <v>7859.91</v>
      </c>
      <c r="D225" s="131">
        <v>0.56000000000000005</v>
      </c>
      <c r="E225" s="131">
        <v>34.57</v>
      </c>
      <c r="F225" s="131">
        <v>35.67</v>
      </c>
      <c r="G225" s="131">
        <v>0.32</v>
      </c>
      <c r="H225" s="131">
        <v>3.38</v>
      </c>
      <c r="I225" s="131">
        <v>0.25</v>
      </c>
      <c r="J225" s="132">
        <v>36529</v>
      </c>
      <c r="K225" s="133" t="s">
        <v>458</v>
      </c>
      <c r="L225" s="126">
        <f t="shared" si="3"/>
        <v>9.475749929913091E-2</v>
      </c>
    </row>
    <row r="226" spans="1:12" ht="17" customHeight="1">
      <c r="A226" s="131" t="s">
        <v>538</v>
      </c>
      <c r="B226" s="131" t="s">
        <v>539</v>
      </c>
      <c r="C226" s="131">
        <v>2018.62</v>
      </c>
      <c r="D226" s="131">
        <v>0.11</v>
      </c>
      <c r="E226" s="131">
        <v>10.23</v>
      </c>
      <c r="F226" s="131">
        <v>34.28</v>
      </c>
      <c r="G226" s="131">
        <v>0.27</v>
      </c>
      <c r="H226" s="131">
        <v>2.76</v>
      </c>
      <c r="I226" s="131">
        <v>0.25</v>
      </c>
      <c r="J226" s="132">
        <v>36529</v>
      </c>
      <c r="K226" s="133" t="s">
        <v>458</v>
      </c>
      <c r="L226" s="126">
        <f t="shared" si="3"/>
        <v>8.0513418903150516E-2</v>
      </c>
    </row>
    <row r="227" spans="1:12" ht="17" customHeight="1">
      <c r="A227" s="131" t="s">
        <v>590</v>
      </c>
      <c r="B227" s="131" t="s">
        <v>591</v>
      </c>
      <c r="C227" s="131">
        <v>1150.27</v>
      </c>
      <c r="D227" s="131">
        <v>-0.6</v>
      </c>
      <c r="E227" s="131">
        <v>-0.19</v>
      </c>
      <c r="F227" s="131">
        <v>316.79000000000002</v>
      </c>
      <c r="G227" s="131">
        <v>0.89</v>
      </c>
      <c r="H227" s="131">
        <v>2.39</v>
      </c>
      <c r="I227" s="131">
        <v>0.25</v>
      </c>
      <c r="J227" s="132">
        <v>36529</v>
      </c>
      <c r="K227" s="133" t="s">
        <v>458</v>
      </c>
      <c r="L227" s="126">
        <f t="shared" si="3"/>
        <v>7.5444300640803057E-3</v>
      </c>
    </row>
    <row r="228" spans="1:12" ht="17" customHeight="1">
      <c r="A228" s="131" t="s">
        <v>993</v>
      </c>
      <c r="B228" s="131" t="s">
        <v>994</v>
      </c>
      <c r="C228" s="131">
        <v>5070.83</v>
      </c>
      <c r="D228" s="131">
        <v>-0.51</v>
      </c>
      <c r="E228" s="131">
        <v>7.0000000000000007E-2</v>
      </c>
      <c r="F228" s="131">
        <v>8.01</v>
      </c>
      <c r="G228" s="131">
        <v>0.1</v>
      </c>
      <c r="H228" s="131">
        <v>1.4</v>
      </c>
      <c r="I228" s="131">
        <v>0.25</v>
      </c>
      <c r="J228" s="132">
        <v>43179</v>
      </c>
      <c r="K228" s="133" t="s">
        <v>458</v>
      </c>
      <c r="L228" s="126">
        <f t="shared" si="3"/>
        <v>0.17478152309612982</v>
      </c>
    </row>
    <row r="229" spans="1:12" ht="17" customHeight="1">
      <c r="A229" s="131" t="s">
        <v>995</v>
      </c>
      <c r="B229" s="131" t="s">
        <v>996</v>
      </c>
      <c r="C229" s="131">
        <v>1537.74</v>
      </c>
      <c r="D229" s="131">
        <v>-2.09</v>
      </c>
      <c r="E229" s="131">
        <v>1.25</v>
      </c>
      <c r="F229" s="131">
        <v>16.940000000000001</v>
      </c>
      <c r="G229" s="131">
        <v>0.25</v>
      </c>
      <c r="H229" s="131">
        <v>1.51</v>
      </c>
      <c r="I229" s="131">
        <v>0.25</v>
      </c>
      <c r="J229" s="132">
        <v>41470</v>
      </c>
      <c r="K229" s="133" t="s">
        <v>458</v>
      </c>
      <c r="L229" s="126">
        <f t="shared" si="3"/>
        <v>8.9138134592680038E-2</v>
      </c>
    </row>
    <row r="230" spans="1:12" ht="17" customHeight="1">
      <c r="A230" s="131" t="s">
        <v>997</v>
      </c>
      <c r="B230" s="131" t="s">
        <v>998</v>
      </c>
      <c r="C230" s="131">
        <v>947.53</v>
      </c>
      <c r="D230" s="131">
        <v>-0.01</v>
      </c>
      <c r="E230" s="131">
        <v>28.99</v>
      </c>
      <c r="F230" s="131">
        <v>15.5</v>
      </c>
      <c r="G230" s="131">
        <v>0.23</v>
      </c>
      <c r="H230" s="131">
        <v>1.88</v>
      </c>
      <c r="I230" s="131">
        <v>0.25</v>
      </c>
      <c r="J230" s="132">
        <v>42037</v>
      </c>
      <c r="K230" s="133" t="s">
        <v>458</v>
      </c>
      <c r="L230" s="126">
        <f t="shared" si="3"/>
        <v>0.12129032258064515</v>
      </c>
    </row>
    <row r="231" spans="1:12" ht="17" customHeight="1">
      <c r="A231" s="131" t="s">
        <v>999</v>
      </c>
      <c r="B231" s="131" t="s">
        <v>1000</v>
      </c>
      <c r="C231" s="131">
        <v>2817.25</v>
      </c>
      <c r="D231" s="131">
        <v>7.0000000000000007E-2</v>
      </c>
      <c r="E231" s="131">
        <v>5.3</v>
      </c>
      <c r="F231" s="131">
        <v>9.8000000000000007</v>
      </c>
      <c r="G231" s="131">
        <v>0.26</v>
      </c>
      <c r="H231" s="131">
        <v>0.93</v>
      </c>
      <c r="I231" s="131">
        <v>0.25</v>
      </c>
      <c r="J231" s="132">
        <v>43495</v>
      </c>
      <c r="K231" s="133" t="s">
        <v>458</v>
      </c>
      <c r="L231" s="126">
        <f t="shared" si="3"/>
        <v>9.4897959183673469E-2</v>
      </c>
    </row>
    <row r="232" spans="1:12" ht="17" customHeight="1">
      <c r="A232" s="131" t="s">
        <v>584</v>
      </c>
      <c r="B232" s="131" t="s">
        <v>585</v>
      </c>
      <c r="C232" s="131">
        <v>1835.18</v>
      </c>
      <c r="D232" s="131">
        <v>-0.39</v>
      </c>
      <c r="E232" s="131">
        <v>23.13</v>
      </c>
      <c r="F232" s="131">
        <v>32.130000000000003</v>
      </c>
      <c r="G232" s="131">
        <v>0.12</v>
      </c>
      <c r="H232" s="131">
        <v>2.81</v>
      </c>
      <c r="I232" s="131">
        <v>0.26</v>
      </c>
      <c r="J232" s="132">
        <v>36529</v>
      </c>
      <c r="K232" s="133" t="s">
        <v>458</v>
      </c>
      <c r="L232" s="126">
        <f t="shared" si="3"/>
        <v>8.7457205104263927E-2</v>
      </c>
    </row>
    <row r="233" spans="1:12" ht="17" customHeight="1">
      <c r="A233" s="131" t="s">
        <v>685</v>
      </c>
      <c r="B233" s="131" t="s">
        <v>686</v>
      </c>
      <c r="C233" s="131">
        <v>2994.31</v>
      </c>
      <c r="D233" s="131">
        <v>1.0900000000000001</v>
      </c>
      <c r="E233" s="131">
        <v>23.96</v>
      </c>
      <c r="F233" s="131">
        <v>20.55</v>
      </c>
      <c r="G233" s="131">
        <v>0.03</v>
      </c>
      <c r="H233" s="131">
        <v>2.08</v>
      </c>
      <c r="I233" s="131">
        <v>0.26</v>
      </c>
      <c r="J233" s="132">
        <v>36529</v>
      </c>
      <c r="K233" s="133" t="s">
        <v>458</v>
      </c>
      <c r="L233" s="126">
        <f t="shared" si="3"/>
        <v>0.10121654501216545</v>
      </c>
    </row>
    <row r="234" spans="1:12" ht="17" customHeight="1">
      <c r="A234" s="131" t="s">
        <v>1001</v>
      </c>
      <c r="B234" s="131" t="s">
        <v>1002</v>
      </c>
      <c r="C234" s="131">
        <v>2417.87</v>
      </c>
      <c r="D234" s="131">
        <v>-0.01</v>
      </c>
      <c r="E234" s="131">
        <v>20.239999999999998</v>
      </c>
      <c r="F234" s="131">
        <v>10.82</v>
      </c>
      <c r="G234" s="131">
        <v>0.37</v>
      </c>
      <c r="H234" s="131">
        <v>1.35</v>
      </c>
      <c r="I234" s="131">
        <v>0.27</v>
      </c>
      <c r="J234" s="132">
        <v>39926</v>
      </c>
      <c r="K234" s="133" t="s">
        <v>458</v>
      </c>
      <c r="L234" s="126">
        <f t="shared" si="3"/>
        <v>0.12476894639556378</v>
      </c>
    </row>
    <row r="235" spans="1:12" ht="17" customHeight="1">
      <c r="A235" s="131" t="s">
        <v>1003</v>
      </c>
      <c r="B235" s="131" t="s">
        <v>1004</v>
      </c>
      <c r="C235" s="131">
        <v>3477.64</v>
      </c>
      <c r="D235" s="131">
        <v>0.18</v>
      </c>
      <c r="E235" s="131">
        <v>16.38</v>
      </c>
      <c r="F235" s="131">
        <v>17.34</v>
      </c>
      <c r="G235" s="131">
        <v>0.42</v>
      </c>
      <c r="H235" s="131">
        <v>1.61</v>
      </c>
      <c r="I235" s="131">
        <v>0.27</v>
      </c>
      <c r="J235" s="132">
        <v>39997</v>
      </c>
      <c r="K235" s="133" t="s">
        <v>458</v>
      </c>
      <c r="L235" s="126">
        <f t="shared" si="3"/>
        <v>9.2848904267589391E-2</v>
      </c>
    </row>
    <row r="236" spans="1:12" ht="17" customHeight="1">
      <c r="A236" s="131" t="s">
        <v>620</v>
      </c>
      <c r="B236" s="131" t="s">
        <v>621</v>
      </c>
      <c r="C236" s="131" t="s">
        <v>622</v>
      </c>
      <c r="D236" s="131" t="s">
        <v>622</v>
      </c>
      <c r="E236" s="131" t="s">
        <v>622</v>
      </c>
      <c r="F236" s="131">
        <v>50.65</v>
      </c>
      <c r="G236" s="131">
        <v>0.76</v>
      </c>
      <c r="H236" s="131">
        <v>2.13</v>
      </c>
      <c r="I236" s="131">
        <v>0.27</v>
      </c>
      <c r="J236" s="132">
        <v>36529</v>
      </c>
      <c r="K236" s="133" t="s">
        <v>458</v>
      </c>
      <c r="L236" s="126">
        <f t="shared" si="3"/>
        <v>4.2053307008884502E-2</v>
      </c>
    </row>
    <row r="237" spans="1:12" ht="17" customHeight="1">
      <c r="A237" s="131" t="s">
        <v>637</v>
      </c>
      <c r="B237" s="131" t="s">
        <v>638</v>
      </c>
      <c r="C237" s="131">
        <v>4965.83</v>
      </c>
      <c r="D237" s="131">
        <v>-0.08</v>
      </c>
      <c r="E237" s="131">
        <v>27.25</v>
      </c>
      <c r="F237" s="131">
        <v>25.99</v>
      </c>
      <c r="G237" s="131">
        <v>0.18</v>
      </c>
      <c r="H237" s="131">
        <v>2.44</v>
      </c>
      <c r="I237" s="131">
        <v>0.27</v>
      </c>
      <c r="J237" s="132">
        <v>36529</v>
      </c>
      <c r="K237" s="133" t="s">
        <v>458</v>
      </c>
      <c r="L237" s="126">
        <f t="shared" si="3"/>
        <v>9.3882262408618702E-2</v>
      </c>
    </row>
    <row r="238" spans="1:12" ht="17" customHeight="1">
      <c r="A238" s="131" t="s">
        <v>1005</v>
      </c>
      <c r="B238" s="131" t="s">
        <v>1006</v>
      </c>
      <c r="C238" s="131">
        <v>3353.59</v>
      </c>
      <c r="D238" s="131">
        <v>0.48</v>
      </c>
      <c r="E238" s="131">
        <v>1.65</v>
      </c>
      <c r="F238" s="131">
        <v>16.63</v>
      </c>
      <c r="G238" s="131">
        <v>0.17</v>
      </c>
      <c r="H238" s="131">
        <v>2.2200000000000002</v>
      </c>
      <c r="I238" s="131">
        <v>0.27</v>
      </c>
      <c r="J238" s="132">
        <v>40326</v>
      </c>
      <c r="K238" s="133" t="s">
        <v>458</v>
      </c>
      <c r="L238" s="126">
        <f t="shared" si="3"/>
        <v>0.13349368610944079</v>
      </c>
    </row>
    <row r="239" spans="1:12" ht="17" customHeight="1">
      <c r="A239" s="131" t="s">
        <v>536</v>
      </c>
      <c r="B239" s="131" t="s">
        <v>537</v>
      </c>
      <c r="C239" s="131">
        <v>2448.8200000000002</v>
      </c>
      <c r="D239" s="131">
        <v>0.89</v>
      </c>
      <c r="E239" s="131">
        <v>14.33</v>
      </c>
      <c r="F239" s="131">
        <v>38.71</v>
      </c>
      <c r="G239" s="131">
        <v>0.5</v>
      </c>
      <c r="H239" s="131">
        <v>1.39</v>
      </c>
      <c r="I239" s="131">
        <v>0.28000000000000003</v>
      </c>
      <c r="J239" s="132">
        <v>36529</v>
      </c>
      <c r="K239" s="133" t="s">
        <v>458</v>
      </c>
      <c r="L239" s="126">
        <f t="shared" si="3"/>
        <v>3.5908034099715831E-2</v>
      </c>
    </row>
    <row r="240" spans="1:12" ht="17" customHeight="1">
      <c r="A240" s="131" t="s">
        <v>1007</v>
      </c>
      <c r="B240" s="131" t="s">
        <v>1008</v>
      </c>
      <c r="C240" s="131">
        <v>1682.73</v>
      </c>
      <c r="D240" s="131">
        <v>0.95</v>
      </c>
      <c r="E240" s="131">
        <v>37.93</v>
      </c>
      <c r="F240" s="131">
        <v>34.729999999999997</v>
      </c>
      <c r="G240" s="131">
        <v>0.17</v>
      </c>
      <c r="H240" s="131">
        <v>3.17</v>
      </c>
      <c r="I240" s="131">
        <v>0.28000000000000003</v>
      </c>
      <c r="J240" s="132">
        <v>41744</v>
      </c>
      <c r="K240" s="133" t="s">
        <v>458</v>
      </c>
      <c r="L240" s="126">
        <f t="shared" si="3"/>
        <v>9.1275554275842219E-2</v>
      </c>
    </row>
    <row r="241" spans="1:12" ht="17" customHeight="1">
      <c r="A241" s="131" t="s">
        <v>560</v>
      </c>
      <c r="B241" s="131" t="s">
        <v>561</v>
      </c>
      <c r="C241" s="131">
        <v>11521.39</v>
      </c>
      <c r="D241" s="131">
        <v>-0.6</v>
      </c>
      <c r="E241" s="131">
        <v>19.27</v>
      </c>
      <c r="F241" s="131">
        <v>45.63</v>
      </c>
      <c r="G241" s="131">
        <v>0.03</v>
      </c>
      <c r="H241" s="131">
        <v>2.62</v>
      </c>
      <c r="I241" s="131">
        <v>0.28000000000000003</v>
      </c>
      <c r="J241" s="132">
        <v>36529</v>
      </c>
      <c r="K241" s="133" t="s">
        <v>458</v>
      </c>
      <c r="L241" s="126">
        <f t="shared" si="3"/>
        <v>5.7418365110672803E-2</v>
      </c>
    </row>
    <row r="242" spans="1:12" ht="17" customHeight="1">
      <c r="A242" s="131" t="s">
        <v>1009</v>
      </c>
      <c r="B242" s="131" t="s">
        <v>1010</v>
      </c>
      <c r="C242" s="131">
        <v>5034.7</v>
      </c>
      <c r="D242" s="131">
        <v>0.72</v>
      </c>
      <c r="E242" s="131">
        <v>30.3</v>
      </c>
      <c r="F242" s="131">
        <v>36.85</v>
      </c>
      <c r="G242" s="131">
        <v>0.56000000000000005</v>
      </c>
      <c r="H242" s="131">
        <v>2.71</v>
      </c>
      <c r="I242" s="131">
        <v>0.28999999999999998</v>
      </c>
      <c r="J242" s="132">
        <v>42501</v>
      </c>
      <c r="K242" s="133" t="s">
        <v>458</v>
      </c>
      <c r="L242" s="126">
        <f t="shared" si="3"/>
        <v>7.3541383989145184E-2</v>
      </c>
    </row>
    <row r="243" spans="1:12" ht="17" customHeight="1">
      <c r="A243" s="131" t="s">
        <v>1011</v>
      </c>
      <c r="B243" s="131" t="s">
        <v>1012</v>
      </c>
      <c r="C243" s="131">
        <v>2731.94</v>
      </c>
      <c r="D243" s="131">
        <v>0.34</v>
      </c>
      <c r="E243" s="131">
        <v>26.24</v>
      </c>
      <c r="F243" s="131">
        <v>10.58</v>
      </c>
      <c r="G243" s="131">
        <v>0.46</v>
      </c>
      <c r="H243" s="131">
        <v>1.33</v>
      </c>
      <c r="I243" s="131">
        <v>0.28999999999999998</v>
      </c>
      <c r="J243" s="132">
        <v>40514</v>
      </c>
      <c r="K243" s="133" t="s">
        <v>458</v>
      </c>
      <c r="L243" s="126">
        <f t="shared" si="3"/>
        <v>0.12570888468809074</v>
      </c>
    </row>
    <row r="244" spans="1:12" ht="17" customHeight="1">
      <c r="A244" s="131" t="s">
        <v>1013</v>
      </c>
      <c r="B244" s="131" t="s">
        <v>1014</v>
      </c>
      <c r="C244" s="131">
        <v>4541.3999999999996</v>
      </c>
      <c r="D244" s="131">
        <v>-1.99</v>
      </c>
      <c r="E244" s="131">
        <v>12.43</v>
      </c>
      <c r="F244" s="131">
        <v>9.16</v>
      </c>
      <c r="G244" s="131">
        <v>0.31</v>
      </c>
      <c r="H244" s="131">
        <v>1.54</v>
      </c>
      <c r="I244" s="131">
        <v>0.28999999999999998</v>
      </c>
      <c r="J244" s="132">
        <v>43179</v>
      </c>
      <c r="K244" s="133" t="s">
        <v>458</v>
      </c>
      <c r="L244" s="126">
        <f t="shared" si="3"/>
        <v>0.16812227074235808</v>
      </c>
    </row>
    <row r="245" spans="1:12" ht="17" customHeight="1">
      <c r="A245" s="131" t="s">
        <v>1015</v>
      </c>
      <c r="B245" s="131" t="s">
        <v>1016</v>
      </c>
      <c r="C245" s="131">
        <v>1612.18</v>
      </c>
      <c r="D245" s="131">
        <v>0.39</v>
      </c>
      <c r="E245" s="131">
        <v>16.77</v>
      </c>
      <c r="F245" s="131">
        <v>24.26</v>
      </c>
      <c r="G245" s="131">
        <v>0.25</v>
      </c>
      <c r="H245" s="131">
        <v>2.2999999999999998</v>
      </c>
      <c r="I245" s="131">
        <v>0.28999999999999998</v>
      </c>
      <c r="J245" s="132">
        <v>42383</v>
      </c>
      <c r="K245" s="133" t="s">
        <v>458</v>
      </c>
      <c r="L245" s="126">
        <f t="shared" si="3"/>
        <v>9.4806265457543268E-2</v>
      </c>
    </row>
    <row r="246" spans="1:12" ht="17" customHeight="1">
      <c r="A246" s="131" t="s">
        <v>1017</v>
      </c>
      <c r="B246" s="131" t="s">
        <v>1018</v>
      </c>
      <c r="C246" s="131">
        <v>3499.68</v>
      </c>
      <c r="D246" s="131">
        <v>1.07</v>
      </c>
      <c r="E246" s="131">
        <v>12.96</v>
      </c>
      <c r="F246" s="131">
        <v>9.32</v>
      </c>
      <c r="G246" s="131">
        <v>0.54</v>
      </c>
      <c r="H246" s="131">
        <v>1.02</v>
      </c>
      <c r="I246" s="131">
        <v>0.28999999999999998</v>
      </c>
      <c r="J246" s="132">
        <v>43214</v>
      </c>
      <c r="K246" s="133" t="s">
        <v>458</v>
      </c>
      <c r="L246" s="126">
        <f t="shared" si="3"/>
        <v>0.10944206008583691</v>
      </c>
    </row>
    <row r="247" spans="1:12" ht="17" customHeight="1">
      <c r="A247" s="131" t="s">
        <v>1019</v>
      </c>
      <c r="B247" s="131" t="s">
        <v>1020</v>
      </c>
      <c r="C247" s="131">
        <v>1736.8</v>
      </c>
      <c r="D247" s="131">
        <v>0.84</v>
      </c>
      <c r="E247" s="131">
        <v>35.729999999999997</v>
      </c>
      <c r="F247" s="131">
        <v>28.33</v>
      </c>
      <c r="G247" s="131">
        <v>0.3</v>
      </c>
      <c r="H247" s="131">
        <v>3.82</v>
      </c>
      <c r="I247" s="131">
        <v>0.3</v>
      </c>
      <c r="J247" s="132">
        <v>40602</v>
      </c>
      <c r="K247" s="133" t="s">
        <v>458</v>
      </c>
      <c r="L247" s="126">
        <f t="shared" si="3"/>
        <v>0.13483939286974939</v>
      </c>
    </row>
    <row r="248" spans="1:12" ht="17" customHeight="1">
      <c r="A248" s="131" t="s">
        <v>494</v>
      </c>
      <c r="B248" s="131" t="s">
        <v>495</v>
      </c>
      <c r="C248" s="131">
        <v>5744.56</v>
      </c>
      <c r="D248" s="131">
        <v>1.31</v>
      </c>
      <c r="E248" s="131">
        <v>19.07</v>
      </c>
      <c r="F248" s="131">
        <v>31.99</v>
      </c>
      <c r="G248" s="131">
        <v>0.13</v>
      </c>
      <c r="H248" s="131">
        <v>3.44</v>
      </c>
      <c r="I248" s="131">
        <v>0.3</v>
      </c>
      <c r="J248" s="132">
        <v>36529</v>
      </c>
      <c r="K248" s="133" t="s">
        <v>458</v>
      </c>
      <c r="L248" s="126">
        <f t="shared" si="3"/>
        <v>0.10753360425132855</v>
      </c>
    </row>
    <row r="249" spans="1:12" ht="17" customHeight="1">
      <c r="A249" s="131" t="s">
        <v>534</v>
      </c>
      <c r="B249" s="131" t="s">
        <v>535</v>
      </c>
      <c r="C249" s="131">
        <v>2860.7</v>
      </c>
      <c r="D249" s="131">
        <v>-0.21</v>
      </c>
      <c r="E249" s="131">
        <v>32.35</v>
      </c>
      <c r="F249" s="131">
        <v>51.58</v>
      </c>
      <c r="G249" s="131">
        <v>0.5</v>
      </c>
      <c r="H249" s="131">
        <v>3.01</v>
      </c>
      <c r="I249" s="131">
        <v>0.3</v>
      </c>
      <c r="J249" s="132">
        <v>36529</v>
      </c>
      <c r="K249" s="133" t="s">
        <v>458</v>
      </c>
      <c r="L249" s="126">
        <f t="shared" si="3"/>
        <v>5.835595191934858E-2</v>
      </c>
    </row>
    <row r="250" spans="1:12" ht="17" customHeight="1">
      <c r="A250" s="131" t="s">
        <v>1021</v>
      </c>
      <c r="B250" s="131" t="s">
        <v>1022</v>
      </c>
      <c r="C250" s="131">
        <v>4378.8</v>
      </c>
      <c r="D250" s="131">
        <v>0.49</v>
      </c>
      <c r="E250" s="131">
        <v>15.5</v>
      </c>
      <c r="F250" s="131">
        <v>12.9</v>
      </c>
      <c r="G250" s="131">
        <v>0.51</v>
      </c>
      <c r="H250" s="131">
        <v>1.68</v>
      </c>
      <c r="I250" s="131">
        <v>0.3</v>
      </c>
      <c r="J250" s="132">
        <v>43157</v>
      </c>
      <c r="K250" s="133" t="s">
        <v>458</v>
      </c>
      <c r="L250" s="126">
        <f t="shared" si="3"/>
        <v>0.13023255813953488</v>
      </c>
    </row>
    <row r="251" spans="1:12" ht="17" customHeight="1">
      <c r="A251" s="131" t="s">
        <v>1023</v>
      </c>
      <c r="B251" s="131" t="s">
        <v>1024</v>
      </c>
      <c r="C251" s="131">
        <v>10475.08</v>
      </c>
      <c r="D251" s="131">
        <v>0.59</v>
      </c>
      <c r="E251" s="131">
        <v>33.49</v>
      </c>
      <c r="F251" s="131">
        <v>37.4</v>
      </c>
      <c r="G251" s="131">
        <v>0.56999999999999995</v>
      </c>
      <c r="H251" s="131">
        <v>3.89</v>
      </c>
      <c r="I251" s="131">
        <v>0.3</v>
      </c>
      <c r="J251" s="132">
        <v>42451</v>
      </c>
      <c r="K251" s="133" t="s">
        <v>458</v>
      </c>
      <c r="L251" s="126">
        <f t="shared" si="3"/>
        <v>0.10401069518716578</v>
      </c>
    </row>
    <row r="252" spans="1:12" ht="17" customHeight="1">
      <c r="A252" s="131" t="s">
        <v>1025</v>
      </c>
      <c r="B252" s="131" t="s">
        <v>1026</v>
      </c>
      <c r="C252" s="131">
        <v>9677.23</v>
      </c>
      <c r="D252" s="131">
        <v>0.53</v>
      </c>
      <c r="E252" s="131">
        <v>33.67</v>
      </c>
      <c r="F252" s="131">
        <v>23.43</v>
      </c>
      <c r="G252" s="131">
        <v>0.51</v>
      </c>
      <c r="H252" s="131">
        <v>2.4700000000000002</v>
      </c>
      <c r="I252" s="131">
        <v>0.31</v>
      </c>
      <c r="J252" s="132">
        <v>36529</v>
      </c>
      <c r="K252" s="133" t="s">
        <v>458</v>
      </c>
      <c r="L252" s="126">
        <f t="shared" si="3"/>
        <v>0.1054204011950491</v>
      </c>
    </row>
    <row r="253" spans="1:12" ht="17" customHeight="1">
      <c r="A253" s="131" t="s">
        <v>1027</v>
      </c>
      <c r="B253" s="131" t="s">
        <v>1028</v>
      </c>
      <c r="C253" s="131">
        <v>1775.59</v>
      </c>
      <c r="D253" s="131">
        <v>-0.27</v>
      </c>
      <c r="E253" s="131">
        <v>17.05</v>
      </c>
      <c r="F253" s="131">
        <v>112.87</v>
      </c>
      <c r="G253" s="131">
        <v>0.9</v>
      </c>
      <c r="H253" s="131">
        <v>3.59</v>
      </c>
      <c r="I253" s="131">
        <v>0.31</v>
      </c>
      <c r="J253" s="132">
        <v>40410</v>
      </c>
      <c r="K253" s="133" t="s">
        <v>458</v>
      </c>
      <c r="L253" s="126">
        <f t="shared" si="3"/>
        <v>3.1806503056613804E-2</v>
      </c>
    </row>
    <row r="254" spans="1:12" ht="17" customHeight="1">
      <c r="A254" s="131" t="s">
        <v>707</v>
      </c>
      <c r="B254" s="131" t="s">
        <v>708</v>
      </c>
      <c r="C254" s="131" t="s">
        <v>622</v>
      </c>
      <c r="D254" s="131">
        <v>0</v>
      </c>
      <c r="E254" s="131">
        <v>0</v>
      </c>
      <c r="F254" s="131">
        <v>59.66</v>
      </c>
      <c r="G254" s="131">
        <v>0.63</v>
      </c>
      <c r="H254" s="131">
        <v>3.42</v>
      </c>
      <c r="I254" s="131">
        <v>0.32</v>
      </c>
      <c r="J254" s="132">
        <v>43216</v>
      </c>
      <c r="K254" s="133" t="s">
        <v>458</v>
      </c>
      <c r="L254" s="126">
        <f t="shared" si="3"/>
        <v>5.7324840764331211E-2</v>
      </c>
    </row>
    <row r="255" spans="1:12" ht="17" customHeight="1">
      <c r="A255" s="131" t="s">
        <v>1029</v>
      </c>
      <c r="B255" s="131" t="s">
        <v>1030</v>
      </c>
      <c r="C255" s="131">
        <v>6148.9</v>
      </c>
      <c r="D255" s="131">
        <v>0.42</v>
      </c>
      <c r="E255" s="131">
        <v>40.97</v>
      </c>
      <c r="F255" s="131">
        <v>13.94</v>
      </c>
      <c r="G255" s="131">
        <v>0.31</v>
      </c>
      <c r="H255" s="131">
        <v>1.79</v>
      </c>
      <c r="I255" s="131">
        <v>0.32</v>
      </c>
      <c r="J255" s="132">
        <v>40121</v>
      </c>
      <c r="K255" s="133" t="s">
        <v>458</v>
      </c>
      <c r="L255" s="126">
        <f t="shared" si="3"/>
        <v>0.1284074605451937</v>
      </c>
    </row>
    <row r="256" spans="1:12" ht="17" customHeight="1">
      <c r="A256" s="131" t="s">
        <v>464</v>
      </c>
      <c r="B256" s="131" t="s">
        <v>465</v>
      </c>
      <c r="C256" s="131">
        <v>4343.78</v>
      </c>
      <c r="D256" s="131">
        <v>0.12</v>
      </c>
      <c r="E256" s="131">
        <v>37.659999999999997</v>
      </c>
      <c r="F256" s="131">
        <v>54.11</v>
      </c>
      <c r="G256" s="131">
        <v>0.65</v>
      </c>
      <c r="H256" s="131">
        <v>3.58</v>
      </c>
      <c r="I256" s="131">
        <v>0.33</v>
      </c>
      <c r="J256" s="132">
        <v>36529</v>
      </c>
      <c r="K256" s="133" t="s">
        <v>458</v>
      </c>
      <c r="L256" s="126">
        <f t="shared" si="3"/>
        <v>6.6161522823877286E-2</v>
      </c>
    </row>
    <row r="257" spans="1:12" ht="17" customHeight="1">
      <c r="A257" s="131" t="s">
        <v>1031</v>
      </c>
      <c r="B257" s="131" t="s">
        <v>1032</v>
      </c>
      <c r="C257" s="131">
        <v>4163.67</v>
      </c>
      <c r="D257" s="131">
        <v>0.65</v>
      </c>
      <c r="E257" s="131">
        <v>37.090000000000003</v>
      </c>
      <c r="F257" s="131">
        <v>21.86</v>
      </c>
      <c r="G257" s="131">
        <v>0.33</v>
      </c>
      <c r="H257" s="131">
        <v>2.56</v>
      </c>
      <c r="I257" s="131">
        <v>0.33</v>
      </c>
      <c r="J257" s="132">
        <v>40121</v>
      </c>
      <c r="K257" s="133" t="s">
        <v>458</v>
      </c>
      <c r="L257" s="126">
        <f t="shared" si="3"/>
        <v>0.1171088746569076</v>
      </c>
    </row>
    <row r="258" spans="1:12" ht="17" customHeight="1">
      <c r="A258" s="131" t="s">
        <v>1033</v>
      </c>
      <c r="B258" s="131" t="s">
        <v>1034</v>
      </c>
      <c r="C258" s="131">
        <v>5465.73</v>
      </c>
      <c r="D258" s="131">
        <v>1.51</v>
      </c>
      <c r="E258" s="131">
        <v>49.31</v>
      </c>
      <c r="F258" s="131">
        <v>48.32</v>
      </c>
      <c r="G258" s="131">
        <v>0.77</v>
      </c>
      <c r="H258" s="131">
        <v>3.36</v>
      </c>
      <c r="I258" s="131">
        <v>0.33</v>
      </c>
      <c r="J258" s="132">
        <v>42160</v>
      </c>
      <c r="K258" s="133" t="s">
        <v>458</v>
      </c>
      <c r="L258" s="126">
        <f t="shared" ref="L258:L321" si="4">H258/F258</f>
        <v>6.9536423841059597E-2</v>
      </c>
    </row>
    <row r="259" spans="1:12" ht="17" customHeight="1">
      <c r="A259" s="131" t="s">
        <v>578</v>
      </c>
      <c r="B259" s="131" t="s">
        <v>579</v>
      </c>
      <c r="C259" s="131">
        <v>9755.06</v>
      </c>
      <c r="D259" s="131">
        <v>0.54</v>
      </c>
      <c r="E259" s="131">
        <v>48.42</v>
      </c>
      <c r="F259" s="131">
        <v>36.950000000000003</v>
      </c>
      <c r="G259" s="131">
        <v>0.46</v>
      </c>
      <c r="H259" s="131">
        <v>3.34</v>
      </c>
      <c r="I259" s="131">
        <v>0.33</v>
      </c>
      <c r="J259" s="132">
        <v>36529</v>
      </c>
      <c r="K259" s="133" t="s">
        <v>458</v>
      </c>
      <c r="L259" s="126">
        <f t="shared" si="4"/>
        <v>9.0392422192151545E-2</v>
      </c>
    </row>
    <row r="260" spans="1:12" ht="17" customHeight="1">
      <c r="A260" s="131" t="s">
        <v>1035</v>
      </c>
      <c r="B260" s="131" t="s">
        <v>1036</v>
      </c>
      <c r="C260" s="131">
        <v>5776.94</v>
      </c>
      <c r="D260" s="131">
        <v>0.03</v>
      </c>
      <c r="E260" s="131">
        <v>28.02</v>
      </c>
      <c r="F260" s="131">
        <v>15.38</v>
      </c>
      <c r="G260" s="131">
        <v>0.15</v>
      </c>
      <c r="H260" s="131">
        <v>1.86</v>
      </c>
      <c r="I260" s="131">
        <v>0.33</v>
      </c>
      <c r="J260" s="132">
        <v>41264</v>
      </c>
      <c r="K260" s="133" t="s">
        <v>458</v>
      </c>
      <c r="L260" s="126">
        <f t="shared" si="4"/>
        <v>0.12093628088426528</v>
      </c>
    </row>
    <row r="261" spans="1:12" ht="17" customHeight="1">
      <c r="A261" s="131" t="s">
        <v>1037</v>
      </c>
      <c r="B261" s="131" t="s">
        <v>1038</v>
      </c>
      <c r="C261" s="131">
        <v>9841.9500000000007</v>
      </c>
      <c r="D261" s="131">
        <v>0.93</v>
      </c>
      <c r="E261" s="131">
        <v>31.12</v>
      </c>
      <c r="F261" s="131">
        <v>32.92</v>
      </c>
      <c r="G261" s="131">
        <v>0.46</v>
      </c>
      <c r="H261" s="131">
        <v>4.18</v>
      </c>
      <c r="I261" s="131">
        <v>0.33</v>
      </c>
      <c r="J261" s="132">
        <v>41010</v>
      </c>
      <c r="K261" s="133" t="s">
        <v>458</v>
      </c>
      <c r="L261" s="126">
        <f t="shared" si="4"/>
        <v>0.1269744835965978</v>
      </c>
    </row>
    <row r="262" spans="1:12" ht="17" customHeight="1">
      <c r="A262" s="131" t="s">
        <v>1039</v>
      </c>
      <c r="B262" s="131" t="s">
        <v>1040</v>
      </c>
      <c r="C262" s="131">
        <v>3229.52</v>
      </c>
      <c r="D262" s="131">
        <v>0.54</v>
      </c>
      <c r="E262" s="131">
        <v>17.46</v>
      </c>
      <c r="F262" s="131">
        <v>14.45</v>
      </c>
      <c r="G262" s="131">
        <v>0.53</v>
      </c>
      <c r="H262" s="131">
        <v>1.58</v>
      </c>
      <c r="I262" s="131">
        <v>0.34</v>
      </c>
      <c r="J262" s="132">
        <v>39997</v>
      </c>
      <c r="K262" s="133" t="s">
        <v>458</v>
      </c>
      <c r="L262" s="126">
        <f t="shared" si="4"/>
        <v>0.10934256055363323</v>
      </c>
    </row>
    <row r="263" spans="1:12" ht="17" customHeight="1">
      <c r="A263" s="131" t="s">
        <v>1041</v>
      </c>
      <c r="B263" s="131" t="s">
        <v>70</v>
      </c>
      <c r="C263" s="131">
        <v>5299.59</v>
      </c>
      <c r="D263" s="131">
        <v>0.72</v>
      </c>
      <c r="E263" s="131">
        <v>41.53</v>
      </c>
      <c r="F263" s="131">
        <v>73.930000000000007</v>
      </c>
      <c r="G263" s="131">
        <v>0.88</v>
      </c>
      <c r="H263" s="131">
        <v>3.62</v>
      </c>
      <c r="I263" s="131">
        <v>0.34</v>
      </c>
      <c r="J263" s="132">
        <v>40757</v>
      </c>
      <c r="K263" s="133" t="s">
        <v>458</v>
      </c>
      <c r="L263" s="126">
        <f t="shared" si="4"/>
        <v>4.896523738671716E-2</v>
      </c>
    </row>
    <row r="264" spans="1:12" ht="17" customHeight="1">
      <c r="A264" s="131" t="s">
        <v>1042</v>
      </c>
      <c r="B264" s="131" t="s">
        <v>159</v>
      </c>
      <c r="C264" s="131">
        <v>2322.87</v>
      </c>
      <c r="D264" s="131">
        <v>-0.22</v>
      </c>
      <c r="E264" s="131">
        <v>28.47</v>
      </c>
      <c r="F264" s="131">
        <v>12.49</v>
      </c>
      <c r="G264" s="131">
        <v>0.37</v>
      </c>
      <c r="H264" s="131">
        <v>1.4</v>
      </c>
      <c r="I264" s="131">
        <v>0.34</v>
      </c>
      <c r="J264" s="132">
        <v>42048</v>
      </c>
      <c r="K264" s="133" t="s">
        <v>458</v>
      </c>
      <c r="L264" s="126">
        <f t="shared" si="4"/>
        <v>0.1120896717373899</v>
      </c>
    </row>
    <row r="265" spans="1:12" ht="17" customHeight="1">
      <c r="A265" s="131" t="s">
        <v>1043</v>
      </c>
      <c r="B265" s="131" t="s">
        <v>1044</v>
      </c>
      <c r="C265" s="131">
        <v>1083.45</v>
      </c>
      <c r="D265" s="131">
        <v>0.48</v>
      </c>
      <c r="E265" s="131">
        <v>26.82</v>
      </c>
      <c r="F265" s="131">
        <v>11.82</v>
      </c>
      <c r="G265" s="131">
        <v>0.39</v>
      </c>
      <c r="H265" s="131">
        <v>1.42</v>
      </c>
      <c r="I265" s="131">
        <v>0.34</v>
      </c>
      <c r="J265" s="132">
        <v>41456</v>
      </c>
      <c r="K265" s="133" t="s">
        <v>458</v>
      </c>
      <c r="L265" s="126">
        <f t="shared" si="4"/>
        <v>0.12013536379018612</v>
      </c>
    </row>
    <row r="266" spans="1:12" ht="17" customHeight="1">
      <c r="A266" s="131" t="s">
        <v>1045</v>
      </c>
      <c r="B266" s="131" t="s">
        <v>349</v>
      </c>
      <c r="C266" s="131">
        <v>8969.92</v>
      </c>
      <c r="D266" s="131">
        <v>-0.31</v>
      </c>
      <c r="E266" s="131">
        <v>30.21</v>
      </c>
      <c r="F266" s="131">
        <v>17.010000000000002</v>
      </c>
      <c r="G266" s="131">
        <v>0.33</v>
      </c>
      <c r="H266" s="131">
        <v>3.33</v>
      </c>
      <c r="I266" s="131">
        <v>0.34</v>
      </c>
      <c r="J266" s="132">
        <v>42192</v>
      </c>
      <c r="K266" s="133" t="s">
        <v>458</v>
      </c>
      <c r="L266" s="126">
        <f t="shared" si="4"/>
        <v>0.19576719576719576</v>
      </c>
    </row>
    <row r="267" spans="1:12" ht="17" customHeight="1">
      <c r="A267" s="131" t="s">
        <v>462</v>
      </c>
      <c r="B267" s="131" t="s">
        <v>463</v>
      </c>
      <c r="C267" s="131">
        <v>3072.61</v>
      </c>
      <c r="D267" s="131">
        <v>1.41</v>
      </c>
      <c r="E267" s="131">
        <v>53.43</v>
      </c>
      <c r="F267" s="131">
        <v>37.89</v>
      </c>
      <c r="G267" s="131">
        <v>0.27</v>
      </c>
      <c r="H267" s="131">
        <v>3.05</v>
      </c>
      <c r="I267" s="131">
        <v>0.35</v>
      </c>
      <c r="J267" s="132">
        <v>36529</v>
      </c>
      <c r="K267" s="133" t="s">
        <v>458</v>
      </c>
      <c r="L267" s="126">
        <f t="shared" si="4"/>
        <v>8.0496173132752702E-2</v>
      </c>
    </row>
    <row r="268" spans="1:12" ht="17" customHeight="1">
      <c r="A268" s="131" t="s">
        <v>532</v>
      </c>
      <c r="B268" s="131" t="s">
        <v>533</v>
      </c>
      <c r="C268" s="131">
        <v>4598.55</v>
      </c>
      <c r="D268" s="131">
        <v>0.2</v>
      </c>
      <c r="E268" s="131">
        <v>39.28</v>
      </c>
      <c r="F268" s="131">
        <v>54.7</v>
      </c>
      <c r="G268" s="131">
        <v>0.57999999999999996</v>
      </c>
      <c r="H268" s="131">
        <v>3.74</v>
      </c>
      <c r="I268" s="131">
        <v>0.35</v>
      </c>
      <c r="J268" s="132">
        <v>36529</v>
      </c>
      <c r="K268" s="133" t="s">
        <v>458</v>
      </c>
      <c r="L268" s="126">
        <f t="shared" si="4"/>
        <v>6.8372943327239491E-2</v>
      </c>
    </row>
    <row r="269" spans="1:12" ht="17" customHeight="1">
      <c r="A269" s="131" t="s">
        <v>576</v>
      </c>
      <c r="B269" s="131" t="s">
        <v>577</v>
      </c>
      <c r="C269" s="131">
        <v>8649.4</v>
      </c>
      <c r="D269" s="131">
        <v>0.93</v>
      </c>
      <c r="E269" s="131">
        <v>39.78</v>
      </c>
      <c r="F269" s="131">
        <v>42.21</v>
      </c>
      <c r="G269" s="131">
        <v>0.3</v>
      </c>
      <c r="H269" s="131">
        <v>4.42</v>
      </c>
      <c r="I269" s="131">
        <v>0.35</v>
      </c>
      <c r="J269" s="132">
        <v>36529</v>
      </c>
      <c r="K269" s="133" t="s">
        <v>458</v>
      </c>
      <c r="L269" s="126">
        <f t="shared" si="4"/>
        <v>0.10471452262497039</v>
      </c>
    </row>
    <row r="270" spans="1:12" ht="17" customHeight="1">
      <c r="A270" s="131" t="s">
        <v>1046</v>
      </c>
      <c r="B270" s="131" t="s">
        <v>1047</v>
      </c>
      <c r="C270" s="131">
        <v>10346.790000000001</v>
      </c>
      <c r="D270" s="131">
        <v>7.0000000000000007E-2</v>
      </c>
      <c r="E270" s="131">
        <v>35.81</v>
      </c>
      <c r="F270" s="131">
        <v>14.99</v>
      </c>
      <c r="G270" s="131">
        <v>0.14000000000000001</v>
      </c>
      <c r="H270" s="131">
        <v>1.88</v>
      </c>
      <c r="I270" s="131">
        <v>0.36</v>
      </c>
      <c r="J270" s="132">
        <v>41264</v>
      </c>
      <c r="K270" s="133" t="s">
        <v>458</v>
      </c>
      <c r="L270" s="126">
        <f t="shared" si="4"/>
        <v>0.12541694462975317</v>
      </c>
    </row>
    <row r="271" spans="1:12" ht="17" customHeight="1">
      <c r="A271" s="131" t="s">
        <v>1048</v>
      </c>
      <c r="B271" s="131" t="s">
        <v>1049</v>
      </c>
      <c r="C271" s="131">
        <v>6541.15</v>
      </c>
      <c r="D271" s="131">
        <v>0.17</v>
      </c>
      <c r="E271" s="131">
        <v>33.409999999999997</v>
      </c>
      <c r="F271" s="131">
        <v>18.350000000000001</v>
      </c>
      <c r="G271" s="131">
        <v>0.26</v>
      </c>
      <c r="H271" s="131">
        <v>2.2200000000000002</v>
      </c>
      <c r="I271" s="131">
        <v>0.38</v>
      </c>
      <c r="J271" s="132">
        <v>40308</v>
      </c>
      <c r="K271" s="133" t="s">
        <v>458</v>
      </c>
      <c r="L271" s="126">
        <f t="shared" si="4"/>
        <v>0.12098092643051771</v>
      </c>
    </row>
    <row r="272" spans="1:12" ht="17" customHeight="1">
      <c r="A272" s="131" t="s">
        <v>1050</v>
      </c>
      <c r="B272" s="131" t="s">
        <v>1051</v>
      </c>
      <c r="C272" s="131">
        <v>3054.44</v>
      </c>
      <c r="D272" s="131">
        <v>0.5</v>
      </c>
      <c r="E272" s="131">
        <v>19.29</v>
      </c>
      <c r="F272" s="131">
        <v>11.55</v>
      </c>
      <c r="G272" s="131">
        <v>0.52</v>
      </c>
      <c r="H272" s="131">
        <v>1.42</v>
      </c>
      <c r="I272" s="131">
        <v>0.39</v>
      </c>
      <c r="J272" s="132">
        <v>40218</v>
      </c>
      <c r="K272" s="133" t="s">
        <v>458</v>
      </c>
      <c r="L272" s="126">
        <f t="shared" si="4"/>
        <v>0.12294372294372292</v>
      </c>
    </row>
    <row r="273" spans="1:12" ht="17" customHeight="1">
      <c r="A273" s="131" t="s">
        <v>522</v>
      </c>
      <c r="B273" s="131" t="s">
        <v>523</v>
      </c>
      <c r="C273" s="131">
        <v>5017.3900000000003</v>
      </c>
      <c r="D273" s="131">
        <v>1.47</v>
      </c>
      <c r="E273" s="131">
        <v>75.42</v>
      </c>
      <c r="F273" s="131">
        <v>35.729999999999997</v>
      </c>
      <c r="G273" s="131">
        <v>0.2</v>
      </c>
      <c r="H273" s="131">
        <v>4.88</v>
      </c>
      <c r="I273" s="131">
        <v>0.39</v>
      </c>
      <c r="J273" s="132">
        <v>36529</v>
      </c>
      <c r="K273" s="133" t="s">
        <v>458</v>
      </c>
      <c r="L273" s="126">
        <f t="shared" si="4"/>
        <v>0.13657990484186958</v>
      </c>
    </row>
    <row r="274" spans="1:12" ht="17" customHeight="1">
      <c r="A274" s="131" t="s">
        <v>1052</v>
      </c>
      <c r="B274" s="131" t="s">
        <v>1053</v>
      </c>
      <c r="C274" s="131">
        <v>1593.25</v>
      </c>
      <c r="D274" s="131">
        <v>0.23</v>
      </c>
      <c r="E274" s="131">
        <v>38.14</v>
      </c>
      <c r="F274" s="131">
        <v>65.05</v>
      </c>
      <c r="G274" s="131">
        <v>0.46</v>
      </c>
      <c r="H274" s="131">
        <v>3.91</v>
      </c>
      <c r="I274" s="131">
        <v>0.39</v>
      </c>
      <c r="J274" s="132">
        <v>42075</v>
      </c>
      <c r="K274" s="133" t="s">
        <v>458</v>
      </c>
      <c r="L274" s="126">
        <f t="shared" si="4"/>
        <v>6.0107609531129903E-2</v>
      </c>
    </row>
    <row r="275" spans="1:12" ht="17" customHeight="1">
      <c r="A275" s="131" t="s">
        <v>647</v>
      </c>
      <c r="B275" s="131" t="s">
        <v>648</v>
      </c>
      <c r="C275" s="131" t="s">
        <v>622</v>
      </c>
      <c r="D275" s="131">
        <v>0</v>
      </c>
      <c r="E275" s="131">
        <v>0</v>
      </c>
      <c r="F275" s="131">
        <v>34.71</v>
      </c>
      <c r="G275" s="131">
        <v>0.31</v>
      </c>
      <c r="H275" s="131">
        <v>3.88</v>
      </c>
      <c r="I275" s="131">
        <v>0.39</v>
      </c>
      <c r="J275" s="132">
        <v>42901</v>
      </c>
      <c r="K275" s="133" t="s">
        <v>458</v>
      </c>
      <c r="L275" s="126">
        <f t="shared" si="4"/>
        <v>0.11178334773840391</v>
      </c>
    </row>
    <row r="276" spans="1:12" ht="17" customHeight="1">
      <c r="A276" s="131" t="s">
        <v>1054</v>
      </c>
      <c r="B276" s="131" t="s">
        <v>1055</v>
      </c>
      <c r="C276" s="131">
        <v>6418.79</v>
      </c>
      <c r="D276" s="131">
        <v>0.53</v>
      </c>
      <c r="E276" s="131">
        <v>23.96</v>
      </c>
      <c r="F276" s="131">
        <v>35.200000000000003</v>
      </c>
      <c r="G276" s="131">
        <v>0.77</v>
      </c>
      <c r="H276" s="131">
        <v>3.99</v>
      </c>
      <c r="I276" s="131">
        <v>0.4</v>
      </c>
      <c r="J276" s="132">
        <v>39822</v>
      </c>
      <c r="K276" s="133" t="s">
        <v>458</v>
      </c>
      <c r="L276" s="126">
        <f t="shared" si="4"/>
        <v>0.11335227272727272</v>
      </c>
    </row>
    <row r="277" spans="1:12" ht="17" customHeight="1">
      <c r="A277" s="131" t="s">
        <v>1056</v>
      </c>
      <c r="B277" s="131" t="s">
        <v>1057</v>
      </c>
      <c r="C277" s="131">
        <v>1841.67</v>
      </c>
      <c r="D277" s="131">
        <v>0.87</v>
      </c>
      <c r="E277" s="131">
        <v>41.28</v>
      </c>
      <c r="F277" s="131">
        <v>32.909999999999997</v>
      </c>
      <c r="G277" s="131">
        <v>0.13</v>
      </c>
      <c r="H277" s="131">
        <v>3.18</v>
      </c>
      <c r="I277" s="131">
        <v>0.41</v>
      </c>
      <c r="J277" s="132">
        <v>40855</v>
      </c>
      <c r="K277" s="133" t="s">
        <v>458</v>
      </c>
      <c r="L277" s="126">
        <f t="shared" si="4"/>
        <v>9.6627164995442133E-2</v>
      </c>
    </row>
    <row r="278" spans="1:12" ht="17" customHeight="1">
      <c r="A278" s="131" t="s">
        <v>1058</v>
      </c>
      <c r="B278" s="131" t="s">
        <v>1059</v>
      </c>
      <c r="C278" s="131">
        <v>7232.45</v>
      </c>
      <c r="D278" s="131">
        <v>0.33</v>
      </c>
      <c r="E278" s="131">
        <v>40.32</v>
      </c>
      <c r="F278" s="131">
        <v>62.3</v>
      </c>
      <c r="G278" s="131">
        <v>0.55000000000000004</v>
      </c>
      <c r="H278" s="131">
        <v>4.18</v>
      </c>
      <c r="I278" s="131">
        <v>0.41</v>
      </c>
      <c r="J278" s="132">
        <v>42160</v>
      </c>
      <c r="K278" s="133" t="s">
        <v>458</v>
      </c>
      <c r="L278" s="126">
        <f t="shared" si="4"/>
        <v>6.709470304975923E-2</v>
      </c>
    </row>
    <row r="279" spans="1:12" ht="17" customHeight="1">
      <c r="A279" s="131" t="s">
        <v>466</v>
      </c>
      <c r="B279" s="131" t="s">
        <v>467</v>
      </c>
      <c r="C279" s="131">
        <v>2127</v>
      </c>
      <c r="D279" s="131">
        <v>0.2</v>
      </c>
      <c r="E279" s="131">
        <v>10.67</v>
      </c>
      <c r="F279" s="131">
        <v>34.770000000000003</v>
      </c>
      <c r="G279" s="131">
        <v>0.3</v>
      </c>
      <c r="H279" s="131">
        <v>2.46</v>
      </c>
      <c r="I279" s="131">
        <v>0.42</v>
      </c>
      <c r="J279" s="132">
        <v>36529</v>
      </c>
      <c r="K279" s="133" t="s">
        <v>458</v>
      </c>
      <c r="L279" s="126">
        <f t="shared" si="4"/>
        <v>7.0750647109577208E-2</v>
      </c>
    </row>
    <row r="280" spans="1:12" ht="17" customHeight="1">
      <c r="A280" s="131" t="s">
        <v>1060</v>
      </c>
      <c r="B280" s="131" t="s">
        <v>44</v>
      </c>
      <c r="C280" s="131">
        <v>7692.24</v>
      </c>
      <c r="D280" s="131">
        <v>2.17</v>
      </c>
      <c r="E280" s="131">
        <v>2.4700000000000002</v>
      </c>
      <c r="F280" s="131">
        <v>7.59</v>
      </c>
      <c r="G280" s="131">
        <v>0.16</v>
      </c>
      <c r="H280" s="131">
        <v>1.52</v>
      </c>
      <c r="I280" s="131">
        <v>0.42</v>
      </c>
      <c r="J280" s="132">
        <v>43179</v>
      </c>
      <c r="K280" s="133" t="s">
        <v>458</v>
      </c>
      <c r="L280" s="126">
        <f t="shared" si="4"/>
        <v>0.20026350461133072</v>
      </c>
    </row>
    <row r="281" spans="1:12" ht="17" customHeight="1">
      <c r="A281" s="131" t="s">
        <v>715</v>
      </c>
      <c r="B281" s="131" t="s">
        <v>716</v>
      </c>
      <c r="C281" s="131">
        <v>1695.6</v>
      </c>
      <c r="D281" s="131">
        <v>-0.13</v>
      </c>
      <c r="E281" s="131">
        <v>46.61</v>
      </c>
      <c r="F281" s="131">
        <v>10.41</v>
      </c>
      <c r="G281" s="131">
        <v>0</v>
      </c>
      <c r="H281" s="131">
        <v>2.31</v>
      </c>
      <c r="I281" s="131">
        <v>0.42</v>
      </c>
      <c r="J281" s="132">
        <v>39099</v>
      </c>
      <c r="K281" s="133" t="s">
        <v>458</v>
      </c>
      <c r="L281" s="126">
        <f t="shared" si="4"/>
        <v>0.22190201729106629</v>
      </c>
    </row>
    <row r="282" spans="1:12" ht="17" customHeight="1">
      <c r="A282" s="131" t="s">
        <v>1061</v>
      </c>
      <c r="B282" s="131" t="s">
        <v>1062</v>
      </c>
      <c r="C282" s="131">
        <v>13220.81</v>
      </c>
      <c r="D282" s="131">
        <v>-0.19</v>
      </c>
      <c r="E282" s="131">
        <v>25.21</v>
      </c>
      <c r="F282" s="131">
        <v>24.53</v>
      </c>
      <c r="G282" s="131">
        <v>1</v>
      </c>
      <c r="H282" s="131">
        <v>1.65</v>
      </c>
      <c r="I282" s="131">
        <v>0.42</v>
      </c>
      <c r="J282" s="132">
        <v>42258</v>
      </c>
      <c r="K282" s="133" t="s">
        <v>458</v>
      </c>
      <c r="L282" s="126">
        <f t="shared" si="4"/>
        <v>6.726457399103139E-2</v>
      </c>
    </row>
    <row r="283" spans="1:12" ht="17" customHeight="1">
      <c r="A283" s="131" t="s">
        <v>1063</v>
      </c>
      <c r="B283" s="131" t="s">
        <v>1064</v>
      </c>
      <c r="C283" s="131">
        <v>4073.76</v>
      </c>
      <c r="D283" s="131">
        <v>1.02</v>
      </c>
      <c r="E283" s="131">
        <v>38.770000000000003</v>
      </c>
      <c r="F283" s="131">
        <v>27.01</v>
      </c>
      <c r="G283" s="131">
        <v>0.25</v>
      </c>
      <c r="H283" s="131">
        <v>3.85</v>
      </c>
      <c r="I283" s="131">
        <v>0.43</v>
      </c>
      <c r="J283" s="132">
        <v>40028</v>
      </c>
      <c r="K283" s="133" t="s">
        <v>458</v>
      </c>
      <c r="L283" s="126">
        <f t="shared" si="4"/>
        <v>0.14253980007404665</v>
      </c>
    </row>
    <row r="284" spans="1:12" ht="17" customHeight="1">
      <c r="A284" s="131" t="s">
        <v>1065</v>
      </c>
      <c r="B284" s="131" t="s">
        <v>1066</v>
      </c>
      <c r="C284" s="131">
        <v>6934.34</v>
      </c>
      <c r="D284" s="131">
        <v>0.26</v>
      </c>
      <c r="E284" s="131">
        <v>36.14</v>
      </c>
      <c r="F284" s="131">
        <v>17.25</v>
      </c>
      <c r="G284" s="131">
        <v>0.28000000000000003</v>
      </c>
      <c r="H284" s="131">
        <v>2.1800000000000002</v>
      </c>
      <c r="I284" s="131">
        <v>0.44</v>
      </c>
      <c r="J284" s="132">
        <v>40308</v>
      </c>
      <c r="K284" s="133" t="s">
        <v>458</v>
      </c>
      <c r="L284" s="126">
        <f t="shared" si="4"/>
        <v>0.12637681159420291</v>
      </c>
    </row>
    <row r="285" spans="1:12" ht="17" customHeight="1">
      <c r="A285" s="131" t="s">
        <v>588</v>
      </c>
      <c r="B285" s="131" t="s">
        <v>589</v>
      </c>
      <c r="C285" s="131">
        <v>5976.92</v>
      </c>
      <c r="D285" s="131">
        <v>-0.57999999999999996</v>
      </c>
      <c r="E285" s="131">
        <v>23.54</v>
      </c>
      <c r="F285" s="131">
        <v>45.75</v>
      </c>
      <c r="G285" s="131">
        <v>0.73</v>
      </c>
      <c r="H285" s="131">
        <v>3.51</v>
      </c>
      <c r="I285" s="131">
        <v>0.44</v>
      </c>
      <c r="J285" s="132">
        <v>36529</v>
      </c>
      <c r="K285" s="133" t="s">
        <v>458</v>
      </c>
      <c r="L285" s="126">
        <f t="shared" si="4"/>
        <v>7.6721311475409837E-2</v>
      </c>
    </row>
    <row r="286" spans="1:12" ht="17" customHeight="1">
      <c r="A286" s="131" t="s">
        <v>1067</v>
      </c>
      <c r="B286" s="131" t="s">
        <v>106</v>
      </c>
      <c r="C286" s="131">
        <v>4228.28</v>
      </c>
      <c r="D286" s="131">
        <v>1.28</v>
      </c>
      <c r="E286" s="131">
        <v>48.59</v>
      </c>
      <c r="F286" s="131">
        <v>53.02</v>
      </c>
      <c r="G286" s="131">
        <v>0.68</v>
      </c>
      <c r="H286" s="131">
        <v>3.92</v>
      </c>
      <c r="I286" s="131">
        <v>0.45</v>
      </c>
      <c r="J286" s="132">
        <v>39997</v>
      </c>
      <c r="K286" s="133" t="s">
        <v>458</v>
      </c>
      <c r="L286" s="126">
        <f t="shared" si="4"/>
        <v>7.3934364390795926E-2</v>
      </c>
    </row>
    <row r="287" spans="1:12" ht="17" customHeight="1">
      <c r="A287" s="131" t="s">
        <v>1068</v>
      </c>
      <c r="B287" s="131" t="s">
        <v>1069</v>
      </c>
      <c r="C287" s="131">
        <v>7506.07</v>
      </c>
      <c r="D287" s="131">
        <v>-1.23</v>
      </c>
      <c r="E287" s="131">
        <v>34.56</v>
      </c>
      <c r="F287" s="131">
        <v>9.8000000000000007</v>
      </c>
      <c r="G287" s="131">
        <v>0.13</v>
      </c>
      <c r="H287" s="131">
        <v>1.75</v>
      </c>
      <c r="I287" s="131">
        <v>0.45</v>
      </c>
      <c r="J287" s="132">
        <v>41470</v>
      </c>
      <c r="K287" s="133" t="s">
        <v>458</v>
      </c>
      <c r="L287" s="126">
        <f t="shared" si="4"/>
        <v>0.17857142857142855</v>
      </c>
    </row>
    <row r="288" spans="1:12" ht="17" customHeight="1">
      <c r="A288" s="131" t="s">
        <v>1070</v>
      </c>
      <c r="B288" s="131" t="s">
        <v>1071</v>
      </c>
      <c r="C288" s="131">
        <v>5875.85</v>
      </c>
      <c r="D288" s="131">
        <v>2.2999999999999998</v>
      </c>
      <c r="E288" s="131">
        <v>23.56</v>
      </c>
      <c r="F288" s="131">
        <v>34.49</v>
      </c>
      <c r="G288" s="131">
        <v>0.3</v>
      </c>
      <c r="H288" s="131">
        <v>4.8899999999999997</v>
      </c>
      <c r="I288" s="131">
        <v>0.46</v>
      </c>
      <c r="J288" s="132">
        <v>42982</v>
      </c>
      <c r="K288" s="133" t="s">
        <v>458</v>
      </c>
      <c r="L288" s="126">
        <f t="shared" si="4"/>
        <v>0.14178022615250796</v>
      </c>
    </row>
    <row r="289" spans="1:12" ht="17" customHeight="1">
      <c r="A289" s="131" t="s">
        <v>1072</v>
      </c>
      <c r="B289" s="131"/>
      <c r="C289" s="131">
        <v>1383.68</v>
      </c>
      <c r="D289" s="131">
        <v>1.1499999999999999</v>
      </c>
      <c r="E289" s="131">
        <v>38.14</v>
      </c>
      <c r="F289" s="131">
        <v>57.77</v>
      </c>
      <c r="G289" s="131">
        <v>0.71</v>
      </c>
      <c r="H289" s="131">
        <v>5.17</v>
      </c>
      <c r="I289" s="131">
        <v>0.47</v>
      </c>
      <c r="J289" s="132">
        <v>41808</v>
      </c>
      <c r="K289" s="133" t="s">
        <v>458</v>
      </c>
      <c r="L289" s="126">
        <f t="shared" si="4"/>
        <v>8.9492816340661238E-2</v>
      </c>
    </row>
    <row r="290" spans="1:12" ht="17" customHeight="1">
      <c r="A290" s="131" t="s">
        <v>1073</v>
      </c>
      <c r="B290" s="131" t="s">
        <v>1074</v>
      </c>
      <c r="C290" s="131">
        <v>1625.44</v>
      </c>
      <c r="D290" s="131">
        <v>0.55000000000000004</v>
      </c>
      <c r="E290" s="131">
        <v>40.06</v>
      </c>
      <c r="F290" s="131">
        <v>26.27</v>
      </c>
      <c r="G290" s="131">
        <v>0.22</v>
      </c>
      <c r="H290" s="131">
        <v>3.77</v>
      </c>
      <c r="I290" s="131">
        <v>0.47</v>
      </c>
      <c r="J290" s="132">
        <v>42044</v>
      </c>
      <c r="K290" s="133" t="s">
        <v>458</v>
      </c>
      <c r="L290" s="126">
        <f t="shared" si="4"/>
        <v>0.14350970688998857</v>
      </c>
    </row>
    <row r="291" spans="1:12" ht="17" customHeight="1">
      <c r="A291" s="131" t="s">
        <v>540</v>
      </c>
      <c r="B291" s="131" t="s">
        <v>541</v>
      </c>
      <c r="C291" s="131">
        <v>1185.3699999999999</v>
      </c>
      <c r="D291" s="131">
        <v>0.06</v>
      </c>
      <c r="E291" s="131">
        <v>15.93</v>
      </c>
      <c r="F291" s="131">
        <v>44.67</v>
      </c>
      <c r="G291" s="131">
        <v>0.35</v>
      </c>
      <c r="H291" s="131">
        <v>3.49</v>
      </c>
      <c r="I291" s="131">
        <v>0.48</v>
      </c>
      <c r="J291" s="132">
        <v>36529</v>
      </c>
      <c r="K291" s="133" t="s">
        <v>458</v>
      </c>
      <c r="L291" s="126">
        <f t="shared" si="4"/>
        <v>7.812849787329304E-2</v>
      </c>
    </row>
    <row r="292" spans="1:12" ht="17" customHeight="1">
      <c r="A292" s="131" t="s">
        <v>1075</v>
      </c>
      <c r="B292" s="131" t="s">
        <v>78</v>
      </c>
      <c r="C292" s="131">
        <v>1679.08</v>
      </c>
      <c r="D292" s="131">
        <v>1.04</v>
      </c>
      <c r="E292" s="131">
        <v>34.270000000000003</v>
      </c>
      <c r="F292" s="131">
        <v>51.26</v>
      </c>
      <c r="G292" s="131">
        <v>0.53</v>
      </c>
      <c r="H292" s="131">
        <v>4.67</v>
      </c>
      <c r="I292" s="131">
        <v>0.49</v>
      </c>
      <c r="J292" s="132">
        <v>40330</v>
      </c>
      <c r="K292" s="133" t="s">
        <v>458</v>
      </c>
      <c r="L292" s="126">
        <f t="shared" si="4"/>
        <v>9.1104174795161919E-2</v>
      </c>
    </row>
    <row r="293" spans="1:12" ht="17" customHeight="1">
      <c r="A293" s="131" t="s">
        <v>1076</v>
      </c>
      <c r="B293" s="131" t="s">
        <v>84</v>
      </c>
      <c r="C293" s="131">
        <v>7169.92</v>
      </c>
      <c r="D293" s="131">
        <v>0.67</v>
      </c>
      <c r="E293" s="131">
        <v>17.13</v>
      </c>
      <c r="F293" s="131">
        <v>18.16</v>
      </c>
      <c r="G293" s="131">
        <v>0.02</v>
      </c>
      <c r="H293" s="131">
        <v>3.01</v>
      </c>
      <c r="I293" s="131">
        <v>0.49</v>
      </c>
      <c r="J293" s="132">
        <v>41796</v>
      </c>
      <c r="K293" s="133" t="s">
        <v>458</v>
      </c>
      <c r="L293" s="126">
        <f t="shared" si="4"/>
        <v>0.16574889867841408</v>
      </c>
    </row>
    <row r="294" spans="1:12" ht="17" customHeight="1">
      <c r="A294" s="131" t="s">
        <v>530</v>
      </c>
      <c r="B294" s="131" t="s">
        <v>531</v>
      </c>
      <c r="C294" s="131">
        <v>2509.37</v>
      </c>
      <c r="D294" s="131">
        <v>1.56</v>
      </c>
      <c r="E294" s="131">
        <v>84.13</v>
      </c>
      <c r="F294" s="131">
        <v>92.08</v>
      </c>
      <c r="G294" s="131">
        <v>0.71</v>
      </c>
      <c r="H294" s="131">
        <v>3.82</v>
      </c>
      <c r="I294" s="131">
        <v>0.5</v>
      </c>
      <c r="J294" s="132">
        <v>36529</v>
      </c>
      <c r="K294" s="133" t="s">
        <v>458</v>
      </c>
      <c r="L294" s="126">
        <f t="shared" si="4"/>
        <v>4.1485664639443962E-2</v>
      </c>
    </row>
    <row r="295" spans="1:12" ht="17" customHeight="1">
      <c r="A295" s="131" t="s">
        <v>1077</v>
      </c>
      <c r="B295" s="131" t="s">
        <v>1078</v>
      </c>
      <c r="C295" s="131">
        <v>4968.49</v>
      </c>
      <c r="D295" s="131">
        <v>1.23</v>
      </c>
      <c r="E295" s="131">
        <v>48.53</v>
      </c>
      <c r="F295" s="131">
        <v>37.78</v>
      </c>
      <c r="G295" s="131">
        <v>0.56999999999999995</v>
      </c>
      <c r="H295" s="131">
        <v>3.91</v>
      </c>
      <c r="I295" s="131">
        <v>0.5</v>
      </c>
      <c r="J295" s="132">
        <v>40490</v>
      </c>
      <c r="K295" s="133" t="s">
        <v>458</v>
      </c>
      <c r="L295" s="126">
        <f t="shared" si="4"/>
        <v>0.10349391212281631</v>
      </c>
    </row>
    <row r="296" spans="1:12" ht="17" customHeight="1">
      <c r="A296" s="131" t="s">
        <v>476</v>
      </c>
      <c r="B296" s="131" t="s">
        <v>477</v>
      </c>
      <c r="C296" s="131">
        <v>3295.91</v>
      </c>
      <c r="D296" s="131">
        <v>0.85</v>
      </c>
      <c r="E296" s="131">
        <v>44.91</v>
      </c>
      <c r="F296" s="131">
        <v>31.84</v>
      </c>
      <c r="G296" s="131">
        <v>0.2</v>
      </c>
      <c r="H296" s="131">
        <v>3.53</v>
      </c>
      <c r="I296" s="131">
        <v>0.51</v>
      </c>
      <c r="J296" s="132">
        <v>36529</v>
      </c>
      <c r="K296" s="133" t="s">
        <v>458</v>
      </c>
      <c r="L296" s="126">
        <f t="shared" si="4"/>
        <v>0.11086683417085427</v>
      </c>
    </row>
    <row r="297" spans="1:12" ht="17" customHeight="1">
      <c r="A297" s="131" t="s">
        <v>1079</v>
      </c>
      <c r="B297" s="131" t="s">
        <v>1080</v>
      </c>
      <c r="C297" s="131">
        <v>3077.54</v>
      </c>
      <c r="D297" s="131">
        <v>0.89</v>
      </c>
      <c r="E297" s="131">
        <v>50.76</v>
      </c>
      <c r="F297" s="131">
        <v>50.28</v>
      </c>
      <c r="G297" s="131">
        <v>0.24</v>
      </c>
      <c r="H297" s="131">
        <v>6.95</v>
      </c>
      <c r="I297" s="131">
        <v>0.51</v>
      </c>
      <c r="J297" s="132">
        <v>42024</v>
      </c>
      <c r="K297" s="133" t="s">
        <v>458</v>
      </c>
      <c r="L297" s="126">
        <f t="shared" si="4"/>
        <v>0.13822593476531425</v>
      </c>
    </row>
    <row r="298" spans="1:12" ht="17" customHeight="1">
      <c r="A298" s="131" t="s">
        <v>1081</v>
      </c>
      <c r="B298" s="131" t="s">
        <v>1082</v>
      </c>
      <c r="C298" s="131">
        <v>5705.49</v>
      </c>
      <c r="D298" s="131">
        <v>0.56999999999999995</v>
      </c>
      <c r="E298" s="131">
        <v>29.58</v>
      </c>
      <c r="F298" s="131">
        <v>15.26</v>
      </c>
      <c r="G298" s="131">
        <v>0.4</v>
      </c>
      <c r="H298" s="131">
        <v>2.0299999999999998</v>
      </c>
      <c r="I298" s="131">
        <v>0.52</v>
      </c>
      <c r="J298" s="132">
        <v>42240</v>
      </c>
      <c r="K298" s="133" t="s">
        <v>458</v>
      </c>
      <c r="L298" s="126">
        <f t="shared" si="4"/>
        <v>0.1330275229357798</v>
      </c>
    </row>
    <row r="299" spans="1:12" ht="17" customHeight="1">
      <c r="A299" s="131" t="s">
        <v>1083</v>
      </c>
      <c r="B299" s="131" t="s">
        <v>1084</v>
      </c>
      <c r="C299" s="131">
        <v>4553.04</v>
      </c>
      <c r="D299" s="131">
        <v>0.34</v>
      </c>
      <c r="E299" s="131">
        <v>26.2</v>
      </c>
      <c r="F299" s="131">
        <v>63.52</v>
      </c>
      <c r="G299" s="131">
        <v>0.38</v>
      </c>
      <c r="H299" s="131">
        <v>3.19</v>
      </c>
      <c r="I299" s="131">
        <v>0.52</v>
      </c>
      <c r="J299" s="132">
        <v>43179</v>
      </c>
      <c r="K299" s="133" t="s">
        <v>458</v>
      </c>
      <c r="L299" s="126">
        <f t="shared" si="4"/>
        <v>5.0220403022670022E-2</v>
      </c>
    </row>
    <row r="300" spans="1:12" ht="17" customHeight="1">
      <c r="A300" s="131" t="s">
        <v>570</v>
      </c>
      <c r="B300" s="131" t="s">
        <v>571</v>
      </c>
      <c r="C300" s="131">
        <v>6698.78</v>
      </c>
      <c r="D300" s="131">
        <v>1.18</v>
      </c>
      <c r="E300" s="131">
        <v>64.5</v>
      </c>
      <c r="F300" s="131">
        <v>97.16</v>
      </c>
      <c r="G300" s="131">
        <v>0.65</v>
      </c>
      <c r="H300" s="131">
        <v>7.38</v>
      </c>
      <c r="I300" s="131">
        <v>0.54</v>
      </c>
      <c r="J300" s="132">
        <v>39265</v>
      </c>
      <c r="K300" s="133" t="s">
        <v>458</v>
      </c>
      <c r="L300" s="126">
        <f t="shared" si="4"/>
        <v>7.5957184026348296E-2</v>
      </c>
    </row>
    <row r="301" spans="1:12" ht="17" customHeight="1">
      <c r="A301" s="131" t="s">
        <v>1085</v>
      </c>
      <c r="B301" s="131" t="s">
        <v>1086</v>
      </c>
      <c r="C301" s="131">
        <v>4443.46</v>
      </c>
      <c r="D301" s="131">
        <v>1.35</v>
      </c>
      <c r="E301" s="131">
        <v>45.77</v>
      </c>
      <c r="F301" s="131">
        <v>29.41</v>
      </c>
      <c r="G301" s="131">
        <v>0.77</v>
      </c>
      <c r="H301" s="131">
        <v>4.13</v>
      </c>
      <c r="I301" s="131">
        <v>0.54</v>
      </c>
      <c r="J301" s="132">
        <v>37621</v>
      </c>
      <c r="K301" s="133" t="s">
        <v>458</v>
      </c>
      <c r="L301" s="126">
        <f t="shared" si="4"/>
        <v>0.14042842570554231</v>
      </c>
    </row>
    <row r="302" spans="1:12" ht="17" customHeight="1">
      <c r="A302" s="131" t="s">
        <v>1087</v>
      </c>
      <c r="B302" s="131" t="s">
        <v>1088</v>
      </c>
      <c r="C302" s="131">
        <v>7800.86</v>
      </c>
      <c r="D302" s="131">
        <v>0.3</v>
      </c>
      <c r="E302" s="131">
        <v>40.46</v>
      </c>
      <c r="F302" s="131">
        <v>15.93</v>
      </c>
      <c r="G302" s="131">
        <v>0.28000000000000003</v>
      </c>
      <c r="H302" s="131">
        <v>2.1800000000000002</v>
      </c>
      <c r="I302" s="131">
        <v>0.55000000000000004</v>
      </c>
      <c r="J302" s="132">
        <v>40308</v>
      </c>
      <c r="K302" s="133" t="s">
        <v>458</v>
      </c>
      <c r="L302" s="126">
        <f t="shared" si="4"/>
        <v>0.13684871311989957</v>
      </c>
    </row>
    <row r="303" spans="1:12" ht="17" customHeight="1">
      <c r="A303" s="131" t="s">
        <v>1089</v>
      </c>
      <c r="B303" s="131" t="s">
        <v>1090</v>
      </c>
      <c r="C303" s="131">
        <v>2708.34</v>
      </c>
      <c r="D303" s="131">
        <v>1.76</v>
      </c>
      <c r="E303" s="131">
        <v>55.31</v>
      </c>
      <c r="F303" s="131">
        <v>39.840000000000003</v>
      </c>
      <c r="G303" s="131">
        <v>0.39</v>
      </c>
      <c r="H303" s="131">
        <v>3.68</v>
      </c>
      <c r="I303" s="131">
        <v>0.55000000000000004</v>
      </c>
      <c r="J303" s="132">
        <v>42219</v>
      </c>
      <c r="K303" s="133" t="s">
        <v>458</v>
      </c>
      <c r="L303" s="126">
        <f t="shared" si="4"/>
        <v>9.2369477911646583E-2</v>
      </c>
    </row>
    <row r="304" spans="1:12" ht="17" customHeight="1">
      <c r="A304" s="131" t="s">
        <v>1091</v>
      </c>
      <c r="B304" s="131" t="s">
        <v>147</v>
      </c>
      <c r="C304" s="131">
        <v>1706.44</v>
      </c>
      <c r="D304" s="131">
        <v>2.4900000000000002</v>
      </c>
      <c r="E304" s="131">
        <v>22.59</v>
      </c>
      <c r="F304" s="131">
        <v>38.56</v>
      </c>
      <c r="G304" s="131">
        <v>0.46</v>
      </c>
      <c r="H304" s="131">
        <v>3.76</v>
      </c>
      <c r="I304" s="131">
        <v>0.56000000000000005</v>
      </c>
      <c r="J304" s="132">
        <v>41971</v>
      </c>
      <c r="K304" s="133" t="s">
        <v>458</v>
      </c>
      <c r="L304" s="126">
        <f t="shared" si="4"/>
        <v>9.7510373443983389E-2</v>
      </c>
    </row>
    <row r="305" spans="1:12" ht="17" customHeight="1">
      <c r="A305" s="131" t="s">
        <v>1092</v>
      </c>
      <c r="B305" s="131" t="s">
        <v>1093</v>
      </c>
      <c r="C305" s="131">
        <v>7063.87</v>
      </c>
      <c r="D305" s="131">
        <v>0.27</v>
      </c>
      <c r="E305" s="131">
        <v>32.61</v>
      </c>
      <c r="F305" s="131">
        <v>9.57</v>
      </c>
      <c r="G305" s="131">
        <v>0.76</v>
      </c>
      <c r="H305" s="131">
        <v>1.4</v>
      </c>
      <c r="I305" s="131">
        <v>0.56999999999999995</v>
      </c>
      <c r="J305" s="132">
        <v>41066</v>
      </c>
      <c r="K305" s="133" t="s">
        <v>458</v>
      </c>
      <c r="L305" s="126">
        <f t="shared" si="4"/>
        <v>0.14629049111807732</v>
      </c>
    </row>
    <row r="306" spans="1:12" ht="17" customHeight="1">
      <c r="A306" s="131" t="s">
        <v>1094</v>
      </c>
      <c r="B306" s="131" t="s">
        <v>97</v>
      </c>
      <c r="C306" s="131">
        <v>9253.1</v>
      </c>
      <c r="D306" s="131">
        <v>0.32</v>
      </c>
      <c r="E306" s="131">
        <v>51.09</v>
      </c>
      <c r="F306" s="131">
        <v>50.04</v>
      </c>
      <c r="G306" s="131">
        <v>0.22</v>
      </c>
      <c r="H306" s="131">
        <v>6.28</v>
      </c>
      <c r="I306" s="131">
        <v>0.56999999999999995</v>
      </c>
      <c r="J306" s="132">
        <v>41943</v>
      </c>
      <c r="K306" s="133" t="s">
        <v>458</v>
      </c>
      <c r="L306" s="126">
        <f t="shared" si="4"/>
        <v>0.12549960031974422</v>
      </c>
    </row>
    <row r="307" spans="1:12" ht="17" customHeight="1">
      <c r="A307" s="131" t="s">
        <v>606</v>
      </c>
      <c r="B307" s="131" t="s">
        <v>607</v>
      </c>
      <c r="C307" s="131">
        <v>15945.39</v>
      </c>
      <c r="D307" s="131">
        <v>0.31</v>
      </c>
      <c r="E307" s="131">
        <v>47.04</v>
      </c>
      <c r="F307" s="131">
        <v>15.33</v>
      </c>
      <c r="G307" s="131">
        <v>0.3</v>
      </c>
      <c r="H307" s="131">
        <v>3.4</v>
      </c>
      <c r="I307" s="131">
        <v>0.57999999999999996</v>
      </c>
      <c r="J307" s="132">
        <v>36529</v>
      </c>
      <c r="K307" s="133" t="s">
        <v>458</v>
      </c>
      <c r="L307" s="126">
        <f t="shared" si="4"/>
        <v>0.2217873450750163</v>
      </c>
    </row>
    <row r="308" spans="1:12" ht="17" customHeight="1">
      <c r="A308" s="131" t="s">
        <v>649</v>
      </c>
      <c r="B308" s="131" t="s">
        <v>650</v>
      </c>
      <c r="C308" s="131">
        <v>6279.64</v>
      </c>
      <c r="D308" s="131">
        <v>1.43</v>
      </c>
      <c r="E308" s="131">
        <v>23.62</v>
      </c>
      <c r="F308" s="131">
        <v>32.99</v>
      </c>
      <c r="G308" s="131">
        <v>0.12</v>
      </c>
      <c r="H308" s="131">
        <v>4.3</v>
      </c>
      <c r="I308" s="131">
        <v>0.57999999999999996</v>
      </c>
      <c r="J308" s="132">
        <v>36529</v>
      </c>
      <c r="K308" s="133" t="s">
        <v>458</v>
      </c>
      <c r="L308" s="126">
        <f t="shared" si="4"/>
        <v>0.13034252803879962</v>
      </c>
    </row>
    <row r="309" spans="1:12" ht="17" customHeight="1">
      <c r="A309" s="131" t="s">
        <v>1095</v>
      </c>
      <c r="B309" s="131" t="s">
        <v>1096</v>
      </c>
      <c r="C309" s="131">
        <v>11008.46</v>
      </c>
      <c r="D309" s="131">
        <v>1.06</v>
      </c>
      <c r="E309" s="131">
        <v>39.68</v>
      </c>
      <c r="F309" s="131">
        <v>36.01</v>
      </c>
      <c r="G309" s="131">
        <v>0.83</v>
      </c>
      <c r="H309" s="131">
        <v>4.8</v>
      </c>
      <c r="I309" s="131">
        <v>0.57999999999999996</v>
      </c>
      <c r="J309" s="132">
        <v>39265</v>
      </c>
      <c r="K309" s="133" t="s">
        <v>458</v>
      </c>
      <c r="L309" s="126">
        <f t="shared" si="4"/>
        <v>0.13329630658150515</v>
      </c>
    </row>
    <row r="310" spans="1:12" ht="17" customHeight="1">
      <c r="A310" s="131" t="s">
        <v>1097</v>
      </c>
      <c r="B310" s="131" t="s">
        <v>1098</v>
      </c>
      <c r="C310" s="131">
        <v>2915.98</v>
      </c>
      <c r="D310" s="131">
        <v>0.56999999999999995</v>
      </c>
      <c r="E310" s="131">
        <v>27.84</v>
      </c>
      <c r="F310" s="131">
        <v>18.84</v>
      </c>
      <c r="G310" s="131">
        <v>0.5</v>
      </c>
      <c r="H310" s="131">
        <v>2.35</v>
      </c>
      <c r="I310" s="131">
        <v>0.57999999999999996</v>
      </c>
      <c r="J310" s="132">
        <v>40212</v>
      </c>
      <c r="K310" s="133" t="s">
        <v>458</v>
      </c>
      <c r="L310" s="126">
        <f t="shared" si="4"/>
        <v>0.12473460721868365</v>
      </c>
    </row>
    <row r="311" spans="1:12" ht="17" customHeight="1">
      <c r="A311" s="131" t="s">
        <v>1099</v>
      </c>
      <c r="B311" s="131" t="s">
        <v>1100</v>
      </c>
      <c r="C311" s="131">
        <v>4128.03</v>
      </c>
      <c r="D311" s="131">
        <v>-0.26</v>
      </c>
      <c r="E311" s="131">
        <v>5.85</v>
      </c>
      <c r="F311" s="131">
        <v>12.9</v>
      </c>
      <c r="G311" s="131">
        <v>0.69</v>
      </c>
      <c r="H311" s="131">
        <v>1.48</v>
      </c>
      <c r="I311" s="131">
        <v>0.59</v>
      </c>
      <c r="J311" s="132">
        <v>42221</v>
      </c>
      <c r="K311" s="133" t="s">
        <v>458</v>
      </c>
      <c r="L311" s="126">
        <f t="shared" si="4"/>
        <v>0.11472868217054263</v>
      </c>
    </row>
    <row r="312" spans="1:12" ht="17" customHeight="1">
      <c r="A312" s="131" t="s">
        <v>1101</v>
      </c>
      <c r="B312" s="131" t="s">
        <v>1102</v>
      </c>
      <c r="C312" s="131">
        <v>2990.96</v>
      </c>
      <c r="D312" s="131">
        <v>1.1200000000000001</v>
      </c>
      <c r="E312" s="131">
        <v>53.57</v>
      </c>
      <c r="F312" s="131">
        <v>50.69</v>
      </c>
      <c r="G312" s="131">
        <v>0.16</v>
      </c>
      <c r="H312" s="131">
        <v>7.09</v>
      </c>
      <c r="I312" s="131">
        <v>0.6</v>
      </c>
      <c r="J312" s="132">
        <v>42132</v>
      </c>
      <c r="K312" s="133" t="s">
        <v>458</v>
      </c>
      <c r="L312" s="126">
        <f t="shared" si="4"/>
        <v>0.13986979680410339</v>
      </c>
    </row>
    <row r="313" spans="1:12" ht="17" customHeight="1">
      <c r="A313" s="131" t="s">
        <v>1103</v>
      </c>
      <c r="B313" s="131" t="s">
        <v>1104</v>
      </c>
      <c r="C313" s="131">
        <v>4377.26</v>
      </c>
      <c r="D313" s="131">
        <v>0.97</v>
      </c>
      <c r="E313" s="131">
        <v>45.82</v>
      </c>
      <c r="F313" s="131">
        <v>21.44</v>
      </c>
      <c r="G313" s="131">
        <v>0.51</v>
      </c>
      <c r="H313" s="131">
        <v>2.89</v>
      </c>
      <c r="I313" s="131">
        <v>0.61</v>
      </c>
      <c r="J313" s="132">
        <v>37623</v>
      </c>
      <c r="K313" s="133" t="s">
        <v>458</v>
      </c>
      <c r="L313" s="126">
        <f t="shared" si="4"/>
        <v>0.13479477611940299</v>
      </c>
    </row>
    <row r="314" spans="1:12" ht="17" customHeight="1">
      <c r="A314" s="131" t="s">
        <v>1105</v>
      </c>
      <c r="B314" s="131" t="s">
        <v>1106</v>
      </c>
      <c r="C314" s="131">
        <v>5617.75</v>
      </c>
      <c r="D314" s="131">
        <v>0.97</v>
      </c>
      <c r="E314" s="131">
        <v>48.34</v>
      </c>
      <c r="F314" s="131">
        <v>21.44</v>
      </c>
      <c r="G314" s="131">
        <v>0.51</v>
      </c>
      <c r="H314" s="131">
        <v>2.89</v>
      </c>
      <c r="I314" s="131">
        <v>0.61</v>
      </c>
      <c r="J314" s="132">
        <v>37623</v>
      </c>
      <c r="K314" s="133" t="s">
        <v>458</v>
      </c>
      <c r="L314" s="126">
        <f t="shared" si="4"/>
        <v>0.13479477611940299</v>
      </c>
    </row>
    <row r="315" spans="1:12" ht="17" customHeight="1">
      <c r="A315" s="131" t="s">
        <v>598</v>
      </c>
      <c r="B315" s="131" t="s">
        <v>599</v>
      </c>
      <c r="C315" s="131">
        <v>5578.15</v>
      </c>
      <c r="D315" s="131">
        <v>0.97</v>
      </c>
      <c r="E315" s="131">
        <v>88.66</v>
      </c>
      <c r="F315" s="131">
        <v>40.200000000000003</v>
      </c>
      <c r="G315" s="131">
        <v>0.46</v>
      </c>
      <c r="H315" s="131">
        <v>3.74</v>
      </c>
      <c r="I315" s="131">
        <v>0.61</v>
      </c>
      <c r="J315" s="132">
        <v>36529</v>
      </c>
      <c r="K315" s="133" t="s">
        <v>458</v>
      </c>
      <c r="L315" s="126">
        <f t="shared" si="4"/>
        <v>9.3034825870646765E-2</v>
      </c>
    </row>
    <row r="316" spans="1:12" ht="17" customHeight="1">
      <c r="A316" s="131" t="s">
        <v>625</v>
      </c>
      <c r="B316" s="131" t="s">
        <v>626</v>
      </c>
      <c r="C316" s="131">
        <v>15410.6</v>
      </c>
      <c r="D316" s="131">
        <v>0.72</v>
      </c>
      <c r="E316" s="131">
        <v>33.39</v>
      </c>
      <c r="F316" s="131">
        <v>28.66</v>
      </c>
      <c r="G316" s="131">
        <v>0.22</v>
      </c>
      <c r="H316" s="131">
        <v>4.7699999999999996</v>
      </c>
      <c r="I316" s="131">
        <v>0.61</v>
      </c>
      <c r="J316" s="132">
        <v>36529</v>
      </c>
      <c r="K316" s="133" t="s">
        <v>458</v>
      </c>
      <c r="L316" s="126">
        <f t="shared" si="4"/>
        <v>0.16643405443126308</v>
      </c>
    </row>
    <row r="317" spans="1:12" ht="17" customHeight="1">
      <c r="A317" s="131" t="s">
        <v>1107</v>
      </c>
      <c r="B317" s="131" t="s">
        <v>167</v>
      </c>
      <c r="C317" s="131">
        <v>9620.76</v>
      </c>
      <c r="D317" s="131">
        <v>0.51</v>
      </c>
      <c r="E317" s="131">
        <v>48.56</v>
      </c>
      <c r="F317" s="131">
        <v>15.87</v>
      </c>
      <c r="G317" s="131">
        <v>0.47</v>
      </c>
      <c r="H317" s="131">
        <v>2.37</v>
      </c>
      <c r="I317" s="131">
        <v>0.61</v>
      </c>
      <c r="J317" s="132">
        <v>37621</v>
      </c>
      <c r="K317" s="133" t="s">
        <v>458</v>
      </c>
      <c r="L317" s="126">
        <f t="shared" si="4"/>
        <v>0.14933837429111532</v>
      </c>
    </row>
    <row r="318" spans="1:12" ht="17" customHeight="1">
      <c r="A318" s="131" t="s">
        <v>480</v>
      </c>
      <c r="B318" s="131" t="s">
        <v>481</v>
      </c>
      <c r="C318" s="131">
        <v>7192</v>
      </c>
      <c r="D318" s="131">
        <v>0.34</v>
      </c>
      <c r="E318" s="131">
        <v>45.13</v>
      </c>
      <c r="F318" s="131">
        <v>15.83</v>
      </c>
      <c r="G318" s="131">
        <v>0.25</v>
      </c>
      <c r="H318" s="131">
        <v>3.13</v>
      </c>
      <c r="I318" s="131">
        <v>0.62</v>
      </c>
      <c r="J318" s="132">
        <v>36529</v>
      </c>
      <c r="K318" s="133" t="s">
        <v>458</v>
      </c>
      <c r="L318" s="126">
        <f t="shared" si="4"/>
        <v>0.19772583701831964</v>
      </c>
    </row>
    <row r="319" spans="1:12" ht="17" customHeight="1">
      <c r="A319" s="131" t="s">
        <v>526</v>
      </c>
      <c r="B319" s="131" t="s">
        <v>527</v>
      </c>
      <c r="C319" s="131">
        <v>4050.75</v>
      </c>
      <c r="D319" s="131">
        <v>0.55000000000000004</v>
      </c>
      <c r="E319" s="131">
        <v>44.44</v>
      </c>
      <c r="F319" s="131">
        <v>35.630000000000003</v>
      </c>
      <c r="G319" s="131">
        <v>0.26</v>
      </c>
      <c r="H319" s="131">
        <v>3.68</v>
      </c>
      <c r="I319" s="131">
        <v>0.63</v>
      </c>
      <c r="J319" s="132">
        <v>36529</v>
      </c>
      <c r="K319" s="133" t="s">
        <v>458</v>
      </c>
      <c r="L319" s="126">
        <f t="shared" si="4"/>
        <v>0.10328374964917204</v>
      </c>
    </row>
    <row r="320" spans="1:12" ht="17" customHeight="1">
      <c r="A320" s="131" t="s">
        <v>1108</v>
      </c>
      <c r="B320" s="131" t="s">
        <v>1109</v>
      </c>
      <c r="C320" s="131">
        <v>1516.34</v>
      </c>
      <c r="D320" s="131">
        <v>0.72</v>
      </c>
      <c r="E320" s="131">
        <v>15.81</v>
      </c>
      <c r="F320" s="131">
        <v>34.07</v>
      </c>
      <c r="G320" s="131">
        <v>0.68</v>
      </c>
      <c r="H320" s="131">
        <v>4.29</v>
      </c>
      <c r="I320" s="131">
        <v>0.64</v>
      </c>
      <c r="J320" s="132">
        <v>41796</v>
      </c>
      <c r="K320" s="133" t="s">
        <v>458</v>
      </c>
      <c r="L320" s="126">
        <f t="shared" si="4"/>
        <v>0.12591722923393014</v>
      </c>
    </row>
    <row r="321" spans="1:12" ht="17" customHeight="1">
      <c r="A321" s="131" t="s">
        <v>1110</v>
      </c>
      <c r="B321" s="131" t="s">
        <v>164</v>
      </c>
      <c r="C321" s="131">
        <v>10498.59</v>
      </c>
      <c r="D321" s="131">
        <v>0.79</v>
      </c>
      <c r="E321" s="131">
        <v>41.71</v>
      </c>
      <c r="F321" s="131">
        <v>36.78</v>
      </c>
      <c r="G321" s="131">
        <v>0.65</v>
      </c>
      <c r="H321" s="131">
        <v>4.7300000000000004</v>
      </c>
      <c r="I321" s="131">
        <v>0.67</v>
      </c>
      <c r="J321" s="132">
        <v>41211</v>
      </c>
      <c r="K321" s="133" t="s">
        <v>458</v>
      </c>
      <c r="L321" s="126">
        <f t="shared" si="4"/>
        <v>0.12860250135943449</v>
      </c>
    </row>
    <row r="322" spans="1:12" ht="17" customHeight="1">
      <c r="A322" s="131" t="s">
        <v>1111</v>
      </c>
      <c r="B322" s="131" t="s">
        <v>143</v>
      </c>
      <c r="C322" s="131">
        <v>10142.41</v>
      </c>
      <c r="D322" s="131">
        <v>0.68</v>
      </c>
      <c r="E322" s="131">
        <v>35.39</v>
      </c>
      <c r="F322" s="131">
        <v>37.659999999999997</v>
      </c>
      <c r="G322" s="131">
        <v>0.82</v>
      </c>
      <c r="H322" s="131">
        <v>4.45</v>
      </c>
      <c r="I322" s="131">
        <v>0.68</v>
      </c>
      <c r="J322" s="132">
        <v>40956</v>
      </c>
      <c r="K322" s="133" t="s">
        <v>458</v>
      </c>
      <c r="L322" s="126">
        <f t="shared" ref="L322:L358" si="5">H322/F322</f>
        <v>0.11816250663834309</v>
      </c>
    </row>
    <row r="323" spans="1:12" ht="17" customHeight="1">
      <c r="A323" s="131" t="s">
        <v>1112</v>
      </c>
      <c r="B323" s="131" t="s">
        <v>1113</v>
      </c>
      <c r="C323" s="131">
        <v>6562.35</v>
      </c>
      <c r="D323" s="131">
        <v>0.67</v>
      </c>
      <c r="E323" s="131">
        <v>25.37</v>
      </c>
      <c r="F323" s="131">
        <v>41.61</v>
      </c>
      <c r="G323" s="131">
        <v>0.69</v>
      </c>
      <c r="H323" s="131">
        <v>5.07</v>
      </c>
      <c r="I323" s="131">
        <v>0.7</v>
      </c>
      <c r="J323" s="132">
        <v>42132</v>
      </c>
      <c r="K323" s="133" t="s">
        <v>458</v>
      </c>
      <c r="L323" s="126">
        <f t="shared" si="5"/>
        <v>0.12184571016582553</v>
      </c>
    </row>
    <row r="324" spans="1:12" ht="17" customHeight="1">
      <c r="A324" s="131" t="s">
        <v>1114</v>
      </c>
      <c r="B324" s="131" t="s">
        <v>1115</v>
      </c>
      <c r="C324" s="131">
        <v>2688.72</v>
      </c>
      <c r="D324" s="131">
        <v>0.61</v>
      </c>
      <c r="E324" s="131">
        <v>33.799999999999997</v>
      </c>
      <c r="F324" s="131">
        <v>20.95</v>
      </c>
      <c r="G324" s="131">
        <v>0.43</v>
      </c>
      <c r="H324" s="131">
        <v>2.87</v>
      </c>
      <c r="I324" s="131">
        <v>0.71</v>
      </c>
      <c r="J324" s="132">
        <v>42016</v>
      </c>
      <c r="K324" s="133" t="s">
        <v>458</v>
      </c>
      <c r="L324" s="126">
        <f t="shared" si="5"/>
        <v>0.13699284009546539</v>
      </c>
    </row>
    <row r="325" spans="1:12" ht="17" customHeight="1">
      <c r="A325" s="131" t="s">
        <v>1116</v>
      </c>
      <c r="B325" s="131" t="s">
        <v>1117</v>
      </c>
      <c r="C325" s="131">
        <v>1752.84</v>
      </c>
      <c r="D325" s="131">
        <v>0.75</v>
      </c>
      <c r="E325" s="131">
        <v>36.93</v>
      </c>
      <c r="F325" s="131">
        <v>22.18</v>
      </c>
      <c r="G325" s="131">
        <v>0.82</v>
      </c>
      <c r="H325" s="131">
        <v>3.15</v>
      </c>
      <c r="I325" s="131">
        <v>0.73</v>
      </c>
      <c r="J325" s="132">
        <v>40050</v>
      </c>
      <c r="K325" s="133" t="s">
        <v>458</v>
      </c>
      <c r="L325" s="126">
        <f t="shared" si="5"/>
        <v>0.14201983769161405</v>
      </c>
    </row>
    <row r="326" spans="1:12" ht="17" customHeight="1">
      <c r="A326" s="131" t="s">
        <v>572</v>
      </c>
      <c r="B326" s="131" t="s">
        <v>573</v>
      </c>
      <c r="C326" s="131">
        <v>5824.52</v>
      </c>
      <c r="D326" s="131">
        <v>-0.15</v>
      </c>
      <c r="E326" s="131">
        <v>42.95</v>
      </c>
      <c r="F326" s="131">
        <v>44.76</v>
      </c>
      <c r="G326" s="131">
        <v>0.35</v>
      </c>
      <c r="H326" s="131">
        <v>5.23</v>
      </c>
      <c r="I326" s="131">
        <v>0.74</v>
      </c>
      <c r="J326" s="132">
        <v>36529</v>
      </c>
      <c r="K326" s="133" t="s">
        <v>458</v>
      </c>
      <c r="L326" s="126">
        <f t="shared" si="5"/>
        <v>0.11684539767649689</v>
      </c>
    </row>
    <row r="327" spans="1:12" ht="17" customHeight="1">
      <c r="A327" s="131" t="s">
        <v>1118</v>
      </c>
      <c r="B327" s="131" t="s">
        <v>1119</v>
      </c>
      <c r="C327" s="131">
        <v>1210.27</v>
      </c>
      <c r="D327" s="131">
        <v>0.54</v>
      </c>
      <c r="E327" s="131">
        <v>35.49</v>
      </c>
      <c r="F327" s="131">
        <v>30.68</v>
      </c>
      <c r="G327" s="131">
        <v>0.28999999999999998</v>
      </c>
      <c r="H327" s="131">
        <v>3.8</v>
      </c>
      <c r="I327" s="131">
        <v>0.74</v>
      </c>
      <c r="J327" s="132">
        <v>41842</v>
      </c>
      <c r="K327" s="133" t="s">
        <v>458</v>
      </c>
      <c r="L327" s="126">
        <f t="shared" si="5"/>
        <v>0.12385919165580182</v>
      </c>
    </row>
    <row r="328" spans="1:12" ht="17" customHeight="1">
      <c r="A328" s="131" t="s">
        <v>1120</v>
      </c>
      <c r="B328" s="131" t="s">
        <v>1121</v>
      </c>
      <c r="C328" s="131">
        <v>4871.5200000000004</v>
      </c>
      <c r="D328" s="131">
        <v>0.59</v>
      </c>
      <c r="E328" s="131">
        <v>33.270000000000003</v>
      </c>
      <c r="F328" s="131">
        <v>25.05</v>
      </c>
      <c r="G328" s="131">
        <v>0.84</v>
      </c>
      <c r="H328" s="131">
        <v>3.6</v>
      </c>
      <c r="I328" s="131">
        <v>0.77</v>
      </c>
      <c r="J328" s="132">
        <v>40326</v>
      </c>
      <c r="K328" s="133" t="s">
        <v>458</v>
      </c>
      <c r="L328" s="126">
        <f t="shared" si="5"/>
        <v>0.1437125748502994</v>
      </c>
    </row>
    <row r="329" spans="1:12" ht="17" customHeight="1">
      <c r="A329" s="131" t="s">
        <v>1122</v>
      </c>
      <c r="B329" s="131" t="s">
        <v>1123</v>
      </c>
      <c r="C329" s="131">
        <v>3740.39</v>
      </c>
      <c r="D329" s="131">
        <v>0.06</v>
      </c>
      <c r="E329" s="131">
        <v>40.619999999999997</v>
      </c>
      <c r="F329" s="131">
        <v>13.21</v>
      </c>
      <c r="G329" s="131">
        <v>0.73</v>
      </c>
      <c r="H329" s="131">
        <v>2.36</v>
      </c>
      <c r="I329" s="131">
        <v>0.77</v>
      </c>
      <c r="J329" s="132">
        <v>39822</v>
      </c>
      <c r="K329" s="133" t="s">
        <v>458</v>
      </c>
      <c r="L329" s="126">
        <f t="shared" si="5"/>
        <v>0.17865253595760786</v>
      </c>
    </row>
    <row r="330" spans="1:12" ht="17" customHeight="1">
      <c r="A330" s="131" t="s">
        <v>1124</v>
      </c>
      <c r="B330" s="131" t="s">
        <v>1125</v>
      </c>
      <c r="C330" s="131">
        <v>3675.74</v>
      </c>
      <c r="D330" s="131">
        <v>0.91</v>
      </c>
      <c r="E330" s="131">
        <v>52.17</v>
      </c>
      <c r="F330" s="131">
        <v>51.45</v>
      </c>
      <c r="G330" s="131">
        <v>0.42</v>
      </c>
      <c r="H330" s="131">
        <v>7.3</v>
      </c>
      <c r="I330" s="131">
        <v>0.78</v>
      </c>
      <c r="J330" s="132">
        <v>42242</v>
      </c>
      <c r="K330" s="133" t="s">
        <v>458</v>
      </c>
      <c r="L330" s="126">
        <f t="shared" si="5"/>
        <v>0.14188532555879493</v>
      </c>
    </row>
    <row r="331" spans="1:12" ht="17" customHeight="1">
      <c r="A331" s="131" t="s">
        <v>486</v>
      </c>
      <c r="B331" s="131" t="s">
        <v>487</v>
      </c>
      <c r="C331" s="131">
        <v>15340.67</v>
      </c>
      <c r="D331" s="131">
        <v>0.72</v>
      </c>
      <c r="E331" s="131">
        <v>70.48</v>
      </c>
      <c r="F331" s="131">
        <v>32.06</v>
      </c>
      <c r="G331" s="131">
        <v>0.46</v>
      </c>
      <c r="H331" s="131">
        <v>6.53</v>
      </c>
      <c r="I331" s="131">
        <v>0.8</v>
      </c>
      <c r="J331" s="132">
        <v>36529</v>
      </c>
      <c r="K331" s="133" t="s">
        <v>458</v>
      </c>
      <c r="L331" s="126">
        <f t="shared" si="5"/>
        <v>0.20368059887710543</v>
      </c>
    </row>
    <row r="332" spans="1:12" ht="17" customHeight="1">
      <c r="A332" s="131" t="s">
        <v>1126</v>
      </c>
      <c r="B332" s="131" t="s">
        <v>1127</v>
      </c>
      <c r="C332" s="131">
        <v>4206.72</v>
      </c>
      <c r="D332" s="131">
        <v>1.03</v>
      </c>
      <c r="E332" s="131">
        <v>40.18</v>
      </c>
      <c r="F332" s="131">
        <v>21.44</v>
      </c>
      <c r="G332" s="131">
        <v>0.67</v>
      </c>
      <c r="H332" s="131">
        <v>2.89</v>
      </c>
      <c r="I332" s="131">
        <v>0.8</v>
      </c>
      <c r="J332" s="132">
        <v>43179</v>
      </c>
      <c r="K332" s="133" t="s">
        <v>458</v>
      </c>
      <c r="L332" s="126">
        <f t="shared" si="5"/>
        <v>0.13479477611940299</v>
      </c>
    </row>
    <row r="333" spans="1:12" ht="17" customHeight="1">
      <c r="A333" s="131" t="s">
        <v>1128</v>
      </c>
      <c r="B333" s="131" t="s">
        <v>120</v>
      </c>
      <c r="C333" s="131">
        <v>2411.87</v>
      </c>
      <c r="D333" s="131">
        <v>1.04</v>
      </c>
      <c r="E333" s="131">
        <v>44.89</v>
      </c>
      <c r="F333" s="131">
        <v>39.89</v>
      </c>
      <c r="G333" s="131">
        <v>0.44</v>
      </c>
      <c r="H333" s="131">
        <v>5.47</v>
      </c>
      <c r="I333" s="131">
        <v>0.8</v>
      </c>
      <c r="J333" s="132">
        <v>41764</v>
      </c>
      <c r="K333" s="133" t="s">
        <v>458</v>
      </c>
      <c r="L333" s="126">
        <f t="shared" si="5"/>
        <v>0.13712709952369015</v>
      </c>
    </row>
    <row r="334" spans="1:12" ht="17" customHeight="1">
      <c r="A334" s="131" t="s">
        <v>1129</v>
      </c>
      <c r="B334" s="131" t="s">
        <v>153</v>
      </c>
      <c r="C334" s="131">
        <v>9785.6</v>
      </c>
      <c r="D334" s="131">
        <v>-0.24</v>
      </c>
      <c r="E334" s="131">
        <v>-2.76</v>
      </c>
      <c r="F334" s="131">
        <v>37.700000000000003</v>
      </c>
      <c r="G334" s="131">
        <v>0.73</v>
      </c>
      <c r="H334" s="131">
        <v>4.41</v>
      </c>
      <c r="I334" s="131">
        <v>0.81</v>
      </c>
      <c r="J334" s="132">
        <v>43572</v>
      </c>
      <c r="K334" s="133" t="s">
        <v>458</v>
      </c>
      <c r="L334" s="126">
        <f t="shared" si="5"/>
        <v>0.1169761273209549</v>
      </c>
    </row>
    <row r="335" spans="1:12" ht="17" customHeight="1">
      <c r="A335" s="131" t="s">
        <v>1130</v>
      </c>
      <c r="B335" s="131" t="s">
        <v>1131</v>
      </c>
      <c r="C335" s="131">
        <v>3116.64</v>
      </c>
      <c r="D335" s="131">
        <v>-0.04</v>
      </c>
      <c r="E335" s="131">
        <v>19.309999999999999</v>
      </c>
      <c r="F335" s="131">
        <v>12.38</v>
      </c>
      <c r="G335" s="131">
        <v>0.86</v>
      </c>
      <c r="H335" s="131">
        <v>1.35</v>
      </c>
      <c r="I335" s="131">
        <v>0.82</v>
      </c>
      <c r="J335" s="132">
        <v>43678</v>
      </c>
      <c r="K335" s="133" t="s">
        <v>458</v>
      </c>
      <c r="L335" s="126">
        <f t="shared" si="5"/>
        <v>0.10904684975767366</v>
      </c>
    </row>
    <row r="336" spans="1:12" ht="17" customHeight="1">
      <c r="A336" s="131" t="s">
        <v>1132</v>
      </c>
      <c r="B336" s="131" t="s">
        <v>1133</v>
      </c>
      <c r="C336" s="131">
        <v>4865.5</v>
      </c>
      <c r="D336" s="131">
        <v>0.52</v>
      </c>
      <c r="E336" s="131">
        <v>47.61</v>
      </c>
      <c r="F336" s="131">
        <v>16.97</v>
      </c>
      <c r="G336" s="131">
        <v>0.79</v>
      </c>
      <c r="H336" s="131">
        <v>3.27</v>
      </c>
      <c r="I336" s="131">
        <v>0.83</v>
      </c>
      <c r="J336" s="132">
        <v>39468</v>
      </c>
      <c r="K336" s="133" t="s">
        <v>458</v>
      </c>
      <c r="L336" s="126">
        <f t="shared" si="5"/>
        <v>0.192692987625221</v>
      </c>
    </row>
    <row r="337" spans="1:12" ht="17" customHeight="1">
      <c r="A337" s="131" t="s">
        <v>544</v>
      </c>
      <c r="B337" s="131" t="s">
        <v>545</v>
      </c>
      <c r="C337" s="131">
        <v>8465.31</v>
      </c>
      <c r="D337" s="131">
        <v>1.1000000000000001</v>
      </c>
      <c r="E337" s="131">
        <v>47.67</v>
      </c>
      <c r="F337" s="131">
        <v>30.15</v>
      </c>
      <c r="G337" s="131">
        <v>0.82</v>
      </c>
      <c r="H337" s="131">
        <v>3.35</v>
      </c>
      <c r="I337" s="131">
        <v>0.83</v>
      </c>
      <c r="J337" s="132">
        <v>36529</v>
      </c>
      <c r="K337" s="133" t="s">
        <v>458</v>
      </c>
      <c r="L337" s="126">
        <f t="shared" si="5"/>
        <v>0.11111111111111112</v>
      </c>
    </row>
    <row r="338" spans="1:12" ht="17" customHeight="1">
      <c r="A338" s="131" t="s">
        <v>618</v>
      </c>
      <c r="B338" s="131" t="s">
        <v>619</v>
      </c>
      <c r="C338" s="131">
        <v>20456.12</v>
      </c>
      <c r="D338" s="131">
        <v>0.73</v>
      </c>
      <c r="E338" s="131">
        <v>91.26</v>
      </c>
      <c r="F338" s="131">
        <v>33.229999999999997</v>
      </c>
      <c r="G338" s="131">
        <v>0.48</v>
      </c>
      <c r="H338" s="131">
        <v>7.33</v>
      </c>
      <c r="I338" s="131">
        <v>0.83</v>
      </c>
      <c r="J338" s="132">
        <v>36529</v>
      </c>
      <c r="K338" s="133" t="s">
        <v>458</v>
      </c>
      <c r="L338" s="126">
        <f t="shared" si="5"/>
        <v>0.22058380981041231</v>
      </c>
    </row>
    <row r="339" spans="1:12" ht="17" customHeight="1">
      <c r="A339" s="131" t="s">
        <v>1134</v>
      </c>
      <c r="B339" s="131" t="s">
        <v>1135</v>
      </c>
      <c r="C339" s="131">
        <v>2605.89</v>
      </c>
      <c r="D339" s="131">
        <v>0.6</v>
      </c>
      <c r="E339" s="131">
        <v>36.6</v>
      </c>
      <c r="F339" s="131">
        <v>15.13</v>
      </c>
      <c r="G339" s="131">
        <v>0.39</v>
      </c>
      <c r="H339" s="131">
        <v>2.2799999999999998</v>
      </c>
      <c r="I339" s="131">
        <v>0.86</v>
      </c>
      <c r="J339" s="132">
        <v>41127</v>
      </c>
      <c r="K339" s="133" t="s">
        <v>458</v>
      </c>
      <c r="L339" s="126">
        <f t="shared" si="5"/>
        <v>0.15069398545935225</v>
      </c>
    </row>
    <row r="340" spans="1:12" ht="17" customHeight="1">
      <c r="A340" s="131" t="s">
        <v>1136</v>
      </c>
      <c r="B340" s="131" t="s">
        <v>1137</v>
      </c>
      <c r="C340" s="131">
        <v>2476.61</v>
      </c>
      <c r="D340" s="131">
        <v>1.4</v>
      </c>
      <c r="E340" s="131">
        <v>54.57</v>
      </c>
      <c r="F340" s="131">
        <v>31.59</v>
      </c>
      <c r="G340" s="131">
        <v>0.15</v>
      </c>
      <c r="H340" s="131">
        <v>5.54</v>
      </c>
      <c r="I340" s="131">
        <v>0.86</v>
      </c>
      <c r="J340" s="132">
        <v>42073</v>
      </c>
      <c r="K340" s="133" t="s">
        <v>458</v>
      </c>
      <c r="L340" s="126">
        <f t="shared" si="5"/>
        <v>0.17537195314973092</v>
      </c>
    </row>
    <row r="341" spans="1:12" ht="17" customHeight="1">
      <c r="A341" s="131" t="s">
        <v>594</v>
      </c>
      <c r="B341" s="131" t="s">
        <v>595</v>
      </c>
      <c r="C341" s="131">
        <v>4575.2700000000004</v>
      </c>
      <c r="D341" s="131">
        <v>1.73</v>
      </c>
      <c r="E341" s="131">
        <v>59.93</v>
      </c>
      <c r="F341" s="131">
        <v>26.4</v>
      </c>
      <c r="G341" s="131">
        <v>0.13</v>
      </c>
      <c r="H341" s="131">
        <v>5.25</v>
      </c>
      <c r="I341" s="131">
        <v>0.87</v>
      </c>
      <c r="J341" s="132">
        <v>36529</v>
      </c>
      <c r="K341" s="133" t="s">
        <v>458</v>
      </c>
      <c r="L341" s="126">
        <f t="shared" si="5"/>
        <v>0.19886363636363638</v>
      </c>
    </row>
    <row r="342" spans="1:12" ht="17" customHeight="1">
      <c r="A342" s="131" t="s">
        <v>1138</v>
      </c>
      <c r="B342" s="131" t="s">
        <v>1139</v>
      </c>
      <c r="C342" s="131">
        <v>3603.96</v>
      </c>
      <c r="D342" s="131">
        <v>0.59</v>
      </c>
      <c r="E342" s="131">
        <v>61.93</v>
      </c>
      <c r="F342" s="131">
        <v>38.74</v>
      </c>
      <c r="G342" s="131">
        <v>0.59</v>
      </c>
      <c r="H342" s="131">
        <v>4.97</v>
      </c>
      <c r="I342" s="131">
        <v>0.89</v>
      </c>
      <c r="J342" s="132">
        <v>42221</v>
      </c>
      <c r="K342" s="133" t="s">
        <v>458</v>
      </c>
      <c r="L342" s="126">
        <f t="shared" si="5"/>
        <v>0.12829117191533299</v>
      </c>
    </row>
    <row r="343" spans="1:12" ht="17" customHeight="1">
      <c r="A343" s="131" t="s">
        <v>1140</v>
      </c>
      <c r="B343" s="131" t="s">
        <v>65</v>
      </c>
      <c r="C343" s="131">
        <v>16030.46</v>
      </c>
      <c r="D343" s="131">
        <v>0.94</v>
      </c>
      <c r="E343" s="131">
        <v>63.77</v>
      </c>
      <c r="F343" s="131">
        <v>32.409999999999997</v>
      </c>
      <c r="G343" s="131">
        <v>0.67</v>
      </c>
      <c r="H343" s="131">
        <v>6.61</v>
      </c>
      <c r="I343" s="131">
        <v>0.9</v>
      </c>
      <c r="J343" s="132">
        <v>39997</v>
      </c>
      <c r="K343" s="133" t="s">
        <v>458</v>
      </c>
      <c r="L343" s="126">
        <f t="shared" si="5"/>
        <v>0.20394939833384762</v>
      </c>
    </row>
    <row r="344" spans="1:12" ht="17" customHeight="1">
      <c r="A344" s="131" t="s">
        <v>1141</v>
      </c>
      <c r="B344" s="131" t="s">
        <v>1142</v>
      </c>
      <c r="C344" s="131">
        <v>3134.57</v>
      </c>
      <c r="D344" s="131">
        <v>1.35</v>
      </c>
      <c r="E344" s="131">
        <v>59.72</v>
      </c>
      <c r="F344" s="131">
        <v>56.15</v>
      </c>
      <c r="G344" s="131">
        <v>0.72</v>
      </c>
      <c r="H344" s="131">
        <v>8.49</v>
      </c>
      <c r="I344" s="131">
        <v>0.91</v>
      </c>
      <c r="J344" s="132">
        <v>42221</v>
      </c>
      <c r="K344" s="133" t="s">
        <v>458</v>
      </c>
      <c r="L344" s="126">
        <f t="shared" si="5"/>
        <v>0.15120213713268033</v>
      </c>
    </row>
    <row r="345" spans="1:12" ht="17" customHeight="1">
      <c r="A345" s="131" t="s">
        <v>1143</v>
      </c>
      <c r="B345" s="131" t="s">
        <v>145</v>
      </c>
      <c r="C345" s="131">
        <v>13949.49</v>
      </c>
      <c r="D345" s="131">
        <v>0.87</v>
      </c>
      <c r="E345" s="131">
        <v>57.49</v>
      </c>
      <c r="F345" s="131">
        <v>31.9</v>
      </c>
      <c r="G345" s="131">
        <v>0.68</v>
      </c>
      <c r="H345" s="131">
        <v>5.53</v>
      </c>
      <c r="I345" s="131">
        <v>0.93</v>
      </c>
      <c r="J345" s="132">
        <v>40757</v>
      </c>
      <c r="K345" s="133" t="s">
        <v>458</v>
      </c>
      <c r="L345" s="126">
        <f t="shared" si="5"/>
        <v>0.17335423197492164</v>
      </c>
    </row>
    <row r="346" spans="1:12" ht="17" customHeight="1">
      <c r="A346" s="131" t="s">
        <v>1144</v>
      </c>
      <c r="B346" s="131" t="s">
        <v>110</v>
      </c>
      <c r="C346" s="131">
        <v>8184.31</v>
      </c>
      <c r="D346" s="131">
        <v>1.03</v>
      </c>
      <c r="E346" s="131">
        <v>86.91</v>
      </c>
      <c r="F346" s="131">
        <v>32.090000000000003</v>
      </c>
      <c r="G346" s="131">
        <v>0.85</v>
      </c>
      <c r="H346" s="131">
        <v>8.42</v>
      </c>
      <c r="I346" s="131">
        <v>0.93</v>
      </c>
      <c r="J346" s="132">
        <v>42025</v>
      </c>
      <c r="K346" s="133" t="s">
        <v>458</v>
      </c>
      <c r="L346" s="126">
        <f t="shared" si="5"/>
        <v>0.26238703645995637</v>
      </c>
    </row>
    <row r="347" spans="1:12" ht="17" customHeight="1">
      <c r="A347" s="131" t="s">
        <v>1145</v>
      </c>
      <c r="B347" s="131" t="s">
        <v>1146</v>
      </c>
      <c r="C347" s="131">
        <v>8632.49</v>
      </c>
      <c r="D347" s="131">
        <v>1.32</v>
      </c>
      <c r="E347" s="131">
        <v>30.1</v>
      </c>
      <c r="F347" s="131">
        <v>31.82</v>
      </c>
      <c r="G347" s="131">
        <v>0.47</v>
      </c>
      <c r="H347" s="131">
        <v>4.6399999999999997</v>
      </c>
      <c r="I347" s="131">
        <v>0.93</v>
      </c>
      <c r="J347" s="132">
        <v>42258</v>
      </c>
      <c r="K347" s="133" t="s">
        <v>458</v>
      </c>
      <c r="L347" s="126">
        <f t="shared" si="5"/>
        <v>0.14582023884349465</v>
      </c>
    </row>
    <row r="348" spans="1:12" ht="17" customHeight="1">
      <c r="A348" s="131" t="s">
        <v>1147</v>
      </c>
      <c r="B348" s="131" t="s">
        <v>1148</v>
      </c>
      <c r="C348" s="131">
        <v>14938.52</v>
      </c>
      <c r="D348" s="131">
        <v>0.87</v>
      </c>
      <c r="E348" s="131">
        <v>56.73</v>
      </c>
      <c r="F348" s="131">
        <v>32.159999999999997</v>
      </c>
      <c r="G348" s="131">
        <v>0.68</v>
      </c>
      <c r="H348" s="131">
        <v>6.75</v>
      </c>
      <c r="I348" s="131">
        <v>0.94</v>
      </c>
      <c r="J348" s="132">
        <v>42160</v>
      </c>
      <c r="K348" s="133" t="s">
        <v>458</v>
      </c>
      <c r="L348" s="126">
        <f t="shared" si="5"/>
        <v>0.20988805970149255</v>
      </c>
    </row>
    <row r="349" spans="1:12" ht="17" customHeight="1">
      <c r="A349" s="131" t="s">
        <v>1149</v>
      </c>
      <c r="B349" s="131" t="s">
        <v>1150</v>
      </c>
      <c r="C349" s="131">
        <v>4561.63</v>
      </c>
      <c r="D349" s="131">
        <v>0.9</v>
      </c>
      <c r="E349" s="131">
        <v>77.569999999999993</v>
      </c>
      <c r="F349" s="131">
        <v>32.31</v>
      </c>
      <c r="G349" s="131">
        <v>0.81</v>
      </c>
      <c r="H349" s="131">
        <v>7.48</v>
      </c>
      <c r="I349" s="131">
        <v>0.94</v>
      </c>
      <c r="J349" s="132">
        <v>41983</v>
      </c>
      <c r="K349" s="133" t="s">
        <v>458</v>
      </c>
      <c r="L349" s="126">
        <f t="shared" si="5"/>
        <v>0.23150727329000309</v>
      </c>
    </row>
    <row r="350" spans="1:12" ht="17" customHeight="1">
      <c r="A350" s="131" t="s">
        <v>1151</v>
      </c>
      <c r="B350" s="131" t="s">
        <v>1152</v>
      </c>
      <c r="C350" s="131">
        <v>16144.4</v>
      </c>
      <c r="D350" s="131">
        <v>0.99</v>
      </c>
      <c r="E350" s="131">
        <v>67.36</v>
      </c>
      <c r="F350" s="131">
        <v>32.200000000000003</v>
      </c>
      <c r="G350" s="131">
        <v>0.87</v>
      </c>
      <c r="H350" s="131">
        <v>6.96</v>
      </c>
      <c r="I350" s="131">
        <v>0.96</v>
      </c>
      <c r="J350" s="132">
        <v>41264</v>
      </c>
      <c r="K350" s="133" t="s">
        <v>458</v>
      </c>
      <c r="L350" s="126">
        <f t="shared" si="5"/>
        <v>0.21614906832298134</v>
      </c>
    </row>
    <row r="351" spans="1:12" ht="17" customHeight="1">
      <c r="A351" s="131" t="s">
        <v>1153</v>
      </c>
      <c r="B351" s="131" t="s">
        <v>1154</v>
      </c>
      <c r="C351" s="131">
        <v>18009.27</v>
      </c>
      <c r="D351" s="131">
        <v>0.87</v>
      </c>
      <c r="E351" s="131">
        <v>65.400000000000006</v>
      </c>
      <c r="F351" s="131">
        <v>31.55</v>
      </c>
      <c r="G351" s="131">
        <v>0.86</v>
      </c>
      <c r="H351" s="131">
        <v>7.21</v>
      </c>
      <c r="I351" s="131">
        <v>0.96</v>
      </c>
      <c r="J351" s="132">
        <v>41211</v>
      </c>
      <c r="K351" s="133" t="s">
        <v>458</v>
      </c>
      <c r="L351" s="126">
        <f t="shared" si="5"/>
        <v>0.22852614896988907</v>
      </c>
    </row>
    <row r="352" spans="1:12" ht="17" customHeight="1">
      <c r="A352" s="131" t="s">
        <v>1155</v>
      </c>
      <c r="B352" s="131" t="s">
        <v>1156</v>
      </c>
      <c r="C352" s="131">
        <v>2690.73</v>
      </c>
      <c r="D352" s="131">
        <v>-1.66</v>
      </c>
      <c r="E352" s="131">
        <v>0.64</v>
      </c>
      <c r="F352" s="131">
        <v>23.25</v>
      </c>
      <c r="G352" s="131">
        <v>0.97</v>
      </c>
      <c r="H352" s="131">
        <v>3.42</v>
      </c>
      <c r="I352" s="131">
        <v>0.96</v>
      </c>
      <c r="J352" s="132">
        <v>43682</v>
      </c>
      <c r="K352" s="133" t="s">
        <v>458</v>
      </c>
      <c r="L352" s="126">
        <f t="shared" si="5"/>
        <v>0.14709677419354839</v>
      </c>
    </row>
    <row r="353" spans="1:12" ht="17" customHeight="1">
      <c r="A353" s="131" t="s">
        <v>1157</v>
      </c>
      <c r="B353" s="131" t="s">
        <v>1158</v>
      </c>
      <c r="C353" s="131">
        <v>8179.02</v>
      </c>
      <c r="D353" s="131">
        <v>0.35</v>
      </c>
      <c r="E353" s="131">
        <v>24.56</v>
      </c>
      <c r="F353" s="131">
        <v>23.25</v>
      </c>
      <c r="G353" s="131">
        <v>0.97</v>
      </c>
      <c r="H353" s="131">
        <v>3.42</v>
      </c>
      <c r="I353" s="131">
        <v>0.96</v>
      </c>
      <c r="J353" s="132">
        <v>43682</v>
      </c>
      <c r="K353" s="133" t="s">
        <v>458</v>
      </c>
      <c r="L353" s="126">
        <f t="shared" si="5"/>
        <v>0.14709677419354839</v>
      </c>
    </row>
    <row r="354" spans="1:12" ht="17" customHeight="1">
      <c r="A354" s="131" t="s">
        <v>1159</v>
      </c>
      <c r="B354" s="131" t="s">
        <v>204</v>
      </c>
      <c r="C354" s="131">
        <v>3133.64</v>
      </c>
      <c r="D354" s="131">
        <v>0.75</v>
      </c>
      <c r="E354" s="131">
        <v>25</v>
      </c>
      <c r="F354" s="131">
        <v>23.25</v>
      </c>
      <c r="G354" s="131">
        <v>0.79</v>
      </c>
      <c r="H354" s="131">
        <v>3.42</v>
      </c>
      <c r="I354" s="131">
        <v>0.98</v>
      </c>
      <c r="J354" s="132">
        <v>40634</v>
      </c>
      <c r="K354" s="133" t="s">
        <v>458</v>
      </c>
      <c r="L354" s="126">
        <f t="shared" si="5"/>
        <v>0.14709677419354839</v>
      </c>
    </row>
    <row r="355" spans="1:12" ht="17" customHeight="1">
      <c r="A355" s="131" t="s">
        <v>1160</v>
      </c>
      <c r="B355" s="131" t="s">
        <v>1161</v>
      </c>
      <c r="C355" s="131">
        <v>3176.09</v>
      </c>
      <c r="D355" s="131">
        <v>0.2</v>
      </c>
      <c r="E355" s="131">
        <v>29.09</v>
      </c>
      <c r="F355" s="131">
        <v>27.94</v>
      </c>
      <c r="G355" s="131">
        <v>0.98</v>
      </c>
      <c r="H355" s="131">
        <v>2.56</v>
      </c>
      <c r="I355" s="131">
        <v>0.98</v>
      </c>
      <c r="J355" s="132">
        <v>43476</v>
      </c>
      <c r="K355" s="133" t="s">
        <v>458</v>
      </c>
      <c r="L355" s="126">
        <f t="shared" si="5"/>
        <v>9.1624910522548314E-2</v>
      </c>
    </row>
    <row r="356" spans="1:12" ht="17" customHeight="1">
      <c r="A356" s="131" t="s">
        <v>1162</v>
      </c>
      <c r="B356" s="131" t="s">
        <v>1163</v>
      </c>
      <c r="C356" s="131">
        <v>10848.97</v>
      </c>
      <c r="D356" s="131">
        <v>0.49</v>
      </c>
      <c r="E356" s="131">
        <v>47.62</v>
      </c>
      <c r="F356" s="131">
        <v>33.97</v>
      </c>
      <c r="G356" s="131">
        <v>0.69</v>
      </c>
      <c r="H356" s="131">
        <v>7.29</v>
      </c>
      <c r="I356" s="131">
        <v>0.98</v>
      </c>
      <c r="J356" s="132">
        <v>39822</v>
      </c>
      <c r="K356" s="133" t="s">
        <v>458</v>
      </c>
      <c r="L356" s="126">
        <f t="shared" si="5"/>
        <v>0.2146011186340889</v>
      </c>
    </row>
    <row r="357" spans="1:12" ht="17" customHeight="1">
      <c r="A357" s="131" t="s">
        <v>1164</v>
      </c>
      <c r="B357" s="131" t="s">
        <v>1165</v>
      </c>
      <c r="C357" s="131">
        <v>25967.33</v>
      </c>
      <c r="D357" s="131">
        <v>0.01</v>
      </c>
      <c r="E357" s="131">
        <v>11.32</v>
      </c>
      <c r="F357" s="131">
        <v>21.17</v>
      </c>
      <c r="G357" s="131">
        <v>0.86</v>
      </c>
      <c r="H357" s="131">
        <v>4.72</v>
      </c>
      <c r="I357" s="131">
        <v>0.99</v>
      </c>
      <c r="J357" s="132">
        <v>40634</v>
      </c>
      <c r="K357" s="133" t="s">
        <v>458</v>
      </c>
      <c r="L357" s="126">
        <f t="shared" si="5"/>
        <v>0.22295701464336323</v>
      </c>
    </row>
    <row r="358" spans="1:12" ht="17" customHeight="1">
      <c r="A358" s="131" t="s">
        <v>1166</v>
      </c>
      <c r="B358" s="131" t="s">
        <v>1167</v>
      </c>
      <c r="C358" s="131">
        <v>8371.93</v>
      </c>
      <c r="D358" s="131">
        <v>1.21</v>
      </c>
      <c r="E358" s="131">
        <v>32.26</v>
      </c>
      <c r="F358" s="131">
        <v>27.77</v>
      </c>
      <c r="G358" s="131">
        <v>0.86</v>
      </c>
      <c r="H358" s="131">
        <v>6.2</v>
      </c>
      <c r="I358" s="131">
        <v>1</v>
      </c>
      <c r="J358" s="132">
        <v>40634</v>
      </c>
      <c r="K358" s="133" t="s">
        <v>458</v>
      </c>
      <c r="L358" s="126">
        <f t="shared" si="5"/>
        <v>0.22326251350378107</v>
      </c>
    </row>
  </sheetData>
  <autoFilter ref="A1:L358" xr:uid="{00000000-0009-0000-0000-000009000000}">
    <sortState xmlns:xlrd2="http://schemas.microsoft.com/office/spreadsheetml/2017/richdata2" ref="A2:L358">
      <sortCondition ref="I1:I358"/>
    </sortState>
  </autoFilter>
  <conditionalFormatting sqref="G359:G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59:I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59:E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L104857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I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K2" r:id="rId1" display="http://discuss.jiucaishuo.com/?/invest/showData/search_gu-si801720" xr:uid="{00000000-0004-0000-0900-000000000000}"/>
    <hyperlink ref="K3" r:id="rId2" display="http://discuss.jiucaishuo.com/?/invest/showData/search_gu-si801160" xr:uid="{00000000-0004-0000-0900-000001000000}"/>
    <hyperlink ref="K4" r:id="rId3" display="http://discuss.jiucaishuo.com/?/invest/showData/search_gu-si801020" xr:uid="{00000000-0004-0000-0900-000002000000}"/>
    <hyperlink ref="K5" r:id="rId4" display="http://discuss.jiucaishuo.com/?/invest/showData/search_gu-si801177" xr:uid="{00000000-0004-0000-0900-000003000000}"/>
    <hyperlink ref="K6" r:id="rId5" display="http://discuss.jiucaishuo.com/?/invest/showData/search_gu-si801203" xr:uid="{00000000-0004-0000-0900-000004000000}"/>
    <hyperlink ref="K7" r:id="rId6" display="http://discuss.jiucaishuo.com/?/invest/showData/search_gu-si801725" xr:uid="{00000000-0004-0000-0900-000005000000}"/>
    <hyperlink ref="K8" r:id="rId7" display="http://discuss.jiucaishuo.com/?/invest/showData/search_gu-si801164" xr:uid="{00000000-0004-0000-0900-000006000000}"/>
    <hyperlink ref="K9" r:id="rId8" display="http://discuss.jiucaishuo.com/?/invest/showData/search_gu-si801163" xr:uid="{00000000-0004-0000-0900-000007000000}"/>
    <hyperlink ref="K10" r:id="rId9" display="http://discuss.jiucaishuo.com/?/invest/showData/search_gu-si801035" xr:uid="{00000000-0004-0000-0900-000008000000}"/>
    <hyperlink ref="K11" r:id="rId10" display="http://discuss.jiucaishuo.com/?/invest/showData/search_gu-si801023" xr:uid="{00000000-0004-0000-0900-000009000000}"/>
    <hyperlink ref="K12" r:id="rId11" display="http://discuss.jiucaishuo.com/?/invest/showData/search_gu-sh000066" xr:uid="{00000000-0004-0000-0900-00000A000000}"/>
    <hyperlink ref="K13" r:id="rId12" display="http://discuss.jiucaishuo.com/?/invest/showData/search_gu-sh000986" xr:uid="{00000000-0004-0000-0900-00000B000000}"/>
    <hyperlink ref="K14" r:id="rId13" display="http://discuss.jiucaishuo.com/?/invest/showData/search_gu-sh000944" xr:uid="{00000000-0004-0000-0900-00000C000000}"/>
    <hyperlink ref="K15" r:id="rId14" display="http://discuss.jiucaishuo.com/?/invest/showData/search_gu-cicspsadrp" xr:uid="{00000000-0004-0000-0900-00000D000000}"/>
    <hyperlink ref="K16" r:id="rId15" display="http://discuss.jiucaishuo.com/?/invest/showData/search_gu-sh000068" xr:uid="{00000000-0004-0000-0900-00000E000000}"/>
    <hyperlink ref="K17" r:id="rId16" display="http://discuss.jiucaishuo.com/?/invest/showData/search_gu-sh000928" xr:uid="{00000000-0004-0000-0900-00000F000000}"/>
    <hyperlink ref="K18" r:id="rId17" display="http://discuss.jiucaishuo.com/?/invest/showData/search_gu-si801180" xr:uid="{00000000-0004-0000-0900-000010000000}"/>
    <hyperlink ref="K19" r:id="rId18" display="http://discuss.jiucaishuo.com/?/invest/showData/search_gu-si801200" xr:uid="{00000000-0004-0000-0900-000011000000}"/>
    <hyperlink ref="K20" r:id="rId19" display="http://discuss.jiucaishuo.com/?/invest/showData/search_gu-si801780" xr:uid="{00000000-0004-0000-0900-000012000000}"/>
    <hyperlink ref="K21" r:id="rId20" display="http://discuss.jiucaishuo.com/?/invest/showData/search_gu-si801172" xr:uid="{00000000-0004-0000-0900-000013000000}"/>
    <hyperlink ref="K22" r:id="rId21" display="http://discuss.jiucaishuo.com/?/invest/showData/search_gu-si801171" xr:uid="{00000000-0004-0000-0900-000014000000}"/>
    <hyperlink ref="K23" r:id="rId22" display="http://discuss.jiucaishuo.com/?/invest/showData/search_gu-si801076" xr:uid="{00000000-0004-0000-0900-000015000000}"/>
    <hyperlink ref="K24" r:id="rId23" display="http://discuss.jiucaishuo.com/?/invest/showData/search_gu-si801154" xr:uid="{00000000-0004-0000-0900-000016000000}"/>
    <hyperlink ref="K25" r:id="rId24" display="http://discuss.jiucaishuo.com/?/invest/showData/search_gu-si801181" xr:uid="{00000000-0004-0000-0900-000017000000}"/>
    <hyperlink ref="K26" r:id="rId25" display="http://discuss.jiucaishuo.com/?/invest/showData/search_gu-si801092" xr:uid="{00000000-0004-0000-0900-000018000000}"/>
    <hyperlink ref="K27" r:id="rId26" display="http://discuss.jiucaishuo.com/?/invest/showData/search_gu-si801724" xr:uid="{00000000-0004-0000-0900-000019000000}"/>
    <hyperlink ref="K28" r:id="rId27" display="http://discuss.jiucaishuo.com/?/invest/showData/search_gu-si801723" xr:uid="{00000000-0004-0000-0900-00001A000000}"/>
    <hyperlink ref="K29" r:id="rId28" display="http://discuss.jiucaishuo.com/?/invest/showData/search_gu-si801722" xr:uid="{00000000-0004-0000-0900-00001B000000}"/>
    <hyperlink ref="K30" r:id="rId29" display="http://discuss.jiucaishuo.com/?/invest/showData/search_gu-si801162" xr:uid="{00000000-0004-0000-0900-00001C000000}"/>
    <hyperlink ref="K31" r:id="rId30" display="http://discuss.jiucaishuo.com/?/invest/showData/search_gu-sz399806" xr:uid="{00000000-0004-0000-0900-00001D000000}"/>
    <hyperlink ref="K32" r:id="rId31" display="http://discuss.jiucaishuo.com/?/invest/showData/search_gu-si801055" xr:uid="{00000000-0004-0000-0900-00001E000000}"/>
    <hyperlink ref="K33" r:id="rId32" display="http://discuss.jiucaishuo.com/?/invest/showData/search_gu-si801021" xr:uid="{00000000-0004-0000-0900-00001F000000}"/>
    <hyperlink ref="K34" r:id="rId33" display="http://discuss.jiucaishuo.com/?/invest/showData/search_gu-sh000979" xr:uid="{00000000-0004-0000-0900-000020000000}"/>
    <hyperlink ref="K35" r:id="rId34" display="http://discuss.jiucaishuo.com/?/invest/showData/search_gu-si801192" xr:uid="{00000000-0004-0000-0900-000021000000}"/>
    <hyperlink ref="K36" r:id="rId35" display="http://discuss.jiucaishuo.com/?/invest/showData/search_gu-si801191" xr:uid="{00000000-0004-0000-0900-000022000000}"/>
    <hyperlink ref="K37" r:id="rId36" display="http://discuss.jiucaishuo.com/?/invest/showData/search_gu-sz399998" xr:uid="{00000000-0004-0000-0900-000023000000}"/>
    <hyperlink ref="K38" r:id="rId37" display="http://discuss.jiucaishuo.com/?/invest/showData/search_gu-sz399990" xr:uid="{00000000-0004-0000-0900-000024000000}"/>
    <hyperlink ref="K39" r:id="rId38" display="http://discuss.jiucaishuo.com/?/invest/showData/search_gu-sh950090" xr:uid="{00000000-0004-0000-0900-000025000000}"/>
    <hyperlink ref="K40" r:id="rId39" display="http://discuss.jiucaishuo.com/?/invest/showData/search_gu-sh000805" xr:uid="{00000000-0004-0000-0900-000026000000}"/>
    <hyperlink ref="K41" r:id="rId40" display="http://discuss.jiucaishuo.com/?/invest/showData/search_gu-sh000042" xr:uid="{00000000-0004-0000-0900-000027000000}"/>
    <hyperlink ref="K42" r:id="rId41" display="http://discuss.jiucaishuo.com/?/invest/showData/search_gu-sh000015" xr:uid="{00000000-0004-0000-0900-000028000000}"/>
    <hyperlink ref="K43" r:id="rId42" display="http://discuss.jiucaishuo.com/?/invest/showData/search_gu-csih30263" xr:uid="{00000000-0004-0000-0900-000029000000}"/>
    <hyperlink ref="K44" r:id="rId43" display="http://discuss.jiucaishuo.com/?/invest/showData/search_gu-sh000919" xr:uid="{00000000-0004-0000-0900-00002A000000}"/>
    <hyperlink ref="K45" r:id="rId44" display="http://discuss.jiucaishuo.com/?/invest/showData/search_gu-sh000961" xr:uid="{00000000-0004-0000-0900-00002B000000}"/>
    <hyperlink ref="K46" r:id="rId45" display="http://discuss.jiucaishuo.com/?/invest/showData/search_gu-sh000964" xr:uid="{00000000-0004-0000-0900-00002C000000}"/>
    <hyperlink ref="K47" r:id="rId46" display="http://discuss.jiucaishuo.com/?/invest/showData/search_gu-csi930620" xr:uid="{00000000-0004-0000-0900-00002D000000}"/>
    <hyperlink ref="K48" r:id="rId47" display="http://discuss.jiucaishuo.com/?/invest/showData/search_gu-sz399991" xr:uid="{00000000-0004-0000-0900-00002E000000}"/>
    <hyperlink ref="K49" r:id="rId48" display="http://discuss.jiucaishuo.com/?/invest/showData/search_gu-csi931008" xr:uid="{00000000-0004-0000-0900-00002F000000}"/>
    <hyperlink ref="K50" r:id="rId49" display="http://discuss.jiucaishuo.com/?/invest/showData/search_gu-sz399986" xr:uid="{00000000-0004-0000-0900-000030000000}"/>
    <hyperlink ref="K51" r:id="rId50" display="http://discuss.jiucaishuo.com/?/invest/showData/search_gu-sh000940" xr:uid="{00000000-0004-0000-0900-000031000000}"/>
    <hyperlink ref="K52" r:id="rId51" display="http://discuss.jiucaishuo.com/?/invest/showData/search_gu-si801761" xr:uid="{00000000-0004-0000-0900-000032000000}"/>
    <hyperlink ref="K53" r:id="rId52" display="http://discuss.jiucaishuo.com/?/invest/showData/search_gu-si801205" xr:uid="{00000000-0004-0000-0900-000033000000}"/>
    <hyperlink ref="K54" r:id="rId53" display="http://discuss.jiucaishuo.com/?/invest/showData/search_gu-sz399995" xr:uid="{00000000-0004-0000-0900-000034000000}"/>
    <hyperlink ref="K55" r:id="rId54" display="http://discuss.jiucaishuo.com/?/invest/showData/search_gu-si801161" xr:uid="{00000000-0004-0000-0900-000035000000}"/>
    <hyperlink ref="K56" r:id="rId55" display="http://discuss.jiucaishuo.com/?/invest/showData/search_gu-si801734" xr:uid="{00000000-0004-0000-0900-000036000000}"/>
    <hyperlink ref="K57" r:id="rId56" display="http://discuss.jiucaishuo.com/?/invest/showData/search_gu-si801075" xr:uid="{00000000-0004-0000-0900-000037000000}"/>
    <hyperlink ref="K58" r:id="rId57" display="http://discuss.jiucaishuo.com/?/invest/showData/search_gu-sz399992" xr:uid="{00000000-0004-0000-0900-000038000000}"/>
    <hyperlink ref="K59" r:id="rId58" display="http://discuss.jiucaishuo.com/?/invest/showData/search_gu-sh000806" xr:uid="{00000000-0004-0000-0900-000039000000}"/>
    <hyperlink ref="K60" r:id="rId59" display="http://discuss.jiucaishuo.com/?/invest/showData/search_gu-si801094" xr:uid="{00000000-0004-0000-0900-00003A000000}"/>
    <hyperlink ref="K61" r:id="rId60" display="http://discuss.jiucaishuo.com/?/invest/showData/search_gu-sh000032" xr:uid="{00000000-0004-0000-0900-00003B000000}"/>
    <hyperlink ref="K62" r:id="rId61" display="http://discuss.jiucaishuo.com/?/invest/showData/search_gu-sz399416" xr:uid="{00000000-0004-0000-0900-00003C000000}"/>
    <hyperlink ref="K63" r:id="rId62" display="http://discuss.jiucaishuo.com/?/invest/showData/search_gu-sh000029" xr:uid="{00000000-0004-0000-0900-00003D000000}"/>
    <hyperlink ref="K64" r:id="rId63" display="http://discuss.jiucaishuo.com/?/invest/showData/search_gu-sh000021" xr:uid="{00000000-0004-0000-0900-00003E000000}"/>
    <hyperlink ref="K65" r:id="rId64" display="http://discuss.jiucaishuo.com/?/invest/showData/search_gu-sh000905" xr:uid="{00000000-0004-0000-0900-00003F000000}"/>
    <hyperlink ref="K66" r:id="rId65" display="http://discuss.jiucaishuo.com/?/invest/showData/search_gu-si801760" xr:uid="{00000000-0004-0000-0900-000040000000}"/>
    <hyperlink ref="K67" r:id="rId66" display="http://discuss.jiucaishuo.com/?/invest/showData/search_gu-si801178" xr:uid="{00000000-0004-0000-0900-000041000000}"/>
    <hyperlink ref="K68" r:id="rId67" display="http://discuss.jiucaishuo.com/?/invest/showData/search_gu-sz399807" xr:uid="{00000000-0004-0000-0900-000042000000}"/>
    <hyperlink ref="K69" r:id="rId68" display="http://discuss.jiucaishuo.com/?/invest/showData/search_gu-si801712" xr:uid="{00000000-0004-0000-0900-000043000000}"/>
    <hyperlink ref="K70" r:id="rId69" display="http://discuss.jiucaishuo.com/?/invest/showData/search_gu-si801022" xr:uid="{00000000-0004-0000-0900-000044000000}"/>
    <hyperlink ref="K71" r:id="rId70" display="http://discuss.jiucaishuo.com/?/invest/showData/search_gu-si801193" xr:uid="{00000000-0004-0000-0900-000045000000}"/>
    <hyperlink ref="K72" r:id="rId71" display="http://discuss.jiucaishuo.com/?/invest/showData/search_gu-hihsml25" xr:uid="{00000000-0004-0000-0900-000046000000}"/>
    <hyperlink ref="K73" r:id="rId72" display="http://discuss.jiucaishuo.com/?/invest/showData/search_gu-sh000854" xr:uid="{00000000-0004-0000-0900-000047000000}"/>
    <hyperlink ref="K74" r:id="rId73" display="http://discuss.jiucaishuo.com/?/invest/showData/search_gu-sh000001" xr:uid="{00000000-0004-0000-0900-000048000000}"/>
    <hyperlink ref="K75" r:id="rId74" display="http://discuss.jiucaishuo.com/?/invest/showData/search_gu-hihsi" xr:uid="{00000000-0004-0000-0900-000049000000}"/>
    <hyperlink ref="K76" r:id="rId75" display="http://discuss.jiucaishuo.com/?/invest/showData/search_gu-sh000984" xr:uid="{00000000-0004-0000-0900-00004A000000}"/>
    <hyperlink ref="K77" r:id="rId76" display="http://discuss.jiucaishuo.com/?/invest/showData/search_gu-si801030" xr:uid="{00000000-0004-0000-0900-00004B000000}"/>
    <hyperlink ref="K78" r:id="rId77" display="http://discuss.jiucaishuo.com/?/invest/showData/search_gu-sz399802" xr:uid="{00000000-0004-0000-0900-00004C000000}"/>
    <hyperlink ref="K79" r:id="rId78" display="http://discuss.jiucaishuo.com/?/invest/showData/search_gu-sh000982" xr:uid="{00000000-0004-0000-0900-00004D000000}"/>
    <hyperlink ref="K80" r:id="rId79" display="http://discuss.jiucaishuo.com/?/invest/showData/search_gu-si801175" xr:uid="{00000000-0004-0000-0900-00004E000000}"/>
    <hyperlink ref="K81" r:id="rId80" display="http://discuss.jiucaishuo.com/?/invest/showData/search_gu-si801015" xr:uid="{00000000-0004-0000-0900-00004F000000}"/>
    <hyperlink ref="K82" r:id="rId81" display="http://discuss.jiucaishuo.com/?/invest/showData/search_gu-sz399440" xr:uid="{00000000-0004-0000-0900-000050000000}"/>
    <hyperlink ref="K83" r:id="rId82" display="http://discuss.jiucaishuo.com/?/invest/showData/search_gu-csi000922" xr:uid="{00000000-0004-0000-0900-000051000000}"/>
    <hyperlink ref="K84" r:id="rId83" display="http://discuss.jiucaishuo.com/?/invest/showData/search_gu-sz399429" xr:uid="{00000000-0004-0000-0900-000052000000}"/>
    <hyperlink ref="K85" r:id="rId84" display="http://discuss.jiucaishuo.com/?/invest/showData/search_gu-sh000904" xr:uid="{00000000-0004-0000-0900-000053000000}"/>
    <hyperlink ref="K86" r:id="rId85" display="http://discuss.jiucaishuo.com/?/invest/showData/search_gu-si801730" xr:uid="{00000000-0004-0000-0900-000054000000}"/>
    <hyperlink ref="K87" r:id="rId86" display="http://discuss.jiucaishuo.com/?/invest/showData/search_gu-si801741" xr:uid="{00000000-0004-0000-0900-000055000000}"/>
    <hyperlink ref="K88" r:id="rId87" display="http://discuss.jiucaishuo.com/?/invest/showData/search_gu-sh000989" xr:uid="{00000000-0004-0000-0900-000056000000}"/>
    <hyperlink ref="K89" r:id="rId88" display="http://discuss.jiucaishuo.com/?/invest/showData/search_gu-csih30165" xr:uid="{00000000-0004-0000-0900-000057000000}"/>
    <hyperlink ref="K90" r:id="rId89" display="http://discuss.jiucaishuo.com/?/invest/showData/search_gu-si801131" xr:uid="{00000000-0004-0000-0900-000058000000}"/>
    <hyperlink ref="K91" r:id="rId90" display="http://discuss.jiucaishuo.com/?/invest/showData/search_gu-si801731" xr:uid="{00000000-0004-0000-0900-000059000000}"/>
    <hyperlink ref="K92" r:id="rId91" display="http://discuss.jiucaishuo.com/?/invest/showData/search_gu-si801024" xr:uid="{00000000-0004-0000-0900-00005A000000}"/>
    <hyperlink ref="K93" r:id="rId92" display="http://discuss.jiucaishuo.com/?/invest/showData/search_gu-csi950096" xr:uid="{00000000-0004-0000-0900-00005B000000}"/>
    <hyperlink ref="K94" r:id="rId93" display="http://discuss.jiucaishuo.com/?/invest/showData/search_gu-sh000067" xr:uid="{00000000-0004-0000-0900-00005C000000}"/>
    <hyperlink ref="K95" r:id="rId94" display="http://discuss.jiucaishuo.com/?/invest/showData/search_gu-sh000901" xr:uid="{00000000-0004-0000-0900-00005D000000}"/>
    <hyperlink ref="K96" r:id="rId95" display="http://discuss.jiucaishuo.com/?/invest/showData/search_gu-sh000063" xr:uid="{00000000-0004-0000-0900-00005E000000}"/>
    <hyperlink ref="K97" r:id="rId96" display="http://discuss.jiucaishuo.com/?/invest/showData/search_gu-wi881001" xr:uid="{00000000-0004-0000-0900-00005F000000}"/>
    <hyperlink ref="K98" r:id="rId97" display="http://discuss.jiucaishuo.com/?/invest/showData/search_gu-csi930875" xr:uid="{00000000-0004-0000-0900-000060000000}"/>
    <hyperlink ref="K99" r:id="rId98" display="http://discuss.jiucaishuo.com/?/invest/showData/search_gu-sh000016" xr:uid="{00000000-0004-0000-0900-000061000000}"/>
    <hyperlink ref="K100" r:id="rId99" display="http://discuss.jiucaishuo.com/?/invest/showData/search_gu-si801050" xr:uid="{00000000-0004-0000-0900-000062000000}"/>
    <hyperlink ref="K101" r:id="rId100" display="http://discuss.jiucaishuo.com/?/invest/showData/search_gu-si801040" xr:uid="{00000000-0004-0000-0900-000063000000}"/>
    <hyperlink ref="K102" r:id="rId101" display="http://discuss.jiucaishuo.com/?/invest/showData/search_gu-sz399101" xr:uid="{00000000-0004-0000-0900-000064000000}"/>
    <hyperlink ref="K103" r:id="rId102" display="http://discuss.jiucaishuo.com/?/invest/showData/search_gu-sz399008" xr:uid="{00000000-0004-0000-0900-000065000000}"/>
    <hyperlink ref="K104" r:id="rId103" display="http://discuss.jiucaishuo.com/?/invest/showData/search_gu-sh000802" xr:uid="{00000000-0004-0000-0900-000066000000}"/>
    <hyperlink ref="K105" r:id="rId104" display="http://discuss.jiucaishuo.com/?/invest/showData/search_gu-sz399965" xr:uid="{00000000-0004-0000-0900-000067000000}"/>
    <hyperlink ref="K106" r:id="rId105" display="http://discuss.jiucaishuo.com/?/invest/showData/search_gu-sz399393" xr:uid="{00000000-0004-0000-0900-000068000000}"/>
    <hyperlink ref="K107" r:id="rId106" display="http://discuss.jiucaishuo.com/?/invest/showData/search_gu-si801034" xr:uid="{00000000-0004-0000-0900-000069000000}"/>
    <hyperlink ref="K108" r:id="rId107" display="http://discuss.jiucaishuo.com/?/invest/showData/search_gu-si801033" xr:uid="{00000000-0004-0000-0900-00006A000000}"/>
    <hyperlink ref="K109" r:id="rId108" display="http://discuss.jiucaishuo.com/?/invest/showData/search_gu-si801051" xr:uid="{00000000-0004-0000-0900-00006B000000}"/>
    <hyperlink ref="K110" r:id="rId109" display="http://discuss.jiucaishuo.com/?/invest/showData/search_gu-si801041" xr:uid="{00000000-0004-0000-0900-00006C000000}"/>
    <hyperlink ref="K111" r:id="rId110" display="http://discuss.jiucaishuo.com/?/invest/showData/search_gu-si801142" xr:uid="{00000000-0004-0000-0900-00006D000000}"/>
    <hyperlink ref="K112" r:id="rId111" display="http://discuss.jiucaishuo.com/?/invest/showData/search_gu-sh000819" xr:uid="{00000000-0004-0000-0900-00006E000000}"/>
    <hyperlink ref="K113" r:id="rId112" display="http://discuss.jiucaishuo.com/?/invest/showData/search_gu-csi930782" xr:uid="{00000000-0004-0000-0900-00006F000000}"/>
    <hyperlink ref="K114" r:id="rId113" display="http://discuss.jiucaishuo.com/?/invest/showData/search_gu-sh000056" xr:uid="{00000000-0004-0000-0900-000070000000}"/>
    <hyperlink ref="K115" r:id="rId114" display="http://discuss.jiucaishuo.com/?/invest/showData/search_gu-sh000966" xr:uid="{00000000-0004-0000-0900-000071000000}"/>
    <hyperlink ref="K116" r:id="rId115" display="http://discuss.jiucaishuo.com/?/invest/showData/search_gu-sh000925" xr:uid="{00000000-0004-0000-0900-000072000000}"/>
    <hyperlink ref="K117" r:id="rId116" display="http://discuss.jiucaishuo.com/?/invest/showData/search_gu-csi000985" xr:uid="{00000000-0004-0000-0900-000073000000}"/>
    <hyperlink ref="K118" r:id="rId117" display="http://discuss.jiucaishuo.com/?/invest/showData/search_gu-hihshkmi" xr:uid="{00000000-0004-0000-0900-000074000000}"/>
    <hyperlink ref="K119" r:id="rId118" display="http://discuss.jiucaishuo.com/?/invest/showData/search_gu-sz399624" xr:uid="{00000000-0004-0000-0900-000075000000}"/>
    <hyperlink ref="K120" r:id="rId119" display="http://discuss.jiucaishuo.com/?/invest/showData/search_gu-si801880" xr:uid="{00000000-0004-0000-0900-000076000000}"/>
    <hyperlink ref="K121" r:id="rId120" display="http://discuss.jiucaishuo.com/?/invest/showData/search_gu-si801130" xr:uid="{00000000-0004-0000-0900-000077000000}"/>
    <hyperlink ref="K122" r:id="rId121" display="http://discuss.jiucaishuo.com/?/invest/showData/search_gu-si801890" xr:uid="{00000000-0004-0000-0900-000078000000}"/>
    <hyperlink ref="K123" r:id="rId122" display="http://discuss.jiucaishuo.com/?/invest/showData/search_gu-si801790" xr:uid="{00000000-0004-0000-0900-000079000000}"/>
    <hyperlink ref="K124" r:id="rId123" display="http://discuss.jiucaishuo.com/?/invest/showData/search_gu-si801752" xr:uid="{00000000-0004-0000-0900-00007A000000}"/>
    <hyperlink ref="K125" r:id="rId124" display="http://discuss.jiucaishuo.com/?/invest/showData/search_gu-si801751" xr:uid="{00000000-0004-0000-0900-00007B000000}"/>
    <hyperlink ref="K126" r:id="rId125" display="http://discuss.jiucaishuo.com/?/invest/showData/search_gu-sh000852" xr:uid="{00000000-0004-0000-0900-00007C000000}"/>
    <hyperlink ref="K127" r:id="rId126" display="http://discuss.jiucaishuo.com/?/invest/showData/search_gu-si801155" xr:uid="{00000000-0004-0000-0900-00007D000000}"/>
    <hyperlink ref="K128" r:id="rId127" display="http://discuss.jiucaishuo.com/?/invest/showData/search_gu-si801213" xr:uid="{00000000-0004-0000-0900-00007E000000}"/>
    <hyperlink ref="K129" r:id="rId128" display="http://discuss.jiucaishuo.com/?/invest/showData/search_gu-sz399412" xr:uid="{00000000-0004-0000-0900-00007F000000}"/>
    <hyperlink ref="K130" r:id="rId129" display="http://discuss.jiucaishuo.com/?/invest/showData/search_gu-si801143" xr:uid="{00000000-0004-0000-0900-000080000000}"/>
    <hyperlink ref="K131" r:id="rId130" display="http://discuss.jiucaishuo.com/?/invest/showData/search_gu-sz399005" xr:uid="{00000000-0004-0000-0900-000081000000}"/>
    <hyperlink ref="K132" r:id="rId131" display="http://discuss.jiucaishuo.com/?/invest/showData/search_gu-si801230" xr:uid="{00000000-0004-0000-0900-000082000000}"/>
    <hyperlink ref="K133" r:id="rId132" display="http://discuss.jiucaishuo.com/?/invest/showData/search_gu-sh000010" xr:uid="{00000000-0004-0000-0900-000083000000}"/>
    <hyperlink ref="K134" r:id="rId133" display="http://discuss.jiucaishuo.com/?/invest/showData/search_gu-sz399634" xr:uid="{00000000-0004-0000-0900-000084000000}"/>
    <hyperlink ref="K135" r:id="rId134" display="http://discuss.jiucaishuo.com/?/invest/showData/search_gu-si801173" xr:uid="{00000000-0004-0000-0900-000085000000}"/>
    <hyperlink ref="K136" r:id="rId135" display="http://discuss.jiucaishuo.com/?/invest/showData/search_gu-si801093" xr:uid="{00000000-0004-0000-0900-000086000000}"/>
    <hyperlink ref="K137" r:id="rId136" display="http://discuss.jiucaishuo.com/?/invest/showData/search_gu-sh000934" xr:uid="{00000000-0004-0000-0900-000087000000}"/>
    <hyperlink ref="K138" r:id="rId137" display="http://discuss.jiucaishuo.com/?/invest/showData/search_gu-sh000038" xr:uid="{00000000-0004-0000-0900-000088000000}"/>
    <hyperlink ref="K139" r:id="rId138" display="http://discuss.jiucaishuo.com/?/invest/showData/search_gu-sh000018" xr:uid="{00000000-0004-0000-0900-000089000000}"/>
    <hyperlink ref="K140" r:id="rId139" display="http://discuss.jiucaishuo.com/?/invest/showData/search_gu-sz399967" xr:uid="{00000000-0004-0000-0900-00008A000000}"/>
    <hyperlink ref="K141" r:id="rId140" display="http://discuss.jiucaishuo.com/?/invest/showData/search_gu-si801231" xr:uid="{00000000-0004-0000-0900-00008B000000}"/>
    <hyperlink ref="K142" r:id="rId141" display="http://discuss.jiucaishuo.com/?/invest/showData/search_gu-sh000987" xr:uid="{00000000-0004-0000-0900-00008C000000}"/>
    <hyperlink ref="K143" r:id="rId142" display="http://discuss.jiucaishuo.com/?/invest/showData/search_gu-sh000846" xr:uid="{00000000-0004-0000-0900-00008D000000}"/>
    <hyperlink ref="K144" r:id="rId143" display="http://discuss.jiucaishuo.com/?/invest/showData/search_gu-hihshksi" xr:uid="{00000000-0004-0000-0900-00008E000000}"/>
    <hyperlink ref="K145" r:id="rId144" display="http://discuss.jiucaishuo.com/?/invest/showData/search_gu-si801202" xr:uid="{00000000-0004-0000-0900-00008F000000}"/>
    <hyperlink ref="K146" r:id="rId145" display="http://discuss.jiucaishuo.com/?/invest/showData/search_gu-sh000914" xr:uid="{00000000-0004-0000-0900-000090000000}"/>
    <hyperlink ref="K147" r:id="rId146" display="http://discuss.jiucaishuo.com/?/invest/showData/search_gu-si801072" xr:uid="{00000000-0004-0000-0900-000091000000}"/>
    <hyperlink ref="K148" r:id="rId147" display="http://discuss.jiucaishuo.com/?/invest/showData/search_gu-sh000963" xr:uid="{00000000-0004-0000-0900-000092000000}"/>
    <hyperlink ref="K149" r:id="rId148" display="http://discuss.jiucaishuo.com/?/invest/showData/search_gu-csi930641" xr:uid="{00000000-0004-0000-0900-000093000000}"/>
    <hyperlink ref="K150" r:id="rId149" display="http://discuss.jiucaishuo.com/?/invest/showData/search_gu-si801170" xr:uid="{00000000-0004-0000-0900-000094000000}"/>
    <hyperlink ref="K151" r:id="rId150" display="http://discuss.jiucaishuo.com/?/invest/showData/search_gu-sh000906" xr:uid="{00000000-0004-0000-0900-000095000000}"/>
    <hyperlink ref="K152" r:id="rId151" display="http://discuss.jiucaishuo.com/?/invest/showData/search_gu-si801710" xr:uid="{00000000-0004-0000-0900-000096000000}"/>
    <hyperlink ref="K153" r:id="rId152" display="http://discuss.jiucaishuo.com/?/invest/showData/search_gu-sh000842" xr:uid="{00000000-0004-0000-0900-000097000000}"/>
    <hyperlink ref="K154" r:id="rId153" display="http://discuss.jiucaishuo.com/?/invest/showData/search_gu-sh000992" xr:uid="{00000000-0004-0000-0900-000098000000}"/>
    <hyperlink ref="K155" r:id="rId154" display="http://discuss.jiucaishuo.com/?/invest/showData/search_gu-si801733" xr:uid="{00000000-0004-0000-0900-000099000000}"/>
    <hyperlink ref="K156" r:id="rId155" display="http://discuss.jiucaishuo.com/?/invest/showData/search_gu-sh000977" xr:uid="{00000000-0004-0000-0900-00009A000000}"/>
    <hyperlink ref="K157" r:id="rId156" display="http://discuss.jiucaishuo.com/?/invest/showData/search_gu-si801036" xr:uid="{00000000-0004-0000-0900-00009B000000}"/>
    <hyperlink ref="K158" r:id="rId157" display="http://discuss.jiucaishuo.com/?/invest/showData/search_gu-sh000823" xr:uid="{00000000-0004-0000-0900-00009C000000}"/>
    <hyperlink ref="K159" r:id="rId158" display="http://discuss.jiucaishuo.com/?/invest/showData/search_gu-sz399415" xr:uid="{00000000-0004-0000-0900-00009D000000}"/>
    <hyperlink ref="K160" r:id="rId159" display="http://discuss.jiucaishuo.com/?/invest/showData/search_gu-sz399971" xr:uid="{00000000-0004-0000-0900-00009E000000}"/>
    <hyperlink ref="K161" r:id="rId160" display="http://discuss.jiucaishuo.com/?/invest/showData/search_gu-csi930793" xr:uid="{00000000-0004-0000-0900-00009F000000}"/>
    <hyperlink ref="K162" r:id="rId161" display="http://discuss.jiucaishuo.com/?/invest/showData/search_gu-si801140" xr:uid="{00000000-0004-0000-0900-0000A0000000}"/>
    <hyperlink ref="K163" r:id="rId162" display="http://discuss.jiucaishuo.com/?/invest/showData/search_gu-sh000050" xr:uid="{00000000-0004-0000-0900-0000A1000000}"/>
    <hyperlink ref="K164" r:id="rId163" display="http://discuss.jiucaishuo.com/?/invest/showData/search_gu-si801132" xr:uid="{00000000-0004-0000-0900-0000A2000000}"/>
    <hyperlink ref="K165" r:id="rId164" display="http://discuss.jiucaishuo.com/?/invest/showData/search_gu-csih30531" xr:uid="{00000000-0004-0000-0900-0000A3000000}"/>
    <hyperlink ref="K166" r:id="rId165" display="http://discuss.jiucaishuo.com/?/invest/showData/search_gu-sz399368" xr:uid="{00000000-0004-0000-0900-0000A4000000}"/>
    <hyperlink ref="K167" r:id="rId166" display="http://discuss.jiucaishuo.com/?/invest/showData/search_gu-si801744" xr:uid="{00000000-0004-0000-0900-0000A5000000}"/>
    <hyperlink ref="K168" r:id="rId167" display="http://discuss.jiucaishuo.com/?/invest/showData/search_gu-si801212" xr:uid="{00000000-0004-0000-0900-0000A6000000}"/>
    <hyperlink ref="K169" r:id="rId168" display="http://discuss.jiucaishuo.com/?/invest/showData/search_gu-sh000827" xr:uid="{00000000-0004-0000-0900-0000A7000000}"/>
    <hyperlink ref="K170" r:id="rId169" display="http://discuss.jiucaishuo.com/?/invest/showData/search_gu-sz399417" xr:uid="{00000000-0004-0000-0900-0000A8000000}"/>
    <hyperlink ref="K171" r:id="rId170" display="http://discuss.jiucaishuo.com/?/invest/showData/search_gu-sh000841" xr:uid="{00000000-0004-0000-0900-0000A9000000}"/>
    <hyperlink ref="K172" r:id="rId171" display="http://discuss.jiucaishuo.com/?/invest/showData/search_gu-si801037" xr:uid="{00000000-0004-0000-0900-0000AA000000}"/>
    <hyperlink ref="K173" r:id="rId172" display="http://discuss.jiucaishuo.com/?/invest/showData/search_gu-sz399808" xr:uid="{00000000-0004-0000-0900-0000AB000000}"/>
    <hyperlink ref="K174" r:id="rId173" display="http://discuss.jiucaishuo.com/?/invest/showData/search_gu-si801054" xr:uid="{00000000-0004-0000-0900-0000AC000000}"/>
    <hyperlink ref="K175" r:id="rId174" display="http://discuss.jiucaishuo.com/?/invest/showData/search_gu-si801053" xr:uid="{00000000-0004-0000-0900-0000AD000000}"/>
    <hyperlink ref="K176" r:id="rId175" display="http://discuss.jiucaishuo.com/?/invest/showData/search_gu-sz399395" xr:uid="{00000000-0004-0000-0900-0000AE000000}"/>
    <hyperlink ref="K177" r:id="rId176" display="http://discuss.jiucaishuo.com/?/invest/showData/search_gu-csih30372" xr:uid="{00000000-0004-0000-0900-0000AF000000}"/>
    <hyperlink ref="K178" r:id="rId177" display="http://discuss.jiucaishuo.com/?/invest/showData/search_gu-sh000300" xr:uid="{00000000-0004-0000-0900-0000B0000000}"/>
    <hyperlink ref="K179" r:id="rId178" display="http://discuss.jiucaishuo.com/?/invest/showData/search_gu-sh000958" xr:uid="{00000000-0004-0000-0900-0000B1000000}"/>
    <hyperlink ref="K180" r:id="rId179" display="http://discuss.jiucaishuo.com/?/invest/showData/search_gu-si801016" xr:uid="{00000000-0004-0000-0900-0000B2000000}"/>
    <hyperlink ref="K181" r:id="rId180" display="http://discuss.jiucaishuo.com/?/invest/showData/search_gu-si801073" xr:uid="{00000000-0004-0000-0900-0000B3000000}"/>
    <hyperlink ref="K182" r:id="rId181" display="http://discuss.jiucaishuo.com/?/invest/showData/search_gu-sz399973" xr:uid="{00000000-0004-0000-0900-0000B4000000}"/>
    <hyperlink ref="K183" r:id="rId182" display="http://discuss.jiucaishuo.com/?/invest/showData/search_gu-sz399975" xr:uid="{00000000-0004-0000-0900-0000B5000000}"/>
    <hyperlink ref="K184" r:id="rId183" display="http://discuss.jiucaishuo.com/?/invest/showData/search_gu-si801084" xr:uid="{00000000-0004-0000-0900-0000B6000000}"/>
    <hyperlink ref="K185" r:id="rId184" display="http://discuss.jiucaishuo.com/?/invest/showData/search_gu-si801082" xr:uid="{00000000-0004-0000-0900-0000B7000000}"/>
    <hyperlink ref="K186" r:id="rId185" display="http://discuss.jiucaishuo.com/?/invest/showData/search_gu-sz399805" xr:uid="{00000000-0004-0000-0900-0000B8000000}"/>
    <hyperlink ref="K187" r:id="rId186" display="http://discuss.jiucaishuo.com/?/invest/showData/search_gu-si801012" xr:uid="{00000000-0004-0000-0900-0000B9000000}"/>
    <hyperlink ref="K188" r:id="rId187" display="http://discuss.jiucaishuo.com/?/invest/showData/search_gu-si801074" xr:uid="{00000000-0004-0000-0900-0000BA000000}"/>
    <hyperlink ref="K189" r:id="rId188" display="http://discuss.jiucaishuo.com/?/invest/showData/search_gu-sz399959" xr:uid="{00000000-0004-0000-0900-0000BB000000}"/>
    <hyperlink ref="K190" r:id="rId189" display="http://discuss.jiucaishuo.com/?/invest/showData/search_gu-si801732" xr:uid="{00000000-0004-0000-0900-0000BC000000}"/>
    <hyperlink ref="K191" r:id="rId190" display="http://discuss.jiucaishuo.com/?/invest/showData/search_gu-si801141" xr:uid="{00000000-0004-0000-0900-0000BD000000}"/>
    <hyperlink ref="K192" r:id="rId191" display="http://discuss.jiucaishuo.com/?/invest/showData/search_gu-csi930720" xr:uid="{00000000-0004-0000-0900-0000BE000000}"/>
    <hyperlink ref="K193" r:id="rId192" display="http://discuss.jiucaishuo.com/?/invest/showData/search_gu-hihscei" xr:uid="{00000000-0004-0000-0900-0000BF000000}"/>
    <hyperlink ref="K194" r:id="rId193" display="http://discuss.jiucaishuo.com/?/invest/showData/search_gu-si801740" xr:uid="{00000000-0004-0000-0900-0000C0000000}"/>
    <hyperlink ref="K195" r:id="rId194" display="http://discuss.jiucaishuo.com/?/invest/showData/search_gu-si801711" xr:uid="{00000000-0004-0000-0900-0000C1000000}"/>
    <hyperlink ref="K196" r:id="rId195" display="http://discuss.jiucaishuo.com/?/invest/showData/search_gu-sz399983" xr:uid="{00000000-0004-0000-0900-0000C2000000}"/>
    <hyperlink ref="K197" r:id="rId196" display="http://discuss.jiucaishuo.com/?/invest/showData/search_gu-sh000051" xr:uid="{00000000-0004-0000-0900-0000C3000000}"/>
    <hyperlink ref="K198" r:id="rId197" display="http://discuss.jiucaishuo.com/?/invest/showData/search_gu-si801742" xr:uid="{00000000-0004-0000-0900-0000C4000000}"/>
    <hyperlink ref="K199" r:id="rId198" display="http://discuss.jiucaishuo.com/?/invest/showData/search_gu-si801112" xr:uid="{00000000-0004-0000-0900-0000C5000000}"/>
    <hyperlink ref="K200" r:id="rId199" display="http://discuss.jiucaishuo.com/?/invest/showData/search_gu-sh000933" xr:uid="{00000000-0004-0000-0900-0000C6000000}"/>
    <hyperlink ref="K201" r:id="rId200" display="http://discuss.jiucaishuo.com/?/invest/showData/search_gu-sh000903" xr:uid="{00000000-0004-0000-0900-0000C7000000}"/>
    <hyperlink ref="K202" r:id="rId201" display="http://discuss.jiucaishuo.com/?/invest/showData/search_gu-gidjsoep" xr:uid="{00000000-0004-0000-0900-0000C8000000}"/>
    <hyperlink ref="K203" r:id="rId202" display="http://discuss.jiucaishuo.com/?/invest/showData/search_gu-si801182" xr:uid="{00000000-0004-0000-0900-0000C9000000}"/>
    <hyperlink ref="K204" r:id="rId203" display="http://discuss.jiucaishuo.com/?/invest/showData/search_gu-sh000974" xr:uid="{00000000-0004-0000-0900-0000CA000000}"/>
    <hyperlink ref="K205" r:id="rId204" display="http://discuss.jiucaishuo.com/?/invest/showData/search_gu-csi930648" xr:uid="{00000000-0004-0000-0900-0000CB000000}"/>
    <hyperlink ref="K206" r:id="rId205" display="http://discuss.jiucaishuo.com/?/invest/showData/search_gu-csi930659" xr:uid="{00000000-0004-0000-0900-0000CC000000}"/>
    <hyperlink ref="K207" r:id="rId206" display="http://discuss.jiucaishuo.com/?/invest/showData/search_gu-sz399422" xr:uid="{00000000-0004-0000-0900-0000CD000000}"/>
    <hyperlink ref="K208" r:id="rId207" display="http://discuss.jiucaishuo.com/?/invest/showData/search_gu-sh000048" xr:uid="{00000000-0004-0000-0900-0000CE000000}"/>
    <hyperlink ref="K209" r:id="rId208" display="http://discuss.jiucaishuo.com/?/invest/showData/search_gu-sz399996" xr:uid="{00000000-0004-0000-0900-0000CF000000}"/>
    <hyperlink ref="K210" r:id="rId209" display="http://discuss.jiucaishuo.com/?/invest/showData/search_gu-sz399810" xr:uid="{00000000-0004-0000-0900-0000D0000000}"/>
    <hyperlink ref="K211" r:id="rId210" display="http://discuss.jiucaishuo.com/?/invest/showData/search_gu-csi930790" xr:uid="{00000000-0004-0000-0900-0000D1000000}"/>
    <hyperlink ref="K212" r:id="rId211" display="http://discuss.jiucaishuo.com/?/invest/showData/search_gu-csi930654" xr:uid="{00000000-0004-0000-0900-0000D2000000}"/>
    <hyperlink ref="K213" r:id="rId212" display="http://discuss.jiucaishuo.com/?/invest/showData/search_gu-sh000033" xr:uid="{00000000-0004-0000-0900-0000D3000000}"/>
    <hyperlink ref="K214" r:id="rId213" display="http://discuss.jiucaishuo.com/?/invest/showData/search_gu-si801176" xr:uid="{00000000-0004-0000-0900-0000D4000000}"/>
    <hyperlink ref="K215" r:id="rId214" display="http://discuss.jiucaishuo.com/?/invest/showData/search_gu-si801721" xr:uid="{00000000-0004-0000-0900-0000D5000000}"/>
    <hyperlink ref="K216" r:id="rId215" display="http://discuss.jiucaishuo.com/?/invest/showData/search_gu-csi930713" xr:uid="{00000000-0004-0000-0900-0000D6000000}"/>
    <hyperlink ref="K217" r:id="rId216" display="http://discuss.jiucaishuo.com/?/invest/showData/search_gu-sz399313" xr:uid="{00000000-0004-0000-0900-0000D7000000}"/>
    <hyperlink ref="K218" r:id="rId217" display="http://discuss.jiucaishuo.com/?/invest/showData/search_gu-sh000009" xr:uid="{00000000-0004-0000-0900-0000D8000000}"/>
    <hyperlink ref="K219" r:id="rId218" display="http://discuss.jiucaishuo.com/?/invest/showData/search_gu-si801211" xr:uid="{00000000-0004-0000-0900-0000D9000000}"/>
    <hyperlink ref="K220" r:id="rId219" display="http://discuss.jiucaishuo.com/?/invest/showData/search_gu-sh000991" xr:uid="{00000000-0004-0000-0900-0000DA000000}"/>
    <hyperlink ref="K221" r:id="rId220" display="http://discuss.jiucaishuo.com/?/invest/showData/search_gu-csi930734" xr:uid="{00000000-0004-0000-0900-0000DB000000}"/>
    <hyperlink ref="K222" r:id="rId221" display="http://discuss.jiucaishuo.com/?/invest/showData/search_gu-csi930599" xr:uid="{00000000-0004-0000-0900-0000DC000000}"/>
    <hyperlink ref="K223" r:id="rId222" display="http://discuss.jiucaishuo.com/?/invest/showData/search_gu-sz399974" xr:uid="{00000000-0004-0000-0900-0000DD000000}"/>
    <hyperlink ref="K224" r:id="rId223" display="http://discuss.jiucaishuo.com/?/invest/showData/search_gu-sz399707" xr:uid="{00000000-0004-0000-0900-0000DE000000}"/>
    <hyperlink ref="K225" r:id="rId224" display="http://discuss.jiucaishuo.com/?/invest/showData/search_gu-si801150" xr:uid="{00000000-0004-0000-0900-0000DF000000}"/>
    <hyperlink ref="K226" r:id="rId225" display="http://discuss.jiucaishuo.com/?/invest/showData/search_gu-si801102" xr:uid="{00000000-0004-0000-0900-0000E0000000}"/>
    <hyperlink ref="K227" r:id="rId226" display="http://discuss.jiucaishuo.com/?/invest/showData/search_gu-si801011" xr:uid="{00000000-0004-0000-0900-0000E1000000}"/>
    <hyperlink ref="K228" r:id="rId227" display="http://discuss.jiucaishuo.com/?/invest/showData/search_gu-sh000816" xr:uid="{00000000-0004-0000-0900-0000E2000000}"/>
    <hyperlink ref="K229" r:id="rId228" display="http://discuss.jiucaishuo.com/?/invest/showData/search_gu-csih30171" xr:uid="{00000000-0004-0000-0900-0000E3000000}"/>
    <hyperlink ref="K230" r:id="rId229" display="http://discuss.jiucaishuo.com/?/invest/showData/search_gu-csih30588" xr:uid="{00000000-0004-0000-0900-0000E4000000}"/>
    <hyperlink ref="K231" r:id="rId230" display="http://discuss.jiucaishuo.com/?/invest/showData/search_gu-hihsmsi" xr:uid="{00000000-0004-0000-0900-0000E5000000}"/>
    <hyperlink ref="K232" r:id="rId231" display="http://discuss.jiucaishuo.com/?/invest/showData/search_gu-si801013" xr:uid="{00000000-0004-0000-0900-0000E6000000}"/>
    <hyperlink ref="K233" r:id="rId232" display="http://discuss.jiucaishuo.com/?/invest/showData/search_gu-si801032" xr:uid="{00000000-0004-0000-0900-0000E7000000}"/>
    <hyperlink ref="K234" r:id="rId233" display="http://discuss.jiucaishuo.com/?/invest/showData/search_gu-sh000043" xr:uid="{00000000-0004-0000-0900-0000E8000000}"/>
    <hyperlink ref="K235" r:id="rId234" display="http://discuss.jiucaishuo.com/?/invest/showData/search_gu-sh000046" xr:uid="{00000000-0004-0000-0900-0000E9000000}"/>
    <hyperlink ref="K236" r:id="rId235" display="http://discuss.jiucaishuo.com/?/invest/showData/search_gu-si801204" xr:uid="{00000000-0004-0000-0900-0000EA000000}"/>
    <hyperlink ref="K237" r:id="rId236" display="http://discuss.jiucaishuo.com/?/invest/showData/search_gu-si801713" xr:uid="{00000000-0004-0000-0900-0000EB000000}"/>
    <hyperlink ref="K238" r:id="rId237" display="http://discuss.jiucaishuo.com/?/invest/showData/search_gu-sh000969" xr:uid="{00000000-0004-0000-0900-0000EC000000}"/>
    <hyperlink ref="K239" r:id="rId238" display="http://discuss.jiucaishuo.com/?/invest/showData/search_gu-si801223" xr:uid="{00000000-0004-0000-0900-0000ED000000}"/>
    <hyperlink ref="K240" r:id="rId239" display="http://discuss.jiucaishuo.com/?/invest/showData/search_gu-csih30318" xr:uid="{00000000-0004-0000-0900-0000EE000000}"/>
    <hyperlink ref="K241" r:id="rId240" display="http://discuss.jiucaishuo.com/?/invest/showData/search_gu-si801743" xr:uid="{00000000-0004-0000-0900-0000EF000000}"/>
    <hyperlink ref="K242" r:id="rId241" display="http://discuss.jiucaishuo.com/?/invest/showData/search_gu-csi930820" xr:uid="{00000000-0004-0000-0900-0000F0000000}"/>
    <hyperlink ref="K243" r:id="rId242" display="http://discuss.jiucaishuo.com/?/invest/showData/search_gu-sh000971" xr:uid="{00000000-0004-0000-0900-0000F1000000}"/>
    <hyperlink ref="K244" r:id="rId243" display="http://discuss.jiucaishuo.com/?/invest/showData/search_gu-sz399637" xr:uid="{00000000-0004-0000-0900-0000F2000000}"/>
    <hyperlink ref="K245" r:id="rId244" display="http://discuss.jiucaishuo.com/?/invest/showData/search_gu-csi930777" xr:uid="{00000000-0004-0000-0900-0000F3000000}"/>
    <hyperlink ref="K246" r:id="rId245" display="http://discuss.jiucaishuo.com/?/invest/showData/search_gu-csih20839" xr:uid="{00000000-0004-0000-0900-0000F4000000}"/>
    <hyperlink ref="K247" r:id="rId246" display="http://discuss.jiucaishuo.com/?/invest/showData/search_gu-sz399612" xr:uid="{00000000-0004-0000-0900-0000F5000000}"/>
    <hyperlink ref="K248" r:id="rId247" display="http://discuss.jiucaishuo.com/?/invest/showData/search_gu-si801210" xr:uid="{00000000-0004-0000-0900-0000F6000000}"/>
    <hyperlink ref="K249" r:id="rId248" display="http://discuss.jiucaishuo.com/?/invest/showData/search_gu-si801101" xr:uid="{00000000-0004-0000-0900-0000F7000000}"/>
    <hyperlink ref="K250" r:id="rId249" display="http://discuss.jiucaishuo.com/?/invest/showData/search_gu-csi930836" xr:uid="{00000000-0004-0000-0900-0000F8000000}"/>
    <hyperlink ref="K251" r:id="rId250" display="http://discuss.jiucaishuo.com/?/invest/showData/search_gu-csi930791" xr:uid="{00000000-0004-0000-0900-0000F9000000}"/>
    <hyperlink ref="K252" r:id="rId251" display="http://discuss.jiucaishuo.com/?/invest/showData/search_gu-sz399001" xr:uid="{00000000-0004-0000-0900-0000FA000000}"/>
    <hyperlink ref="K253" r:id="rId252" display="http://discuss.jiucaishuo.com/?/invest/showData/search_gu-sz399102" xr:uid="{00000000-0004-0000-0900-0000FB000000}"/>
    <hyperlink ref="K254" r:id="rId253" display="http://discuss.jiucaishuo.com/?/invest/showData/search_gu-si801144" xr:uid="{00000000-0004-0000-0900-0000FC000000}"/>
    <hyperlink ref="K255" r:id="rId254" display="http://discuss.jiucaishuo.com/?/invest/showData/search_gu-sz399348" xr:uid="{00000000-0004-0000-0900-0000FD000000}"/>
    <hyperlink ref="K256" r:id="rId255" display="http://discuss.jiucaishuo.com/?/invest/showData/search_gu-si801750" xr:uid="{00000000-0004-0000-0900-0000FE000000}"/>
    <hyperlink ref="K257" r:id="rId256" display="http://discuss.jiucaishuo.com/?/invest/showData/search_gu-sz399007" xr:uid="{00000000-0004-0000-0900-0000FF000000}"/>
    <hyperlink ref="K258" r:id="rId257" display="http://discuss.jiucaishuo.com/?/invest/showData/search_gu-csi930652" xr:uid="{00000000-0004-0000-0900-000000010000}"/>
    <hyperlink ref="K259" r:id="rId258" display="http://discuss.jiucaishuo.com/?/invest/showData/search_gu-si801151" xr:uid="{00000000-0004-0000-0900-000001010000}"/>
    <hyperlink ref="K260" r:id="rId259" display="http://discuss.jiucaishuo.com/?/invest/showData/search_gu-sz399966" xr:uid="{00000000-0004-0000-0900-000002010000}"/>
    <hyperlink ref="K261" r:id="rId260" display="http://discuss.jiucaishuo.com/?/invest/showData/search_gu-sh000814" xr:uid="{00000000-0004-0000-0900-000003010000}"/>
    <hyperlink ref="K262" r:id="rId261" display="http://discuss.jiucaishuo.com/?/invest/showData/search_gu-sh000044" xr:uid="{00000000-0004-0000-0900-000004010000}"/>
    <hyperlink ref="K263" r:id="rId262" display="http://discuss.jiucaishuo.com/?/invest/showData/search_gu-sh000993" xr:uid="{00000000-0004-0000-0900-000005010000}"/>
    <hyperlink ref="K264" r:id="rId263" display="http://discuss.jiucaishuo.com/?/invest/showData/search_gu-sz399809" xr:uid="{00000000-0004-0000-0900-000006010000}"/>
    <hyperlink ref="K265" r:id="rId264" display="http://discuss.jiucaishuo.com/?/invest/showData/search_gu-csih30124" xr:uid="{00000000-0004-0000-0900-000007010000}"/>
    <hyperlink ref="K266" r:id="rId265" display="http://discuss.jiucaishuo.com/?/invest/showData/search_gu-csi930697" xr:uid="{00000000-0004-0000-0900-000008010000}"/>
    <hyperlink ref="K267" r:id="rId266" display="http://discuss.jiucaishuo.com/?/invest/showData/search_gu-si801080" xr:uid="{00000000-0004-0000-0900-000009010000}"/>
    <hyperlink ref="K268" r:id="rId267" display="http://discuss.jiucaishuo.com/?/invest/showData/search_gu-si801222" xr:uid="{00000000-0004-0000-0900-00000A010000}"/>
    <hyperlink ref="K269" r:id="rId268" display="http://discuss.jiucaishuo.com/?/invest/showData/search_gu-si801152" xr:uid="{00000000-0004-0000-0900-00000B010000}"/>
    <hyperlink ref="K270" r:id="rId269" display="http://discuss.jiucaishuo.com/?/invest/showData/search_gu-csih30035" xr:uid="{00000000-0004-0000-0900-00000C010000}"/>
    <hyperlink ref="K271" r:id="rId270" display="http://discuss.jiucaishuo.com/?/invest/showData/search_gu-sz399703" xr:uid="{00000000-0004-0000-0900-00000D010000}"/>
    <hyperlink ref="K272" r:id="rId271" display="http://discuss.jiucaishuo.com/?/invest/showData/search_gu-sh000065" xr:uid="{00000000-0004-0000-0900-00000E010000}"/>
    <hyperlink ref="K273" r:id="rId272" display="http://discuss.jiucaishuo.com/?/invest/showData/search_gu-si801085" xr:uid="{00000000-0004-0000-0900-00000F010000}"/>
    <hyperlink ref="K274" r:id="rId273" display="http://discuss.jiucaishuo.com/?/invest/showData/search_gu-sz399994" xr:uid="{00000000-0004-0000-0900-000010010000}"/>
    <hyperlink ref="K275" r:id="rId274" display="http://discuss.jiucaishuo.com/?/invest/showData/search_gu-si801215" xr:uid="{00000000-0004-0000-0900-000011010000}"/>
    <hyperlink ref="K276" r:id="rId275" display="http://discuss.jiucaishuo.com/?/invest/showData/search_gu-sh000037" xr:uid="{00000000-0004-0000-0900-000012010000}"/>
    <hyperlink ref="K277" r:id="rId276" display="http://discuss.jiucaishuo.com/?/invest/showData/search_gu-sh000998" xr:uid="{00000000-0004-0000-0900-000013010000}"/>
    <hyperlink ref="K278" r:id="rId277" display="http://discuss.jiucaishuo.com/?/invest/showData/search_gu-csi930651" xr:uid="{00000000-0004-0000-0900-000014010000}"/>
    <hyperlink ref="K279" r:id="rId278" display="http://discuss.jiucaishuo.com/?/invest/showData/search_gu-si801770" xr:uid="{00000000-0004-0000-0900-000015010000}"/>
    <hyperlink ref="K280" r:id="rId279" display="http://discuss.jiucaishuo.com/?/invest/showData/search_gu-sh000952" xr:uid="{00000000-0004-0000-0900-000016010000}"/>
    <hyperlink ref="K281" r:id="rId280" display="http://discuss.jiucaishuo.com/?/invest/showData/search_gu-si801194" xr:uid="{00000000-0004-0000-0900-000017010000}"/>
    <hyperlink ref="K282" r:id="rId281" display="http://discuss.jiucaishuo.com/?/invest/showData/search_gu-gigdaxi" xr:uid="{00000000-0004-0000-0900-000018010000}"/>
    <hyperlink ref="K283" r:id="rId282" display="http://discuss.jiucaishuo.com/?/invest/showData/search_gu-sz399337" xr:uid="{00000000-0004-0000-0900-000019010000}"/>
    <hyperlink ref="K284" r:id="rId283" display="http://discuss.jiucaishuo.com/?/invest/showData/search_gu-sz399702" xr:uid="{00000000-0004-0000-0900-00001A010000}"/>
    <hyperlink ref="K285" r:id="rId284" display="http://discuss.jiucaishuo.com/?/invest/showData/search_gu-si801018" xr:uid="{00000000-0004-0000-0900-00001B010000}"/>
    <hyperlink ref="K286" r:id="rId285" display="http://discuss.jiucaishuo.com/?/invest/showData/search_gu-sh000935" xr:uid="{00000000-0004-0000-0900-00001C010000}"/>
    <hyperlink ref="K287" r:id="rId286" display="http://discuss.jiucaishuo.com/?/invest/showData/search_gu-csi931009" xr:uid="{00000000-0004-0000-0900-00001D010000}"/>
    <hyperlink ref="K288" r:id="rId287" display="http://discuss.jiucaishuo.com/?/invest/showData/search_gu-csih11136" xr:uid="{00000000-0004-0000-0900-00001E010000}"/>
    <hyperlink ref="K289" r:id="rId288" display="http://discuss.jiucaishuo.com/?/invest/showData/search_gu-sz399673" xr:uid="{00000000-0004-0000-0900-00001F010000}"/>
    <hyperlink ref="K290" r:id="rId289" display="http://discuss.jiucaishuo.com/?/invest/showData/search_gu-sz399804" xr:uid="{00000000-0004-0000-0900-000020010000}"/>
    <hyperlink ref="K291" r:id="rId290" display="http://discuss.jiucaishuo.com/?/invest/showData/search_gu-si801881" xr:uid="{00000000-0004-0000-0900-000021010000}"/>
    <hyperlink ref="K292" r:id="rId291" display="http://discuss.jiucaishuo.com/?/invest/showData/search_gu-sz399006" xr:uid="{00000000-0004-0000-0900-000022010000}"/>
    <hyperlink ref="K293" r:id="rId292" display="http://discuss.jiucaishuo.com/?/invest/showData/search_gu-sz399812" xr:uid="{00000000-0004-0000-0900-000023010000}"/>
    <hyperlink ref="K294" r:id="rId293" display="http://discuss.jiucaishuo.com/?/invest/showData/search_gu-si801081" xr:uid="{00000000-0004-0000-0900-000024010000}"/>
    <hyperlink ref="K295" r:id="rId294" display="http://discuss.jiucaishuo.com/?/invest/showData/search_gu-sz399610" xr:uid="{00000000-0004-0000-0900-000025010000}"/>
    <hyperlink ref="K296" r:id="rId295" display="http://discuss.jiucaishuo.com/?/invest/showData/search_gu-si801010" xr:uid="{00000000-0004-0000-0900-000026010000}"/>
    <hyperlink ref="K297" r:id="rId296" display="http://discuss.jiucaishuo.com/?/invest/showData/search_gu-sz399441" xr:uid="{00000000-0004-0000-0900-000027010000}"/>
    <hyperlink ref="K298" r:id="rId297" display="http://discuss.jiucaishuo.com/?/invest/showData/search_gu-csi930729" xr:uid="{00000000-0004-0000-0900-000028010000}"/>
    <hyperlink ref="K299" r:id="rId298" display="http://discuss.jiucaishuo.com/?/invest/showData/search_gu-sz399813" xr:uid="{00000000-0004-0000-0900-000029010000}"/>
    <hyperlink ref="K300" r:id="rId299" display="http://discuss.jiucaishuo.com/?/invest/showData/search_gu-si801156" xr:uid="{00000000-0004-0000-0900-00002A010000}"/>
    <hyperlink ref="K301" r:id="rId300" display="http://discuss.jiucaishuo.com/?/invest/showData/search_gu-sz399326" xr:uid="{00000000-0004-0000-0900-00002B010000}"/>
    <hyperlink ref="K302" r:id="rId301" display="http://discuss.jiucaishuo.com/?/invest/showData/search_gu-sz399701" xr:uid="{00000000-0004-0000-0900-00002C010000}"/>
    <hyperlink ref="K303" r:id="rId302" display="http://discuss.jiucaishuo.com/?/invest/showData/search_gu-sz399811" xr:uid="{00000000-0004-0000-0900-00002D010000}"/>
    <hyperlink ref="K304" r:id="rId303" display="http://discuss.jiucaishuo.com/?/invest/showData/search_gu-sz399976" xr:uid="{00000000-0004-0000-0900-00002E010000}"/>
    <hyperlink ref="K305" r:id="rId304" display="http://discuss.jiucaishuo.com/?/invest/showData/search_gu-sz399550" xr:uid="{00000000-0004-0000-0900-00002F010000}"/>
    <hyperlink ref="K306" r:id="rId305" display="http://discuss.jiucaishuo.com/?/invest/showData/search_gu-sz399989" xr:uid="{00000000-0004-0000-0900-000030010000}"/>
    <hyperlink ref="K307" r:id="rId306" display="http://discuss.jiucaishuo.com/?/invest/showData/search_gu-si801111" xr:uid="{00000000-0004-0000-0900-000031010000}"/>
    <hyperlink ref="K308" r:id="rId307" display="http://discuss.jiucaishuo.com/?/invest/showData/search_gu-si801214" xr:uid="{00000000-0004-0000-0900-000032010000}"/>
    <hyperlink ref="K309" r:id="rId308" display="http://discuss.jiucaishuo.com/?/invest/showData/search_gu-sh000913" xr:uid="{00000000-0004-0000-0900-000033010000}"/>
    <hyperlink ref="K310" r:id="rId309" display="http://discuss.jiucaishuo.com/?/invest/showData/search_gu-sh000064" xr:uid="{00000000-0004-0000-0900-000034010000}"/>
    <hyperlink ref="K311" r:id="rId310" display="http://discuss.jiucaishuo.com/?/invest/showData/search_gu-csi930723" xr:uid="{00000000-0004-0000-0900-000035010000}"/>
    <hyperlink ref="K312" r:id="rId311" display="http://discuss.jiucaishuo.com/?/invest/showData/search_gu-sz399993" xr:uid="{00000000-0004-0000-0900-000036010000}"/>
    <hyperlink ref="K313" r:id="rId312" display="http://discuss.jiucaishuo.com/?/invest/showData/search_gu-sz399330" xr:uid="{00000000-0004-0000-0900-000037010000}"/>
    <hyperlink ref="K314" r:id="rId313" display="http://discuss.jiucaishuo.com/?/invest/showData/search_gu-sz399004" xr:uid="{00000000-0004-0000-0900-000038010000}"/>
    <hyperlink ref="K315" r:id="rId314" display="http://discuss.jiucaishuo.com/?/invest/showData/search_gu-si801014" xr:uid="{00000000-0004-0000-0900-000039010000}"/>
    <hyperlink ref="K316" r:id="rId315" display="http://discuss.jiucaishuo.com/?/invest/showData/search_gu-si801124" xr:uid="{00000000-0004-0000-0900-00003A010000}"/>
    <hyperlink ref="K317" r:id="rId316" display="http://discuss.jiucaishuo.com/?/invest/showData/search_gu-sz399324" xr:uid="{00000000-0004-0000-0900-00003B010000}"/>
    <hyperlink ref="K318" r:id="rId317" display="http://discuss.jiucaishuo.com/?/invest/showData/search_gu-si801110" xr:uid="{00000000-0004-0000-0900-00003C010000}"/>
    <hyperlink ref="K319" r:id="rId318" display="http://discuss.jiucaishuo.com/?/invest/showData/search_gu-si801083" xr:uid="{00000000-0004-0000-0900-00003D010000}"/>
    <hyperlink ref="K320" r:id="rId319" display="http://discuss.jiucaishuo.com/?/invest/showData/search_gu-csih30344" xr:uid="{00000000-0004-0000-0900-00003E010000}"/>
    <hyperlink ref="K321" r:id="rId320" display="http://discuss.jiucaishuo.com/?/invest/showData/search_gu-sz399394" xr:uid="{00000000-0004-0000-0900-00003F010000}"/>
    <hyperlink ref="K322" r:id="rId321" display="http://discuss.jiucaishuo.com/?/invest/showData/search_gu-sh000808" xr:uid="{00000000-0004-0000-0900-000040010000}"/>
    <hyperlink ref="K323" r:id="rId322" display="http://discuss.jiucaishuo.com/?/invest/showData/search_gu-csi930629" xr:uid="{00000000-0004-0000-0900-000041010000}"/>
    <hyperlink ref="K324" r:id="rId323" display="http://discuss.jiucaishuo.com/?/invest/showData/search_gu-csih30535" xr:uid="{00000000-0004-0000-0900-000042010000}"/>
    <hyperlink ref="K325" r:id="rId324" display="http://discuss.jiucaishuo.com/?/invest/showData/search_gu-sh000049" xr:uid="{00000000-0004-0000-0900-000043010000}"/>
    <hyperlink ref="K326" r:id="rId325" display="http://discuss.jiucaishuo.com/?/invest/showData/search_gu-si801153" xr:uid="{00000000-0004-0000-0900-000044010000}"/>
    <hyperlink ref="K327" r:id="rId326" display="http://discuss.jiucaishuo.com/?/invest/showData/search_gu-sz399814" xr:uid="{00000000-0004-0000-0900-000045010000}"/>
    <hyperlink ref="K328" r:id="rId327" display="http://discuss.jiucaishuo.com/?/invest/showData/search_gu-sh000069" xr:uid="{00000000-0004-0000-0900-000046010000}"/>
    <hyperlink ref="K329" r:id="rId328" display="http://discuss.jiucaishuo.com/?/invest/showData/search_gu-sh000028" xr:uid="{00000000-0004-0000-0900-000047010000}"/>
    <hyperlink ref="K330" r:id="rId329" display="http://discuss.jiucaishuo.com/?/invest/showData/search_gu-csi930743" xr:uid="{00000000-0004-0000-0900-000048010000}"/>
    <hyperlink ref="K331" r:id="rId330" display="http://discuss.jiucaishuo.com/?/invest/showData/search_gu-si801120" xr:uid="{00000000-0004-0000-0900-000049010000}"/>
    <hyperlink ref="K332" r:id="rId331" display="http://discuss.jiucaishuo.com/?/invest/showData/search_gu-sz399632" xr:uid="{00000000-0004-0000-0900-00004A010000}"/>
    <hyperlink ref="K333" r:id="rId332" display="http://discuss.jiucaishuo.com/?/invest/showData/search_gu-sz399970" xr:uid="{00000000-0004-0000-0900-00004B010000}"/>
    <hyperlink ref="K334" r:id="rId333" display="http://discuss.jiucaishuo.com/?/invest/showData/search_gu-csi000978" xr:uid="{00000000-0004-0000-0900-00004C010000}"/>
    <hyperlink ref="K335" r:id="rId334" display="http://discuss.jiucaishuo.com/?/invest/showData/search_gu-spisphcmshp" xr:uid="{00000000-0004-0000-0900-00004D010000}"/>
    <hyperlink ref="K336" r:id="rId335" display="http://discuss.jiucaishuo.com/?/invest/showData/search_gu-sh000918" xr:uid="{00000000-0004-0000-0900-00004E010000}"/>
    <hyperlink ref="K337" r:id="rId336" display="http://discuss.jiucaishuo.com/?/invest/showData/search_gu-si801174" xr:uid="{00000000-0004-0000-0900-00004F010000}"/>
    <hyperlink ref="K338" r:id="rId337" display="http://discuss.jiucaishuo.com/?/invest/showData/search_gu-si801123" xr:uid="{00000000-0004-0000-0900-000050010000}"/>
    <hyperlink ref="K339" r:id="rId338" display="http://discuss.jiucaishuo.com/?/invest/showData/search_gu-sh000828" xr:uid="{00000000-0004-0000-0900-000051010000}"/>
    <hyperlink ref="K340" r:id="rId339" display="http://discuss.jiucaishuo.com/?/invest/showData/search_gu-sz399803" xr:uid="{00000000-0004-0000-0900-000052010000}"/>
    <hyperlink ref="K341" r:id="rId340" display="http://discuss.jiucaishuo.com/?/invest/showData/search_gu-si801017" xr:uid="{00000000-0004-0000-0900-000053010000}"/>
    <hyperlink ref="K342" r:id="rId341" display="http://discuss.jiucaishuo.com/?/invest/showData/search_gu-csi930721" xr:uid="{00000000-0004-0000-0900-000054010000}"/>
    <hyperlink ref="K343" r:id="rId342" display="http://discuss.jiucaishuo.com/?/invest/showData/search_gu-sh000932" xr:uid="{00000000-0004-0000-0900-000055010000}"/>
    <hyperlink ref="K344" r:id="rId343" display="http://discuss.jiucaishuo.com/?/invest/showData/search_gu-csi930719" xr:uid="{00000000-0004-0000-0900-000056010000}"/>
    <hyperlink ref="K345" r:id="rId344" display="http://discuss.jiucaishuo.com/?/invest/showData/search_gu-sh000990" xr:uid="{00000000-0004-0000-0900-000057010000}"/>
    <hyperlink ref="K346" r:id="rId345" display="http://discuss.jiucaishuo.com/?/invest/showData/search_gu-sz399997" xr:uid="{00000000-0004-0000-0900-000058010000}"/>
    <hyperlink ref="K347" r:id="rId346" display="http://discuss.jiucaishuo.com/?/invest/showData/search_gu-giixic" xr:uid="{00000000-0004-0000-0900-000059010000}"/>
    <hyperlink ref="K348" r:id="rId347" display="http://discuss.jiucaishuo.com/?/invest/showData/search_gu-csi930653" xr:uid="{00000000-0004-0000-0900-00005A010000}"/>
    <hyperlink ref="K349" r:id="rId348" display="http://discuss.jiucaishuo.com/?/invest/showData/search_gu-sz399987" xr:uid="{00000000-0004-0000-0900-00005B010000}"/>
    <hyperlink ref="K350" r:id="rId349" display="http://discuss.jiucaishuo.com/?/invest/showData/search_gu-csih30021" xr:uid="{00000000-0004-0000-0900-00005C010000}"/>
    <hyperlink ref="K351" r:id="rId350" display="http://discuss.jiucaishuo.com/?/invest/showData/search_gu-sz399396" xr:uid="{00000000-0004-0000-0900-00005D010000}"/>
    <hyperlink ref="K352" r:id="rId351" display="http://discuss.jiucaishuo.com/?/invest/showData/search_gu-spisp500" xr:uid="{00000000-0004-0000-0900-00005E010000}"/>
    <hyperlink ref="K353" r:id="rId352" display="http://discuss.jiucaishuo.com/?/invest/showData/search_gu-spispxewtr" xr:uid="{00000000-0004-0000-0900-00005F010000}"/>
    <hyperlink ref="K354" r:id="rId353" display="http://discuss.jiucaishuo.com/?/invest/showData/search_gu-gispx" xr:uid="{00000000-0004-0000-0900-000060010000}"/>
    <hyperlink ref="K355" r:id="rId354" display="http://discuss.jiucaishuo.com/?/invest/showData/search_gu-csi133333" xr:uid="{00000000-0004-0000-0900-000061010000}"/>
    <hyperlink ref="K356" r:id="rId355" display="http://discuss.jiucaishuo.com/?/invest/showData/search_gu-sh000036" xr:uid="{00000000-0004-0000-0900-000062010000}"/>
    <hyperlink ref="K357" r:id="rId356" display="http://discuss.jiucaishuo.com/?/invest/showData/search_gu-gidji" xr:uid="{00000000-0004-0000-0900-000063010000}"/>
    <hyperlink ref="K358" r:id="rId357" display="http://discuss.jiucaishuo.com/?/invest/showData/search_gu-gindx" xr:uid="{00000000-0004-0000-0900-00006401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71"/>
  <sheetViews>
    <sheetView topLeftCell="A54" zoomScale="158" workbookViewId="0">
      <selection activeCell="H63" sqref="H63"/>
    </sheetView>
  </sheetViews>
  <sheetFormatPr baseColWidth="10" defaultRowHeight="16"/>
  <cols>
    <col min="2" max="2" width="10.83203125" style="182" customWidth="1"/>
    <col min="4" max="4" width="11.33203125" style="182" customWidth="1"/>
    <col min="10" max="10" width="10.83203125" style="182" customWidth="1"/>
    <col min="15" max="15" width="21" style="182" bestFit="1" customWidth="1"/>
  </cols>
  <sheetData>
    <row r="1" spans="1:12">
      <c r="B1" t="s">
        <v>1168</v>
      </c>
      <c r="C1" t="s">
        <v>56</v>
      </c>
      <c r="D1" t="s">
        <v>1169</v>
      </c>
      <c r="E1" t="s">
        <v>1170</v>
      </c>
      <c r="F1" t="s">
        <v>1171</v>
      </c>
    </row>
    <row r="2" spans="1:12">
      <c r="B2" t="s">
        <v>1172</v>
      </c>
      <c r="C2" t="s">
        <v>1173</v>
      </c>
      <c r="D2" t="s">
        <v>1174</v>
      </c>
      <c r="E2" t="s">
        <v>1172</v>
      </c>
      <c r="F2" t="s">
        <v>1175</v>
      </c>
    </row>
    <row r="3" spans="1:12">
      <c r="B3" t="s">
        <v>1176</v>
      </c>
      <c r="C3" s="122" t="s">
        <v>1177</v>
      </c>
      <c r="D3" t="s">
        <v>1178</v>
      </c>
      <c r="E3" t="s">
        <v>1176</v>
      </c>
      <c r="F3" t="s">
        <v>1175</v>
      </c>
    </row>
    <row r="5" spans="1:12">
      <c r="B5">
        <f>$G5*B6</f>
        <v>7.5</v>
      </c>
      <c r="C5">
        <f>$G5*C6</f>
        <v>15</v>
      </c>
      <c r="D5">
        <f>$G5*D6</f>
        <v>22.5</v>
      </c>
      <c r="E5">
        <f>$G5*E6</f>
        <v>15</v>
      </c>
      <c r="F5">
        <f>$G5*F6</f>
        <v>15</v>
      </c>
      <c r="G5">
        <v>75</v>
      </c>
    </row>
    <row r="6" spans="1:12">
      <c r="B6" s="129">
        <v>0.1</v>
      </c>
      <c r="C6" s="129">
        <v>0.2</v>
      </c>
      <c r="D6" s="129">
        <v>0.3</v>
      </c>
      <c r="E6" s="129">
        <v>0.2</v>
      </c>
      <c r="F6" s="129">
        <v>0.2</v>
      </c>
      <c r="G6" s="129">
        <f>SUM(B6:F6)</f>
        <v>1</v>
      </c>
    </row>
    <row r="7" spans="1:12">
      <c r="B7" s="129"/>
      <c r="C7" s="129"/>
      <c r="D7" s="129"/>
      <c r="E7" s="129"/>
      <c r="F7" s="129"/>
      <c r="G7" s="129"/>
    </row>
    <row r="8" spans="1:12">
      <c r="A8" s="86" t="s">
        <v>1179</v>
      </c>
      <c r="B8">
        <v>0.2</v>
      </c>
      <c r="C8">
        <v>0.3</v>
      </c>
      <c r="D8">
        <v>0.35</v>
      </c>
      <c r="E8">
        <v>0.3</v>
      </c>
      <c r="F8">
        <v>0.26</v>
      </c>
      <c r="G8" s="129"/>
    </row>
    <row r="9" spans="1:12">
      <c r="A9" s="86" t="s">
        <v>1180</v>
      </c>
      <c r="B9">
        <v>0.1</v>
      </c>
      <c r="C9">
        <v>0.1</v>
      </c>
      <c r="D9">
        <v>0.15</v>
      </c>
      <c r="E9">
        <v>0.18</v>
      </c>
      <c r="F9">
        <v>0.2</v>
      </c>
      <c r="G9" s="129"/>
    </row>
    <row r="10" spans="1:12">
      <c r="A10" s="86" t="s">
        <v>1181</v>
      </c>
      <c r="B10">
        <v>0.06</v>
      </c>
      <c r="C10">
        <v>0.08</v>
      </c>
      <c r="D10">
        <v>0.12</v>
      </c>
      <c r="E10">
        <v>0.15</v>
      </c>
      <c r="F10">
        <v>0.12</v>
      </c>
      <c r="G10" s="129"/>
    </row>
    <row r="11" spans="1:12">
      <c r="A11" s="86" t="s">
        <v>1182</v>
      </c>
      <c r="B11">
        <f>B8+B10</f>
        <v>0.26</v>
      </c>
      <c r="C11">
        <f>C8+C10</f>
        <v>0.38</v>
      </c>
      <c r="D11">
        <f>D8+D10</f>
        <v>0.47</v>
      </c>
      <c r="E11">
        <f>E8+E10</f>
        <v>0.44999999999999996</v>
      </c>
      <c r="F11">
        <f>F8+F10</f>
        <v>0.38</v>
      </c>
    </row>
    <row r="12" spans="1:12">
      <c r="A12" s="86" t="s">
        <v>1183</v>
      </c>
      <c r="B12">
        <f>B9-B10</f>
        <v>4.0000000000000008E-2</v>
      </c>
      <c r="C12">
        <f>C9-C10</f>
        <v>2.0000000000000004E-2</v>
      </c>
      <c r="D12">
        <f>D9-D10</f>
        <v>0.03</v>
      </c>
      <c r="E12">
        <f>E9-E10</f>
        <v>0.03</v>
      </c>
      <c r="F12">
        <f>F9-F10</f>
        <v>8.0000000000000016E-2</v>
      </c>
    </row>
    <row r="13" spans="1:12">
      <c r="A13" s="86" t="s">
        <v>1184</v>
      </c>
      <c r="B13">
        <f>B11/(B11+B12)</f>
        <v>0.86666666666666659</v>
      </c>
      <c r="C13">
        <f>C11/(C11+C12)</f>
        <v>0.95</v>
      </c>
      <c r="D13">
        <f>D11/(D11+D12)</f>
        <v>0.94</v>
      </c>
      <c r="E13">
        <f>E11/(E11+E12)</f>
        <v>0.93749999999999989</v>
      </c>
      <c r="F13">
        <f>F11/(F11+F12)</f>
        <v>0.82608695652173914</v>
      </c>
      <c r="H13" s="129"/>
      <c r="I13" s="129"/>
      <c r="J13" s="129"/>
      <c r="K13" s="129"/>
      <c r="L13" s="129"/>
    </row>
    <row r="14" spans="1:12">
      <c r="A14" s="153" t="s">
        <v>1185</v>
      </c>
      <c r="B14" s="129">
        <f>B13/B12-(1-B13)/B11</f>
        <v>21.153846153846146</v>
      </c>
      <c r="C14" s="129">
        <f>C13/C12-(1-C13)/C11</f>
        <v>47.368421052631568</v>
      </c>
      <c r="D14" s="129">
        <f>D13/D12-(1-D13)/D11</f>
        <v>31.205673758865245</v>
      </c>
      <c r="E14" s="129">
        <f>E13/E12-(1-E13)/E11</f>
        <v>31.111111111111107</v>
      </c>
      <c r="F14" s="129">
        <f>F13/F12-(1-F13)/F11</f>
        <v>9.868421052631577</v>
      </c>
    </row>
    <row r="15" spans="1:12">
      <c r="A15" s="153" t="s">
        <v>1186</v>
      </c>
      <c r="B15" s="129">
        <f>B13*B11-(1-B13)*B12</f>
        <v>0.22</v>
      </c>
      <c r="C15" s="129">
        <f>C13*C11-(1-C13)*C12</f>
        <v>0.36</v>
      </c>
      <c r="D15" s="129">
        <f>D13*D11-(1-D13)*D12</f>
        <v>0.43999999999999995</v>
      </c>
      <c r="E15" s="129">
        <f>E13*E11-(1-E13)*E12</f>
        <v>0.41999999999999987</v>
      </c>
      <c r="F15" s="129">
        <f>F13*F11-(1-F13)*F12</f>
        <v>0.3</v>
      </c>
    </row>
    <row r="17" spans="1:15">
      <c r="A17">
        <v>2018</v>
      </c>
      <c r="C17">
        <v>1</v>
      </c>
      <c r="D17">
        <v>2</v>
      </c>
      <c r="E17">
        <v>3</v>
      </c>
      <c r="F17">
        <v>4</v>
      </c>
      <c r="G17">
        <v>5</v>
      </c>
      <c r="H17">
        <v>6</v>
      </c>
      <c r="I17">
        <v>7</v>
      </c>
      <c r="J17">
        <v>8</v>
      </c>
      <c r="K17">
        <v>9</v>
      </c>
      <c r="L17">
        <v>10</v>
      </c>
      <c r="M17">
        <v>11</v>
      </c>
      <c r="N17">
        <v>12</v>
      </c>
    </row>
    <row r="18" spans="1:15" s="108" customFormat="1">
      <c r="C18" s="108">
        <v>1.7600000000000001E-2</v>
      </c>
      <c r="D18" s="108">
        <v>-3.0099999999999998E-2</v>
      </c>
      <c r="E18" s="108">
        <v>-2.5100000000000001E-2</v>
      </c>
      <c r="F18" s="108">
        <v>-7.7999999999999996E-3</v>
      </c>
      <c r="G18" s="108">
        <v>4.4699999999999997E-2</v>
      </c>
      <c r="H18" s="108">
        <v>-4.8899999999999999E-2</v>
      </c>
      <c r="I18" s="108">
        <v>1.2200000000000001E-2</v>
      </c>
      <c r="J18" s="108">
        <v>-3.1800000000000002E-2</v>
      </c>
      <c r="K18" s="108">
        <v>-2.4E-2</v>
      </c>
      <c r="L18" s="108">
        <v>-1.1000000000000001E-3</v>
      </c>
      <c r="M18" s="108">
        <v>2.1299999999999999E-2</v>
      </c>
      <c r="N18" s="108">
        <v>-5.9299999999999999E-2</v>
      </c>
    </row>
    <row r="19" spans="1:15">
      <c r="C19" s="109">
        <f t="shared" ref="C19:N19" si="0">1+C18</f>
        <v>1.0176000000000001</v>
      </c>
      <c r="D19" s="109">
        <f t="shared" si="0"/>
        <v>0.96989999999999998</v>
      </c>
      <c r="E19" s="109">
        <f t="shared" si="0"/>
        <v>0.97489999999999999</v>
      </c>
      <c r="F19" s="109">
        <f t="shared" si="0"/>
        <v>0.99219999999999997</v>
      </c>
      <c r="G19" s="109">
        <f t="shared" si="0"/>
        <v>1.0447</v>
      </c>
      <c r="H19" s="109">
        <f t="shared" si="0"/>
        <v>0.95110000000000006</v>
      </c>
      <c r="I19" s="109">
        <f t="shared" si="0"/>
        <v>1.0122</v>
      </c>
      <c r="J19" s="109">
        <f t="shared" si="0"/>
        <v>0.96819999999999995</v>
      </c>
      <c r="K19" s="109">
        <f t="shared" si="0"/>
        <v>0.97599999999999998</v>
      </c>
      <c r="L19" s="109">
        <f t="shared" si="0"/>
        <v>0.99890000000000001</v>
      </c>
      <c r="M19" s="109">
        <f t="shared" si="0"/>
        <v>1.0213000000000001</v>
      </c>
      <c r="N19" s="109">
        <f t="shared" si="0"/>
        <v>0.94069999999999998</v>
      </c>
    </row>
    <row r="20" spans="1:15">
      <c r="C20" s="109">
        <f>PRODUCT(C19)*1-100%</f>
        <v>1.760000000000006E-2</v>
      </c>
      <c r="D20" s="109">
        <f t="shared" ref="D20:N20" si="1">(1+C20)*D19-1</f>
        <v>-1.3029760000000001E-2</v>
      </c>
      <c r="E20" s="109">
        <f t="shared" si="1"/>
        <v>-3.7802713024000067E-2</v>
      </c>
      <c r="F20" s="109">
        <f t="shared" si="1"/>
        <v>-4.5307851862412929E-2</v>
      </c>
      <c r="G20" s="109">
        <f t="shared" si="1"/>
        <v>-2.6331128406628102E-3</v>
      </c>
      <c r="H20" s="109">
        <f t="shared" si="1"/>
        <v>-5.1404353622754306E-2</v>
      </c>
      <c r="I20" s="109">
        <f t="shared" si="1"/>
        <v>-3.9831486736951915E-2</v>
      </c>
      <c r="J20" s="109">
        <f t="shared" si="1"/>
        <v>-7.0364845458716907E-2</v>
      </c>
      <c r="K20" s="109">
        <f t="shared" si="1"/>
        <v>-9.2676089167707754E-2</v>
      </c>
      <c r="L20" s="109">
        <f t="shared" si="1"/>
        <v>-9.3674145469623271E-2</v>
      </c>
      <c r="M20" s="109">
        <f t="shared" si="1"/>
        <v>-7.4369404768126146E-2</v>
      </c>
      <c r="N20" s="109">
        <f t="shared" si="1"/>
        <v>-0.12925929906537625</v>
      </c>
      <c r="O20" s="143">
        <f>(1+N20)*1</f>
        <v>0.87074070093462375</v>
      </c>
    </row>
    <row r="22" spans="1:15">
      <c r="A22">
        <v>2019</v>
      </c>
      <c r="C22">
        <v>1</v>
      </c>
      <c r="D22">
        <v>2</v>
      </c>
      <c r="E22">
        <v>3</v>
      </c>
      <c r="F22">
        <v>4</v>
      </c>
      <c r="G22">
        <v>5</v>
      </c>
      <c r="H22">
        <v>6</v>
      </c>
      <c r="I22">
        <v>7</v>
      </c>
      <c r="J22">
        <v>8</v>
      </c>
      <c r="K22">
        <v>9</v>
      </c>
      <c r="L22">
        <v>10</v>
      </c>
      <c r="M22">
        <v>11</v>
      </c>
      <c r="N22">
        <v>12</v>
      </c>
    </row>
    <row r="23" spans="1:15" s="108" customFormat="1">
      <c r="C23" s="108">
        <v>4.5400000000000003E-2</v>
      </c>
      <c r="D23" s="108">
        <v>0.19889999999999999</v>
      </c>
      <c r="E23" s="108">
        <v>5.4300000000000001E-2</v>
      </c>
      <c r="F23" s="108">
        <v>-1.9099999999999999E-2</v>
      </c>
      <c r="G23" s="108">
        <v>-6.59E-2</v>
      </c>
      <c r="H23" s="108">
        <v>3.8199999999999998E-2</v>
      </c>
      <c r="I23" s="108">
        <v>-1.8E-3</v>
      </c>
      <c r="J23" s="108">
        <v>-2.7400000000000001E-2</v>
      </c>
      <c r="K23" s="108">
        <v>7.3000000000000001E-3</v>
      </c>
      <c r="L23" s="108">
        <v>1.8700000000000001E-2</v>
      </c>
      <c r="M23" s="108">
        <v>1.8E-3</v>
      </c>
      <c r="N23" s="108">
        <v>7.6499999999999999E-2</v>
      </c>
    </row>
    <row r="24" spans="1:15">
      <c r="C24" s="109">
        <f t="shared" ref="C24:N24" si="2">1+C23</f>
        <v>1.0454000000000001</v>
      </c>
      <c r="D24" s="109">
        <f t="shared" si="2"/>
        <v>1.1989000000000001</v>
      </c>
      <c r="E24" s="109">
        <f t="shared" si="2"/>
        <v>1.0543</v>
      </c>
      <c r="F24" s="109">
        <f t="shared" si="2"/>
        <v>0.98089999999999999</v>
      </c>
      <c r="G24" s="109">
        <f t="shared" si="2"/>
        <v>0.93410000000000004</v>
      </c>
      <c r="H24" s="109">
        <f t="shared" si="2"/>
        <v>1.0382</v>
      </c>
      <c r="I24" s="109">
        <f t="shared" si="2"/>
        <v>0.99819999999999998</v>
      </c>
      <c r="J24" s="109">
        <f t="shared" si="2"/>
        <v>0.97260000000000002</v>
      </c>
      <c r="K24" s="109">
        <f t="shared" si="2"/>
        <v>1.0073000000000001</v>
      </c>
      <c r="L24" s="109">
        <f t="shared" si="2"/>
        <v>1.0186999999999999</v>
      </c>
      <c r="M24" s="109">
        <f t="shared" si="2"/>
        <v>1.0018</v>
      </c>
      <c r="N24" s="109">
        <f t="shared" si="2"/>
        <v>1.0765</v>
      </c>
    </row>
    <row r="25" spans="1:15">
      <c r="C25" s="109">
        <f>PRODUCT(C24)*1-100%</f>
        <v>4.5400000000000107E-2</v>
      </c>
      <c r="D25" s="109">
        <f t="shared" ref="D25:N25" si="3">(1+C25)*D24-1</f>
        <v>0.25333006000000013</v>
      </c>
      <c r="E25" s="109">
        <f t="shared" si="3"/>
        <v>0.32138588225800024</v>
      </c>
      <c r="F25" s="109">
        <f t="shared" si="3"/>
        <v>0.29614741190687233</v>
      </c>
      <c r="G25" s="109">
        <f t="shared" si="3"/>
        <v>0.21073129746220953</v>
      </c>
      <c r="H25" s="109">
        <f t="shared" si="3"/>
        <v>0.25698123302526588</v>
      </c>
      <c r="I25" s="109">
        <f t="shared" si="3"/>
        <v>0.25471866680582034</v>
      </c>
      <c r="J25" s="109">
        <f t="shared" si="3"/>
        <v>0.22033937533534087</v>
      </c>
      <c r="K25" s="109">
        <f t="shared" si="3"/>
        <v>0.22924785277528903</v>
      </c>
      <c r="L25" s="109">
        <f t="shared" si="3"/>
        <v>0.25223478762218687</v>
      </c>
      <c r="M25" s="109">
        <f t="shared" si="3"/>
        <v>0.25448881023990677</v>
      </c>
      <c r="N25" s="109">
        <f t="shared" si="3"/>
        <v>0.35045720422325966</v>
      </c>
      <c r="O25" s="143">
        <f>(1+N25)*O20</f>
        <v>1.1758980525875735</v>
      </c>
    </row>
    <row r="27" spans="1:15">
      <c r="A27">
        <v>2020</v>
      </c>
      <c r="C27">
        <v>1</v>
      </c>
      <c r="D27">
        <v>2</v>
      </c>
    </row>
    <row r="28" spans="1:15">
      <c r="A28" s="108"/>
      <c r="B28" s="108"/>
      <c r="C28" s="108">
        <v>-2.0899999999999998E-2</v>
      </c>
      <c r="D28" s="108">
        <v>0</v>
      </c>
    </row>
    <row r="29" spans="1:15">
      <c r="C29" s="109">
        <f>1+C28</f>
        <v>0.97909999999999997</v>
      </c>
      <c r="D29" s="109">
        <f>1+D28</f>
        <v>1</v>
      </c>
    </row>
    <row r="30" spans="1:15">
      <c r="C30" s="109">
        <f>PRODUCT(C29)*1-100%</f>
        <v>-2.090000000000003E-2</v>
      </c>
      <c r="D30" s="109">
        <v>0</v>
      </c>
      <c r="O30" s="143">
        <f>(1+D30)*O25</f>
        <v>1.1758980525875735</v>
      </c>
    </row>
    <row r="33" spans="1:8">
      <c r="A33" t="s">
        <v>1187</v>
      </c>
      <c r="C33">
        <f>C35+C34</f>
        <v>229.5</v>
      </c>
      <c r="D33">
        <f>D35+D34</f>
        <v>264</v>
      </c>
      <c r="E33" s="109">
        <f>D33/C33-1</f>
        <v>0.15032679738562083</v>
      </c>
    </row>
    <row r="34" spans="1:8">
      <c r="A34" t="s">
        <v>1188</v>
      </c>
      <c r="C34">
        <v>64.5</v>
      </c>
      <c r="D34">
        <v>74</v>
      </c>
      <c r="E34" s="109">
        <f>D34/C34-1</f>
        <v>0.1472868217054264</v>
      </c>
    </row>
    <row r="35" spans="1:8">
      <c r="A35" t="s">
        <v>1189</v>
      </c>
      <c r="C35">
        <v>165</v>
      </c>
      <c r="D35">
        <v>190</v>
      </c>
      <c r="E35" s="109">
        <f>D35/C35-1</f>
        <v>0.1515151515151516</v>
      </c>
    </row>
    <row r="36" spans="1:8">
      <c r="E36" s="109"/>
    </row>
    <row r="38" spans="1:8">
      <c r="C38">
        <v>205</v>
      </c>
      <c r="D38">
        <f>74+182+20</f>
        <v>276</v>
      </c>
      <c r="E38">
        <f>D33+20</f>
        <v>284</v>
      </c>
    </row>
    <row r="39" spans="1:8" ht="20" customHeight="1">
      <c r="A39" s="75"/>
      <c r="B39" s="75"/>
      <c r="C39" s="136" t="s">
        <v>1190</v>
      </c>
      <c r="D39" s="136" t="s">
        <v>1191</v>
      </c>
    </row>
    <row r="43" spans="1:8">
      <c r="C43" t="s">
        <v>1192</v>
      </c>
      <c r="D43" t="s">
        <v>1193</v>
      </c>
      <c r="E43" t="s">
        <v>1181</v>
      </c>
      <c r="F43" t="s">
        <v>1194</v>
      </c>
    </row>
    <row r="44" spans="1:8">
      <c r="A44" t="s">
        <v>1170</v>
      </c>
      <c r="B44" t="s">
        <v>1195</v>
      </c>
      <c r="C44">
        <v>19</v>
      </c>
      <c r="D44">
        <v>41</v>
      </c>
      <c r="E44">
        <v>15</v>
      </c>
      <c r="F44">
        <v>3</v>
      </c>
    </row>
    <row r="45" spans="1:8">
      <c r="C45" s="184">
        <f>C44+E44+F44</f>
        <v>37</v>
      </c>
      <c r="D45" s="184">
        <f>D44+E44+F44</f>
        <v>59</v>
      </c>
      <c r="G45">
        <f>(C45+C47)/2</f>
        <v>53</v>
      </c>
      <c r="H45">
        <f>(D45+D47)/2</f>
        <v>81</v>
      </c>
    </row>
    <row r="46" spans="1:8">
      <c r="B46" t="s">
        <v>1196</v>
      </c>
      <c r="C46">
        <v>51</v>
      </c>
      <c r="D46">
        <v>85</v>
      </c>
    </row>
    <row r="47" spans="1:8">
      <c r="C47">
        <f>C46+E44+F44</f>
        <v>69</v>
      </c>
      <c r="D47">
        <f>D46+E44+F44</f>
        <v>103</v>
      </c>
    </row>
    <row r="48" spans="1:8">
      <c r="A48" t="s">
        <v>1169</v>
      </c>
      <c r="B48" t="s">
        <v>1195</v>
      </c>
      <c r="C48">
        <v>32</v>
      </c>
      <c r="D48">
        <v>44</v>
      </c>
      <c r="E48">
        <v>15</v>
      </c>
      <c r="F48">
        <v>2</v>
      </c>
    </row>
    <row r="49" spans="1:8">
      <c r="C49" s="184">
        <f>C48+E48+F48</f>
        <v>49</v>
      </c>
      <c r="D49" s="184">
        <f>D48+E48+F48</f>
        <v>61</v>
      </c>
      <c r="G49">
        <f>(C49+C51)/2</f>
        <v>55</v>
      </c>
      <c r="H49">
        <f>(D49+D51)/2</f>
        <v>67</v>
      </c>
    </row>
    <row r="50" spans="1:8">
      <c r="B50" t="s">
        <v>1196</v>
      </c>
      <c r="C50">
        <v>44</v>
      </c>
      <c r="D50">
        <v>56</v>
      </c>
    </row>
    <row r="51" spans="1:8">
      <c r="C51">
        <f>C50+E48+F48</f>
        <v>61</v>
      </c>
      <c r="D51">
        <f>D50+E48+F48</f>
        <v>73</v>
      </c>
    </row>
    <row r="52" spans="1:8">
      <c r="A52" t="s">
        <v>182</v>
      </c>
      <c r="B52" t="s">
        <v>1195</v>
      </c>
      <c r="C52">
        <v>30</v>
      </c>
      <c r="D52">
        <v>40</v>
      </c>
      <c r="E52">
        <v>12</v>
      </c>
      <c r="F52">
        <v>5</v>
      </c>
    </row>
    <row r="53" spans="1:8">
      <c r="C53">
        <f>C52+E52+F52</f>
        <v>47</v>
      </c>
      <c r="D53">
        <f>D52+E52+F52</f>
        <v>57</v>
      </c>
      <c r="G53">
        <f>(C53+C55)/2</f>
        <v>41.5</v>
      </c>
      <c r="H53">
        <f>(D53+D55)/2</f>
        <v>53</v>
      </c>
    </row>
    <row r="54" spans="1:8">
      <c r="B54" t="s">
        <v>1196</v>
      </c>
      <c r="C54">
        <v>19</v>
      </c>
      <c r="D54">
        <v>32</v>
      </c>
    </row>
    <row r="55" spans="1:8">
      <c r="C55" s="184">
        <f>C54+E52+F52</f>
        <v>36</v>
      </c>
      <c r="D55" s="184">
        <f>D54+E52+F52</f>
        <v>49</v>
      </c>
    </row>
    <row r="59" spans="1:8">
      <c r="A59" t="s">
        <v>1197</v>
      </c>
      <c r="B59">
        <v>7.1</v>
      </c>
      <c r="C59">
        <v>270</v>
      </c>
      <c r="D59" s="111">
        <f t="shared" ref="D59:D71" si="4">C59/$B$59</f>
        <v>38.028169014084511</v>
      </c>
      <c r="F59">
        <f>B59*G59</f>
        <v>189.57</v>
      </c>
      <c r="G59">
        <v>26.7</v>
      </c>
    </row>
    <row r="60" spans="1:8">
      <c r="C60">
        <v>260</v>
      </c>
      <c r="D60" s="111">
        <f t="shared" si="4"/>
        <v>36.619718309859159</v>
      </c>
    </row>
    <row r="61" spans="1:8">
      <c r="C61">
        <v>250</v>
      </c>
      <c r="D61" s="111">
        <f t="shared" si="4"/>
        <v>35.211267605633807</v>
      </c>
    </row>
    <row r="62" spans="1:8">
      <c r="C62">
        <v>240</v>
      </c>
      <c r="D62" s="111">
        <f t="shared" si="4"/>
        <v>33.802816901408455</v>
      </c>
    </row>
    <row r="63" spans="1:8">
      <c r="C63">
        <v>230</v>
      </c>
      <c r="D63" s="111">
        <f t="shared" si="4"/>
        <v>32.394366197183103</v>
      </c>
    </row>
    <row r="64" spans="1:8">
      <c r="C64">
        <v>220</v>
      </c>
      <c r="D64" s="111">
        <f t="shared" si="4"/>
        <v>30.985915492957748</v>
      </c>
    </row>
    <row r="65" spans="3:4">
      <c r="C65">
        <v>210</v>
      </c>
      <c r="D65" s="111">
        <f t="shared" si="4"/>
        <v>29.577464788732396</v>
      </c>
    </row>
    <row r="66" spans="3:4">
      <c r="C66">
        <v>200</v>
      </c>
      <c r="D66" s="111">
        <f t="shared" si="4"/>
        <v>28.169014084507044</v>
      </c>
    </row>
    <row r="67" spans="3:4">
      <c r="C67">
        <v>190</v>
      </c>
      <c r="D67" s="111">
        <f t="shared" si="4"/>
        <v>26.760563380281692</v>
      </c>
    </row>
    <row r="68" spans="3:4">
      <c r="C68">
        <v>180</v>
      </c>
      <c r="D68" s="67">
        <f t="shared" si="4"/>
        <v>25.35211267605634</v>
      </c>
    </row>
    <row r="69" spans="3:4">
      <c r="C69">
        <v>170</v>
      </c>
      <c r="D69" s="111">
        <f t="shared" si="4"/>
        <v>23.943661971830988</v>
      </c>
    </row>
    <row r="70" spans="3:4">
      <c r="C70">
        <v>160</v>
      </c>
      <c r="D70" s="111">
        <f t="shared" si="4"/>
        <v>22.535211267605636</v>
      </c>
    </row>
    <row r="71" spans="3:4">
      <c r="C71">
        <v>150</v>
      </c>
      <c r="D71" s="111">
        <f t="shared" si="4"/>
        <v>21.126760563380284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11"/>
  <sheetViews>
    <sheetView topLeftCell="B2" zoomScale="137" workbookViewId="0">
      <pane ySplit="1" topLeftCell="A3" activePane="bottomLeft" state="frozen"/>
      <selection activeCell="A2" sqref="A2"/>
      <selection pane="bottomLeft" activeCell="AB8" sqref="AB8"/>
    </sheetView>
  </sheetViews>
  <sheetFormatPr baseColWidth="10" defaultRowHeight="16"/>
  <cols>
    <col min="11" max="11" width="10.83203125" style="184" customWidth="1"/>
    <col min="19" max="19" width="15.1640625" style="182" customWidth="1"/>
    <col min="22" max="22" width="10.83203125" style="184" customWidth="1"/>
    <col min="26" max="26" width="10.83203125" style="184" customWidth="1"/>
  </cols>
  <sheetData>
    <row r="1" spans="1:26">
      <c r="A1" s="199" t="s">
        <v>1198</v>
      </c>
      <c r="B1" s="199" t="s">
        <v>1199</v>
      </c>
      <c r="C1" s="199" t="s">
        <v>1200</v>
      </c>
      <c r="D1" s="199" t="s">
        <v>1201</v>
      </c>
      <c r="E1" s="199" t="s">
        <v>1202</v>
      </c>
      <c r="F1" s="199" t="s">
        <v>1203</v>
      </c>
      <c r="G1" s="181" t="s">
        <v>1204</v>
      </c>
      <c r="H1" s="199" t="s">
        <v>1205</v>
      </c>
      <c r="I1" s="199" t="s">
        <v>1206</v>
      </c>
      <c r="J1" s="181" t="s">
        <v>1207</v>
      </c>
      <c r="K1" s="201" t="s">
        <v>1208</v>
      </c>
      <c r="L1" s="181" t="s">
        <v>1209</v>
      </c>
      <c r="M1" s="199" t="s">
        <v>1210</v>
      </c>
      <c r="N1" s="181" t="s">
        <v>1211</v>
      </c>
      <c r="O1" s="181" t="s">
        <v>1212</v>
      </c>
      <c r="P1" s="181" t="s">
        <v>1213</v>
      </c>
      <c r="Q1" s="181" t="s">
        <v>1214</v>
      </c>
      <c r="R1" s="181" t="s">
        <v>1215</v>
      </c>
      <c r="S1" s="199" t="s">
        <v>1216</v>
      </c>
      <c r="T1" s="181" t="s">
        <v>1217</v>
      </c>
      <c r="U1" s="181" t="s">
        <v>1218</v>
      </c>
      <c r="V1" s="183" t="s">
        <v>1218</v>
      </c>
      <c r="W1" s="181" t="s">
        <v>1212</v>
      </c>
      <c r="X1" s="181" t="s">
        <v>1219</v>
      </c>
      <c r="Y1" s="199" t="s">
        <v>1220</v>
      </c>
      <c r="Z1" s="183"/>
    </row>
    <row r="2" spans="1:26">
      <c r="A2" s="200"/>
      <c r="B2" s="200"/>
      <c r="C2" s="200"/>
      <c r="D2" s="200"/>
      <c r="E2" s="200"/>
      <c r="F2" s="200"/>
      <c r="G2" s="181" t="s">
        <v>1221</v>
      </c>
      <c r="H2" s="200"/>
      <c r="I2" s="200"/>
      <c r="J2" s="181" t="s">
        <v>1222</v>
      </c>
      <c r="K2" s="202"/>
      <c r="L2" s="181" t="s">
        <v>1222</v>
      </c>
      <c r="M2" s="200"/>
      <c r="N2" s="181" t="s">
        <v>1222</v>
      </c>
      <c r="O2" s="181" t="s">
        <v>1223</v>
      </c>
      <c r="P2" s="181" t="s">
        <v>1223</v>
      </c>
      <c r="Q2" s="181" t="s">
        <v>1224</v>
      </c>
      <c r="R2" s="181" t="s">
        <v>1225</v>
      </c>
      <c r="S2" s="200"/>
      <c r="T2" s="181" t="s">
        <v>1226</v>
      </c>
      <c r="U2" s="181" t="s">
        <v>1227</v>
      </c>
      <c r="V2" s="183" t="s">
        <v>1228</v>
      </c>
      <c r="W2" s="181" t="s">
        <v>1229</v>
      </c>
      <c r="X2" s="181" t="s">
        <v>1230</v>
      </c>
      <c r="Y2" s="200"/>
      <c r="Z2" s="183" t="s">
        <v>1231</v>
      </c>
    </row>
    <row r="3" spans="1:26" ht="17" customHeight="1">
      <c r="A3" s="133">
        <v>113534</v>
      </c>
      <c r="B3" s="115" t="s">
        <v>1232</v>
      </c>
      <c r="C3" s="115">
        <v>107.03</v>
      </c>
      <c r="D3" s="125">
        <v>2.6200000000000001E-2</v>
      </c>
      <c r="E3" s="133" t="s">
        <v>1233</v>
      </c>
      <c r="F3" s="115">
        <v>15.6</v>
      </c>
      <c r="G3" s="125">
        <v>0.10009999999999999</v>
      </c>
      <c r="H3" s="115">
        <v>1.78</v>
      </c>
      <c r="I3" s="123" t="s">
        <v>1234</v>
      </c>
      <c r="J3" s="115">
        <v>102.09</v>
      </c>
      <c r="K3" s="116">
        <v>4.8399999999999999E-2</v>
      </c>
      <c r="L3" s="133" t="s">
        <v>1235</v>
      </c>
      <c r="M3" s="115" t="s">
        <v>1236</v>
      </c>
      <c r="N3" s="133" t="s">
        <v>1235</v>
      </c>
      <c r="O3" s="115">
        <v>10.7</v>
      </c>
      <c r="P3" s="115">
        <v>19.86</v>
      </c>
      <c r="Q3" s="116">
        <v>0.187</v>
      </c>
      <c r="R3" s="116">
        <v>2E-3</v>
      </c>
      <c r="S3" s="117">
        <v>45755</v>
      </c>
      <c r="T3" s="115">
        <v>5.29</v>
      </c>
      <c r="U3" s="116">
        <v>1.4500000000000001E-2</v>
      </c>
      <c r="V3" s="116">
        <v>9.1999999999999998E-3</v>
      </c>
      <c r="W3" s="133" t="s">
        <v>1235</v>
      </c>
      <c r="X3" s="115">
        <v>17354.61</v>
      </c>
      <c r="Y3" s="133" t="s">
        <v>1237</v>
      </c>
      <c r="Z3" s="127">
        <f t="shared" ref="Z3:Z66" si="0">C3+K3*100</f>
        <v>111.87</v>
      </c>
    </row>
    <row r="4" spans="1:26" ht="17" customHeight="1">
      <c r="A4" s="133">
        <v>123034</v>
      </c>
      <c r="B4" s="140" t="s">
        <v>1238</v>
      </c>
      <c r="C4" s="115">
        <v>104.526</v>
      </c>
      <c r="D4" s="125">
        <v>5.1000000000000004E-3</v>
      </c>
      <c r="E4" s="133" t="s">
        <v>1239</v>
      </c>
      <c r="F4" s="115">
        <v>7.67</v>
      </c>
      <c r="G4" s="125">
        <v>3.8999999999999998E-3</v>
      </c>
      <c r="H4" s="115">
        <v>2.5299999999999998</v>
      </c>
      <c r="I4" s="115">
        <v>7.98</v>
      </c>
      <c r="J4" s="115">
        <v>96.12</v>
      </c>
      <c r="K4" s="118">
        <v>8.7499999999999994E-2</v>
      </c>
      <c r="L4" s="133" t="s">
        <v>1235</v>
      </c>
      <c r="M4" s="115" t="s">
        <v>1240</v>
      </c>
      <c r="N4" s="133" t="s">
        <v>1235</v>
      </c>
      <c r="O4" s="115">
        <v>5.59</v>
      </c>
      <c r="P4" s="115">
        <v>10.37</v>
      </c>
      <c r="Q4" s="116">
        <v>0.115</v>
      </c>
      <c r="R4" s="115" t="s">
        <v>1241</v>
      </c>
      <c r="S4" s="117">
        <v>45964</v>
      </c>
      <c r="T4" s="115">
        <v>5.8630000000000004</v>
      </c>
      <c r="U4" s="116">
        <v>2.2100000000000002E-2</v>
      </c>
      <c r="V4" s="116">
        <v>1.6400000000000001E-2</v>
      </c>
      <c r="W4" s="133" t="s">
        <v>1235</v>
      </c>
      <c r="X4" s="115">
        <v>259.10000000000002</v>
      </c>
      <c r="Y4" s="133" t="s">
        <v>1242</v>
      </c>
      <c r="Z4" s="127">
        <f t="shared" si="0"/>
        <v>113.276</v>
      </c>
    </row>
    <row r="5" spans="1:26" ht="17" customHeight="1">
      <c r="A5" s="133">
        <v>113546</v>
      </c>
      <c r="B5" s="115" t="s">
        <v>1243</v>
      </c>
      <c r="C5" s="115">
        <v>101.88</v>
      </c>
      <c r="D5" s="124">
        <v>-2.0000000000000001E-4</v>
      </c>
      <c r="E5" s="133" t="s">
        <v>1244</v>
      </c>
      <c r="F5" s="115">
        <v>16.61</v>
      </c>
      <c r="G5" s="125">
        <v>1.03E-2</v>
      </c>
      <c r="H5" s="115">
        <v>2.59</v>
      </c>
      <c r="I5" s="115">
        <v>18.45</v>
      </c>
      <c r="J5" s="115">
        <v>90.03</v>
      </c>
      <c r="K5" s="118">
        <v>0.13159999999999999</v>
      </c>
      <c r="L5" s="133" t="s">
        <v>1235</v>
      </c>
      <c r="M5" s="115" t="s">
        <v>1240</v>
      </c>
      <c r="N5" s="133" t="s">
        <v>1235</v>
      </c>
      <c r="O5" s="115">
        <v>12.91</v>
      </c>
      <c r="P5" s="115">
        <v>23.98</v>
      </c>
      <c r="Q5" s="116">
        <v>0.13800000000000001</v>
      </c>
      <c r="R5" s="115" t="s">
        <v>1241</v>
      </c>
      <c r="S5" s="117">
        <v>45952</v>
      </c>
      <c r="T5" s="115">
        <v>5.83</v>
      </c>
      <c r="U5" s="116">
        <v>3.0800000000000001E-2</v>
      </c>
      <c r="V5" s="116">
        <v>2.4299999999999999E-2</v>
      </c>
      <c r="W5" s="133" t="s">
        <v>1235</v>
      </c>
      <c r="X5" s="115">
        <v>775.09</v>
      </c>
      <c r="Y5" s="133" t="s">
        <v>1237</v>
      </c>
      <c r="Z5" s="127">
        <f t="shared" si="0"/>
        <v>115.03999999999999</v>
      </c>
    </row>
    <row r="6" spans="1:26" ht="17" customHeight="1">
      <c r="A6" s="133">
        <v>128076</v>
      </c>
      <c r="B6" s="140" t="s">
        <v>1245</v>
      </c>
      <c r="C6" s="115">
        <v>110.45</v>
      </c>
      <c r="D6" s="124">
        <v>-4.0000000000000002E-4</v>
      </c>
      <c r="E6" s="133" t="s">
        <v>1246</v>
      </c>
      <c r="F6" s="115">
        <v>15.79</v>
      </c>
      <c r="G6" s="124">
        <v>-1.44E-2</v>
      </c>
      <c r="H6" s="115">
        <v>1.47</v>
      </c>
      <c r="I6" s="115">
        <v>14.96</v>
      </c>
      <c r="J6" s="115">
        <v>105.55</v>
      </c>
      <c r="K6" s="118">
        <v>4.6399999999999997E-2</v>
      </c>
      <c r="L6" s="133" t="s">
        <v>1235</v>
      </c>
      <c r="M6" s="115" t="s">
        <v>1247</v>
      </c>
      <c r="N6" s="133" t="s">
        <v>1235</v>
      </c>
      <c r="O6" s="115">
        <v>10.47</v>
      </c>
      <c r="P6" s="115">
        <v>19.45</v>
      </c>
      <c r="Q6" s="116">
        <v>7.6999999999999999E-2</v>
      </c>
      <c r="R6" s="115" t="s">
        <v>1241</v>
      </c>
      <c r="S6" s="117">
        <v>45944</v>
      </c>
      <c r="T6" s="115">
        <v>5.8079999999999998</v>
      </c>
      <c r="U6" s="116">
        <v>7.6E-3</v>
      </c>
      <c r="V6" s="116">
        <v>2.8E-3</v>
      </c>
      <c r="W6" s="133" t="s">
        <v>1235</v>
      </c>
      <c r="X6" s="115">
        <v>384.68</v>
      </c>
      <c r="Y6" s="133" t="s">
        <v>1242</v>
      </c>
      <c r="Z6" s="127">
        <f t="shared" si="0"/>
        <v>115.09</v>
      </c>
    </row>
    <row r="7" spans="1:26" ht="17" customHeight="1">
      <c r="A7" s="133">
        <v>128049</v>
      </c>
      <c r="B7" s="140" t="s">
        <v>1248</v>
      </c>
      <c r="C7" s="115">
        <v>105.55</v>
      </c>
      <c r="D7" s="125">
        <v>5.1999999999999998E-3</v>
      </c>
      <c r="E7" s="133" t="s">
        <v>1249</v>
      </c>
      <c r="F7" s="115">
        <v>7.22</v>
      </c>
      <c r="G7" s="125">
        <v>9.7999999999999997E-3</v>
      </c>
      <c r="H7" s="115">
        <v>1.49</v>
      </c>
      <c r="I7" s="115">
        <v>7.52</v>
      </c>
      <c r="J7" s="115">
        <v>96.01</v>
      </c>
      <c r="K7" s="116">
        <v>9.9400000000000002E-2</v>
      </c>
      <c r="L7" s="133" t="s">
        <v>1235</v>
      </c>
      <c r="M7" s="115" t="s">
        <v>1247</v>
      </c>
      <c r="N7" s="133" t="s">
        <v>1235</v>
      </c>
      <c r="O7" s="115">
        <v>5.26</v>
      </c>
      <c r="P7" s="115">
        <v>9.7799999999999994</v>
      </c>
      <c r="Q7" s="116">
        <v>0.17799999999999999</v>
      </c>
      <c r="R7" s="116">
        <v>9.5399999999999999E-2</v>
      </c>
      <c r="S7" s="117">
        <v>45623</v>
      </c>
      <c r="T7" s="115">
        <v>4.9290000000000003</v>
      </c>
      <c r="U7" s="116">
        <v>1.83E-2</v>
      </c>
      <c r="V7" s="116">
        <v>1.26E-2</v>
      </c>
      <c r="W7" s="133" t="s">
        <v>1235</v>
      </c>
      <c r="X7" s="115">
        <v>513.14</v>
      </c>
      <c r="Y7" s="133" t="s">
        <v>1242</v>
      </c>
      <c r="Z7" s="127">
        <f t="shared" si="0"/>
        <v>115.49</v>
      </c>
    </row>
    <row r="8" spans="1:26" ht="17" customHeight="1">
      <c r="A8" s="133">
        <v>113549</v>
      </c>
      <c r="B8" s="140" t="s">
        <v>1250</v>
      </c>
      <c r="C8" s="115">
        <v>105.94</v>
      </c>
      <c r="D8" s="125">
        <v>3.2000000000000002E-3</v>
      </c>
      <c r="E8" s="133" t="s">
        <v>1251</v>
      </c>
      <c r="F8" s="115">
        <v>8.69</v>
      </c>
      <c r="G8" s="125">
        <v>2.3E-3</v>
      </c>
      <c r="H8" s="115">
        <v>1.68</v>
      </c>
      <c r="I8" s="115">
        <v>8.99</v>
      </c>
      <c r="J8" s="115">
        <v>96.66</v>
      </c>
      <c r="K8" s="118">
        <v>9.6000000000000002E-2</v>
      </c>
      <c r="L8" s="133" t="s">
        <v>1235</v>
      </c>
      <c r="M8" s="115" t="s">
        <v>1236</v>
      </c>
      <c r="N8" s="133" t="s">
        <v>1235</v>
      </c>
      <c r="O8" s="115">
        <v>6.29</v>
      </c>
      <c r="P8" s="115">
        <v>11.69</v>
      </c>
      <c r="Q8" s="116">
        <v>0.224</v>
      </c>
      <c r="R8" s="115" t="s">
        <v>1241</v>
      </c>
      <c r="S8" s="117">
        <v>45975</v>
      </c>
      <c r="T8" s="115">
        <v>5.8929999999999998</v>
      </c>
      <c r="U8" s="116">
        <v>1.44E-2</v>
      </c>
      <c r="V8" s="116">
        <v>9.7000000000000003E-3</v>
      </c>
      <c r="W8" s="133" t="s">
        <v>1235</v>
      </c>
      <c r="X8" s="115">
        <v>398.22</v>
      </c>
      <c r="Y8" s="133" t="s">
        <v>1242</v>
      </c>
      <c r="Z8" s="127">
        <f t="shared" si="0"/>
        <v>115.53999999999999</v>
      </c>
    </row>
    <row r="9" spans="1:26" ht="17" customHeight="1">
      <c r="A9" s="133">
        <v>113536</v>
      </c>
      <c r="B9" s="140" t="s">
        <v>1252</v>
      </c>
      <c r="C9" s="115">
        <v>109.47</v>
      </c>
      <c r="D9" s="125">
        <v>2.8999999999999998E-3</v>
      </c>
      <c r="E9" s="133" t="s">
        <v>1253</v>
      </c>
      <c r="F9" s="115">
        <v>20.25</v>
      </c>
      <c r="G9" s="124">
        <v>-2.5000000000000001E-3</v>
      </c>
      <c r="H9" s="115">
        <v>2.97</v>
      </c>
      <c r="I9" s="115">
        <v>19.75</v>
      </c>
      <c r="J9" s="115">
        <v>102.53</v>
      </c>
      <c r="K9" s="116">
        <v>6.7699999999999996E-2</v>
      </c>
      <c r="L9" s="133" t="s">
        <v>1235</v>
      </c>
      <c r="M9" s="115" t="s">
        <v>1236</v>
      </c>
      <c r="N9" s="133" t="s">
        <v>1235</v>
      </c>
      <c r="O9" s="115">
        <v>13.82</v>
      </c>
      <c r="P9" s="115">
        <v>25.68</v>
      </c>
      <c r="Q9" s="116">
        <v>0.106</v>
      </c>
      <c r="R9" s="115" t="s">
        <v>1241</v>
      </c>
      <c r="S9" s="117">
        <v>45807</v>
      </c>
      <c r="T9" s="115">
        <v>5.4329999999999998</v>
      </c>
      <c r="U9" s="116">
        <v>9.5999999999999992E-3</v>
      </c>
      <c r="V9" s="116">
        <v>4.5999999999999999E-3</v>
      </c>
      <c r="W9" s="133" t="s">
        <v>1235</v>
      </c>
      <c r="X9" s="115">
        <v>116.53</v>
      </c>
      <c r="Y9" s="133" t="s">
        <v>1242</v>
      </c>
      <c r="Z9" s="127">
        <f t="shared" si="0"/>
        <v>116.24</v>
      </c>
    </row>
    <row r="10" spans="1:26" ht="17" customHeight="1">
      <c r="A10" s="133">
        <v>128066</v>
      </c>
      <c r="B10" s="140" t="s">
        <v>1254</v>
      </c>
      <c r="C10" s="115">
        <v>113.1</v>
      </c>
      <c r="D10" s="124">
        <v>-4.4999999999999997E-3</v>
      </c>
      <c r="E10" s="133" t="s">
        <v>1255</v>
      </c>
      <c r="F10" s="115">
        <v>16.18</v>
      </c>
      <c r="G10" s="124">
        <v>-1.04E-2</v>
      </c>
      <c r="H10" s="115">
        <v>1.84</v>
      </c>
      <c r="I10" s="123" t="s">
        <v>1256</v>
      </c>
      <c r="J10" s="115">
        <v>109.32</v>
      </c>
      <c r="K10" s="116">
        <v>3.4599999999999999E-2</v>
      </c>
      <c r="L10" s="133" t="s">
        <v>1235</v>
      </c>
      <c r="M10" s="115" t="s">
        <v>1247</v>
      </c>
      <c r="N10" s="133" t="s">
        <v>1235</v>
      </c>
      <c r="O10" s="115">
        <v>10.36</v>
      </c>
      <c r="P10" s="115">
        <v>19.239999999999998</v>
      </c>
      <c r="Q10" s="116">
        <v>0.16500000000000001</v>
      </c>
      <c r="R10" s="115" t="s">
        <v>1241</v>
      </c>
      <c r="S10" s="117">
        <v>45764</v>
      </c>
      <c r="T10" s="115">
        <v>5.3150000000000004</v>
      </c>
      <c r="U10" s="116">
        <v>8.2000000000000007E-3</v>
      </c>
      <c r="V10" s="116">
        <v>2.2000000000000001E-3</v>
      </c>
      <c r="W10" s="133" t="s">
        <v>1235</v>
      </c>
      <c r="X10" s="115">
        <v>495.71</v>
      </c>
      <c r="Y10" s="133" t="s">
        <v>1242</v>
      </c>
      <c r="Z10" s="127">
        <f t="shared" si="0"/>
        <v>116.55999999999999</v>
      </c>
    </row>
    <row r="11" spans="1:26" ht="17" customHeight="1">
      <c r="A11" s="133">
        <v>128025</v>
      </c>
      <c r="B11" s="140" t="s">
        <v>1257</v>
      </c>
      <c r="C11" s="115">
        <v>112.39700000000001</v>
      </c>
      <c r="D11" s="125">
        <v>3.8E-3</v>
      </c>
      <c r="E11" s="133" t="s">
        <v>1258</v>
      </c>
      <c r="F11" s="115">
        <v>16.66</v>
      </c>
      <c r="G11" s="125">
        <v>5.9999999999999995E-4</v>
      </c>
      <c r="H11" s="115">
        <v>3</v>
      </c>
      <c r="I11" s="123" t="s">
        <v>1259</v>
      </c>
      <c r="J11" s="115">
        <v>107.83</v>
      </c>
      <c r="K11" s="116">
        <v>4.24E-2</v>
      </c>
      <c r="L11" s="133" t="s">
        <v>1235</v>
      </c>
      <c r="M11" s="115" t="s">
        <v>1247</v>
      </c>
      <c r="N11" s="133" t="s">
        <v>1235</v>
      </c>
      <c r="O11" s="115">
        <v>10.81</v>
      </c>
      <c r="P11" s="115">
        <v>20.09</v>
      </c>
      <c r="Q11" s="116">
        <v>0.10100000000000001</v>
      </c>
      <c r="R11" s="116">
        <v>2.76E-2</v>
      </c>
      <c r="S11" s="117">
        <v>45266</v>
      </c>
      <c r="T11" s="115">
        <v>3.9510000000000001</v>
      </c>
      <c r="U11" s="116">
        <v>-6.0000000000000001E-3</v>
      </c>
      <c r="V11" s="116">
        <v>-1.06E-2</v>
      </c>
      <c r="W11" s="133" t="s">
        <v>1235</v>
      </c>
      <c r="X11" s="115">
        <v>81.59</v>
      </c>
      <c r="Y11" s="133" t="s">
        <v>1242</v>
      </c>
      <c r="Z11" s="127">
        <f t="shared" si="0"/>
        <v>116.637</v>
      </c>
    </row>
    <row r="12" spans="1:26" ht="17" customHeight="1">
      <c r="A12" s="133">
        <v>123030</v>
      </c>
      <c r="B12" s="115" t="s">
        <v>1260</v>
      </c>
      <c r="C12" s="115">
        <v>106.41</v>
      </c>
      <c r="D12" s="125">
        <v>3.3999999999999998E-3</v>
      </c>
      <c r="E12" s="133" t="s">
        <v>1261</v>
      </c>
      <c r="F12" s="115">
        <v>5.5</v>
      </c>
      <c r="G12" s="125">
        <v>7.3000000000000001E-3</v>
      </c>
      <c r="H12" s="115">
        <v>0.93</v>
      </c>
      <c r="I12" s="115">
        <v>5.7</v>
      </c>
      <c r="J12" s="115">
        <v>96.49</v>
      </c>
      <c r="K12" s="118">
        <v>0.1028</v>
      </c>
      <c r="L12" s="133" t="s">
        <v>1235</v>
      </c>
      <c r="M12" s="115" t="s">
        <v>1247</v>
      </c>
      <c r="N12" s="133" t="s">
        <v>1235</v>
      </c>
      <c r="O12" s="115">
        <v>3.99</v>
      </c>
      <c r="P12" s="115">
        <v>7.41</v>
      </c>
      <c r="Q12" s="116">
        <v>0.16300000000000001</v>
      </c>
      <c r="R12" s="115" t="s">
        <v>1241</v>
      </c>
      <c r="S12" s="117">
        <v>45888</v>
      </c>
      <c r="T12" s="115">
        <v>5.6550000000000002</v>
      </c>
      <c r="U12" s="116">
        <v>2.2700000000000001E-2</v>
      </c>
      <c r="V12" s="116">
        <v>1.6299999999999999E-2</v>
      </c>
      <c r="W12" s="133" t="s">
        <v>1235</v>
      </c>
      <c r="X12" s="115">
        <v>39.39</v>
      </c>
      <c r="Y12" s="133" t="s">
        <v>1237</v>
      </c>
      <c r="Z12" s="127">
        <f t="shared" si="0"/>
        <v>116.69</v>
      </c>
    </row>
    <row r="13" spans="1:26" ht="17" customHeight="1">
      <c r="A13" s="133">
        <v>128053</v>
      </c>
      <c r="B13" s="115" t="s">
        <v>1262</v>
      </c>
      <c r="C13" s="115">
        <v>104.62</v>
      </c>
      <c r="D13" s="125">
        <v>5.0000000000000001E-3</v>
      </c>
      <c r="E13" s="133" t="s">
        <v>1263</v>
      </c>
      <c r="F13" s="115">
        <v>4.55</v>
      </c>
      <c r="G13" s="125">
        <v>4.4000000000000003E-3</v>
      </c>
      <c r="H13" s="115">
        <v>1.37</v>
      </c>
      <c r="I13" s="115">
        <v>4.8899999999999997</v>
      </c>
      <c r="J13" s="115">
        <v>93.05</v>
      </c>
      <c r="K13" s="116">
        <v>0.12429999999999999</v>
      </c>
      <c r="L13" s="133" t="s">
        <v>1235</v>
      </c>
      <c r="M13" s="115" t="s">
        <v>1236</v>
      </c>
      <c r="N13" s="133" t="s">
        <v>1235</v>
      </c>
      <c r="O13" s="115">
        <v>3.42</v>
      </c>
      <c r="P13" s="115">
        <v>6.36</v>
      </c>
      <c r="Q13" s="116">
        <v>0.23300000000000001</v>
      </c>
      <c r="R13" s="116">
        <v>3.3E-3</v>
      </c>
      <c r="S13" s="117">
        <v>45702</v>
      </c>
      <c r="T13" s="115">
        <v>5.1449999999999996</v>
      </c>
      <c r="U13" s="116">
        <v>1.95E-2</v>
      </c>
      <c r="V13" s="116">
        <v>1.4E-2</v>
      </c>
      <c r="W13" s="133" t="s">
        <v>1235</v>
      </c>
      <c r="X13" s="115">
        <v>585</v>
      </c>
      <c r="Y13" s="133" t="s">
        <v>1237</v>
      </c>
      <c r="Z13" s="127">
        <f t="shared" si="0"/>
        <v>117.05000000000001</v>
      </c>
    </row>
    <row r="14" spans="1:26" ht="17" customHeight="1">
      <c r="A14" s="133">
        <v>123026</v>
      </c>
      <c r="B14" s="115" t="s">
        <v>1264</v>
      </c>
      <c r="C14" s="115">
        <v>108.5</v>
      </c>
      <c r="D14" s="116">
        <v>0</v>
      </c>
      <c r="E14" s="133" t="s">
        <v>1265</v>
      </c>
      <c r="F14" s="115">
        <v>12.29</v>
      </c>
      <c r="G14" s="116">
        <v>0</v>
      </c>
      <c r="H14" s="115">
        <v>2.34</v>
      </c>
      <c r="I14" s="115">
        <v>12.31</v>
      </c>
      <c r="J14" s="115">
        <v>99.84</v>
      </c>
      <c r="K14" s="116">
        <v>8.6699999999999999E-2</v>
      </c>
      <c r="L14" s="133" t="s">
        <v>1235</v>
      </c>
      <c r="M14" s="115" t="s">
        <v>1247</v>
      </c>
      <c r="N14" s="133" t="s">
        <v>1235</v>
      </c>
      <c r="O14" s="115">
        <v>8.6199999999999992</v>
      </c>
      <c r="P14" s="115">
        <v>16</v>
      </c>
      <c r="Q14" s="116">
        <v>0.14699999999999999</v>
      </c>
      <c r="R14" s="115" t="s">
        <v>1241</v>
      </c>
      <c r="S14" s="117">
        <v>45453</v>
      </c>
      <c r="T14" s="115">
        <v>4.4630000000000001</v>
      </c>
      <c r="U14" s="116">
        <v>5.4000000000000003E-3</v>
      </c>
      <c r="V14" s="116">
        <v>8.0000000000000004E-4</v>
      </c>
      <c r="W14" s="133" t="s">
        <v>1235</v>
      </c>
      <c r="X14" s="115">
        <v>38.409999999999997</v>
      </c>
      <c r="Y14" s="133" t="s">
        <v>1237</v>
      </c>
      <c r="Z14" s="127">
        <f t="shared" si="0"/>
        <v>117.17</v>
      </c>
    </row>
    <row r="15" spans="1:26" ht="17" customHeight="1">
      <c r="A15" s="133">
        <v>110058</v>
      </c>
      <c r="B15" s="140" t="s">
        <v>1266</v>
      </c>
      <c r="C15" s="115">
        <v>102.75</v>
      </c>
      <c r="D15" s="125">
        <v>8.8999999999999999E-3</v>
      </c>
      <c r="E15" s="133" t="s">
        <v>1267</v>
      </c>
      <c r="F15" s="115">
        <v>4.58</v>
      </c>
      <c r="G15" s="116">
        <v>0</v>
      </c>
      <c r="H15" s="115">
        <v>2.06</v>
      </c>
      <c r="I15" s="123" t="s">
        <v>1268</v>
      </c>
      <c r="J15" s="115">
        <v>89.8</v>
      </c>
      <c r="K15" s="116">
        <v>0.14419999999999999</v>
      </c>
      <c r="L15" s="133" t="s">
        <v>1235</v>
      </c>
      <c r="M15" s="115" t="s">
        <v>1236</v>
      </c>
      <c r="N15" s="133" t="s">
        <v>1235</v>
      </c>
      <c r="O15" s="115">
        <v>3.57</v>
      </c>
      <c r="P15" s="115">
        <v>6.63</v>
      </c>
      <c r="Q15" s="116">
        <v>0.17199999999999999</v>
      </c>
      <c r="R15" s="116">
        <v>5.0000000000000001E-4</v>
      </c>
      <c r="S15" s="117">
        <v>45762</v>
      </c>
      <c r="T15" s="115">
        <v>5.31</v>
      </c>
      <c r="U15" s="116">
        <v>2.24E-2</v>
      </c>
      <c r="V15" s="116">
        <v>1.7100000000000001E-2</v>
      </c>
      <c r="W15" s="133" t="s">
        <v>1235</v>
      </c>
      <c r="X15" s="115">
        <v>850.73</v>
      </c>
      <c r="Y15" s="133" t="s">
        <v>1242</v>
      </c>
      <c r="Z15" s="127">
        <f t="shared" si="0"/>
        <v>117.17</v>
      </c>
    </row>
    <row r="16" spans="1:26" ht="17" customHeight="1">
      <c r="A16" s="133">
        <v>128079</v>
      </c>
      <c r="B16" s="140" t="s">
        <v>1269</v>
      </c>
      <c r="C16" s="115">
        <v>127.56</v>
      </c>
      <c r="D16" s="124">
        <v>-3.3999999999999998E-3</v>
      </c>
      <c r="E16" s="133" t="s">
        <v>1270</v>
      </c>
      <c r="F16" s="115">
        <v>19.260000000000002</v>
      </c>
      <c r="G16" s="124">
        <v>-2.23E-2</v>
      </c>
      <c r="H16" s="115">
        <v>5.89</v>
      </c>
      <c r="I16" s="115">
        <v>13.54</v>
      </c>
      <c r="J16" s="115">
        <v>142.25</v>
      </c>
      <c r="K16" s="118">
        <v>-0.1033</v>
      </c>
      <c r="L16" s="133" t="s">
        <v>1235</v>
      </c>
      <c r="M16" s="115" t="s">
        <v>1240</v>
      </c>
      <c r="N16" s="133" t="s">
        <v>1235</v>
      </c>
      <c r="O16" s="115">
        <v>9.48</v>
      </c>
      <c r="P16" s="115">
        <v>17.600000000000001</v>
      </c>
      <c r="Q16" s="116">
        <v>5.7000000000000002E-2</v>
      </c>
      <c r="R16" s="115" t="s">
        <v>1241</v>
      </c>
      <c r="S16" s="117">
        <v>45951</v>
      </c>
      <c r="T16" s="115">
        <v>5.827</v>
      </c>
      <c r="U16" s="116">
        <v>-1.37E-2</v>
      </c>
      <c r="V16" s="116">
        <v>-1.89E-2</v>
      </c>
      <c r="W16" s="133" t="s">
        <v>1235</v>
      </c>
      <c r="X16" s="115">
        <v>1140.6199999999999</v>
      </c>
      <c r="Y16" s="133" t="s">
        <v>1242</v>
      </c>
      <c r="Z16" s="127">
        <f t="shared" si="0"/>
        <v>117.23</v>
      </c>
    </row>
    <row r="17" spans="1:26" ht="17" customHeight="1">
      <c r="A17" s="133">
        <v>113514</v>
      </c>
      <c r="B17" s="115" t="s">
        <v>1271</v>
      </c>
      <c r="C17" s="115">
        <v>110.01</v>
      </c>
      <c r="D17" s="124">
        <v>-4.3E-3</v>
      </c>
      <c r="E17" s="133" t="s">
        <v>1272</v>
      </c>
      <c r="F17" s="115">
        <v>4.97</v>
      </c>
      <c r="G17" s="124">
        <v>-4.0000000000000001E-3</v>
      </c>
      <c r="H17" s="115">
        <v>3.16</v>
      </c>
      <c r="I17" s="115">
        <v>4.8499999999999996</v>
      </c>
      <c r="J17" s="115">
        <v>102.47</v>
      </c>
      <c r="K17" s="116">
        <v>7.3599999999999999E-2</v>
      </c>
      <c r="L17" s="133" t="s">
        <v>1235</v>
      </c>
      <c r="M17" s="115" t="s">
        <v>1240</v>
      </c>
      <c r="N17" s="133" t="s">
        <v>1235</v>
      </c>
      <c r="O17" s="115">
        <v>3.4</v>
      </c>
      <c r="P17" s="115">
        <v>6.3</v>
      </c>
      <c r="Q17" s="116">
        <v>4.3999999999999997E-2</v>
      </c>
      <c r="R17" s="116">
        <v>3.7499999999999999E-2</v>
      </c>
      <c r="S17" s="117">
        <v>45127</v>
      </c>
      <c r="T17" s="115">
        <v>3.57</v>
      </c>
      <c r="U17" s="116">
        <v>2.8E-3</v>
      </c>
      <c r="V17" s="116">
        <v>-2.8999999999999998E-3</v>
      </c>
      <c r="W17" s="133" t="s">
        <v>1235</v>
      </c>
      <c r="X17" s="115">
        <v>292.26</v>
      </c>
      <c r="Y17" s="133" t="s">
        <v>1237</v>
      </c>
      <c r="Z17" s="127">
        <f t="shared" si="0"/>
        <v>117.37</v>
      </c>
    </row>
    <row r="18" spans="1:26" ht="17" customHeight="1">
      <c r="A18" s="133">
        <v>128081</v>
      </c>
      <c r="B18" s="115" t="s">
        <v>1273</v>
      </c>
      <c r="C18" s="115">
        <v>109.07299999999999</v>
      </c>
      <c r="D18" s="124">
        <v>-1.1999999999999999E-3</v>
      </c>
      <c r="E18" s="133" t="s">
        <v>1274</v>
      </c>
      <c r="F18" s="115">
        <v>9.86</v>
      </c>
      <c r="G18" s="124">
        <v>-2E-3</v>
      </c>
      <c r="H18" s="115">
        <v>2.27</v>
      </c>
      <c r="I18" s="115">
        <v>9.83</v>
      </c>
      <c r="J18" s="115">
        <v>100.31</v>
      </c>
      <c r="K18" s="118">
        <v>8.7400000000000005E-2</v>
      </c>
      <c r="L18" s="133" t="s">
        <v>1235</v>
      </c>
      <c r="M18" s="115" t="s">
        <v>1236</v>
      </c>
      <c r="N18" s="133" t="s">
        <v>1235</v>
      </c>
      <c r="O18" s="115">
        <v>6.88</v>
      </c>
      <c r="P18" s="115">
        <v>12.78</v>
      </c>
      <c r="Q18" s="116">
        <v>0.16400000000000001</v>
      </c>
      <c r="R18" s="115" t="s">
        <v>1241</v>
      </c>
      <c r="S18" s="117">
        <v>45982</v>
      </c>
      <c r="T18" s="115">
        <v>5.9119999999999999</v>
      </c>
      <c r="U18" s="116">
        <v>9.4000000000000004E-3</v>
      </c>
      <c r="V18" s="116">
        <v>4.7999999999999996E-3</v>
      </c>
      <c r="W18" s="133" t="s">
        <v>1235</v>
      </c>
      <c r="X18" s="115">
        <v>1495.22</v>
      </c>
      <c r="Y18" s="133" t="s">
        <v>1237</v>
      </c>
      <c r="Z18" s="127">
        <f t="shared" si="0"/>
        <v>117.81299999999999</v>
      </c>
    </row>
    <row r="19" spans="1:26" ht="17" customHeight="1">
      <c r="A19" s="133">
        <v>113541</v>
      </c>
      <c r="B19" s="115" t="s">
        <v>1275</v>
      </c>
      <c r="C19" s="115">
        <v>103.45</v>
      </c>
      <c r="D19" s="125">
        <v>1.6000000000000001E-3</v>
      </c>
      <c r="E19" s="133" t="s">
        <v>1276</v>
      </c>
      <c r="F19" s="115">
        <v>16.920000000000002</v>
      </c>
      <c r="G19" s="125">
        <v>3.5999999999999999E-3</v>
      </c>
      <c r="H19" s="115">
        <v>2.1</v>
      </c>
      <c r="I19" s="115">
        <v>18.72</v>
      </c>
      <c r="J19" s="115">
        <v>90.38</v>
      </c>
      <c r="K19" s="118">
        <v>0.14460000000000001</v>
      </c>
      <c r="L19" s="133" t="s">
        <v>1235</v>
      </c>
      <c r="M19" s="115" t="s">
        <v>1247</v>
      </c>
      <c r="N19" s="133" t="s">
        <v>1235</v>
      </c>
      <c r="O19" s="115">
        <v>13.1</v>
      </c>
      <c r="P19" s="115">
        <v>24.34</v>
      </c>
      <c r="Q19" s="116">
        <v>0.11</v>
      </c>
      <c r="R19" s="115" t="s">
        <v>1241</v>
      </c>
      <c r="S19" s="117">
        <v>45860</v>
      </c>
      <c r="T19" s="115">
        <v>5.5780000000000003</v>
      </c>
      <c r="U19" s="116">
        <v>2.0400000000000001E-2</v>
      </c>
      <c r="V19" s="116">
        <v>1.52E-2</v>
      </c>
      <c r="W19" s="133" t="s">
        <v>1235</v>
      </c>
      <c r="X19" s="115">
        <v>129.25</v>
      </c>
      <c r="Y19" s="133" t="s">
        <v>1237</v>
      </c>
      <c r="Z19" s="127">
        <f t="shared" si="0"/>
        <v>117.91</v>
      </c>
    </row>
    <row r="20" spans="1:26" ht="17" customHeight="1">
      <c r="A20" s="133">
        <v>128070</v>
      </c>
      <c r="B20" s="115" t="s">
        <v>1277</v>
      </c>
      <c r="C20" s="115">
        <v>106.27200000000001</v>
      </c>
      <c r="D20" s="125">
        <v>1.5E-3</v>
      </c>
      <c r="E20" s="133" t="s">
        <v>1278</v>
      </c>
      <c r="F20" s="115">
        <v>9.08</v>
      </c>
      <c r="G20" s="124">
        <v>-1.2999999999999999E-2</v>
      </c>
      <c r="H20" s="115">
        <v>4.13</v>
      </c>
      <c r="I20" s="115">
        <v>9.5500000000000007</v>
      </c>
      <c r="J20" s="115">
        <v>95.08</v>
      </c>
      <c r="K20" s="118">
        <v>0.1177</v>
      </c>
      <c r="L20" s="133" t="s">
        <v>1235</v>
      </c>
      <c r="M20" s="115" t="s">
        <v>1240</v>
      </c>
      <c r="N20" s="133" t="s">
        <v>1235</v>
      </c>
      <c r="O20" s="115" t="s">
        <v>1241</v>
      </c>
      <c r="P20" s="115">
        <v>12.41</v>
      </c>
      <c r="Q20" s="116">
        <v>7.5999999999999998E-2</v>
      </c>
      <c r="R20" s="115" t="s">
        <v>1241</v>
      </c>
      <c r="S20" s="117">
        <v>45840</v>
      </c>
      <c r="T20" s="115">
        <v>5.5229999999999997</v>
      </c>
      <c r="U20" s="116">
        <v>1.9800000000000002E-2</v>
      </c>
      <c r="V20" s="116">
        <v>1.38E-2</v>
      </c>
      <c r="W20" s="133" t="s">
        <v>1235</v>
      </c>
      <c r="X20" s="115">
        <v>180.13</v>
      </c>
      <c r="Y20" s="133" t="s">
        <v>1237</v>
      </c>
      <c r="Z20" s="127">
        <f t="shared" si="0"/>
        <v>118.042</v>
      </c>
    </row>
    <row r="21" spans="1:26" ht="17" customHeight="1">
      <c r="A21" s="133">
        <v>128063</v>
      </c>
      <c r="B21" s="115" t="s">
        <v>1279</v>
      </c>
      <c r="C21" s="115">
        <v>109.29</v>
      </c>
      <c r="D21" s="124">
        <v>-7.7999999999999996E-3</v>
      </c>
      <c r="E21" s="133" t="s">
        <v>1280</v>
      </c>
      <c r="F21" s="115">
        <v>8.65</v>
      </c>
      <c r="G21" s="125">
        <v>5.4899999999999997E-2</v>
      </c>
      <c r="H21" s="115">
        <v>3.16</v>
      </c>
      <c r="I21" s="115">
        <v>8.67</v>
      </c>
      <c r="J21" s="115">
        <v>99.77</v>
      </c>
      <c r="K21" s="116">
        <v>9.5399999999999999E-2</v>
      </c>
      <c r="L21" s="133" t="s">
        <v>1235</v>
      </c>
      <c r="M21" s="115" t="s">
        <v>1247</v>
      </c>
      <c r="N21" s="133" t="s">
        <v>1235</v>
      </c>
      <c r="O21" s="115">
        <v>6.07</v>
      </c>
      <c r="P21" s="115">
        <v>11.27</v>
      </c>
      <c r="Q21" s="116">
        <v>0.109</v>
      </c>
      <c r="R21" s="115" t="s">
        <v>1241</v>
      </c>
      <c r="S21" s="117">
        <v>45750</v>
      </c>
      <c r="T21" s="115">
        <v>5.2770000000000001</v>
      </c>
      <c r="U21" s="116">
        <v>3.2399999999999998E-2</v>
      </c>
      <c r="V21" s="116">
        <v>2.3099999999999999E-2</v>
      </c>
      <c r="W21" s="133" t="s">
        <v>1235</v>
      </c>
      <c r="X21" s="115">
        <v>3196.39</v>
      </c>
      <c r="Y21" s="133" t="s">
        <v>1237</v>
      </c>
      <c r="Z21" s="127">
        <f t="shared" si="0"/>
        <v>118.83000000000001</v>
      </c>
    </row>
    <row r="22" spans="1:26" ht="17" customHeight="1">
      <c r="A22" s="133">
        <v>128039</v>
      </c>
      <c r="B22" s="115" t="s">
        <v>1281</v>
      </c>
      <c r="C22" s="115">
        <v>111.9</v>
      </c>
      <c r="D22" s="125">
        <v>4.5999999999999999E-3</v>
      </c>
      <c r="E22" s="133" t="s">
        <v>1282</v>
      </c>
      <c r="F22" s="115">
        <v>6.1</v>
      </c>
      <c r="G22" s="125">
        <v>8.3000000000000001E-3</v>
      </c>
      <c r="H22" s="115">
        <v>1.94</v>
      </c>
      <c r="I22" s="123" t="s">
        <v>1283</v>
      </c>
      <c r="J22" s="115">
        <v>104.63</v>
      </c>
      <c r="K22" s="116">
        <v>6.9500000000000006E-2</v>
      </c>
      <c r="L22" s="133" t="s">
        <v>1235</v>
      </c>
      <c r="M22" s="115" t="s">
        <v>1247</v>
      </c>
      <c r="N22" s="133" t="s">
        <v>1235</v>
      </c>
      <c r="O22" s="115">
        <v>4.08</v>
      </c>
      <c r="P22" s="115">
        <v>7.58</v>
      </c>
      <c r="Q22" s="116">
        <v>5.8999999999999997E-2</v>
      </c>
      <c r="R22" s="116">
        <v>9.7000000000000003E-3</v>
      </c>
      <c r="S22" s="117">
        <v>45450</v>
      </c>
      <c r="T22" s="115">
        <v>4.4550000000000001</v>
      </c>
      <c r="U22" s="116">
        <v>-3.3E-3</v>
      </c>
      <c r="V22" s="116">
        <v>-7.6E-3</v>
      </c>
      <c r="W22" s="133" t="s">
        <v>1235</v>
      </c>
      <c r="X22" s="115">
        <v>141.87</v>
      </c>
      <c r="Y22" s="133" t="s">
        <v>1237</v>
      </c>
      <c r="Z22" s="127">
        <f t="shared" si="0"/>
        <v>118.85000000000001</v>
      </c>
    </row>
    <row r="23" spans="1:26" ht="17" customHeight="1">
      <c r="A23" s="133">
        <v>123019</v>
      </c>
      <c r="B23" s="115" t="s">
        <v>1284</v>
      </c>
      <c r="C23" s="115">
        <v>115.227</v>
      </c>
      <c r="D23" s="125">
        <v>9.1000000000000004E-3</v>
      </c>
      <c r="E23" s="133" t="s">
        <v>1285</v>
      </c>
      <c r="F23" s="115">
        <v>14.6</v>
      </c>
      <c r="G23" s="125">
        <v>1.5299999999999999E-2</v>
      </c>
      <c r="H23" s="115">
        <v>1.86</v>
      </c>
      <c r="I23" s="115">
        <v>13.29</v>
      </c>
      <c r="J23" s="115">
        <v>109.86</v>
      </c>
      <c r="K23" s="116">
        <v>4.8899999999999999E-2</v>
      </c>
      <c r="L23" s="133" t="s">
        <v>1235</v>
      </c>
      <c r="M23" s="115" t="s">
        <v>1247</v>
      </c>
      <c r="N23" s="133" t="s">
        <v>1235</v>
      </c>
      <c r="O23" s="115">
        <v>9.3000000000000007</v>
      </c>
      <c r="P23" s="115">
        <v>17.28</v>
      </c>
      <c r="Q23" s="116">
        <v>0.191</v>
      </c>
      <c r="R23" s="116">
        <v>2.8E-3</v>
      </c>
      <c r="S23" s="117">
        <v>45713</v>
      </c>
      <c r="T23" s="115">
        <v>5.1749999999999998</v>
      </c>
      <c r="U23" s="116">
        <v>1.61E-2</v>
      </c>
      <c r="V23" s="116">
        <v>7.9000000000000008E-3</v>
      </c>
      <c r="W23" s="133" t="s">
        <v>1235</v>
      </c>
      <c r="X23" s="115">
        <v>604.63</v>
      </c>
      <c r="Y23" s="133" t="s">
        <v>1237</v>
      </c>
      <c r="Z23" s="127">
        <f t="shared" si="0"/>
        <v>120.117</v>
      </c>
    </row>
    <row r="24" spans="1:26" ht="17" customHeight="1">
      <c r="A24" s="133">
        <v>128073</v>
      </c>
      <c r="B24" s="115" t="s">
        <v>1286</v>
      </c>
      <c r="C24" s="115">
        <v>106.3</v>
      </c>
      <c r="D24" s="116">
        <v>0</v>
      </c>
      <c r="E24" s="133" t="s">
        <v>1287</v>
      </c>
      <c r="F24" s="115">
        <v>5.4</v>
      </c>
      <c r="G24" s="124">
        <v>-3.7000000000000002E-3</v>
      </c>
      <c r="H24" s="115">
        <v>2.39</v>
      </c>
      <c r="I24" s="115">
        <v>5.8</v>
      </c>
      <c r="J24" s="115">
        <v>93.1</v>
      </c>
      <c r="K24" s="118">
        <v>0.14180000000000001</v>
      </c>
      <c r="L24" s="133" t="s">
        <v>1235</v>
      </c>
      <c r="M24" s="115" t="s">
        <v>1247</v>
      </c>
      <c r="N24" s="133" t="s">
        <v>1235</v>
      </c>
      <c r="O24" s="115">
        <v>4.0599999999999996</v>
      </c>
      <c r="P24" s="115">
        <v>7.54</v>
      </c>
      <c r="Q24" s="116">
        <v>0.13500000000000001</v>
      </c>
      <c r="R24" s="115" t="s">
        <v>1241</v>
      </c>
      <c r="S24" s="117">
        <v>45526</v>
      </c>
      <c r="T24" s="115">
        <v>4.6630000000000003</v>
      </c>
      <c r="U24" s="116">
        <v>1.8599999999999998E-2</v>
      </c>
      <c r="V24" s="116">
        <v>1.2500000000000001E-2</v>
      </c>
      <c r="W24" s="133" t="s">
        <v>1235</v>
      </c>
      <c r="X24" s="115">
        <v>182.15</v>
      </c>
      <c r="Y24" s="133" t="s">
        <v>1237</v>
      </c>
      <c r="Z24" s="127">
        <f t="shared" si="0"/>
        <v>120.48</v>
      </c>
    </row>
    <row r="25" spans="1:26" ht="17" customHeight="1">
      <c r="A25" s="133">
        <v>113550</v>
      </c>
      <c r="B25" s="115" t="s">
        <v>1288</v>
      </c>
      <c r="C25" s="115">
        <v>126.12</v>
      </c>
      <c r="D25" s="124">
        <v>-7.1000000000000004E-3</v>
      </c>
      <c r="E25" s="133" t="s">
        <v>1289</v>
      </c>
      <c r="F25" s="115">
        <v>13.21</v>
      </c>
      <c r="G25" s="124">
        <v>-5.3E-3</v>
      </c>
      <c r="H25" s="115">
        <v>1.42</v>
      </c>
      <c r="I25" s="115">
        <v>9.93</v>
      </c>
      <c r="J25" s="115">
        <v>133.03</v>
      </c>
      <c r="K25" s="118">
        <v>-5.1900000000000002E-2</v>
      </c>
      <c r="L25" s="133" t="s">
        <v>1235</v>
      </c>
      <c r="M25" s="115" t="s">
        <v>1247</v>
      </c>
      <c r="N25" s="133" t="s">
        <v>1235</v>
      </c>
      <c r="O25" s="115">
        <v>6.95</v>
      </c>
      <c r="P25" s="115">
        <v>12.91</v>
      </c>
      <c r="Q25" s="116">
        <v>0.26800000000000002</v>
      </c>
      <c r="R25" s="115" t="s">
        <v>1241</v>
      </c>
      <c r="S25" s="117">
        <v>45978</v>
      </c>
      <c r="T25" s="115">
        <v>5.9009999999999998</v>
      </c>
      <c r="U25" s="116">
        <v>-6.0000000000000001E-3</v>
      </c>
      <c r="V25" s="116">
        <v>-1.2200000000000001E-2</v>
      </c>
      <c r="W25" s="133" t="s">
        <v>1235</v>
      </c>
      <c r="X25" s="115">
        <v>4157.8100000000004</v>
      </c>
      <c r="Y25" s="133" t="s">
        <v>1237</v>
      </c>
      <c r="Z25" s="127">
        <f t="shared" si="0"/>
        <v>120.93</v>
      </c>
    </row>
    <row r="26" spans="1:26" ht="17" customHeight="1">
      <c r="A26" s="133">
        <v>132018</v>
      </c>
      <c r="B26" s="115" t="s">
        <v>1290</v>
      </c>
      <c r="C26" s="115">
        <v>110.6</v>
      </c>
      <c r="D26" s="125">
        <v>4.3E-3</v>
      </c>
      <c r="E26" s="133" t="s">
        <v>1291</v>
      </c>
      <c r="F26" s="115">
        <v>18.14</v>
      </c>
      <c r="G26" s="124">
        <v>-3.3E-3</v>
      </c>
      <c r="H26" s="115">
        <v>2.75</v>
      </c>
      <c r="I26" s="115">
        <v>18.12</v>
      </c>
      <c r="J26" s="115">
        <v>100.11</v>
      </c>
      <c r="K26" s="118">
        <v>0.1084</v>
      </c>
      <c r="L26" s="133" t="s">
        <v>1235</v>
      </c>
      <c r="M26" s="115" t="s">
        <v>1292</v>
      </c>
      <c r="N26" s="133" t="s">
        <v>1235</v>
      </c>
      <c r="O26" s="115">
        <v>12.68</v>
      </c>
      <c r="P26" s="115">
        <v>21.74</v>
      </c>
      <c r="Q26" s="116">
        <v>0.05</v>
      </c>
      <c r="R26" s="116">
        <v>5.0500000000000003E-2</v>
      </c>
      <c r="S26" s="117">
        <v>45391</v>
      </c>
      <c r="T26" s="115">
        <v>4.2930000000000001</v>
      </c>
      <c r="U26" s="116">
        <v>-1E-3</v>
      </c>
      <c r="V26" s="116">
        <v>-5.4999999999999997E-3</v>
      </c>
      <c r="W26" s="133" t="s">
        <v>1235</v>
      </c>
      <c r="X26" s="115">
        <v>7140.8</v>
      </c>
      <c r="Y26" s="133" t="s">
        <v>1237</v>
      </c>
      <c r="Z26" s="127">
        <f t="shared" si="0"/>
        <v>121.44</v>
      </c>
    </row>
    <row r="27" spans="1:26" ht="17" customHeight="1">
      <c r="A27" s="133">
        <v>128056</v>
      </c>
      <c r="B27" s="115" t="s">
        <v>1293</v>
      </c>
      <c r="C27" s="115">
        <v>99.855999999999995</v>
      </c>
      <c r="D27" s="125">
        <v>2.5999999999999999E-3</v>
      </c>
      <c r="E27" s="133" t="s">
        <v>1294</v>
      </c>
      <c r="F27" s="115">
        <v>5.56</v>
      </c>
      <c r="G27" s="125">
        <v>1.8E-3</v>
      </c>
      <c r="H27" s="115">
        <v>1.92</v>
      </c>
      <c r="I27" s="115">
        <v>6.78</v>
      </c>
      <c r="J27" s="115">
        <v>82.01</v>
      </c>
      <c r="K27" s="116">
        <v>0.21759999999999999</v>
      </c>
      <c r="L27" s="133" t="s">
        <v>1235</v>
      </c>
      <c r="M27" s="115" t="s">
        <v>1240</v>
      </c>
      <c r="N27" s="133" t="s">
        <v>1235</v>
      </c>
      <c r="O27" s="115">
        <v>4.75</v>
      </c>
      <c r="P27" s="115">
        <v>8.81</v>
      </c>
      <c r="Q27" s="116">
        <v>0.17599999999999999</v>
      </c>
      <c r="R27" s="116">
        <v>6.9999999999999999E-4</v>
      </c>
      <c r="S27" s="117">
        <v>45716</v>
      </c>
      <c r="T27" s="115">
        <v>5.1840000000000002</v>
      </c>
      <c r="U27" s="116">
        <v>3.9800000000000002E-2</v>
      </c>
      <c r="V27" s="116">
        <v>3.2199999999999999E-2</v>
      </c>
      <c r="W27" s="133" t="s">
        <v>1235</v>
      </c>
      <c r="X27" s="115">
        <v>144.57</v>
      </c>
      <c r="Y27" s="133" t="s">
        <v>1237</v>
      </c>
      <c r="Z27" s="127">
        <f t="shared" si="0"/>
        <v>121.61599999999999</v>
      </c>
    </row>
    <row r="28" spans="1:26" ht="17" customHeight="1">
      <c r="A28" s="133">
        <v>128051</v>
      </c>
      <c r="B28" s="115" t="s">
        <v>1295</v>
      </c>
      <c r="C28" s="115">
        <v>109.526</v>
      </c>
      <c r="D28" s="125">
        <v>3.0000000000000001E-3</v>
      </c>
      <c r="E28" s="133" t="s">
        <v>1296</v>
      </c>
      <c r="F28" s="115">
        <v>12.41</v>
      </c>
      <c r="G28" s="124">
        <v>-1.6000000000000001E-3</v>
      </c>
      <c r="H28" s="115">
        <v>3.65</v>
      </c>
      <c r="I28" s="123" t="s">
        <v>1297</v>
      </c>
      <c r="J28" s="115">
        <v>97.56</v>
      </c>
      <c r="K28" s="116">
        <v>0.1227</v>
      </c>
      <c r="L28" s="133" t="s">
        <v>1235</v>
      </c>
      <c r="M28" s="115" t="s">
        <v>1247</v>
      </c>
      <c r="N28" s="133" t="s">
        <v>1235</v>
      </c>
      <c r="O28" s="115">
        <v>8.9</v>
      </c>
      <c r="P28" s="115">
        <v>16.54</v>
      </c>
      <c r="Q28" s="116">
        <v>5.3999999999999999E-2</v>
      </c>
      <c r="R28" s="116">
        <v>0.33339999999999997</v>
      </c>
      <c r="S28" s="117">
        <v>45640</v>
      </c>
      <c r="T28" s="115">
        <v>4.9749999999999996</v>
      </c>
      <c r="U28" s="116">
        <v>1.09E-2</v>
      </c>
      <c r="V28" s="116">
        <v>5.3E-3</v>
      </c>
      <c r="W28" s="133" t="s">
        <v>1235</v>
      </c>
      <c r="X28" s="115">
        <v>191.23</v>
      </c>
      <c r="Y28" s="133" t="s">
        <v>1237</v>
      </c>
      <c r="Z28" s="127">
        <f t="shared" si="0"/>
        <v>121.79599999999999</v>
      </c>
    </row>
    <row r="29" spans="1:26" ht="17" customHeight="1">
      <c r="A29" s="133">
        <v>113027</v>
      </c>
      <c r="B29" s="115" t="s">
        <v>1298</v>
      </c>
      <c r="C29" s="115">
        <v>103.7</v>
      </c>
      <c r="D29" s="125">
        <v>1.6999999999999999E-3</v>
      </c>
      <c r="E29" s="133" t="s">
        <v>1299</v>
      </c>
      <c r="F29" s="115">
        <v>8.92</v>
      </c>
      <c r="G29" s="124">
        <v>-3.3999999999999998E-3</v>
      </c>
      <c r="H29" s="115">
        <v>2.19</v>
      </c>
      <c r="I29" s="115">
        <v>10.17</v>
      </c>
      <c r="J29" s="115">
        <v>87.71</v>
      </c>
      <c r="K29" s="116">
        <v>0.18229999999999999</v>
      </c>
      <c r="L29" s="133" t="s">
        <v>1235</v>
      </c>
      <c r="M29" s="115" t="s">
        <v>1236</v>
      </c>
      <c r="N29" s="133" t="s">
        <v>1235</v>
      </c>
      <c r="O29" s="115">
        <v>7.12</v>
      </c>
      <c r="P29" s="115">
        <v>13.22</v>
      </c>
      <c r="Q29" s="116">
        <v>0.13600000000000001</v>
      </c>
      <c r="R29" s="116">
        <v>2.3E-3</v>
      </c>
      <c r="S29" s="117">
        <v>45821</v>
      </c>
      <c r="T29" s="115">
        <v>5.4710000000000001</v>
      </c>
      <c r="U29" s="116">
        <v>1.9800000000000002E-2</v>
      </c>
      <c r="V29" s="116">
        <v>1.47E-2</v>
      </c>
      <c r="W29" s="133" t="s">
        <v>1235</v>
      </c>
      <c r="X29" s="115">
        <v>322.27999999999997</v>
      </c>
      <c r="Y29" s="133" t="s">
        <v>1237</v>
      </c>
      <c r="Z29" s="127">
        <f t="shared" si="0"/>
        <v>121.93</v>
      </c>
    </row>
    <row r="30" spans="1:26" ht="17" customHeight="1">
      <c r="A30" s="133">
        <v>128057</v>
      </c>
      <c r="B30" s="115" t="s">
        <v>1300</v>
      </c>
      <c r="C30" s="115">
        <v>116.321</v>
      </c>
      <c r="D30" s="125">
        <v>1.04E-2</v>
      </c>
      <c r="E30" s="133" t="s">
        <v>1301</v>
      </c>
      <c r="F30" s="115">
        <v>9.6999999999999993</v>
      </c>
      <c r="G30" s="125">
        <v>2.6499999999999999E-2</v>
      </c>
      <c r="H30" s="115">
        <v>1.87</v>
      </c>
      <c r="I30" s="115">
        <v>8.81</v>
      </c>
      <c r="J30" s="115">
        <v>110.1</v>
      </c>
      <c r="K30" s="116">
        <v>5.6500000000000002E-2</v>
      </c>
      <c r="L30" s="133" t="s">
        <v>1235</v>
      </c>
      <c r="M30" s="115" t="s">
        <v>1247</v>
      </c>
      <c r="N30" s="133" t="s">
        <v>1235</v>
      </c>
      <c r="O30" s="115">
        <v>6.17</v>
      </c>
      <c r="P30" s="115">
        <v>11.45</v>
      </c>
      <c r="Q30" s="116">
        <v>0.112</v>
      </c>
      <c r="R30" s="116">
        <v>6.9999999999999999E-4</v>
      </c>
      <c r="S30" s="117">
        <v>45721</v>
      </c>
      <c r="T30" s="115">
        <v>5.1970000000000001</v>
      </c>
      <c r="U30" s="116">
        <v>2.0999999999999999E-3</v>
      </c>
      <c r="V30" s="116">
        <v>-3.8E-3</v>
      </c>
      <c r="W30" s="133" t="s">
        <v>1235</v>
      </c>
      <c r="X30" s="115">
        <v>682.1</v>
      </c>
      <c r="Y30" s="133" t="s">
        <v>1237</v>
      </c>
      <c r="Z30" s="127">
        <f t="shared" si="0"/>
        <v>121.971</v>
      </c>
    </row>
    <row r="31" spans="1:26" ht="17" customHeight="1">
      <c r="A31" s="133">
        <v>128069</v>
      </c>
      <c r="B31" s="140" t="s">
        <v>1302</v>
      </c>
      <c r="C31" s="115">
        <v>105.492</v>
      </c>
      <c r="D31" s="125">
        <v>1.8E-3</v>
      </c>
      <c r="E31" s="133" t="s">
        <v>1303</v>
      </c>
      <c r="F31" s="115">
        <v>16.32</v>
      </c>
      <c r="G31" s="124">
        <v>-1.15E-2</v>
      </c>
      <c r="H31" s="115">
        <v>6.33</v>
      </c>
      <c r="I31" s="115">
        <v>18.079999999999998</v>
      </c>
      <c r="J31" s="115">
        <v>90.27</v>
      </c>
      <c r="K31" s="118">
        <v>0.1686</v>
      </c>
      <c r="L31" s="133" t="s">
        <v>1235</v>
      </c>
      <c r="M31" s="115" t="s">
        <v>1247</v>
      </c>
      <c r="N31" s="133" t="s">
        <v>1235</v>
      </c>
      <c r="O31" s="115">
        <v>12.66</v>
      </c>
      <c r="P31" s="115">
        <v>23.5</v>
      </c>
      <c r="Q31" s="116">
        <v>4.5999999999999999E-2</v>
      </c>
      <c r="R31" s="116">
        <v>8.9999999999999998E-4</v>
      </c>
      <c r="S31" s="117">
        <v>45832</v>
      </c>
      <c r="T31" s="115">
        <v>5.5010000000000003</v>
      </c>
      <c r="U31" s="116">
        <v>2.5000000000000001E-2</v>
      </c>
      <c r="V31" s="116">
        <v>1.84E-2</v>
      </c>
      <c r="W31" s="133" t="s">
        <v>1235</v>
      </c>
      <c r="X31" s="115">
        <v>816.38</v>
      </c>
      <c r="Y31" s="133" t="s">
        <v>1242</v>
      </c>
      <c r="Z31" s="127">
        <f t="shared" si="0"/>
        <v>122.352</v>
      </c>
    </row>
    <row r="32" spans="1:26" ht="17" customHeight="1">
      <c r="A32" s="133">
        <v>113524</v>
      </c>
      <c r="B32" s="115" t="s">
        <v>1304</v>
      </c>
      <c r="C32" s="115">
        <v>103.3</v>
      </c>
      <c r="D32" s="125">
        <v>2.9999999999999997E-4</v>
      </c>
      <c r="E32" s="133" t="s">
        <v>1305</v>
      </c>
      <c r="F32" s="115">
        <v>12.56</v>
      </c>
      <c r="G32" s="124">
        <v>-9.4999999999999998E-3</v>
      </c>
      <c r="H32" s="115">
        <v>2.29</v>
      </c>
      <c r="I32" s="115">
        <v>14.56</v>
      </c>
      <c r="J32" s="115">
        <v>86.26</v>
      </c>
      <c r="K32" s="116">
        <v>0.19750000000000001</v>
      </c>
      <c r="L32" s="133" t="s">
        <v>1235</v>
      </c>
      <c r="M32" s="115" t="s">
        <v>1236</v>
      </c>
      <c r="N32" s="133" t="s">
        <v>1235</v>
      </c>
      <c r="O32" s="115">
        <v>10.19</v>
      </c>
      <c r="P32" s="115">
        <v>18.93</v>
      </c>
      <c r="Q32" s="116">
        <v>0.13600000000000001</v>
      </c>
      <c r="R32" s="116">
        <v>5.6800000000000003E-2</v>
      </c>
      <c r="S32" s="117">
        <v>45640</v>
      </c>
      <c r="T32" s="115">
        <v>4.9749999999999996</v>
      </c>
      <c r="U32" s="116">
        <v>2.7400000000000001E-2</v>
      </c>
      <c r="V32" s="116">
        <v>2.0899999999999998E-2</v>
      </c>
      <c r="W32" s="133" t="s">
        <v>1235</v>
      </c>
      <c r="X32" s="115">
        <v>153.07</v>
      </c>
      <c r="Y32" s="133" t="s">
        <v>1237</v>
      </c>
      <c r="Z32" s="127">
        <f t="shared" si="0"/>
        <v>123.05</v>
      </c>
    </row>
    <row r="33" spans="1:26" ht="17" customHeight="1">
      <c r="A33" s="133">
        <v>123014</v>
      </c>
      <c r="B33" s="115" t="s">
        <v>1306</v>
      </c>
      <c r="C33" s="115">
        <v>109.88</v>
      </c>
      <c r="D33" s="125">
        <v>1.1999999999999999E-3</v>
      </c>
      <c r="E33" s="133" t="s">
        <v>1307</v>
      </c>
      <c r="F33" s="115">
        <v>7.9</v>
      </c>
      <c r="G33" s="124">
        <v>-2.5000000000000001E-3</v>
      </c>
      <c r="H33" s="115">
        <v>1.86</v>
      </c>
      <c r="I33" s="115">
        <v>8.14</v>
      </c>
      <c r="J33" s="115">
        <v>97.05</v>
      </c>
      <c r="K33" s="116">
        <v>0.13220000000000001</v>
      </c>
      <c r="L33" s="133" t="s">
        <v>1235</v>
      </c>
      <c r="M33" s="115" t="s">
        <v>1240</v>
      </c>
      <c r="N33" s="133" t="s">
        <v>1235</v>
      </c>
      <c r="O33" s="115">
        <v>5.7</v>
      </c>
      <c r="P33" s="115">
        <v>10.58</v>
      </c>
      <c r="Q33" s="116">
        <v>4.8000000000000001E-2</v>
      </c>
      <c r="R33" s="116">
        <v>1.4E-2</v>
      </c>
      <c r="S33" s="117">
        <v>45134</v>
      </c>
      <c r="T33" s="115">
        <v>3.589</v>
      </c>
      <c r="U33" s="116">
        <v>-2E-3</v>
      </c>
      <c r="V33" s="116">
        <v>-6.7000000000000002E-3</v>
      </c>
      <c r="W33" s="133" t="s">
        <v>1235</v>
      </c>
      <c r="X33" s="115">
        <v>13.36</v>
      </c>
      <c r="Y33" s="133" t="s">
        <v>1237</v>
      </c>
      <c r="Z33" s="127">
        <f t="shared" si="0"/>
        <v>123.1</v>
      </c>
    </row>
    <row r="34" spans="1:26" ht="17" customHeight="1">
      <c r="A34" s="133">
        <v>128077</v>
      </c>
      <c r="B34" s="115" t="s">
        <v>1308</v>
      </c>
      <c r="C34" s="115">
        <v>118</v>
      </c>
      <c r="D34" s="125">
        <v>2.0799999999999999E-2</v>
      </c>
      <c r="E34" s="133" t="s">
        <v>1309</v>
      </c>
      <c r="F34" s="115">
        <v>11.79</v>
      </c>
      <c r="G34" s="125">
        <v>3.7900000000000003E-2</v>
      </c>
      <c r="H34" s="115">
        <v>2.9</v>
      </c>
      <c r="I34" s="115">
        <v>10.52</v>
      </c>
      <c r="J34" s="115">
        <v>112.07</v>
      </c>
      <c r="K34" s="118">
        <v>5.2900000000000003E-2</v>
      </c>
      <c r="L34" s="133" t="s">
        <v>1235</v>
      </c>
      <c r="M34" s="115" t="s">
        <v>1247</v>
      </c>
      <c r="N34" s="133" t="s">
        <v>1235</v>
      </c>
      <c r="O34" s="115">
        <v>7.36</v>
      </c>
      <c r="P34" s="115">
        <v>13.68</v>
      </c>
      <c r="Q34" s="116">
        <v>0.112</v>
      </c>
      <c r="R34" s="115" t="s">
        <v>1241</v>
      </c>
      <c r="S34" s="117">
        <v>45946</v>
      </c>
      <c r="T34" s="115">
        <v>5.8140000000000001</v>
      </c>
      <c r="U34" s="116">
        <v>4.1000000000000003E-3</v>
      </c>
      <c r="V34" s="116">
        <v>-2E-3</v>
      </c>
      <c r="W34" s="133" t="s">
        <v>1235</v>
      </c>
      <c r="X34" s="115">
        <v>1783.06</v>
      </c>
      <c r="Y34" s="133" t="s">
        <v>1237</v>
      </c>
      <c r="Z34" s="127">
        <f t="shared" si="0"/>
        <v>123.29</v>
      </c>
    </row>
    <row r="35" spans="1:26" ht="17" customHeight="1">
      <c r="A35" s="133">
        <v>123018</v>
      </c>
      <c r="B35" s="115" t="s">
        <v>1310</v>
      </c>
      <c r="C35" s="115">
        <v>122.88</v>
      </c>
      <c r="D35" s="124">
        <v>-8.3000000000000001E-3</v>
      </c>
      <c r="E35" s="133" t="s">
        <v>1311</v>
      </c>
      <c r="F35" s="115">
        <v>10.210000000000001</v>
      </c>
      <c r="G35" s="124">
        <v>-1.4500000000000001E-2</v>
      </c>
      <c r="H35" s="115">
        <v>1.91</v>
      </c>
      <c r="I35" s="115">
        <v>8.35</v>
      </c>
      <c r="J35" s="115">
        <v>122.28</v>
      </c>
      <c r="K35" s="116">
        <v>4.8999999999999998E-3</v>
      </c>
      <c r="L35" s="133" t="s">
        <v>1235</v>
      </c>
      <c r="M35" s="115" t="s">
        <v>1247</v>
      </c>
      <c r="N35" s="133" t="s">
        <v>1235</v>
      </c>
      <c r="O35" s="115">
        <v>5.84</v>
      </c>
      <c r="P35" s="115">
        <v>10.86</v>
      </c>
      <c r="Q35" s="116">
        <v>8.6999999999999994E-2</v>
      </c>
      <c r="R35" s="116">
        <v>5.5E-2</v>
      </c>
      <c r="S35" s="117">
        <v>45646</v>
      </c>
      <c r="T35" s="115">
        <v>4.992</v>
      </c>
      <c r="U35" s="116">
        <v>-1.3599999999999999E-2</v>
      </c>
      <c r="V35" s="116">
        <v>-1.8800000000000001E-2</v>
      </c>
      <c r="W35" s="133" t="s">
        <v>1235</v>
      </c>
      <c r="X35" s="115">
        <v>154.54</v>
      </c>
      <c r="Y35" s="133" t="s">
        <v>1237</v>
      </c>
      <c r="Z35" s="127">
        <f t="shared" si="0"/>
        <v>123.36999999999999</v>
      </c>
    </row>
    <row r="36" spans="1:26" ht="17" customHeight="1">
      <c r="A36" s="133">
        <v>113537</v>
      </c>
      <c r="B36" s="115" t="s">
        <v>1312</v>
      </c>
      <c r="C36" s="115">
        <v>110.01</v>
      </c>
      <c r="D36" s="124">
        <v>-1E-4</v>
      </c>
      <c r="E36" s="133" t="s">
        <v>1313</v>
      </c>
      <c r="F36" s="115">
        <v>19.329999999999998</v>
      </c>
      <c r="G36" s="124">
        <v>-6.1999999999999998E-3</v>
      </c>
      <c r="H36" s="115">
        <v>1.91</v>
      </c>
      <c r="I36" s="115">
        <v>19.93</v>
      </c>
      <c r="J36" s="115">
        <v>96.99</v>
      </c>
      <c r="K36" s="116">
        <v>0.13420000000000001</v>
      </c>
      <c r="L36" s="133" t="s">
        <v>1235</v>
      </c>
      <c r="M36" s="115" t="s">
        <v>1247</v>
      </c>
      <c r="N36" s="133" t="s">
        <v>1235</v>
      </c>
      <c r="O36" s="115">
        <v>13.95</v>
      </c>
      <c r="P36" s="115">
        <v>25.91</v>
      </c>
      <c r="Q36" s="116">
        <v>0.188</v>
      </c>
      <c r="R36" s="116">
        <v>5.4999999999999997E-3</v>
      </c>
      <c r="S36" s="117">
        <v>45817</v>
      </c>
      <c r="T36" s="115">
        <v>5.46</v>
      </c>
      <c r="U36" s="116">
        <v>1.9599999999999999E-2</v>
      </c>
      <c r="V36" s="116">
        <v>1.2500000000000001E-2</v>
      </c>
      <c r="W36" s="133" t="s">
        <v>1235</v>
      </c>
      <c r="X36" s="115">
        <v>246.63</v>
      </c>
      <c r="Y36" s="133" t="s">
        <v>1237</v>
      </c>
      <c r="Z36" s="127">
        <f t="shared" si="0"/>
        <v>123.43</v>
      </c>
    </row>
    <row r="37" spans="1:26" ht="17" customHeight="1">
      <c r="A37" s="133">
        <v>123028</v>
      </c>
      <c r="B37" s="115" t="s">
        <v>1314</v>
      </c>
      <c r="C37" s="115">
        <v>103.25</v>
      </c>
      <c r="D37" s="125">
        <v>1.5E-3</v>
      </c>
      <c r="E37" s="133" t="s">
        <v>1315</v>
      </c>
      <c r="F37" s="115">
        <v>10.26</v>
      </c>
      <c r="G37" s="125">
        <v>2.8999999999999998E-3</v>
      </c>
      <c r="H37" s="115">
        <v>1.4</v>
      </c>
      <c r="I37" s="115">
        <v>11.95</v>
      </c>
      <c r="J37" s="115">
        <v>85.86</v>
      </c>
      <c r="K37" s="116">
        <v>0.20250000000000001</v>
      </c>
      <c r="L37" s="133" t="s">
        <v>1235</v>
      </c>
      <c r="M37" s="115" t="s">
        <v>1247</v>
      </c>
      <c r="N37" s="133" t="s">
        <v>1235</v>
      </c>
      <c r="O37" s="115">
        <v>8.3699999999999992</v>
      </c>
      <c r="P37" s="115">
        <v>15.54</v>
      </c>
      <c r="Q37" s="116">
        <v>0.219</v>
      </c>
      <c r="R37" s="116">
        <v>2.3E-3</v>
      </c>
      <c r="S37" s="117">
        <v>45826</v>
      </c>
      <c r="T37" s="115">
        <v>5.4850000000000003</v>
      </c>
      <c r="U37" s="116">
        <v>3.2399999999999998E-2</v>
      </c>
      <c r="V37" s="116">
        <v>2.5100000000000001E-2</v>
      </c>
      <c r="W37" s="133" t="s">
        <v>1235</v>
      </c>
      <c r="X37" s="115">
        <v>123.29</v>
      </c>
      <c r="Y37" s="133" t="s">
        <v>1237</v>
      </c>
      <c r="Z37" s="127">
        <f t="shared" si="0"/>
        <v>123.5</v>
      </c>
    </row>
    <row r="38" spans="1:26" ht="17" customHeight="1">
      <c r="A38" s="133">
        <v>128075</v>
      </c>
      <c r="B38" s="115" t="s">
        <v>1316</v>
      </c>
      <c r="C38" s="115">
        <v>111.81</v>
      </c>
      <c r="D38" s="124">
        <v>-7.9000000000000008E-3</v>
      </c>
      <c r="E38" s="133" t="s">
        <v>1317</v>
      </c>
      <c r="F38" s="115">
        <v>5.79</v>
      </c>
      <c r="G38" s="124">
        <v>-3.1800000000000002E-2</v>
      </c>
      <c r="H38" s="115">
        <v>1.1599999999999999</v>
      </c>
      <c r="I38" s="115">
        <v>5.79</v>
      </c>
      <c r="J38" s="115">
        <v>100</v>
      </c>
      <c r="K38" s="118">
        <v>0.1181</v>
      </c>
      <c r="L38" s="133" t="s">
        <v>1235</v>
      </c>
      <c r="M38" s="115" t="s">
        <v>1236</v>
      </c>
      <c r="N38" s="133" t="s">
        <v>1235</v>
      </c>
      <c r="O38" s="115">
        <v>4.05</v>
      </c>
      <c r="P38" s="115">
        <v>7.53</v>
      </c>
      <c r="Q38" s="116">
        <v>0.27500000000000002</v>
      </c>
      <c r="R38" s="115" t="s">
        <v>1241</v>
      </c>
      <c r="S38" s="117">
        <v>45923</v>
      </c>
      <c r="T38" s="115">
        <v>5.7510000000000003</v>
      </c>
      <c r="U38" s="116">
        <v>5.3E-3</v>
      </c>
      <c r="V38" s="116">
        <v>5.9999999999999995E-4</v>
      </c>
      <c r="W38" s="133" t="s">
        <v>1235</v>
      </c>
      <c r="X38" s="115">
        <v>1357.05</v>
      </c>
      <c r="Y38" s="133" t="s">
        <v>1237</v>
      </c>
      <c r="Z38" s="127">
        <f t="shared" si="0"/>
        <v>123.62</v>
      </c>
    </row>
    <row r="39" spans="1:26" ht="17" customHeight="1">
      <c r="A39" s="133">
        <v>113521</v>
      </c>
      <c r="B39" s="115" t="s">
        <v>1318</v>
      </c>
      <c r="C39" s="115">
        <v>123.95</v>
      </c>
      <c r="D39" s="124">
        <v>-1.6000000000000001E-3</v>
      </c>
      <c r="E39" s="133" t="s">
        <v>1319</v>
      </c>
      <c r="F39" s="115">
        <v>10.78</v>
      </c>
      <c r="G39" s="124">
        <v>-8.3000000000000001E-3</v>
      </c>
      <c r="H39" s="115">
        <v>2.63</v>
      </c>
      <c r="I39" s="115">
        <v>8.6999999999999993</v>
      </c>
      <c r="J39" s="115">
        <v>123.91</v>
      </c>
      <c r="K39" s="116">
        <v>2.9999999999999997E-4</v>
      </c>
      <c r="L39" s="133" t="s">
        <v>1235</v>
      </c>
      <c r="M39" s="115" t="s">
        <v>1236</v>
      </c>
      <c r="N39" s="133" t="s">
        <v>1235</v>
      </c>
      <c r="O39" s="115">
        <v>6.09</v>
      </c>
      <c r="P39" s="115">
        <v>11.31</v>
      </c>
      <c r="Q39" s="116">
        <v>0.122</v>
      </c>
      <c r="R39" s="116">
        <v>0.2155</v>
      </c>
      <c r="S39" s="117">
        <v>45612</v>
      </c>
      <c r="T39" s="115">
        <v>4.899</v>
      </c>
      <c r="U39" s="116">
        <v>-1.5100000000000001E-2</v>
      </c>
      <c r="V39" s="116">
        <v>-2.0500000000000001E-2</v>
      </c>
      <c r="W39" s="133" t="s">
        <v>1235</v>
      </c>
      <c r="X39" s="115">
        <v>983.99</v>
      </c>
      <c r="Y39" s="133" t="s">
        <v>1237</v>
      </c>
      <c r="Z39" s="127">
        <f t="shared" si="0"/>
        <v>123.98</v>
      </c>
    </row>
    <row r="40" spans="1:26" ht="17" customHeight="1">
      <c r="A40" s="133">
        <v>113539</v>
      </c>
      <c r="B40" s="115" t="s">
        <v>1320</v>
      </c>
      <c r="C40" s="115">
        <v>127.79</v>
      </c>
      <c r="D40" s="124">
        <v>-6.4999999999999997E-3</v>
      </c>
      <c r="E40" s="133" t="s">
        <v>1321</v>
      </c>
      <c r="F40" s="115">
        <v>38.15</v>
      </c>
      <c r="G40" s="124">
        <v>-2.18E-2</v>
      </c>
      <c r="H40" s="115">
        <v>4.8499999999999996</v>
      </c>
      <c r="I40" s="115">
        <v>28.78</v>
      </c>
      <c r="J40" s="115">
        <v>132.56</v>
      </c>
      <c r="K40" s="118">
        <v>-3.5999999999999997E-2</v>
      </c>
      <c r="L40" s="133" t="s">
        <v>1235</v>
      </c>
      <c r="M40" s="115" t="s">
        <v>1240</v>
      </c>
      <c r="N40" s="133" t="s">
        <v>1235</v>
      </c>
      <c r="O40" s="115">
        <v>20.149999999999999</v>
      </c>
      <c r="P40" s="115">
        <v>37.409999999999997</v>
      </c>
      <c r="Q40" s="116">
        <v>7.0000000000000007E-2</v>
      </c>
      <c r="R40" s="115" t="s">
        <v>1241</v>
      </c>
      <c r="S40" s="117">
        <v>45840</v>
      </c>
      <c r="T40" s="115">
        <v>5.5229999999999997</v>
      </c>
      <c r="U40" s="116">
        <v>-9.1999999999999998E-3</v>
      </c>
      <c r="V40" s="116">
        <v>-1.5699999999999999E-2</v>
      </c>
      <c r="W40" s="133" t="s">
        <v>1235</v>
      </c>
      <c r="X40" s="115">
        <v>939.52</v>
      </c>
      <c r="Y40" s="133" t="s">
        <v>1237</v>
      </c>
      <c r="Z40" s="127">
        <f t="shared" si="0"/>
        <v>124.19000000000001</v>
      </c>
    </row>
    <row r="41" spans="1:26" ht="17" customHeight="1">
      <c r="A41" s="133">
        <v>123021</v>
      </c>
      <c r="B41" s="115" t="s">
        <v>1322</v>
      </c>
      <c r="C41" s="115">
        <v>121.5</v>
      </c>
      <c r="D41" s="124">
        <v>-4.8999999999999998E-3</v>
      </c>
      <c r="E41" s="133" t="s">
        <v>1323</v>
      </c>
      <c r="F41" s="115">
        <v>16.07</v>
      </c>
      <c r="G41" s="124">
        <v>-7.4000000000000003E-3</v>
      </c>
      <c r="H41" s="115">
        <v>4.68</v>
      </c>
      <c r="I41" s="115">
        <v>13.6</v>
      </c>
      <c r="J41" s="115">
        <v>118.16</v>
      </c>
      <c r="K41" s="116">
        <v>2.8299999999999999E-2</v>
      </c>
      <c r="L41" s="133" t="s">
        <v>1235</v>
      </c>
      <c r="M41" s="115" t="s">
        <v>1236</v>
      </c>
      <c r="N41" s="133" t="s">
        <v>1235</v>
      </c>
      <c r="O41" s="115">
        <v>9.52</v>
      </c>
      <c r="P41" s="115">
        <v>17.68</v>
      </c>
      <c r="Q41" s="116">
        <v>3.5999999999999997E-2</v>
      </c>
      <c r="R41" s="116">
        <v>6.2799999999999995E-2</v>
      </c>
      <c r="S41" s="117">
        <v>45719</v>
      </c>
      <c r="T41" s="115">
        <v>5.1920000000000002</v>
      </c>
      <c r="U41" s="116">
        <v>-5.1999999999999998E-3</v>
      </c>
      <c r="V41" s="116">
        <v>-1.1299999999999999E-2</v>
      </c>
      <c r="W41" s="133" t="s">
        <v>1235</v>
      </c>
      <c r="X41" s="115">
        <v>1845.53</v>
      </c>
      <c r="Y41" s="133" t="s">
        <v>1237</v>
      </c>
      <c r="Z41" s="127">
        <f t="shared" si="0"/>
        <v>124.33</v>
      </c>
    </row>
    <row r="42" spans="1:26" ht="17" customHeight="1">
      <c r="A42" s="133">
        <v>123027</v>
      </c>
      <c r="B42" s="115" t="s">
        <v>1324</v>
      </c>
      <c r="C42" s="115">
        <v>123.86</v>
      </c>
      <c r="D42" s="125">
        <v>2.0999999999999999E-3</v>
      </c>
      <c r="E42" s="133" t="s">
        <v>1325</v>
      </c>
      <c r="F42" s="115">
        <v>36.33</v>
      </c>
      <c r="G42" s="124">
        <v>-6.7999999999999996E-3</v>
      </c>
      <c r="H42" s="115">
        <v>6.12</v>
      </c>
      <c r="I42" s="115">
        <v>29.58</v>
      </c>
      <c r="J42" s="115">
        <v>122.82</v>
      </c>
      <c r="K42" s="116">
        <v>8.5000000000000006E-3</v>
      </c>
      <c r="L42" s="133" t="s">
        <v>1235</v>
      </c>
      <c r="M42" s="115" t="s">
        <v>1240</v>
      </c>
      <c r="N42" s="133" t="s">
        <v>1235</v>
      </c>
      <c r="O42" s="115">
        <v>20.71</v>
      </c>
      <c r="P42" s="115">
        <v>38.450000000000003</v>
      </c>
      <c r="Q42" s="116">
        <v>4.4999999999999998E-2</v>
      </c>
      <c r="R42" s="116">
        <v>3.1899999999999998E-2</v>
      </c>
      <c r="S42" s="117">
        <v>45818</v>
      </c>
      <c r="T42" s="115">
        <v>5.4630000000000001</v>
      </c>
      <c r="U42" s="116">
        <v>-5.8999999999999999E-3</v>
      </c>
      <c r="V42" s="116">
        <v>-1.2200000000000001E-2</v>
      </c>
      <c r="W42" s="133" t="s">
        <v>1235</v>
      </c>
      <c r="X42" s="115">
        <v>76.760000000000005</v>
      </c>
      <c r="Y42" s="133" t="s">
        <v>1237</v>
      </c>
      <c r="Z42" s="127">
        <f t="shared" si="0"/>
        <v>124.71</v>
      </c>
    </row>
    <row r="43" spans="1:26" ht="17" customHeight="1">
      <c r="A43" s="133">
        <v>123032</v>
      </c>
      <c r="B43" s="115" t="s">
        <v>1326</v>
      </c>
      <c r="C43" s="115">
        <v>100.52</v>
      </c>
      <c r="D43" s="116">
        <v>0</v>
      </c>
      <c r="E43" s="133" t="s">
        <v>1327</v>
      </c>
      <c r="F43" s="115">
        <v>5.58</v>
      </c>
      <c r="G43" s="125">
        <v>5.4000000000000003E-3</v>
      </c>
      <c r="H43" s="115">
        <v>3.45</v>
      </c>
      <c r="I43" s="115">
        <v>6.92</v>
      </c>
      <c r="J43" s="115">
        <v>80.64</v>
      </c>
      <c r="K43" s="118">
        <v>0.2465</v>
      </c>
      <c r="L43" s="133" t="s">
        <v>1235</v>
      </c>
      <c r="M43" s="115" t="s">
        <v>1240</v>
      </c>
      <c r="N43" s="133" t="s">
        <v>1235</v>
      </c>
      <c r="O43" s="115">
        <v>4.84</v>
      </c>
      <c r="P43" s="115">
        <v>9</v>
      </c>
      <c r="Q43" s="116">
        <v>0.10299999999999999</v>
      </c>
      <c r="R43" s="115" t="s">
        <v>1241</v>
      </c>
      <c r="S43" s="117">
        <v>45940</v>
      </c>
      <c r="T43" s="115">
        <v>5.7969999999999997</v>
      </c>
      <c r="U43" s="116">
        <v>5.11E-2</v>
      </c>
      <c r="V43" s="116">
        <v>4.1300000000000003E-2</v>
      </c>
      <c r="W43" s="133" t="s">
        <v>1235</v>
      </c>
      <c r="X43" s="115">
        <v>113.42</v>
      </c>
      <c r="Y43" s="133" t="s">
        <v>1237</v>
      </c>
      <c r="Z43" s="127">
        <f t="shared" si="0"/>
        <v>125.16999999999999</v>
      </c>
    </row>
    <row r="44" spans="1:26" ht="17" customHeight="1">
      <c r="A44" s="133">
        <v>128034</v>
      </c>
      <c r="B44" s="115" t="s">
        <v>1328</v>
      </c>
      <c r="C44" s="115">
        <v>110.9</v>
      </c>
      <c r="D44" s="125">
        <v>2.0000000000000001E-4</v>
      </c>
      <c r="E44" s="133" t="s">
        <v>1329</v>
      </c>
      <c r="F44" s="115">
        <v>4.54</v>
      </c>
      <c r="G44" s="116">
        <v>0</v>
      </c>
      <c r="H44" s="115">
        <v>0.87</v>
      </c>
      <c r="I44" s="123" t="s">
        <v>1330</v>
      </c>
      <c r="J44" s="115">
        <v>97.01</v>
      </c>
      <c r="K44" s="116">
        <v>0.14319999999999999</v>
      </c>
      <c r="L44" s="133" t="s">
        <v>1235</v>
      </c>
      <c r="M44" s="115" t="s">
        <v>1331</v>
      </c>
      <c r="N44" s="133" t="s">
        <v>1235</v>
      </c>
      <c r="O44" s="115" t="s">
        <v>1241</v>
      </c>
      <c r="P44" s="115">
        <v>6.08</v>
      </c>
      <c r="Q44" s="116">
        <v>0.17799999999999999</v>
      </c>
      <c r="R44" s="116">
        <v>0.1283</v>
      </c>
      <c r="S44" s="117">
        <v>45317</v>
      </c>
      <c r="T44" s="115">
        <v>4.09</v>
      </c>
      <c r="U44" s="116">
        <v>-2.8999999999999998E-3</v>
      </c>
      <c r="V44" s="116">
        <v>-7.3000000000000001E-3</v>
      </c>
      <c r="W44" s="133" t="s">
        <v>1235</v>
      </c>
      <c r="X44" s="115">
        <v>69.819999999999993</v>
      </c>
      <c r="Y44" s="133" t="s">
        <v>1237</v>
      </c>
      <c r="Z44" s="127">
        <f t="shared" si="0"/>
        <v>125.22</v>
      </c>
    </row>
    <row r="45" spans="1:26" ht="17" customHeight="1">
      <c r="A45" s="133">
        <v>123023</v>
      </c>
      <c r="B45" s="115" t="s">
        <v>1332</v>
      </c>
      <c r="C45" s="115">
        <v>100.497</v>
      </c>
      <c r="D45" s="125">
        <v>8.9999999999999998E-4</v>
      </c>
      <c r="E45" s="133" t="s">
        <v>1333</v>
      </c>
      <c r="F45" s="115">
        <v>5.78</v>
      </c>
      <c r="G45" s="116">
        <v>0</v>
      </c>
      <c r="H45" s="115">
        <v>1.35</v>
      </c>
      <c r="I45" s="115">
        <v>7.19</v>
      </c>
      <c r="J45" s="115">
        <v>80.39</v>
      </c>
      <c r="K45" s="116">
        <v>0.25009999999999999</v>
      </c>
      <c r="L45" s="133" t="s">
        <v>1235</v>
      </c>
      <c r="M45" s="115" t="s">
        <v>1236</v>
      </c>
      <c r="N45" s="133" t="s">
        <v>1235</v>
      </c>
      <c r="O45" s="115">
        <v>5.03</v>
      </c>
      <c r="P45" s="115">
        <v>9.35</v>
      </c>
      <c r="Q45" s="116">
        <v>0.28599999999999998</v>
      </c>
      <c r="R45" s="116">
        <v>2.0999999999999999E-3</v>
      </c>
      <c r="S45" s="117">
        <v>45736</v>
      </c>
      <c r="T45" s="115">
        <v>5.2380000000000004</v>
      </c>
      <c r="U45" s="116">
        <v>2.7199999999999998E-2</v>
      </c>
      <c r="V45" s="116">
        <v>2.1700000000000001E-2</v>
      </c>
      <c r="W45" s="133" t="s">
        <v>1235</v>
      </c>
      <c r="X45" s="115">
        <v>135.16999999999999</v>
      </c>
      <c r="Y45" s="133" t="s">
        <v>1237</v>
      </c>
      <c r="Z45" s="127">
        <f t="shared" si="0"/>
        <v>125.50700000000001</v>
      </c>
    </row>
    <row r="46" spans="1:26" ht="17" customHeight="1">
      <c r="A46" s="133">
        <v>128040</v>
      </c>
      <c r="B46" s="115" t="s">
        <v>1334</v>
      </c>
      <c r="C46" s="115">
        <v>108.479</v>
      </c>
      <c r="D46" s="125">
        <v>8.0000000000000004E-4</v>
      </c>
      <c r="E46" s="133" t="s">
        <v>1335</v>
      </c>
      <c r="F46" s="115">
        <v>10.52</v>
      </c>
      <c r="G46" s="124">
        <v>-7.4999999999999997E-3</v>
      </c>
      <c r="H46" s="115">
        <v>3.31</v>
      </c>
      <c r="I46" s="115">
        <v>11.37</v>
      </c>
      <c r="J46" s="115">
        <v>92.52</v>
      </c>
      <c r="K46" s="116">
        <v>0.17249999999999999</v>
      </c>
      <c r="L46" s="133" t="s">
        <v>1235</v>
      </c>
      <c r="M46" s="115" t="s">
        <v>1247</v>
      </c>
      <c r="N46" s="133" t="s">
        <v>1235</v>
      </c>
      <c r="O46" s="115">
        <v>7.96</v>
      </c>
      <c r="P46" s="115">
        <v>14.78</v>
      </c>
      <c r="Q46" s="116">
        <v>0.10100000000000001</v>
      </c>
      <c r="R46" s="116">
        <v>3.8699999999999998E-2</v>
      </c>
      <c r="S46" s="117">
        <v>45456</v>
      </c>
      <c r="T46" s="115">
        <v>4.4710000000000001</v>
      </c>
      <c r="U46" s="116">
        <v>9.1999999999999998E-3</v>
      </c>
      <c r="V46" s="116">
        <v>3.8E-3</v>
      </c>
      <c r="W46" s="133" t="s">
        <v>1235</v>
      </c>
      <c r="X46" s="115">
        <v>245.24</v>
      </c>
      <c r="Y46" s="133" t="s">
        <v>1237</v>
      </c>
      <c r="Z46" s="127">
        <f t="shared" si="0"/>
        <v>125.729</v>
      </c>
    </row>
    <row r="47" spans="1:26" ht="17" customHeight="1">
      <c r="A47" s="133">
        <v>128055</v>
      </c>
      <c r="B47" s="115" t="s">
        <v>1336</v>
      </c>
      <c r="C47" s="115">
        <v>117.73399999999999</v>
      </c>
      <c r="D47" s="124">
        <v>-2.2000000000000001E-3</v>
      </c>
      <c r="E47" s="133" t="s">
        <v>1337</v>
      </c>
      <c r="F47" s="115">
        <v>8.0500000000000007</v>
      </c>
      <c r="G47" s="125">
        <v>1.1999999999999999E-3</v>
      </c>
      <c r="H47" s="115">
        <v>1.3</v>
      </c>
      <c r="I47" s="115">
        <v>7.41</v>
      </c>
      <c r="J47" s="115">
        <v>108.64</v>
      </c>
      <c r="K47" s="116">
        <v>8.3699999999999997E-2</v>
      </c>
      <c r="L47" s="133" t="s">
        <v>1235</v>
      </c>
      <c r="M47" s="115" t="s">
        <v>1236</v>
      </c>
      <c r="N47" s="133" t="s">
        <v>1235</v>
      </c>
      <c r="O47" s="115">
        <v>5.19</v>
      </c>
      <c r="P47" s="115">
        <v>9.6300000000000008</v>
      </c>
      <c r="Q47" s="116">
        <v>0.21</v>
      </c>
      <c r="R47" s="116">
        <v>0</v>
      </c>
      <c r="S47" s="117">
        <v>45715</v>
      </c>
      <c r="T47" s="115">
        <v>5.181</v>
      </c>
      <c r="U47" s="116">
        <v>-3.8E-3</v>
      </c>
      <c r="V47" s="116">
        <v>-9.1000000000000004E-3</v>
      </c>
      <c r="W47" s="133" t="s">
        <v>1235</v>
      </c>
      <c r="X47" s="115">
        <v>31.99</v>
      </c>
      <c r="Y47" s="133" t="s">
        <v>1237</v>
      </c>
      <c r="Z47" s="127">
        <f t="shared" si="0"/>
        <v>126.104</v>
      </c>
    </row>
    <row r="48" spans="1:26" ht="17" customHeight="1">
      <c r="A48" s="133">
        <v>113530</v>
      </c>
      <c r="B48" s="115" t="s">
        <v>1338</v>
      </c>
      <c r="C48" s="115">
        <v>113.9</v>
      </c>
      <c r="D48" s="124">
        <v>-7.7999999999999996E-3</v>
      </c>
      <c r="E48" s="133" t="s">
        <v>1339</v>
      </c>
      <c r="F48" s="115">
        <v>17.010000000000002</v>
      </c>
      <c r="G48" s="124">
        <v>-2.9100000000000001E-2</v>
      </c>
      <c r="H48" s="115">
        <v>3.47</v>
      </c>
      <c r="I48" s="115">
        <v>16.760000000000002</v>
      </c>
      <c r="J48" s="115">
        <v>101.49</v>
      </c>
      <c r="K48" s="116">
        <v>0.12230000000000001</v>
      </c>
      <c r="L48" s="133" t="s">
        <v>1235</v>
      </c>
      <c r="M48" s="115" t="s">
        <v>1236</v>
      </c>
      <c r="N48" s="133" t="s">
        <v>1235</v>
      </c>
      <c r="O48" s="115">
        <v>11.73</v>
      </c>
      <c r="P48" s="115">
        <v>21.79</v>
      </c>
      <c r="Q48" s="116">
        <v>9.1999999999999998E-2</v>
      </c>
      <c r="R48" s="116">
        <v>0</v>
      </c>
      <c r="S48" s="117">
        <v>45742</v>
      </c>
      <c r="T48" s="115">
        <v>5.2549999999999999</v>
      </c>
      <c r="U48" s="116">
        <v>1.34E-2</v>
      </c>
      <c r="V48" s="116">
        <v>6.1999999999999998E-3</v>
      </c>
      <c r="W48" s="133" t="s">
        <v>1235</v>
      </c>
      <c r="X48" s="115">
        <v>362.02</v>
      </c>
      <c r="Y48" s="133" t="s">
        <v>1237</v>
      </c>
      <c r="Z48" s="127">
        <f t="shared" si="0"/>
        <v>126.13000000000001</v>
      </c>
    </row>
    <row r="49" spans="1:26" ht="17" customHeight="1">
      <c r="A49" s="133">
        <v>123024</v>
      </c>
      <c r="B49" s="115" t="s">
        <v>1340</v>
      </c>
      <c r="C49" s="115">
        <v>100.553</v>
      </c>
      <c r="D49" s="124">
        <v>-2E-3</v>
      </c>
      <c r="E49" s="133" t="s">
        <v>1341</v>
      </c>
      <c r="F49" s="115">
        <v>19.91</v>
      </c>
      <c r="G49" s="124">
        <v>-1.6799999999999999E-2</v>
      </c>
      <c r="H49" s="115">
        <v>2.92</v>
      </c>
      <c r="I49" s="115">
        <v>24.9</v>
      </c>
      <c r="J49" s="115">
        <v>79.959999999999994</v>
      </c>
      <c r="K49" s="116">
        <v>0.25750000000000001</v>
      </c>
      <c r="L49" s="133" t="s">
        <v>1235</v>
      </c>
      <c r="M49" s="115" t="s">
        <v>1240</v>
      </c>
      <c r="N49" s="133" t="s">
        <v>1235</v>
      </c>
      <c r="O49" s="115">
        <v>17.43</v>
      </c>
      <c r="P49" s="115">
        <v>32.369999999999997</v>
      </c>
      <c r="Q49" s="116">
        <v>0.128</v>
      </c>
      <c r="R49" s="116">
        <v>5.9999999999999995E-4</v>
      </c>
      <c r="S49" s="117">
        <v>45372</v>
      </c>
      <c r="T49" s="115">
        <v>4.2409999999999997</v>
      </c>
      <c r="U49" s="116">
        <v>2.92E-2</v>
      </c>
      <c r="V49" s="116">
        <v>2.3199999999999998E-2</v>
      </c>
      <c r="W49" s="133" t="s">
        <v>1235</v>
      </c>
      <c r="X49" s="115">
        <v>158.65</v>
      </c>
      <c r="Y49" s="133" t="s">
        <v>1237</v>
      </c>
      <c r="Z49" s="127">
        <f t="shared" si="0"/>
        <v>126.303</v>
      </c>
    </row>
    <row r="50" spans="1:26" ht="17" customHeight="1">
      <c r="A50" s="133">
        <v>127003</v>
      </c>
      <c r="B50" s="115" t="s">
        <v>1342</v>
      </c>
      <c r="C50" s="115">
        <v>103.601</v>
      </c>
      <c r="D50" s="124">
        <v>-8.9999999999999998E-4</v>
      </c>
      <c r="E50" s="133" t="s">
        <v>1343</v>
      </c>
      <c r="F50" s="115">
        <v>2.54</v>
      </c>
      <c r="G50" s="124">
        <v>-7.7999999999999996E-3</v>
      </c>
      <c r="H50" s="115">
        <v>1.54</v>
      </c>
      <c r="I50" s="123" t="s">
        <v>1344</v>
      </c>
      <c r="J50" s="115">
        <v>84.39</v>
      </c>
      <c r="K50" s="116">
        <v>0.2276</v>
      </c>
      <c r="L50" s="133" t="s">
        <v>1235</v>
      </c>
      <c r="M50" s="115" t="s">
        <v>1236</v>
      </c>
      <c r="N50" s="133" t="s">
        <v>1235</v>
      </c>
      <c r="O50" s="115">
        <v>2.11</v>
      </c>
      <c r="P50" s="115">
        <v>3.91</v>
      </c>
      <c r="Q50" s="116">
        <v>0.16600000000000001</v>
      </c>
      <c r="R50" s="116">
        <v>1.0200000000000001E-2</v>
      </c>
      <c r="S50" s="117">
        <v>44720</v>
      </c>
      <c r="T50" s="115">
        <v>2.4550000000000001</v>
      </c>
      <c r="U50" s="116">
        <v>3.78E-2</v>
      </c>
      <c r="V50" s="116">
        <v>2.75E-2</v>
      </c>
      <c r="W50" s="133" t="s">
        <v>1235</v>
      </c>
      <c r="X50" s="115">
        <v>446.59</v>
      </c>
      <c r="Y50" s="133" t="s">
        <v>1237</v>
      </c>
      <c r="Z50" s="127">
        <f t="shared" si="0"/>
        <v>126.36099999999999</v>
      </c>
    </row>
    <row r="51" spans="1:26" ht="17" customHeight="1">
      <c r="A51" s="133">
        <v>113552</v>
      </c>
      <c r="B51" s="115" t="s">
        <v>1345</v>
      </c>
      <c r="C51" s="115">
        <v>121.48</v>
      </c>
      <c r="D51" s="124">
        <v>-1.2800000000000001E-2</v>
      </c>
      <c r="E51" s="133" t="s">
        <v>1346</v>
      </c>
      <c r="F51" s="115">
        <v>32.26</v>
      </c>
      <c r="G51" s="124">
        <v>-4.3E-3</v>
      </c>
      <c r="H51" s="115">
        <v>10.39</v>
      </c>
      <c r="I51" s="115">
        <v>27.86</v>
      </c>
      <c r="J51" s="115">
        <v>115.79</v>
      </c>
      <c r="K51" s="118">
        <v>4.9099999999999998E-2</v>
      </c>
      <c r="L51" s="133" t="s">
        <v>1235</v>
      </c>
      <c r="M51" s="115" t="s">
        <v>1240</v>
      </c>
      <c r="N51" s="133" t="s">
        <v>1235</v>
      </c>
      <c r="O51" s="115">
        <v>19.5</v>
      </c>
      <c r="P51" s="115">
        <v>36.22</v>
      </c>
      <c r="Q51" s="116">
        <v>3.2000000000000001E-2</v>
      </c>
      <c r="R51" s="115" t="s">
        <v>1241</v>
      </c>
      <c r="S51" s="117">
        <v>45992</v>
      </c>
      <c r="T51" s="115">
        <v>5.94</v>
      </c>
      <c r="U51" s="116">
        <v>-4.3E-3</v>
      </c>
      <c r="V51" s="116">
        <v>-9.5999999999999992E-3</v>
      </c>
      <c r="W51" s="133" t="s">
        <v>1235</v>
      </c>
      <c r="X51" s="115">
        <v>2312.27</v>
      </c>
      <c r="Y51" s="133" t="s">
        <v>1237</v>
      </c>
      <c r="Z51" s="127">
        <f t="shared" si="0"/>
        <v>126.39</v>
      </c>
    </row>
    <row r="52" spans="1:26" ht="17" customHeight="1">
      <c r="A52" s="133">
        <v>123033</v>
      </c>
      <c r="B52" s="115" t="s">
        <v>1347</v>
      </c>
      <c r="C52" s="115">
        <v>111.5</v>
      </c>
      <c r="D52" s="125">
        <v>1.6899999999999998E-2</v>
      </c>
      <c r="E52" s="133" t="s">
        <v>1348</v>
      </c>
      <c r="F52" s="115">
        <v>39.93</v>
      </c>
      <c r="G52" s="125">
        <v>1.7600000000000001E-2</v>
      </c>
      <c r="H52" s="115">
        <v>14.12</v>
      </c>
      <c r="I52" s="115">
        <v>41.2</v>
      </c>
      <c r="J52" s="115">
        <v>96.92</v>
      </c>
      <c r="K52" s="118">
        <v>0.15040000000000001</v>
      </c>
      <c r="L52" s="133" t="s">
        <v>1235</v>
      </c>
      <c r="M52" s="115" t="s">
        <v>1247</v>
      </c>
      <c r="N52" s="133" t="s">
        <v>1235</v>
      </c>
      <c r="O52" s="115">
        <v>28.84</v>
      </c>
      <c r="P52" s="115">
        <v>53.56</v>
      </c>
      <c r="Q52" s="116">
        <v>2.5999999999999999E-2</v>
      </c>
      <c r="R52" s="115" t="s">
        <v>1241</v>
      </c>
      <c r="S52" s="117">
        <v>45961</v>
      </c>
      <c r="T52" s="115">
        <v>5.8550000000000004</v>
      </c>
      <c r="U52" s="116">
        <v>1.5699999999999999E-2</v>
      </c>
      <c r="V52" s="116">
        <v>9.1999999999999998E-3</v>
      </c>
      <c r="W52" s="133" t="s">
        <v>1235</v>
      </c>
      <c r="X52" s="115">
        <v>1021.45</v>
      </c>
      <c r="Y52" s="133" t="s">
        <v>1237</v>
      </c>
      <c r="Z52" s="127">
        <f t="shared" si="0"/>
        <v>126.54</v>
      </c>
    </row>
    <row r="53" spans="1:26" ht="17" customHeight="1">
      <c r="A53" s="133">
        <v>128054</v>
      </c>
      <c r="B53" s="115" t="s">
        <v>1349</v>
      </c>
      <c r="C53" s="115">
        <v>124.018</v>
      </c>
      <c r="D53" s="124">
        <v>-3.1099999999999999E-2</v>
      </c>
      <c r="E53" s="133" t="s">
        <v>1350</v>
      </c>
      <c r="F53" s="115">
        <v>26.88</v>
      </c>
      <c r="G53" s="124">
        <v>-5.2200000000000003E-2</v>
      </c>
      <c r="H53" s="115">
        <v>5.49</v>
      </c>
      <c r="I53" s="115">
        <v>22.28</v>
      </c>
      <c r="J53" s="115">
        <v>120.65</v>
      </c>
      <c r="K53" s="116">
        <v>2.7900000000000001E-2</v>
      </c>
      <c r="L53" s="133" t="s">
        <v>1235</v>
      </c>
      <c r="M53" s="115" t="s">
        <v>1240</v>
      </c>
      <c r="N53" s="133" t="s">
        <v>1235</v>
      </c>
      <c r="O53" s="115">
        <v>15.6</v>
      </c>
      <c r="P53" s="115">
        <v>28.96</v>
      </c>
      <c r="Q53" s="116">
        <v>4.2000000000000003E-2</v>
      </c>
      <c r="R53" s="116">
        <v>3.3E-3</v>
      </c>
      <c r="S53" s="117">
        <v>45703</v>
      </c>
      <c r="T53" s="115">
        <v>5.1479999999999997</v>
      </c>
      <c r="U53" s="116">
        <v>-1.3899999999999999E-2</v>
      </c>
      <c r="V53" s="116">
        <v>-1.9099999999999999E-2</v>
      </c>
      <c r="W53" s="133" t="s">
        <v>1235</v>
      </c>
      <c r="X53" s="115">
        <v>329.87</v>
      </c>
      <c r="Y53" s="133" t="s">
        <v>1237</v>
      </c>
      <c r="Z53" s="127">
        <f t="shared" si="0"/>
        <v>126.80800000000001</v>
      </c>
    </row>
    <row r="54" spans="1:26" ht="17" customHeight="1">
      <c r="A54" s="133">
        <v>113025</v>
      </c>
      <c r="B54" s="115" t="s">
        <v>1351</v>
      </c>
      <c r="C54" s="115">
        <v>111.75</v>
      </c>
      <c r="D54" s="124">
        <v>-3.0999999999999999E-3</v>
      </c>
      <c r="E54" s="133" t="s">
        <v>1352</v>
      </c>
      <c r="F54" s="115">
        <v>10.93</v>
      </c>
      <c r="G54" s="124">
        <v>-1.8E-3</v>
      </c>
      <c r="H54" s="115">
        <v>0.96</v>
      </c>
      <c r="I54" s="115">
        <v>11.3</v>
      </c>
      <c r="J54" s="115">
        <v>96.73</v>
      </c>
      <c r="K54" s="116">
        <v>0.15529999999999999</v>
      </c>
      <c r="L54" s="133" t="s">
        <v>1235</v>
      </c>
      <c r="M54" s="115" t="s">
        <v>1236</v>
      </c>
      <c r="N54" s="133" t="s">
        <v>1235</v>
      </c>
      <c r="O54" s="115">
        <v>7.91</v>
      </c>
      <c r="P54" s="115">
        <v>14.69</v>
      </c>
      <c r="Q54" s="116">
        <v>0.27300000000000002</v>
      </c>
      <c r="R54" s="116">
        <v>2.0799999999999999E-2</v>
      </c>
      <c r="S54" s="117">
        <v>45756</v>
      </c>
      <c r="T54" s="115">
        <v>5.2930000000000001</v>
      </c>
      <c r="U54" s="116">
        <v>6.4000000000000003E-3</v>
      </c>
      <c r="V54" s="116">
        <v>1.1000000000000001E-3</v>
      </c>
      <c r="W54" s="133" t="s">
        <v>1235</v>
      </c>
      <c r="X54" s="115">
        <v>151.27000000000001</v>
      </c>
      <c r="Y54" s="133" t="s">
        <v>1237</v>
      </c>
      <c r="Z54" s="127">
        <f t="shared" si="0"/>
        <v>127.28</v>
      </c>
    </row>
    <row r="55" spans="1:26" ht="17" customHeight="1">
      <c r="A55" s="133">
        <v>123012</v>
      </c>
      <c r="B55" s="115" t="s">
        <v>1353</v>
      </c>
      <c r="C55" s="115">
        <v>121.81</v>
      </c>
      <c r="D55" s="124">
        <v>-1.6000000000000001E-3</v>
      </c>
      <c r="E55" s="133" t="s">
        <v>1354</v>
      </c>
      <c r="F55" s="115">
        <v>6.18</v>
      </c>
      <c r="G55" s="124">
        <v>-3.2000000000000002E-3</v>
      </c>
      <c r="H55" s="115">
        <v>1.25</v>
      </c>
      <c r="I55" s="115">
        <v>5.36</v>
      </c>
      <c r="J55" s="115">
        <v>115.3</v>
      </c>
      <c r="K55" s="116">
        <v>5.6500000000000002E-2</v>
      </c>
      <c r="L55" s="133" t="s">
        <v>1235</v>
      </c>
      <c r="M55" s="115" t="s">
        <v>1247</v>
      </c>
      <c r="N55" s="133" t="s">
        <v>1235</v>
      </c>
      <c r="O55" s="115">
        <v>3.75</v>
      </c>
      <c r="P55" s="115">
        <v>6.97</v>
      </c>
      <c r="Q55" s="116">
        <v>3.2000000000000001E-2</v>
      </c>
      <c r="R55" s="116">
        <v>3.4000000000000002E-2</v>
      </c>
      <c r="S55" s="117">
        <v>45493</v>
      </c>
      <c r="T55" s="115">
        <v>4.5730000000000004</v>
      </c>
      <c r="U55" s="116">
        <v>-2.07E-2</v>
      </c>
      <c r="V55" s="116">
        <v>-2.5000000000000001E-2</v>
      </c>
      <c r="W55" s="133" t="s">
        <v>1235</v>
      </c>
      <c r="X55" s="115">
        <v>12.05</v>
      </c>
      <c r="Y55" s="133" t="s">
        <v>1237</v>
      </c>
      <c r="Z55" s="127">
        <f t="shared" si="0"/>
        <v>127.46000000000001</v>
      </c>
    </row>
    <row r="56" spans="1:26" ht="17" customHeight="1">
      <c r="A56" s="133">
        <v>113511</v>
      </c>
      <c r="B56" s="115" t="s">
        <v>1355</v>
      </c>
      <c r="C56" s="115">
        <v>121.47</v>
      </c>
      <c r="D56" s="124">
        <v>-2.2000000000000001E-3</v>
      </c>
      <c r="E56" s="133" t="s">
        <v>1356</v>
      </c>
      <c r="F56" s="115">
        <v>20.96</v>
      </c>
      <c r="G56" s="124">
        <v>-8.9999999999999993E-3</v>
      </c>
      <c r="H56" s="115">
        <v>6.44</v>
      </c>
      <c r="I56" s="115">
        <v>18.309999999999999</v>
      </c>
      <c r="J56" s="115">
        <v>114.47</v>
      </c>
      <c r="K56" s="116">
        <v>6.1199999999999997E-2</v>
      </c>
      <c r="L56" s="133" t="s">
        <v>1235</v>
      </c>
      <c r="M56" s="115" t="s">
        <v>1247</v>
      </c>
      <c r="N56" s="133" t="s">
        <v>1235</v>
      </c>
      <c r="O56" s="115">
        <v>12.82</v>
      </c>
      <c r="P56" s="115">
        <v>23.8</v>
      </c>
      <c r="Q56" s="116">
        <v>1.9E-2</v>
      </c>
      <c r="R56" s="116">
        <v>0.2989</v>
      </c>
      <c r="S56" s="117">
        <v>45462</v>
      </c>
      <c r="T56" s="115">
        <v>4.4880000000000004</v>
      </c>
      <c r="U56" s="116">
        <v>-1.67E-2</v>
      </c>
      <c r="V56" s="116">
        <v>-2.1700000000000001E-2</v>
      </c>
      <c r="W56" s="133" t="s">
        <v>1235</v>
      </c>
      <c r="X56" s="115">
        <v>67.44</v>
      </c>
      <c r="Y56" s="133" t="s">
        <v>1237</v>
      </c>
      <c r="Z56" s="127">
        <f t="shared" si="0"/>
        <v>127.59</v>
      </c>
    </row>
    <row r="57" spans="1:26" ht="17" customHeight="1">
      <c r="A57" s="133">
        <v>128071</v>
      </c>
      <c r="B57" s="115" t="s">
        <v>1357</v>
      </c>
      <c r="C57" s="115">
        <v>108.8</v>
      </c>
      <c r="D57" s="124">
        <v>-1.9E-3</v>
      </c>
      <c r="E57" s="133" t="s">
        <v>1358</v>
      </c>
      <c r="F57" s="115">
        <v>4.01</v>
      </c>
      <c r="G57" s="124">
        <v>-7.4000000000000003E-3</v>
      </c>
      <c r="H57" s="115">
        <v>1.59</v>
      </c>
      <c r="I57" s="115">
        <v>4.38</v>
      </c>
      <c r="J57" s="115">
        <v>91.55</v>
      </c>
      <c r="K57" s="118">
        <v>0.18840000000000001</v>
      </c>
      <c r="L57" s="133" t="s">
        <v>1235</v>
      </c>
      <c r="M57" s="115" t="s">
        <v>1236</v>
      </c>
      <c r="N57" s="133" t="s">
        <v>1235</v>
      </c>
      <c r="O57" s="115">
        <v>3.07</v>
      </c>
      <c r="P57" s="115">
        <v>5.69</v>
      </c>
      <c r="Q57" s="116">
        <v>0.127</v>
      </c>
      <c r="R57" s="115" t="s">
        <v>1241</v>
      </c>
      <c r="S57" s="117">
        <v>45884</v>
      </c>
      <c r="T57" s="115">
        <v>5.6440000000000001</v>
      </c>
      <c r="U57" s="116">
        <v>1.0200000000000001E-2</v>
      </c>
      <c r="V57" s="116">
        <v>5.4000000000000003E-3</v>
      </c>
      <c r="W57" s="133" t="s">
        <v>1235</v>
      </c>
      <c r="X57" s="115">
        <v>106.75</v>
      </c>
      <c r="Y57" s="133" t="s">
        <v>1237</v>
      </c>
      <c r="Z57" s="127">
        <f t="shared" si="0"/>
        <v>127.64</v>
      </c>
    </row>
    <row r="58" spans="1:26" ht="17" customHeight="1">
      <c r="A58" s="133">
        <v>123010</v>
      </c>
      <c r="B58" s="115" t="s">
        <v>1359</v>
      </c>
      <c r="C58" s="115">
        <v>102.631</v>
      </c>
      <c r="D58" s="125">
        <v>1E-4</v>
      </c>
      <c r="E58" s="133" t="s">
        <v>1360</v>
      </c>
      <c r="F58" s="115">
        <v>10.14</v>
      </c>
      <c r="G58" s="125">
        <v>3.0000000000000001E-3</v>
      </c>
      <c r="H58" s="115">
        <v>2.06</v>
      </c>
      <c r="I58" s="123" t="s">
        <v>1361</v>
      </c>
      <c r="J58" s="115">
        <v>81.91</v>
      </c>
      <c r="K58" s="116">
        <v>0.253</v>
      </c>
      <c r="L58" s="133" t="s">
        <v>1235</v>
      </c>
      <c r="M58" s="115" t="s">
        <v>1247</v>
      </c>
      <c r="N58" s="133" t="s">
        <v>1235</v>
      </c>
      <c r="O58" s="115">
        <v>8.67</v>
      </c>
      <c r="P58" s="115">
        <v>16.09</v>
      </c>
      <c r="Q58" s="116">
        <v>0.11899999999999999</v>
      </c>
      <c r="R58" s="116">
        <v>0.30370000000000003</v>
      </c>
      <c r="S58" s="117">
        <v>45478</v>
      </c>
      <c r="T58" s="115">
        <v>4.532</v>
      </c>
      <c r="U58" s="116">
        <v>2.1700000000000001E-2</v>
      </c>
      <c r="V58" s="116">
        <v>1.6299999999999999E-2</v>
      </c>
      <c r="W58" s="133" t="s">
        <v>1235</v>
      </c>
      <c r="X58" s="115">
        <v>72.14</v>
      </c>
      <c r="Y58" s="133" t="s">
        <v>1237</v>
      </c>
      <c r="Z58" s="127">
        <f t="shared" si="0"/>
        <v>127.931</v>
      </c>
    </row>
    <row r="59" spans="1:26" ht="17" customHeight="1">
      <c r="A59" s="133">
        <v>113545</v>
      </c>
      <c r="B59" s="115" t="s">
        <v>1362</v>
      </c>
      <c r="C59" s="115">
        <v>109.01</v>
      </c>
      <c r="D59" s="124">
        <v>-2.0000000000000001E-4</v>
      </c>
      <c r="E59" s="133" t="s">
        <v>1363</v>
      </c>
      <c r="F59" s="115">
        <v>10.58</v>
      </c>
      <c r="G59" s="124">
        <v>-1.9E-3</v>
      </c>
      <c r="H59" s="115">
        <v>1.31</v>
      </c>
      <c r="I59" s="115">
        <v>11.55</v>
      </c>
      <c r="J59" s="115">
        <v>91.6</v>
      </c>
      <c r="K59" s="118">
        <v>0.19009999999999999</v>
      </c>
      <c r="L59" s="133" t="s">
        <v>1235</v>
      </c>
      <c r="M59" s="115" t="s">
        <v>1236</v>
      </c>
      <c r="N59" s="133" t="s">
        <v>1235</v>
      </c>
      <c r="O59" s="115">
        <v>8.09</v>
      </c>
      <c r="P59" s="115">
        <v>15.02</v>
      </c>
      <c r="Q59" s="116">
        <v>0.21</v>
      </c>
      <c r="R59" s="115" t="s">
        <v>1241</v>
      </c>
      <c r="S59" s="117">
        <v>45943</v>
      </c>
      <c r="T59" s="115">
        <v>5.8049999999999997</v>
      </c>
      <c r="U59" s="116">
        <v>9.9000000000000008E-3</v>
      </c>
      <c r="V59" s="116">
        <v>5.1000000000000004E-3</v>
      </c>
      <c r="W59" s="133" t="s">
        <v>1235</v>
      </c>
      <c r="X59" s="115">
        <v>246.53</v>
      </c>
      <c r="Y59" s="133" t="s">
        <v>1237</v>
      </c>
      <c r="Z59" s="127">
        <f t="shared" si="0"/>
        <v>128.02000000000001</v>
      </c>
    </row>
    <row r="60" spans="1:26" ht="17" customHeight="1">
      <c r="A60" s="133">
        <v>123015</v>
      </c>
      <c r="B60" s="115" t="s">
        <v>1364</v>
      </c>
      <c r="C60" s="115">
        <v>113.702</v>
      </c>
      <c r="D60" s="125">
        <v>9.2999999999999992E-3</v>
      </c>
      <c r="E60" s="133" t="s">
        <v>1365</v>
      </c>
      <c r="F60" s="115">
        <v>5.75</v>
      </c>
      <c r="G60" s="125">
        <v>2.1299999999999999E-2</v>
      </c>
      <c r="H60" s="115">
        <v>1.45</v>
      </c>
      <c r="I60" s="123" t="s">
        <v>1366</v>
      </c>
      <c r="J60" s="115">
        <v>99.31</v>
      </c>
      <c r="K60" s="116">
        <v>0.1449</v>
      </c>
      <c r="L60" s="133" t="s">
        <v>1235</v>
      </c>
      <c r="M60" s="115" t="s">
        <v>1236</v>
      </c>
      <c r="N60" s="133" t="s">
        <v>1235</v>
      </c>
      <c r="O60" s="115">
        <v>4.05</v>
      </c>
      <c r="P60" s="115">
        <v>7.53</v>
      </c>
      <c r="Q60" s="116">
        <v>1.4E-2</v>
      </c>
      <c r="R60" s="116">
        <v>1.34E-2</v>
      </c>
      <c r="S60" s="117">
        <v>45517</v>
      </c>
      <c r="T60" s="115">
        <v>4.6379999999999999</v>
      </c>
      <c r="U60" s="116">
        <v>-1.6000000000000001E-3</v>
      </c>
      <c r="V60" s="116">
        <v>-6.6E-3</v>
      </c>
      <c r="W60" s="133" t="s">
        <v>1235</v>
      </c>
      <c r="X60" s="115">
        <v>92.61</v>
      </c>
      <c r="Y60" s="133" t="s">
        <v>1237</v>
      </c>
      <c r="Z60" s="127">
        <f t="shared" si="0"/>
        <v>128.19200000000001</v>
      </c>
    </row>
    <row r="61" spans="1:26" ht="17" customHeight="1">
      <c r="A61" s="133">
        <v>128044</v>
      </c>
      <c r="B61" s="115" t="s">
        <v>1367</v>
      </c>
      <c r="C61" s="115">
        <v>101.622</v>
      </c>
      <c r="D61" s="124">
        <v>-2.9999999999999997E-4</v>
      </c>
      <c r="E61" s="133" t="s">
        <v>1368</v>
      </c>
      <c r="F61" s="115">
        <v>4.74</v>
      </c>
      <c r="G61" s="124">
        <v>-8.3999999999999995E-3</v>
      </c>
      <c r="H61" s="115">
        <v>1.53</v>
      </c>
      <c r="I61" s="123" t="s">
        <v>1369</v>
      </c>
      <c r="J61" s="115">
        <v>80.069999999999993</v>
      </c>
      <c r="K61" s="116">
        <v>0.26919999999999999</v>
      </c>
      <c r="L61" s="133" t="s">
        <v>1235</v>
      </c>
      <c r="M61" s="115" t="s">
        <v>1236</v>
      </c>
      <c r="N61" s="133" t="s">
        <v>1235</v>
      </c>
      <c r="O61" s="115">
        <v>4.1399999999999997</v>
      </c>
      <c r="P61" s="115">
        <v>7.7</v>
      </c>
      <c r="Q61" s="116">
        <v>0.09</v>
      </c>
      <c r="R61" s="116">
        <v>0.26240000000000002</v>
      </c>
      <c r="S61" s="117">
        <v>45518</v>
      </c>
      <c r="T61" s="115">
        <v>4.641</v>
      </c>
      <c r="U61" s="116">
        <v>2.12E-2</v>
      </c>
      <c r="V61" s="116">
        <v>1.6400000000000001E-2</v>
      </c>
      <c r="W61" s="133" t="s">
        <v>1235</v>
      </c>
      <c r="X61" s="115">
        <v>151.83000000000001</v>
      </c>
      <c r="Y61" s="133" t="s">
        <v>1237</v>
      </c>
      <c r="Z61" s="127">
        <f t="shared" si="0"/>
        <v>128.542</v>
      </c>
    </row>
    <row r="62" spans="1:26" ht="17" customHeight="1">
      <c r="A62" s="133">
        <v>128036</v>
      </c>
      <c r="B62" s="115" t="s">
        <v>1370</v>
      </c>
      <c r="C62" s="115">
        <v>107.651</v>
      </c>
      <c r="D62" s="124">
        <v>-6.4999999999999997E-3</v>
      </c>
      <c r="E62" s="133" t="s">
        <v>1371</v>
      </c>
      <c r="F62" s="115">
        <v>8.56</v>
      </c>
      <c r="G62" s="124">
        <v>-1.2699999999999999E-2</v>
      </c>
      <c r="H62" s="115">
        <v>2.16</v>
      </c>
      <c r="I62" s="115">
        <v>9.6199999999999992</v>
      </c>
      <c r="J62" s="115">
        <v>88.98</v>
      </c>
      <c r="K62" s="116">
        <v>0.20979999999999999</v>
      </c>
      <c r="L62" s="133" t="s">
        <v>1235</v>
      </c>
      <c r="M62" s="115" t="s">
        <v>1247</v>
      </c>
      <c r="N62" s="133" t="s">
        <v>1235</v>
      </c>
      <c r="O62" s="115">
        <v>6.73</v>
      </c>
      <c r="P62" s="115">
        <v>12.51</v>
      </c>
      <c r="Q62" s="116">
        <v>0.04</v>
      </c>
      <c r="R62" s="116">
        <v>4.4400000000000002E-2</v>
      </c>
      <c r="S62" s="117">
        <v>45360</v>
      </c>
      <c r="T62" s="115">
        <v>4.2080000000000002</v>
      </c>
      <c r="U62" s="116">
        <v>7.1999999999999998E-3</v>
      </c>
      <c r="V62" s="116">
        <v>2.3999999999999998E-3</v>
      </c>
      <c r="W62" s="133" t="s">
        <v>1235</v>
      </c>
      <c r="X62" s="115">
        <v>23.81</v>
      </c>
      <c r="Y62" s="133" t="s">
        <v>1237</v>
      </c>
      <c r="Z62" s="127">
        <f t="shared" si="0"/>
        <v>128.631</v>
      </c>
    </row>
    <row r="63" spans="1:26" ht="17" customHeight="1">
      <c r="A63" s="133">
        <v>113523</v>
      </c>
      <c r="B63" s="115" t="s">
        <v>1372</v>
      </c>
      <c r="C63" s="115">
        <v>128.69999999999999</v>
      </c>
      <c r="D63" s="125">
        <v>8.0000000000000004E-4</v>
      </c>
      <c r="E63" s="133" t="s">
        <v>1373</v>
      </c>
      <c r="F63" s="115">
        <v>22.49</v>
      </c>
      <c r="G63" s="124">
        <v>-8.9999999999999998E-4</v>
      </c>
      <c r="H63" s="115">
        <v>5.56</v>
      </c>
      <c r="I63" s="115">
        <v>17.47</v>
      </c>
      <c r="J63" s="115">
        <v>128.72999999999999</v>
      </c>
      <c r="K63" s="116">
        <v>-2.0000000000000001E-4</v>
      </c>
      <c r="L63" s="133" t="s">
        <v>1235</v>
      </c>
      <c r="M63" s="115" t="s">
        <v>1236</v>
      </c>
      <c r="N63" s="133" t="s">
        <v>1235</v>
      </c>
      <c r="O63" s="115">
        <v>12.23</v>
      </c>
      <c r="P63" s="115">
        <v>22.71</v>
      </c>
      <c r="Q63" s="116">
        <v>1.0999999999999999E-2</v>
      </c>
      <c r="R63" s="116">
        <v>8.5800000000000001E-2</v>
      </c>
      <c r="S63" s="117">
        <v>45636</v>
      </c>
      <c r="T63" s="115">
        <v>4.9640000000000004</v>
      </c>
      <c r="U63" s="116">
        <v>-2.3E-2</v>
      </c>
      <c r="V63" s="116">
        <v>-2.81E-2</v>
      </c>
      <c r="W63" s="133" t="s">
        <v>1235</v>
      </c>
      <c r="X63" s="115">
        <v>423.54</v>
      </c>
      <c r="Y63" s="133" t="s">
        <v>1237</v>
      </c>
      <c r="Z63" s="127">
        <f t="shared" si="0"/>
        <v>128.67999999999998</v>
      </c>
    </row>
    <row r="64" spans="1:26" ht="17" customHeight="1">
      <c r="A64" s="133">
        <v>127012</v>
      </c>
      <c r="B64" s="115" t="s">
        <v>1374</v>
      </c>
      <c r="C64" s="115">
        <v>112.75</v>
      </c>
      <c r="D64" s="125">
        <v>3.3E-3</v>
      </c>
      <c r="E64" s="133" t="s">
        <v>1375</v>
      </c>
      <c r="F64" s="115">
        <v>8.84</v>
      </c>
      <c r="G64" s="125">
        <v>2.1999999999999999E-2</v>
      </c>
      <c r="H64" s="115">
        <v>1.1299999999999999</v>
      </c>
      <c r="I64" s="115">
        <v>9.09</v>
      </c>
      <c r="J64" s="115">
        <v>97.25</v>
      </c>
      <c r="K64" s="116">
        <v>0.15939999999999999</v>
      </c>
      <c r="L64" s="133" t="s">
        <v>1235</v>
      </c>
      <c r="M64" s="115" t="s">
        <v>1292</v>
      </c>
      <c r="N64" s="133" t="s">
        <v>1235</v>
      </c>
      <c r="O64" s="115">
        <v>6.36</v>
      </c>
      <c r="P64" s="115">
        <v>11.82</v>
      </c>
      <c r="Q64" s="116">
        <v>9.1999999999999998E-2</v>
      </c>
      <c r="R64" s="116">
        <v>4.4999999999999997E-3</v>
      </c>
      <c r="S64" s="117">
        <v>45737</v>
      </c>
      <c r="T64" s="115">
        <v>5.2409999999999997</v>
      </c>
      <c r="U64" s="116">
        <v>-7.7000000000000002E-3</v>
      </c>
      <c r="V64" s="116">
        <v>-1.0699999999999999E-2</v>
      </c>
      <c r="W64" s="133" t="s">
        <v>1235</v>
      </c>
      <c r="X64" s="115">
        <v>672.76</v>
      </c>
      <c r="Y64" s="133" t="s">
        <v>1237</v>
      </c>
      <c r="Z64" s="127">
        <f t="shared" si="0"/>
        <v>128.69</v>
      </c>
    </row>
    <row r="65" spans="1:26" ht="17" customHeight="1">
      <c r="A65" s="133">
        <v>113540</v>
      </c>
      <c r="B65" s="115" t="s">
        <v>1376</v>
      </c>
      <c r="C65" s="115">
        <v>122.95</v>
      </c>
      <c r="D65" s="125">
        <v>6.4999999999999997E-3</v>
      </c>
      <c r="E65" s="133" t="s">
        <v>1377</v>
      </c>
      <c r="F65" s="115">
        <v>11.74</v>
      </c>
      <c r="G65" s="125">
        <v>1.29E-2</v>
      </c>
      <c r="H65" s="115">
        <v>3.2</v>
      </c>
      <c r="I65" s="115">
        <v>10.130000000000001</v>
      </c>
      <c r="J65" s="115">
        <v>115.89</v>
      </c>
      <c r="K65" s="118">
        <v>6.0900000000000003E-2</v>
      </c>
      <c r="L65" s="133" t="s">
        <v>1235</v>
      </c>
      <c r="M65" s="115" t="s">
        <v>1247</v>
      </c>
      <c r="N65" s="133" t="s">
        <v>1235</v>
      </c>
      <c r="O65" s="115">
        <v>7.09</v>
      </c>
      <c r="P65" s="115">
        <v>13.17</v>
      </c>
      <c r="Q65" s="116">
        <v>0.107</v>
      </c>
      <c r="R65" s="115" t="s">
        <v>1241</v>
      </c>
      <c r="S65" s="117">
        <v>45852</v>
      </c>
      <c r="T65" s="115">
        <v>5.556</v>
      </c>
      <c r="U65" s="116">
        <v>-7.4999999999999997E-3</v>
      </c>
      <c r="V65" s="116">
        <v>-1.3100000000000001E-2</v>
      </c>
      <c r="W65" s="133" t="s">
        <v>1235</v>
      </c>
      <c r="X65" s="115">
        <v>314.14</v>
      </c>
      <c r="Y65" s="133" t="s">
        <v>1237</v>
      </c>
      <c r="Z65" s="127">
        <f t="shared" si="0"/>
        <v>129.04</v>
      </c>
    </row>
    <row r="66" spans="1:26" ht="17" customHeight="1">
      <c r="A66" s="133">
        <v>113515</v>
      </c>
      <c r="B66" s="115" t="s">
        <v>1378</v>
      </c>
      <c r="C66" s="115">
        <v>114.53</v>
      </c>
      <c r="D66" s="124">
        <v>-2E-3</v>
      </c>
      <c r="E66" s="133" t="s">
        <v>1379</v>
      </c>
      <c r="F66" s="115">
        <v>9.33</v>
      </c>
      <c r="G66" s="124">
        <v>-3.2000000000000002E-3</v>
      </c>
      <c r="H66" s="115">
        <v>2.04</v>
      </c>
      <c r="I66" s="115">
        <v>9.33</v>
      </c>
      <c r="J66" s="115">
        <v>100</v>
      </c>
      <c r="K66" s="116">
        <v>0.14530000000000001</v>
      </c>
      <c r="L66" s="133" t="s">
        <v>1235</v>
      </c>
      <c r="M66" s="115" t="s">
        <v>1236</v>
      </c>
      <c r="N66" s="133" t="s">
        <v>1235</v>
      </c>
      <c r="O66" s="115">
        <v>6.53</v>
      </c>
      <c r="P66" s="115">
        <v>12.13</v>
      </c>
      <c r="Q66" s="116">
        <v>0.113</v>
      </c>
      <c r="R66" s="116">
        <v>0.26840000000000003</v>
      </c>
      <c r="S66" s="117">
        <v>45499</v>
      </c>
      <c r="T66" s="115">
        <v>4.5890000000000004</v>
      </c>
      <c r="U66" s="116">
        <v>-3.2000000000000002E-3</v>
      </c>
      <c r="V66" s="116">
        <v>-8.3000000000000001E-3</v>
      </c>
      <c r="W66" s="133" t="s">
        <v>1235</v>
      </c>
      <c r="X66" s="115">
        <v>314.33999999999997</v>
      </c>
      <c r="Y66" s="133" t="s">
        <v>1237</v>
      </c>
      <c r="Z66" s="127">
        <f t="shared" si="0"/>
        <v>129.06</v>
      </c>
    </row>
    <row r="67" spans="1:26" ht="17" customHeight="1">
      <c r="A67" s="133">
        <v>128064</v>
      </c>
      <c r="B67" s="115" t="s">
        <v>1380</v>
      </c>
      <c r="C67" s="115">
        <v>99.245999999999995</v>
      </c>
      <c r="D67" s="125">
        <v>6.0000000000000001E-3</v>
      </c>
      <c r="E67" s="133" t="s">
        <v>1381</v>
      </c>
      <c r="F67" s="115">
        <v>4.7</v>
      </c>
      <c r="G67" s="125">
        <v>6.4000000000000003E-3</v>
      </c>
      <c r="H67" s="115">
        <v>0.89</v>
      </c>
      <c r="I67" s="115">
        <v>6.15</v>
      </c>
      <c r="J67" s="115">
        <v>76.42</v>
      </c>
      <c r="K67" s="116">
        <v>0.29870000000000002</v>
      </c>
      <c r="L67" s="133" t="s">
        <v>1235</v>
      </c>
      <c r="M67" s="115" t="s">
        <v>1236</v>
      </c>
      <c r="N67" s="133" t="s">
        <v>1235</v>
      </c>
      <c r="O67" s="115">
        <v>4.3</v>
      </c>
      <c r="P67" s="115">
        <v>8</v>
      </c>
      <c r="Q67" s="116">
        <v>0.23699999999999999</v>
      </c>
      <c r="R67" s="116">
        <v>1.3299999999999999E-2</v>
      </c>
      <c r="S67" s="117">
        <v>45755</v>
      </c>
      <c r="T67" s="115">
        <v>5.29</v>
      </c>
      <c r="U67" s="116">
        <v>2.9399999999999999E-2</v>
      </c>
      <c r="V67" s="116">
        <v>2.3900000000000001E-2</v>
      </c>
      <c r="W67" s="133" t="s">
        <v>1235</v>
      </c>
      <c r="X67" s="115">
        <v>261.63</v>
      </c>
      <c r="Y67" s="133" t="s">
        <v>1237</v>
      </c>
      <c r="Z67" s="127">
        <f t="shared" ref="Z67:Z130" si="1">C67+K67*100</f>
        <v>129.11599999999999</v>
      </c>
    </row>
    <row r="68" spans="1:26" ht="17" customHeight="1">
      <c r="A68" s="133">
        <v>132014</v>
      </c>
      <c r="B68" s="115" t="s">
        <v>1382</v>
      </c>
      <c r="C68" s="115">
        <v>104.45</v>
      </c>
      <c r="D68" s="124">
        <v>-1.9E-3</v>
      </c>
      <c r="E68" s="133" t="s">
        <v>1383</v>
      </c>
      <c r="F68" s="115">
        <v>6.35</v>
      </c>
      <c r="G68" s="116">
        <v>0</v>
      </c>
      <c r="H68" s="115">
        <v>0.9</v>
      </c>
      <c r="I68" s="115">
        <v>7.54</v>
      </c>
      <c r="J68" s="115">
        <v>84.22</v>
      </c>
      <c r="K68" s="116">
        <v>0.24740000000000001</v>
      </c>
      <c r="L68" s="133" t="s">
        <v>1235</v>
      </c>
      <c r="M68" s="115" t="s">
        <v>1292</v>
      </c>
      <c r="N68" s="133" t="s">
        <v>1235</v>
      </c>
      <c r="O68" s="115">
        <v>5.28</v>
      </c>
      <c r="P68" s="115">
        <v>9.8000000000000007</v>
      </c>
      <c r="Q68" s="116">
        <v>0.112</v>
      </c>
      <c r="R68" s="116">
        <v>0.2172</v>
      </c>
      <c r="S68" s="117">
        <v>45040</v>
      </c>
      <c r="T68" s="115">
        <v>3.3319999999999999</v>
      </c>
      <c r="U68" s="116">
        <v>1.2999999999999999E-2</v>
      </c>
      <c r="V68" s="116">
        <v>7.4999999999999997E-3</v>
      </c>
      <c r="W68" s="133" t="s">
        <v>1235</v>
      </c>
      <c r="X68" s="115">
        <v>22.87</v>
      </c>
      <c r="Y68" s="133" t="s">
        <v>1237</v>
      </c>
      <c r="Z68" s="127">
        <f t="shared" si="1"/>
        <v>129.19</v>
      </c>
    </row>
    <row r="69" spans="1:26" ht="17" customHeight="1">
      <c r="A69" s="133">
        <v>110047</v>
      </c>
      <c r="B69" s="115" t="s">
        <v>1384</v>
      </c>
      <c r="C69" s="115">
        <v>119.53</v>
      </c>
      <c r="D69" s="124">
        <v>-3.5000000000000001E-3</v>
      </c>
      <c r="E69" s="133" t="s">
        <v>1385</v>
      </c>
      <c r="F69" s="115">
        <v>3.64</v>
      </c>
      <c r="G69" s="124">
        <v>-2.7000000000000001E-3</v>
      </c>
      <c r="H69" s="115">
        <v>1.18</v>
      </c>
      <c r="I69" s="115">
        <v>3.34</v>
      </c>
      <c r="J69" s="115">
        <v>108.98</v>
      </c>
      <c r="K69" s="116">
        <v>9.6799999999999997E-2</v>
      </c>
      <c r="L69" s="133" t="s">
        <v>1235</v>
      </c>
      <c r="M69" s="115" t="s">
        <v>1331</v>
      </c>
      <c r="N69" s="133" t="s">
        <v>1235</v>
      </c>
      <c r="O69" s="115">
        <v>2.34</v>
      </c>
      <c r="P69" s="115">
        <v>4.34</v>
      </c>
      <c r="Q69" s="116">
        <v>0.13800000000000001</v>
      </c>
      <c r="R69" s="116">
        <v>0.24379999999999999</v>
      </c>
      <c r="S69" s="117">
        <v>45617</v>
      </c>
      <c r="T69" s="115">
        <v>4.9119999999999999</v>
      </c>
      <c r="U69" s="116">
        <v>-2.5000000000000001E-3</v>
      </c>
      <c r="V69" s="116">
        <v>-8.8999999999999999E-3</v>
      </c>
      <c r="W69" s="133" t="s">
        <v>1235</v>
      </c>
      <c r="X69" s="115">
        <v>759.18</v>
      </c>
      <c r="Y69" s="133" t="s">
        <v>1237</v>
      </c>
      <c r="Z69" s="127">
        <f t="shared" si="1"/>
        <v>129.21</v>
      </c>
    </row>
    <row r="70" spans="1:26" ht="17" customHeight="1">
      <c r="A70" s="133">
        <v>113542</v>
      </c>
      <c r="B70" s="115" t="s">
        <v>1386</v>
      </c>
      <c r="C70" s="115">
        <v>110.98</v>
      </c>
      <c r="D70" s="124">
        <v>-2.9999999999999997E-4</v>
      </c>
      <c r="E70" s="133" t="s">
        <v>1387</v>
      </c>
      <c r="F70" s="115">
        <v>15.6</v>
      </c>
      <c r="G70" s="124">
        <v>-1.52E-2</v>
      </c>
      <c r="H70" s="115">
        <v>1.91</v>
      </c>
      <c r="I70" s="115">
        <v>16.62</v>
      </c>
      <c r="J70" s="115">
        <v>93.86</v>
      </c>
      <c r="K70" s="118">
        <v>0.18240000000000001</v>
      </c>
      <c r="L70" s="133" t="s">
        <v>1235</v>
      </c>
      <c r="M70" s="115" t="s">
        <v>1236</v>
      </c>
      <c r="N70" s="133" t="s">
        <v>1235</v>
      </c>
      <c r="O70" s="115">
        <v>11.63</v>
      </c>
      <c r="P70" s="115">
        <v>21.61</v>
      </c>
      <c r="Q70" s="116">
        <v>0.13</v>
      </c>
      <c r="R70" s="115" t="s">
        <v>1241</v>
      </c>
      <c r="S70" s="117">
        <v>45869</v>
      </c>
      <c r="T70" s="115">
        <v>5.6029999999999998</v>
      </c>
      <c r="U70" s="116">
        <v>7.0000000000000001E-3</v>
      </c>
      <c r="V70" s="116">
        <v>2E-3</v>
      </c>
      <c r="W70" s="133" t="s">
        <v>1235</v>
      </c>
      <c r="X70" s="115">
        <v>81.209999999999994</v>
      </c>
      <c r="Y70" s="133" t="s">
        <v>1237</v>
      </c>
      <c r="Z70" s="127">
        <f t="shared" si="1"/>
        <v>129.22</v>
      </c>
    </row>
    <row r="71" spans="1:26" ht="17" customHeight="1">
      <c r="A71" s="133">
        <v>123011</v>
      </c>
      <c r="B71" s="115" t="s">
        <v>1388</v>
      </c>
      <c r="C71" s="115">
        <v>129.65899999999999</v>
      </c>
      <c r="D71" s="125">
        <v>5.1999999999999998E-3</v>
      </c>
      <c r="E71" s="133" t="s">
        <v>1389</v>
      </c>
      <c r="F71" s="115">
        <v>45.05</v>
      </c>
      <c r="G71" s="124">
        <v>-1.1000000000000001E-3</v>
      </c>
      <c r="H71" s="115">
        <v>2.44</v>
      </c>
      <c r="I71" s="115">
        <v>34.659999999999997</v>
      </c>
      <c r="J71" s="115">
        <v>129.97999999999999</v>
      </c>
      <c r="K71" s="116">
        <v>-2.5000000000000001E-3</v>
      </c>
      <c r="L71" s="133" t="s">
        <v>1235</v>
      </c>
      <c r="M71" s="115" t="s">
        <v>1247</v>
      </c>
      <c r="N71" s="133" t="s">
        <v>1235</v>
      </c>
      <c r="O71" s="115">
        <v>24.26</v>
      </c>
      <c r="P71" s="115">
        <v>45.06</v>
      </c>
      <c r="Q71" s="116">
        <v>6.5000000000000002E-2</v>
      </c>
      <c r="R71" s="116">
        <v>0.26450000000000001</v>
      </c>
      <c r="S71" s="117">
        <v>45491</v>
      </c>
      <c r="T71" s="115">
        <v>4.5670000000000002</v>
      </c>
      <c r="U71" s="116">
        <v>-2.2499999999999999E-2</v>
      </c>
      <c r="V71" s="116">
        <v>-2.8799999999999999E-2</v>
      </c>
      <c r="W71" s="133" t="s">
        <v>1235</v>
      </c>
      <c r="X71" s="115">
        <v>530.67999999999995</v>
      </c>
      <c r="Y71" s="133" t="s">
        <v>1237</v>
      </c>
      <c r="Z71" s="127">
        <f t="shared" si="1"/>
        <v>129.40899999999999</v>
      </c>
    </row>
    <row r="72" spans="1:26" ht="17" customHeight="1">
      <c r="A72" s="133">
        <v>113504</v>
      </c>
      <c r="B72" s="115" t="s">
        <v>1390</v>
      </c>
      <c r="C72" s="115">
        <v>116.22</v>
      </c>
      <c r="D72" s="125">
        <v>1.6799999999999999E-2</v>
      </c>
      <c r="E72" s="133" t="s">
        <v>1391</v>
      </c>
      <c r="F72" s="115">
        <v>21.98</v>
      </c>
      <c r="G72" s="125">
        <v>3.9199999999999999E-2</v>
      </c>
      <c r="H72" s="115">
        <v>3.97</v>
      </c>
      <c r="I72" s="123" t="s">
        <v>1392</v>
      </c>
      <c r="J72" s="115">
        <v>102.57</v>
      </c>
      <c r="K72" s="116">
        <v>0.1331</v>
      </c>
      <c r="L72" s="133" t="s">
        <v>1235</v>
      </c>
      <c r="M72" s="115" t="s">
        <v>1236</v>
      </c>
      <c r="N72" s="133" t="s">
        <v>1235</v>
      </c>
      <c r="O72" s="115">
        <v>15</v>
      </c>
      <c r="P72" s="115">
        <v>27.86</v>
      </c>
      <c r="Q72" s="116">
        <v>8.1000000000000003E-2</v>
      </c>
      <c r="R72" s="116">
        <v>0.2054</v>
      </c>
      <c r="S72" s="117">
        <v>45352</v>
      </c>
      <c r="T72" s="115">
        <v>4.1859999999999999</v>
      </c>
      <c r="U72" s="116">
        <v>-1.1599999999999999E-2</v>
      </c>
      <c r="V72" s="116">
        <v>-1.6299999999999999E-2</v>
      </c>
      <c r="W72" s="133" t="s">
        <v>1235</v>
      </c>
      <c r="X72" s="115">
        <v>150.53</v>
      </c>
      <c r="Y72" s="133" t="s">
        <v>1237</v>
      </c>
      <c r="Z72" s="127">
        <f t="shared" si="1"/>
        <v>129.53</v>
      </c>
    </row>
    <row r="73" spans="1:26" ht="17" customHeight="1">
      <c r="A73" s="133">
        <v>132020</v>
      </c>
      <c r="B73" s="115" t="s">
        <v>1393</v>
      </c>
      <c r="C73" s="115">
        <v>111.87</v>
      </c>
      <c r="D73" s="124">
        <v>-1.1999999999999999E-3</v>
      </c>
      <c r="E73" s="133" t="s">
        <v>1394</v>
      </c>
      <c r="F73" s="115">
        <v>10.9</v>
      </c>
      <c r="G73" s="124">
        <v>-9.1000000000000004E-3</v>
      </c>
      <c r="H73" s="115">
        <v>2.11</v>
      </c>
      <c r="I73" s="115">
        <v>11.46</v>
      </c>
      <c r="J73" s="115">
        <v>95.11</v>
      </c>
      <c r="K73" s="118">
        <v>0.1782</v>
      </c>
      <c r="L73" s="133" t="s">
        <v>1235</v>
      </c>
      <c r="M73" s="115" t="s">
        <v>1292</v>
      </c>
      <c r="N73" s="133" t="s">
        <v>1235</v>
      </c>
      <c r="O73" s="115">
        <v>8.02</v>
      </c>
      <c r="P73" s="115">
        <v>14.9</v>
      </c>
      <c r="Q73" s="116">
        <v>0.154</v>
      </c>
      <c r="R73" s="115" t="s">
        <v>1241</v>
      </c>
      <c r="S73" s="117">
        <v>45583</v>
      </c>
      <c r="T73" s="115">
        <v>4.819</v>
      </c>
      <c r="U73" s="116">
        <v>3.5999999999999999E-3</v>
      </c>
      <c r="V73" s="116">
        <v>-1.6000000000000001E-3</v>
      </c>
      <c r="W73" s="133" t="s">
        <v>1235</v>
      </c>
      <c r="X73" s="115">
        <v>1271.6300000000001</v>
      </c>
      <c r="Y73" s="133" t="s">
        <v>1237</v>
      </c>
      <c r="Z73" s="127">
        <f t="shared" si="1"/>
        <v>129.69</v>
      </c>
    </row>
    <row r="74" spans="1:26" ht="17" customHeight="1">
      <c r="A74" s="133">
        <v>127007</v>
      </c>
      <c r="B74" s="115" t="s">
        <v>1395</v>
      </c>
      <c r="C74" s="115">
        <v>112.599</v>
      </c>
      <c r="D74" s="125">
        <v>7.4999999999999997E-3</v>
      </c>
      <c r="E74" s="133" t="s">
        <v>1396</v>
      </c>
      <c r="F74" s="115">
        <v>5.39</v>
      </c>
      <c r="G74" s="125">
        <v>1.32E-2</v>
      </c>
      <c r="H74" s="115">
        <v>0.76</v>
      </c>
      <c r="I74" s="123" t="s">
        <v>1397</v>
      </c>
      <c r="J74" s="115">
        <v>96.08</v>
      </c>
      <c r="K74" s="116">
        <v>0.1719</v>
      </c>
      <c r="L74" s="133" t="s">
        <v>1235</v>
      </c>
      <c r="M74" s="115" t="s">
        <v>1331</v>
      </c>
      <c r="N74" s="133" t="s">
        <v>1235</v>
      </c>
      <c r="O74" s="115">
        <v>3.93</v>
      </c>
      <c r="P74" s="115">
        <v>7.29</v>
      </c>
      <c r="Q74" s="116">
        <v>0.254</v>
      </c>
      <c r="R74" s="116">
        <v>0.13150000000000001</v>
      </c>
      <c r="S74" s="117">
        <v>45471</v>
      </c>
      <c r="T74" s="115">
        <v>4.5119999999999996</v>
      </c>
      <c r="U74" s="116">
        <v>1E-3</v>
      </c>
      <c r="V74" s="116">
        <v>-4.3E-3</v>
      </c>
      <c r="W74" s="133" t="s">
        <v>1235</v>
      </c>
      <c r="X74" s="115">
        <v>396.18</v>
      </c>
      <c r="Y74" s="133" t="s">
        <v>1237</v>
      </c>
      <c r="Z74" s="127">
        <f t="shared" si="1"/>
        <v>129.78900000000002</v>
      </c>
    </row>
    <row r="75" spans="1:26" ht="17" customHeight="1">
      <c r="A75" s="133">
        <v>110050</v>
      </c>
      <c r="B75" s="115" t="s">
        <v>1398</v>
      </c>
      <c r="C75" s="115">
        <v>124.45</v>
      </c>
      <c r="D75" s="125">
        <v>5.1999999999999998E-3</v>
      </c>
      <c r="E75" s="133" t="s">
        <v>1399</v>
      </c>
      <c r="F75" s="115">
        <v>9.32</v>
      </c>
      <c r="G75" s="125">
        <v>1.6400000000000001E-2</v>
      </c>
      <c r="H75" s="115">
        <v>3.26</v>
      </c>
      <c r="I75" s="115">
        <v>7.89</v>
      </c>
      <c r="J75" s="115">
        <v>118.12</v>
      </c>
      <c r="K75" s="116">
        <v>5.3600000000000002E-2</v>
      </c>
      <c r="L75" s="133" t="s">
        <v>1235</v>
      </c>
      <c r="M75" s="115" t="s">
        <v>1236</v>
      </c>
      <c r="N75" s="133" t="s">
        <v>1235</v>
      </c>
      <c r="O75" s="115">
        <v>5.52</v>
      </c>
      <c r="P75" s="115">
        <v>10.26</v>
      </c>
      <c r="Q75" s="116">
        <v>4.2000000000000003E-2</v>
      </c>
      <c r="R75" s="116">
        <v>0.20369999999999999</v>
      </c>
      <c r="S75" s="117">
        <v>45644</v>
      </c>
      <c r="T75" s="115">
        <v>4.9859999999999998</v>
      </c>
      <c r="U75" s="116">
        <v>-1.7899999999999999E-2</v>
      </c>
      <c r="V75" s="116">
        <v>-2.2800000000000001E-2</v>
      </c>
      <c r="W75" s="133" t="s">
        <v>1235</v>
      </c>
      <c r="X75" s="115">
        <v>477.96</v>
      </c>
      <c r="Y75" s="133" t="s">
        <v>1237</v>
      </c>
      <c r="Z75" s="127">
        <f t="shared" si="1"/>
        <v>129.81</v>
      </c>
    </row>
    <row r="76" spans="1:26" ht="17" customHeight="1">
      <c r="A76" s="133">
        <v>113547</v>
      </c>
      <c r="B76" s="115" t="s">
        <v>1400</v>
      </c>
      <c r="C76" s="115">
        <v>120.2</v>
      </c>
      <c r="D76" s="124">
        <v>-8.0999999999999996E-3</v>
      </c>
      <c r="E76" s="133" t="s">
        <v>1401</v>
      </c>
      <c r="F76" s="115">
        <v>11.7</v>
      </c>
      <c r="G76" s="124">
        <v>-8.5000000000000006E-3</v>
      </c>
      <c r="H76" s="115">
        <v>1.59</v>
      </c>
      <c r="I76" s="115">
        <v>10.67</v>
      </c>
      <c r="J76" s="115">
        <v>109.65</v>
      </c>
      <c r="K76" s="118">
        <v>9.6199999999999994E-2</v>
      </c>
      <c r="L76" s="133" t="s">
        <v>1235</v>
      </c>
      <c r="M76" s="115" t="s">
        <v>1236</v>
      </c>
      <c r="N76" s="133" t="s">
        <v>1235</v>
      </c>
      <c r="O76" s="115">
        <v>7.47</v>
      </c>
      <c r="P76" s="115">
        <v>13.87</v>
      </c>
      <c r="Q76" s="116">
        <v>0.24</v>
      </c>
      <c r="R76" s="115" t="s">
        <v>1241</v>
      </c>
      <c r="S76" s="117">
        <v>45953</v>
      </c>
      <c r="T76" s="115">
        <v>5.8330000000000002</v>
      </c>
      <c r="U76" s="116">
        <v>-1.6000000000000001E-3</v>
      </c>
      <c r="V76" s="116">
        <v>-7.3000000000000001E-3</v>
      </c>
      <c r="W76" s="133" t="s">
        <v>1235</v>
      </c>
      <c r="X76" s="115">
        <v>212.46</v>
      </c>
      <c r="Y76" s="133" t="s">
        <v>1237</v>
      </c>
      <c r="Z76" s="127">
        <f t="shared" si="1"/>
        <v>129.82</v>
      </c>
    </row>
    <row r="77" spans="1:26" ht="17" customHeight="1">
      <c r="A77" s="133">
        <v>110033</v>
      </c>
      <c r="B77" s="115" t="s">
        <v>1402</v>
      </c>
      <c r="C77" s="115">
        <v>113.06</v>
      </c>
      <c r="D77" s="124">
        <v>-3.2000000000000002E-3</v>
      </c>
      <c r="E77" s="133" t="s">
        <v>1403</v>
      </c>
      <c r="F77" s="115">
        <v>7.16</v>
      </c>
      <c r="G77" s="124">
        <v>-2.8E-3</v>
      </c>
      <c r="H77" s="115">
        <v>0.55000000000000004</v>
      </c>
      <c r="I77" s="123" t="s">
        <v>1404</v>
      </c>
      <c r="J77" s="115">
        <v>96.5</v>
      </c>
      <c r="K77" s="116">
        <v>0.1716</v>
      </c>
      <c r="L77" s="133" t="s">
        <v>1235</v>
      </c>
      <c r="M77" s="115" t="s">
        <v>1292</v>
      </c>
      <c r="N77" s="133" t="s">
        <v>1235</v>
      </c>
      <c r="O77" s="115">
        <v>5.19</v>
      </c>
      <c r="P77" s="115">
        <v>9.65</v>
      </c>
      <c r="Q77" s="116">
        <v>9.0999999999999998E-2</v>
      </c>
      <c r="R77" s="116">
        <v>0.1142</v>
      </c>
      <c r="S77" s="117">
        <v>44566</v>
      </c>
      <c r="T77" s="115">
        <v>2.0329999999999999</v>
      </c>
      <c r="U77" s="116">
        <v>-8.6999999999999994E-3</v>
      </c>
      <c r="V77" s="116">
        <v>-1.8700000000000001E-2</v>
      </c>
      <c r="W77" s="133" t="s">
        <v>1235</v>
      </c>
      <c r="X77" s="115">
        <v>225.48</v>
      </c>
      <c r="Y77" s="133" t="s">
        <v>1237</v>
      </c>
      <c r="Z77" s="127">
        <f t="shared" si="1"/>
        <v>130.22</v>
      </c>
    </row>
    <row r="78" spans="1:26" ht="17" customHeight="1">
      <c r="A78" s="133">
        <v>123004</v>
      </c>
      <c r="B78" s="115" t="s">
        <v>1405</v>
      </c>
      <c r="C78" s="115">
        <v>100.00700000000001</v>
      </c>
      <c r="D78" s="125">
        <v>2.0000000000000001E-4</v>
      </c>
      <c r="E78" s="133" t="s">
        <v>1406</v>
      </c>
      <c r="F78" s="115">
        <v>3.05</v>
      </c>
      <c r="G78" s="116">
        <v>0</v>
      </c>
      <c r="H78" s="115">
        <v>1.1100000000000001</v>
      </c>
      <c r="I78" s="123" t="s">
        <v>1407</v>
      </c>
      <c r="J78" s="115">
        <v>76.63</v>
      </c>
      <c r="K78" s="116">
        <v>0.30509999999999998</v>
      </c>
      <c r="L78" s="133" t="s">
        <v>1235</v>
      </c>
      <c r="M78" s="115" t="s">
        <v>1236</v>
      </c>
      <c r="N78" s="133" t="s">
        <v>1235</v>
      </c>
      <c r="O78" s="115">
        <v>2.79</v>
      </c>
      <c r="P78" s="115">
        <v>5.17</v>
      </c>
      <c r="Q78" s="116">
        <v>0.11600000000000001</v>
      </c>
      <c r="R78" s="116">
        <v>0.1181</v>
      </c>
      <c r="S78" s="117">
        <v>45278</v>
      </c>
      <c r="T78" s="115">
        <v>3.984</v>
      </c>
      <c r="U78" s="116">
        <v>2.41E-2</v>
      </c>
      <c r="V78" s="116">
        <v>1.9400000000000001E-2</v>
      </c>
      <c r="W78" s="133" t="s">
        <v>1235</v>
      </c>
      <c r="X78" s="115">
        <v>82.07</v>
      </c>
      <c r="Y78" s="133" t="s">
        <v>1237</v>
      </c>
      <c r="Z78" s="127">
        <f t="shared" si="1"/>
        <v>130.517</v>
      </c>
    </row>
    <row r="79" spans="1:26" ht="17" customHeight="1">
      <c r="A79" s="133">
        <v>110056</v>
      </c>
      <c r="B79" s="115" t="s">
        <v>1408</v>
      </c>
      <c r="C79" s="115">
        <v>116.89</v>
      </c>
      <c r="D79" s="125">
        <v>1.12E-2</v>
      </c>
      <c r="E79" s="133" t="s">
        <v>1409</v>
      </c>
      <c r="F79" s="115">
        <v>16.07</v>
      </c>
      <c r="G79" s="125">
        <v>3.7000000000000002E-3</v>
      </c>
      <c r="H79" s="115">
        <v>2.2799999999999998</v>
      </c>
      <c r="I79" s="123" t="s">
        <v>1410</v>
      </c>
      <c r="J79" s="115">
        <v>102.49</v>
      </c>
      <c r="K79" s="116">
        <v>0.14050000000000001</v>
      </c>
      <c r="L79" s="133" t="s">
        <v>1235</v>
      </c>
      <c r="M79" s="115" t="s">
        <v>1331</v>
      </c>
      <c r="N79" s="133" t="s">
        <v>1235</v>
      </c>
      <c r="O79" s="115">
        <v>10.98</v>
      </c>
      <c r="P79" s="115">
        <v>20.38</v>
      </c>
      <c r="Q79" s="116">
        <v>5.7000000000000002E-2</v>
      </c>
      <c r="R79" s="116">
        <v>4.0000000000000002E-4</v>
      </c>
      <c r="S79" s="117">
        <v>45735</v>
      </c>
      <c r="T79" s="115">
        <v>5.2359999999999998</v>
      </c>
      <c r="U79" s="116">
        <v>-3.0000000000000001E-3</v>
      </c>
      <c r="V79" s="116">
        <v>-8.0999999999999996E-3</v>
      </c>
      <c r="W79" s="133" t="s">
        <v>1235</v>
      </c>
      <c r="X79" s="115">
        <v>497.27</v>
      </c>
      <c r="Y79" s="133" t="s">
        <v>1237</v>
      </c>
      <c r="Z79" s="127">
        <f t="shared" si="1"/>
        <v>130.94</v>
      </c>
    </row>
    <row r="80" spans="1:26" ht="17" customHeight="1">
      <c r="A80" s="133">
        <v>123020</v>
      </c>
      <c r="B80" s="115" t="s">
        <v>1411</v>
      </c>
      <c r="C80" s="115">
        <v>131.59899999999999</v>
      </c>
      <c r="D80" s="125">
        <v>2.35E-2</v>
      </c>
      <c r="E80" s="133" t="s">
        <v>1412</v>
      </c>
      <c r="F80" s="115">
        <v>19.760000000000002</v>
      </c>
      <c r="G80" s="125">
        <v>2.5399999999999999E-2</v>
      </c>
      <c r="H80" s="115">
        <v>3.91</v>
      </c>
      <c r="I80" s="115">
        <v>14.93</v>
      </c>
      <c r="J80" s="115">
        <v>132.35</v>
      </c>
      <c r="K80" s="116">
        <v>-5.7000000000000002E-3</v>
      </c>
      <c r="L80" s="133" t="s">
        <v>1235</v>
      </c>
      <c r="M80" s="115" t="s">
        <v>1247</v>
      </c>
      <c r="N80" s="133" t="s">
        <v>1235</v>
      </c>
      <c r="O80" s="115">
        <v>10.45</v>
      </c>
      <c r="P80" s="115">
        <v>19.41</v>
      </c>
      <c r="Q80" s="116">
        <v>6.7000000000000004E-2</v>
      </c>
      <c r="R80" s="116">
        <v>4.4299999999999999E-2</v>
      </c>
      <c r="S80" s="117">
        <v>45717</v>
      </c>
      <c r="T80" s="115">
        <v>5.1859999999999999</v>
      </c>
      <c r="U80" s="116">
        <v>-1.6299999999999999E-2</v>
      </c>
      <c r="V80" s="116">
        <v>-2.3E-2</v>
      </c>
      <c r="W80" s="133" t="s">
        <v>1235</v>
      </c>
      <c r="X80" s="115">
        <v>2136.5100000000002</v>
      </c>
      <c r="Y80" s="133" t="s">
        <v>1237</v>
      </c>
      <c r="Z80" s="127">
        <f t="shared" si="1"/>
        <v>131.029</v>
      </c>
    </row>
    <row r="81" spans="1:26" ht="17" customHeight="1">
      <c r="A81" s="133">
        <v>110046</v>
      </c>
      <c r="B81" s="115" t="s">
        <v>1413</v>
      </c>
      <c r="C81" s="115">
        <v>123.17</v>
      </c>
      <c r="D81" s="124">
        <v>-3.0999999999999999E-3</v>
      </c>
      <c r="E81" s="133" t="s">
        <v>1414</v>
      </c>
      <c r="F81" s="115">
        <v>12.25</v>
      </c>
      <c r="G81" s="124">
        <v>-4.8999999999999998E-3</v>
      </c>
      <c r="H81" s="115">
        <v>2.76</v>
      </c>
      <c r="I81" s="115">
        <v>10.73</v>
      </c>
      <c r="J81" s="115">
        <v>114.17</v>
      </c>
      <c r="K81" s="116">
        <v>7.8799999999999995E-2</v>
      </c>
      <c r="L81" s="133" t="s">
        <v>1235</v>
      </c>
      <c r="M81" s="115" t="s">
        <v>1331</v>
      </c>
      <c r="N81" s="133" t="s">
        <v>1235</v>
      </c>
      <c r="O81" s="115">
        <v>7.51</v>
      </c>
      <c r="P81" s="115">
        <v>13.95</v>
      </c>
      <c r="Q81" s="116">
        <v>0.10199999999999999</v>
      </c>
      <c r="R81" s="116">
        <v>0.25290000000000001</v>
      </c>
      <c r="S81" s="117">
        <v>45615</v>
      </c>
      <c r="T81" s="115">
        <v>4.907</v>
      </c>
      <c r="U81" s="116">
        <v>-1.4E-2</v>
      </c>
      <c r="V81" s="116">
        <v>-1.9300000000000001E-2</v>
      </c>
      <c r="W81" s="133" t="s">
        <v>1235</v>
      </c>
      <c r="X81" s="115">
        <v>1804.88</v>
      </c>
      <c r="Y81" s="133" t="s">
        <v>1237</v>
      </c>
      <c r="Z81" s="127">
        <f t="shared" si="1"/>
        <v>131.05000000000001</v>
      </c>
    </row>
    <row r="82" spans="1:26" ht="17" customHeight="1">
      <c r="A82" s="133">
        <v>128019</v>
      </c>
      <c r="B82" s="115" t="s">
        <v>1415</v>
      </c>
      <c r="C82" s="115">
        <v>124.801</v>
      </c>
      <c r="D82" s="124">
        <v>-1.1999999999999999E-3</v>
      </c>
      <c r="E82" s="133" t="s">
        <v>1416</v>
      </c>
      <c r="F82" s="115">
        <v>9.3000000000000007</v>
      </c>
      <c r="G82" s="125">
        <v>3.2000000000000002E-3</v>
      </c>
      <c r="H82" s="115">
        <v>2.37</v>
      </c>
      <c r="I82" s="115">
        <v>7.92</v>
      </c>
      <c r="J82" s="115">
        <v>117.42</v>
      </c>
      <c r="K82" s="116">
        <v>6.2899999999999998E-2</v>
      </c>
      <c r="L82" s="133" t="s">
        <v>1235</v>
      </c>
      <c r="M82" s="115" t="s">
        <v>1236</v>
      </c>
      <c r="N82" s="133" t="s">
        <v>1235</v>
      </c>
      <c r="O82" s="115">
        <v>5.54</v>
      </c>
      <c r="P82" s="115">
        <v>10.3</v>
      </c>
      <c r="Q82" s="116">
        <v>0.13300000000000001</v>
      </c>
      <c r="R82" s="116">
        <v>0.28660000000000002</v>
      </c>
      <c r="S82" s="117">
        <v>45238</v>
      </c>
      <c r="T82" s="115">
        <v>3.8740000000000001</v>
      </c>
      <c r="U82" s="116">
        <v>-3.3000000000000002E-2</v>
      </c>
      <c r="V82" s="116">
        <v>-3.7499999999999999E-2</v>
      </c>
      <c r="W82" s="133" t="s">
        <v>1235</v>
      </c>
      <c r="X82" s="115">
        <v>292.89</v>
      </c>
      <c r="Y82" s="133" t="s">
        <v>1237</v>
      </c>
      <c r="Z82" s="127">
        <f t="shared" si="1"/>
        <v>131.09100000000001</v>
      </c>
    </row>
    <row r="83" spans="1:26" ht="17" customHeight="1">
      <c r="A83" s="133">
        <v>123013</v>
      </c>
      <c r="B83" s="115" t="s">
        <v>1417</v>
      </c>
      <c r="C83" s="115">
        <v>101.374</v>
      </c>
      <c r="D83" s="125">
        <v>8.0000000000000004E-4</v>
      </c>
      <c r="E83" s="133" t="s">
        <v>1418</v>
      </c>
      <c r="F83" s="115">
        <v>7.2</v>
      </c>
      <c r="G83" s="125">
        <v>7.0000000000000001E-3</v>
      </c>
      <c r="H83" s="115">
        <v>3.26</v>
      </c>
      <c r="I83" s="115">
        <v>9.2200000000000006</v>
      </c>
      <c r="J83" s="115">
        <v>78.09</v>
      </c>
      <c r="K83" s="116">
        <v>0.29820000000000002</v>
      </c>
      <c r="L83" s="133" t="s">
        <v>1235</v>
      </c>
      <c r="M83" s="115" t="s">
        <v>1240</v>
      </c>
      <c r="N83" s="133" t="s">
        <v>1235</v>
      </c>
      <c r="O83" s="115">
        <v>6.45</v>
      </c>
      <c r="P83" s="115">
        <v>11.99</v>
      </c>
      <c r="Q83" s="116">
        <v>2.4E-2</v>
      </c>
      <c r="R83" s="116">
        <v>2.0999999999999999E-3</v>
      </c>
      <c r="S83" s="117">
        <v>45499</v>
      </c>
      <c r="T83" s="115">
        <v>4.5890000000000004</v>
      </c>
      <c r="U83" s="116">
        <v>3.0599999999999999E-2</v>
      </c>
      <c r="V83" s="116">
        <v>2.4E-2</v>
      </c>
      <c r="W83" s="133" t="s">
        <v>1235</v>
      </c>
      <c r="X83" s="115">
        <v>10.74</v>
      </c>
      <c r="Y83" s="133" t="s">
        <v>1237</v>
      </c>
      <c r="Z83" s="127">
        <f t="shared" si="1"/>
        <v>131.19399999999999</v>
      </c>
    </row>
    <row r="84" spans="1:26" ht="17" customHeight="1">
      <c r="A84" s="133">
        <v>113516</v>
      </c>
      <c r="B84" s="115" t="s">
        <v>1419</v>
      </c>
      <c r="C84" s="115">
        <v>110.6</v>
      </c>
      <c r="D84" s="124">
        <v>-1.9E-3</v>
      </c>
      <c r="E84" s="133" t="s">
        <v>1420</v>
      </c>
      <c r="F84" s="115">
        <v>5.2</v>
      </c>
      <c r="G84" s="124">
        <v>-3.8E-3</v>
      </c>
      <c r="H84" s="115">
        <v>0.82</v>
      </c>
      <c r="I84" s="115">
        <v>5.67</v>
      </c>
      <c r="J84" s="115">
        <v>91.71</v>
      </c>
      <c r="K84" s="116">
        <v>0.20599999999999999</v>
      </c>
      <c r="L84" s="133" t="s">
        <v>1235</v>
      </c>
      <c r="M84" s="115" t="s">
        <v>1331</v>
      </c>
      <c r="N84" s="133" t="s">
        <v>1235</v>
      </c>
      <c r="O84" s="115" t="s">
        <v>1241</v>
      </c>
      <c r="P84" s="115">
        <v>7.37</v>
      </c>
      <c r="Q84" s="116">
        <v>0.13700000000000001</v>
      </c>
      <c r="R84" s="116">
        <v>7.7200000000000005E-2</v>
      </c>
      <c r="S84" s="117">
        <v>45505</v>
      </c>
      <c r="T84" s="115">
        <v>4.6050000000000004</v>
      </c>
      <c r="U84" s="116">
        <v>8.8999999999999999E-3</v>
      </c>
      <c r="V84" s="116">
        <v>2.8999999999999998E-3</v>
      </c>
      <c r="W84" s="133" t="s">
        <v>1235</v>
      </c>
      <c r="X84" s="115">
        <v>166.8</v>
      </c>
      <c r="Y84" s="133" t="s">
        <v>1237</v>
      </c>
      <c r="Z84" s="127">
        <f t="shared" si="1"/>
        <v>131.19999999999999</v>
      </c>
    </row>
    <row r="85" spans="1:26" ht="17" customHeight="1">
      <c r="A85" s="133">
        <v>127013</v>
      </c>
      <c r="B85" s="115" t="s">
        <v>1421</v>
      </c>
      <c r="C85" s="115">
        <v>116</v>
      </c>
      <c r="D85" s="116">
        <v>0</v>
      </c>
      <c r="E85" s="133" t="s">
        <v>1422</v>
      </c>
      <c r="F85" s="115">
        <v>11.55</v>
      </c>
      <c r="G85" s="125">
        <v>6.1000000000000004E-3</v>
      </c>
      <c r="H85" s="115">
        <v>3.42</v>
      </c>
      <c r="I85" s="115">
        <v>11.49</v>
      </c>
      <c r="J85" s="115">
        <v>100.52</v>
      </c>
      <c r="K85" s="116">
        <v>0.154</v>
      </c>
      <c r="L85" s="133" t="s">
        <v>1235</v>
      </c>
      <c r="M85" s="115" t="s">
        <v>1236</v>
      </c>
      <c r="N85" s="133" t="s">
        <v>1235</v>
      </c>
      <c r="O85" s="115">
        <v>8.0399999999999991</v>
      </c>
      <c r="P85" s="115">
        <v>14.94</v>
      </c>
      <c r="Q85" s="116">
        <v>8.5000000000000006E-2</v>
      </c>
      <c r="R85" s="116">
        <v>1.4E-3</v>
      </c>
      <c r="S85" s="117">
        <v>45762</v>
      </c>
      <c r="T85" s="115">
        <v>5.31</v>
      </c>
      <c r="U85" s="116">
        <v>3.8E-3</v>
      </c>
      <c r="V85" s="116">
        <v>-2.3E-3</v>
      </c>
      <c r="W85" s="133" t="s">
        <v>1235</v>
      </c>
      <c r="X85" s="115">
        <v>130.46</v>
      </c>
      <c r="Y85" s="133" t="s">
        <v>1237</v>
      </c>
      <c r="Z85" s="127">
        <f t="shared" si="1"/>
        <v>131.4</v>
      </c>
    </row>
    <row r="86" spans="1:26" ht="17" customHeight="1">
      <c r="A86" s="133">
        <v>113525</v>
      </c>
      <c r="B86" s="115" t="s">
        <v>1423</v>
      </c>
      <c r="C86" s="115">
        <v>105.82</v>
      </c>
      <c r="D86" s="116">
        <v>0</v>
      </c>
      <c r="E86" s="133" t="s">
        <v>1424</v>
      </c>
      <c r="F86" s="115">
        <v>6.83</v>
      </c>
      <c r="G86" s="124">
        <v>-2.8999999999999998E-3</v>
      </c>
      <c r="H86" s="115">
        <v>1.98</v>
      </c>
      <c r="I86" s="115">
        <v>8.11</v>
      </c>
      <c r="J86" s="115">
        <v>84.22</v>
      </c>
      <c r="K86" s="116">
        <v>0.25650000000000001</v>
      </c>
      <c r="L86" s="133" t="s">
        <v>1235</v>
      </c>
      <c r="M86" s="115" t="s">
        <v>1236</v>
      </c>
      <c r="N86" s="133" t="s">
        <v>1235</v>
      </c>
      <c r="O86" s="115">
        <v>5.68</v>
      </c>
      <c r="P86" s="115">
        <v>10.54</v>
      </c>
      <c r="Q86" s="116">
        <v>0.10199999999999999</v>
      </c>
      <c r="R86" s="116">
        <v>0.2107</v>
      </c>
      <c r="S86" s="117">
        <v>45642</v>
      </c>
      <c r="T86" s="115">
        <v>4.9809999999999999</v>
      </c>
      <c r="U86" s="116">
        <v>1.7000000000000001E-2</v>
      </c>
      <c r="V86" s="116">
        <v>1.15E-2</v>
      </c>
      <c r="W86" s="133" t="s">
        <v>1235</v>
      </c>
      <c r="X86" s="115">
        <v>2.75</v>
      </c>
      <c r="Y86" s="133" t="s">
        <v>1237</v>
      </c>
      <c r="Z86" s="127">
        <f t="shared" si="1"/>
        <v>131.47</v>
      </c>
    </row>
    <row r="87" spans="1:26" ht="17" customHeight="1">
      <c r="A87" s="133">
        <v>113522</v>
      </c>
      <c r="B87" s="115" t="s">
        <v>1425</v>
      </c>
      <c r="C87" s="115">
        <v>123.02</v>
      </c>
      <c r="D87" s="125">
        <v>5.1000000000000004E-3</v>
      </c>
      <c r="E87" s="133" t="s">
        <v>1426</v>
      </c>
      <c r="F87" s="115">
        <v>33.5</v>
      </c>
      <c r="G87" s="125">
        <v>8.3999999999999995E-3</v>
      </c>
      <c r="H87" s="115">
        <v>9.06</v>
      </c>
      <c r="I87" s="115">
        <v>29.6</v>
      </c>
      <c r="J87" s="115">
        <v>113.18</v>
      </c>
      <c r="K87" s="116">
        <v>8.6900000000000005E-2</v>
      </c>
      <c r="L87" s="133" t="s">
        <v>1235</v>
      </c>
      <c r="M87" s="115" t="s">
        <v>1236</v>
      </c>
      <c r="N87" s="133" t="s">
        <v>1235</v>
      </c>
      <c r="O87" s="115">
        <v>20.72</v>
      </c>
      <c r="P87" s="115">
        <v>38.479999999999997</v>
      </c>
      <c r="Q87" s="116">
        <v>3.1E-2</v>
      </c>
      <c r="R87" s="116">
        <v>0.50039999999999996</v>
      </c>
      <c r="S87" s="117">
        <v>45618</v>
      </c>
      <c r="T87" s="115">
        <v>4.915</v>
      </c>
      <c r="U87" s="116">
        <v>-5.3E-3</v>
      </c>
      <c r="V87" s="116">
        <v>-1.2200000000000001E-2</v>
      </c>
      <c r="W87" s="133" t="s">
        <v>1235</v>
      </c>
      <c r="X87" s="115">
        <v>1020.04</v>
      </c>
      <c r="Y87" s="133" t="s">
        <v>1237</v>
      </c>
      <c r="Z87" s="127">
        <f t="shared" si="1"/>
        <v>131.71</v>
      </c>
    </row>
    <row r="88" spans="1:26" ht="17" customHeight="1">
      <c r="A88" s="133">
        <v>113548</v>
      </c>
      <c r="B88" s="115" t="s">
        <v>1427</v>
      </c>
      <c r="C88" s="115">
        <v>122.58</v>
      </c>
      <c r="D88" s="125">
        <v>1.2800000000000001E-2</v>
      </c>
      <c r="E88" s="133" t="s">
        <v>1428</v>
      </c>
      <c r="F88" s="115">
        <v>17.12</v>
      </c>
      <c r="G88" s="125">
        <v>2.2700000000000001E-2</v>
      </c>
      <c r="H88" s="115">
        <v>4.03</v>
      </c>
      <c r="I88" s="115">
        <v>15.25</v>
      </c>
      <c r="J88" s="115">
        <v>112.26</v>
      </c>
      <c r="K88" s="118">
        <v>9.1899999999999996E-2</v>
      </c>
      <c r="L88" s="133" t="s">
        <v>1235</v>
      </c>
      <c r="M88" s="115" t="s">
        <v>1247</v>
      </c>
      <c r="N88" s="133" t="s">
        <v>1235</v>
      </c>
      <c r="O88" s="115">
        <v>10.68</v>
      </c>
      <c r="P88" s="115">
        <v>19.82</v>
      </c>
      <c r="Q88" s="116">
        <v>6.2E-2</v>
      </c>
      <c r="R88" s="115" t="s">
        <v>1241</v>
      </c>
      <c r="S88" s="117">
        <v>45957</v>
      </c>
      <c r="T88" s="115">
        <v>5.8440000000000003</v>
      </c>
      <c r="U88" s="116">
        <v>3.0999999999999999E-3</v>
      </c>
      <c r="V88" s="116">
        <v>-3.8999999999999998E-3</v>
      </c>
      <c r="W88" s="133" t="s">
        <v>1235</v>
      </c>
      <c r="X88" s="115">
        <v>492.9</v>
      </c>
      <c r="Y88" s="133" t="s">
        <v>1237</v>
      </c>
      <c r="Z88" s="127">
        <f t="shared" si="1"/>
        <v>131.77000000000001</v>
      </c>
    </row>
    <row r="89" spans="1:26" ht="17" customHeight="1">
      <c r="A89" s="133">
        <v>113008</v>
      </c>
      <c r="B89" s="115" t="s">
        <v>1429</v>
      </c>
      <c r="C89" s="115">
        <v>113.08</v>
      </c>
      <c r="D89" s="124">
        <v>-2.0000000000000001E-4</v>
      </c>
      <c r="E89" s="133" t="s">
        <v>1430</v>
      </c>
      <c r="F89" s="115">
        <v>4.88</v>
      </c>
      <c r="G89" s="116">
        <v>0</v>
      </c>
      <c r="H89" s="115">
        <v>1.2</v>
      </c>
      <c r="I89" s="123" t="s">
        <v>1431</v>
      </c>
      <c r="J89" s="115">
        <v>95.13</v>
      </c>
      <c r="K89" s="116">
        <v>0.18870000000000001</v>
      </c>
      <c r="L89" s="133" t="s">
        <v>1235</v>
      </c>
      <c r="M89" s="115" t="s">
        <v>1292</v>
      </c>
      <c r="N89" s="133" t="s">
        <v>1235</v>
      </c>
      <c r="O89" s="115">
        <v>3.59</v>
      </c>
      <c r="P89" s="115">
        <v>6.67</v>
      </c>
      <c r="Q89" s="116">
        <v>0.06</v>
      </c>
      <c r="R89" s="116">
        <v>0.14949999999999999</v>
      </c>
      <c r="S89" s="117">
        <v>44229</v>
      </c>
      <c r="T89" s="115">
        <v>1.1100000000000001</v>
      </c>
      <c r="U89" s="116">
        <v>-4.0300000000000002E-2</v>
      </c>
      <c r="V89" s="116">
        <v>-5.33E-2</v>
      </c>
      <c r="W89" s="133" t="s">
        <v>1235</v>
      </c>
      <c r="X89" s="115">
        <v>1392.09</v>
      </c>
      <c r="Y89" s="133" t="s">
        <v>1237</v>
      </c>
      <c r="Z89" s="127">
        <f t="shared" si="1"/>
        <v>131.94999999999999</v>
      </c>
    </row>
    <row r="90" spans="1:26" ht="17" customHeight="1">
      <c r="A90" s="133">
        <v>128033</v>
      </c>
      <c r="B90" s="115" t="s">
        <v>1432</v>
      </c>
      <c r="C90" s="115">
        <v>101.68300000000001</v>
      </c>
      <c r="D90" s="124">
        <v>-3.5999999999999999E-3</v>
      </c>
      <c r="E90" s="133" t="s">
        <v>1433</v>
      </c>
      <c r="F90" s="115">
        <v>6.97</v>
      </c>
      <c r="G90" s="124">
        <v>-9.9000000000000008E-3</v>
      </c>
      <c r="H90" s="115">
        <v>2.02</v>
      </c>
      <c r="I90" s="123" t="s">
        <v>1434</v>
      </c>
      <c r="J90" s="115">
        <v>78.05</v>
      </c>
      <c r="K90" s="116">
        <v>0.30280000000000001</v>
      </c>
      <c r="L90" s="133" t="s">
        <v>1235</v>
      </c>
      <c r="M90" s="115" t="s">
        <v>1236</v>
      </c>
      <c r="N90" s="133" t="s">
        <v>1235</v>
      </c>
      <c r="O90" s="115">
        <v>6.25</v>
      </c>
      <c r="P90" s="115">
        <v>11.61</v>
      </c>
      <c r="Q90" s="116">
        <v>0.123</v>
      </c>
      <c r="R90" s="116">
        <v>0.23499999999999999</v>
      </c>
      <c r="S90" s="117">
        <v>45287</v>
      </c>
      <c r="T90" s="115">
        <v>4.008</v>
      </c>
      <c r="U90" s="116">
        <v>2.1000000000000001E-2</v>
      </c>
      <c r="V90" s="116">
        <v>1.6E-2</v>
      </c>
      <c r="W90" s="133" t="s">
        <v>1235</v>
      </c>
      <c r="X90" s="115">
        <v>77.09</v>
      </c>
      <c r="Y90" s="133" t="s">
        <v>1237</v>
      </c>
      <c r="Z90" s="127">
        <f t="shared" si="1"/>
        <v>131.96300000000002</v>
      </c>
    </row>
    <row r="91" spans="1:26" ht="17" customHeight="1">
      <c r="A91" s="133">
        <v>113528</v>
      </c>
      <c r="B91" s="115" t="s">
        <v>1435</v>
      </c>
      <c r="C91" s="115">
        <v>101.68</v>
      </c>
      <c r="D91" s="125">
        <v>4.1999999999999997E-3</v>
      </c>
      <c r="E91" s="133" t="s">
        <v>1436</v>
      </c>
      <c r="F91" s="115">
        <v>18.75</v>
      </c>
      <c r="G91" s="125">
        <v>1.9599999999999999E-2</v>
      </c>
      <c r="H91" s="115">
        <v>1.78</v>
      </c>
      <c r="I91" s="115">
        <v>24.03</v>
      </c>
      <c r="J91" s="115">
        <v>78.03</v>
      </c>
      <c r="K91" s="116">
        <v>0.30309999999999998</v>
      </c>
      <c r="L91" s="133" t="s">
        <v>1235</v>
      </c>
      <c r="M91" s="115" t="s">
        <v>1247</v>
      </c>
      <c r="N91" s="133" t="s">
        <v>1235</v>
      </c>
      <c r="O91" s="115">
        <v>16.82</v>
      </c>
      <c r="P91" s="115">
        <v>31.24</v>
      </c>
      <c r="Q91" s="116">
        <v>0.19</v>
      </c>
      <c r="R91" s="116">
        <v>2.3999999999999998E-3</v>
      </c>
      <c r="S91" s="117">
        <v>45717</v>
      </c>
      <c r="T91" s="115">
        <v>5.1859999999999999</v>
      </c>
      <c r="U91" s="116">
        <v>0.03</v>
      </c>
      <c r="V91" s="116">
        <v>2.3599999999999999E-2</v>
      </c>
      <c r="W91" s="133" t="s">
        <v>1235</v>
      </c>
      <c r="X91" s="115">
        <v>499.77</v>
      </c>
      <c r="Y91" s="133" t="s">
        <v>1237</v>
      </c>
      <c r="Z91" s="127">
        <f t="shared" si="1"/>
        <v>131.99</v>
      </c>
    </row>
    <row r="92" spans="1:26" ht="17" customHeight="1">
      <c r="A92" s="133">
        <v>127014</v>
      </c>
      <c r="B92" s="115" t="s">
        <v>1437</v>
      </c>
      <c r="C92" s="115">
        <v>113</v>
      </c>
      <c r="D92" s="124">
        <v>-1.2999999999999999E-3</v>
      </c>
      <c r="E92" s="133" t="s">
        <v>1438</v>
      </c>
      <c r="F92" s="115">
        <v>8.39</v>
      </c>
      <c r="G92" s="125">
        <v>1.1999999999999999E-3</v>
      </c>
      <c r="H92" s="115">
        <v>1.4</v>
      </c>
      <c r="I92" s="115">
        <v>8.84</v>
      </c>
      <c r="J92" s="115">
        <v>94.91</v>
      </c>
      <c r="K92" s="118">
        <v>0.19059999999999999</v>
      </c>
      <c r="L92" s="133" t="s">
        <v>1235</v>
      </c>
      <c r="M92" s="115" t="s">
        <v>1331</v>
      </c>
      <c r="N92" s="133" t="s">
        <v>1235</v>
      </c>
      <c r="O92" s="115">
        <v>6.19</v>
      </c>
      <c r="P92" s="115">
        <v>11.49</v>
      </c>
      <c r="Q92" s="116">
        <v>0.09</v>
      </c>
      <c r="R92" s="115" t="s">
        <v>1241</v>
      </c>
      <c r="S92" s="117">
        <v>45953</v>
      </c>
      <c r="T92" s="115">
        <v>5.8330000000000002</v>
      </c>
      <c r="U92" s="116">
        <v>4.0000000000000001E-3</v>
      </c>
      <c r="V92" s="116">
        <v>-8.0000000000000004E-4</v>
      </c>
      <c r="W92" s="133" t="s">
        <v>1235</v>
      </c>
      <c r="X92" s="115">
        <v>59.53</v>
      </c>
      <c r="Y92" s="133" t="s">
        <v>1237</v>
      </c>
      <c r="Z92" s="127">
        <f t="shared" si="1"/>
        <v>132.06</v>
      </c>
    </row>
    <row r="93" spans="1:26" ht="17" customHeight="1">
      <c r="A93" s="133">
        <v>113020</v>
      </c>
      <c r="B93" s="115" t="s">
        <v>1439</v>
      </c>
      <c r="C93" s="115">
        <v>121.24</v>
      </c>
      <c r="D93" s="124">
        <v>-7.9000000000000008E-3</v>
      </c>
      <c r="E93" s="133" t="s">
        <v>1440</v>
      </c>
      <c r="F93" s="115">
        <v>13.61</v>
      </c>
      <c r="G93" s="124">
        <v>-5.1000000000000004E-3</v>
      </c>
      <c r="H93" s="115">
        <v>1.35</v>
      </c>
      <c r="I93" s="115">
        <v>12.51</v>
      </c>
      <c r="J93" s="115">
        <v>108.79</v>
      </c>
      <c r="K93" s="116">
        <v>0.1144</v>
      </c>
      <c r="L93" s="133" t="s">
        <v>1235</v>
      </c>
      <c r="M93" s="115" t="s">
        <v>1331</v>
      </c>
      <c r="N93" s="133" t="s">
        <v>1235</v>
      </c>
      <c r="O93" s="115">
        <v>8.76</v>
      </c>
      <c r="P93" s="115">
        <v>16.260000000000002</v>
      </c>
      <c r="Q93" s="116">
        <v>0.13800000000000001</v>
      </c>
      <c r="R93" s="116">
        <v>0.3528</v>
      </c>
      <c r="S93" s="117">
        <v>45615</v>
      </c>
      <c r="T93" s="115">
        <v>4.907</v>
      </c>
      <c r="U93" s="116">
        <v>-1.49E-2</v>
      </c>
      <c r="V93" s="116">
        <v>-1.95E-2</v>
      </c>
      <c r="W93" s="133" t="s">
        <v>1235</v>
      </c>
      <c r="X93" s="115">
        <v>1383.53</v>
      </c>
      <c r="Y93" s="133" t="s">
        <v>1237</v>
      </c>
      <c r="Z93" s="127">
        <f t="shared" si="1"/>
        <v>132.68</v>
      </c>
    </row>
    <row r="94" spans="1:26" ht="17" customHeight="1">
      <c r="A94" s="133">
        <v>123002</v>
      </c>
      <c r="B94" s="115" t="s">
        <v>1441</v>
      </c>
      <c r="C94" s="115">
        <v>128.69999999999999</v>
      </c>
      <c r="D94" s="124">
        <v>-6.3E-3</v>
      </c>
      <c r="E94" s="133" t="s">
        <v>1442</v>
      </c>
      <c r="F94" s="115">
        <v>10.64</v>
      </c>
      <c r="G94" s="124">
        <v>-1.4800000000000001E-2</v>
      </c>
      <c r="H94" s="115">
        <v>2.1</v>
      </c>
      <c r="I94" s="123" t="s">
        <v>1443</v>
      </c>
      <c r="J94" s="115">
        <v>123.72</v>
      </c>
      <c r="K94" s="116">
        <v>4.0300000000000002E-2</v>
      </c>
      <c r="L94" s="133" t="s">
        <v>1235</v>
      </c>
      <c r="M94" s="115" t="s">
        <v>1236</v>
      </c>
      <c r="N94" s="133" t="s">
        <v>1235</v>
      </c>
      <c r="O94" s="115">
        <v>6.02</v>
      </c>
      <c r="P94" s="115">
        <v>11.18</v>
      </c>
      <c r="Q94" s="116">
        <v>6.9000000000000006E-2</v>
      </c>
      <c r="R94" s="116">
        <v>0.215</v>
      </c>
      <c r="S94" s="117">
        <v>45254</v>
      </c>
      <c r="T94" s="115">
        <v>3.9180000000000001</v>
      </c>
      <c r="U94" s="116">
        <v>-4.0399999999999998E-2</v>
      </c>
      <c r="V94" s="116">
        <v>-4.4699999999999997E-2</v>
      </c>
      <c r="W94" s="133" t="s">
        <v>1235</v>
      </c>
      <c r="X94" s="115">
        <v>61.69</v>
      </c>
      <c r="Y94" s="133" t="s">
        <v>1237</v>
      </c>
      <c r="Z94" s="127">
        <f t="shared" si="1"/>
        <v>132.72999999999999</v>
      </c>
    </row>
    <row r="95" spans="1:26" ht="17" customHeight="1">
      <c r="A95" s="133">
        <v>113527</v>
      </c>
      <c r="B95" s="115" t="s">
        <v>1444</v>
      </c>
      <c r="C95" s="115">
        <v>91.97</v>
      </c>
      <c r="D95" s="125">
        <v>2.3E-3</v>
      </c>
      <c r="E95" s="133" t="s">
        <v>1445</v>
      </c>
      <c r="F95" s="115">
        <v>6.87</v>
      </c>
      <c r="G95" s="125">
        <v>1.5E-3</v>
      </c>
      <c r="H95" s="115">
        <v>0.68</v>
      </c>
      <c r="I95" s="115">
        <v>10.52</v>
      </c>
      <c r="J95" s="115">
        <v>65.3</v>
      </c>
      <c r="K95" s="116">
        <v>0.40839999999999999</v>
      </c>
      <c r="L95" s="133" t="s">
        <v>1235</v>
      </c>
      <c r="M95" s="115" t="s">
        <v>1236</v>
      </c>
      <c r="N95" s="133" t="s">
        <v>1235</v>
      </c>
      <c r="O95" s="115">
        <v>7.36</v>
      </c>
      <c r="P95" s="115">
        <v>13.68</v>
      </c>
      <c r="Q95" s="116">
        <v>0.43</v>
      </c>
      <c r="R95" s="116">
        <v>4.0000000000000001E-3</v>
      </c>
      <c r="S95" s="117">
        <v>45680</v>
      </c>
      <c r="T95" s="115">
        <v>5.085</v>
      </c>
      <c r="U95" s="116">
        <v>5.6300000000000003E-2</v>
      </c>
      <c r="V95" s="116">
        <v>4.87E-2</v>
      </c>
      <c r="W95" s="133" t="s">
        <v>1235</v>
      </c>
      <c r="X95" s="115">
        <v>437.31</v>
      </c>
      <c r="Y95" s="133" t="s">
        <v>1237</v>
      </c>
      <c r="Z95" s="127">
        <f t="shared" si="1"/>
        <v>132.81</v>
      </c>
    </row>
    <row r="96" spans="1:26" ht="17" customHeight="1">
      <c r="A96" s="133">
        <v>110048</v>
      </c>
      <c r="B96" s="115" t="s">
        <v>1446</v>
      </c>
      <c r="C96" s="115">
        <v>119.76</v>
      </c>
      <c r="D96" s="124">
        <v>-1E-4</v>
      </c>
      <c r="E96" s="133" t="s">
        <v>1447</v>
      </c>
      <c r="F96" s="115">
        <v>8.98</v>
      </c>
      <c r="G96" s="125">
        <v>2.2000000000000001E-3</v>
      </c>
      <c r="H96" s="115">
        <v>1.1200000000000001</v>
      </c>
      <c r="I96" s="115">
        <v>8.48</v>
      </c>
      <c r="J96" s="115">
        <v>105.9</v>
      </c>
      <c r="K96" s="116">
        <v>0.13089999999999999</v>
      </c>
      <c r="L96" s="133" t="s">
        <v>1235</v>
      </c>
      <c r="M96" s="115" t="s">
        <v>1331</v>
      </c>
      <c r="N96" s="133" t="s">
        <v>1235</v>
      </c>
      <c r="O96" s="115">
        <v>5.94</v>
      </c>
      <c r="P96" s="115">
        <v>11.02</v>
      </c>
      <c r="Q96" s="116">
        <v>0.20300000000000001</v>
      </c>
      <c r="R96" s="116">
        <v>0.21609999999999999</v>
      </c>
      <c r="S96" s="117">
        <v>45632</v>
      </c>
      <c r="T96" s="115">
        <v>4.9530000000000003</v>
      </c>
      <c r="U96" s="116">
        <v>-1.03E-2</v>
      </c>
      <c r="V96" s="116">
        <v>-1.52E-2</v>
      </c>
      <c r="W96" s="133" t="s">
        <v>1235</v>
      </c>
      <c r="X96" s="115">
        <v>435.01</v>
      </c>
      <c r="Y96" s="133" t="s">
        <v>1237</v>
      </c>
      <c r="Z96" s="127">
        <f t="shared" si="1"/>
        <v>132.85</v>
      </c>
    </row>
    <row r="97" spans="1:26" ht="17" customHeight="1">
      <c r="A97" s="133">
        <v>113519</v>
      </c>
      <c r="B97" s="115" t="s">
        <v>1448</v>
      </c>
      <c r="C97" s="115">
        <v>108.76</v>
      </c>
      <c r="D97" s="125">
        <v>1.5E-3</v>
      </c>
      <c r="E97" s="133" t="s">
        <v>1449</v>
      </c>
      <c r="F97" s="115">
        <v>10.38</v>
      </c>
      <c r="G97" s="125">
        <v>7.7999999999999996E-3</v>
      </c>
      <c r="H97" s="115">
        <v>2.2200000000000002</v>
      </c>
      <c r="I97" s="115">
        <v>11.85</v>
      </c>
      <c r="J97" s="115">
        <v>87.59</v>
      </c>
      <c r="K97" s="116">
        <v>0.2417</v>
      </c>
      <c r="L97" s="133" t="s">
        <v>1235</v>
      </c>
      <c r="M97" s="115" t="s">
        <v>1236</v>
      </c>
      <c r="N97" s="133" t="s">
        <v>1235</v>
      </c>
      <c r="O97" s="115">
        <v>8.2899999999999991</v>
      </c>
      <c r="P97" s="115">
        <v>15.4</v>
      </c>
      <c r="Q97" s="116">
        <v>0.12</v>
      </c>
      <c r="R97" s="116">
        <v>0.2369</v>
      </c>
      <c r="S97" s="117">
        <v>45603</v>
      </c>
      <c r="T97" s="115">
        <v>4.8739999999999997</v>
      </c>
      <c r="U97" s="116">
        <v>2.1000000000000001E-2</v>
      </c>
      <c r="V97" s="116">
        <v>1.37E-2</v>
      </c>
      <c r="W97" s="133" t="s">
        <v>1235</v>
      </c>
      <c r="X97" s="115">
        <v>16.11</v>
      </c>
      <c r="Y97" s="133" t="s">
        <v>1237</v>
      </c>
      <c r="Z97" s="127">
        <f t="shared" si="1"/>
        <v>132.93</v>
      </c>
    </row>
    <row r="98" spans="1:26" ht="17" customHeight="1">
      <c r="A98" s="133">
        <v>128048</v>
      </c>
      <c r="B98" s="115" t="s">
        <v>1450</v>
      </c>
      <c r="C98" s="115">
        <v>114.9</v>
      </c>
      <c r="D98" s="124">
        <v>-2.7000000000000001E-3</v>
      </c>
      <c r="E98" s="133" t="s">
        <v>1451</v>
      </c>
      <c r="F98" s="115">
        <v>5.75</v>
      </c>
      <c r="G98" s="124">
        <v>-6.8999999999999999E-3</v>
      </c>
      <c r="H98" s="115">
        <v>1.01</v>
      </c>
      <c r="I98" s="115">
        <v>5.91</v>
      </c>
      <c r="J98" s="115">
        <v>97.29</v>
      </c>
      <c r="K98" s="116">
        <v>0.18099999999999999</v>
      </c>
      <c r="L98" s="133" t="s">
        <v>1235</v>
      </c>
      <c r="M98" s="115" t="s">
        <v>1331</v>
      </c>
      <c r="N98" s="133" t="s">
        <v>1235</v>
      </c>
      <c r="O98" s="115" t="s">
        <v>1241</v>
      </c>
      <c r="P98" s="115">
        <v>7.68</v>
      </c>
      <c r="Q98" s="116">
        <v>0.24099999999999999</v>
      </c>
      <c r="R98" s="116">
        <v>0.20419999999999999</v>
      </c>
      <c r="S98" s="117">
        <v>45608</v>
      </c>
      <c r="T98" s="115">
        <v>4.8879999999999999</v>
      </c>
      <c r="U98" s="116">
        <v>-1.8E-3</v>
      </c>
      <c r="V98" s="116">
        <v>-6.8999999999999999E-3</v>
      </c>
      <c r="W98" s="133" t="s">
        <v>1235</v>
      </c>
      <c r="X98" s="115">
        <v>335.53</v>
      </c>
      <c r="Y98" s="133" t="s">
        <v>1237</v>
      </c>
      <c r="Z98" s="127">
        <f t="shared" si="1"/>
        <v>133</v>
      </c>
    </row>
    <row r="99" spans="1:26" ht="17" customHeight="1">
      <c r="A99" s="133">
        <v>128050</v>
      </c>
      <c r="B99" s="115" t="s">
        <v>1452</v>
      </c>
      <c r="C99" s="115">
        <v>99.087999999999994</v>
      </c>
      <c r="D99" s="125">
        <v>5.4000000000000003E-3</v>
      </c>
      <c r="E99" s="133" t="s">
        <v>1453</v>
      </c>
      <c r="F99" s="115">
        <v>16</v>
      </c>
      <c r="G99" s="125">
        <v>6.8999999999999999E-3</v>
      </c>
      <c r="H99" s="115">
        <v>2.21</v>
      </c>
      <c r="I99" s="115">
        <v>21.66</v>
      </c>
      <c r="J99" s="115">
        <v>73.87</v>
      </c>
      <c r="K99" s="116">
        <v>0.34139999999999998</v>
      </c>
      <c r="L99" s="133" t="s">
        <v>1235</v>
      </c>
      <c r="M99" s="115" t="s">
        <v>1247</v>
      </c>
      <c r="N99" s="133" t="s">
        <v>1235</v>
      </c>
      <c r="O99" s="115">
        <v>15.16</v>
      </c>
      <c r="P99" s="115">
        <v>28.16</v>
      </c>
      <c r="Q99" s="116">
        <v>0.16500000000000001</v>
      </c>
      <c r="R99" s="116">
        <v>0.17050000000000001</v>
      </c>
      <c r="S99" s="117">
        <v>45636</v>
      </c>
      <c r="T99" s="115">
        <v>4.9640000000000004</v>
      </c>
      <c r="U99" s="116">
        <v>4.6300000000000001E-2</v>
      </c>
      <c r="V99" s="116">
        <v>3.7900000000000003E-2</v>
      </c>
      <c r="W99" s="133" t="s">
        <v>1235</v>
      </c>
      <c r="X99" s="115">
        <v>129.97</v>
      </c>
      <c r="Y99" s="133" t="s">
        <v>1237</v>
      </c>
      <c r="Z99" s="127">
        <f t="shared" si="1"/>
        <v>133.22800000000001</v>
      </c>
    </row>
    <row r="100" spans="1:26" ht="17" customHeight="1">
      <c r="A100" s="133">
        <v>123009</v>
      </c>
      <c r="B100" s="115" t="s">
        <v>1454</v>
      </c>
      <c r="C100" s="115">
        <v>124.402</v>
      </c>
      <c r="D100" s="125">
        <v>1.8200000000000001E-2</v>
      </c>
      <c r="E100" s="133" t="s">
        <v>1455</v>
      </c>
      <c r="F100" s="115">
        <v>30.42</v>
      </c>
      <c r="G100" s="125">
        <v>1.4E-2</v>
      </c>
      <c r="H100" s="115">
        <v>2.77</v>
      </c>
      <c r="I100" s="115">
        <v>26.64</v>
      </c>
      <c r="J100" s="115">
        <v>114.19</v>
      </c>
      <c r="K100" s="116">
        <v>8.9399999999999993E-2</v>
      </c>
      <c r="L100" s="133" t="s">
        <v>1235</v>
      </c>
      <c r="M100" s="115" t="s">
        <v>1236</v>
      </c>
      <c r="N100" s="133" t="s">
        <v>1235</v>
      </c>
      <c r="O100" s="115">
        <v>18.649999999999999</v>
      </c>
      <c r="P100" s="115">
        <v>34.630000000000003</v>
      </c>
      <c r="Q100" s="116">
        <v>6.8000000000000005E-2</v>
      </c>
      <c r="R100" s="116">
        <v>0.44319999999999998</v>
      </c>
      <c r="S100" s="117">
        <v>45358</v>
      </c>
      <c r="T100" s="115">
        <v>4.2030000000000003</v>
      </c>
      <c r="U100" s="116">
        <v>-2.8799999999999999E-2</v>
      </c>
      <c r="V100" s="116">
        <v>-3.3099999999999997E-2</v>
      </c>
      <c r="W100" s="133" t="s">
        <v>1235</v>
      </c>
      <c r="X100" s="115">
        <v>668.39</v>
      </c>
      <c r="Y100" s="133" t="s">
        <v>1237</v>
      </c>
      <c r="Z100" s="127">
        <f t="shared" si="1"/>
        <v>133.34200000000001</v>
      </c>
    </row>
    <row r="101" spans="1:26" ht="17" customHeight="1">
      <c r="A101" s="133">
        <v>110060</v>
      </c>
      <c r="B101" s="115" t="s">
        <v>1456</v>
      </c>
      <c r="C101" s="115">
        <v>115.81</v>
      </c>
      <c r="D101" s="125">
        <v>5.7999999999999996E-3</v>
      </c>
      <c r="E101" s="133" t="s">
        <v>1457</v>
      </c>
      <c r="F101" s="115">
        <v>7.12</v>
      </c>
      <c r="G101" s="124">
        <v>-1.11E-2</v>
      </c>
      <c r="H101" s="115">
        <v>1.81</v>
      </c>
      <c r="I101" s="115">
        <v>7.24</v>
      </c>
      <c r="J101" s="115">
        <v>98.34</v>
      </c>
      <c r="K101" s="118">
        <v>0.17760000000000001</v>
      </c>
      <c r="L101" s="133" t="s">
        <v>1235</v>
      </c>
      <c r="M101" s="115" t="s">
        <v>1236</v>
      </c>
      <c r="N101" s="133" t="s">
        <v>1235</v>
      </c>
      <c r="O101" s="115">
        <v>5.07</v>
      </c>
      <c r="P101" s="115">
        <v>9.41</v>
      </c>
      <c r="Q101" s="116">
        <v>0.17599999999999999</v>
      </c>
      <c r="R101" s="115" t="s">
        <v>1241</v>
      </c>
      <c r="S101" s="117">
        <v>45957</v>
      </c>
      <c r="T101" s="115">
        <v>5.8440000000000003</v>
      </c>
      <c r="U101" s="116">
        <v>-8.0000000000000004E-4</v>
      </c>
      <c r="V101" s="116">
        <v>-5.4000000000000003E-3</v>
      </c>
      <c r="W101" s="133" t="s">
        <v>1235</v>
      </c>
      <c r="X101" s="115">
        <v>277.10000000000002</v>
      </c>
      <c r="Y101" s="133" t="s">
        <v>1237</v>
      </c>
      <c r="Z101" s="127">
        <f t="shared" si="1"/>
        <v>133.57</v>
      </c>
    </row>
    <row r="102" spans="1:26" ht="17" customHeight="1">
      <c r="A102" s="133">
        <v>123029</v>
      </c>
      <c r="B102" s="115" t="s">
        <v>1458</v>
      </c>
      <c r="C102" s="115">
        <v>115.80200000000001</v>
      </c>
      <c r="D102" s="124">
        <v>-4.0000000000000001E-3</v>
      </c>
      <c r="E102" s="133" t="s">
        <v>1459</v>
      </c>
      <c r="F102" s="115">
        <v>15.95</v>
      </c>
      <c r="G102" s="124">
        <v>-1.9E-3</v>
      </c>
      <c r="H102" s="115">
        <v>2.23</v>
      </c>
      <c r="I102" s="115">
        <v>16.25</v>
      </c>
      <c r="J102" s="115">
        <v>98.15</v>
      </c>
      <c r="K102" s="118">
        <v>0.17979999999999999</v>
      </c>
      <c r="L102" s="133" t="s">
        <v>1235</v>
      </c>
      <c r="M102" s="115" t="s">
        <v>1247</v>
      </c>
      <c r="N102" s="133" t="s">
        <v>1235</v>
      </c>
      <c r="O102" s="115">
        <v>11.38</v>
      </c>
      <c r="P102" s="115">
        <v>21.12</v>
      </c>
      <c r="Q102" s="116">
        <v>0.14899999999999999</v>
      </c>
      <c r="R102" s="115" t="s">
        <v>1241</v>
      </c>
      <c r="S102" s="117">
        <v>45884</v>
      </c>
      <c r="T102" s="115">
        <v>5.6440000000000001</v>
      </c>
      <c r="U102" s="116">
        <v>3.3599999999999998E-2</v>
      </c>
      <c r="V102" s="116">
        <v>2.2599999999999999E-2</v>
      </c>
      <c r="W102" s="133" t="s">
        <v>1235</v>
      </c>
      <c r="X102" s="115">
        <v>141.34</v>
      </c>
      <c r="Y102" s="133" t="s">
        <v>1237</v>
      </c>
      <c r="Z102" s="127">
        <f t="shared" si="1"/>
        <v>133.78200000000001</v>
      </c>
    </row>
    <row r="103" spans="1:26" ht="17" customHeight="1">
      <c r="A103" s="133">
        <v>113028</v>
      </c>
      <c r="B103" s="115" t="s">
        <v>1460</v>
      </c>
      <c r="C103" s="115">
        <v>119.5</v>
      </c>
      <c r="D103" s="124">
        <v>-2.8E-3</v>
      </c>
      <c r="E103" s="133" t="s">
        <v>1461</v>
      </c>
      <c r="F103" s="115">
        <v>10.91</v>
      </c>
      <c r="G103" s="124">
        <v>-4.5999999999999999E-3</v>
      </c>
      <c r="H103" s="115">
        <v>1.5</v>
      </c>
      <c r="I103" s="115">
        <v>10.44</v>
      </c>
      <c r="J103" s="115">
        <v>104.5</v>
      </c>
      <c r="K103" s="116">
        <v>0.14349999999999999</v>
      </c>
      <c r="L103" s="133" t="s">
        <v>1235</v>
      </c>
      <c r="M103" s="115" t="s">
        <v>1292</v>
      </c>
      <c r="N103" s="133" t="s">
        <v>1235</v>
      </c>
      <c r="O103" s="115">
        <v>7.31</v>
      </c>
      <c r="P103" s="115">
        <v>13.57</v>
      </c>
      <c r="Q103" s="116">
        <v>0.218</v>
      </c>
      <c r="R103" s="116">
        <v>7.0000000000000001E-3</v>
      </c>
      <c r="S103" s="117">
        <v>45825</v>
      </c>
      <c r="T103" s="115">
        <v>5.4820000000000002</v>
      </c>
      <c r="U103" s="116">
        <v>-1.3599999999999999E-2</v>
      </c>
      <c r="V103" s="116">
        <v>-1.72E-2</v>
      </c>
      <c r="W103" s="133" t="s">
        <v>1235</v>
      </c>
      <c r="X103" s="115">
        <v>35.159999999999997</v>
      </c>
      <c r="Y103" s="133" t="s">
        <v>1237</v>
      </c>
      <c r="Z103" s="127">
        <f t="shared" si="1"/>
        <v>133.85</v>
      </c>
    </row>
    <row r="104" spans="1:26" ht="17" customHeight="1">
      <c r="A104" s="133">
        <v>128021</v>
      </c>
      <c r="B104" s="115" t="s">
        <v>1462</v>
      </c>
      <c r="C104" s="115">
        <v>111.002</v>
      </c>
      <c r="D104" s="125">
        <v>2.0000000000000001E-4</v>
      </c>
      <c r="E104" s="133" t="s">
        <v>1463</v>
      </c>
      <c r="F104" s="115">
        <v>4.74</v>
      </c>
      <c r="G104" s="125">
        <v>1.2800000000000001E-2</v>
      </c>
      <c r="H104" s="115">
        <v>1.86</v>
      </c>
      <c r="I104" s="123" t="s">
        <v>1464</v>
      </c>
      <c r="J104" s="115">
        <v>90.29</v>
      </c>
      <c r="K104" s="116">
        <v>0.22939999999999999</v>
      </c>
      <c r="L104" s="133" t="s">
        <v>1235</v>
      </c>
      <c r="M104" s="115" t="s">
        <v>1236</v>
      </c>
      <c r="N104" s="133" t="s">
        <v>1235</v>
      </c>
      <c r="O104" s="115">
        <v>3.67</v>
      </c>
      <c r="P104" s="115">
        <v>6.83</v>
      </c>
      <c r="Q104" s="116">
        <v>0.11799999999999999</v>
      </c>
      <c r="R104" s="116">
        <v>0.1694</v>
      </c>
      <c r="S104" s="117">
        <v>45258</v>
      </c>
      <c r="T104" s="115">
        <v>3.9289999999999998</v>
      </c>
      <c r="U104" s="116">
        <v>-2.8E-3</v>
      </c>
      <c r="V104" s="116">
        <v>-7.4000000000000003E-3</v>
      </c>
      <c r="W104" s="133" t="s">
        <v>1235</v>
      </c>
      <c r="X104" s="115">
        <v>57.41</v>
      </c>
      <c r="Y104" s="133" t="s">
        <v>1237</v>
      </c>
      <c r="Z104" s="127">
        <f t="shared" si="1"/>
        <v>133.94200000000001</v>
      </c>
    </row>
    <row r="105" spans="1:26" ht="17" customHeight="1">
      <c r="A105" s="133">
        <v>113532</v>
      </c>
      <c r="B105" s="115" t="s">
        <v>1465</v>
      </c>
      <c r="C105" s="115">
        <v>105.55</v>
      </c>
      <c r="D105" s="124">
        <v>-8.0000000000000004E-4</v>
      </c>
      <c r="E105" s="133" t="s">
        <v>1466</v>
      </c>
      <c r="F105" s="115">
        <v>6.37</v>
      </c>
      <c r="G105" s="125">
        <v>4.7000000000000002E-3</v>
      </c>
      <c r="H105" s="115">
        <v>1.74</v>
      </c>
      <c r="I105" s="115">
        <v>7.75</v>
      </c>
      <c r="J105" s="115">
        <v>82.19</v>
      </c>
      <c r="K105" s="116">
        <v>0.28420000000000001</v>
      </c>
      <c r="L105" s="133" t="s">
        <v>1235</v>
      </c>
      <c r="M105" s="115" t="s">
        <v>1236</v>
      </c>
      <c r="N105" s="133" t="s">
        <v>1235</v>
      </c>
      <c r="O105" s="115">
        <v>5.42</v>
      </c>
      <c r="P105" s="115">
        <v>10.07</v>
      </c>
      <c r="Q105" s="116">
        <v>0.16</v>
      </c>
      <c r="R105" s="115" t="s">
        <v>1241</v>
      </c>
      <c r="S105" s="117">
        <v>45748</v>
      </c>
      <c r="T105" s="115">
        <v>5.2709999999999999</v>
      </c>
      <c r="U105" s="116">
        <v>1.38E-2</v>
      </c>
      <c r="V105" s="116">
        <v>9.1000000000000004E-3</v>
      </c>
      <c r="W105" s="133" t="s">
        <v>1235</v>
      </c>
      <c r="X105" s="115">
        <v>29.54</v>
      </c>
      <c r="Y105" s="133" t="s">
        <v>1237</v>
      </c>
      <c r="Z105" s="127">
        <f t="shared" si="1"/>
        <v>133.97</v>
      </c>
    </row>
    <row r="106" spans="1:26" ht="17" customHeight="1">
      <c r="A106" s="133">
        <v>128065</v>
      </c>
      <c r="B106" s="115" t="s">
        <v>1467</v>
      </c>
      <c r="C106" s="115">
        <v>101.20099999999999</v>
      </c>
      <c r="D106" s="125">
        <v>9.1000000000000004E-3</v>
      </c>
      <c r="E106" s="133" t="s">
        <v>1468</v>
      </c>
      <c r="F106" s="115">
        <v>6.81</v>
      </c>
      <c r="G106" s="125">
        <v>4.4000000000000003E-3</v>
      </c>
      <c r="H106" s="115">
        <v>2.25</v>
      </c>
      <c r="I106" s="115">
        <v>8.9600000000000009</v>
      </c>
      <c r="J106" s="115">
        <v>76</v>
      </c>
      <c r="K106" s="116">
        <v>0.33160000000000001</v>
      </c>
      <c r="L106" s="133" t="s">
        <v>1235</v>
      </c>
      <c r="M106" s="115" t="s">
        <v>1236</v>
      </c>
      <c r="N106" s="133" t="s">
        <v>1235</v>
      </c>
      <c r="O106" s="115">
        <v>6.27</v>
      </c>
      <c r="P106" s="115">
        <v>11.65</v>
      </c>
      <c r="Q106" s="116">
        <v>0.123</v>
      </c>
      <c r="R106" s="116">
        <v>0</v>
      </c>
      <c r="S106" s="117">
        <v>45763</v>
      </c>
      <c r="T106" s="115">
        <v>5.3120000000000003</v>
      </c>
      <c r="U106" s="116">
        <v>1.8499999999999999E-2</v>
      </c>
      <c r="V106" s="116">
        <v>1.44E-2</v>
      </c>
      <c r="W106" s="133" t="s">
        <v>1235</v>
      </c>
      <c r="X106" s="115">
        <v>5078.9399999999996</v>
      </c>
      <c r="Y106" s="133" t="s">
        <v>1237</v>
      </c>
      <c r="Z106" s="127">
        <f t="shared" si="1"/>
        <v>134.36099999999999</v>
      </c>
    </row>
    <row r="107" spans="1:26" ht="17" customHeight="1">
      <c r="A107" s="133">
        <v>120003</v>
      </c>
      <c r="B107" s="115" t="s">
        <v>1469</v>
      </c>
      <c r="C107" s="115">
        <v>113</v>
      </c>
      <c r="D107" s="125">
        <v>1.1000000000000001E-3</v>
      </c>
      <c r="E107" s="133" t="s">
        <v>1470</v>
      </c>
      <c r="F107" s="115">
        <v>4.59</v>
      </c>
      <c r="G107" s="124">
        <v>-6.4999999999999997E-3</v>
      </c>
      <c r="H107" s="115">
        <v>0.93</v>
      </c>
      <c r="I107" s="115">
        <v>4.93</v>
      </c>
      <c r="J107" s="115">
        <v>93.1</v>
      </c>
      <c r="K107" s="118">
        <v>0.2137</v>
      </c>
      <c r="L107" s="133" t="s">
        <v>1235</v>
      </c>
      <c r="M107" s="115" t="s">
        <v>1292</v>
      </c>
      <c r="N107" s="133" t="s">
        <v>1235</v>
      </c>
      <c r="O107" s="115">
        <v>3.45</v>
      </c>
      <c r="P107" s="115">
        <v>6.41</v>
      </c>
      <c r="Q107" s="116">
        <v>0.10299999999999999</v>
      </c>
      <c r="R107" s="115" t="s">
        <v>1241</v>
      </c>
      <c r="S107" s="117">
        <v>45621</v>
      </c>
      <c r="T107" s="115">
        <v>4.923</v>
      </c>
      <c r="U107" s="116">
        <v>1.8E-3</v>
      </c>
      <c r="V107" s="116">
        <v>-3.3E-3</v>
      </c>
      <c r="W107" s="133" t="s">
        <v>1235</v>
      </c>
      <c r="X107" s="115">
        <v>339</v>
      </c>
      <c r="Y107" s="133" t="s">
        <v>1237</v>
      </c>
      <c r="Z107" s="127">
        <f t="shared" si="1"/>
        <v>134.37</v>
      </c>
    </row>
    <row r="108" spans="1:26" ht="17" customHeight="1">
      <c r="A108" s="133">
        <v>113505</v>
      </c>
      <c r="B108" s="115" t="s">
        <v>1471</v>
      </c>
      <c r="C108" s="115">
        <v>101.53</v>
      </c>
      <c r="D108" s="124">
        <v>-6.9999999999999999E-4</v>
      </c>
      <c r="E108" s="133" t="s">
        <v>1472</v>
      </c>
      <c r="F108" s="115">
        <v>5.52</v>
      </c>
      <c r="G108" s="125">
        <v>9.1000000000000004E-3</v>
      </c>
      <c r="H108" s="115">
        <v>1.46</v>
      </c>
      <c r="I108" s="115">
        <v>7.24</v>
      </c>
      <c r="J108" s="115">
        <v>76.239999999999995</v>
      </c>
      <c r="K108" s="116">
        <v>0.33169999999999999</v>
      </c>
      <c r="L108" s="133" t="s">
        <v>1235</v>
      </c>
      <c r="M108" s="115" t="s">
        <v>1236</v>
      </c>
      <c r="N108" s="133" t="s">
        <v>1235</v>
      </c>
      <c r="O108" s="115">
        <v>5.07</v>
      </c>
      <c r="P108" s="115">
        <v>9.41</v>
      </c>
      <c r="Q108" s="116">
        <v>0.19700000000000001</v>
      </c>
      <c r="R108" s="116">
        <v>0.16839999999999999</v>
      </c>
      <c r="S108" s="117">
        <v>45356</v>
      </c>
      <c r="T108" s="115">
        <v>4.1970000000000001</v>
      </c>
      <c r="U108" s="116">
        <v>2.5999999999999999E-2</v>
      </c>
      <c r="V108" s="116">
        <v>2.0199999999999999E-2</v>
      </c>
      <c r="W108" s="133" t="s">
        <v>1235</v>
      </c>
      <c r="X108" s="115">
        <v>97.7</v>
      </c>
      <c r="Y108" s="133" t="s">
        <v>1237</v>
      </c>
      <c r="Z108" s="127">
        <f t="shared" si="1"/>
        <v>134.69999999999999</v>
      </c>
    </row>
    <row r="109" spans="1:26" ht="17" customHeight="1">
      <c r="A109" s="133">
        <v>123016</v>
      </c>
      <c r="B109" s="115" t="s">
        <v>1473</v>
      </c>
      <c r="C109" s="115">
        <v>132.79300000000001</v>
      </c>
      <c r="D109" s="125">
        <v>7.1000000000000004E-3</v>
      </c>
      <c r="E109" s="133" t="s">
        <v>1474</v>
      </c>
      <c r="F109" s="115">
        <v>10.19</v>
      </c>
      <c r="G109" s="125">
        <v>1.49E-2</v>
      </c>
      <c r="H109" s="115">
        <v>3.35</v>
      </c>
      <c r="I109" s="115">
        <v>7.82</v>
      </c>
      <c r="J109" s="115">
        <v>130.31</v>
      </c>
      <c r="K109" s="116">
        <v>1.9099999999999999E-2</v>
      </c>
      <c r="L109" s="133" t="s">
        <v>1235</v>
      </c>
      <c r="M109" s="115" t="s">
        <v>1247</v>
      </c>
      <c r="N109" s="133" t="s">
        <v>1235</v>
      </c>
      <c r="O109" s="115">
        <v>5.47</v>
      </c>
      <c r="P109" s="115">
        <v>10.17</v>
      </c>
      <c r="Q109" s="116">
        <v>4.8000000000000001E-2</v>
      </c>
      <c r="R109" s="116">
        <v>0.54730000000000001</v>
      </c>
      <c r="S109" s="117">
        <v>45603</v>
      </c>
      <c r="T109" s="115">
        <v>4.8739999999999997</v>
      </c>
      <c r="U109" s="116">
        <v>-2.9100000000000001E-2</v>
      </c>
      <c r="V109" s="116">
        <v>-3.4500000000000003E-2</v>
      </c>
      <c r="W109" s="133" t="s">
        <v>1235</v>
      </c>
      <c r="X109" s="115">
        <v>125.78</v>
      </c>
      <c r="Y109" s="133" t="s">
        <v>1237</v>
      </c>
      <c r="Z109" s="127">
        <f t="shared" si="1"/>
        <v>134.703</v>
      </c>
    </row>
    <row r="110" spans="1:26" ht="17" customHeight="1">
      <c r="A110" s="133">
        <v>110043</v>
      </c>
      <c r="B110" s="115" t="s">
        <v>1475</v>
      </c>
      <c r="C110" s="115">
        <v>106.06</v>
      </c>
      <c r="D110" s="124">
        <v>-5.0000000000000001E-4</v>
      </c>
      <c r="E110" s="133" t="s">
        <v>1476</v>
      </c>
      <c r="F110" s="115">
        <v>5.37</v>
      </c>
      <c r="G110" s="124">
        <v>-3.7000000000000002E-3</v>
      </c>
      <c r="H110" s="115">
        <v>0.88</v>
      </c>
      <c r="I110" s="123" t="s">
        <v>1477</v>
      </c>
      <c r="J110" s="115">
        <v>82.36</v>
      </c>
      <c r="K110" s="116">
        <v>0.2878</v>
      </c>
      <c r="L110" s="133" t="s">
        <v>1235</v>
      </c>
      <c r="M110" s="115" t="s">
        <v>1331</v>
      </c>
      <c r="N110" s="133" t="s">
        <v>1235</v>
      </c>
      <c r="O110" s="115" t="s">
        <v>1241</v>
      </c>
      <c r="P110" s="115">
        <v>8.48</v>
      </c>
      <c r="Q110" s="116">
        <v>0.30199999999999999</v>
      </c>
      <c r="R110" s="116">
        <v>0.1865</v>
      </c>
      <c r="S110" s="117">
        <v>45321</v>
      </c>
      <c r="T110" s="115">
        <v>4.101</v>
      </c>
      <c r="U110" s="116">
        <v>8.6E-3</v>
      </c>
      <c r="V110" s="116">
        <v>4.1000000000000003E-3</v>
      </c>
      <c r="W110" s="133" t="s">
        <v>1235</v>
      </c>
      <c r="X110" s="115">
        <v>77.28</v>
      </c>
      <c r="Y110" s="133" t="s">
        <v>1237</v>
      </c>
      <c r="Z110" s="127">
        <f t="shared" si="1"/>
        <v>134.84</v>
      </c>
    </row>
    <row r="111" spans="1:26" ht="17" customHeight="1">
      <c r="A111" s="133">
        <v>128058</v>
      </c>
      <c r="B111" s="115" t="s">
        <v>1478</v>
      </c>
      <c r="C111" s="115">
        <v>118.1</v>
      </c>
      <c r="D111" s="125">
        <v>1.03E-2</v>
      </c>
      <c r="E111" s="133" t="s">
        <v>1479</v>
      </c>
      <c r="F111" s="115">
        <v>5.59</v>
      </c>
      <c r="G111" s="125">
        <v>1.0800000000000001E-2</v>
      </c>
      <c r="H111" s="115">
        <v>2.3199999999999998</v>
      </c>
      <c r="I111" s="115">
        <v>5.54</v>
      </c>
      <c r="J111" s="115">
        <v>100.9</v>
      </c>
      <c r="K111" s="116">
        <v>0.17050000000000001</v>
      </c>
      <c r="L111" s="133" t="s">
        <v>1235</v>
      </c>
      <c r="M111" s="115" t="s">
        <v>1236</v>
      </c>
      <c r="N111" s="133" t="s">
        <v>1235</v>
      </c>
      <c r="O111" s="115">
        <v>3.88</v>
      </c>
      <c r="P111" s="115">
        <v>7.2</v>
      </c>
      <c r="Q111" s="116">
        <v>0.10100000000000001</v>
      </c>
      <c r="R111" s="116">
        <v>5.5599999999999997E-2</v>
      </c>
      <c r="S111" s="117">
        <v>45723</v>
      </c>
      <c r="T111" s="115">
        <v>5.2030000000000003</v>
      </c>
      <c r="U111" s="116">
        <v>8.0000000000000002E-3</v>
      </c>
      <c r="V111" s="116">
        <v>5.0000000000000001E-4</v>
      </c>
      <c r="W111" s="133" t="s">
        <v>1235</v>
      </c>
      <c r="X111" s="115">
        <v>77.510000000000005</v>
      </c>
      <c r="Y111" s="133" t="s">
        <v>1237</v>
      </c>
      <c r="Z111" s="127">
        <f t="shared" si="1"/>
        <v>135.15</v>
      </c>
    </row>
    <row r="112" spans="1:26" ht="17" customHeight="1">
      <c r="A112" s="133">
        <v>113503</v>
      </c>
      <c r="B112" s="115" t="s">
        <v>1480</v>
      </c>
      <c r="C112" s="115">
        <v>124.99</v>
      </c>
      <c r="D112" s="125">
        <v>3.44E-2</v>
      </c>
      <c r="E112" s="133" t="s">
        <v>1481</v>
      </c>
      <c r="F112" s="115">
        <v>20.3</v>
      </c>
      <c r="G112" s="125">
        <v>1.5E-3</v>
      </c>
      <c r="H112" s="115">
        <v>4.62</v>
      </c>
      <c r="I112" s="115">
        <v>17.899999999999999</v>
      </c>
      <c r="J112" s="115">
        <v>113.41</v>
      </c>
      <c r="K112" s="116">
        <v>0.1021</v>
      </c>
      <c r="L112" s="133" t="s">
        <v>1235</v>
      </c>
      <c r="M112" s="115" t="s">
        <v>1236</v>
      </c>
      <c r="N112" s="133" t="s">
        <v>1235</v>
      </c>
      <c r="O112" s="115">
        <v>12.53</v>
      </c>
      <c r="P112" s="115">
        <v>23.27</v>
      </c>
      <c r="Q112" s="116">
        <v>1.9E-2</v>
      </c>
      <c r="R112" s="116">
        <v>9.2399999999999996E-2</v>
      </c>
      <c r="S112" s="117">
        <v>45275</v>
      </c>
      <c r="T112" s="115">
        <v>3.9750000000000001</v>
      </c>
      <c r="U112" s="116">
        <v>-2.7E-2</v>
      </c>
      <c r="V112" s="116">
        <v>-3.2399999999999998E-2</v>
      </c>
      <c r="W112" s="133" t="s">
        <v>1235</v>
      </c>
      <c r="X112" s="115">
        <v>5537.14</v>
      </c>
      <c r="Y112" s="133" t="s">
        <v>1237</v>
      </c>
      <c r="Z112" s="127">
        <f t="shared" si="1"/>
        <v>135.19999999999999</v>
      </c>
    </row>
    <row r="113" spans="1:26" ht="17" customHeight="1">
      <c r="A113" s="133">
        <v>110053</v>
      </c>
      <c r="B113" s="115" t="s">
        <v>1482</v>
      </c>
      <c r="C113" s="115">
        <v>114.44</v>
      </c>
      <c r="D113" s="125">
        <v>1.5E-3</v>
      </c>
      <c r="E113" s="133" t="s">
        <v>1483</v>
      </c>
      <c r="F113" s="115">
        <v>7.15</v>
      </c>
      <c r="G113" s="116">
        <v>0</v>
      </c>
      <c r="H113" s="115">
        <v>0.63</v>
      </c>
      <c r="I113" s="115">
        <v>7.56</v>
      </c>
      <c r="J113" s="115">
        <v>94.58</v>
      </c>
      <c r="K113" s="116">
        <v>0.21</v>
      </c>
      <c r="L113" s="133" t="s">
        <v>1235</v>
      </c>
      <c r="M113" s="115" t="s">
        <v>1292</v>
      </c>
      <c r="N113" s="133" t="s">
        <v>1235</v>
      </c>
      <c r="O113" s="115" t="s">
        <v>1241</v>
      </c>
      <c r="P113" s="115">
        <v>9.83</v>
      </c>
      <c r="Q113" s="116">
        <v>0.24199999999999999</v>
      </c>
      <c r="R113" s="116">
        <v>8.6599999999999996E-2</v>
      </c>
      <c r="S113" s="117">
        <v>45729</v>
      </c>
      <c r="T113" s="115">
        <v>5.2190000000000003</v>
      </c>
      <c r="U113" s="116">
        <v>8.2000000000000007E-3</v>
      </c>
      <c r="V113" s="116">
        <v>1.6999999999999999E-3</v>
      </c>
      <c r="W113" s="133" t="s">
        <v>1235</v>
      </c>
      <c r="X113" s="115">
        <v>3097.18</v>
      </c>
      <c r="Y113" s="133" t="s">
        <v>1237</v>
      </c>
      <c r="Z113" s="127">
        <f t="shared" si="1"/>
        <v>135.44</v>
      </c>
    </row>
    <row r="114" spans="1:26" ht="17" customHeight="1">
      <c r="A114" s="133">
        <v>110057</v>
      </c>
      <c r="B114" s="115" t="s">
        <v>1484</v>
      </c>
      <c r="C114" s="115">
        <v>109.01</v>
      </c>
      <c r="D114" s="125">
        <v>1E-3</v>
      </c>
      <c r="E114" s="133" t="s">
        <v>1485</v>
      </c>
      <c r="F114" s="115">
        <v>8.61</v>
      </c>
      <c r="G114" s="124">
        <v>-1.1999999999999999E-3</v>
      </c>
      <c r="H114" s="115">
        <v>1.17</v>
      </c>
      <c r="I114" s="115">
        <v>9.99</v>
      </c>
      <c r="J114" s="115">
        <v>86.19</v>
      </c>
      <c r="K114" s="116">
        <v>0.26479999999999998</v>
      </c>
      <c r="L114" s="133" t="s">
        <v>1235</v>
      </c>
      <c r="M114" s="115" t="s">
        <v>1292</v>
      </c>
      <c r="N114" s="133" t="s">
        <v>1235</v>
      </c>
      <c r="O114" s="115">
        <v>6.99</v>
      </c>
      <c r="P114" s="115">
        <v>12.99</v>
      </c>
      <c r="Q114" s="116">
        <v>0.183</v>
      </c>
      <c r="R114" s="116">
        <v>2.5100000000000001E-2</v>
      </c>
      <c r="S114" s="117">
        <v>45747</v>
      </c>
      <c r="T114" s="115">
        <v>5.2679999999999998</v>
      </c>
      <c r="U114" s="116">
        <v>3.5000000000000001E-3</v>
      </c>
      <c r="V114" s="116">
        <v>-4.0000000000000002E-4</v>
      </c>
      <c r="W114" s="133" t="s">
        <v>1235</v>
      </c>
      <c r="X114" s="115">
        <v>178.31</v>
      </c>
      <c r="Y114" s="133" t="s">
        <v>1237</v>
      </c>
      <c r="Z114" s="127">
        <f t="shared" si="1"/>
        <v>135.49</v>
      </c>
    </row>
    <row r="115" spans="1:26" ht="17" customHeight="1">
      <c r="A115" s="133">
        <v>110052</v>
      </c>
      <c r="B115" s="115" t="s">
        <v>1486</v>
      </c>
      <c r="C115" s="115">
        <v>117.68</v>
      </c>
      <c r="D115" s="125">
        <v>5.5999999999999999E-3</v>
      </c>
      <c r="E115" s="133" t="s">
        <v>1487</v>
      </c>
      <c r="F115" s="115">
        <v>8.0299999999999994</v>
      </c>
      <c r="G115" s="125">
        <v>1.1299999999999999E-2</v>
      </c>
      <c r="H115" s="115">
        <v>1.81</v>
      </c>
      <c r="I115" s="115">
        <v>8.0399999999999991</v>
      </c>
      <c r="J115" s="115">
        <v>99.88</v>
      </c>
      <c r="K115" s="116">
        <v>0.1782</v>
      </c>
      <c r="L115" s="133" t="s">
        <v>1235</v>
      </c>
      <c r="M115" s="115" t="s">
        <v>1331</v>
      </c>
      <c r="N115" s="133" t="s">
        <v>1235</v>
      </c>
      <c r="O115" s="115">
        <v>5.63</v>
      </c>
      <c r="P115" s="115">
        <v>10.45</v>
      </c>
      <c r="Q115" s="116">
        <v>0.18099999999999999</v>
      </c>
      <c r="R115" s="116">
        <v>2.7199999999999998E-2</v>
      </c>
      <c r="S115" s="117">
        <v>45721</v>
      </c>
      <c r="T115" s="115">
        <v>5.1970000000000001</v>
      </c>
      <c r="U115" s="116">
        <v>2.2000000000000001E-3</v>
      </c>
      <c r="V115" s="116">
        <v>-4.1999999999999997E-3</v>
      </c>
      <c r="W115" s="133" t="s">
        <v>1235</v>
      </c>
      <c r="X115" s="115">
        <v>236.65</v>
      </c>
      <c r="Y115" s="133" t="s">
        <v>1237</v>
      </c>
      <c r="Z115" s="127">
        <f t="shared" si="1"/>
        <v>135.5</v>
      </c>
    </row>
    <row r="116" spans="1:26" ht="17" customHeight="1">
      <c r="A116" s="133">
        <v>132005</v>
      </c>
      <c r="B116" s="115" t="s">
        <v>1488</v>
      </c>
      <c r="C116" s="115">
        <v>119.79</v>
      </c>
      <c r="D116" s="125">
        <v>7.7999999999999996E-3</v>
      </c>
      <c r="E116" s="133" t="s">
        <v>1489</v>
      </c>
      <c r="F116" s="115">
        <v>36.869999999999997</v>
      </c>
      <c r="G116" s="124">
        <v>-1.4E-3</v>
      </c>
      <c r="H116" s="115">
        <v>1.96</v>
      </c>
      <c r="I116" s="115">
        <v>35.659999999999997</v>
      </c>
      <c r="J116" s="115">
        <v>103.39</v>
      </c>
      <c r="K116" s="116">
        <v>0.15939999999999999</v>
      </c>
      <c r="L116" s="133" t="s">
        <v>1235</v>
      </c>
      <c r="M116" s="115" t="s">
        <v>1292</v>
      </c>
      <c r="N116" s="133" t="s">
        <v>1235</v>
      </c>
      <c r="O116" s="115" t="s">
        <v>1241</v>
      </c>
      <c r="P116" s="115" t="s">
        <v>1241</v>
      </c>
      <c r="Q116" s="116">
        <v>6.0000000000000001E-3</v>
      </c>
      <c r="R116" s="116">
        <v>0.17019999999999999</v>
      </c>
      <c r="S116" s="117">
        <v>44173</v>
      </c>
      <c r="T116" s="115">
        <v>0.95599999999999996</v>
      </c>
      <c r="U116" s="116">
        <v>-9.3100000000000002E-2</v>
      </c>
      <c r="V116" s="116">
        <v>-0.10920000000000001</v>
      </c>
      <c r="W116" s="133" t="s">
        <v>1235</v>
      </c>
      <c r="X116" s="115">
        <v>300.39999999999998</v>
      </c>
      <c r="Y116" s="133" t="s">
        <v>1237</v>
      </c>
      <c r="Z116" s="127">
        <f t="shared" si="1"/>
        <v>135.73000000000002</v>
      </c>
    </row>
    <row r="117" spans="1:26" ht="17" customHeight="1">
      <c r="A117" s="133">
        <v>110055</v>
      </c>
      <c r="B117" s="115" t="s">
        <v>1490</v>
      </c>
      <c r="C117" s="115">
        <v>111.11</v>
      </c>
      <c r="D117" s="125">
        <v>1.8E-3</v>
      </c>
      <c r="E117" s="133" t="s">
        <v>1491</v>
      </c>
      <c r="F117" s="115">
        <v>15.35</v>
      </c>
      <c r="G117" s="125">
        <v>6.9999999999999999E-4</v>
      </c>
      <c r="H117" s="115">
        <v>2.5</v>
      </c>
      <c r="I117" s="115">
        <v>17.25</v>
      </c>
      <c r="J117" s="115">
        <v>88.99</v>
      </c>
      <c r="K117" s="116">
        <v>0.24859999999999999</v>
      </c>
      <c r="L117" s="133" t="s">
        <v>1235</v>
      </c>
      <c r="M117" s="115" t="s">
        <v>1236</v>
      </c>
      <c r="N117" s="133" t="s">
        <v>1235</v>
      </c>
      <c r="O117" s="115">
        <v>12.07</v>
      </c>
      <c r="P117" s="115">
        <v>22.43</v>
      </c>
      <c r="Q117" s="116">
        <v>0.129</v>
      </c>
      <c r="R117" s="116">
        <v>1.29E-2</v>
      </c>
      <c r="S117" s="117">
        <v>45731</v>
      </c>
      <c r="T117" s="115">
        <v>5.2249999999999996</v>
      </c>
      <c r="U117" s="116">
        <v>7.6E-3</v>
      </c>
      <c r="V117" s="116">
        <v>2.3E-3</v>
      </c>
      <c r="W117" s="133" t="s">
        <v>1235</v>
      </c>
      <c r="X117" s="115">
        <v>22.1</v>
      </c>
      <c r="Y117" s="133" t="s">
        <v>1237</v>
      </c>
      <c r="Z117" s="127">
        <f t="shared" si="1"/>
        <v>135.97</v>
      </c>
    </row>
    <row r="118" spans="1:26" ht="17" customHeight="1">
      <c r="A118" s="133">
        <v>113510</v>
      </c>
      <c r="B118" s="115" t="s">
        <v>1492</v>
      </c>
      <c r="C118" s="115">
        <v>106.73</v>
      </c>
      <c r="D118" s="124">
        <v>-1E-4</v>
      </c>
      <c r="E118" s="133" t="s">
        <v>1493</v>
      </c>
      <c r="F118" s="115">
        <v>7.09</v>
      </c>
      <c r="G118" s="125">
        <v>4.1999999999999997E-3</v>
      </c>
      <c r="H118" s="115">
        <v>3.6</v>
      </c>
      <c r="I118" s="115">
        <v>8.59</v>
      </c>
      <c r="J118" s="115">
        <v>82.54</v>
      </c>
      <c r="K118" s="116">
        <v>0.29310000000000003</v>
      </c>
      <c r="L118" s="133" t="s">
        <v>1235</v>
      </c>
      <c r="M118" s="115" t="s">
        <v>1247</v>
      </c>
      <c r="N118" s="133" t="s">
        <v>1235</v>
      </c>
      <c r="O118" s="115">
        <v>6.87</v>
      </c>
      <c r="P118" s="115">
        <v>11.17</v>
      </c>
      <c r="Q118" s="116">
        <v>2.3E-2</v>
      </c>
      <c r="R118" s="116">
        <v>0.153</v>
      </c>
      <c r="S118" s="117">
        <v>45461</v>
      </c>
      <c r="T118" s="115">
        <v>4.4850000000000003</v>
      </c>
      <c r="U118" s="116">
        <v>1.29E-2</v>
      </c>
      <c r="V118" s="116">
        <v>7.4999999999999997E-3</v>
      </c>
      <c r="W118" s="133" t="s">
        <v>1235</v>
      </c>
      <c r="X118" s="115">
        <v>34.93</v>
      </c>
      <c r="Y118" s="133" t="s">
        <v>1237</v>
      </c>
      <c r="Z118" s="127">
        <f t="shared" si="1"/>
        <v>136.04000000000002</v>
      </c>
    </row>
    <row r="119" spans="1:26" ht="17" customHeight="1">
      <c r="A119" s="133">
        <v>113019</v>
      </c>
      <c r="B119" s="115" t="s">
        <v>1494</v>
      </c>
      <c r="C119" s="115">
        <v>130.6</v>
      </c>
      <c r="D119" s="125">
        <v>1.0800000000000001E-2</v>
      </c>
      <c r="E119" s="133" t="s">
        <v>1495</v>
      </c>
      <c r="F119" s="115">
        <v>22.97</v>
      </c>
      <c r="G119" s="125">
        <v>1.95E-2</v>
      </c>
      <c r="H119" s="115">
        <v>2.61</v>
      </c>
      <c r="I119" s="115">
        <v>18.55</v>
      </c>
      <c r="J119" s="115">
        <v>123.83</v>
      </c>
      <c r="K119" s="116">
        <v>5.4699999999999999E-2</v>
      </c>
      <c r="L119" s="133" t="s">
        <v>1235</v>
      </c>
      <c r="M119" s="115" t="s">
        <v>1331</v>
      </c>
      <c r="N119" s="133" t="s">
        <v>1235</v>
      </c>
      <c r="O119" s="115">
        <v>12.98</v>
      </c>
      <c r="P119" s="115">
        <v>24.11</v>
      </c>
      <c r="Q119" s="116">
        <v>7.2999999999999995E-2</v>
      </c>
      <c r="R119" s="116">
        <v>0.35289999999999999</v>
      </c>
      <c r="S119" s="117">
        <v>44986</v>
      </c>
      <c r="T119" s="115">
        <v>3.1840000000000002</v>
      </c>
      <c r="U119" s="116">
        <v>-4.4999999999999998E-2</v>
      </c>
      <c r="V119" s="116">
        <v>-5.1999999999999998E-2</v>
      </c>
      <c r="W119" s="133" t="s">
        <v>1235</v>
      </c>
      <c r="X119" s="115">
        <v>1588.26</v>
      </c>
      <c r="Y119" s="133" t="s">
        <v>1237</v>
      </c>
      <c r="Z119" s="127">
        <f t="shared" si="1"/>
        <v>136.07</v>
      </c>
    </row>
    <row r="120" spans="1:26" ht="17" customHeight="1">
      <c r="A120" s="133">
        <v>113526</v>
      </c>
      <c r="B120" s="115" t="s">
        <v>1496</v>
      </c>
      <c r="C120" s="115">
        <v>133.4</v>
      </c>
      <c r="D120" s="124">
        <v>-5.7000000000000002E-3</v>
      </c>
      <c r="E120" s="133" t="s">
        <v>1497</v>
      </c>
      <c r="F120" s="115">
        <v>11.32</v>
      </c>
      <c r="G120" s="124">
        <v>-9.5999999999999992E-3</v>
      </c>
      <c r="H120" s="115">
        <v>2.62</v>
      </c>
      <c r="I120" s="115">
        <v>8.7200000000000006</v>
      </c>
      <c r="J120" s="115">
        <v>129.82</v>
      </c>
      <c r="K120" s="116">
        <v>2.76E-2</v>
      </c>
      <c r="L120" s="133" t="s">
        <v>1235</v>
      </c>
      <c r="M120" s="115" t="s">
        <v>1236</v>
      </c>
      <c r="N120" s="133" t="s">
        <v>1235</v>
      </c>
      <c r="O120" s="115">
        <v>6.1</v>
      </c>
      <c r="P120" s="115">
        <v>11.34</v>
      </c>
      <c r="Q120" s="116">
        <v>6.0999999999999999E-2</v>
      </c>
      <c r="R120" s="115" t="s">
        <v>1241</v>
      </c>
      <c r="S120" s="117">
        <v>45679</v>
      </c>
      <c r="T120" s="115">
        <v>5.0819999999999999</v>
      </c>
      <c r="U120" s="116">
        <v>-3.5999999999999997E-2</v>
      </c>
      <c r="V120" s="116">
        <v>-3.9800000000000002E-2</v>
      </c>
      <c r="W120" s="133" t="s">
        <v>1235</v>
      </c>
      <c r="X120" s="115">
        <v>102.11</v>
      </c>
      <c r="Y120" s="133" t="s">
        <v>1237</v>
      </c>
      <c r="Z120" s="127">
        <f t="shared" si="1"/>
        <v>136.16</v>
      </c>
    </row>
    <row r="121" spans="1:26" ht="17" customHeight="1">
      <c r="A121" s="133">
        <v>128059</v>
      </c>
      <c r="B121" s="115" t="s">
        <v>1498</v>
      </c>
      <c r="C121" s="115">
        <v>125.121</v>
      </c>
      <c r="D121" s="124">
        <v>-3.0000000000000001E-3</v>
      </c>
      <c r="E121" s="133" t="s">
        <v>1499</v>
      </c>
      <c r="F121" s="115">
        <v>85.27</v>
      </c>
      <c r="G121" s="124">
        <v>-4.7999999999999996E-3</v>
      </c>
      <c r="H121" s="115">
        <v>11.95</v>
      </c>
      <c r="I121" s="115">
        <v>75.72</v>
      </c>
      <c r="J121" s="115">
        <v>112.61</v>
      </c>
      <c r="K121" s="116">
        <v>0.1111</v>
      </c>
      <c r="L121" s="133" t="s">
        <v>1235</v>
      </c>
      <c r="M121" s="115" t="s">
        <v>1236</v>
      </c>
      <c r="N121" s="133" t="s">
        <v>1235</v>
      </c>
      <c r="O121" s="115">
        <v>53</v>
      </c>
      <c r="P121" s="115">
        <v>98.44</v>
      </c>
      <c r="Q121" s="116">
        <v>1.7000000000000001E-2</v>
      </c>
      <c r="R121" s="116">
        <v>5.1299999999999998E-2</v>
      </c>
      <c r="S121" s="117">
        <v>45727</v>
      </c>
      <c r="T121" s="115">
        <v>5.2140000000000004</v>
      </c>
      <c r="U121" s="116">
        <v>-1.7500000000000002E-2</v>
      </c>
      <c r="V121" s="116">
        <v>-2.23E-2</v>
      </c>
      <c r="W121" s="133" t="s">
        <v>1235</v>
      </c>
      <c r="X121" s="115">
        <v>24.66</v>
      </c>
      <c r="Y121" s="133" t="s">
        <v>1237</v>
      </c>
      <c r="Z121" s="127">
        <f t="shared" si="1"/>
        <v>136.23099999999999</v>
      </c>
    </row>
    <row r="122" spans="1:26" ht="17" customHeight="1">
      <c r="A122" s="133">
        <v>123003</v>
      </c>
      <c r="B122" s="115" t="s">
        <v>1500</v>
      </c>
      <c r="C122" s="115">
        <v>136.44</v>
      </c>
      <c r="D122" s="125">
        <v>3.3E-3</v>
      </c>
      <c r="E122" s="133" t="s">
        <v>1501</v>
      </c>
      <c r="F122" s="115">
        <v>14.27</v>
      </c>
      <c r="G122" s="125">
        <v>8.5000000000000006E-3</v>
      </c>
      <c r="H122" s="115">
        <v>3.32</v>
      </c>
      <c r="I122" s="123" t="s">
        <v>1502</v>
      </c>
      <c r="J122" s="115">
        <v>136.69</v>
      </c>
      <c r="K122" s="116">
        <v>-1.8E-3</v>
      </c>
      <c r="L122" s="133" t="s">
        <v>1235</v>
      </c>
      <c r="M122" s="115" t="s">
        <v>1331</v>
      </c>
      <c r="N122" s="133" t="s">
        <v>1235</v>
      </c>
      <c r="O122" s="115">
        <v>7.31</v>
      </c>
      <c r="P122" s="115">
        <v>13.57</v>
      </c>
      <c r="Q122" s="116">
        <v>2.9000000000000001E-2</v>
      </c>
      <c r="R122" s="116">
        <v>0.20080000000000001</v>
      </c>
      <c r="S122" s="117">
        <v>45268</v>
      </c>
      <c r="T122" s="115">
        <v>3.956</v>
      </c>
      <c r="U122" s="116">
        <v>-5.4199999999999998E-2</v>
      </c>
      <c r="V122" s="116">
        <v>-5.8400000000000001E-2</v>
      </c>
      <c r="W122" s="133" t="s">
        <v>1235</v>
      </c>
      <c r="X122" s="115">
        <v>7702.03</v>
      </c>
      <c r="Y122" s="133" t="s">
        <v>1237</v>
      </c>
      <c r="Z122" s="127">
        <f t="shared" si="1"/>
        <v>136.26</v>
      </c>
    </row>
    <row r="123" spans="1:26" ht="17" customHeight="1">
      <c r="A123" s="133">
        <v>113551</v>
      </c>
      <c r="B123" s="115" t="s">
        <v>1503</v>
      </c>
      <c r="C123" s="115">
        <v>125.71</v>
      </c>
      <c r="D123" s="125">
        <v>6.1000000000000004E-3</v>
      </c>
      <c r="E123" s="133" t="s">
        <v>1504</v>
      </c>
      <c r="F123" s="115">
        <v>46.65</v>
      </c>
      <c r="G123" s="125">
        <v>7.1000000000000004E-3</v>
      </c>
      <c r="H123" s="115">
        <v>4.0999999999999996</v>
      </c>
      <c r="I123" s="115">
        <v>41.04</v>
      </c>
      <c r="J123" s="115">
        <v>113.67</v>
      </c>
      <c r="K123" s="118">
        <v>0.10589999999999999</v>
      </c>
      <c r="L123" s="133" t="s">
        <v>1235</v>
      </c>
      <c r="M123" s="115" t="s">
        <v>1236</v>
      </c>
      <c r="N123" s="133" t="s">
        <v>1235</v>
      </c>
      <c r="O123" s="115">
        <v>28.73</v>
      </c>
      <c r="P123" s="115">
        <v>53.35</v>
      </c>
      <c r="Q123" s="116">
        <v>4.4999999999999998E-2</v>
      </c>
      <c r="R123" s="115" t="s">
        <v>1241</v>
      </c>
      <c r="S123" s="117">
        <v>45978</v>
      </c>
      <c r="T123" s="115">
        <v>5.9009999999999998</v>
      </c>
      <c r="U123" s="116">
        <v>-1.4800000000000001E-2</v>
      </c>
      <c r="V123" s="116">
        <v>-1.9300000000000001E-2</v>
      </c>
      <c r="W123" s="133" t="s">
        <v>1235</v>
      </c>
      <c r="X123" s="115">
        <v>934.46</v>
      </c>
      <c r="Y123" s="133" t="s">
        <v>1237</v>
      </c>
      <c r="Z123" s="127">
        <f t="shared" si="1"/>
        <v>136.29999999999998</v>
      </c>
    </row>
    <row r="124" spans="1:26" ht="17" customHeight="1">
      <c r="A124" s="133">
        <v>113509</v>
      </c>
      <c r="B124" s="115" t="s">
        <v>1505</v>
      </c>
      <c r="C124" s="115">
        <v>119.33</v>
      </c>
      <c r="D124" s="124">
        <v>-4.0000000000000001E-3</v>
      </c>
      <c r="E124" s="133" t="s">
        <v>1506</v>
      </c>
      <c r="F124" s="115">
        <v>19.260000000000002</v>
      </c>
      <c r="G124" s="124">
        <v>-1.5800000000000002E-2</v>
      </c>
      <c r="H124" s="115">
        <v>2.73</v>
      </c>
      <c r="I124" s="123" t="s">
        <v>1507</v>
      </c>
      <c r="J124" s="115">
        <v>101.96</v>
      </c>
      <c r="K124" s="116">
        <v>0.1704</v>
      </c>
      <c r="L124" s="133" t="s">
        <v>1235</v>
      </c>
      <c r="M124" s="115" t="s">
        <v>1236</v>
      </c>
      <c r="N124" s="133" t="s">
        <v>1235</v>
      </c>
      <c r="O124" s="115">
        <v>13.22</v>
      </c>
      <c r="P124" s="115">
        <v>24.56</v>
      </c>
      <c r="Q124" s="116">
        <v>0.10299999999999999</v>
      </c>
      <c r="R124" s="116">
        <v>0.45910000000000001</v>
      </c>
      <c r="S124" s="117">
        <v>45446</v>
      </c>
      <c r="T124" s="115">
        <v>4.444</v>
      </c>
      <c r="U124" s="116">
        <v>-1.6899999999999998E-2</v>
      </c>
      <c r="V124" s="116">
        <v>-2.12E-2</v>
      </c>
      <c r="W124" s="133" t="s">
        <v>1235</v>
      </c>
      <c r="X124" s="115">
        <v>71.47</v>
      </c>
      <c r="Y124" s="133" t="s">
        <v>1237</v>
      </c>
      <c r="Z124" s="127">
        <f t="shared" si="1"/>
        <v>136.37</v>
      </c>
    </row>
    <row r="125" spans="1:26" ht="17" customHeight="1">
      <c r="A125" s="133">
        <v>113011</v>
      </c>
      <c r="B125" s="115" t="s">
        <v>1508</v>
      </c>
      <c r="C125" s="115">
        <v>123.91</v>
      </c>
      <c r="D125" s="124">
        <v>-6.9999999999999999E-4</v>
      </c>
      <c r="E125" s="133" t="s">
        <v>1509</v>
      </c>
      <c r="F125" s="115">
        <v>4.37</v>
      </c>
      <c r="G125" s="124">
        <v>-2.3E-3</v>
      </c>
      <c r="H125" s="115">
        <v>0.6</v>
      </c>
      <c r="I125" s="115">
        <v>3.97</v>
      </c>
      <c r="J125" s="115">
        <v>110.08</v>
      </c>
      <c r="K125" s="116">
        <v>0.12559999999999999</v>
      </c>
      <c r="L125" s="133" t="s">
        <v>1235</v>
      </c>
      <c r="M125" s="115" t="s">
        <v>1292</v>
      </c>
      <c r="N125" s="133" t="s">
        <v>1235</v>
      </c>
      <c r="O125" s="115" t="s">
        <v>1241</v>
      </c>
      <c r="P125" s="115">
        <v>5.16</v>
      </c>
      <c r="Q125" s="116">
        <v>0.13100000000000001</v>
      </c>
      <c r="R125" s="116">
        <v>0.1211</v>
      </c>
      <c r="S125" s="117">
        <v>45002</v>
      </c>
      <c r="T125" s="115">
        <v>3.2269999999999999</v>
      </c>
      <c r="U125" s="116">
        <v>-3.8899999999999997E-2</v>
      </c>
      <c r="V125" s="116">
        <v>-4.3999999999999997E-2</v>
      </c>
      <c r="W125" s="133" t="s">
        <v>1235</v>
      </c>
      <c r="X125" s="115">
        <v>12492.89</v>
      </c>
      <c r="Y125" s="133" t="s">
        <v>1237</v>
      </c>
      <c r="Z125" s="127">
        <f t="shared" si="1"/>
        <v>136.47</v>
      </c>
    </row>
    <row r="126" spans="1:26" ht="17" customHeight="1">
      <c r="A126" s="133">
        <v>128061</v>
      </c>
      <c r="B126" s="115" t="s">
        <v>1510</v>
      </c>
      <c r="C126" s="115">
        <v>130.5</v>
      </c>
      <c r="D126" s="125">
        <v>9.1999999999999998E-3</v>
      </c>
      <c r="E126" s="133" t="s">
        <v>1511</v>
      </c>
      <c r="F126" s="115">
        <v>34.83</v>
      </c>
      <c r="G126" s="125">
        <v>9.5999999999999992E-3</v>
      </c>
      <c r="H126" s="115">
        <v>8.2799999999999994</v>
      </c>
      <c r="I126" s="115">
        <v>28.29</v>
      </c>
      <c r="J126" s="115">
        <v>123.12</v>
      </c>
      <c r="K126" s="116">
        <v>5.9900000000000002E-2</v>
      </c>
      <c r="L126" s="133" t="s">
        <v>1235</v>
      </c>
      <c r="M126" s="115" t="s">
        <v>1236</v>
      </c>
      <c r="N126" s="133" t="s">
        <v>1235</v>
      </c>
      <c r="O126" s="115">
        <v>19.8</v>
      </c>
      <c r="P126" s="115">
        <v>36.78</v>
      </c>
      <c r="Q126" s="116">
        <v>3.3000000000000002E-2</v>
      </c>
      <c r="R126" s="116">
        <v>3.9300000000000002E-2</v>
      </c>
      <c r="S126" s="117">
        <v>45743</v>
      </c>
      <c r="T126" s="115">
        <v>5.258</v>
      </c>
      <c r="U126" s="116">
        <v>-1.89E-2</v>
      </c>
      <c r="V126" s="116">
        <v>-2.47E-2</v>
      </c>
      <c r="W126" s="133" t="s">
        <v>1235</v>
      </c>
      <c r="X126" s="115">
        <v>653.11</v>
      </c>
      <c r="Y126" s="133" t="s">
        <v>1237</v>
      </c>
      <c r="Z126" s="127">
        <f t="shared" si="1"/>
        <v>136.49</v>
      </c>
    </row>
    <row r="127" spans="1:26" ht="17" customHeight="1">
      <c r="A127" s="133">
        <v>113535</v>
      </c>
      <c r="B127" s="115" t="s">
        <v>1512</v>
      </c>
      <c r="C127" s="115">
        <v>98.76</v>
      </c>
      <c r="D127" s="125">
        <v>1.1999999999999999E-3</v>
      </c>
      <c r="E127" s="133" t="s">
        <v>1513</v>
      </c>
      <c r="F127" s="115">
        <v>9</v>
      </c>
      <c r="G127" s="116">
        <v>0</v>
      </c>
      <c r="H127" s="115">
        <v>1.54</v>
      </c>
      <c r="I127" s="115">
        <v>12.56</v>
      </c>
      <c r="J127" s="115">
        <v>71.66</v>
      </c>
      <c r="K127" s="116">
        <v>0.37819999999999998</v>
      </c>
      <c r="L127" s="133" t="s">
        <v>1235</v>
      </c>
      <c r="M127" s="115" t="s">
        <v>1236</v>
      </c>
      <c r="N127" s="133" t="s">
        <v>1235</v>
      </c>
      <c r="O127" s="115">
        <v>8.7899999999999991</v>
      </c>
      <c r="P127" s="115">
        <v>16.329999999999998</v>
      </c>
      <c r="Q127" s="116">
        <v>0.192</v>
      </c>
      <c r="R127" s="115" t="s">
        <v>1241</v>
      </c>
      <c r="S127" s="117">
        <v>45420</v>
      </c>
      <c r="T127" s="115">
        <v>4.3730000000000002</v>
      </c>
      <c r="U127" s="116">
        <v>3.2800000000000003E-2</v>
      </c>
      <c r="V127" s="116">
        <v>2.7E-2</v>
      </c>
      <c r="W127" s="133" t="s">
        <v>1235</v>
      </c>
      <c r="X127" s="115">
        <v>129.07</v>
      </c>
      <c r="Y127" s="133" t="s">
        <v>1237</v>
      </c>
      <c r="Z127" s="127">
        <f t="shared" si="1"/>
        <v>136.58000000000001</v>
      </c>
    </row>
    <row r="128" spans="1:26" ht="17" customHeight="1">
      <c r="A128" s="133">
        <v>128074</v>
      </c>
      <c r="B128" s="115" t="s">
        <v>1514</v>
      </c>
      <c r="C128" s="115">
        <v>140</v>
      </c>
      <c r="D128" s="125">
        <v>1.4500000000000001E-2</v>
      </c>
      <c r="E128" s="133" t="s">
        <v>1515</v>
      </c>
      <c r="F128" s="115">
        <v>24.58</v>
      </c>
      <c r="G128" s="125">
        <v>4.1500000000000002E-2</v>
      </c>
      <c r="H128" s="115">
        <v>4</v>
      </c>
      <c r="I128" s="115">
        <v>17.059999999999999</v>
      </c>
      <c r="J128" s="115">
        <v>144.08000000000001</v>
      </c>
      <c r="K128" s="118">
        <v>-2.8299999999999999E-2</v>
      </c>
      <c r="L128" s="133" t="s">
        <v>1235</v>
      </c>
      <c r="M128" s="115" t="s">
        <v>1236</v>
      </c>
      <c r="N128" s="133" t="s">
        <v>1235</v>
      </c>
      <c r="O128" s="115">
        <v>11.94</v>
      </c>
      <c r="P128" s="115">
        <v>22.18</v>
      </c>
      <c r="Q128" s="116">
        <v>5.2999999999999999E-2</v>
      </c>
      <c r="R128" s="115" t="s">
        <v>1241</v>
      </c>
      <c r="S128" s="117">
        <v>45923</v>
      </c>
      <c r="T128" s="115">
        <v>5.7510000000000003</v>
      </c>
      <c r="U128" s="116">
        <v>-2.6499999999999999E-2</v>
      </c>
      <c r="V128" s="116">
        <v>-3.2300000000000002E-2</v>
      </c>
      <c r="W128" s="133" t="s">
        <v>1235</v>
      </c>
      <c r="X128" s="115">
        <v>7056.54</v>
      </c>
      <c r="Y128" s="133" t="s">
        <v>1237</v>
      </c>
      <c r="Z128" s="127">
        <f t="shared" si="1"/>
        <v>137.16999999999999</v>
      </c>
    </row>
    <row r="129" spans="1:26" ht="17" customHeight="1">
      <c r="A129" s="133">
        <v>113518</v>
      </c>
      <c r="B129" s="115" t="s">
        <v>1516</v>
      </c>
      <c r="C129" s="115">
        <v>129.97999999999999</v>
      </c>
      <c r="D129" s="125">
        <v>3.8999999999999998E-3</v>
      </c>
      <c r="E129" s="133" t="s">
        <v>1517</v>
      </c>
      <c r="F129" s="115">
        <v>44.24</v>
      </c>
      <c r="G129" s="124">
        <v>-3.5999999999999999E-3</v>
      </c>
      <c r="H129" s="115">
        <v>4.91</v>
      </c>
      <c r="I129" s="115">
        <v>36.57</v>
      </c>
      <c r="J129" s="115">
        <v>120.97</v>
      </c>
      <c r="K129" s="116">
        <v>7.4499999999999997E-2</v>
      </c>
      <c r="L129" s="133" t="s">
        <v>1235</v>
      </c>
      <c r="M129" s="115" t="s">
        <v>1236</v>
      </c>
      <c r="N129" s="133" t="s">
        <v>1235</v>
      </c>
      <c r="O129" s="115">
        <v>29.26</v>
      </c>
      <c r="P129" s="115">
        <v>47.54</v>
      </c>
      <c r="Q129" s="116">
        <v>4.1000000000000002E-2</v>
      </c>
      <c r="R129" s="116">
        <v>0.21</v>
      </c>
      <c r="S129" s="117">
        <v>45546</v>
      </c>
      <c r="T129" s="115">
        <v>4.718</v>
      </c>
      <c r="U129" s="116">
        <v>-2.63E-2</v>
      </c>
      <c r="V129" s="116">
        <v>-3.1699999999999999E-2</v>
      </c>
      <c r="W129" s="133" t="s">
        <v>1235</v>
      </c>
      <c r="X129" s="115">
        <v>178.69</v>
      </c>
      <c r="Y129" s="133" t="s">
        <v>1237</v>
      </c>
      <c r="Z129" s="127">
        <f t="shared" si="1"/>
        <v>137.42999999999998</v>
      </c>
    </row>
    <row r="130" spans="1:26" ht="17" customHeight="1">
      <c r="A130" s="133">
        <v>110042</v>
      </c>
      <c r="B130" s="115" t="s">
        <v>1518</v>
      </c>
      <c r="C130" s="115">
        <v>118.56</v>
      </c>
      <c r="D130" s="125">
        <v>5.0000000000000001E-4</v>
      </c>
      <c r="E130" s="133" t="s">
        <v>1519</v>
      </c>
      <c r="F130" s="115">
        <v>14.14</v>
      </c>
      <c r="G130" s="125">
        <v>2.0999999999999999E-3</v>
      </c>
      <c r="H130" s="115">
        <v>3.21</v>
      </c>
      <c r="I130" s="115">
        <v>14.18</v>
      </c>
      <c r="J130" s="115">
        <v>99.72</v>
      </c>
      <c r="K130" s="116">
        <v>0.18890000000000001</v>
      </c>
      <c r="L130" s="133" t="s">
        <v>1235</v>
      </c>
      <c r="M130" s="115" t="s">
        <v>1292</v>
      </c>
      <c r="N130" s="133" t="s">
        <v>1235</v>
      </c>
      <c r="O130" s="115">
        <v>9.93</v>
      </c>
      <c r="P130" s="115">
        <v>18.43</v>
      </c>
      <c r="Q130" s="116">
        <v>9.6000000000000002E-2</v>
      </c>
      <c r="R130" s="116">
        <v>0.21920000000000001</v>
      </c>
      <c r="S130" s="117">
        <v>45284</v>
      </c>
      <c r="T130" s="115">
        <v>4</v>
      </c>
      <c r="U130" s="116">
        <v>-2.0500000000000001E-2</v>
      </c>
      <c r="V130" s="116">
        <v>-2.47E-2</v>
      </c>
      <c r="W130" s="133" t="s">
        <v>1235</v>
      </c>
      <c r="X130" s="115">
        <v>12.55</v>
      </c>
      <c r="Y130" s="133" t="s">
        <v>1237</v>
      </c>
      <c r="Z130" s="127">
        <f t="shared" si="1"/>
        <v>137.44999999999999</v>
      </c>
    </row>
    <row r="131" spans="1:26" ht="17" customHeight="1">
      <c r="A131" s="133">
        <v>128018</v>
      </c>
      <c r="B131" s="115" t="s">
        <v>1520</v>
      </c>
      <c r="C131" s="115">
        <v>97.608000000000004</v>
      </c>
      <c r="D131" s="125">
        <v>2.2000000000000001E-3</v>
      </c>
      <c r="E131" s="133" t="s">
        <v>1521</v>
      </c>
      <c r="F131" s="115">
        <v>5.18</v>
      </c>
      <c r="G131" s="116">
        <v>0</v>
      </c>
      <c r="H131" s="115">
        <v>1.21</v>
      </c>
      <c r="I131" s="123" t="s">
        <v>1522</v>
      </c>
      <c r="J131" s="115">
        <v>69.53</v>
      </c>
      <c r="K131" s="116">
        <v>0.40379999999999999</v>
      </c>
      <c r="L131" s="133" t="s">
        <v>1235</v>
      </c>
      <c r="M131" s="115" t="s">
        <v>1236</v>
      </c>
      <c r="N131" s="133" t="s">
        <v>1235</v>
      </c>
      <c r="O131" s="115">
        <v>5.21</v>
      </c>
      <c r="P131" s="115">
        <v>9.69</v>
      </c>
      <c r="Q131" s="116">
        <v>0.27500000000000002</v>
      </c>
      <c r="R131" s="116">
        <v>0.1489</v>
      </c>
      <c r="S131" s="117">
        <v>45236</v>
      </c>
      <c r="T131" s="115">
        <v>3.8679999999999999</v>
      </c>
      <c r="U131" s="116">
        <v>3.27E-2</v>
      </c>
      <c r="V131" s="116">
        <v>2.75E-2</v>
      </c>
      <c r="W131" s="133" t="s">
        <v>1235</v>
      </c>
      <c r="X131" s="115">
        <v>61.53</v>
      </c>
      <c r="Y131" s="133" t="s">
        <v>1237</v>
      </c>
      <c r="Z131" s="127">
        <f t="shared" ref="Z131:Z194" si="2">C131+K131*100</f>
        <v>137.988</v>
      </c>
    </row>
    <row r="132" spans="1:26" ht="17" customHeight="1">
      <c r="A132" s="133">
        <v>113017</v>
      </c>
      <c r="B132" s="115" t="s">
        <v>1523</v>
      </c>
      <c r="C132" s="115">
        <v>99</v>
      </c>
      <c r="D132" s="124">
        <v>-1E-3</v>
      </c>
      <c r="E132" s="133" t="s">
        <v>1524</v>
      </c>
      <c r="F132" s="115">
        <v>2.1</v>
      </c>
      <c r="G132" s="116">
        <v>0</v>
      </c>
      <c r="H132" s="115">
        <v>0.93</v>
      </c>
      <c r="I132" s="115">
        <v>2.95</v>
      </c>
      <c r="J132" s="115">
        <v>71.19</v>
      </c>
      <c r="K132" s="116">
        <v>0.3906</v>
      </c>
      <c r="L132" s="133" t="s">
        <v>1235</v>
      </c>
      <c r="M132" s="115" t="s">
        <v>1331</v>
      </c>
      <c r="N132" s="133" t="s">
        <v>1235</v>
      </c>
      <c r="O132" s="115">
        <v>2.06</v>
      </c>
      <c r="P132" s="115">
        <v>3.83</v>
      </c>
      <c r="Q132" s="116">
        <v>0.23899999999999999</v>
      </c>
      <c r="R132" s="116">
        <v>0.1658</v>
      </c>
      <c r="S132" s="117">
        <v>45287</v>
      </c>
      <c r="T132" s="115">
        <v>4.008</v>
      </c>
      <c r="U132" s="116">
        <v>2.7900000000000001E-2</v>
      </c>
      <c r="V132" s="116">
        <v>2.29E-2</v>
      </c>
      <c r="W132" s="133" t="s">
        <v>1235</v>
      </c>
      <c r="X132" s="115">
        <v>435.61</v>
      </c>
      <c r="Y132" s="133" t="s">
        <v>1237</v>
      </c>
      <c r="Z132" s="127">
        <f t="shared" si="2"/>
        <v>138.06</v>
      </c>
    </row>
    <row r="133" spans="1:26" ht="17" customHeight="1">
      <c r="A133" s="133">
        <v>110054</v>
      </c>
      <c r="B133" s="115" t="s">
        <v>1525</v>
      </c>
      <c r="C133" s="115">
        <v>123.4</v>
      </c>
      <c r="D133" s="124">
        <v>-2.3E-3</v>
      </c>
      <c r="E133" s="133" t="s">
        <v>1526</v>
      </c>
      <c r="F133" s="115">
        <v>13.2</v>
      </c>
      <c r="G133" s="125">
        <v>2.8000000000000001E-2</v>
      </c>
      <c r="H133" s="115">
        <v>2.98</v>
      </c>
      <c r="I133" s="115">
        <v>12.28</v>
      </c>
      <c r="J133" s="115">
        <v>107.49</v>
      </c>
      <c r="K133" s="116">
        <v>0.14799999999999999</v>
      </c>
      <c r="L133" s="133" t="s">
        <v>1235</v>
      </c>
      <c r="M133" s="115" t="s">
        <v>1331</v>
      </c>
      <c r="N133" s="133" t="s">
        <v>1235</v>
      </c>
      <c r="O133" s="115">
        <v>8.6</v>
      </c>
      <c r="P133" s="115">
        <v>15.96</v>
      </c>
      <c r="Q133" s="116">
        <v>9.8000000000000004E-2</v>
      </c>
      <c r="R133" s="116">
        <v>0.13289999999999999</v>
      </c>
      <c r="S133" s="117">
        <v>45734</v>
      </c>
      <c r="T133" s="115">
        <v>5.2329999999999997</v>
      </c>
      <c r="U133" s="116">
        <v>-1.2699999999999999E-2</v>
      </c>
      <c r="V133" s="116">
        <v>-1.7899999999999999E-2</v>
      </c>
      <c r="W133" s="133" t="s">
        <v>1235</v>
      </c>
      <c r="X133" s="115">
        <v>6042.26</v>
      </c>
      <c r="Y133" s="133" t="s">
        <v>1237</v>
      </c>
      <c r="Z133" s="127">
        <f t="shared" si="2"/>
        <v>138.20000000000002</v>
      </c>
    </row>
    <row r="134" spans="1:26" ht="17" customHeight="1">
      <c r="A134" s="133">
        <v>128022</v>
      </c>
      <c r="B134" s="115" t="s">
        <v>1527</v>
      </c>
      <c r="C134" s="115">
        <v>104.53700000000001</v>
      </c>
      <c r="D134" s="116">
        <v>0</v>
      </c>
      <c r="E134" s="133" t="s">
        <v>1528</v>
      </c>
      <c r="F134" s="115">
        <v>6.18</v>
      </c>
      <c r="G134" s="124">
        <v>-4.7999999999999996E-3</v>
      </c>
      <c r="H134" s="115">
        <v>2.2200000000000002</v>
      </c>
      <c r="I134" s="123" t="s">
        <v>1529</v>
      </c>
      <c r="J134" s="115">
        <v>78.13</v>
      </c>
      <c r="K134" s="116">
        <v>0.33800000000000002</v>
      </c>
      <c r="L134" s="133" t="s">
        <v>1235</v>
      </c>
      <c r="M134" s="115" t="s">
        <v>1236</v>
      </c>
      <c r="N134" s="133" t="s">
        <v>1235</v>
      </c>
      <c r="O134" s="115">
        <v>5.54</v>
      </c>
      <c r="P134" s="115">
        <v>10.28</v>
      </c>
      <c r="Q134" s="116">
        <v>0.129</v>
      </c>
      <c r="R134" s="116">
        <v>0.31990000000000002</v>
      </c>
      <c r="S134" s="117">
        <v>45261</v>
      </c>
      <c r="T134" s="115">
        <v>3.9369999999999998</v>
      </c>
      <c r="U134" s="116">
        <v>1.2800000000000001E-2</v>
      </c>
      <c r="V134" s="116">
        <v>8.0000000000000002E-3</v>
      </c>
      <c r="W134" s="133" t="s">
        <v>1235</v>
      </c>
      <c r="X134" s="115">
        <v>93.03</v>
      </c>
      <c r="Y134" s="133" t="s">
        <v>1237</v>
      </c>
      <c r="Z134" s="127">
        <f t="shared" si="2"/>
        <v>138.33700000000002</v>
      </c>
    </row>
    <row r="135" spans="1:26" ht="17" customHeight="1">
      <c r="A135" s="133">
        <v>113543</v>
      </c>
      <c r="B135" s="115" t="s">
        <v>1530</v>
      </c>
      <c r="C135" s="115">
        <v>123.82</v>
      </c>
      <c r="D135" s="124">
        <v>-2E-3</v>
      </c>
      <c r="E135" s="133" t="s">
        <v>1531</v>
      </c>
      <c r="F135" s="115">
        <v>109.5</v>
      </c>
      <c r="G135" s="124">
        <v>-8.9999999999999993E-3</v>
      </c>
      <c r="H135" s="115">
        <v>5.09</v>
      </c>
      <c r="I135" s="115">
        <v>101.46</v>
      </c>
      <c r="J135" s="115">
        <v>107.92</v>
      </c>
      <c r="K135" s="118">
        <v>0.14729999999999999</v>
      </c>
      <c r="L135" s="133" t="s">
        <v>1235</v>
      </c>
      <c r="M135" s="115" t="s">
        <v>1236</v>
      </c>
      <c r="N135" s="133" t="s">
        <v>1235</v>
      </c>
      <c r="O135" s="115">
        <v>71.02</v>
      </c>
      <c r="P135" s="115">
        <v>131.9</v>
      </c>
      <c r="Q135" s="116">
        <v>3.2000000000000001E-2</v>
      </c>
      <c r="R135" s="115" t="s">
        <v>1241</v>
      </c>
      <c r="S135" s="117">
        <v>45884</v>
      </c>
      <c r="T135" s="115">
        <v>5.6440000000000001</v>
      </c>
      <c r="U135" s="116">
        <v>-1.2800000000000001E-2</v>
      </c>
      <c r="V135" s="116">
        <v>-1.7500000000000002E-2</v>
      </c>
      <c r="W135" s="133" t="s">
        <v>1235</v>
      </c>
      <c r="X135" s="115">
        <v>546.79999999999995</v>
      </c>
      <c r="Y135" s="133" t="s">
        <v>1237</v>
      </c>
      <c r="Z135" s="127">
        <f t="shared" si="2"/>
        <v>138.54999999999998</v>
      </c>
    </row>
    <row r="136" spans="1:26" ht="17" customHeight="1">
      <c r="A136" s="133">
        <v>110041</v>
      </c>
      <c r="B136" s="115" t="s">
        <v>1532</v>
      </c>
      <c r="C136" s="115">
        <v>116.51</v>
      </c>
      <c r="D136" s="125">
        <v>1.6000000000000001E-3</v>
      </c>
      <c r="E136" s="133" t="s">
        <v>1533</v>
      </c>
      <c r="F136" s="115">
        <v>2.69</v>
      </c>
      <c r="G136" s="125">
        <v>3.7000000000000002E-3</v>
      </c>
      <c r="H136" s="115">
        <v>1.1200000000000001</v>
      </c>
      <c r="I136" s="115">
        <v>2.82</v>
      </c>
      <c r="J136" s="115">
        <v>95.39</v>
      </c>
      <c r="K136" s="116">
        <v>0.22140000000000001</v>
      </c>
      <c r="L136" s="133" t="s">
        <v>1235</v>
      </c>
      <c r="M136" s="115" t="s">
        <v>1292</v>
      </c>
      <c r="N136" s="133" t="s">
        <v>1235</v>
      </c>
      <c r="O136" s="115">
        <v>1.97</v>
      </c>
      <c r="P136" s="115">
        <v>3.67</v>
      </c>
      <c r="Q136" s="116">
        <v>0.12</v>
      </c>
      <c r="R136" s="116">
        <v>0.2281</v>
      </c>
      <c r="S136" s="117">
        <v>45281</v>
      </c>
      <c r="T136" s="115">
        <v>3.992</v>
      </c>
      <c r="U136" s="116">
        <v>-1.3899999999999999E-2</v>
      </c>
      <c r="V136" s="116">
        <v>-1.8499999999999999E-2</v>
      </c>
      <c r="W136" s="133" t="s">
        <v>1235</v>
      </c>
      <c r="X136" s="115">
        <v>5.94</v>
      </c>
      <c r="Y136" s="133" t="s">
        <v>1237</v>
      </c>
      <c r="Z136" s="127">
        <f t="shared" si="2"/>
        <v>138.65</v>
      </c>
    </row>
    <row r="137" spans="1:26" ht="17" customHeight="1">
      <c r="A137" s="133">
        <v>113531</v>
      </c>
      <c r="B137" s="115" t="s">
        <v>1534</v>
      </c>
      <c r="C137" s="115">
        <v>121.39</v>
      </c>
      <c r="D137" s="124">
        <v>-9.9000000000000008E-3</v>
      </c>
      <c r="E137" s="133" t="s">
        <v>1535</v>
      </c>
      <c r="F137" s="115">
        <v>61.47</v>
      </c>
      <c r="G137" s="124">
        <v>-7.7000000000000002E-3</v>
      </c>
      <c r="H137" s="115">
        <v>5.24</v>
      </c>
      <c r="I137" s="115">
        <v>60.09</v>
      </c>
      <c r="J137" s="115">
        <v>102.3</v>
      </c>
      <c r="K137" s="116">
        <v>0.18659999999999999</v>
      </c>
      <c r="L137" s="133" t="s">
        <v>1235</v>
      </c>
      <c r="M137" s="115" t="s">
        <v>1236</v>
      </c>
      <c r="N137" s="133" t="s">
        <v>1235</v>
      </c>
      <c r="O137" s="115">
        <v>42.06</v>
      </c>
      <c r="P137" s="115">
        <v>78.12</v>
      </c>
      <c r="Q137" s="116">
        <v>1.9E-2</v>
      </c>
      <c r="R137" s="116">
        <v>1.7899999999999999E-2</v>
      </c>
      <c r="S137" s="117">
        <v>45379</v>
      </c>
      <c r="T137" s="115">
        <v>4.26</v>
      </c>
      <c r="U137" s="116">
        <v>-1.77E-2</v>
      </c>
      <c r="V137" s="116">
        <v>-2.29E-2</v>
      </c>
      <c r="W137" s="133" t="s">
        <v>1235</v>
      </c>
      <c r="X137" s="115">
        <v>184.17</v>
      </c>
      <c r="Y137" s="133" t="s">
        <v>1237</v>
      </c>
      <c r="Z137" s="127">
        <f t="shared" si="2"/>
        <v>140.05000000000001</v>
      </c>
    </row>
    <row r="138" spans="1:26" ht="17" customHeight="1">
      <c r="A138" s="133">
        <v>123035</v>
      </c>
      <c r="B138" s="115" t="s">
        <v>1536</v>
      </c>
      <c r="C138" s="115">
        <v>122.7</v>
      </c>
      <c r="D138" s="125">
        <v>6.1999999999999998E-3</v>
      </c>
      <c r="E138" s="133" t="s">
        <v>1537</v>
      </c>
      <c r="F138" s="115">
        <v>7.36</v>
      </c>
      <c r="G138" s="125">
        <v>2.0799999999999999E-2</v>
      </c>
      <c r="H138" s="115">
        <v>2.25</v>
      </c>
      <c r="I138" s="115">
        <v>7.04</v>
      </c>
      <c r="J138" s="115">
        <v>104.55</v>
      </c>
      <c r="K138" s="118">
        <v>0.1736</v>
      </c>
      <c r="L138" s="133" t="s">
        <v>1235</v>
      </c>
      <c r="M138" s="115" t="s">
        <v>1331</v>
      </c>
      <c r="N138" s="133" t="s">
        <v>1235</v>
      </c>
      <c r="O138" s="115">
        <v>4.93</v>
      </c>
      <c r="P138" s="115">
        <v>9.15</v>
      </c>
      <c r="Q138" s="116">
        <v>4.2999999999999997E-2</v>
      </c>
      <c r="R138" s="115" t="s">
        <v>1241</v>
      </c>
      <c r="S138" s="117">
        <v>45974</v>
      </c>
      <c r="T138" s="115">
        <v>5.89</v>
      </c>
      <c r="U138" s="116">
        <v>-1.03E-2</v>
      </c>
      <c r="V138" s="116">
        <v>-1.49E-2</v>
      </c>
      <c r="W138" s="133" t="s">
        <v>1235</v>
      </c>
      <c r="X138" s="115">
        <v>1141.5999999999999</v>
      </c>
      <c r="Y138" s="133" t="s">
        <v>1237</v>
      </c>
      <c r="Z138" s="127">
        <f t="shared" si="2"/>
        <v>140.06</v>
      </c>
    </row>
    <row r="139" spans="1:26" ht="17" customHeight="1">
      <c r="A139" s="133">
        <v>110051</v>
      </c>
      <c r="B139" s="115" t="s">
        <v>1538</v>
      </c>
      <c r="C139" s="115">
        <v>107.63</v>
      </c>
      <c r="D139" s="125">
        <v>1.1000000000000001E-3</v>
      </c>
      <c r="E139" s="133" t="s">
        <v>1539</v>
      </c>
      <c r="F139" s="115">
        <v>8.23</v>
      </c>
      <c r="G139" s="125">
        <v>1.1999999999999999E-3</v>
      </c>
      <c r="H139" s="115">
        <v>1.23</v>
      </c>
      <c r="I139" s="115">
        <v>10.19</v>
      </c>
      <c r="J139" s="115">
        <v>80.77</v>
      </c>
      <c r="K139" s="116">
        <v>0.33250000000000002</v>
      </c>
      <c r="L139" s="133" t="s">
        <v>1235</v>
      </c>
      <c r="M139" s="115" t="s">
        <v>1331</v>
      </c>
      <c r="N139" s="133" t="s">
        <v>1235</v>
      </c>
      <c r="O139" s="115">
        <v>7.13</v>
      </c>
      <c r="P139" s="115">
        <v>13.25</v>
      </c>
      <c r="Q139" s="116">
        <v>0.157</v>
      </c>
      <c r="R139" s="116">
        <v>7.1800000000000003E-2</v>
      </c>
      <c r="S139" s="117">
        <v>45716</v>
      </c>
      <c r="T139" s="115">
        <v>5.1840000000000002</v>
      </c>
      <c r="U139" s="116">
        <v>1.1900000000000001E-2</v>
      </c>
      <c r="V139" s="116">
        <v>6.8999999999999999E-3</v>
      </c>
      <c r="W139" s="133" t="s">
        <v>1235</v>
      </c>
      <c r="X139" s="115">
        <v>175.88</v>
      </c>
      <c r="Y139" s="133" t="s">
        <v>1237</v>
      </c>
      <c r="Z139" s="127">
        <f t="shared" si="2"/>
        <v>140.88</v>
      </c>
    </row>
    <row r="140" spans="1:26" ht="17" customHeight="1">
      <c r="A140" s="133">
        <v>123017</v>
      </c>
      <c r="B140" s="115" t="s">
        <v>1540</v>
      </c>
      <c r="C140" s="115">
        <v>138.49</v>
      </c>
      <c r="D140" s="124">
        <v>-4.4000000000000003E-3</v>
      </c>
      <c r="E140" s="133" t="s">
        <v>1541</v>
      </c>
      <c r="F140" s="115">
        <v>77.69</v>
      </c>
      <c r="G140" s="124">
        <v>-5.1999999999999998E-3</v>
      </c>
      <c r="H140" s="115">
        <v>12.06</v>
      </c>
      <c r="I140" s="115">
        <v>57.49</v>
      </c>
      <c r="J140" s="115">
        <v>135.13999999999999</v>
      </c>
      <c r="K140" s="116">
        <v>2.4799999999999999E-2</v>
      </c>
      <c r="L140" s="133" t="s">
        <v>1235</v>
      </c>
      <c r="M140" s="115" t="s">
        <v>1247</v>
      </c>
      <c r="N140" s="133" t="s">
        <v>1235</v>
      </c>
      <c r="O140" s="115">
        <v>40.24</v>
      </c>
      <c r="P140" s="115">
        <v>74.739999999999995</v>
      </c>
      <c r="Q140" s="116">
        <v>2.1000000000000001E-2</v>
      </c>
      <c r="R140" s="116">
        <v>0.3236</v>
      </c>
      <c r="S140" s="117">
        <v>45616</v>
      </c>
      <c r="T140" s="115">
        <v>4.91</v>
      </c>
      <c r="U140" s="116">
        <v>-4.5199999999999997E-2</v>
      </c>
      <c r="V140" s="116">
        <v>-4.8899999999999999E-2</v>
      </c>
      <c r="W140" s="133" t="s">
        <v>1235</v>
      </c>
      <c r="X140" s="115">
        <v>1732.07</v>
      </c>
      <c r="Y140" s="133" t="s">
        <v>1237</v>
      </c>
      <c r="Z140" s="127">
        <f t="shared" si="2"/>
        <v>140.97</v>
      </c>
    </row>
    <row r="141" spans="1:26" ht="17" customHeight="1">
      <c r="A141" s="133">
        <v>113026</v>
      </c>
      <c r="B141" s="115" t="s">
        <v>1542</v>
      </c>
      <c r="C141" s="115">
        <v>107.37</v>
      </c>
      <c r="D141" s="124">
        <v>-2.7000000000000001E-3</v>
      </c>
      <c r="E141" s="133" t="s">
        <v>1543</v>
      </c>
      <c r="F141" s="115">
        <v>4.9800000000000004</v>
      </c>
      <c r="G141" s="124">
        <v>-1.78E-2</v>
      </c>
      <c r="H141" s="115">
        <v>1.58</v>
      </c>
      <c r="I141" s="115">
        <v>6.2</v>
      </c>
      <c r="J141" s="115">
        <v>80.319999999999993</v>
      </c>
      <c r="K141" s="116">
        <v>0.33679999999999999</v>
      </c>
      <c r="L141" s="133" t="s">
        <v>1235</v>
      </c>
      <c r="M141" s="115" t="s">
        <v>1292</v>
      </c>
      <c r="N141" s="133" t="s">
        <v>1235</v>
      </c>
      <c r="O141" s="115">
        <v>4.34</v>
      </c>
      <c r="P141" s="115">
        <v>8.06</v>
      </c>
      <c r="Q141" s="116">
        <v>0.10100000000000001</v>
      </c>
      <c r="R141" s="116">
        <v>1.2999999999999999E-3</v>
      </c>
      <c r="S141" s="117">
        <v>45761</v>
      </c>
      <c r="T141" s="115">
        <v>5.3070000000000004</v>
      </c>
      <c r="U141" s="116">
        <v>4.7000000000000002E-3</v>
      </c>
      <c r="V141" s="116">
        <v>1.1000000000000001E-3</v>
      </c>
      <c r="W141" s="133" t="s">
        <v>1235</v>
      </c>
      <c r="X141" s="115">
        <v>1476.39</v>
      </c>
      <c r="Y141" s="133" t="s">
        <v>1237</v>
      </c>
      <c r="Z141" s="127">
        <f t="shared" si="2"/>
        <v>141.05000000000001</v>
      </c>
    </row>
    <row r="142" spans="1:26" ht="17" customHeight="1">
      <c r="A142" s="133">
        <v>128016</v>
      </c>
      <c r="B142" s="115" t="s">
        <v>1544</v>
      </c>
      <c r="C142" s="115">
        <v>125.64400000000001</v>
      </c>
      <c r="D142" s="124">
        <v>-3.0999999999999999E-3</v>
      </c>
      <c r="E142" s="133" t="s">
        <v>1545</v>
      </c>
      <c r="F142" s="115">
        <v>24.38</v>
      </c>
      <c r="G142" s="125">
        <v>8.0000000000000004E-4</v>
      </c>
      <c r="H142" s="115">
        <v>3.94</v>
      </c>
      <c r="I142" s="115">
        <v>22.4</v>
      </c>
      <c r="J142" s="115">
        <v>108.84</v>
      </c>
      <c r="K142" s="116">
        <v>0.15440000000000001</v>
      </c>
      <c r="L142" s="133" t="s">
        <v>1235</v>
      </c>
      <c r="M142" s="115" t="s">
        <v>1331</v>
      </c>
      <c r="N142" s="133" t="s">
        <v>1235</v>
      </c>
      <c r="O142" s="115">
        <v>15.68</v>
      </c>
      <c r="P142" s="115">
        <v>29.12</v>
      </c>
      <c r="Q142" s="116">
        <v>5.0999999999999997E-2</v>
      </c>
      <c r="R142" s="116">
        <v>0.24579999999999999</v>
      </c>
      <c r="S142" s="117">
        <v>45194</v>
      </c>
      <c r="T142" s="115">
        <v>3.7530000000000001</v>
      </c>
      <c r="U142" s="116">
        <v>-3.5900000000000001E-2</v>
      </c>
      <c r="V142" s="116">
        <v>-4.0399999999999998E-2</v>
      </c>
      <c r="W142" s="133" t="s">
        <v>1235</v>
      </c>
      <c r="X142" s="115">
        <v>834.04</v>
      </c>
      <c r="Y142" s="133" t="s">
        <v>1237</v>
      </c>
      <c r="Z142" s="127">
        <f t="shared" si="2"/>
        <v>141.084</v>
      </c>
    </row>
    <row r="143" spans="1:26" ht="17" customHeight="1">
      <c r="A143" s="133">
        <v>110059</v>
      </c>
      <c r="B143" s="115" t="s">
        <v>1546</v>
      </c>
      <c r="C143" s="115">
        <v>108.12</v>
      </c>
      <c r="D143" s="125">
        <v>1E-4</v>
      </c>
      <c r="E143" s="133" t="s">
        <v>1547</v>
      </c>
      <c r="F143" s="115">
        <v>12.23</v>
      </c>
      <c r="G143" s="124">
        <v>-4.1000000000000003E-3</v>
      </c>
      <c r="H143" s="115">
        <v>0.67</v>
      </c>
      <c r="I143" s="115">
        <v>15.05</v>
      </c>
      <c r="J143" s="115">
        <v>81.260000000000005</v>
      </c>
      <c r="K143" s="118">
        <v>0.33050000000000002</v>
      </c>
      <c r="L143" s="133" t="s">
        <v>1235</v>
      </c>
      <c r="M143" s="115" t="s">
        <v>1292</v>
      </c>
      <c r="N143" s="133" t="s">
        <v>1235</v>
      </c>
      <c r="O143" s="115" t="s">
        <v>1241</v>
      </c>
      <c r="P143" s="115">
        <v>19.57</v>
      </c>
      <c r="Q143" s="116">
        <v>0.13900000000000001</v>
      </c>
      <c r="R143" s="115" t="s">
        <v>1241</v>
      </c>
      <c r="S143" s="117">
        <v>45957</v>
      </c>
      <c r="T143" s="115">
        <v>5.8440000000000003</v>
      </c>
      <c r="U143" s="116">
        <v>1.5100000000000001E-2</v>
      </c>
      <c r="V143" s="116">
        <v>9.7000000000000003E-3</v>
      </c>
      <c r="W143" s="133" t="s">
        <v>1235</v>
      </c>
      <c r="X143" s="115">
        <v>10914.24</v>
      </c>
      <c r="Y143" s="133" t="s">
        <v>1237</v>
      </c>
      <c r="Z143" s="127">
        <f t="shared" si="2"/>
        <v>141.17000000000002</v>
      </c>
    </row>
    <row r="144" spans="1:26" ht="17" customHeight="1">
      <c r="A144" s="133">
        <v>123025</v>
      </c>
      <c r="B144" s="115" t="s">
        <v>1548</v>
      </c>
      <c r="C144" s="115">
        <v>126.17</v>
      </c>
      <c r="D144" s="125">
        <v>4.0599999999999997E-2</v>
      </c>
      <c r="E144" s="133" t="s">
        <v>1549</v>
      </c>
      <c r="F144" s="115">
        <v>55.11</v>
      </c>
      <c r="G144" s="125">
        <v>7.3899999999999993E-2</v>
      </c>
      <c r="H144" s="115">
        <v>9.6999999999999993</v>
      </c>
      <c r="I144" s="115">
        <v>50.25</v>
      </c>
      <c r="J144" s="115">
        <v>109.67</v>
      </c>
      <c r="K144" s="116">
        <v>0.15049999999999999</v>
      </c>
      <c r="L144" s="133" t="s">
        <v>1235</v>
      </c>
      <c r="M144" s="115" t="s">
        <v>1247</v>
      </c>
      <c r="N144" s="133" t="s">
        <v>1235</v>
      </c>
      <c r="O144" s="115">
        <v>35.17</v>
      </c>
      <c r="P144" s="115">
        <v>65.33</v>
      </c>
      <c r="Q144" s="116">
        <v>2.8000000000000001E-2</v>
      </c>
      <c r="R144" s="116">
        <v>4.8000000000000001E-2</v>
      </c>
      <c r="S144" s="117">
        <v>45744</v>
      </c>
      <c r="T144" s="115">
        <v>5.26</v>
      </c>
      <c r="U144" s="116">
        <v>-1.32E-2</v>
      </c>
      <c r="V144" s="116">
        <v>-1.9E-2</v>
      </c>
      <c r="W144" s="133" t="s">
        <v>1235</v>
      </c>
      <c r="X144" s="115">
        <v>7332.84</v>
      </c>
      <c r="Y144" s="133" t="s">
        <v>1237</v>
      </c>
      <c r="Z144" s="127">
        <f t="shared" si="2"/>
        <v>141.22</v>
      </c>
    </row>
    <row r="145" spans="1:26" ht="17" customHeight="1">
      <c r="A145" s="133">
        <v>128078</v>
      </c>
      <c r="B145" s="115" t="s">
        <v>1550</v>
      </c>
      <c r="C145" s="115">
        <v>136.601</v>
      </c>
      <c r="D145" s="125">
        <v>2.63E-2</v>
      </c>
      <c r="E145" s="133" t="s">
        <v>1551</v>
      </c>
      <c r="F145" s="115">
        <v>41.27</v>
      </c>
      <c r="G145" s="125">
        <v>3.6900000000000002E-2</v>
      </c>
      <c r="H145" s="115">
        <v>6</v>
      </c>
      <c r="I145" s="115">
        <v>31.61</v>
      </c>
      <c r="J145" s="115">
        <v>130.56</v>
      </c>
      <c r="K145" s="118">
        <v>4.6300000000000001E-2</v>
      </c>
      <c r="L145" s="133" t="s">
        <v>1235</v>
      </c>
      <c r="M145" s="115" t="s">
        <v>1236</v>
      </c>
      <c r="N145" s="133" t="s">
        <v>1235</v>
      </c>
      <c r="O145" s="115">
        <v>22.13</v>
      </c>
      <c r="P145" s="115">
        <v>41.09</v>
      </c>
      <c r="Q145" s="116">
        <v>5.8999999999999997E-2</v>
      </c>
      <c r="R145" s="115" t="s">
        <v>1241</v>
      </c>
      <c r="S145" s="117">
        <v>45951</v>
      </c>
      <c r="T145" s="115">
        <v>5.827</v>
      </c>
      <c r="U145" s="116">
        <v>-2.6200000000000001E-2</v>
      </c>
      <c r="V145" s="116">
        <v>-3.1199999999999999E-2</v>
      </c>
      <c r="W145" s="133" t="s">
        <v>1235</v>
      </c>
      <c r="X145" s="115">
        <v>1339.59</v>
      </c>
      <c r="Y145" s="133" t="s">
        <v>1237</v>
      </c>
      <c r="Z145" s="127">
        <f t="shared" si="2"/>
        <v>141.23099999999999</v>
      </c>
    </row>
    <row r="146" spans="1:26" ht="17" customHeight="1">
      <c r="A146" s="133">
        <v>113533</v>
      </c>
      <c r="B146" s="115" t="s">
        <v>1552</v>
      </c>
      <c r="C146" s="115">
        <v>138.88</v>
      </c>
      <c r="D146" s="124">
        <v>-2.2000000000000001E-3</v>
      </c>
      <c r="E146" s="133" t="s">
        <v>1553</v>
      </c>
      <c r="F146" s="115">
        <v>49.39</v>
      </c>
      <c r="G146" s="124">
        <v>-2.0000000000000001E-4</v>
      </c>
      <c r="H146" s="115">
        <v>7.31</v>
      </c>
      <c r="I146" s="115">
        <v>36.5</v>
      </c>
      <c r="J146" s="115">
        <v>135.32</v>
      </c>
      <c r="K146" s="116">
        <v>2.63E-2</v>
      </c>
      <c r="L146" s="133" t="s">
        <v>1235</v>
      </c>
      <c r="M146" s="115" t="s">
        <v>1236</v>
      </c>
      <c r="N146" s="133" t="s">
        <v>1235</v>
      </c>
      <c r="O146" s="115">
        <v>25.55</v>
      </c>
      <c r="P146" s="115">
        <v>47.45</v>
      </c>
      <c r="Q146" s="116">
        <v>1.0999999999999999E-2</v>
      </c>
      <c r="R146" s="116">
        <v>5.6899999999999999E-2</v>
      </c>
      <c r="S146" s="117">
        <v>45749</v>
      </c>
      <c r="T146" s="115">
        <v>5.274</v>
      </c>
      <c r="U146" s="116">
        <v>-3.8699999999999998E-2</v>
      </c>
      <c r="V146" s="116">
        <v>-4.2900000000000001E-2</v>
      </c>
      <c r="W146" s="133" t="s">
        <v>1235</v>
      </c>
      <c r="X146" s="115">
        <v>346.74</v>
      </c>
      <c r="Y146" s="133" t="s">
        <v>1237</v>
      </c>
      <c r="Z146" s="127">
        <f t="shared" si="2"/>
        <v>141.51</v>
      </c>
    </row>
    <row r="147" spans="1:26" ht="17" customHeight="1">
      <c r="A147" s="133">
        <v>128041</v>
      </c>
      <c r="B147" s="115" t="s">
        <v>1554</v>
      </c>
      <c r="C147" s="115">
        <v>139.97399999999999</v>
      </c>
      <c r="D147" s="125">
        <v>1.0800000000000001E-2</v>
      </c>
      <c r="E147" s="133" t="s">
        <v>1555</v>
      </c>
      <c r="F147" s="115">
        <v>9.44</v>
      </c>
      <c r="G147" s="125">
        <v>7.4999999999999997E-3</v>
      </c>
      <c r="H147" s="115">
        <v>2.2999999999999998</v>
      </c>
      <c r="I147" s="115">
        <v>6.85</v>
      </c>
      <c r="J147" s="115">
        <v>137.81</v>
      </c>
      <c r="K147" s="116">
        <v>1.5699999999999999E-2</v>
      </c>
      <c r="L147" s="133" t="s">
        <v>1235</v>
      </c>
      <c r="M147" s="115" t="s">
        <v>1236</v>
      </c>
      <c r="N147" s="133" t="s">
        <v>1235</v>
      </c>
      <c r="O147" s="115">
        <v>4.79</v>
      </c>
      <c r="P147" s="115">
        <v>8.9</v>
      </c>
      <c r="Q147" s="116">
        <v>8.0000000000000002E-3</v>
      </c>
      <c r="R147" s="116">
        <v>3.0999999999999999E-3</v>
      </c>
      <c r="S147" s="117">
        <v>45489</v>
      </c>
      <c r="T147" s="115">
        <v>4.5620000000000003</v>
      </c>
      <c r="U147" s="116">
        <v>-4.2999999999999997E-2</v>
      </c>
      <c r="V147" s="116">
        <v>-4.8399999999999999E-2</v>
      </c>
      <c r="W147" s="133" t="s">
        <v>1235</v>
      </c>
      <c r="X147" s="115">
        <v>172.99</v>
      </c>
      <c r="Y147" s="133" t="s">
        <v>1237</v>
      </c>
      <c r="Z147" s="127">
        <f t="shared" si="2"/>
        <v>141.54399999999998</v>
      </c>
    </row>
    <row r="148" spans="1:26" ht="17" customHeight="1">
      <c r="A148" s="133">
        <v>123007</v>
      </c>
      <c r="B148" s="115" t="s">
        <v>1556</v>
      </c>
      <c r="C148" s="115">
        <v>107.999</v>
      </c>
      <c r="D148" s="125">
        <v>9.2999999999999992E-3</v>
      </c>
      <c r="E148" s="133" t="s">
        <v>1557</v>
      </c>
      <c r="F148" s="115">
        <v>12.14</v>
      </c>
      <c r="G148" s="124">
        <v>-1.06E-2</v>
      </c>
      <c r="H148" s="115">
        <v>2.3199999999999998</v>
      </c>
      <c r="I148" s="123" t="s">
        <v>1558</v>
      </c>
      <c r="J148" s="115">
        <v>80.66</v>
      </c>
      <c r="K148" s="116">
        <v>0.33889999999999998</v>
      </c>
      <c r="L148" s="133" t="s">
        <v>1235</v>
      </c>
      <c r="M148" s="115" t="s">
        <v>1247</v>
      </c>
      <c r="N148" s="133" t="s">
        <v>1235</v>
      </c>
      <c r="O148" s="115">
        <v>10.54</v>
      </c>
      <c r="P148" s="115">
        <v>19.57</v>
      </c>
      <c r="Q148" s="116">
        <v>5.3999999999999999E-2</v>
      </c>
      <c r="R148" s="116">
        <v>0.1454</v>
      </c>
      <c r="S148" s="117">
        <v>45288</v>
      </c>
      <c r="T148" s="115">
        <v>4.0110000000000001</v>
      </c>
      <c r="U148" s="116">
        <v>9.2999999999999992E-3</v>
      </c>
      <c r="V148" s="116">
        <v>3.8E-3</v>
      </c>
      <c r="W148" s="133" t="s">
        <v>1235</v>
      </c>
      <c r="X148" s="115">
        <v>268.07</v>
      </c>
      <c r="Y148" s="133" t="s">
        <v>1237</v>
      </c>
      <c r="Z148" s="127">
        <f t="shared" si="2"/>
        <v>141.88900000000001</v>
      </c>
    </row>
    <row r="149" spans="1:26" ht="17" customHeight="1">
      <c r="A149" s="133">
        <v>113517</v>
      </c>
      <c r="B149" s="115" t="s">
        <v>1559</v>
      </c>
      <c r="C149" s="115">
        <v>118.7</v>
      </c>
      <c r="D149" s="125">
        <v>7.4000000000000003E-3</v>
      </c>
      <c r="E149" s="133" t="s">
        <v>1560</v>
      </c>
      <c r="F149" s="115">
        <v>35.159999999999997</v>
      </c>
      <c r="G149" s="125">
        <v>2.2100000000000002E-2</v>
      </c>
      <c r="H149" s="115">
        <v>7.93</v>
      </c>
      <c r="I149" s="115">
        <v>36.53</v>
      </c>
      <c r="J149" s="115">
        <v>96.25</v>
      </c>
      <c r="K149" s="116">
        <v>0.23319999999999999</v>
      </c>
      <c r="L149" s="133" t="s">
        <v>1235</v>
      </c>
      <c r="M149" s="115" t="s">
        <v>1236</v>
      </c>
      <c r="N149" s="133" t="s">
        <v>1235</v>
      </c>
      <c r="O149" s="115">
        <v>25.57</v>
      </c>
      <c r="P149" s="115">
        <v>47.49</v>
      </c>
      <c r="Q149" s="116">
        <v>3.5000000000000003E-2</v>
      </c>
      <c r="R149" s="116">
        <v>0.25890000000000002</v>
      </c>
      <c r="S149" s="117">
        <v>45510</v>
      </c>
      <c r="T149" s="115">
        <v>4.6189999999999998</v>
      </c>
      <c r="U149" s="116">
        <v>-1.0999999999999999E-2</v>
      </c>
      <c r="V149" s="116">
        <v>-1.6E-2</v>
      </c>
      <c r="W149" s="133" t="s">
        <v>1235</v>
      </c>
      <c r="X149" s="115">
        <v>719.37</v>
      </c>
      <c r="Y149" s="133" t="s">
        <v>1237</v>
      </c>
      <c r="Z149" s="127">
        <f t="shared" si="2"/>
        <v>142.02000000000001</v>
      </c>
    </row>
    <row r="150" spans="1:26" ht="17" customHeight="1">
      <c r="A150" s="133">
        <v>128020</v>
      </c>
      <c r="B150" s="115" t="s">
        <v>1561</v>
      </c>
      <c r="C150" s="115">
        <v>140.869</v>
      </c>
      <c r="D150" s="125">
        <v>9.7999999999999997E-3</v>
      </c>
      <c r="E150" s="133" t="s">
        <v>1562</v>
      </c>
      <c r="F150" s="115">
        <v>16.93</v>
      </c>
      <c r="G150" s="125">
        <v>7.7000000000000002E-3</v>
      </c>
      <c r="H150" s="115">
        <v>4.66</v>
      </c>
      <c r="I150" s="123" t="s">
        <v>1563</v>
      </c>
      <c r="J150" s="115">
        <v>138.43</v>
      </c>
      <c r="K150" s="116">
        <v>1.7600000000000001E-2</v>
      </c>
      <c r="L150" s="133" t="s">
        <v>1235</v>
      </c>
      <c r="M150" s="115" t="s">
        <v>1236</v>
      </c>
      <c r="N150" s="133" t="s">
        <v>1235</v>
      </c>
      <c r="O150" s="115">
        <v>8.56</v>
      </c>
      <c r="P150" s="115">
        <v>15.9</v>
      </c>
      <c r="Q150" s="116">
        <v>4.1000000000000002E-2</v>
      </c>
      <c r="R150" s="116">
        <v>0.2762</v>
      </c>
      <c r="S150" s="117">
        <v>45246</v>
      </c>
      <c r="T150" s="115">
        <v>3.8959999999999999</v>
      </c>
      <c r="U150" s="116">
        <v>-5.9799999999999999E-2</v>
      </c>
      <c r="V150" s="116">
        <v>-6.4600000000000005E-2</v>
      </c>
      <c r="W150" s="133" t="s">
        <v>1235</v>
      </c>
      <c r="X150" s="115">
        <v>2301.35</v>
      </c>
      <c r="Y150" s="133" t="s">
        <v>1237</v>
      </c>
      <c r="Z150" s="127">
        <f t="shared" si="2"/>
        <v>142.62899999999999</v>
      </c>
    </row>
    <row r="151" spans="1:26" ht="17" customHeight="1">
      <c r="A151" s="133">
        <v>128029</v>
      </c>
      <c r="B151" s="115" t="s">
        <v>1564</v>
      </c>
      <c r="C151" s="115">
        <v>126.663</v>
      </c>
      <c r="D151" s="125">
        <v>5.0000000000000001E-4</v>
      </c>
      <c r="E151" s="133" t="s">
        <v>1565</v>
      </c>
      <c r="F151" s="115">
        <v>9.43</v>
      </c>
      <c r="G151" s="125">
        <v>2.06E-2</v>
      </c>
      <c r="H151" s="115">
        <v>1.75</v>
      </c>
      <c r="I151" s="115">
        <v>8.65</v>
      </c>
      <c r="J151" s="115">
        <v>109.02</v>
      </c>
      <c r="K151" s="116">
        <v>0.1618</v>
      </c>
      <c r="L151" s="133" t="s">
        <v>1235</v>
      </c>
      <c r="M151" s="115" t="s">
        <v>1331</v>
      </c>
      <c r="N151" s="133" t="s">
        <v>1235</v>
      </c>
      <c r="O151" s="115">
        <v>6.05</v>
      </c>
      <c r="P151" s="115">
        <v>11.24</v>
      </c>
      <c r="Q151" s="116">
        <v>4.9000000000000002E-2</v>
      </c>
      <c r="R151" s="116">
        <v>0.186</v>
      </c>
      <c r="S151" s="117">
        <v>44917</v>
      </c>
      <c r="T151" s="115">
        <v>2.9950000000000001</v>
      </c>
      <c r="U151" s="116">
        <v>-5.28E-2</v>
      </c>
      <c r="V151" s="116">
        <v>-5.74E-2</v>
      </c>
      <c r="W151" s="133" t="s">
        <v>1235</v>
      </c>
      <c r="X151" s="115">
        <v>273.29000000000002</v>
      </c>
      <c r="Y151" s="133" t="s">
        <v>1237</v>
      </c>
      <c r="Z151" s="127">
        <f t="shared" si="2"/>
        <v>142.84299999999999</v>
      </c>
    </row>
    <row r="152" spans="1:26" ht="17" customHeight="1">
      <c r="A152" s="133">
        <v>113016</v>
      </c>
      <c r="B152" s="115" t="s">
        <v>1566</v>
      </c>
      <c r="C152" s="115">
        <v>98.57</v>
      </c>
      <c r="D152" s="125">
        <v>3.0999999999999999E-3</v>
      </c>
      <c r="E152" s="133" t="s">
        <v>1567</v>
      </c>
      <c r="F152" s="115">
        <v>11.69</v>
      </c>
      <c r="G152" s="125">
        <v>3.3999999999999998E-3</v>
      </c>
      <c r="H152" s="115">
        <v>2.12</v>
      </c>
      <c r="I152" s="123" t="s">
        <v>1568</v>
      </c>
      <c r="J152" s="115">
        <v>68.28</v>
      </c>
      <c r="K152" s="116">
        <v>0.44359999999999999</v>
      </c>
      <c r="L152" s="133" t="s">
        <v>1235</v>
      </c>
      <c r="M152" s="115" t="s">
        <v>1236</v>
      </c>
      <c r="N152" s="133" t="s">
        <v>1235</v>
      </c>
      <c r="O152" s="115">
        <v>11.98</v>
      </c>
      <c r="P152" s="115">
        <v>22.26</v>
      </c>
      <c r="Q152" s="116">
        <v>0.08</v>
      </c>
      <c r="R152" s="116">
        <v>6.4999999999999997E-3</v>
      </c>
      <c r="S152" s="117">
        <v>45236</v>
      </c>
      <c r="T152" s="115">
        <v>3.8679999999999999</v>
      </c>
      <c r="U152" s="116">
        <v>3.0099999999999998E-2</v>
      </c>
      <c r="V152" s="116">
        <v>2.4899999999999999E-2</v>
      </c>
      <c r="W152" s="133" t="s">
        <v>1235</v>
      </c>
      <c r="X152" s="115">
        <v>72.91</v>
      </c>
      <c r="Y152" s="133" t="s">
        <v>1237</v>
      </c>
      <c r="Z152" s="127">
        <f t="shared" si="2"/>
        <v>142.93</v>
      </c>
    </row>
    <row r="153" spans="1:26" ht="17" customHeight="1">
      <c r="A153" s="133">
        <v>128080</v>
      </c>
      <c r="B153" s="115" t="s">
        <v>1569</v>
      </c>
      <c r="C153" s="115">
        <v>117.99299999999999</v>
      </c>
      <c r="D153" s="124">
        <v>-1E-4</v>
      </c>
      <c r="E153" s="133" t="s">
        <v>1570</v>
      </c>
      <c r="F153" s="115">
        <v>38.03</v>
      </c>
      <c r="G153" s="124">
        <v>-9.4000000000000004E-3</v>
      </c>
      <c r="H153" s="115">
        <v>4.2300000000000004</v>
      </c>
      <c r="I153" s="115">
        <v>40.409999999999997</v>
      </c>
      <c r="J153" s="115">
        <v>94.11</v>
      </c>
      <c r="K153" s="118">
        <v>0.25380000000000003</v>
      </c>
      <c r="L153" s="133" t="s">
        <v>1235</v>
      </c>
      <c r="M153" s="115" t="s">
        <v>1292</v>
      </c>
      <c r="N153" s="133" t="s">
        <v>1235</v>
      </c>
      <c r="O153" s="115">
        <v>28.29</v>
      </c>
      <c r="P153" s="115">
        <v>52.53</v>
      </c>
      <c r="Q153" s="116">
        <v>3.9E-2</v>
      </c>
      <c r="R153" s="115" t="s">
        <v>1241</v>
      </c>
      <c r="S153" s="117">
        <v>45979</v>
      </c>
      <c r="T153" s="115">
        <v>5.9039999999999999</v>
      </c>
      <c r="U153" s="116">
        <v>-1.32E-2</v>
      </c>
      <c r="V153" s="116">
        <v>-1.6E-2</v>
      </c>
      <c r="W153" s="133" t="s">
        <v>1235</v>
      </c>
      <c r="X153" s="115">
        <v>4766.3500000000004</v>
      </c>
      <c r="Y153" s="133" t="s">
        <v>1237</v>
      </c>
      <c r="Z153" s="127">
        <f t="shared" si="2"/>
        <v>143.37299999999999</v>
      </c>
    </row>
    <row r="154" spans="1:26" ht="17" customHeight="1">
      <c r="A154" s="133">
        <v>110061</v>
      </c>
      <c r="B154" s="115" t="s">
        <v>1571</v>
      </c>
      <c r="C154" s="115">
        <v>120.17</v>
      </c>
      <c r="D154" s="125">
        <v>7.7000000000000002E-3</v>
      </c>
      <c r="E154" s="133" t="s">
        <v>1572</v>
      </c>
      <c r="F154" s="115">
        <v>9.67</v>
      </c>
      <c r="G154" s="124">
        <v>-5.1000000000000004E-3</v>
      </c>
      <c r="H154" s="115">
        <v>1.63</v>
      </c>
      <c r="I154" s="115">
        <v>9.92</v>
      </c>
      <c r="J154" s="115">
        <v>97.48</v>
      </c>
      <c r="K154" s="118">
        <v>0.23280000000000001</v>
      </c>
      <c r="L154" s="133" t="s">
        <v>1235</v>
      </c>
      <c r="M154" s="115" t="s">
        <v>1292</v>
      </c>
      <c r="N154" s="133" t="s">
        <v>1235</v>
      </c>
      <c r="O154" s="115">
        <v>6.94</v>
      </c>
      <c r="P154" s="115">
        <v>12.9</v>
      </c>
      <c r="Q154" s="116">
        <v>9.4E-2</v>
      </c>
      <c r="R154" s="115" t="s">
        <v>1241</v>
      </c>
      <c r="S154" s="117">
        <v>45971</v>
      </c>
      <c r="T154" s="115">
        <v>5.8819999999999997</v>
      </c>
      <c r="U154" s="116">
        <v>-1.3599999999999999E-2</v>
      </c>
      <c r="V154" s="116">
        <v>-1.7000000000000001E-2</v>
      </c>
      <c r="W154" s="133" t="s">
        <v>1235</v>
      </c>
      <c r="X154" s="115">
        <v>577.73</v>
      </c>
      <c r="Y154" s="133" t="s">
        <v>1237</v>
      </c>
      <c r="Z154" s="127">
        <f t="shared" si="2"/>
        <v>143.44999999999999</v>
      </c>
    </row>
    <row r="155" spans="1:26" ht="17" customHeight="1">
      <c r="A155" s="133">
        <v>113021</v>
      </c>
      <c r="B155" s="115" t="s">
        <v>1573</v>
      </c>
      <c r="C155" s="115">
        <v>111.46</v>
      </c>
      <c r="D155" s="124">
        <v>-4.0000000000000002E-4</v>
      </c>
      <c r="E155" s="133" t="s">
        <v>1574</v>
      </c>
      <c r="F155" s="115">
        <v>6.08</v>
      </c>
      <c r="G155" s="124">
        <v>-8.2000000000000007E-3</v>
      </c>
      <c r="H155" s="115">
        <v>0.63</v>
      </c>
      <c r="I155" s="115">
        <v>7.22</v>
      </c>
      <c r="J155" s="115">
        <v>84.21</v>
      </c>
      <c r="K155" s="116">
        <v>0.3236</v>
      </c>
      <c r="L155" s="133" t="s">
        <v>1235</v>
      </c>
      <c r="M155" s="115" t="s">
        <v>1292</v>
      </c>
      <c r="N155" s="133" t="s">
        <v>1235</v>
      </c>
      <c r="O155" s="115" t="s">
        <v>1241</v>
      </c>
      <c r="P155" s="115">
        <v>9.39</v>
      </c>
      <c r="Q155" s="116">
        <v>0.13400000000000001</v>
      </c>
      <c r="R155" s="116">
        <v>0.01</v>
      </c>
      <c r="S155" s="117">
        <v>45719</v>
      </c>
      <c r="T155" s="115">
        <v>5.1920000000000002</v>
      </c>
      <c r="U155" s="116">
        <v>1.32E-2</v>
      </c>
      <c r="V155" s="116">
        <v>6.7000000000000002E-3</v>
      </c>
      <c r="W155" s="133" t="s">
        <v>1235</v>
      </c>
      <c r="X155" s="115">
        <v>533.80999999999995</v>
      </c>
      <c r="Y155" s="133" t="s">
        <v>1237</v>
      </c>
      <c r="Z155" s="127">
        <f t="shared" si="2"/>
        <v>143.82</v>
      </c>
    </row>
    <row r="156" spans="1:26" ht="17" customHeight="1">
      <c r="A156" s="133">
        <v>113022</v>
      </c>
      <c r="B156" s="115" t="s">
        <v>1575</v>
      </c>
      <c r="C156" s="115">
        <v>114.5</v>
      </c>
      <c r="D156" s="125">
        <v>3.8E-3</v>
      </c>
      <c r="E156" s="133" t="s">
        <v>1576</v>
      </c>
      <c r="F156" s="115">
        <v>11.01</v>
      </c>
      <c r="G156" s="125">
        <v>2.9899999999999999E-2</v>
      </c>
      <c r="H156" s="115">
        <v>2.5</v>
      </c>
      <c r="I156" s="115">
        <v>12.46</v>
      </c>
      <c r="J156" s="115">
        <v>88.36</v>
      </c>
      <c r="K156" s="116">
        <v>0.29580000000000001</v>
      </c>
      <c r="L156" s="133" t="s">
        <v>1235</v>
      </c>
      <c r="M156" s="115" t="s">
        <v>1292</v>
      </c>
      <c r="N156" s="133" t="s">
        <v>1235</v>
      </c>
      <c r="O156" s="115" t="s">
        <v>1241</v>
      </c>
      <c r="P156" s="115">
        <v>16.2</v>
      </c>
      <c r="Q156" s="116">
        <v>9.5000000000000001E-2</v>
      </c>
      <c r="R156" s="116">
        <v>1.18E-2</v>
      </c>
      <c r="S156" s="117">
        <v>45728</v>
      </c>
      <c r="T156" s="115">
        <v>5.2160000000000002</v>
      </c>
      <c r="U156" s="116">
        <v>-7.7999999999999996E-3</v>
      </c>
      <c r="V156" s="116">
        <v>-1.1299999999999999E-2</v>
      </c>
      <c r="W156" s="133" t="s">
        <v>1235</v>
      </c>
      <c r="X156" s="115">
        <v>2121.7199999999998</v>
      </c>
      <c r="Y156" s="133" t="s">
        <v>1237</v>
      </c>
      <c r="Z156" s="127">
        <f t="shared" si="2"/>
        <v>144.08000000000001</v>
      </c>
    </row>
    <row r="157" spans="1:26" ht="17" customHeight="1">
      <c r="A157" s="133">
        <v>110062</v>
      </c>
      <c r="B157" s="115" t="s">
        <v>1577</v>
      </c>
      <c r="C157" s="115">
        <v>124.48</v>
      </c>
      <c r="D157" s="125">
        <v>0.24479999999999999</v>
      </c>
      <c r="E157" s="133" t="s">
        <v>1578</v>
      </c>
      <c r="F157" s="115">
        <v>26.94</v>
      </c>
      <c r="G157" s="125">
        <v>1.8499999999999999E-2</v>
      </c>
      <c r="H157" s="115">
        <v>3.08</v>
      </c>
      <c r="I157" s="115">
        <v>25.99</v>
      </c>
      <c r="J157" s="115">
        <v>103.66</v>
      </c>
      <c r="K157" s="118">
        <v>0.20080000000000001</v>
      </c>
      <c r="L157" s="133" t="s">
        <v>1235</v>
      </c>
      <c r="M157" s="115" t="s">
        <v>1292</v>
      </c>
      <c r="N157" s="133" t="s">
        <v>1235</v>
      </c>
      <c r="O157" s="115">
        <v>18.190000000000001</v>
      </c>
      <c r="P157" s="115">
        <v>33.79</v>
      </c>
      <c r="Q157" s="116">
        <v>9.8000000000000004E-2</v>
      </c>
      <c r="R157" s="115" t="s">
        <v>1241</v>
      </c>
      <c r="S157" s="117">
        <v>45992</v>
      </c>
      <c r="T157" s="115">
        <v>5.94</v>
      </c>
      <c r="U157" s="116">
        <v>-1.9400000000000001E-2</v>
      </c>
      <c r="V157" s="116">
        <v>-2.2700000000000001E-2</v>
      </c>
      <c r="W157" s="133" t="s">
        <v>1235</v>
      </c>
      <c r="X157" s="115">
        <v>270458.96999999997</v>
      </c>
      <c r="Y157" s="133" t="s">
        <v>1237</v>
      </c>
      <c r="Z157" s="127">
        <f t="shared" si="2"/>
        <v>144.56</v>
      </c>
    </row>
    <row r="158" spans="1:26" ht="17" customHeight="1">
      <c r="A158" s="133">
        <v>132021</v>
      </c>
      <c r="B158" s="115" t="s">
        <v>1579</v>
      </c>
      <c r="C158" s="115">
        <v>122.27</v>
      </c>
      <c r="D158" s="125">
        <v>3.8999999999999998E-3</v>
      </c>
      <c r="E158" s="133" t="s">
        <v>1580</v>
      </c>
      <c r="F158" s="115">
        <v>74.2</v>
      </c>
      <c r="G158" s="125">
        <v>1.9199999999999998E-2</v>
      </c>
      <c r="H158" s="115">
        <v>19.05</v>
      </c>
      <c r="I158" s="115">
        <v>74.25</v>
      </c>
      <c r="J158" s="115">
        <v>99.93</v>
      </c>
      <c r="K158" s="118">
        <v>0.22389999999999999</v>
      </c>
      <c r="L158" s="133" t="s">
        <v>1235</v>
      </c>
      <c r="M158" s="115" t="s">
        <v>1292</v>
      </c>
      <c r="N158" s="133" t="s">
        <v>1235</v>
      </c>
      <c r="O158" s="115">
        <v>51.98</v>
      </c>
      <c r="P158" s="115">
        <v>96.53</v>
      </c>
      <c r="Q158" s="116">
        <v>5.7000000000000002E-2</v>
      </c>
      <c r="R158" s="115" t="s">
        <v>1241</v>
      </c>
      <c r="S158" s="117">
        <v>44893</v>
      </c>
      <c r="T158" s="115">
        <v>2.9289999999999998</v>
      </c>
      <c r="U158" s="116">
        <v>-4.48E-2</v>
      </c>
      <c r="V158" s="116">
        <v>-4.9099999999999998E-2</v>
      </c>
      <c r="W158" s="133" t="s">
        <v>1235</v>
      </c>
      <c r="X158" s="115">
        <v>2654.76</v>
      </c>
      <c r="Y158" s="133" t="s">
        <v>1237</v>
      </c>
      <c r="Z158" s="127">
        <f t="shared" si="2"/>
        <v>144.66</v>
      </c>
    </row>
    <row r="159" spans="1:26" ht="17" customHeight="1">
      <c r="A159" s="133">
        <v>128068</v>
      </c>
      <c r="B159" s="115" t="s">
        <v>1581</v>
      </c>
      <c r="C159" s="115">
        <v>145.04</v>
      </c>
      <c r="D159" s="125">
        <v>5.1900000000000002E-2</v>
      </c>
      <c r="E159" s="133" t="s">
        <v>1582</v>
      </c>
      <c r="F159" s="115">
        <v>13.16</v>
      </c>
      <c r="G159" s="125">
        <v>4.6899999999999997E-2</v>
      </c>
      <c r="H159" s="115">
        <v>6.01</v>
      </c>
      <c r="I159" s="115">
        <v>9.09</v>
      </c>
      <c r="J159" s="115">
        <v>144.77000000000001</v>
      </c>
      <c r="K159" s="116">
        <v>1.9E-3</v>
      </c>
      <c r="L159" s="133" t="s">
        <v>1235</v>
      </c>
      <c r="M159" s="115" t="s">
        <v>1247</v>
      </c>
      <c r="N159" s="133" t="s">
        <v>1235</v>
      </c>
      <c r="O159" s="115">
        <v>6.36</v>
      </c>
      <c r="P159" s="115">
        <v>11.82</v>
      </c>
      <c r="Q159" s="116">
        <v>3.5999999999999997E-2</v>
      </c>
      <c r="R159" s="116">
        <v>6.1000000000000004E-3</v>
      </c>
      <c r="S159" s="117">
        <v>45812</v>
      </c>
      <c r="T159" s="115">
        <v>5.4470000000000001</v>
      </c>
      <c r="U159" s="116">
        <v>-4.5100000000000001E-2</v>
      </c>
      <c r="V159" s="116">
        <v>-4.9200000000000001E-2</v>
      </c>
      <c r="W159" s="133" t="s">
        <v>1235</v>
      </c>
      <c r="X159" s="115">
        <v>6651.1</v>
      </c>
      <c r="Y159" s="133" t="s">
        <v>1237</v>
      </c>
      <c r="Z159" s="127">
        <f t="shared" si="2"/>
        <v>145.22999999999999</v>
      </c>
    </row>
    <row r="160" spans="1:26" ht="17" customHeight="1">
      <c r="A160" s="133">
        <v>113538</v>
      </c>
      <c r="B160" s="115" t="s">
        <v>1583</v>
      </c>
      <c r="C160" s="115">
        <v>148.07</v>
      </c>
      <c r="D160" s="125">
        <v>3.3E-3</v>
      </c>
      <c r="E160" s="133" t="s">
        <v>1584</v>
      </c>
      <c r="F160" s="115">
        <v>97.62</v>
      </c>
      <c r="G160" s="125">
        <v>5.0000000000000001E-3</v>
      </c>
      <c r="H160" s="115">
        <v>17.670000000000002</v>
      </c>
      <c r="I160" s="115">
        <v>64.11</v>
      </c>
      <c r="J160" s="115">
        <v>152.27000000000001</v>
      </c>
      <c r="K160" s="118">
        <v>-2.76E-2</v>
      </c>
      <c r="L160" s="133" t="s">
        <v>1235</v>
      </c>
      <c r="M160" s="115" t="s">
        <v>1236</v>
      </c>
      <c r="N160" s="133" t="s">
        <v>1235</v>
      </c>
      <c r="O160" s="115">
        <v>44.88</v>
      </c>
      <c r="P160" s="115">
        <v>83.34</v>
      </c>
      <c r="Q160" s="116">
        <v>1.7000000000000001E-2</v>
      </c>
      <c r="R160" s="116">
        <v>8.0000000000000004E-4</v>
      </c>
      <c r="S160" s="117">
        <v>45835</v>
      </c>
      <c r="T160" s="115">
        <v>5.51</v>
      </c>
      <c r="U160" s="116">
        <v>-4.5400000000000003E-2</v>
      </c>
      <c r="V160" s="116">
        <v>-0.05</v>
      </c>
      <c r="W160" s="133" t="s">
        <v>1235</v>
      </c>
      <c r="X160" s="115">
        <v>801.88</v>
      </c>
      <c r="Y160" s="133" t="s">
        <v>1237</v>
      </c>
      <c r="Z160" s="127">
        <f t="shared" si="2"/>
        <v>145.31</v>
      </c>
    </row>
    <row r="161" spans="1:26" ht="17" customHeight="1">
      <c r="A161" s="133">
        <v>128017</v>
      </c>
      <c r="B161" s="115" t="s">
        <v>1585</v>
      </c>
      <c r="C161" s="115">
        <v>119.209</v>
      </c>
      <c r="D161" s="125">
        <v>1.7100000000000001E-2</v>
      </c>
      <c r="E161" s="133" t="s">
        <v>1586</v>
      </c>
      <c r="F161" s="115">
        <v>21.62</v>
      </c>
      <c r="G161" s="125">
        <v>6.4999999999999997E-3</v>
      </c>
      <c r="H161" s="115">
        <v>2.88</v>
      </c>
      <c r="I161" s="115">
        <v>22.96</v>
      </c>
      <c r="J161" s="115">
        <v>94.16</v>
      </c>
      <c r="K161" s="116">
        <v>0.26600000000000001</v>
      </c>
      <c r="L161" s="133" t="s">
        <v>1235</v>
      </c>
      <c r="M161" s="115" t="s">
        <v>1236</v>
      </c>
      <c r="N161" s="133" t="s">
        <v>1235</v>
      </c>
      <c r="O161" s="115">
        <v>16.07</v>
      </c>
      <c r="P161" s="115">
        <v>29.85</v>
      </c>
      <c r="Q161" s="116">
        <v>0.05</v>
      </c>
      <c r="R161" s="116">
        <v>0.1045</v>
      </c>
      <c r="S161" s="117">
        <v>45231</v>
      </c>
      <c r="T161" s="115">
        <v>3.855</v>
      </c>
      <c r="U161" s="116">
        <v>-2.1499999999999998E-2</v>
      </c>
      <c r="V161" s="116">
        <v>-2.5999999999999999E-2</v>
      </c>
      <c r="W161" s="133" t="s">
        <v>1235</v>
      </c>
      <c r="X161" s="115">
        <v>295.02999999999997</v>
      </c>
      <c r="Y161" s="133" t="s">
        <v>1237</v>
      </c>
      <c r="Z161" s="127">
        <f t="shared" si="2"/>
        <v>145.809</v>
      </c>
    </row>
    <row r="162" spans="1:26" ht="17" customHeight="1">
      <c r="A162" s="133">
        <v>127006</v>
      </c>
      <c r="B162" s="115" t="s">
        <v>1587</v>
      </c>
      <c r="C162" s="115">
        <v>107.411</v>
      </c>
      <c r="D162" s="124">
        <v>-4.0000000000000002E-4</v>
      </c>
      <c r="E162" s="133" t="s">
        <v>1588</v>
      </c>
      <c r="F162" s="115">
        <v>15.99</v>
      </c>
      <c r="G162" s="124">
        <v>-1.1999999999999999E-3</v>
      </c>
      <c r="H162" s="115">
        <v>0.84</v>
      </c>
      <c r="I162" s="115">
        <v>20.62</v>
      </c>
      <c r="J162" s="115">
        <v>77.55</v>
      </c>
      <c r="K162" s="116">
        <v>0.3851</v>
      </c>
      <c r="L162" s="133" t="s">
        <v>1235</v>
      </c>
      <c r="M162" s="115" t="s">
        <v>1331</v>
      </c>
      <c r="N162" s="133" t="s">
        <v>1235</v>
      </c>
      <c r="O162" s="115">
        <v>14.43</v>
      </c>
      <c r="P162" s="115">
        <v>26.81</v>
      </c>
      <c r="Q162" s="116">
        <v>0.129</v>
      </c>
      <c r="R162" s="116">
        <v>0.1492</v>
      </c>
      <c r="S162" s="117">
        <v>45364</v>
      </c>
      <c r="T162" s="115">
        <v>4.2190000000000003</v>
      </c>
      <c r="U162" s="116">
        <v>2.2000000000000001E-3</v>
      </c>
      <c r="V162" s="116">
        <v>-1.5E-3</v>
      </c>
      <c r="W162" s="133" t="s">
        <v>1235</v>
      </c>
      <c r="X162" s="115">
        <v>279.01</v>
      </c>
      <c r="Y162" s="133" t="s">
        <v>1237</v>
      </c>
      <c r="Z162" s="127">
        <f t="shared" si="2"/>
        <v>145.92099999999999</v>
      </c>
    </row>
    <row r="163" spans="1:26" ht="17" customHeight="1">
      <c r="A163" s="133">
        <v>113520</v>
      </c>
      <c r="B163" s="115" t="s">
        <v>1589</v>
      </c>
      <c r="C163" s="115">
        <v>147</v>
      </c>
      <c r="D163" s="124">
        <v>-2.5999999999999999E-3</v>
      </c>
      <c r="E163" s="133" t="s">
        <v>1590</v>
      </c>
      <c r="F163" s="115">
        <v>21.01</v>
      </c>
      <c r="G163" s="124">
        <v>-3.3E-3</v>
      </c>
      <c r="H163" s="115">
        <v>3.21</v>
      </c>
      <c r="I163" s="115">
        <v>14.28</v>
      </c>
      <c r="J163" s="115">
        <v>147.13</v>
      </c>
      <c r="K163" s="116">
        <v>-8.9999999999999998E-4</v>
      </c>
      <c r="L163" s="133" t="s">
        <v>1235</v>
      </c>
      <c r="M163" s="115" t="s">
        <v>1247</v>
      </c>
      <c r="N163" s="133" t="s">
        <v>1235</v>
      </c>
      <c r="O163" s="115">
        <v>10</v>
      </c>
      <c r="P163" s="115">
        <v>18.559999999999999</v>
      </c>
      <c r="Q163" s="116">
        <v>3.6999999999999998E-2</v>
      </c>
      <c r="R163" s="116">
        <v>0.1091</v>
      </c>
      <c r="S163" s="117">
        <v>45604</v>
      </c>
      <c r="T163" s="115">
        <v>4.8769999999999998</v>
      </c>
      <c r="U163" s="116">
        <v>-4.9599999999999998E-2</v>
      </c>
      <c r="V163" s="116">
        <v>-5.4699999999999999E-2</v>
      </c>
      <c r="W163" s="133" t="s">
        <v>1235</v>
      </c>
      <c r="X163" s="115">
        <v>184.78</v>
      </c>
      <c r="Y163" s="133" t="s">
        <v>1237</v>
      </c>
      <c r="Z163" s="127">
        <f t="shared" si="2"/>
        <v>146.91</v>
      </c>
    </row>
    <row r="164" spans="1:26" ht="17" customHeight="1">
      <c r="A164" s="133">
        <v>128045</v>
      </c>
      <c r="B164" s="115" t="s">
        <v>1591</v>
      </c>
      <c r="C164" s="115">
        <v>116.2</v>
      </c>
      <c r="D164" s="125">
        <v>6.1000000000000004E-3</v>
      </c>
      <c r="E164" s="133" t="s">
        <v>1592</v>
      </c>
      <c r="F164" s="115">
        <v>6.78</v>
      </c>
      <c r="G164" s="124">
        <v>-2.8999999999999998E-3</v>
      </c>
      <c r="H164" s="115">
        <v>2.5499999999999998</v>
      </c>
      <c r="I164" s="115">
        <v>7.63</v>
      </c>
      <c r="J164" s="115">
        <v>88.86</v>
      </c>
      <c r="K164" s="116">
        <v>0.30769999999999997</v>
      </c>
      <c r="L164" s="133" t="s">
        <v>1235</v>
      </c>
      <c r="M164" s="115" t="s">
        <v>1292</v>
      </c>
      <c r="N164" s="133" t="s">
        <v>1235</v>
      </c>
      <c r="O164" s="115">
        <v>5.34</v>
      </c>
      <c r="P164" s="115">
        <v>9.92</v>
      </c>
      <c r="Q164" s="116">
        <v>8.5999999999999993E-2</v>
      </c>
      <c r="R164" s="116">
        <v>0.13869999999999999</v>
      </c>
      <c r="S164" s="117">
        <v>45531</v>
      </c>
      <c r="T164" s="115">
        <v>4.6769999999999996</v>
      </c>
      <c r="U164" s="116">
        <v>-1.23E-2</v>
      </c>
      <c r="V164" s="116">
        <v>-1.61E-2</v>
      </c>
      <c r="W164" s="133" t="s">
        <v>1235</v>
      </c>
      <c r="X164" s="115">
        <v>13.3</v>
      </c>
      <c r="Y164" s="133" t="s">
        <v>1237</v>
      </c>
      <c r="Z164" s="127">
        <f t="shared" si="2"/>
        <v>146.97</v>
      </c>
    </row>
    <row r="165" spans="1:26" ht="17" customHeight="1">
      <c r="A165" s="133">
        <v>128042</v>
      </c>
      <c r="B165" s="115" t="s">
        <v>1593</v>
      </c>
      <c r="C165" s="115">
        <v>100.98</v>
      </c>
      <c r="D165" s="125">
        <v>2.9999999999999997E-4</v>
      </c>
      <c r="E165" s="133" t="s">
        <v>1594</v>
      </c>
      <c r="F165" s="115">
        <v>8.9700000000000006</v>
      </c>
      <c r="G165" s="124">
        <v>-6.6E-3</v>
      </c>
      <c r="H165" s="115">
        <v>2.0099999999999998</v>
      </c>
      <c r="I165" s="115">
        <v>13.01</v>
      </c>
      <c r="J165" s="115">
        <v>68.95</v>
      </c>
      <c r="K165" s="116">
        <v>0.46450000000000002</v>
      </c>
      <c r="L165" s="133" t="s">
        <v>1235</v>
      </c>
      <c r="M165" s="115" t="s">
        <v>1236</v>
      </c>
      <c r="N165" s="133" t="s">
        <v>1235</v>
      </c>
      <c r="O165" s="115">
        <v>9.11</v>
      </c>
      <c r="P165" s="115">
        <v>16.91</v>
      </c>
      <c r="Q165" s="116">
        <v>0.16</v>
      </c>
      <c r="R165" s="116">
        <v>0.18129999999999999</v>
      </c>
      <c r="S165" s="117">
        <v>45503</v>
      </c>
      <c r="T165" s="115">
        <v>4.5999999999999996</v>
      </c>
      <c r="U165" s="116">
        <v>3.3000000000000002E-2</v>
      </c>
      <c r="V165" s="116">
        <v>2.6200000000000001E-2</v>
      </c>
      <c r="W165" s="133" t="s">
        <v>1235</v>
      </c>
      <c r="X165" s="115">
        <v>49.76</v>
      </c>
      <c r="Y165" s="133" t="s">
        <v>1237</v>
      </c>
      <c r="Z165" s="127">
        <f t="shared" si="2"/>
        <v>147.43</v>
      </c>
    </row>
    <row r="166" spans="1:26" ht="17" customHeight="1">
      <c r="A166" s="133">
        <v>128072</v>
      </c>
      <c r="B166" s="115" t="s">
        <v>1595</v>
      </c>
      <c r="C166" s="115">
        <v>109.8</v>
      </c>
      <c r="D166" s="125">
        <v>4.5999999999999999E-3</v>
      </c>
      <c r="E166" s="133" t="s">
        <v>1596</v>
      </c>
      <c r="F166" s="115">
        <v>12.25</v>
      </c>
      <c r="G166" s="124">
        <v>-7.3000000000000001E-3</v>
      </c>
      <c r="H166" s="115">
        <v>3.67</v>
      </c>
      <c r="I166" s="115">
        <v>15.36</v>
      </c>
      <c r="J166" s="115">
        <v>79.75</v>
      </c>
      <c r="K166" s="118">
        <v>0.37680000000000002</v>
      </c>
      <c r="L166" s="133" t="s">
        <v>1235</v>
      </c>
      <c r="M166" s="115" t="s">
        <v>1247</v>
      </c>
      <c r="N166" s="133" t="s">
        <v>1235</v>
      </c>
      <c r="O166" s="115">
        <v>10.75</v>
      </c>
      <c r="P166" s="115">
        <v>19.97</v>
      </c>
      <c r="Q166" s="116">
        <v>0.09</v>
      </c>
      <c r="R166" s="115" t="s">
        <v>1241</v>
      </c>
      <c r="S166" s="117">
        <v>45888</v>
      </c>
      <c r="T166" s="115">
        <v>5.6550000000000002</v>
      </c>
      <c r="U166" s="116">
        <v>9.1999999999999998E-3</v>
      </c>
      <c r="V166" s="116">
        <v>4.1999999999999997E-3</v>
      </c>
      <c r="W166" s="133" t="s">
        <v>1235</v>
      </c>
      <c r="X166" s="115">
        <v>47.37</v>
      </c>
      <c r="Y166" s="133" t="s">
        <v>1237</v>
      </c>
      <c r="Z166" s="127">
        <f t="shared" si="2"/>
        <v>147.47999999999999</v>
      </c>
    </row>
    <row r="167" spans="1:26" ht="17" customHeight="1">
      <c r="A167" s="133">
        <v>128067</v>
      </c>
      <c r="B167" s="115" t="s">
        <v>1597</v>
      </c>
      <c r="C167" s="115">
        <v>113</v>
      </c>
      <c r="D167" s="125">
        <v>8.0000000000000004E-4</v>
      </c>
      <c r="E167" s="133" t="s">
        <v>1598</v>
      </c>
      <c r="F167" s="115">
        <v>22.81</v>
      </c>
      <c r="G167" s="125">
        <v>2.2000000000000001E-3</v>
      </c>
      <c r="H167" s="115">
        <v>2.9</v>
      </c>
      <c r="I167" s="115">
        <v>27.28</v>
      </c>
      <c r="J167" s="115">
        <v>83.61</v>
      </c>
      <c r="K167" s="116">
        <v>0.35149999999999998</v>
      </c>
      <c r="L167" s="133" t="s">
        <v>1235</v>
      </c>
      <c r="M167" s="115" t="s">
        <v>1236</v>
      </c>
      <c r="N167" s="133" t="s">
        <v>1235</v>
      </c>
      <c r="O167" s="115">
        <v>19.100000000000001</v>
      </c>
      <c r="P167" s="115">
        <v>35.46</v>
      </c>
      <c r="Q167" s="116">
        <v>4.7E-2</v>
      </c>
      <c r="R167" s="116">
        <v>1.38E-2</v>
      </c>
      <c r="S167" s="117">
        <v>45766</v>
      </c>
      <c r="T167" s="115">
        <v>5.3209999999999997</v>
      </c>
      <c r="U167" s="116">
        <v>2.9999999999999997E-4</v>
      </c>
      <c r="V167" s="116">
        <v>-4.1999999999999997E-3</v>
      </c>
      <c r="W167" s="133" t="s">
        <v>1235</v>
      </c>
      <c r="X167" s="115">
        <v>67.239999999999995</v>
      </c>
      <c r="Y167" s="133" t="s">
        <v>1237</v>
      </c>
      <c r="Z167" s="127">
        <f t="shared" si="2"/>
        <v>148.15</v>
      </c>
    </row>
    <row r="168" spans="1:26" ht="17" customHeight="1">
      <c r="A168" s="133">
        <v>127005</v>
      </c>
      <c r="B168" s="115" t="s">
        <v>1599</v>
      </c>
      <c r="C168" s="115">
        <v>118.021</v>
      </c>
      <c r="D168" s="124">
        <v>-1.5E-3</v>
      </c>
      <c r="E168" s="133" t="s">
        <v>1600</v>
      </c>
      <c r="F168" s="115">
        <v>6.73</v>
      </c>
      <c r="G168" s="124">
        <v>-1.5E-3</v>
      </c>
      <c r="H168" s="115">
        <v>1.34</v>
      </c>
      <c r="I168" s="115">
        <v>7.43</v>
      </c>
      <c r="J168" s="115">
        <v>90.58</v>
      </c>
      <c r="K168" s="116">
        <v>0.3029</v>
      </c>
      <c r="L168" s="133" t="s">
        <v>1235</v>
      </c>
      <c r="M168" s="115" t="s">
        <v>1292</v>
      </c>
      <c r="N168" s="133" t="s">
        <v>1235</v>
      </c>
      <c r="O168" s="115" t="s">
        <v>1241</v>
      </c>
      <c r="P168" s="115">
        <v>9.66</v>
      </c>
      <c r="Q168" s="116">
        <v>0.13400000000000001</v>
      </c>
      <c r="R168" s="116">
        <v>0.19719999999999999</v>
      </c>
      <c r="S168" s="117">
        <v>45363</v>
      </c>
      <c r="T168" s="115">
        <v>4.2160000000000002</v>
      </c>
      <c r="U168" s="116">
        <v>-1.7500000000000002E-2</v>
      </c>
      <c r="V168" s="116">
        <v>-2.1700000000000001E-2</v>
      </c>
      <c r="W168" s="133" t="s">
        <v>1235</v>
      </c>
      <c r="X168" s="115">
        <v>1126.82</v>
      </c>
      <c r="Y168" s="133" t="s">
        <v>1237</v>
      </c>
      <c r="Z168" s="127">
        <f t="shared" si="2"/>
        <v>148.31100000000001</v>
      </c>
    </row>
    <row r="169" spans="1:26" ht="17" customHeight="1">
      <c r="A169" s="133">
        <v>132009</v>
      </c>
      <c r="B169" s="115" t="s">
        <v>1601</v>
      </c>
      <c r="C169" s="115">
        <v>99.31</v>
      </c>
      <c r="D169" s="124">
        <v>-1E-4</v>
      </c>
      <c r="E169" s="133" t="s">
        <v>1602</v>
      </c>
      <c r="F169" s="115">
        <v>5.71</v>
      </c>
      <c r="G169" s="124">
        <v>-3.5000000000000001E-3</v>
      </c>
      <c r="H169" s="115">
        <v>0.85</v>
      </c>
      <c r="I169" s="115">
        <v>8.5399999999999991</v>
      </c>
      <c r="J169" s="115">
        <v>66.86</v>
      </c>
      <c r="K169" s="116">
        <v>0.49209999999999998</v>
      </c>
      <c r="L169" s="133" t="s">
        <v>1235</v>
      </c>
      <c r="M169" s="115" t="s">
        <v>1292</v>
      </c>
      <c r="N169" s="133" t="s">
        <v>1235</v>
      </c>
      <c r="O169" s="115">
        <v>5.98</v>
      </c>
      <c r="P169" s="115">
        <v>11.1</v>
      </c>
      <c r="Q169" s="116">
        <v>0.01</v>
      </c>
      <c r="R169" s="116">
        <v>0.21029999999999999</v>
      </c>
      <c r="S169" s="117">
        <v>44755</v>
      </c>
      <c r="T169" s="115">
        <v>2.5510000000000002</v>
      </c>
      <c r="U169" s="116">
        <v>3.1899999999999998E-2</v>
      </c>
      <c r="V169" s="116">
        <v>2.58E-2</v>
      </c>
      <c r="W169" s="133" t="s">
        <v>1235</v>
      </c>
      <c r="X169" s="115">
        <v>1814.33</v>
      </c>
      <c r="Y169" s="133" t="s">
        <v>1237</v>
      </c>
      <c r="Z169" s="127">
        <f t="shared" si="2"/>
        <v>148.52000000000001</v>
      </c>
    </row>
    <row r="170" spans="1:26" ht="17" customHeight="1">
      <c r="A170" s="133">
        <v>113544</v>
      </c>
      <c r="B170" s="115" t="s">
        <v>1603</v>
      </c>
      <c r="C170" s="115">
        <v>116.7</v>
      </c>
      <c r="D170" s="124">
        <v>-2.5999999999999999E-3</v>
      </c>
      <c r="E170" s="133" t="s">
        <v>1604</v>
      </c>
      <c r="F170" s="115">
        <v>42.06</v>
      </c>
      <c r="G170" s="124">
        <v>-5.0000000000000001E-4</v>
      </c>
      <c r="H170" s="115">
        <v>7.68</v>
      </c>
      <c r="I170" s="115">
        <v>47.54</v>
      </c>
      <c r="J170" s="115">
        <v>88.47</v>
      </c>
      <c r="K170" s="118">
        <v>0.31909999999999999</v>
      </c>
      <c r="L170" s="133" t="s">
        <v>1235</v>
      </c>
      <c r="M170" s="115" t="s">
        <v>1236</v>
      </c>
      <c r="N170" s="133" t="s">
        <v>1235</v>
      </c>
      <c r="O170" s="115">
        <v>33.28</v>
      </c>
      <c r="P170" s="115">
        <v>61.8</v>
      </c>
      <c r="Q170" s="116">
        <v>3.5999999999999997E-2</v>
      </c>
      <c r="R170" s="115" t="s">
        <v>1241</v>
      </c>
      <c r="S170" s="117">
        <v>45919</v>
      </c>
      <c r="T170" s="115">
        <v>5.74</v>
      </c>
      <c r="U170" s="116">
        <v>-2.0999999999999999E-3</v>
      </c>
      <c r="V170" s="116">
        <v>-6.8999999999999999E-3</v>
      </c>
      <c r="W170" s="133" t="s">
        <v>1235</v>
      </c>
      <c r="X170" s="115">
        <v>404.82</v>
      </c>
      <c r="Y170" s="133" t="s">
        <v>1237</v>
      </c>
      <c r="Z170" s="127">
        <f t="shared" si="2"/>
        <v>148.61000000000001</v>
      </c>
    </row>
    <row r="171" spans="1:26" ht="17" customHeight="1">
      <c r="A171" s="133">
        <v>128060</v>
      </c>
      <c r="B171" s="115" t="s">
        <v>1605</v>
      </c>
      <c r="C171" s="115">
        <v>147.559</v>
      </c>
      <c r="D171" s="125">
        <v>3.8E-3</v>
      </c>
      <c r="E171" s="133" t="s">
        <v>1606</v>
      </c>
      <c r="F171" s="115">
        <v>9.01</v>
      </c>
      <c r="G171" s="125">
        <v>1.1000000000000001E-3</v>
      </c>
      <c r="H171" s="115">
        <v>2.4700000000000002</v>
      </c>
      <c r="I171" s="115">
        <v>6.19</v>
      </c>
      <c r="J171" s="115">
        <v>145.56</v>
      </c>
      <c r="K171" s="116">
        <v>1.37E-2</v>
      </c>
      <c r="L171" s="133" t="s">
        <v>1235</v>
      </c>
      <c r="M171" s="115" t="s">
        <v>1236</v>
      </c>
      <c r="N171" s="133" t="s">
        <v>1235</v>
      </c>
      <c r="O171" s="115">
        <v>4.33</v>
      </c>
      <c r="P171" s="115">
        <v>8.0500000000000007</v>
      </c>
      <c r="Q171" s="116">
        <v>0.01</v>
      </c>
      <c r="R171" s="116">
        <v>0</v>
      </c>
      <c r="S171" s="117">
        <v>45742</v>
      </c>
      <c r="T171" s="115">
        <v>5.2549999999999999</v>
      </c>
      <c r="U171" s="116">
        <v>-0.05</v>
      </c>
      <c r="V171" s="116">
        <v>-5.4100000000000002E-2</v>
      </c>
      <c r="W171" s="133" t="s">
        <v>1235</v>
      </c>
      <c r="X171" s="115">
        <v>838.43</v>
      </c>
      <c r="Y171" s="133" t="s">
        <v>1237</v>
      </c>
      <c r="Z171" s="127">
        <f t="shared" si="2"/>
        <v>148.929</v>
      </c>
    </row>
    <row r="172" spans="1:26" ht="17" customHeight="1">
      <c r="A172" s="133">
        <v>128026</v>
      </c>
      <c r="B172" s="115" t="s">
        <v>1607</v>
      </c>
      <c r="C172" s="115">
        <v>92.537000000000006</v>
      </c>
      <c r="D172" s="124">
        <v>-1.1000000000000001E-3</v>
      </c>
      <c r="E172" s="133" t="s">
        <v>1608</v>
      </c>
      <c r="F172" s="115">
        <v>6.81</v>
      </c>
      <c r="G172" s="124">
        <v>-4.4000000000000003E-3</v>
      </c>
      <c r="H172" s="115">
        <v>0.96</v>
      </c>
      <c r="I172" s="123">
        <v>11.54</v>
      </c>
      <c r="J172" s="115">
        <v>59.01</v>
      </c>
      <c r="K172" s="116">
        <v>0.56820000000000004</v>
      </c>
      <c r="L172" s="133" t="s">
        <v>1235</v>
      </c>
      <c r="M172" s="115" t="s">
        <v>1247</v>
      </c>
      <c r="N172" s="133" t="s">
        <v>1235</v>
      </c>
      <c r="O172" s="115">
        <v>8.08</v>
      </c>
      <c r="P172" s="115">
        <v>15</v>
      </c>
      <c r="Q172" s="116">
        <v>0.36699999999999999</v>
      </c>
      <c r="R172" s="116">
        <v>9.9699999999999997E-2</v>
      </c>
      <c r="S172" s="117">
        <v>45273</v>
      </c>
      <c r="T172" s="115">
        <v>3.97</v>
      </c>
      <c r="U172" s="116">
        <v>4.6100000000000002E-2</v>
      </c>
      <c r="V172" s="116">
        <v>4.0899999999999999E-2</v>
      </c>
      <c r="W172" s="133" t="s">
        <v>1235</v>
      </c>
      <c r="X172" s="115">
        <v>287.17</v>
      </c>
      <c r="Y172" s="133" t="s">
        <v>1237</v>
      </c>
      <c r="Z172" s="127">
        <f t="shared" si="2"/>
        <v>149.35700000000003</v>
      </c>
    </row>
    <row r="173" spans="1:26" ht="17" customHeight="1">
      <c r="A173" s="133">
        <v>113508</v>
      </c>
      <c r="B173" s="115" t="s">
        <v>1609</v>
      </c>
      <c r="C173" s="115">
        <v>106.81</v>
      </c>
      <c r="D173" s="125">
        <v>1.1000000000000001E-3</v>
      </c>
      <c r="E173" s="133" t="s">
        <v>1610</v>
      </c>
      <c r="F173" s="115">
        <v>11.9</v>
      </c>
      <c r="G173" s="125">
        <v>2.5000000000000001E-3</v>
      </c>
      <c r="H173" s="115">
        <v>1.8</v>
      </c>
      <c r="I173" s="115">
        <v>15.91</v>
      </c>
      <c r="J173" s="115">
        <v>74.8</v>
      </c>
      <c r="K173" s="116">
        <v>0.4279</v>
      </c>
      <c r="L173" s="133" t="s">
        <v>1235</v>
      </c>
      <c r="M173" s="115" t="s">
        <v>1236</v>
      </c>
      <c r="N173" s="133" t="s">
        <v>1235</v>
      </c>
      <c r="O173" s="115">
        <v>11.14</v>
      </c>
      <c r="P173" s="115">
        <v>20.68</v>
      </c>
      <c r="Q173" s="116">
        <v>0.129</v>
      </c>
      <c r="R173" s="116">
        <v>0.26519999999999999</v>
      </c>
      <c r="S173" s="117">
        <v>45407</v>
      </c>
      <c r="T173" s="115">
        <v>4.3369999999999997</v>
      </c>
      <c r="U173" s="116">
        <v>1.29E-2</v>
      </c>
      <c r="V173" s="116">
        <v>7.4000000000000003E-3</v>
      </c>
      <c r="W173" s="133" t="s">
        <v>1235</v>
      </c>
      <c r="X173" s="115">
        <v>257.68</v>
      </c>
      <c r="Y173" s="133" t="s">
        <v>1237</v>
      </c>
      <c r="Z173" s="127">
        <f t="shared" si="2"/>
        <v>149.6</v>
      </c>
    </row>
    <row r="174" spans="1:26" ht="17" customHeight="1">
      <c r="A174" s="133">
        <v>110044</v>
      </c>
      <c r="B174" s="115" t="s">
        <v>1611</v>
      </c>
      <c r="C174" s="115">
        <v>145.02000000000001</v>
      </c>
      <c r="D174" s="125">
        <v>2.0799999999999999E-2</v>
      </c>
      <c r="E174" s="133" t="s">
        <v>1612</v>
      </c>
      <c r="F174" s="115">
        <v>9.42</v>
      </c>
      <c r="G174" s="125">
        <v>2.9499999999999998E-2</v>
      </c>
      <c r="H174" s="115">
        <v>1.74</v>
      </c>
      <c r="I174" s="115">
        <v>6.9</v>
      </c>
      <c r="J174" s="115">
        <v>136.52000000000001</v>
      </c>
      <c r="K174" s="116">
        <v>6.2300000000000001E-2</v>
      </c>
      <c r="L174" s="133" t="s">
        <v>1235</v>
      </c>
      <c r="M174" s="115" t="s">
        <v>1236</v>
      </c>
      <c r="N174" s="133" t="s">
        <v>1235</v>
      </c>
      <c r="O174" s="115">
        <v>4.83</v>
      </c>
      <c r="P174" s="115">
        <v>8.9700000000000006</v>
      </c>
      <c r="Q174" s="116">
        <v>1.2E-2</v>
      </c>
      <c r="R174" s="116">
        <v>5.7999999999999996E-3</v>
      </c>
      <c r="S174" s="117">
        <v>45470</v>
      </c>
      <c r="T174" s="115">
        <v>4.51</v>
      </c>
      <c r="U174" s="116">
        <v>-5.5E-2</v>
      </c>
      <c r="V174" s="116">
        <v>-5.9700000000000003E-2</v>
      </c>
      <c r="W174" s="133" t="s">
        <v>1235</v>
      </c>
      <c r="X174" s="115">
        <v>1278.6099999999999</v>
      </c>
      <c r="Y174" s="133" t="s">
        <v>1237</v>
      </c>
      <c r="Z174" s="127">
        <f t="shared" si="2"/>
        <v>151.25</v>
      </c>
    </row>
    <row r="175" spans="1:26" ht="17" customHeight="1">
      <c r="A175" s="133">
        <v>110034</v>
      </c>
      <c r="B175" s="115" t="s">
        <v>1613</v>
      </c>
      <c r="C175" s="115">
        <v>107.49</v>
      </c>
      <c r="D175" s="125">
        <v>2.0000000000000001E-4</v>
      </c>
      <c r="E175" s="133" t="s">
        <v>1614</v>
      </c>
      <c r="F175" s="115">
        <v>13.63</v>
      </c>
      <c r="G175" s="116">
        <v>0</v>
      </c>
      <c r="H175" s="115">
        <v>1.43</v>
      </c>
      <c r="I175" s="115">
        <v>18.32</v>
      </c>
      <c r="J175" s="115">
        <v>74.400000000000006</v>
      </c>
      <c r="K175" s="116">
        <v>0.44479999999999997</v>
      </c>
      <c r="L175" s="133" t="s">
        <v>1235</v>
      </c>
      <c r="M175" s="115" t="s">
        <v>1331</v>
      </c>
      <c r="N175" s="133" t="s">
        <v>1235</v>
      </c>
      <c r="O175" s="115">
        <v>12.82</v>
      </c>
      <c r="P175" s="115">
        <v>23.82</v>
      </c>
      <c r="Q175" s="116">
        <v>5.8999999999999997E-2</v>
      </c>
      <c r="R175" s="116">
        <v>0.23980000000000001</v>
      </c>
      <c r="S175" s="117">
        <v>44576</v>
      </c>
      <c r="T175" s="115">
        <v>2.06</v>
      </c>
      <c r="U175" s="116">
        <v>1.32E-2</v>
      </c>
      <c r="V175" s="116">
        <v>3.8E-3</v>
      </c>
      <c r="W175" s="133" t="s">
        <v>1235</v>
      </c>
      <c r="X175" s="115">
        <v>78.78</v>
      </c>
      <c r="Y175" s="133" t="s">
        <v>1237</v>
      </c>
      <c r="Z175" s="127">
        <f t="shared" si="2"/>
        <v>151.97</v>
      </c>
    </row>
    <row r="176" spans="1:26" ht="17" customHeight="1">
      <c r="A176" s="133">
        <v>113012</v>
      </c>
      <c r="B176" s="115" t="s">
        <v>1615</v>
      </c>
      <c r="C176" s="115">
        <v>105.65</v>
      </c>
      <c r="D176" s="125">
        <v>6.1999999999999998E-3</v>
      </c>
      <c r="E176" s="133" t="s">
        <v>1616</v>
      </c>
      <c r="F176" s="115">
        <v>9.58</v>
      </c>
      <c r="G176" s="124">
        <v>-6.1999999999999998E-3</v>
      </c>
      <c r="H176" s="115">
        <v>1.31</v>
      </c>
      <c r="I176" s="123" t="s">
        <v>1617</v>
      </c>
      <c r="J176" s="115">
        <v>72.08</v>
      </c>
      <c r="K176" s="116">
        <v>0.4657</v>
      </c>
      <c r="L176" s="133" t="s">
        <v>1235</v>
      </c>
      <c r="M176" s="115" t="s">
        <v>1236</v>
      </c>
      <c r="N176" s="133" t="s">
        <v>1235</v>
      </c>
      <c r="O176" s="115">
        <v>9.3000000000000007</v>
      </c>
      <c r="P176" s="115">
        <v>17.28</v>
      </c>
      <c r="Q176" s="116">
        <v>6.2E-2</v>
      </c>
      <c r="R176" s="116">
        <v>0.1143</v>
      </c>
      <c r="S176" s="117">
        <v>45009</v>
      </c>
      <c r="T176" s="115">
        <v>3.2469999999999999</v>
      </c>
      <c r="U176" s="116">
        <v>9.2999999999999992E-3</v>
      </c>
      <c r="V176" s="116">
        <v>4.1000000000000003E-3</v>
      </c>
      <c r="W176" s="133" t="s">
        <v>1235</v>
      </c>
      <c r="X176" s="115">
        <v>532.46</v>
      </c>
      <c r="Y176" s="133" t="s">
        <v>1237</v>
      </c>
      <c r="Z176" s="127">
        <f t="shared" si="2"/>
        <v>152.22</v>
      </c>
    </row>
    <row r="177" spans="1:26" ht="17" customHeight="1">
      <c r="A177" s="133">
        <v>113024</v>
      </c>
      <c r="B177" s="115" t="s">
        <v>1618</v>
      </c>
      <c r="C177" s="115">
        <v>104.7</v>
      </c>
      <c r="D177" s="124">
        <v>-3.3E-3</v>
      </c>
      <c r="E177" s="133" t="s">
        <v>1619</v>
      </c>
      <c r="F177" s="115">
        <v>7</v>
      </c>
      <c r="G177" s="124">
        <v>-5.7000000000000002E-3</v>
      </c>
      <c r="H177" s="115">
        <v>1.22</v>
      </c>
      <c r="I177" s="115">
        <v>9.8699999999999992</v>
      </c>
      <c r="J177" s="115">
        <v>70.92</v>
      </c>
      <c r="K177" s="116">
        <v>0.4763</v>
      </c>
      <c r="L177" s="133" t="s">
        <v>1235</v>
      </c>
      <c r="M177" s="115" t="s">
        <v>1292</v>
      </c>
      <c r="N177" s="133" t="s">
        <v>1235</v>
      </c>
      <c r="O177" s="115">
        <v>6.91</v>
      </c>
      <c r="P177" s="115">
        <v>12.83</v>
      </c>
      <c r="Q177" s="116">
        <v>0.16300000000000001</v>
      </c>
      <c r="R177" s="116">
        <v>1E-3</v>
      </c>
      <c r="S177" s="117">
        <v>45754</v>
      </c>
      <c r="T177" s="115">
        <v>5.2880000000000003</v>
      </c>
      <c r="U177" s="116">
        <v>9.4000000000000004E-3</v>
      </c>
      <c r="V177" s="116">
        <v>5.7999999999999996E-3</v>
      </c>
      <c r="W177" s="133" t="s">
        <v>1235</v>
      </c>
      <c r="X177" s="115">
        <v>555.27</v>
      </c>
      <c r="Y177" s="133" t="s">
        <v>1237</v>
      </c>
      <c r="Z177" s="127">
        <f t="shared" si="2"/>
        <v>152.33000000000001</v>
      </c>
    </row>
    <row r="178" spans="1:26" ht="17" customHeight="1">
      <c r="A178" s="133">
        <v>110045</v>
      </c>
      <c r="B178" s="115" t="s">
        <v>1620</v>
      </c>
      <c r="C178" s="115">
        <v>99.7</v>
      </c>
      <c r="D178" s="125">
        <v>5.0000000000000001E-4</v>
      </c>
      <c r="E178" s="133" t="s">
        <v>1621</v>
      </c>
      <c r="F178" s="115">
        <v>7.66</v>
      </c>
      <c r="G178" s="125">
        <v>1.2999999999999999E-3</v>
      </c>
      <c r="H178" s="115">
        <v>2.57</v>
      </c>
      <c r="I178" s="115">
        <v>12.02</v>
      </c>
      <c r="J178" s="115">
        <v>63.73</v>
      </c>
      <c r="K178" s="116">
        <v>0.56440000000000001</v>
      </c>
      <c r="L178" s="133" t="s">
        <v>1235</v>
      </c>
      <c r="M178" s="115" t="s">
        <v>1331</v>
      </c>
      <c r="N178" s="133" t="s">
        <v>1235</v>
      </c>
      <c r="O178" s="115">
        <v>8.41</v>
      </c>
      <c r="P178" s="115">
        <v>15.63</v>
      </c>
      <c r="Q178" s="116">
        <v>8.6999999999999994E-2</v>
      </c>
      <c r="R178" s="116">
        <v>0.19570000000000001</v>
      </c>
      <c r="S178" s="117">
        <v>45486</v>
      </c>
      <c r="T178" s="115">
        <v>4.5529999999999999</v>
      </c>
      <c r="U178" s="116">
        <v>2.5499999999999998E-2</v>
      </c>
      <c r="V178" s="116">
        <v>2.06E-2</v>
      </c>
      <c r="W178" s="133" t="s">
        <v>1235</v>
      </c>
      <c r="X178" s="115">
        <v>213.46</v>
      </c>
      <c r="Y178" s="133" t="s">
        <v>1237</v>
      </c>
      <c r="Z178" s="127">
        <f t="shared" si="2"/>
        <v>156.13999999999999</v>
      </c>
    </row>
    <row r="179" spans="1:26" ht="17" customHeight="1">
      <c r="A179" s="133">
        <v>132015</v>
      </c>
      <c r="B179" s="115" t="s">
        <v>1622</v>
      </c>
      <c r="C179" s="115">
        <v>98.91</v>
      </c>
      <c r="D179" s="124">
        <v>-8.0000000000000004E-4</v>
      </c>
      <c r="E179" s="133" t="s">
        <v>1602</v>
      </c>
      <c r="F179" s="115">
        <v>5.71</v>
      </c>
      <c r="G179" s="124">
        <v>-3.5000000000000001E-3</v>
      </c>
      <c r="H179" s="115">
        <v>0.85</v>
      </c>
      <c r="I179" s="115">
        <v>8.98</v>
      </c>
      <c r="J179" s="115">
        <v>63.59</v>
      </c>
      <c r="K179" s="116">
        <v>0.57520000000000004</v>
      </c>
      <c r="L179" s="133" t="s">
        <v>1235</v>
      </c>
      <c r="M179" s="115" t="s">
        <v>1292</v>
      </c>
      <c r="N179" s="133" t="s">
        <v>1235</v>
      </c>
      <c r="O179" s="115">
        <v>6.29</v>
      </c>
      <c r="P179" s="115">
        <v>11.67</v>
      </c>
      <c r="Q179" s="116">
        <v>1.9E-2</v>
      </c>
      <c r="R179" s="116">
        <v>9.4399999999999998E-2</v>
      </c>
      <c r="S179" s="117">
        <v>44958</v>
      </c>
      <c r="T179" s="115">
        <v>3.1070000000000002</v>
      </c>
      <c r="U179" s="116">
        <v>3.3300000000000003E-2</v>
      </c>
      <c r="V179" s="116">
        <v>2.6499999999999999E-2</v>
      </c>
      <c r="W179" s="133" t="s">
        <v>1235</v>
      </c>
      <c r="X179" s="115">
        <v>5287.03</v>
      </c>
      <c r="Y179" s="133" t="s">
        <v>1237</v>
      </c>
      <c r="Z179" s="127">
        <f t="shared" si="2"/>
        <v>156.43</v>
      </c>
    </row>
    <row r="180" spans="1:26" ht="17" customHeight="1">
      <c r="A180" s="133">
        <v>128015</v>
      </c>
      <c r="B180" s="115" t="s">
        <v>1623</v>
      </c>
      <c r="C180" s="115">
        <v>98.447000000000003</v>
      </c>
      <c r="D180" s="125">
        <v>1.0200000000000001E-2</v>
      </c>
      <c r="E180" s="133" t="s">
        <v>1624</v>
      </c>
      <c r="F180" s="115">
        <v>5.87</v>
      </c>
      <c r="G180" s="125">
        <v>1.38E-2</v>
      </c>
      <c r="H180" s="115">
        <v>3.76</v>
      </c>
      <c r="I180" s="123" t="s">
        <v>1625</v>
      </c>
      <c r="J180" s="115">
        <v>61.92</v>
      </c>
      <c r="K180" s="116">
        <v>0.58989999999999998</v>
      </c>
      <c r="L180" s="133" t="s">
        <v>1235</v>
      </c>
      <c r="M180" s="115" t="s">
        <v>1240</v>
      </c>
      <c r="N180" s="133" t="s">
        <v>1235</v>
      </c>
      <c r="O180" s="115">
        <v>6.64</v>
      </c>
      <c r="P180" s="115">
        <v>12.32</v>
      </c>
      <c r="Q180" s="116">
        <v>0.187</v>
      </c>
      <c r="R180" s="116">
        <v>0.182</v>
      </c>
      <c r="S180" s="117">
        <v>45085</v>
      </c>
      <c r="T180" s="115">
        <v>3.4550000000000001</v>
      </c>
      <c r="U180" s="116">
        <v>3.8300000000000001E-2</v>
      </c>
      <c r="V180" s="116">
        <v>3.1600000000000003E-2</v>
      </c>
      <c r="W180" s="133" t="s">
        <v>1235</v>
      </c>
      <c r="X180" s="115">
        <v>847.46</v>
      </c>
      <c r="Y180" s="133" t="s">
        <v>1237</v>
      </c>
      <c r="Z180" s="127">
        <f t="shared" si="2"/>
        <v>157.43700000000001</v>
      </c>
    </row>
    <row r="181" spans="1:26" ht="17" customHeight="1">
      <c r="A181" s="133">
        <v>113013</v>
      </c>
      <c r="B181" s="115" t="s">
        <v>1626</v>
      </c>
      <c r="C181" s="115">
        <v>123.5</v>
      </c>
      <c r="D181" s="125">
        <v>1.5E-3</v>
      </c>
      <c r="E181" s="133" t="s">
        <v>1627</v>
      </c>
      <c r="F181" s="115">
        <v>17.72</v>
      </c>
      <c r="G181" s="124">
        <v>-1.1000000000000001E-3</v>
      </c>
      <c r="H181" s="115">
        <v>1.17</v>
      </c>
      <c r="I181" s="115">
        <v>19.399999999999999</v>
      </c>
      <c r="J181" s="115">
        <v>91.34</v>
      </c>
      <c r="K181" s="116">
        <v>0.35210000000000002</v>
      </c>
      <c r="L181" s="133" t="s">
        <v>1235</v>
      </c>
      <c r="M181" s="115" t="s">
        <v>1292</v>
      </c>
      <c r="N181" s="133" t="s">
        <v>1235</v>
      </c>
      <c r="O181" s="115" t="s">
        <v>1241</v>
      </c>
      <c r="P181" s="115">
        <v>25.22</v>
      </c>
      <c r="Q181" s="116">
        <v>4.3999999999999997E-2</v>
      </c>
      <c r="R181" s="116">
        <v>0.14480000000000001</v>
      </c>
      <c r="S181" s="117">
        <v>45113</v>
      </c>
      <c r="T181" s="115">
        <v>3.532</v>
      </c>
      <c r="U181" s="116">
        <v>-3.4599999999999999E-2</v>
      </c>
      <c r="V181" s="116">
        <v>-3.9300000000000002E-2</v>
      </c>
      <c r="W181" s="133" t="s">
        <v>1235</v>
      </c>
      <c r="X181" s="115">
        <v>516.32000000000005</v>
      </c>
      <c r="Y181" s="133" t="s">
        <v>1237</v>
      </c>
      <c r="Z181" s="127">
        <f t="shared" si="2"/>
        <v>158.71</v>
      </c>
    </row>
    <row r="182" spans="1:26" ht="17" customHeight="1">
      <c r="A182" s="133">
        <v>128014</v>
      </c>
      <c r="B182" s="115" t="s">
        <v>1628</v>
      </c>
      <c r="C182" s="115">
        <v>99.521000000000001</v>
      </c>
      <c r="D182" s="125">
        <v>2.0000000000000001E-4</v>
      </c>
      <c r="E182" s="133" t="s">
        <v>1629</v>
      </c>
      <c r="F182" s="115">
        <v>7.9</v>
      </c>
      <c r="G182" s="125">
        <v>5.1000000000000004E-3</v>
      </c>
      <c r="H182" s="115">
        <v>2.0299999999999998</v>
      </c>
      <c r="I182" s="115">
        <v>12.64</v>
      </c>
      <c r="J182" s="115">
        <v>62.5</v>
      </c>
      <c r="K182" s="116">
        <v>0.59230000000000005</v>
      </c>
      <c r="L182" s="133" t="s">
        <v>1235</v>
      </c>
      <c r="M182" s="115" t="s">
        <v>1247</v>
      </c>
      <c r="N182" s="133" t="s">
        <v>1235</v>
      </c>
      <c r="O182" s="115">
        <v>8.85</v>
      </c>
      <c r="P182" s="115">
        <v>16.43</v>
      </c>
      <c r="Q182" s="116">
        <v>0.114</v>
      </c>
      <c r="R182" s="116">
        <v>0.19689999999999999</v>
      </c>
      <c r="S182" s="117">
        <v>45033</v>
      </c>
      <c r="T182" s="115">
        <v>3.3119999999999998</v>
      </c>
      <c r="U182" s="116">
        <v>3.7999999999999999E-2</v>
      </c>
      <c r="V182" s="116">
        <v>3.0800000000000001E-2</v>
      </c>
      <c r="W182" s="133" t="s">
        <v>1235</v>
      </c>
      <c r="X182" s="115">
        <v>13.95</v>
      </c>
      <c r="Y182" s="133" t="s">
        <v>1237</v>
      </c>
      <c r="Z182" s="127">
        <f t="shared" si="2"/>
        <v>158.751</v>
      </c>
    </row>
    <row r="183" spans="1:26" ht="17" customHeight="1">
      <c r="A183" s="133">
        <v>128030</v>
      </c>
      <c r="B183" s="115" t="s">
        <v>1630</v>
      </c>
      <c r="C183" s="115">
        <v>151.6</v>
      </c>
      <c r="D183" s="125">
        <v>2E-3</v>
      </c>
      <c r="E183" s="133" t="s">
        <v>1631</v>
      </c>
      <c r="F183" s="115">
        <v>11.35</v>
      </c>
      <c r="G183" s="124">
        <v>-6.1000000000000004E-3</v>
      </c>
      <c r="H183" s="115">
        <v>3.17</v>
      </c>
      <c r="I183" s="115">
        <v>8.0500000000000007</v>
      </c>
      <c r="J183" s="115">
        <v>140.99</v>
      </c>
      <c r="K183" s="116">
        <v>7.5300000000000006E-2</v>
      </c>
      <c r="L183" s="133" t="s">
        <v>1235</v>
      </c>
      <c r="M183" s="115" t="s">
        <v>1236</v>
      </c>
      <c r="N183" s="133" t="s">
        <v>1235</v>
      </c>
      <c r="O183" s="115">
        <v>5.63</v>
      </c>
      <c r="P183" s="115">
        <v>10.46</v>
      </c>
      <c r="Q183" s="116">
        <v>1.4999999999999999E-2</v>
      </c>
      <c r="R183" s="116">
        <v>2.4500000000000001E-2</v>
      </c>
      <c r="S183" s="117">
        <v>45282</v>
      </c>
      <c r="T183" s="115">
        <v>3.9950000000000001</v>
      </c>
      <c r="U183" s="116">
        <v>-7.3499999999999996E-2</v>
      </c>
      <c r="V183" s="116">
        <v>-7.85E-2</v>
      </c>
      <c r="W183" s="133" t="s">
        <v>1235</v>
      </c>
      <c r="X183" s="115">
        <v>624.36</v>
      </c>
      <c r="Y183" s="133" t="s">
        <v>1237</v>
      </c>
      <c r="Z183" s="127">
        <f t="shared" si="2"/>
        <v>159.13</v>
      </c>
    </row>
    <row r="184" spans="1:26" ht="17" customHeight="1">
      <c r="A184" s="133">
        <v>123031</v>
      </c>
      <c r="B184" s="115" t="s">
        <v>1632</v>
      </c>
      <c r="C184" s="115">
        <v>170.059</v>
      </c>
      <c r="D184" s="125">
        <v>2.01E-2</v>
      </c>
      <c r="E184" s="133" t="s">
        <v>1633</v>
      </c>
      <c r="F184" s="115">
        <v>35</v>
      </c>
      <c r="G184" s="125">
        <v>1.77E-2</v>
      </c>
      <c r="H184" s="115">
        <v>9.4700000000000006</v>
      </c>
      <c r="I184" s="115">
        <v>18.38</v>
      </c>
      <c r="J184" s="115">
        <v>190.42</v>
      </c>
      <c r="K184" s="118">
        <v>-0.1069</v>
      </c>
      <c r="L184" s="133" t="s">
        <v>1235</v>
      </c>
      <c r="M184" s="115" t="s">
        <v>1240</v>
      </c>
      <c r="N184" s="133" t="s">
        <v>1235</v>
      </c>
      <c r="O184" s="115">
        <v>12.87</v>
      </c>
      <c r="P184" s="115">
        <v>23.89</v>
      </c>
      <c r="Q184" s="116">
        <v>3.5000000000000003E-2</v>
      </c>
      <c r="R184" s="115" t="s">
        <v>1241</v>
      </c>
      <c r="S184" s="117">
        <v>45897</v>
      </c>
      <c r="T184" s="115">
        <v>5.6790000000000003</v>
      </c>
      <c r="U184" s="116">
        <v>-6.59E-2</v>
      </c>
      <c r="V184" s="116">
        <v>-7.0400000000000004E-2</v>
      </c>
      <c r="W184" s="133" t="s">
        <v>1235</v>
      </c>
      <c r="X184" s="115">
        <v>12213.14</v>
      </c>
      <c r="Y184" s="133" t="s">
        <v>1237</v>
      </c>
      <c r="Z184" s="127">
        <f t="shared" si="2"/>
        <v>159.369</v>
      </c>
    </row>
    <row r="185" spans="1:26" ht="17" customHeight="1">
      <c r="A185" s="133">
        <v>127011</v>
      </c>
      <c r="B185" s="115" t="s">
        <v>1634</v>
      </c>
      <c r="C185" s="115">
        <v>110.495</v>
      </c>
      <c r="D185" s="124">
        <v>-1E-4</v>
      </c>
      <c r="E185" s="133" t="s">
        <v>1635</v>
      </c>
      <c r="F185" s="115">
        <v>8.7200000000000006</v>
      </c>
      <c r="G185" s="124">
        <v>-3.3999999999999998E-3</v>
      </c>
      <c r="H185" s="115">
        <v>1.21</v>
      </c>
      <c r="I185" s="115">
        <v>11.79</v>
      </c>
      <c r="J185" s="115">
        <v>73.959999999999994</v>
      </c>
      <c r="K185" s="116">
        <v>0.49399999999999999</v>
      </c>
      <c r="L185" s="133" t="s">
        <v>1235</v>
      </c>
      <c r="M185" s="115" t="s">
        <v>1331</v>
      </c>
      <c r="N185" s="133" t="s">
        <v>1235</v>
      </c>
      <c r="O185" s="115">
        <v>8.25</v>
      </c>
      <c r="P185" s="115">
        <v>15.33</v>
      </c>
      <c r="Q185" s="116">
        <v>0.113</v>
      </c>
      <c r="R185" s="116">
        <v>6.7000000000000002E-3</v>
      </c>
      <c r="S185" s="117">
        <v>45724</v>
      </c>
      <c r="T185" s="115">
        <v>5.2050000000000001</v>
      </c>
      <c r="U185" s="116">
        <v>9.1000000000000004E-3</v>
      </c>
      <c r="V185" s="116">
        <v>3.5999999999999999E-3</v>
      </c>
      <c r="W185" s="133" t="s">
        <v>1235</v>
      </c>
      <c r="X185" s="115">
        <v>45.55</v>
      </c>
      <c r="Y185" s="133" t="s">
        <v>1237</v>
      </c>
      <c r="Z185" s="127">
        <f t="shared" si="2"/>
        <v>159.89500000000001</v>
      </c>
    </row>
    <row r="186" spans="1:26" ht="17" customHeight="1">
      <c r="A186" s="133">
        <v>128028</v>
      </c>
      <c r="B186" s="115" t="s">
        <v>1636</v>
      </c>
      <c r="C186" s="115">
        <v>117.289</v>
      </c>
      <c r="D186" s="124">
        <v>-5.1999999999999998E-3</v>
      </c>
      <c r="E186" s="133" t="s">
        <v>1637</v>
      </c>
      <c r="F186" s="115">
        <v>34.24</v>
      </c>
      <c r="G186" s="124">
        <v>-1.6999999999999999E-3</v>
      </c>
      <c r="H186" s="115">
        <v>5.45</v>
      </c>
      <c r="I186" s="115">
        <v>42.28</v>
      </c>
      <c r="J186" s="115">
        <v>80.98</v>
      </c>
      <c r="K186" s="116">
        <v>0.44840000000000002</v>
      </c>
      <c r="L186" s="133" t="s">
        <v>1235</v>
      </c>
      <c r="M186" s="115" t="s">
        <v>1236</v>
      </c>
      <c r="N186" s="133" t="s">
        <v>1235</v>
      </c>
      <c r="O186" s="115">
        <v>29.6</v>
      </c>
      <c r="P186" s="115">
        <v>54.96</v>
      </c>
      <c r="Q186" s="116">
        <v>2.1000000000000001E-2</v>
      </c>
      <c r="R186" s="116">
        <v>0.18029999999999999</v>
      </c>
      <c r="S186" s="117">
        <v>45281</v>
      </c>
      <c r="T186" s="115">
        <v>3.992</v>
      </c>
      <c r="U186" s="116">
        <v>-1.77E-2</v>
      </c>
      <c r="V186" s="116">
        <v>-2.1999999999999999E-2</v>
      </c>
      <c r="W186" s="133" t="s">
        <v>1235</v>
      </c>
      <c r="X186" s="115">
        <v>271.29000000000002</v>
      </c>
      <c r="Y186" s="133" t="s">
        <v>1237</v>
      </c>
      <c r="Z186" s="127">
        <f t="shared" si="2"/>
        <v>162.12900000000002</v>
      </c>
    </row>
    <row r="187" spans="1:26" ht="17" customHeight="1">
      <c r="A187" s="133">
        <v>113009</v>
      </c>
      <c r="B187" s="115" t="s">
        <v>1638</v>
      </c>
      <c r="C187" s="115">
        <v>116</v>
      </c>
      <c r="D187" s="125">
        <v>6.1000000000000004E-3</v>
      </c>
      <c r="E187" s="133" t="s">
        <v>1639</v>
      </c>
      <c r="F187" s="115">
        <v>11.39</v>
      </c>
      <c r="G187" s="125">
        <v>8.8999999999999999E-3</v>
      </c>
      <c r="H187" s="115">
        <v>1.47</v>
      </c>
      <c r="I187" s="115">
        <v>14.41</v>
      </c>
      <c r="J187" s="115">
        <v>79.040000000000006</v>
      </c>
      <c r="K187" s="116">
        <v>0.46760000000000002</v>
      </c>
      <c r="L187" s="133" t="s">
        <v>1235</v>
      </c>
      <c r="M187" s="115" t="s">
        <v>1292</v>
      </c>
      <c r="N187" s="133" t="s">
        <v>1235</v>
      </c>
      <c r="O187" s="115">
        <v>10.09</v>
      </c>
      <c r="P187" s="115">
        <v>18.73</v>
      </c>
      <c r="Q187" s="116">
        <v>2.1999999999999999E-2</v>
      </c>
      <c r="R187" s="116">
        <v>0.1027</v>
      </c>
      <c r="S187" s="117">
        <v>44583</v>
      </c>
      <c r="T187" s="115">
        <v>2.0790000000000002</v>
      </c>
      <c r="U187" s="116">
        <v>-3.0099999999999998E-2</v>
      </c>
      <c r="V187" s="116">
        <v>-3.78E-2</v>
      </c>
      <c r="W187" s="133" t="s">
        <v>1235</v>
      </c>
      <c r="X187" s="115">
        <v>297.64999999999998</v>
      </c>
      <c r="Y187" s="133" t="s">
        <v>1237</v>
      </c>
      <c r="Z187" s="127">
        <f t="shared" si="2"/>
        <v>162.76</v>
      </c>
    </row>
    <row r="188" spans="1:26" ht="17" customHeight="1">
      <c r="A188" s="133">
        <v>128046</v>
      </c>
      <c r="B188" s="115" t="s">
        <v>1640</v>
      </c>
      <c r="C188" s="115">
        <v>106.7</v>
      </c>
      <c r="D188" s="124">
        <v>-9.7000000000000003E-3</v>
      </c>
      <c r="E188" s="133" t="s">
        <v>1641</v>
      </c>
      <c r="F188" s="115">
        <v>12.68</v>
      </c>
      <c r="G188" s="124">
        <v>-1.6000000000000001E-3</v>
      </c>
      <c r="H188" s="115">
        <v>2.0299999999999998</v>
      </c>
      <c r="I188" s="115">
        <v>18.62</v>
      </c>
      <c r="J188" s="115">
        <v>68.099999999999994</v>
      </c>
      <c r="K188" s="116">
        <v>0.56679999999999997</v>
      </c>
      <c r="L188" s="133" t="s">
        <v>1235</v>
      </c>
      <c r="M188" s="115" t="s">
        <v>1236</v>
      </c>
      <c r="N188" s="133" t="s">
        <v>1235</v>
      </c>
      <c r="O188" s="115">
        <v>13.03</v>
      </c>
      <c r="P188" s="115">
        <v>24.21</v>
      </c>
      <c r="Q188" s="116">
        <v>0.128</v>
      </c>
      <c r="R188" s="116">
        <v>0.2384</v>
      </c>
      <c r="S188" s="117">
        <v>45582</v>
      </c>
      <c r="T188" s="115">
        <v>4.8159999999999998</v>
      </c>
      <c r="U188" s="116">
        <v>1.2E-2</v>
      </c>
      <c r="V188" s="116">
        <v>7.1000000000000004E-3</v>
      </c>
      <c r="W188" s="133" t="s">
        <v>1235</v>
      </c>
      <c r="X188" s="115">
        <v>144.91</v>
      </c>
      <c r="Y188" s="133" t="s">
        <v>1237</v>
      </c>
      <c r="Z188" s="127">
        <f t="shared" si="2"/>
        <v>163.38</v>
      </c>
    </row>
    <row r="189" spans="1:26" ht="17" customHeight="1">
      <c r="A189" s="133">
        <v>128038</v>
      </c>
      <c r="B189" s="115" t="s">
        <v>1642</v>
      </c>
      <c r="C189" s="115">
        <v>164.2</v>
      </c>
      <c r="D189" s="124">
        <v>-3.4099999999999998E-2</v>
      </c>
      <c r="E189" s="133" t="s">
        <v>1643</v>
      </c>
      <c r="F189" s="115">
        <v>2.82</v>
      </c>
      <c r="G189" s="125">
        <v>1.0800000000000001E-2</v>
      </c>
      <c r="H189" s="115">
        <v>2.3199999999999998</v>
      </c>
      <c r="I189" s="123" t="s">
        <v>1644</v>
      </c>
      <c r="J189" s="115">
        <v>163.95</v>
      </c>
      <c r="K189" s="116">
        <v>1.5E-3</v>
      </c>
      <c r="L189" s="133" t="s">
        <v>1235</v>
      </c>
      <c r="M189" s="115" t="s">
        <v>1236</v>
      </c>
      <c r="N189" s="133" t="s">
        <v>1235</v>
      </c>
      <c r="O189" s="115">
        <v>1.2</v>
      </c>
      <c r="P189" s="115">
        <v>2.2400000000000002</v>
      </c>
      <c r="Q189" s="116">
        <v>7.0000000000000001E-3</v>
      </c>
      <c r="R189" s="116">
        <v>2.8E-3</v>
      </c>
      <c r="S189" s="117">
        <v>45373</v>
      </c>
      <c r="T189" s="115">
        <v>4.2439999999999998</v>
      </c>
      <c r="U189" s="116">
        <v>-8.4199999999999997E-2</v>
      </c>
      <c r="V189" s="116">
        <v>-8.9300000000000004E-2</v>
      </c>
      <c r="W189" s="133" t="s">
        <v>1235</v>
      </c>
      <c r="X189" s="115">
        <v>15887.87</v>
      </c>
      <c r="Y189" s="133" t="s">
        <v>1237</v>
      </c>
      <c r="Z189" s="127">
        <f t="shared" si="2"/>
        <v>164.35</v>
      </c>
    </row>
    <row r="190" spans="1:26" ht="17" customHeight="1">
      <c r="A190" s="133">
        <v>132004</v>
      </c>
      <c r="B190" s="115" t="s">
        <v>1645</v>
      </c>
      <c r="C190" s="115">
        <v>99.34</v>
      </c>
      <c r="D190" s="116">
        <v>0</v>
      </c>
      <c r="E190" s="133" t="s">
        <v>1646</v>
      </c>
      <c r="F190" s="115">
        <v>3.48</v>
      </c>
      <c r="G190" s="124">
        <v>-1.14E-2</v>
      </c>
      <c r="H190" s="115">
        <v>0.96</v>
      </c>
      <c r="I190" s="123" t="s">
        <v>1647</v>
      </c>
      <c r="J190" s="115">
        <v>60</v>
      </c>
      <c r="K190" s="116">
        <v>0.65800000000000003</v>
      </c>
      <c r="L190" s="133" t="s">
        <v>1235</v>
      </c>
      <c r="M190" s="115" t="s">
        <v>1292</v>
      </c>
      <c r="N190" s="133" t="s">
        <v>1235</v>
      </c>
      <c r="O190" s="115">
        <v>4.0599999999999996</v>
      </c>
      <c r="P190" s="115">
        <v>7.54</v>
      </c>
      <c r="Q190" s="116">
        <v>0.161</v>
      </c>
      <c r="R190" s="116">
        <v>0.25779999999999997</v>
      </c>
      <c r="S190" s="117">
        <v>44505</v>
      </c>
      <c r="T190" s="115">
        <v>1.8660000000000001</v>
      </c>
      <c r="U190" s="116">
        <v>2.9499999999999998E-2</v>
      </c>
      <c r="V190" s="116">
        <v>2.4199999999999999E-2</v>
      </c>
      <c r="W190" s="133" t="s">
        <v>1235</v>
      </c>
      <c r="X190" s="115">
        <v>1129.83</v>
      </c>
      <c r="Y190" s="133" t="s">
        <v>1237</v>
      </c>
      <c r="Z190" s="127">
        <f t="shared" si="2"/>
        <v>165.14</v>
      </c>
    </row>
    <row r="191" spans="1:26" ht="17" customHeight="1">
      <c r="A191" s="133">
        <v>132013</v>
      </c>
      <c r="B191" s="115" t="s">
        <v>1648</v>
      </c>
      <c r="C191" s="115">
        <v>101.1</v>
      </c>
      <c r="D191" s="124">
        <v>-1E-4</v>
      </c>
      <c r="E191" s="133" t="s">
        <v>1649</v>
      </c>
      <c r="F191" s="115">
        <v>5.58</v>
      </c>
      <c r="G191" s="124">
        <v>-1.06E-2</v>
      </c>
      <c r="H191" s="115">
        <v>0.71</v>
      </c>
      <c r="I191" s="115">
        <v>9.0500000000000007</v>
      </c>
      <c r="J191" s="115">
        <v>61.66</v>
      </c>
      <c r="K191" s="116">
        <v>0.6411</v>
      </c>
      <c r="L191" s="133" t="s">
        <v>1235</v>
      </c>
      <c r="M191" s="115" t="s">
        <v>1292</v>
      </c>
      <c r="N191" s="133" t="s">
        <v>1235</v>
      </c>
      <c r="O191" s="115" t="s">
        <v>1241</v>
      </c>
      <c r="P191" s="115" t="s">
        <v>1241</v>
      </c>
      <c r="Q191" s="116">
        <v>0.121</v>
      </c>
      <c r="R191" s="116">
        <v>0.15429999999999999</v>
      </c>
      <c r="S191" s="117">
        <v>44159</v>
      </c>
      <c r="T191" s="115">
        <v>0.91800000000000004</v>
      </c>
      <c r="U191" s="116">
        <v>3.0300000000000001E-2</v>
      </c>
      <c r="V191" s="116">
        <v>2.1700000000000001E-2</v>
      </c>
      <c r="W191" s="133" t="s">
        <v>1235</v>
      </c>
      <c r="X191" s="115">
        <v>530.38</v>
      </c>
      <c r="Y191" s="133" t="s">
        <v>1237</v>
      </c>
      <c r="Z191" s="127">
        <f t="shared" si="2"/>
        <v>165.20999999999998</v>
      </c>
    </row>
    <row r="192" spans="1:26" ht="17" customHeight="1">
      <c r="A192" s="133">
        <v>128035</v>
      </c>
      <c r="B192" s="115" t="s">
        <v>1650</v>
      </c>
      <c r="C192" s="115">
        <v>114.99</v>
      </c>
      <c r="D192" s="125">
        <v>5.1999999999999998E-3</v>
      </c>
      <c r="E192" s="133" t="s">
        <v>1651</v>
      </c>
      <c r="F192" s="115">
        <v>39.979999999999997</v>
      </c>
      <c r="G192" s="125">
        <v>9.5999999999999992E-3</v>
      </c>
      <c r="H192" s="115">
        <v>4.8899999999999997</v>
      </c>
      <c r="I192" s="115">
        <v>52.3</v>
      </c>
      <c r="J192" s="115">
        <v>76.44</v>
      </c>
      <c r="K192" s="116">
        <v>0.50429999999999997</v>
      </c>
      <c r="L192" s="133" t="s">
        <v>1235</v>
      </c>
      <c r="M192" s="115" t="s">
        <v>1331</v>
      </c>
      <c r="N192" s="133" t="s">
        <v>1235</v>
      </c>
      <c r="O192" s="115">
        <v>36.61</v>
      </c>
      <c r="P192" s="115">
        <v>67.989999999999995</v>
      </c>
      <c r="Q192" s="116">
        <v>5.3999999999999999E-2</v>
      </c>
      <c r="R192" s="116">
        <v>0.2414</v>
      </c>
      <c r="S192" s="117">
        <v>45328</v>
      </c>
      <c r="T192" s="115">
        <v>4.1210000000000004</v>
      </c>
      <c r="U192" s="116">
        <v>-1.44E-2</v>
      </c>
      <c r="V192" s="116">
        <v>-1.8200000000000001E-2</v>
      </c>
      <c r="W192" s="133" t="s">
        <v>1235</v>
      </c>
      <c r="X192" s="115">
        <v>337</v>
      </c>
      <c r="Y192" s="133" t="s">
        <v>1237</v>
      </c>
      <c r="Z192" s="127">
        <f t="shared" si="2"/>
        <v>165.42</v>
      </c>
    </row>
    <row r="193" spans="1:26" ht="17" customHeight="1">
      <c r="A193" s="133">
        <v>123022</v>
      </c>
      <c r="B193" s="115" t="s">
        <v>1652</v>
      </c>
      <c r="C193" s="115">
        <v>169.27799999999999</v>
      </c>
      <c r="D193" s="125">
        <v>2.8E-3</v>
      </c>
      <c r="E193" s="133" t="s">
        <v>1653</v>
      </c>
      <c r="F193" s="115">
        <v>10.54</v>
      </c>
      <c r="G193" s="125">
        <v>2.8999999999999998E-3</v>
      </c>
      <c r="H193" s="115">
        <v>4.41</v>
      </c>
      <c r="I193" s="115">
        <v>6.25</v>
      </c>
      <c r="J193" s="115">
        <v>168.64</v>
      </c>
      <c r="K193" s="116">
        <v>3.8E-3</v>
      </c>
      <c r="L193" s="133" t="s">
        <v>1235</v>
      </c>
      <c r="M193" s="115" t="s">
        <v>1236</v>
      </c>
      <c r="N193" s="133" t="s">
        <v>1235</v>
      </c>
      <c r="O193" s="115">
        <v>4.38</v>
      </c>
      <c r="P193" s="115">
        <v>8.1199999999999992</v>
      </c>
      <c r="Q193" s="116">
        <v>1.6E-2</v>
      </c>
      <c r="R193" s="116">
        <v>2.53E-2</v>
      </c>
      <c r="S193" s="117">
        <v>45734</v>
      </c>
      <c r="T193" s="115">
        <v>5.2329999999999997</v>
      </c>
      <c r="U193" s="116">
        <v>-7.1999999999999995E-2</v>
      </c>
      <c r="V193" s="116">
        <v>-7.6600000000000001E-2</v>
      </c>
      <c r="W193" s="133" t="s">
        <v>1235</v>
      </c>
      <c r="X193" s="115">
        <v>4530.57</v>
      </c>
      <c r="Y193" s="133" t="s">
        <v>1237</v>
      </c>
      <c r="Z193" s="127">
        <f t="shared" si="2"/>
        <v>169.65799999999999</v>
      </c>
    </row>
    <row r="194" spans="1:26" ht="17" customHeight="1">
      <c r="A194" s="133">
        <v>127004</v>
      </c>
      <c r="B194" s="115" t="s">
        <v>1654</v>
      </c>
      <c r="C194" s="115">
        <v>95.534999999999997</v>
      </c>
      <c r="D194" s="125">
        <v>2.0000000000000001E-4</v>
      </c>
      <c r="E194" s="133" t="s">
        <v>1655</v>
      </c>
      <c r="F194" s="115">
        <v>4.09</v>
      </c>
      <c r="G194" s="125">
        <v>1.49E-2</v>
      </c>
      <c r="H194" s="115">
        <v>1.44</v>
      </c>
      <c r="I194" s="115">
        <v>7.59</v>
      </c>
      <c r="J194" s="115">
        <v>53.89</v>
      </c>
      <c r="K194" s="116">
        <v>0.77280000000000004</v>
      </c>
      <c r="L194" s="133" t="s">
        <v>1235</v>
      </c>
      <c r="M194" s="115" t="s">
        <v>1236</v>
      </c>
      <c r="N194" s="133" t="s">
        <v>1235</v>
      </c>
      <c r="O194" s="115">
        <v>5.31</v>
      </c>
      <c r="P194" s="115">
        <v>9.8699999999999992</v>
      </c>
      <c r="Q194" s="116">
        <v>0.24</v>
      </c>
      <c r="R194" s="116">
        <v>8.5599999999999996E-2</v>
      </c>
      <c r="S194" s="117">
        <v>45079</v>
      </c>
      <c r="T194" s="115">
        <v>3.4380000000000002</v>
      </c>
      <c r="U194" s="116">
        <v>5.4699999999999999E-2</v>
      </c>
      <c r="V194" s="116">
        <v>4.6600000000000003E-2</v>
      </c>
      <c r="W194" s="133" t="s">
        <v>1235</v>
      </c>
      <c r="X194" s="115">
        <v>241.65</v>
      </c>
      <c r="Y194" s="133" t="s">
        <v>1237</v>
      </c>
      <c r="Z194" s="127">
        <f t="shared" si="2"/>
        <v>172.815</v>
      </c>
    </row>
    <row r="195" spans="1:26" ht="17" customHeight="1">
      <c r="A195" s="133">
        <v>128032</v>
      </c>
      <c r="B195" s="115" t="s">
        <v>1656</v>
      </c>
      <c r="C195" s="115">
        <v>98</v>
      </c>
      <c r="D195" s="125">
        <v>6.1999999999999998E-3</v>
      </c>
      <c r="E195" s="133" t="s">
        <v>1657</v>
      </c>
      <c r="F195" s="115">
        <v>5.48</v>
      </c>
      <c r="G195" s="124">
        <v>-1.8E-3</v>
      </c>
      <c r="H195" s="115">
        <v>1.03</v>
      </c>
      <c r="I195" s="115">
        <v>9.93</v>
      </c>
      <c r="J195" s="115">
        <v>55.19</v>
      </c>
      <c r="K195" s="116">
        <v>0.77569999999999995</v>
      </c>
      <c r="L195" s="133" t="s">
        <v>1235</v>
      </c>
      <c r="M195" s="115" t="s">
        <v>1236</v>
      </c>
      <c r="N195" s="133" t="s">
        <v>1235</v>
      </c>
      <c r="O195" s="115">
        <v>6.95</v>
      </c>
      <c r="P195" s="115">
        <v>12.91</v>
      </c>
      <c r="Q195" s="116">
        <v>0.26600000000000001</v>
      </c>
      <c r="R195" s="116">
        <v>0.28410000000000002</v>
      </c>
      <c r="S195" s="117">
        <v>45285</v>
      </c>
      <c r="T195" s="115">
        <v>4</v>
      </c>
      <c r="U195" s="116">
        <v>3.0599999999999999E-2</v>
      </c>
      <c r="V195" s="116">
        <v>2.5499999999999998E-2</v>
      </c>
      <c r="W195" s="133" t="s">
        <v>1235</v>
      </c>
      <c r="X195" s="115">
        <v>150.97</v>
      </c>
      <c r="Y195" s="133" t="s">
        <v>1237</v>
      </c>
      <c r="Z195" s="127">
        <f t="shared" ref="Z195:Z210" si="3">C195+K195*100</f>
        <v>175.57</v>
      </c>
    </row>
    <row r="196" spans="1:26" ht="17" customHeight="1">
      <c r="A196" s="133">
        <v>128023</v>
      </c>
      <c r="B196" s="115" t="s">
        <v>1658</v>
      </c>
      <c r="C196" s="115">
        <v>93.988</v>
      </c>
      <c r="D196" s="124">
        <v>-8.0000000000000004E-4</v>
      </c>
      <c r="E196" s="133" t="s">
        <v>1659</v>
      </c>
      <c r="F196" s="115">
        <v>5.24</v>
      </c>
      <c r="G196" s="124">
        <v>-1.32E-2</v>
      </c>
      <c r="H196" s="115">
        <v>1.42</v>
      </c>
      <c r="I196" s="115">
        <v>10.34</v>
      </c>
      <c r="J196" s="115">
        <v>50.68</v>
      </c>
      <c r="K196" s="116">
        <v>0.85450000000000004</v>
      </c>
      <c r="L196" s="133" t="s">
        <v>1235</v>
      </c>
      <c r="M196" s="115" t="s">
        <v>1236</v>
      </c>
      <c r="N196" s="133" t="s">
        <v>1235</v>
      </c>
      <c r="O196" s="115">
        <v>7.24</v>
      </c>
      <c r="P196" s="115">
        <v>13.44</v>
      </c>
      <c r="Q196" s="116">
        <v>0.25900000000000001</v>
      </c>
      <c r="R196" s="116">
        <v>0.10059999999999999</v>
      </c>
      <c r="S196" s="117">
        <v>45264</v>
      </c>
      <c r="T196" s="115">
        <v>3.9449999999999998</v>
      </c>
      <c r="U196" s="116">
        <v>4.7E-2</v>
      </c>
      <c r="V196" s="116">
        <v>4.0899999999999999E-2</v>
      </c>
      <c r="W196" s="133" t="s">
        <v>1235</v>
      </c>
      <c r="X196" s="115">
        <v>165.38</v>
      </c>
      <c r="Y196" s="133" t="s">
        <v>1237</v>
      </c>
      <c r="Z196" s="127">
        <f t="shared" si="3"/>
        <v>179.43799999999999</v>
      </c>
    </row>
    <row r="197" spans="1:26" ht="17" customHeight="1">
      <c r="A197" s="133">
        <v>128052</v>
      </c>
      <c r="B197" s="115" t="s">
        <v>1660</v>
      </c>
      <c r="C197" s="115">
        <v>180.28700000000001</v>
      </c>
      <c r="D197" s="124">
        <v>-5.4999999999999997E-3</v>
      </c>
      <c r="E197" s="133" t="s">
        <v>1661</v>
      </c>
      <c r="F197" s="115">
        <v>12.23</v>
      </c>
      <c r="G197" s="124">
        <v>-6.4999999999999997E-3</v>
      </c>
      <c r="H197" s="115">
        <v>2.63</v>
      </c>
      <c r="I197" s="115">
        <v>6.77</v>
      </c>
      <c r="J197" s="115">
        <v>180.65</v>
      </c>
      <c r="K197" s="116">
        <v>-2E-3</v>
      </c>
      <c r="L197" s="133" t="s">
        <v>1235</v>
      </c>
      <c r="M197" s="115" t="s">
        <v>1236</v>
      </c>
      <c r="N197" s="133" t="s">
        <v>1235</v>
      </c>
      <c r="O197" s="115">
        <v>4.74</v>
      </c>
      <c r="P197" s="115">
        <v>8.8000000000000007</v>
      </c>
      <c r="Q197" s="116">
        <v>1.2E-2</v>
      </c>
      <c r="R197" s="116">
        <v>9.7999999999999997E-3</v>
      </c>
      <c r="S197" s="117">
        <v>45647</v>
      </c>
      <c r="T197" s="115">
        <v>4.9950000000000001</v>
      </c>
      <c r="U197" s="116">
        <v>-8.7499999999999994E-2</v>
      </c>
      <c r="V197" s="116">
        <v>-9.2100000000000001E-2</v>
      </c>
      <c r="W197" s="133" t="s">
        <v>1235</v>
      </c>
      <c r="X197" s="115">
        <v>995.94</v>
      </c>
      <c r="Y197" s="133" t="s">
        <v>1237</v>
      </c>
      <c r="Z197" s="127">
        <f t="shared" si="3"/>
        <v>180.08700000000002</v>
      </c>
    </row>
    <row r="198" spans="1:26" ht="17" customHeight="1">
      <c r="A198" s="133">
        <v>113014</v>
      </c>
      <c r="B198" s="115" t="s">
        <v>1662</v>
      </c>
      <c r="C198" s="115">
        <v>100.01</v>
      </c>
      <c r="D198" s="125">
        <v>1.5E-3</v>
      </c>
      <c r="E198" s="133" t="s">
        <v>1663</v>
      </c>
      <c r="F198" s="115">
        <v>4.74</v>
      </c>
      <c r="G198" s="125">
        <v>1.4999999999999999E-2</v>
      </c>
      <c r="H198" s="115">
        <v>0.81</v>
      </c>
      <c r="I198" s="115">
        <v>8.59</v>
      </c>
      <c r="J198" s="115">
        <v>55.18</v>
      </c>
      <c r="K198" s="116">
        <v>0.81240000000000001</v>
      </c>
      <c r="L198" s="133" t="s">
        <v>1235</v>
      </c>
      <c r="M198" s="115" t="s">
        <v>1236</v>
      </c>
      <c r="N198" s="133" t="s">
        <v>1235</v>
      </c>
      <c r="O198" s="115">
        <v>6.01</v>
      </c>
      <c r="P198" s="115">
        <v>11.17</v>
      </c>
      <c r="Q198" s="116">
        <v>0.36</v>
      </c>
      <c r="R198" s="116">
        <v>0.27629999999999999</v>
      </c>
      <c r="S198" s="117">
        <v>45226</v>
      </c>
      <c r="T198" s="115">
        <v>3.8410000000000002</v>
      </c>
      <c r="U198" s="116">
        <v>2.63E-2</v>
      </c>
      <c r="V198" s="116">
        <v>2.1100000000000001E-2</v>
      </c>
      <c r="W198" s="133" t="s">
        <v>1235</v>
      </c>
      <c r="X198" s="115">
        <v>53.45</v>
      </c>
      <c r="Y198" s="133" t="s">
        <v>1237</v>
      </c>
      <c r="Z198" s="127">
        <f t="shared" si="3"/>
        <v>181.25</v>
      </c>
    </row>
    <row r="199" spans="1:26" ht="17" customHeight="1">
      <c r="A199" s="133">
        <v>110038</v>
      </c>
      <c r="B199" s="115" t="s">
        <v>1664</v>
      </c>
      <c r="C199" s="115">
        <v>105.95</v>
      </c>
      <c r="D199" s="124">
        <v>-4.0000000000000002E-4</v>
      </c>
      <c r="E199" s="133" t="s">
        <v>1665</v>
      </c>
      <c r="F199" s="115">
        <v>23.26</v>
      </c>
      <c r="G199" s="125">
        <v>6.4999999999999997E-3</v>
      </c>
      <c r="H199" s="115">
        <v>3.27</v>
      </c>
      <c r="I199" s="115">
        <v>38.81</v>
      </c>
      <c r="J199" s="115">
        <v>59.93</v>
      </c>
      <c r="K199" s="116">
        <v>0.76790000000000003</v>
      </c>
      <c r="L199" s="133" t="s">
        <v>1235</v>
      </c>
      <c r="M199" s="115" t="s">
        <v>1236</v>
      </c>
      <c r="N199" s="133" t="s">
        <v>1235</v>
      </c>
      <c r="O199" s="115">
        <v>19.41</v>
      </c>
      <c r="P199" s="115">
        <v>48.51</v>
      </c>
      <c r="Q199" s="116">
        <v>3.3000000000000002E-2</v>
      </c>
      <c r="R199" s="116">
        <v>0.1477</v>
      </c>
      <c r="S199" s="117">
        <v>44877</v>
      </c>
      <c r="T199" s="115">
        <v>2.8849999999999998</v>
      </c>
      <c r="U199" s="116">
        <v>7.7000000000000002E-3</v>
      </c>
      <c r="V199" s="116">
        <v>2.3E-3</v>
      </c>
      <c r="W199" s="133" t="s">
        <v>1235</v>
      </c>
      <c r="X199" s="115">
        <v>49.73</v>
      </c>
      <c r="Y199" s="133" t="s">
        <v>1237</v>
      </c>
      <c r="Z199" s="127">
        <f t="shared" si="3"/>
        <v>182.74</v>
      </c>
    </row>
    <row r="200" spans="1:26" ht="17" customHeight="1">
      <c r="A200" s="133">
        <v>113502</v>
      </c>
      <c r="B200" s="115" t="s">
        <v>1666</v>
      </c>
      <c r="C200" s="115">
        <v>98.01</v>
      </c>
      <c r="D200" s="125">
        <v>2.0000000000000001E-4</v>
      </c>
      <c r="E200" s="133" t="s">
        <v>1667</v>
      </c>
      <c r="F200" s="115">
        <v>23.52</v>
      </c>
      <c r="G200" s="125">
        <v>7.7000000000000002E-3</v>
      </c>
      <c r="H200" s="115">
        <v>2.2200000000000002</v>
      </c>
      <c r="I200" s="115">
        <v>45.04</v>
      </c>
      <c r="J200" s="115">
        <v>52.22</v>
      </c>
      <c r="K200" s="116">
        <v>0.87690000000000001</v>
      </c>
      <c r="L200" s="133" t="s">
        <v>1235</v>
      </c>
      <c r="M200" s="115" t="s">
        <v>1247</v>
      </c>
      <c r="N200" s="133" t="s">
        <v>1235</v>
      </c>
      <c r="O200" s="115">
        <v>31.53</v>
      </c>
      <c r="P200" s="115">
        <v>58.55</v>
      </c>
      <c r="Q200" s="116">
        <v>0.107</v>
      </c>
      <c r="R200" s="116">
        <v>1.7399999999999999E-2</v>
      </c>
      <c r="S200" s="117">
        <v>45239</v>
      </c>
      <c r="T200" s="115">
        <v>3.8769999999999998</v>
      </c>
      <c r="U200" s="116">
        <v>3.6400000000000002E-2</v>
      </c>
      <c r="V200" s="116">
        <v>3.0300000000000001E-2</v>
      </c>
      <c r="W200" s="133" t="s">
        <v>1235</v>
      </c>
      <c r="X200" s="115">
        <v>105.81</v>
      </c>
      <c r="Y200" s="133" t="s">
        <v>1237</v>
      </c>
      <c r="Z200" s="127">
        <f t="shared" si="3"/>
        <v>185.7</v>
      </c>
    </row>
    <row r="201" spans="1:26" ht="17" customHeight="1">
      <c r="A201" s="133">
        <v>127008</v>
      </c>
      <c r="B201" s="115" t="s">
        <v>1668</v>
      </c>
      <c r="C201" s="115">
        <v>197.99700000000001</v>
      </c>
      <c r="D201" s="125">
        <v>1.0200000000000001E-2</v>
      </c>
      <c r="E201" s="133" t="s">
        <v>1669</v>
      </c>
      <c r="F201" s="115">
        <v>10.91</v>
      </c>
      <c r="G201" s="125">
        <v>6.4999999999999997E-3</v>
      </c>
      <c r="H201" s="115">
        <v>3.31</v>
      </c>
      <c r="I201" s="115">
        <v>5.61</v>
      </c>
      <c r="J201" s="115">
        <v>194.47</v>
      </c>
      <c r="K201" s="116">
        <v>1.8100000000000002E-2</v>
      </c>
      <c r="L201" s="133" t="s">
        <v>1235</v>
      </c>
      <c r="M201" s="115" t="s">
        <v>1236</v>
      </c>
      <c r="N201" s="133" t="s">
        <v>1235</v>
      </c>
      <c r="O201" s="115">
        <v>3.93</v>
      </c>
      <c r="P201" s="115">
        <v>7.29</v>
      </c>
      <c r="Q201" s="116">
        <v>8.0000000000000002E-3</v>
      </c>
      <c r="R201" s="116">
        <v>4.1000000000000003E-3</v>
      </c>
      <c r="S201" s="117">
        <v>45246</v>
      </c>
      <c r="T201" s="115">
        <v>3.8959999999999999</v>
      </c>
      <c r="U201" s="116">
        <v>-0.13919999999999999</v>
      </c>
      <c r="V201" s="116">
        <v>-0.1434</v>
      </c>
      <c r="W201" s="133" t="s">
        <v>1235</v>
      </c>
      <c r="X201" s="115">
        <v>702.27</v>
      </c>
      <c r="Y201" s="133" t="s">
        <v>1237</v>
      </c>
      <c r="Z201" s="127">
        <f t="shared" si="3"/>
        <v>199.80700000000002</v>
      </c>
    </row>
    <row r="202" spans="1:26" ht="17" customHeight="1">
      <c r="A202" s="133">
        <v>132007</v>
      </c>
      <c r="B202" s="115" t="s">
        <v>1670</v>
      </c>
      <c r="C202" s="115">
        <v>100.31</v>
      </c>
      <c r="D202" s="124">
        <v>-4.0000000000000002E-4</v>
      </c>
      <c r="E202" s="133" t="s">
        <v>1671</v>
      </c>
      <c r="F202" s="115">
        <v>7.43</v>
      </c>
      <c r="G202" s="124">
        <v>-4.0000000000000001E-3</v>
      </c>
      <c r="H202" s="115">
        <v>1.38</v>
      </c>
      <c r="I202" s="115">
        <v>14.8</v>
      </c>
      <c r="J202" s="115">
        <v>50.2</v>
      </c>
      <c r="K202" s="116">
        <v>1.0013000000000001</v>
      </c>
      <c r="L202" s="133" t="s">
        <v>1235</v>
      </c>
      <c r="M202" s="115" t="s">
        <v>1292</v>
      </c>
      <c r="N202" s="133" t="s">
        <v>1235</v>
      </c>
      <c r="O202" s="115">
        <v>11.84</v>
      </c>
      <c r="P202" s="115">
        <v>19.239999999999998</v>
      </c>
      <c r="Q202" s="116">
        <v>0.26400000000000001</v>
      </c>
      <c r="R202" s="116">
        <v>0.21990000000000001</v>
      </c>
      <c r="S202" s="117">
        <v>44500</v>
      </c>
      <c r="T202" s="115">
        <v>1.8520000000000001</v>
      </c>
      <c r="U202" s="116">
        <v>3.4799999999999998E-2</v>
      </c>
      <c r="V202" s="116">
        <v>2.7400000000000001E-2</v>
      </c>
      <c r="W202" s="133" t="s">
        <v>1235</v>
      </c>
      <c r="X202" s="115">
        <v>875.87</v>
      </c>
      <c r="Y202" s="133" t="s">
        <v>1237</v>
      </c>
      <c r="Z202" s="127">
        <f t="shared" si="3"/>
        <v>200.44</v>
      </c>
    </row>
    <row r="203" spans="1:26" ht="17" customHeight="1">
      <c r="A203" s="133">
        <v>128037</v>
      </c>
      <c r="B203" s="115" t="s">
        <v>1672</v>
      </c>
      <c r="C203" s="115">
        <v>95.89</v>
      </c>
      <c r="D203" s="124">
        <v>-2.3E-3</v>
      </c>
      <c r="E203" s="133" t="s">
        <v>1673</v>
      </c>
      <c r="F203" s="115">
        <v>3.73</v>
      </c>
      <c r="G203" s="124">
        <v>-1.06E-2</v>
      </c>
      <c r="H203" s="115">
        <v>1.68</v>
      </c>
      <c r="I203" s="115">
        <v>8.01</v>
      </c>
      <c r="J203" s="115">
        <v>46.57</v>
      </c>
      <c r="K203" s="116">
        <v>1.0590999999999999</v>
      </c>
      <c r="L203" s="133" t="s">
        <v>1235</v>
      </c>
      <c r="M203" s="115" t="s">
        <v>1236</v>
      </c>
      <c r="N203" s="133" t="s">
        <v>1235</v>
      </c>
      <c r="O203" s="115">
        <v>5.61</v>
      </c>
      <c r="P203" s="115">
        <v>10.41</v>
      </c>
      <c r="Q203" s="116">
        <v>0.09</v>
      </c>
      <c r="R203" s="116">
        <v>0.1356</v>
      </c>
      <c r="S203" s="117">
        <v>45366</v>
      </c>
      <c r="T203" s="115">
        <v>4.2249999999999996</v>
      </c>
      <c r="U203" s="116">
        <v>4.0099999999999997E-2</v>
      </c>
      <c r="V203" s="116">
        <v>3.4200000000000001E-2</v>
      </c>
      <c r="W203" s="133" t="s">
        <v>1235</v>
      </c>
      <c r="X203" s="115">
        <v>198.41</v>
      </c>
      <c r="Y203" s="133" t="s">
        <v>1237</v>
      </c>
      <c r="Z203" s="127">
        <f t="shared" si="3"/>
        <v>201.8</v>
      </c>
    </row>
    <row r="204" spans="1:26" ht="17" customHeight="1">
      <c r="A204" s="133">
        <v>132008</v>
      </c>
      <c r="B204" s="115" t="s">
        <v>1674</v>
      </c>
      <c r="C204" s="115">
        <v>101.45</v>
      </c>
      <c r="D204" s="116">
        <v>0</v>
      </c>
      <c r="E204" s="133" t="s">
        <v>1675</v>
      </c>
      <c r="F204" s="115">
        <v>4.8099999999999996</v>
      </c>
      <c r="G204" s="116">
        <v>0</v>
      </c>
      <c r="H204" s="115">
        <v>0.82</v>
      </c>
      <c r="I204" s="115">
        <v>9.4</v>
      </c>
      <c r="J204" s="115">
        <v>51.17</v>
      </c>
      <c r="K204" s="116">
        <v>1.0049999999999999</v>
      </c>
      <c r="L204" s="133" t="s">
        <v>1235</v>
      </c>
      <c r="M204" s="115" t="s">
        <v>1292</v>
      </c>
      <c r="N204" s="133" t="s">
        <v>1235</v>
      </c>
      <c r="O204" s="115">
        <v>6.58</v>
      </c>
      <c r="P204" s="115">
        <v>12.22</v>
      </c>
      <c r="Q204" s="116">
        <v>0.108</v>
      </c>
      <c r="R204" s="116">
        <v>0.1804</v>
      </c>
      <c r="S204" s="117">
        <v>44675</v>
      </c>
      <c r="T204" s="115">
        <v>2.3319999999999999</v>
      </c>
      <c r="U204" s="116">
        <v>3.5499999999999997E-2</v>
      </c>
      <c r="V204" s="116">
        <v>2.63E-2</v>
      </c>
      <c r="W204" s="133" t="s">
        <v>1235</v>
      </c>
      <c r="X204" s="115">
        <v>585.61</v>
      </c>
      <c r="Y204" s="133" t="s">
        <v>1237</v>
      </c>
      <c r="Z204" s="127">
        <f t="shared" si="3"/>
        <v>201.95</v>
      </c>
    </row>
    <row r="205" spans="1:26" ht="17" customHeight="1">
      <c r="A205" s="133">
        <v>128062</v>
      </c>
      <c r="B205" s="115" t="s">
        <v>1676</v>
      </c>
      <c r="C205" s="115">
        <v>89.29</v>
      </c>
      <c r="D205" s="124">
        <v>-1.38E-2</v>
      </c>
      <c r="E205" s="133" t="s">
        <v>1677</v>
      </c>
      <c r="F205" s="115">
        <v>6.5</v>
      </c>
      <c r="G205" s="124">
        <v>-5.2499999999999998E-2</v>
      </c>
      <c r="H205" s="115">
        <v>1.29</v>
      </c>
      <c r="I205" s="115">
        <v>16.25</v>
      </c>
      <c r="J205" s="115">
        <v>40</v>
      </c>
      <c r="K205" s="116">
        <v>1.2323</v>
      </c>
      <c r="L205" s="133" t="s">
        <v>1235</v>
      </c>
      <c r="M205" s="115" t="s">
        <v>1236</v>
      </c>
      <c r="N205" s="133" t="s">
        <v>1235</v>
      </c>
      <c r="O205" s="115">
        <v>11.38</v>
      </c>
      <c r="P205" s="115">
        <v>21.12</v>
      </c>
      <c r="Q205" s="116">
        <v>0.27700000000000002</v>
      </c>
      <c r="R205" s="116">
        <v>8.0999999999999996E-3</v>
      </c>
      <c r="S205" s="117">
        <v>45749</v>
      </c>
      <c r="T205" s="115">
        <v>5.274</v>
      </c>
      <c r="U205" s="116">
        <v>5.8999999999999997E-2</v>
      </c>
      <c r="V205" s="116">
        <v>5.1799999999999999E-2</v>
      </c>
      <c r="W205" s="133" t="s">
        <v>1235</v>
      </c>
      <c r="X205" s="115">
        <v>1816.09</v>
      </c>
      <c r="Y205" s="133" t="s">
        <v>1237</v>
      </c>
      <c r="Z205" s="127">
        <f t="shared" si="3"/>
        <v>212.51999999999998</v>
      </c>
    </row>
    <row r="206" spans="1:26" ht="17" customHeight="1">
      <c r="A206" s="133">
        <v>128043</v>
      </c>
      <c r="B206" s="115" t="s">
        <v>1678</v>
      </c>
      <c r="C206" s="115">
        <v>223.36</v>
      </c>
      <c r="D206" s="125">
        <v>1.0699999999999999E-2</v>
      </c>
      <c r="E206" s="133" t="s">
        <v>1679</v>
      </c>
      <c r="F206" s="115">
        <v>14.33</v>
      </c>
      <c r="G206" s="124">
        <v>-4.8999999999999998E-3</v>
      </c>
      <c r="H206" s="115">
        <v>5.17</v>
      </c>
      <c r="I206" s="123" t="s">
        <v>1680</v>
      </c>
      <c r="J206" s="115">
        <v>218.78</v>
      </c>
      <c r="K206" s="116">
        <v>2.0899999999999998E-2</v>
      </c>
      <c r="L206" s="133" t="s">
        <v>1235</v>
      </c>
      <c r="M206" s="115" t="s">
        <v>1247</v>
      </c>
      <c r="N206" s="133" t="s">
        <v>1235</v>
      </c>
      <c r="O206" s="115">
        <v>4.58</v>
      </c>
      <c r="P206" s="115">
        <v>8.52</v>
      </c>
      <c r="Q206" s="116">
        <v>0.03</v>
      </c>
      <c r="R206" s="116">
        <v>1.6199999999999999E-2</v>
      </c>
      <c r="S206" s="117">
        <v>45506</v>
      </c>
      <c r="T206" s="115">
        <v>4.6079999999999997</v>
      </c>
      <c r="U206" s="116">
        <v>-0.1361</v>
      </c>
      <c r="V206" s="116">
        <v>-0.14069999999999999</v>
      </c>
      <c r="W206" s="133" t="s">
        <v>1235</v>
      </c>
      <c r="X206" s="115">
        <v>3370.81</v>
      </c>
      <c r="Y206" s="133" t="s">
        <v>1237</v>
      </c>
      <c r="Z206" s="127">
        <f t="shared" si="3"/>
        <v>225.45000000000002</v>
      </c>
    </row>
    <row r="207" spans="1:26" ht="17" customHeight="1">
      <c r="A207" s="133">
        <v>110031</v>
      </c>
      <c r="B207" s="115" t="s">
        <v>1681</v>
      </c>
      <c r="C207" s="115">
        <v>115.99</v>
      </c>
      <c r="D207" s="125">
        <v>1.1000000000000001E-3</v>
      </c>
      <c r="E207" s="133" t="s">
        <v>1682</v>
      </c>
      <c r="F207" s="115">
        <v>21.72</v>
      </c>
      <c r="G207" s="125">
        <v>8.9999999999999998E-4</v>
      </c>
      <c r="H207" s="115">
        <v>3.5</v>
      </c>
      <c r="I207" s="123">
        <v>41.94</v>
      </c>
      <c r="J207" s="115">
        <v>51.79</v>
      </c>
      <c r="K207" s="116">
        <v>1.2396</v>
      </c>
      <c r="L207" s="133" t="s">
        <v>1235</v>
      </c>
      <c r="M207" s="115" t="s">
        <v>1292</v>
      </c>
      <c r="N207" s="133" t="s">
        <v>1235</v>
      </c>
      <c r="O207" s="115">
        <v>29.36</v>
      </c>
      <c r="P207" s="115">
        <v>54.52</v>
      </c>
      <c r="Q207" s="116">
        <v>5.8999999999999997E-2</v>
      </c>
      <c r="R207" s="116">
        <v>0.183</v>
      </c>
      <c r="S207" s="117">
        <v>44359</v>
      </c>
      <c r="T207" s="115">
        <v>1.466</v>
      </c>
      <c r="U207" s="116">
        <v>-4.4900000000000002E-2</v>
      </c>
      <c r="V207" s="116">
        <v>-5.5100000000000003E-2</v>
      </c>
      <c r="W207" s="133" t="s">
        <v>1235</v>
      </c>
      <c r="X207" s="115">
        <v>108.88</v>
      </c>
      <c r="Y207" s="133" t="s">
        <v>1237</v>
      </c>
      <c r="Z207" s="127">
        <f t="shared" si="3"/>
        <v>239.95</v>
      </c>
    </row>
    <row r="208" spans="1:26" ht="17" customHeight="1">
      <c r="A208" s="133">
        <v>128013</v>
      </c>
      <c r="B208" s="115" t="s">
        <v>1683</v>
      </c>
      <c r="C208" s="115">
        <v>96.697999999999993</v>
      </c>
      <c r="D208" s="116">
        <v>0</v>
      </c>
      <c r="E208" s="133" t="s">
        <v>1684</v>
      </c>
      <c r="F208" s="115">
        <v>3.17</v>
      </c>
      <c r="G208" s="124">
        <v>-9.4000000000000004E-3</v>
      </c>
      <c r="H208" s="115">
        <v>1.2</v>
      </c>
      <c r="I208" s="123" t="s">
        <v>1685</v>
      </c>
      <c r="J208" s="115">
        <v>39.619999999999997</v>
      </c>
      <c r="K208" s="116">
        <v>1.4406000000000001</v>
      </c>
      <c r="L208" s="133" t="s">
        <v>1235</v>
      </c>
      <c r="M208" s="115" t="s">
        <v>1236</v>
      </c>
      <c r="N208" s="133" t="s">
        <v>1235</v>
      </c>
      <c r="O208" s="115">
        <v>5.6</v>
      </c>
      <c r="P208" s="115">
        <v>10.4</v>
      </c>
      <c r="Q208" s="116">
        <v>0.30299999999999999</v>
      </c>
      <c r="R208" s="116">
        <v>0.19520000000000001</v>
      </c>
      <c r="S208" s="117">
        <v>44771</v>
      </c>
      <c r="T208" s="115">
        <v>2.5950000000000002</v>
      </c>
      <c r="U208" s="116">
        <v>5.67E-2</v>
      </c>
      <c r="V208" s="116">
        <v>4.8099999999999997E-2</v>
      </c>
      <c r="W208" s="133" t="s">
        <v>1235</v>
      </c>
      <c r="X208" s="115">
        <v>948.94</v>
      </c>
      <c r="Y208" s="133" t="s">
        <v>1237</v>
      </c>
      <c r="Z208" s="127">
        <f t="shared" si="3"/>
        <v>240.75799999999998</v>
      </c>
    </row>
    <row r="209" spans="1:26" ht="17" customHeight="1">
      <c r="A209" s="133">
        <v>128010</v>
      </c>
      <c r="B209" s="115" t="s">
        <v>1686</v>
      </c>
      <c r="C209" s="115">
        <v>104.88</v>
      </c>
      <c r="D209" s="125">
        <v>4.4000000000000003E-3</v>
      </c>
      <c r="E209" s="133" t="s">
        <v>1687</v>
      </c>
      <c r="F209" s="115">
        <v>4.01</v>
      </c>
      <c r="G209" s="125">
        <v>1.52E-2</v>
      </c>
      <c r="H209" s="115">
        <v>1.89</v>
      </c>
      <c r="I209" s="115">
        <v>9.26</v>
      </c>
      <c r="J209" s="115">
        <v>43.3</v>
      </c>
      <c r="K209" s="116">
        <v>1.4221999999999999</v>
      </c>
      <c r="L209" s="133" t="s">
        <v>1235</v>
      </c>
      <c r="M209" s="115" t="s">
        <v>1236</v>
      </c>
      <c r="N209" s="133" t="s">
        <v>1235</v>
      </c>
      <c r="O209" s="115">
        <v>6.48</v>
      </c>
      <c r="P209" s="115">
        <v>12.04</v>
      </c>
      <c r="Q209" s="116">
        <v>0.129</v>
      </c>
      <c r="R209" s="116">
        <v>0.25650000000000001</v>
      </c>
      <c r="S209" s="117">
        <v>44583</v>
      </c>
      <c r="T209" s="115">
        <v>2.0790000000000002</v>
      </c>
      <c r="U209" s="116">
        <v>2.92E-2</v>
      </c>
      <c r="V209" s="116">
        <v>1.89E-2</v>
      </c>
      <c r="W209" s="133" t="s">
        <v>1235</v>
      </c>
      <c r="X209" s="115">
        <v>363.4</v>
      </c>
      <c r="Y209" s="133" t="s">
        <v>1237</v>
      </c>
      <c r="Z209" s="127">
        <f t="shared" si="3"/>
        <v>247.1</v>
      </c>
    </row>
    <row r="210" spans="1:26" ht="17" customHeight="1">
      <c r="A210" s="133">
        <v>132011</v>
      </c>
      <c r="B210" s="115" t="s">
        <v>1688</v>
      </c>
      <c r="C210" s="115">
        <v>96</v>
      </c>
      <c r="D210" s="124">
        <v>-1.9E-3</v>
      </c>
      <c r="E210" s="133" t="s">
        <v>1689</v>
      </c>
      <c r="F210" s="115">
        <v>8.99</v>
      </c>
      <c r="G210" s="125">
        <v>3.3E-3</v>
      </c>
      <c r="H210" s="115">
        <v>1.48</v>
      </c>
      <c r="I210" s="115">
        <v>24.18</v>
      </c>
      <c r="J210" s="115">
        <v>37.18</v>
      </c>
      <c r="K210" s="116">
        <v>1.5916999999999999</v>
      </c>
      <c r="L210" s="133" t="s">
        <v>1235</v>
      </c>
      <c r="M210" s="115" t="s">
        <v>1292</v>
      </c>
      <c r="N210" s="133" t="s">
        <v>1235</v>
      </c>
      <c r="O210" s="115">
        <v>16.93</v>
      </c>
      <c r="P210" s="115">
        <v>31.43</v>
      </c>
      <c r="Q210" s="116">
        <v>0.20499999999999999</v>
      </c>
      <c r="R210" s="116">
        <v>0.22589999999999999</v>
      </c>
      <c r="S210" s="117">
        <v>44790</v>
      </c>
      <c r="T210" s="115">
        <v>2.6469999999999998</v>
      </c>
      <c r="U210" s="116">
        <v>3.7100000000000001E-2</v>
      </c>
      <c r="V210" s="116">
        <v>3.2500000000000001E-2</v>
      </c>
      <c r="W210" s="133" t="s">
        <v>1235</v>
      </c>
      <c r="X210" s="115">
        <v>118.87</v>
      </c>
      <c r="Y210" s="133" t="s">
        <v>1237</v>
      </c>
      <c r="Z210" s="127">
        <f t="shared" si="3"/>
        <v>255.17</v>
      </c>
    </row>
    <row r="211" spans="1:26" ht="17" customHeight="1">
      <c r="A211" s="133">
        <v>128012</v>
      </c>
      <c r="B211" s="115" t="s">
        <v>1690</v>
      </c>
      <c r="C211" s="115">
        <v>99</v>
      </c>
      <c r="D211" s="125">
        <v>5.0000000000000001E-4</v>
      </c>
      <c r="E211" s="133" t="s">
        <v>1691</v>
      </c>
      <c r="F211" s="115">
        <v>2.83</v>
      </c>
      <c r="G211" s="125">
        <v>3.5000000000000001E-3</v>
      </c>
      <c r="H211" s="115">
        <v>1.44</v>
      </c>
      <c r="I211" s="115">
        <v>7.71</v>
      </c>
      <c r="J211" s="115">
        <v>36.71</v>
      </c>
      <c r="K211" s="116">
        <v>1.6968000000000001</v>
      </c>
      <c r="L211" s="133" t="s">
        <v>1235</v>
      </c>
      <c r="M211" s="115" t="s">
        <v>1240</v>
      </c>
      <c r="N211" s="133" t="s">
        <v>1235</v>
      </c>
      <c r="O211" s="115">
        <v>5.4</v>
      </c>
      <c r="P211" s="115">
        <v>10.02</v>
      </c>
      <c r="Q211" s="116">
        <v>0.19800000000000001</v>
      </c>
      <c r="R211" s="116">
        <v>4.9500000000000002E-2</v>
      </c>
      <c r="S211" s="117">
        <v>44672</v>
      </c>
      <c r="T211" s="115">
        <v>2.323</v>
      </c>
      <c r="U211" s="116">
        <v>2.86E-2</v>
      </c>
      <c r="V211" s="116">
        <v>2.3800000000000002E-2</v>
      </c>
      <c r="W211" s="133" t="s">
        <v>1235</v>
      </c>
      <c r="X211" s="115">
        <v>211.1</v>
      </c>
      <c r="Y211" s="133" t="s">
        <v>1237</v>
      </c>
    </row>
  </sheetData>
  <autoFilter ref="A2:AA2" xr:uid="{00000000-0009-0000-0000-00000B000000}">
    <sortState xmlns:xlrd2="http://schemas.microsoft.com/office/spreadsheetml/2017/richdata2" ref="A4:Z211">
      <sortCondition ref="Z2:Z211"/>
    </sortState>
  </autoFilter>
  <mergeCells count="12">
    <mergeCell ref="Y1:Y2"/>
    <mergeCell ref="A1:A2"/>
    <mergeCell ref="B1:B2"/>
    <mergeCell ref="C1:C2"/>
    <mergeCell ref="D1:D2"/>
    <mergeCell ref="E1:E2"/>
    <mergeCell ref="F1:F2"/>
    <mergeCell ref="H1:H2"/>
    <mergeCell ref="I1:I2"/>
    <mergeCell ref="K1:K2"/>
    <mergeCell ref="M1:M2"/>
    <mergeCell ref="S1:S2"/>
  </mergeCells>
  <hyperlinks>
    <hyperlink ref="A3" r:id="rId1" display="https://www.jisilu.cn/data/convert_bond_detail/113534" xr:uid="{00000000-0004-0000-0B00-000000000000}"/>
    <hyperlink ref="E3" r:id="rId2" display="https://www.jisilu.cn/data/stock/603876" xr:uid="{00000000-0004-0000-0B00-000001000000}"/>
    <hyperlink ref="L3" r:id="rId3" tooltip="收费数据，点击购买转债增强数据" display="https://www.jisilu.cn/question/95518" xr:uid="{00000000-0004-0000-0B00-000002000000}"/>
    <hyperlink ref="N3" r:id="rId4" tooltip="收费数据，点击购买转债增强数据" display="https://www.jisilu.cn/question/95518" xr:uid="{00000000-0004-0000-0B00-000003000000}"/>
    <hyperlink ref="W3" r:id="rId5" tooltip="收费数据，点击购买转债增强数据" display="https://www.jisilu.cn/question/95518" xr:uid="{00000000-0004-0000-0B00-000004000000}"/>
    <hyperlink ref="Y3" r:id="rId6" tooltip="加【鼎胜转债】为自选转债" display="javascript:addOwnedConvertBond('113534');" xr:uid="{00000000-0004-0000-0B00-000005000000}"/>
    <hyperlink ref="A4" r:id="rId7" display="https://www.jisilu.cn/data/convert_bond_detail/123034" xr:uid="{00000000-0004-0000-0B00-000006000000}"/>
    <hyperlink ref="E4" r:id="rId8" display="https://www.jisilu.cn/data/stock/300265" xr:uid="{00000000-0004-0000-0B00-000007000000}"/>
    <hyperlink ref="L4" r:id="rId9" tooltip="收费数据，点击购买转债增强数据" display="https://www.jisilu.cn/question/95518" xr:uid="{00000000-0004-0000-0B00-000008000000}"/>
    <hyperlink ref="N4" r:id="rId10" tooltip="收费数据，点击购买转债增强数据" display="https://www.jisilu.cn/question/95518" xr:uid="{00000000-0004-0000-0B00-000009000000}"/>
    <hyperlink ref="W4" r:id="rId11" tooltip="收费数据，点击购买转债增强数据" display="https://www.jisilu.cn/question/95518" xr:uid="{00000000-0004-0000-0B00-00000A000000}"/>
    <hyperlink ref="Y4" r:id="rId12" tooltip="将【通光转债】从自选中删除" display="javascript:delOwnedConvertBond('123034');" xr:uid="{00000000-0004-0000-0B00-00000B000000}"/>
    <hyperlink ref="A5" r:id="rId13" display="https://www.jisilu.cn/data/convert_bond_detail/113546" xr:uid="{00000000-0004-0000-0B00-00000C000000}"/>
    <hyperlink ref="E5" r:id="rId14" display="https://www.jisilu.cn/data/stock/603320" xr:uid="{00000000-0004-0000-0B00-00000D000000}"/>
    <hyperlink ref="L5" r:id="rId15" tooltip="收费数据，点击购买转债增强数据" display="https://www.jisilu.cn/question/95518" xr:uid="{00000000-0004-0000-0B00-00000E000000}"/>
    <hyperlink ref="N5" r:id="rId16" tooltip="收费数据，点击购买转债增强数据" display="https://www.jisilu.cn/question/95518" xr:uid="{00000000-0004-0000-0B00-00000F000000}"/>
    <hyperlink ref="W5" r:id="rId17" tooltip="收费数据，点击购买转债增强数据" display="https://www.jisilu.cn/question/95518" xr:uid="{00000000-0004-0000-0B00-000010000000}"/>
    <hyperlink ref="Y5" r:id="rId18" tooltip="加【迪贝转债】为自选转债" display="javascript:addOwnedConvertBond('113546');" xr:uid="{00000000-0004-0000-0B00-000011000000}"/>
    <hyperlink ref="A6" r:id="rId19" display="https://www.jisilu.cn/data/convert_bond_detail/128076" xr:uid="{00000000-0004-0000-0B00-000012000000}"/>
    <hyperlink ref="E6" r:id="rId20" display="https://www.jisilu.cn/data/stock/002722" xr:uid="{00000000-0004-0000-0B00-000013000000}"/>
    <hyperlink ref="L6" r:id="rId21" tooltip="收费数据，点击购买转债增强数据" display="https://www.jisilu.cn/question/95518" xr:uid="{00000000-0004-0000-0B00-000014000000}"/>
    <hyperlink ref="N6" r:id="rId22" tooltip="收费数据，点击购买转债增强数据" display="https://www.jisilu.cn/question/95518" xr:uid="{00000000-0004-0000-0B00-000015000000}"/>
    <hyperlink ref="W6" r:id="rId23" tooltip="收费数据，点击购买转债增强数据" display="https://www.jisilu.cn/question/95518" xr:uid="{00000000-0004-0000-0B00-000016000000}"/>
    <hyperlink ref="Y6" r:id="rId24" tooltip="将【金轮转债】从自选中删除" display="javascript:delOwnedConvertBond('128076');" xr:uid="{00000000-0004-0000-0B00-000017000000}"/>
    <hyperlink ref="A7" r:id="rId25" display="https://www.jisilu.cn/data/convert_bond_detail/128049" xr:uid="{00000000-0004-0000-0B00-000018000000}"/>
    <hyperlink ref="E7" r:id="rId26" display="https://www.jisilu.cn/data/stock/002787" xr:uid="{00000000-0004-0000-0B00-000019000000}"/>
    <hyperlink ref="L7" r:id="rId27" tooltip="收费数据，点击购买转债增强数据" display="https://www.jisilu.cn/question/95518" xr:uid="{00000000-0004-0000-0B00-00001A000000}"/>
    <hyperlink ref="N7" r:id="rId28" tooltip="收费数据，点击购买转债增强数据" display="https://www.jisilu.cn/question/95518" xr:uid="{00000000-0004-0000-0B00-00001B000000}"/>
    <hyperlink ref="W7" r:id="rId29" tooltip="收费数据，点击购买转债增强数据" display="https://www.jisilu.cn/question/95518" xr:uid="{00000000-0004-0000-0B00-00001C000000}"/>
    <hyperlink ref="Y7" r:id="rId30" tooltip="将【华源转债】从自选中删除" display="javascript:delOwnedConvertBond('128049');" xr:uid="{00000000-0004-0000-0B00-00001D000000}"/>
    <hyperlink ref="A8" r:id="rId31" display="https://www.jisilu.cn/data/convert_bond_detail/113549" xr:uid="{00000000-0004-0000-0B00-00001E000000}"/>
    <hyperlink ref="E8" r:id="rId32" display="https://www.jisilu.cn/data/stock/603861" xr:uid="{00000000-0004-0000-0B00-00001F000000}"/>
    <hyperlink ref="L8" r:id="rId33" tooltip="收费数据，点击购买转债增强数据" display="https://www.jisilu.cn/question/95518" xr:uid="{00000000-0004-0000-0B00-000020000000}"/>
    <hyperlink ref="N8" r:id="rId34" tooltip="收费数据，点击购买转债增强数据" display="https://www.jisilu.cn/question/95518" xr:uid="{00000000-0004-0000-0B00-000021000000}"/>
    <hyperlink ref="W8" r:id="rId35" tooltip="收费数据，点击购买转债增强数据" display="https://www.jisilu.cn/question/95518" xr:uid="{00000000-0004-0000-0B00-000022000000}"/>
    <hyperlink ref="Y8" r:id="rId36" tooltip="将【白电转债】从自选中删除" display="javascript:delOwnedConvertBond('113549');" xr:uid="{00000000-0004-0000-0B00-000023000000}"/>
    <hyperlink ref="A9" r:id="rId37" display="https://www.jisilu.cn/data/convert_bond_detail/113536" xr:uid="{00000000-0004-0000-0B00-000024000000}"/>
    <hyperlink ref="E9" r:id="rId38" display="https://www.jisilu.cn/data/stock/603578" xr:uid="{00000000-0004-0000-0B00-000025000000}"/>
    <hyperlink ref="L9" r:id="rId39" tooltip="收费数据，点击购买转债增强数据" display="https://www.jisilu.cn/question/95518" xr:uid="{00000000-0004-0000-0B00-000026000000}"/>
    <hyperlink ref="N9" r:id="rId40" tooltip="收费数据，点击购买转债增强数据" display="https://www.jisilu.cn/question/95518" xr:uid="{00000000-0004-0000-0B00-000027000000}"/>
    <hyperlink ref="W9" r:id="rId41" tooltip="收费数据，点击购买转债增强数据" display="https://www.jisilu.cn/question/95518" xr:uid="{00000000-0004-0000-0B00-000028000000}"/>
    <hyperlink ref="Y9" r:id="rId42" tooltip="将【三星转债】从自选中删除" display="javascript:delOwnedConvertBond('113536');" xr:uid="{00000000-0004-0000-0B00-000029000000}"/>
    <hyperlink ref="A10" r:id="rId43" display="https://www.jisilu.cn/data/convert_bond_detail/128066" xr:uid="{00000000-0004-0000-0B00-00002A000000}"/>
    <hyperlink ref="E10" r:id="rId44" display="https://www.jisilu.cn/data/stock/002811" xr:uid="{00000000-0004-0000-0B00-00002B000000}"/>
    <hyperlink ref="L10" r:id="rId45" tooltip="收费数据，点击购买转债增强数据" display="https://www.jisilu.cn/question/95518" xr:uid="{00000000-0004-0000-0B00-00002C000000}"/>
    <hyperlink ref="N10" r:id="rId46" tooltip="收费数据，点击购买转债增强数据" display="https://www.jisilu.cn/question/95518" xr:uid="{00000000-0004-0000-0B00-00002D000000}"/>
    <hyperlink ref="W10" r:id="rId47" tooltip="收费数据，点击购买转债增强数据" display="https://www.jisilu.cn/question/95518" xr:uid="{00000000-0004-0000-0B00-00002E000000}"/>
    <hyperlink ref="Y10" r:id="rId48" tooltip="将【亚泰转债】从自选中删除" display="javascript:delOwnedConvertBond('128066');" xr:uid="{00000000-0004-0000-0B00-00002F000000}"/>
    <hyperlink ref="A11" r:id="rId49" display="https://www.jisilu.cn/data/convert_bond_detail/128025" xr:uid="{00000000-0004-0000-0B00-000030000000}"/>
    <hyperlink ref="E11" r:id="rId50" display="https://www.jisilu.cn/data/stock/002728" xr:uid="{00000000-0004-0000-0B00-000031000000}"/>
    <hyperlink ref="L11" r:id="rId51" tooltip="收费数据，点击购买转债增强数据" display="https://www.jisilu.cn/question/95518" xr:uid="{00000000-0004-0000-0B00-000032000000}"/>
    <hyperlink ref="N11" r:id="rId52" tooltip="收费数据，点击购买转债增强数据" display="https://www.jisilu.cn/question/95518" xr:uid="{00000000-0004-0000-0B00-000033000000}"/>
    <hyperlink ref="W11" r:id="rId53" tooltip="收费数据，点击购买转债增强数据" display="https://www.jisilu.cn/question/95518" xr:uid="{00000000-0004-0000-0B00-000034000000}"/>
    <hyperlink ref="Y11" r:id="rId54" tooltip="将【特一转债】从自选中删除" display="javascript:delOwnedConvertBond('128025');" xr:uid="{00000000-0004-0000-0B00-000035000000}"/>
    <hyperlink ref="A12" r:id="rId55" display="https://www.jisilu.cn/data/convert_bond_detail/123030" xr:uid="{00000000-0004-0000-0B00-000036000000}"/>
    <hyperlink ref="E12" r:id="rId56" display="https://www.jisilu.cn/data/stock/300040" xr:uid="{00000000-0004-0000-0B00-000037000000}"/>
    <hyperlink ref="L12" r:id="rId57" tooltip="收费数据，点击购买转债增强数据" display="https://www.jisilu.cn/question/95518" xr:uid="{00000000-0004-0000-0B00-000038000000}"/>
    <hyperlink ref="N12" r:id="rId58" tooltip="收费数据，点击购买转债增强数据" display="https://www.jisilu.cn/question/95518" xr:uid="{00000000-0004-0000-0B00-000039000000}"/>
    <hyperlink ref="W12" r:id="rId59" tooltip="收费数据，点击购买转债增强数据" display="https://www.jisilu.cn/question/95518" xr:uid="{00000000-0004-0000-0B00-00003A000000}"/>
    <hyperlink ref="Y12" r:id="rId60" tooltip="加【九洲转债】为自选转债" display="javascript:addOwnedConvertBond('123030');" xr:uid="{00000000-0004-0000-0B00-00003B000000}"/>
    <hyperlink ref="A13" r:id="rId61" display="https://www.jisilu.cn/data/convert_bond_detail/128053" xr:uid="{00000000-0004-0000-0B00-00003C000000}"/>
    <hyperlink ref="E13" r:id="rId62" display="https://www.jisilu.cn/data/stock/002551" xr:uid="{00000000-0004-0000-0B00-00003D000000}"/>
    <hyperlink ref="L13" r:id="rId63" tooltip="收费数据，点击购买转债增强数据" display="https://www.jisilu.cn/question/95518" xr:uid="{00000000-0004-0000-0B00-00003E000000}"/>
    <hyperlink ref="N13" r:id="rId64" tooltip="收费数据，点击购买转债增强数据" display="https://www.jisilu.cn/question/95518" xr:uid="{00000000-0004-0000-0B00-00003F000000}"/>
    <hyperlink ref="W13" r:id="rId65" tooltip="收费数据，点击购买转债增强数据" display="https://www.jisilu.cn/question/95518" xr:uid="{00000000-0004-0000-0B00-000040000000}"/>
    <hyperlink ref="Y13" r:id="rId66" tooltip="加【尚荣转债】为自选转债" display="javascript:addOwnedConvertBond('128053');" xr:uid="{00000000-0004-0000-0B00-000041000000}"/>
    <hyperlink ref="A14" r:id="rId67" display="https://www.jisilu.cn/data/convert_bond_detail/123026" xr:uid="{00000000-0004-0000-0B00-000042000000}"/>
    <hyperlink ref="E14" r:id="rId68" display="https://www.jisilu.cn/data/stock/300692" xr:uid="{00000000-0004-0000-0B00-000043000000}"/>
    <hyperlink ref="L14" r:id="rId69" tooltip="收费数据，点击购买转债增强数据" display="https://www.jisilu.cn/question/95518" xr:uid="{00000000-0004-0000-0B00-000044000000}"/>
    <hyperlink ref="N14" r:id="rId70" tooltip="收费数据，点击购买转债增强数据" display="https://www.jisilu.cn/question/95518" xr:uid="{00000000-0004-0000-0B00-000045000000}"/>
    <hyperlink ref="W14" r:id="rId71" tooltip="收费数据，点击购买转债增强数据" display="https://www.jisilu.cn/question/95518" xr:uid="{00000000-0004-0000-0B00-000046000000}"/>
    <hyperlink ref="Y14" r:id="rId72" tooltip="加【中环转债】为自选转债" display="javascript:addOwnedConvertBond('123026');" xr:uid="{00000000-0004-0000-0B00-000047000000}"/>
    <hyperlink ref="A15" r:id="rId73" display="https://www.jisilu.cn/data/convert_bond_detail/110058" xr:uid="{00000000-0004-0000-0B00-000048000000}"/>
    <hyperlink ref="E15" r:id="rId74" display="https://www.jisilu.cn/data/stock/600105" xr:uid="{00000000-0004-0000-0B00-000049000000}"/>
    <hyperlink ref="L15" r:id="rId75" tooltip="收费数据，点击购买转债增强数据" display="https://www.jisilu.cn/question/95518" xr:uid="{00000000-0004-0000-0B00-00004A000000}"/>
    <hyperlink ref="N15" r:id="rId76" tooltip="收费数据，点击购买转债增强数据" display="https://www.jisilu.cn/question/95518" xr:uid="{00000000-0004-0000-0B00-00004B000000}"/>
    <hyperlink ref="W15" r:id="rId77" tooltip="收费数据，点击购买转债增强数据" display="https://www.jisilu.cn/question/95518" xr:uid="{00000000-0004-0000-0B00-00004C000000}"/>
    <hyperlink ref="Y15" r:id="rId78" tooltip="将【永鼎转债】从自选中删除" display="javascript:delOwnedConvertBond('110058');" xr:uid="{00000000-0004-0000-0B00-00004D000000}"/>
    <hyperlink ref="A16" r:id="rId79" display="https://www.jisilu.cn/data/convert_bond_detail/128079" xr:uid="{00000000-0004-0000-0B00-00004E000000}"/>
    <hyperlink ref="E16" r:id="rId80" display="https://www.jisilu.cn/data/stock/002846" xr:uid="{00000000-0004-0000-0B00-00004F000000}"/>
    <hyperlink ref="L16" r:id="rId81" tooltip="收费数据，点击购买转债增强数据" display="https://www.jisilu.cn/question/95518" xr:uid="{00000000-0004-0000-0B00-000050000000}"/>
    <hyperlink ref="N16" r:id="rId82" tooltip="收费数据，点击购买转债增强数据" display="https://www.jisilu.cn/question/95518" xr:uid="{00000000-0004-0000-0B00-000051000000}"/>
    <hyperlink ref="W16" r:id="rId83" tooltip="收费数据，点击购买转债增强数据" display="https://www.jisilu.cn/question/95518" xr:uid="{00000000-0004-0000-0B00-000052000000}"/>
    <hyperlink ref="Y16" r:id="rId84" tooltip="将【英联转债】从自选中删除" display="javascript:delOwnedConvertBond('128079');" xr:uid="{00000000-0004-0000-0B00-000053000000}"/>
    <hyperlink ref="A17" r:id="rId85" display="https://www.jisilu.cn/data/convert_bond_detail/113514" xr:uid="{00000000-0004-0000-0B00-000054000000}"/>
    <hyperlink ref="E17" r:id="rId86" display="https://www.jisilu.cn/data/stock/603023" xr:uid="{00000000-0004-0000-0B00-000055000000}"/>
    <hyperlink ref="L17" r:id="rId87" tooltip="收费数据，点击购买转债增强数据" display="https://www.jisilu.cn/question/95518" xr:uid="{00000000-0004-0000-0B00-000056000000}"/>
    <hyperlink ref="N17" r:id="rId88" tooltip="收费数据，点击购买转债增强数据" display="https://www.jisilu.cn/question/95518" xr:uid="{00000000-0004-0000-0B00-000057000000}"/>
    <hyperlink ref="W17" r:id="rId89" tooltip="收费数据，点击购买转债增强数据" display="https://www.jisilu.cn/question/95518" xr:uid="{00000000-0004-0000-0B00-000058000000}"/>
    <hyperlink ref="Y17" r:id="rId90" tooltip="加【威帝转债】为自选转债" display="javascript:addOwnedConvertBond('113514');" xr:uid="{00000000-0004-0000-0B00-000059000000}"/>
    <hyperlink ref="A18" r:id="rId91" display="https://www.jisilu.cn/data/convert_bond_detail/128081" xr:uid="{00000000-0004-0000-0B00-00005A000000}"/>
    <hyperlink ref="E18" r:id="rId92" display="https://www.jisilu.cn/data/stock/002203" xr:uid="{00000000-0004-0000-0B00-00005B000000}"/>
    <hyperlink ref="L18" r:id="rId93" tooltip="收费数据，点击购买转债增强数据" display="https://www.jisilu.cn/question/95518" xr:uid="{00000000-0004-0000-0B00-00005C000000}"/>
    <hyperlink ref="N18" r:id="rId94" tooltip="收费数据，点击购买转债增强数据" display="https://www.jisilu.cn/question/95518" xr:uid="{00000000-0004-0000-0B00-00005D000000}"/>
    <hyperlink ref="W18" r:id="rId95" tooltip="收费数据，点击购买转债增强数据" display="https://www.jisilu.cn/question/95518" xr:uid="{00000000-0004-0000-0B00-00005E000000}"/>
    <hyperlink ref="Y18" r:id="rId96" tooltip="加【海亮转债】为自选转债" display="javascript:addOwnedConvertBond('128081');" xr:uid="{00000000-0004-0000-0B00-00005F000000}"/>
    <hyperlink ref="A19" r:id="rId97" display="https://www.jisilu.cn/data/convert_bond_detail/113541" xr:uid="{00000000-0004-0000-0B00-000060000000}"/>
    <hyperlink ref="E19" r:id="rId98" display="https://www.jisilu.cn/data/stock/603165" xr:uid="{00000000-0004-0000-0B00-000061000000}"/>
    <hyperlink ref="L19" r:id="rId99" tooltip="收费数据，点击购买转债增强数据" display="https://www.jisilu.cn/question/95518" xr:uid="{00000000-0004-0000-0B00-000062000000}"/>
    <hyperlink ref="N19" r:id="rId100" tooltip="收费数据，点击购买转债增强数据" display="https://www.jisilu.cn/question/95518" xr:uid="{00000000-0004-0000-0B00-000063000000}"/>
    <hyperlink ref="W19" r:id="rId101" tooltip="收费数据，点击购买转债增强数据" display="https://www.jisilu.cn/question/95518" xr:uid="{00000000-0004-0000-0B00-000064000000}"/>
    <hyperlink ref="Y19" r:id="rId102" tooltip="加【荣晟转债】为自选转债" display="javascript:addOwnedConvertBond('113541');" xr:uid="{00000000-0004-0000-0B00-000065000000}"/>
    <hyperlink ref="A20" r:id="rId103" display="https://www.jisilu.cn/data/convert_bond_detail/128070" xr:uid="{00000000-0004-0000-0B00-000066000000}"/>
    <hyperlink ref="E20" r:id="rId104" display="https://www.jisilu.cn/data/stock/002877" xr:uid="{00000000-0004-0000-0B00-000067000000}"/>
    <hyperlink ref="L20" r:id="rId105" tooltip="收费数据，点击购买转债增强数据" display="https://www.jisilu.cn/question/95518" xr:uid="{00000000-0004-0000-0B00-000068000000}"/>
    <hyperlink ref="N20" r:id="rId106" tooltip="收费数据，点击购买转债增强数据" display="https://www.jisilu.cn/question/95518" xr:uid="{00000000-0004-0000-0B00-000069000000}"/>
    <hyperlink ref="W20" r:id="rId107" tooltip="收费数据，点击购买转债增强数据" display="https://www.jisilu.cn/question/95518" xr:uid="{00000000-0004-0000-0B00-00006A000000}"/>
    <hyperlink ref="Y20" r:id="rId108" tooltip="加【智能转债】为自选转债" display="javascript:addOwnedConvertBond('128070');" xr:uid="{00000000-0004-0000-0B00-00006B000000}"/>
    <hyperlink ref="A21" r:id="rId109" display="https://www.jisilu.cn/data/convert_bond_detail/128063" xr:uid="{00000000-0004-0000-0B00-00006C000000}"/>
    <hyperlink ref="E21" r:id="rId110" display="https://www.jisilu.cn/data/stock/002631" xr:uid="{00000000-0004-0000-0B00-00006D000000}"/>
    <hyperlink ref="L21" r:id="rId111" tooltip="收费数据，点击购买转债增强数据" display="https://www.jisilu.cn/question/95518" xr:uid="{00000000-0004-0000-0B00-00006E000000}"/>
    <hyperlink ref="N21" r:id="rId112" tooltip="收费数据，点击购买转债增强数据" display="https://www.jisilu.cn/question/95518" xr:uid="{00000000-0004-0000-0B00-00006F000000}"/>
    <hyperlink ref="W21" r:id="rId113" tooltip="收费数据，点击购买转债增强数据" display="https://www.jisilu.cn/question/95518" xr:uid="{00000000-0004-0000-0B00-000070000000}"/>
    <hyperlink ref="Y21" r:id="rId114" tooltip="加【未来转债】为自选转债" display="javascript:addOwnedConvertBond('128063');" xr:uid="{00000000-0004-0000-0B00-000071000000}"/>
    <hyperlink ref="A22" r:id="rId115" display="https://www.jisilu.cn/data/convert_bond_detail/128039" xr:uid="{00000000-0004-0000-0B00-000072000000}"/>
    <hyperlink ref="E22" r:id="rId116" display="https://www.jisilu.cn/data/stock/002224" xr:uid="{00000000-0004-0000-0B00-000073000000}"/>
    <hyperlink ref="L22" r:id="rId117" tooltip="收费数据，点击购买转债增强数据" display="https://www.jisilu.cn/question/95518" xr:uid="{00000000-0004-0000-0B00-000074000000}"/>
    <hyperlink ref="N22" r:id="rId118" tooltip="收费数据，点击购买转债增强数据" display="https://www.jisilu.cn/question/95518" xr:uid="{00000000-0004-0000-0B00-000075000000}"/>
    <hyperlink ref="W22" r:id="rId119" tooltip="收费数据，点击购买转债增强数据" display="https://www.jisilu.cn/question/95518" xr:uid="{00000000-0004-0000-0B00-000076000000}"/>
    <hyperlink ref="Y22" r:id="rId120" tooltip="加【三力转债】为自选转债" display="javascript:addOwnedConvertBond('128039');" xr:uid="{00000000-0004-0000-0B00-000077000000}"/>
    <hyperlink ref="A23" r:id="rId121" display="https://www.jisilu.cn/data/convert_bond_detail/123019" xr:uid="{00000000-0004-0000-0B00-000078000000}"/>
    <hyperlink ref="E23" r:id="rId122" display="https://www.jisilu.cn/data/stock/300393" xr:uid="{00000000-0004-0000-0B00-000079000000}"/>
    <hyperlink ref="L23" r:id="rId123" tooltip="收费数据，点击购买转债增强数据" display="https://www.jisilu.cn/question/95518" xr:uid="{00000000-0004-0000-0B00-00007A000000}"/>
    <hyperlink ref="N23" r:id="rId124" tooltip="收费数据，点击购买转债增强数据" display="https://www.jisilu.cn/question/95518" xr:uid="{00000000-0004-0000-0B00-00007B000000}"/>
    <hyperlink ref="W23" r:id="rId125" tooltip="收费数据，点击购买转债增强数据" display="https://www.jisilu.cn/question/95518" xr:uid="{00000000-0004-0000-0B00-00007C000000}"/>
    <hyperlink ref="Y23" r:id="rId126" tooltip="加【中来转债】为自选转债" display="javascript:addOwnedConvertBond('123019');" xr:uid="{00000000-0004-0000-0B00-00007D000000}"/>
    <hyperlink ref="A24" r:id="rId127" display="https://www.jisilu.cn/data/convert_bond_detail/128073" xr:uid="{00000000-0004-0000-0B00-00007E000000}"/>
    <hyperlink ref="E24" r:id="rId128" display="https://www.jisilu.cn/data/stock/002615" xr:uid="{00000000-0004-0000-0B00-00007F000000}"/>
    <hyperlink ref="L24" r:id="rId129" tooltip="收费数据，点击购买转债增强数据" display="https://www.jisilu.cn/question/95518" xr:uid="{00000000-0004-0000-0B00-000080000000}"/>
    <hyperlink ref="N24" r:id="rId130" tooltip="收费数据，点击购买转债增强数据" display="https://www.jisilu.cn/question/95518" xr:uid="{00000000-0004-0000-0B00-000081000000}"/>
    <hyperlink ref="W24" r:id="rId131" tooltip="收费数据，点击购买转债增强数据" display="https://www.jisilu.cn/question/95518" xr:uid="{00000000-0004-0000-0B00-000082000000}"/>
    <hyperlink ref="Y24" r:id="rId132" tooltip="加【哈尔转债】为自选转债" display="javascript:addOwnedConvertBond('128073');" xr:uid="{00000000-0004-0000-0B00-000083000000}"/>
    <hyperlink ref="A25" r:id="rId133" display="https://www.jisilu.cn/data/convert_bond_detail/113550" xr:uid="{00000000-0004-0000-0B00-000084000000}"/>
    <hyperlink ref="E25" r:id="rId134" display="https://www.jisilu.cn/data/stock/603035" xr:uid="{00000000-0004-0000-0B00-000085000000}"/>
    <hyperlink ref="L25" r:id="rId135" tooltip="收费数据，点击购买转债增强数据" display="https://www.jisilu.cn/question/95518" xr:uid="{00000000-0004-0000-0B00-000086000000}"/>
    <hyperlink ref="N25" r:id="rId136" tooltip="收费数据，点击购买转债增强数据" display="https://www.jisilu.cn/question/95518" xr:uid="{00000000-0004-0000-0B00-000087000000}"/>
    <hyperlink ref="W25" r:id="rId137" tooltip="收费数据，点击购买转债增强数据" display="https://www.jisilu.cn/question/95518" xr:uid="{00000000-0004-0000-0B00-000088000000}"/>
    <hyperlink ref="Y25" r:id="rId138" tooltip="加【常汽转债】为自选转债" display="javascript:addOwnedConvertBond('113550');" xr:uid="{00000000-0004-0000-0B00-000089000000}"/>
    <hyperlink ref="A26" r:id="rId139" display="https://www.jisilu.cn/data/convert_bond_detail/132018" xr:uid="{00000000-0004-0000-0B00-00008A000000}"/>
    <hyperlink ref="E26" r:id="rId140" display="https://www.jisilu.cn/data/stock/600900" xr:uid="{00000000-0004-0000-0B00-00008B000000}"/>
    <hyperlink ref="L26" r:id="rId141" tooltip="收费数据，点击购买转债增强数据" display="https://www.jisilu.cn/question/95518" xr:uid="{00000000-0004-0000-0B00-00008C000000}"/>
    <hyperlink ref="N26" r:id="rId142" tooltip="收费数据，点击购买转债增强数据" display="https://www.jisilu.cn/question/95518" xr:uid="{00000000-0004-0000-0B00-00008D000000}"/>
    <hyperlink ref="W26" r:id="rId143" tooltip="收费数据，点击购买转债增强数据" display="https://www.jisilu.cn/question/95518" xr:uid="{00000000-0004-0000-0B00-00008E000000}"/>
    <hyperlink ref="Y26" r:id="rId144" tooltip="加【G三峡EB1】为自选转债" display="javascript:addOwnedConvertBond('132018');" xr:uid="{00000000-0004-0000-0B00-00008F000000}"/>
    <hyperlink ref="A27" r:id="rId145" display="https://www.jisilu.cn/data/convert_bond_detail/128056" xr:uid="{00000000-0004-0000-0B00-000090000000}"/>
    <hyperlink ref="E27" r:id="rId146" display="https://www.jisilu.cn/data/stock/002863" xr:uid="{00000000-0004-0000-0B00-000091000000}"/>
    <hyperlink ref="L27" r:id="rId147" tooltip="收费数据，点击购买转债增强数据" display="https://www.jisilu.cn/question/95518" xr:uid="{00000000-0004-0000-0B00-000092000000}"/>
    <hyperlink ref="N27" r:id="rId148" tooltip="收费数据，点击购买转债增强数据" display="https://www.jisilu.cn/question/95518" xr:uid="{00000000-0004-0000-0B00-000093000000}"/>
    <hyperlink ref="W27" r:id="rId149" tooltip="收费数据，点击购买转债增强数据" display="https://www.jisilu.cn/question/95518" xr:uid="{00000000-0004-0000-0B00-000094000000}"/>
    <hyperlink ref="Y27" r:id="rId150" tooltip="加【今飞转债】为自选转债" display="javascript:addOwnedConvertBond('128056');" xr:uid="{00000000-0004-0000-0B00-000095000000}"/>
    <hyperlink ref="A28" r:id="rId151" display="https://www.jisilu.cn/data/convert_bond_detail/128051" xr:uid="{00000000-0004-0000-0B00-000096000000}"/>
    <hyperlink ref="E28" r:id="rId152" display="https://www.jisilu.cn/data/stock/002741" xr:uid="{00000000-0004-0000-0B00-000097000000}"/>
    <hyperlink ref="L28" r:id="rId153" tooltip="收费数据，点击购买转债增强数据" display="https://www.jisilu.cn/question/95518" xr:uid="{00000000-0004-0000-0B00-000098000000}"/>
    <hyperlink ref="N28" r:id="rId154" tooltip="收费数据，点击购买转债增强数据" display="https://www.jisilu.cn/question/95518" xr:uid="{00000000-0004-0000-0B00-000099000000}"/>
    <hyperlink ref="W28" r:id="rId155" tooltip="收费数据，点击购买转债增强数据" display="https://www.jisilu.cn/question/95518" xr:uid="{00000000-0004-0000-0B00-00009A000000}"/>
    <hyperlink ref="Y28" r:id="rId156" tooltip="加【光华转债】为自选转债" display="javascript:addOwnedConvertBond('128051');" xr:uid="{00000000-0004-0000-0B00-00009B000000}"/>
    <hyperlink ref="A29" r:id="rId157" display="https://www.jisilu.cn/data/convert_bond_detail/113027" xr:uid="{00000000-0004-0000-0B00-00009C000000}"/>
    <hyperlink ref="E29" r:id="rId158" display="https://www.jisilu.cn/data/stock/601020" xr:uid="{00000000-0004-0000-0B00-00009D000000}"/>
    <hyperlink ref="L29" r:id="rId159" tooltip="收费数据，点击购买转债增强数据" display="https://www.jisilu.cn/question/95518" xr:uid="{00000000-0004-0000-0B00-00009E000000}"/>
    <hyperlink ref="N29" r:id="rId160" tooltip="收费数据，点击购买转债增强数据" display="https://www.jisilu.cn/question/95518" xr:uid="{00000000-0004-0000-0B00-00009F000000}"/>
    <hyperlink ref="W29" r:id="rId161" tooltip="收费数据，点击购买转债增强数据" display="https://www.jisilu.cn/question/95518" xr:uid="{00000000-0004-0000-0B00-0000A0000000}"/>
    <hyperlink ref="Y29" r:id="rId162" tooltip="加【华钰转债】为自选转债" display="javascript:addOwnedConvertBond('113027');" xr:uid="{00000000-0004-0000-0B00-0000A1000000}"/>
    <hyperlink ref="A30" r:id="rId163" display="https://www.jisilu.cn/data/convert_bond_detail/128057" xr:uid="{00000000-0004-0000-0B00-0000A2000000}"/>
    <hyperlink ref="E30" r:id="rId164" display="https://www.jisilu.cn/data/stock/002649" xr:uid="{00000000-0004-0000-0B00-0000A3000000}"/>
    <hyperlink ref="L30" r:id="rId165" tooltip="收费数据，点击购买转债增强数据" display="https://www.jisilu.cn/question/95518" xr:uid="{00000000-0004-0000-0B00-0000A4000000}"/>
    <hyperlink ref="N30" r:id="rId166" tooltip="收费数据，点击购买转债增强数据" display="https://www.jisilu.cn/question/95518" xr:uid="{00000000-0004-0000-0B00-0000A5000000}"/>
    <hyperlink ref="W30" r:id="rId167" tooltip="收费数据，点击购买转债增强数据" display="https://www.jisilu.cn/question/95518" xr:uid="{00000000-0004-0000-0B00-0000A6000000}"/>
    <hyperlink ref="Y30" r:id="rId168" tooltip="加【博彦转债】为自选转债" display="javascript:addOwnedConvertBond('128057');" xr:uid="{00000000-0004-0000-0B00-0000A7000000}"/>
    <hyperlink ref="A31" r:id="rId169" display="https://www.jisilu.cn/data/convert_bond_detail/128069" xr:uid="{00000000-0004-0000-0B00-0000A8000000}"/>
    <hyperlink ref="E31" r:id="rId170" display="https://www.jisilu.cn/data/stock/002907" xr:uid="{00000000-0004-0000-0B00-0000A9000000}"/>
    <hyperlink ref="L31" r:id="rId171" tooltip="收费数据，点击购买转债增强数据" display="https://www.jisilu.cn/question/95518" xr:uid="{00000000-0004-0000-0B00-0000AA000000}"/>
    <hyperlink ref="N31" r:id="rId172" tooltip="收费数据，点击购买转债增强数据" display="https://www.jisilu.cn/question/95518" xr:uid="{00000000-0004-0000-0B00-0000AB000000}"/>
    <hyperlink ref="W31" r:id="rId173" tooltip="收费数据，点击购买转债增强数据" display="https://www.jisilu.cn/question/95518" xr:uid="{00000000-0004-0000-0B00-0000AC000000}"/>
    <hyperlink ref="Y31" r:id="rId174" tooltip="将【华森转债】从自选中删除" display="javascript:delOwnedConvertBond('128069');" xr:uid="{00000000-0004-0000-0B00-0000AD000000}"/>
    <hyperlink ref="A32" r:id="rId175" display="https://www.jisilu.cn/data/convert_bond_detail/113524" xr:uid="{00000000-0004-0000-0B00-0000AE000000}"/>
    <hyperlink ref="E32" r:id="rId176" display="https://www.jisilu.cn/data/stock/603677" xr:uid="{00000000-0004-0000-0B00-0000AF000000}"/>
    <hyperlink ref="L32" r:id="rId177" tooltip="收费数据，点击购买转债增强数据" display="https://www.jisilu.cn/question/95518" xr:uid="{00000000-0004-0000-0B00-0000B0000000}"/>
    <hyperlink ref="N32" r:id="rId178" tooltip="收费数据，点击购买转债增强数据" display="https://www.jisilu.cn/question/95518" xr:uid="{00000000-0004-0000-0B00-0000B1000000}"/>
    <hyperlink ref="W32" r:id="rId179" tooltip="收费数据，点击购买转债增强数据" display="https://www.jisilu.cn/question/95518" xr:uid="{00000000-0004-0000-0B00-0000B2000000}"/>
    <hyperlink ref="Y32" r:id="rId180" tooltip="加【奇精转债】为自选转债" display="javascript:addOwnedConvertBond('113524');" xr:uid="{00000000-0004-0000-0B00-0000B3000000}"/>
    <hyperlink ref="A33" r:id="rId181" display="https://www.jisilu.cn/data/convert_bond_detail/123014" xr:uid="{00000000-0004-0000-0B00-0000B4000000}"/>
    <hyperlink ref="E33" r:id="rId182" display="https://www.jisilu.cn/data/stock/300407" xr:uid="{00000000-0004-0000-0B00-0000B5000000}"/>
    <hyperlink ref="L33" r:id="rId183" tooltip="收费数据，点击购买转债增强数据" display="https://www.jisilu.cn/question/95518" xr:uid="{00000000-0004-0000-0B00-0000B6000000}"/>
    <hyperlink ref="N33" r:id="rId184" tooltip="收费数据，点击购买转债增强数据" display="https://www.jisilu.cn/question/95518" xr:uid="{00000000-0004-0000-0B00-0000B7000000}"/>
    <hyperlink ref="W33" r:id="rId185" tooltip="收费数据，点击购买转债增强数据" display="https://www.jisilu.cn/question/95518" xr:uid="{00000000-0004-0000-0B00-0000B8000000}"/>
    <hyperlink ref="Y33" r:id="rId186" tooltip="加【凯发转债】为自选转债" display="javascript:addOwnedConvertBond('123014');" xr:uid="{00000000-0004-0000-0B00-0000B9000000}"/>
    <hyperlink ref="A34" r:id="rId187" display="https://www.jisilu.cn/data/convert_bond_detail/128077" xr:uid="{00000000-0004-0000-0B00-0000BA000000}"/>
    <hyperlink ref="E34" r:id="rId188" display="https://www.jisilu.cn/data/stock/002928" xr:uid="{00000000-0004-0000-0B00-0000BB000000}"/>
    <hyperlink ref="L34" r:id="rId189" tooltip="收费数据，点击购买转债增强数据" display="https://www.jisilu.cn/question/95518" xr:uid="{00000000-0004-0000-0B00-0000BC000000}"/>
    <hyperlink ref="N34" r:id="rId190" tooltip="收费数据，点击购买转债增强数据" display="https://www.jisilu.cn/question/95518" xr:uid="{00000000-0004-0000-0B00-0000BD000000}"/>
    <hyperlink ref="W34" r:id="rId191" tooltip="收费数据，点击购买转债增强数据" display="https://www.jisilu.cn/question/95518" xr:uid="{00000000-0004-0000-0B00-0000BE000000}"/>
    <hyperlink ref="Y34" r:id="rId192" tooltip="加【华夏转债】为自选转债" display="javascript:addOwnedConvertBond('128077');" xr:uid="{00000000-0004-0000-0B00-0000BF000000}"/>
    <hyperlink ref="A35" r:id="rId193" display="https://www.jisilu.cn/data/convert_bond_detail/123018" xr:uid="{00000000-0004-0000-0B00-0000C0000000}"/>
    <hyperlink ref="E35" r:id="rId194" display="https://www.jisilu.cn/data/stock/300381" xr:uid="{00000000-0004-0000-0B00-0000C1000000}"/>
    <hyperlink ref="L35" r:id="rId195" tooltip="收费数据，点击购买转债增强数据" display="https://www.jisilu.cn/question/95518" xr:uid="{00000000-0004-0000-0B00-0000C2000000}"/>
    <hyperlink ref="N35" r:id="rId196" tooltip="收费数据，点击购买转债增强数据" display="https://www.jisilu.cn/question/95518" xr:uid="{00000000-0004-0000-0B00-0000C3000000}"/>
    <hyperlink ref="W35" r:id="rId197" tooltip="收费数据，点击购买转债增强数据" display="https://www.jisilu.cn/question/95518" xr:uid="{00000000-0004-0000-0B00-0000C4000000}"/>
    <hyperlink ref="Y35" r:id="rId198" tooltip="加【溢利转债】为自选转债" display="javascript:addOwnedConvertBond('123018');" xr:uid="{00000000-0004-0000-0B00-0000C5000000}"/>
    <hyperlink ref="A36" r:id="rId199" display="https://www.jisilu.cn/data/convert_bond_detail/113537" xr:uid="{00000000-0004-0000-0B00-0000C6000000}"/>
    <hyperlink ref="E36" r:id="rId200" display="https://www.jisilu.cn/data/stock/603348" xr:uid="{00000000-0004-0000-0B00-0000C7000000}"/>
    <hyperlink ref="L36" r:id="rId201" tooltip="收费数据，点击购买转债增强数据" display="https://www.jisilu.cn/question/95518" xr:uid="{00000000-0004-0000-0B00-0000C8000000}"/>
    <hyperlink ref="N36" r:id="rId202" tooltip="收费数据，点击购买转债增强数据" display="https://www.jisilu.cn/question/95518" xr:uid="{00000000-0004-0000-0B00-0000C9000000}"/>
    <hyperlink ref="W36" r:id="rId203" tooltip="收费数据，点击购买转债增强数据" display="https://www.jisilu.cn/question/95518" xr:uid="{00000000-0004-0000-0B00-0000CA000000}"/>
    <hyperlink ref="Y36" r:id="rId204" tooltip="加【文灿转债】为自选转债" display="javascript:addOwnedConvertBond('113537');" xr:uid="{00000000-0004-0000-0B00-0000CB000000}"/>
    <hyperlink ref="A37" r:id="rId205" display="https://www.jisilu.cn/data/convert_bond_detail/123028" xr:uid="{00000000-0004-0000-0B00-0000CC000000}"/>
    <hyperlink ref="E37" r:id="rId206" display="https://www.jisilu.cn/data/stock/300437" xr:uid="{00000000-0004-0000-0B00-0000CD000000}"/>
    <hyperlink ref="L37" r:id="rId207" tooltip="收费数据，点击购买转债增强数据" display="https://www.jisilu.cn/question/95518" xr:uid="{00000000-0004-0000-0B00-0000CE000000}"/>
    <hyperlink ref="N37" r:id="rId208" tooltip="收费数据，点击购买转债增强数据" display="https://www.jisilu.cn/question/95518" xr:uid="{00000000-0004-0000-0B00-0000CF000000}"/>
    <hyperlink ref="W37" r:id="rId209" tooltip="收费数据，点击购买转债增强数据" display="https://www.jisilu.cn/question/95518" xr:uid="{00000000-0004-0000-0B00-0000D0000000}"/>
    <hyperlink ref="Y37" r:id="rId210" tooltip="加【清水转债】为自选转债" display="javascript:addOwnedConvertBond('123028');" xr:uid="{00000000-0004-0000-0B00-0000D1000000}"/>
    <hyperlink ref="A38" r:id="rId211" display="https://www.jisilu.cn/data/convert_bond_detail/128075" xr:uid="{00000000-0004-0000-0B00-0000D2000000}"/>
    <hyperlink ref="E38" r:id="rId212" display="https://www.jisilu.cn/data/stock/002406" xr:uid="{00000000-0004-0000-0B00-0000D3000000}"/>
    <hyperlink ref="L38" r:id="rId213" tooltip="收费数据，点击购买转债增强数据" display="https://www.jisilu.cn/question/95518" xr:uid="{00000000-0004-0000-0B00-0000D4000000}"/>
    <hyperlink ref="N38" r:id="rId214" tooltip="收费数据，点击购买转债增强数据" display="https://www.jisilu.cn/question/95518" xr:uid="{00000000-0004-0000-0B00-0000D5000000}"/>
    <hyperlink ref="W38" r:id="rId215" tooltip="收费数据，点击购买转债增强数据" display="https://www.jisilu.cn/question/95518" xr:uid="{00000000-0004-0000-0B00-0000D6000000}"/>
    <hyperlink ref="Y38" r:id="rId216" tooltip="加【远东转债】为自选转债" display="javascript:addOwnedConvertBond('128075');" xr:uid="{00000000-0004-0000-0B00-0000D7000000}"/>
    <hyperlink ref="A39" r:id="rId217" display="https://www.jisilu.cn/data/convert_bond_detail/113521" xr:uid="{00000000-0004-0000-0B00-0000D8000000}"/>
    <hyperlink ref="E39" r:id="rId218" display="https://www.jisilu.cn/data/stock/603626" xr:uid="{00000000-0004-0000-0B00-0000D9000000}"/>
    <hyperlink ref="L39" r:id="rId219" tooltip="收费数据，点击购买转债增强数据" display="https://www.jisilu.cn/question/95518" xr:uid="{00000000-0004-0000-0B00-0000DA000000}"/>
    <hyperlink ref="N39" r:id="rId220" tooltip="收费数据，点击购买转债增强数据" display="https://www.jisilu.cn/question/95518" xr:uid="{00000000-0004-0000-0B00-0000DB000000}"/>
    <hyperlink ref="W39" r:id="rId221" tooltip="收费数据，点击购买转债增强数据" display="https://www.jisilu.cn/question/95518" xr:uid="{00000000-0004-0000-0B00-0000DC000000}"/>
    <hyperlink ref="Y39" r:id="rId222" tooltip="加【科森转债】为自选转债" display="javascript:addOwnedConvertBond('113521');" xr:uid="{00000000-0004-0000-0B00-0000DD000000}"/>
    <hyperlink ref="A40" r:id="rId223" display="https://www.jisilu.cn/data/convert_bond_detail/113539" xr:uid="{00000000-0004-0000-0B00-0000DE000000}"/>
    <hyperlink ref="E40" r:id="rId224" display="https://www.jisilu.cn/data/stock/603079" xr:uid="{00000000-0004-0000-0B00-0000DF000000}"/>
    <hyperlink ref="L40" r:id="rId225" tooltip="收费数据，点击购买转债增强数据" display="https://www.jisilu.cn/question/95518" xr:uid="{00000000-0004-0000-0B00-0000E0000000}"/>
    <hyperlink ref="N40" r:id="rId226" tooltip="收费数据，点击购买转债增强数据" display="https://www.jisilu.cn/question/95518" xr:uid="{00000000-0004-0000-0B00-0000E1000000}"/>
    <hyperlink ref="W40" r:id="rId227" tooltip="收费数据，点击购买转债增强数据" display="https://www.jisilu.cn/question/95518" xr:uid="{00000000-0004-0000-0B00-0000E2000000}"/>
    <hyperlink ref="Y40" r:id="rId228" tooltip="加【圣达转债】为自选转债" display="javascript:addOwnedConvertBond('113539');" xr:uid="{00000000-0004-0000-0B00-0000E3000000}"/>
    <hyperlink ref="A41" r:id="rId229" display="https://www.jisilu.cn/data/convert_bond_detail/123021" xr:uid="{00000000-0004-0000-0B00-0000E4000000}"/>
    <hyperlink ref="E41" r:id="rId230" display="https://www.jisilu.cn/data/stock/300168" xr:uid="{00000000-0004-0000-0B00-0000E5000000}"/>
    <hyperlink ref="L41" r:id="rId231" tooltip="收费数据，点击购买转债增强数据" display="https://www.jisilu.cn/question/95518" xr:uid="{00000000-0004-0000-0B00-0000E6000000}"/>
    <hyperlink ref="N41" r:id="rId232" tooltip="收费数据，点击购买转债增强数据" display="https://www.jisilu.cn/question/95518" xr:uid="{00000000-0004-0000-0B00-0000E7000000}"/>
    <hyperlink ref="W41" r:id="rId233" tooltip="收费数据，点击购买转债增强数据" display="https://www.jisilu.cn/question/95518" xr:uid="{00000000-0004-0000-0B00-0000E8000000}"/>
    <hyperlink ref="Y41" r:id="rId234" tooltip="加【万信转2】为自选转债" display="javascript:addOwnedConvertBond('123021');" xr:uid="{00000000-0004-0000-0B00-0000E9000000}"/>
    <hyperlink ref="A42" r:id="rId235" display="https://www.jisilu.cn/data/convert_bond_detail/123027" xr:uid="{00000000-0004-0000-0B00-0000EA000000}"/>
    <hyperlink ref="E42" r:id="rId236" display="https://www.jisilu.cn/data/stock/300487" xr:uid="{00000000-0004-0000-0B00-0000EB000000}"/>
    <hyperlink ref="L42" r:id="rId237" tooltip="收费数据，点击购买转债增强数据" display="https://www.jisilu.cn/question/95518" xr:uid="{00000000-0004-0000-0B00-0000EC000000}"/>
    <hyperlink ref="N42" r:id="rId238" tooltip="收费数据，点击购买转债增强数据" display="https://www.jisilu.cn/question/95518" xr:uid="{00000000-0004-0000-0B00-0000ED000000}"/>
    <hyperlink ref="W42" r:id="rId239" tooltip="收费数据，点击购买转债增强数据" display="https://www.jisilu.cn/question/95518" xr:uid="{00000000-0004-0000-0B00-0000EE000000}"/>
    <hyperlink ref="Y42" r:id="rId240" tooltip="加【蓝晓转债】为自选转债" display="javascript:addOwnedConvertBond('123027');" xr:uid="{00000000-0004-0000-0B00-0000EF000000}"/>
    <hyperlink ref="A43" r:id="rId241" display="https://www.jisilu.cn/data/convert_bond_detail/123032" xr:uid="{00000000-0004-0000-0B00-0000F0000000}"/>
    <hyperlink ref="E43" r:id="rId242" display="https://www.jisilu.cn/data/stock/300591" xr:uid="{00000000-0004-0000-0B00-0000F1000000}"/>
    <hyperlink ref="L43" r:id="rId243" tooltip="收费数据，点击购买转债增强数据" display="https://www.jisilu.cn/question/95518" xr:uid="{00000000-0004-0000-0B00-0000F2000000}"/>
    <hyperlink ref="N43" r:id="rId244" tooltip="收费数据，点击购买转债增强数据" display="https://www.jisilu.cn/question/95518" xr:uid="{00000000-0004-0000-0B00-0000F3000000}"/>
    <hyperlink ref="W43" r:id="rId245" tooltip="收费数据，点击购买转债增强数据" display="https://www.jisilu.cn/question/95518" xr:uid="{00000000-0004-0000-0B00-0000F4000000}"/>
    <hyperlink ref="Y43" r:id="rId246" tooltip="加【万里转债】为自选转债" display="javascript:addOwnedConvertBond('123032');" xr:uid="{00000000-0004-0000-0B00-0000F5000000}"/>
    <hyperlink ref="A44" r:id="rId247" display="https://www.jisilu.cn/data/convert_bond_detail/128034" xr:uid="{00000000-0004-0000-0B00-0000F6000000}"/>
    <hyperlink ref="E44" r:id="rId248" display="https://www.jisilu.cn/data/stock/002807" xr:uid="{00000000-0004-0000-0B00-0000F7000000}"/>
    <hyperlink ref="L44" r:id="rId249" tooltip="收费数据，点击购买转债增强数据" display="https://www.jisilu.cn/question/95518" xr:uid="{00000000-0004-0000-0B00-0000F8000000}"/>
    <hyperlink ref="N44" r:id="rId250" tooltip="收费数据，点击购买转债增强数据" display="https://www.jisilu.cn/question/95518" xr:uid="{00000000-0004-0000-0B00-0000F9000000}"/>
    <hyperlink ref="W44" r:id="rId251" tooltip="收费数据，点击购买转债增强数据" display="https://www.jisilu.cn/question/95518" xr:uid="{00000000-0004-0000-0B00-0000FA000000}"/>
    <hyperlink ref="Y44" r:id="rId252" tooltip="加【江银转债】为自选转债" display="javascript:addOwnedConvertBond('128034');" xr:uid="{00000000-0004-0000-0B00-0000FB000000}"/>
    <hyperlink ref="A45" r:id="rId253" display="https://www.jisilu.cn/data/convert_bond_detail/123023" xr:uid="{00000000-0004-0000-0B00-0000FC000000}"/>
    <hyperlink ref="E45" r:id="rId254" display="https://www.jisilu.cn/data/stock/300335" xr:uid="{00000000-0004-0000-0B00-0000FD000000}"/>
    <hyperlink ref="L45" r:id="rId255" tooltip="收费数据，点击购买转债增强数据" display="https://www.jisilu.cn/question/95518" xr:uid="{00000000-0004-0000-0B00-0000FE000000}"/>
    <hyperlink ref="N45" r:id="rId256" tooltip="收费数据，点击购买转债增强数据" display="https://www.jisilu.cn/question/95518" xr:uid="{00000000-0004-0000-0B00-0000FF000000}"/>
    <hyperlink ref="W45" r:id="rId257" tooltip="收费数据，点击购买转债增强数据" display="https://www.jisilu.cn/question/95518" xr:uid="{00000000-0004-0000-0B00-000000010000}"/>
    <hyperlink ref="Y45" r:id="rId258" tooltip="加【迪森转债】为自选转债" display="javascript:addOwnedConvertBond('123023');" xr:uid="{00000000-0004-0000-0B00-000001010000}"/>
    <hyperlink ref="A46" r:id="rId259" display="https://www.jisilu.cn/data/convert_bond_detail/128040" xr:uid="{00000000-0004-0000-0B00-000002010000}"/>
    <hyperlink ref="E46" r:id="rId260" display="https://www.jisilu.cn/data/stock/002758" xr:uid="{00000000-0004-0000-0B00-000003010000}"/>
    <hyperlink ref="L46" r:id="rId261" tooltip="收费数据，点击购买转债增强数据" display="https://www.jisilu.cn/question/95518" xr:uid="{00000000-0004-0000-0B00-000004010000}"/>
    <hyperlink ref="N46" r:id="rId262" tooltip="收费数据，点击购买转债增强数据" display="https://www.jisilu.cn/question/95518" xr:uid="{00000000-0004-0000-0B00-000005010000}"/>
    <hyperlink ref="W46" r:id="rId263" tooltip="收费数据，点击购买转债增强数据" display="https://www.jisilu.cn/question/95518" xr:uid="{00000000-0004-0000-0B00-000006010000}"/>
    <hyperlink ref="Y46" r:id="rId264" tooltip="加【华通转债】为自选转债" display="javascript:addOwnedConvertBond('128040');" xr:uid="{00000000-0004-0000-0B00-000007010000}"/>
    <hyperlink ref="A47" r:id="rId265" display="https://www.jisilu.cn/data/convert_bond_detail/128055" xr:uid="{00000000-0004-0000-0B00-000008010000}"/>
    <hyperlink ref="E47" r:id="rId266" display="https://www.jisilu.cn/data/stock/002391" xr:uid="{00000000-0004-0000-0B00-000009010000}"/>
    <hyperlink ref="L47" r:id="rId267" tooltip="收费数据，点击购买转债增强数据" display="https://www.jisilu.cn/question/95518" xr:uid="{00000000-0004-0000-0B00-00000A010000}"/>
    <hyperlink ref="N47" r:id="rId268" tooltip="收费数据，点击购买转债增强数据" display="https://www.jisilu.cn/question/95518" xr:uid="{00000000-0004-0000-0B00-00000B010000}"/>
    <hyperlink ref="W47" r:id="rId269" tooltip="收费数据，点击购买转债增强数据" display="https://www.jisilu.cn/question/95518" xr:uid="{00000000-0004-0000-0B00-00000C010000}"/>
    <hyperlink ref="Y47" r:id="rId270" tooltip="加【长青转2】为自选转债" display="javascript:addOwnedConvertBond('128055');" xr:uid="{00000000-0004-0000-0B00-00000D010000}"/>
    <hyperlink ref="A48" r:id="rId271" display="https://www.jisilu.cn/data/convert_bond_detail/113530" xr:uid="{00000000-0004-0000-0B00-00000E010000}"/>
    <hyperlink ref="E48" r:id="rId272" display="https://www.jisilu.cn/data/stock/603081" xr:uid="{00000000-0004-0000-0B00-00000F010000}"/>
    <hyperlink ref="L48" r:id="rId273" tooltip="收费数据，点击购买转债增强数据" display="https://www.jisilu.cn/question/95518" xr:uid="{00000000-0004-0000-0B00-000010010000}"/>
    <hyperlink ref="N48" r:id="rId274" tooltip="收费数据，点击购买转债增强数据" display="https://www.jisilu.cn/question/95518" xr:uid="{00000000-0004-0000-0B00-000011010000}"/>
    <hyperlink ref="W48" r:id="rId275" tooltip="收费数据，点击购买转债增强数据" display="https://www.jisilu.cn/question/95518" xr:uid="{00000000-0004-0000-0B00-000012010000}"/>
    <hyperlink ref="Y48" r:id="rId276" tooltip="加【大丰转债】为自选转债" display="javascript:addOwnedConvertBond('113530');" xr:uid="{00000000-0004-0000-0B00-000013010000}"/>
    <hyperlink ref="A49" r:id="rId277" display="https://www.jisilu.cn/data/convert_bond_detail/123024" xr:uid="{00000000-0004-0000-0B00-000014010000}"/>
    <hyperlink ref="E49" r:id="rId278" display="https://www.jisilu.cn/data/stock/300700" xr:uid="{00000000-0004-0000-0B00-000015010000}"/>
    <hyperlink ref="L49" r:id="rId279" tooltip="收费数据，点击购买转债增强数据" display="https://www.jisilu.cn/question/95518" xr:uid="{00000000-0004-0000-0B00-000016010000}"/>
    <hyperlink ref="N49" r:id="rId280" tooltip="收费数据，点击购买转债增强数据" display="https://www.jisilu.cn/question/95518" xr:uid="{00000000-0004-0000-0B00-000017010000}"/>
    <hyperlink ref="W49" r:id="rId281" tooltip="收费数据，点击购买转债增强数据" display="https://www.jisilu.cn/question/95518" xr:uid="{00000000-0004-0000-0B00-000018010000}"/>
    <hyperlink ref="Y49" r:id="rId282" tooltip="加【岱勒转债】为自选转债" display="javascript:addOwnedConvertBond('123024');" xr:uid="{00000000-0004-0000-0B00-000019010000}"/>
    <hyperlink ref="A50" r:id="rId283" display="https://www.jisilu.cn/data/convert_bond_detail/127003" xr:uid="{00000000-0004-0000-0B00-00001A010000}"/>
    <hyperlink ref="E50" r:id="rId284" display="https://www.jisilu.cn/data/stock/000861" xr:uid="{00000000-0004-0000-0B00-00001B010000}"/>
    <hyperlink ref="L50" r:id="rId285" tooltip="收费数据，点击购买转债增强数据" display="https://www.jisilu.cn/question/95518" xr:uid="{00000000-0004-0000-0B00-00001C010000}"/>
    <hyperlink ref="N50" r:id="rId286" tooltip="收费数据，点击购买转债增强数据" display="https://www.jisilu.cn/question/95518" xr:uid="{00000000-0004-0000-0B00-00001D010000}"/>
    <hyperlink ref="W50" r:id="rId287" tooltip="收费数据，点击购买转债增强数据" display="https://www.jisilu.cn/question/95518" xr:uid="{00000000-0004-0000-0B00-00001E010000}"/>
    <hyperlink ref="Y50" r:id="rId288" tooltip="加【海印转债】为自选转债" display="javascript:addOwnedConvertBond('127003');" xr:uid="{00000000-0004-0000-0B00-00001F010000}"/>
    <hyperlink ref="A51" r:id="rId289" display="https://www.jisilu.cn/data/convert_bond_detail/113552" xr:uid="{00000000-0004-0000-0B00-000020010000}"/>
    <hyperlink ref="E51" r:id="rId290" display="https://www.jisilu.cn/data/stock/603960" xr:uid="{00000000-0004-0000-0B00-000021010000}"/>
    <hyperlink ref="L51" r:id="rId291" tooltip="收费数据，点击购买转债增强数据" display="https://www.jisilu.cn/question/95518" xr:uid="{00000000-0004-0000-0B00-000022010000}"/>
    <hyperlink ref="N51" r:id="rId292" tooltip="收费数据，点击购买转债增强数据" display="https://www.jisilu.cn/question/95518" xr:uid="{00000000-0004-0000-0B00-000023010000}"/>
    <hyperlink ref="W51" r:id="rId293" tooltip="收费数据，点击购买转债增强数据" display="https://www.jisilu.cn/question/95518" xr:uid="{00000000-0004-0000-0B00-000024010000}"/>
    <hyperlink ref="Y51" r:id="rId294" tooltip="加【克来转债】为自选转债" display="javascript:addOwnedConvertBond('113552');" xr:uid="{00000000-0004-0000-0B00-000025010000}"/>
    <hyperlink ref="A52" r:id="rId295" display="https://www.jisilu.cn/data/convert_bond_detail/123033" xr:uid="{00000000-0004-0000-0B00-000026010000}"/>
    <hyperlink ref="E52" r:id="rId296" display="https://www.jisilu.cn/data/stock/300748" xr:uid="{00000000-0004-0000-0B00-000027010000}"/>
    <hyperlink ref="L52" r:id="rId297" tooltip="收费数据，点击购买转债增强数据" display="https://www.jisilu.cn/question/95518" xr:uid="{00000000-0004-0000-0B00-000028010000}"/>
    <hyperlink ref="N52" r:id="rId298" tooltip="收费数据，点击购买转债增强数据" display="https://www.jisilu.cn/question/95518" xr:uid="{00000000-0004-0000-0B00-000029010000}"/>
    <hyperlink ref="W52" r:id="rId299" tooltip="收费数据，点击购买转债增强数据" display="https://www.jisilu.cn/question/95518" xr:uid="{00000000-0004-0000-0B00-00002A010000}"/>
    <hyperlink ref="Y52" r:id="rId300" tooltip="加【金力转债】为自选转债" display="javascript:addOwnedConvertBond('123033');" xr:uid="{00000000-0004-0000-0B00-00002B010000}"/>
    <hyperlink ref="A53" r:id="rId301" display="https://www.jisilu.cn/data/convert_bond_detail/128054" xr:uid="{00000000-0004-0000-0B00-00002C010000}"/>
    <hyperlink ref="E53" r:id="rId302" display="https://www.jisilu.cn/data/stock/002891" xr:uid="{00000000-0004-0000-0B00-00002D010000}"/>
    <hyperlink ref="L53" r:id="rId303" tooltip="收费数据，点击购买转债增强数据" display="https://www.jisilu.cn/question/95518" xr:uid="{00000000-0004-0000-0B00-00002E010000}"/>
    <hyperlink ref="N53" r:id="rId304" tooltip="收费数据，点击购买转债增强数据" display="https://www.jisilu.cn/question/95518" xr:uid="{00000000-0004-0000-0B00-00002F010000}"/>
    <hyperlink ref="W53" r:id="rId305" tooltip="收费数据，点击购买转债增强数据" display="https://www.jisilu.cn/question/95518" xr:uid="{00000000-0004-0000-0B00-000030010000}"/>
    <hyperlink ref="Y53" r:id="rId306" tooltip="加【中宠转债】为自选转债" display="javascript:addOwnedConvertBond('128054');" xr:uid="{00000000-0004-0000-0B00-000031010000}"/>
    <hyperlink ref="A54" r:id="rId307" display="https://www.jisilu.cn/data/convert_bond_detail/113025" xr:uid="{00000000-0004-0000-0B00-000032010000}"/>
    <hyperlink ref="E54" r:id="rId308" display="https://www.jisilu.cn/data/stock/601677" xr:uid="{00000000-0004-0000-0B00-000033010000}"/>
    <hyperlink ref="L54" r:id="rId309" tooltip="收费数据，点击购买转债增强数据" display="https://www.jisilu.cn/question/95518" xr:uid="{00000000-0004-0000-0B00-000034010000}"/>
    <hyperlink ref="N54" r:id="rId310" tooltip="收费数据，点击购买转债增强数据" display="https://www.jisilu.cn/question/95518" xr:uid="{00000000-0004-0000-0B00-000035010000}"/>
    <hyperlink ref="W54" r:id="rId311" tooltip="收费数据，点击购买转债增强数据" display="https://www.jisilu.cn/question/95518" xr:uid="{00000000-0004-0000-0B00-000036010000}"/>
    <hyperlink ref="Y54" r:id="rId312" tooltip="加【明泰转债】为自选转债" display="javascript:addOwnedConvertBond('113025');" xr:uid="{00000000-0004-0000-0B00-000037010000}"/>
    <hyperlink ref="A55" r:id="rId313" display="https://www.jisilu.cn/data/convert_bond_detail/123012" xr:uid="{00000000-0004-0000-0B00-000038010000}"/>
    <hyperlink ref="E55" r:id="rId314" display="https://www.jisilu.cn/data/stock/300057" xr:uid="{00000000-0004-0000-0B00-000039010000}"/>
    <hyperlink ref="L55" r:id="rId315" tooltip="收费数据，点击购买转债增强数据" display="https://www.jisilu.cn/question/95518" xr:uid="{00000000-0004-0000-0B00-00003A010000}"/>
    <hyperlink ref="N55" r:id="rId316" tooltip="收费数据，点击购买转债增强数据" display="https://www.jisilu.cn/question/95518" xr:uid="{00000000-0004-0000-0B00-00003B010000}"/>
    <hyperlink ref="W55" r:id="rId317" tooltip="收费数据，点击购买转债增强数据" display="https://www.jisilu.cn/question/95518" xr:uid="{00000000-0004-0000-0B00-00003C010000}"/>
    <hyperlink ref="Y55" r:id="rId318" tooltip="加【万顺转债】为自选转债" display="javascript:addOwnedConvertBond('123012');" xr:uid="{00000000-0004-0000-0B00-00003D010000}"/>
    <hyperlink ref="A56" r:id="rId319" display="https://www.jisilu.cn/data/convert_bond_detail/113511" xr:uid="{00000000-0004-0000-0B00-00003E010000}"/>
    <hyperlink ref="E56" r:id="rId320" display="https://www.jisilu.cn/data/stock/603027" xr:uid="{00000000-0004-0000-0B00-00003F010000}"/>
    <hyperlink ref="L56" r:id="rId321" tooltip="收费数据，点击购买转债增强数据" display="https://www.jisilu.cn/question/95518" xr:uid="{00000000-0004-0000-0B00-000040010000}"/>
    <hyperlink ref="N56" r:id="rId322" tooltip="收费数据，点击购买转债增强数据" display="https://www.jisilu.cn/question/95518" xr:uid="{00000000-0004-0000-0B00-000041010000}"/>
    <hyperlink ref="W56" r:id="rId323" tooltip="收费数据，点击购买转债增强数据" display="https://www.jisilu.cn/question/95518" xr:uid="{00000000-0004-0000-0B00-000042010000}"/>
    <hyperlink ref="Y56" r:id="rId324" tooltip="加【千禾转债】为自选转债" display="javascript:addOwnedConvertBond('113511');" xr:uid="{00000000-0004-0000-0B00-000043010000}"/>
    <hyperlink ref="A57" r:id="rId325" display="https://www.jisilu.cn/data/convert_bond_detail/128071" xr:uid="{00000000-0004-0000-0B00-000044010000}"/>
    <hyperlink ref="E57" r:id="rId326" display="https://www.jisilu.cn/data/stock/002228" xr:uid="{00000000-0004-0000-0B00-000045010000}"/>
    <hyperlink ref="L57" r:id="rId327" tooltip="收费数据，点击购买转债增强数据" display="https://www.jisilu.cn/question/95518" xr:uid="{00000000-0004-0000-0B00-000046010000}"/>
    <hyperlink ref="N57" r:id="rId328" tooltip="收费数据，点击购买转债增强数据" display="https://www.jisilu.cn/question/95518" xr:uid="{00000000-0004-0000-0B00-000047010000}"/>
    <hyperlink ref="W57" r:id="rId329" tooltip="收费数据，点击购买转债增强数据" display="https://www.jisilu.cn/question/95518" xr:uid="{00000000-0004-0000-0B00-000048010000}"/>
    <hyperlink ref="Y57" r:id="rId330" tooltip="加【合兴转债】为自选转债" display="javascript:addOwnedConvertBond('128071');" xr:uid="{00000000-0004-0000-0B00-000049010000}"/>
    <hyperlink ref="A58" r:id="rId331" display="https://www.jisilu.cn/data/convert_bond_detail/123010" xr:uid="{00000000-0004-0000-0B00-00004A010000}"/>
    <hyperlink ref="E58" r:id="rId332" display="https://www.jisilu.cn/data/stock/300422" xr:uid="{00000000-0004-0000-0B00-00004B010000}"/>
    <hyperlink ref="L58" r:id="rId333" tooltip="收费数据，点击购买转债增强数据" display="https://www.jisilu.cn/question/95518" xr:uid="{00000000-0004-0000-0B00-00004C010000}"/>
    <hyperlink ref="N58" r:id="rId334" tooltip="收费数据，点击购买转债增强数据" display="https://www.jisilu.cn/question/95518" xr:uid="{00000000-0004-0000-0B00-00004D010000}"/>
    <hyperlink ref="W58" r:id="rId335" tooltip="收费数据，点击购买转债增强数据" display="https://www.jisilu.cn/question/95518" xr:uid="{00000000-0004-0000-0B00-00004E010000}"/>
    <hyperlink ref="Y58" r:id="rId336" tooltip="加【博世转债】为自选转债" display="javascript:addOwnedConvertBond('123010');" xr:uid="{00000000-0004-0000-0B00-00004F010000}"/>
    <hyperlink ref="A59" r:id="rId337" display="https://www.jisilu.cn/data/convert_bond_detail/113545" xr:uid="{00000000-0004-0000-0B00-000050010000}"/>
    <hyperlink ref="E59" r:id="rId338" display="https://www.jisilu.cn/data/stock/603113" xr:uid="{00000000-0004-0000-0B00-000051010000}"/>
    <hyperlink ref="L59" r:id="rId339" tooltip="收费数据，点击购买转债增强数据" display="https://www.jisilu.cn/question/95518" xr:uid="{00000000-0004-0000-0B00-000052010000}"/>
    <hyperlink ref="N59" r:id="rId340" tooltip="收费数据，点击购买转债增强数据" display="https://www.jisilu.cn/question/95518" xr:uid="{00000000-0004-0000-0B00-000053010000}"/>
    <hyperlink ref="W59" r:id="rId341" tooltip="收费数据，点击购买转债增强数据" display="https://www.jisilu.cn/question/95518" xr:uid="{00000000-0004-0000-0B00-000054010000}"/>
    <hyperlink ref="Y59" r:id="rId342" tooltip="加【金能转债】为自选转债" display="javascript:addOwnedConvertBond('113545');" xr:uid="{00000000-0004-0000-0B00-000055010000}"/>
    <hyperlink ref="A60" r:id="rId343" display="https://www.jisilu.cn/data/convert_bond_detail/123015" xr:uid="{00000000-0004-0000-0B00-000056010000}"/>
    <hyperlink ref="E60" r:id="rId344" display="https://www.jisilu.cn/data/stock/300297" xr:uid="{00000000-0004-0000-0B00-000057010000}"/>
    <hyperlink ref="L60" r:id="rId345" tooltip="收费数据，点击购买转债增强数据" display="https://www.jisilu.cn/question/95518" xr:uid="{00000000-0004-0000-0B00-000058010000}"/>
    <hyperlink ref="N60" r:id="rId346" tooltip="收费数据，点击购买转债增强数据" display="https://www.jisilu.cn/question/95518" xr:uid="{00000000-0004-0000-0B00-000059010000}"/>
    <hyperlink ref="W60" r:id="rId347" tooltip="收费数据，点击购买转债增强数据" display="https://www.jisilu.cn/question/95518" xr:uid="{00000000-0004-0000-0B00-00005A010000}"/>
    <hyperlink ref="Y60" r:id="rId348" tooltip="加【蓝盾转债】为自选转债" display="javascript:addOwnedConvertBond('123015');" xr:uid="{00000000-0004-0000-0B00-00005B010000}"/>
    <hyperlink ref="A61" r:id="rId349" display="https://www.jisilu.cn/data/convert_bond_detail/128044" xr:uid="{00000000-0004-0000-0B00-00005C010000}"/>
    <hyperlink ref="E61" r:id="rId350" display="https://www.jisilu.cn/data/stock/002717" xr:uid="{00000000-0004-0000-0B00-00005D010000}"/>
    <hyperlink ref="L61" r:id="rId351" tooltip="收费数据，点击购买转债增强数据" display="https://www.jisilu.cn/question/95518" xr:uid="{00000000-0004-0000-0B00-00005E010000}"/>
    <hyperlink ref="N61" r:id="rId352" tooltip="收费数据，点击购买转债增强数据" display="https://www.jisilu.cn/question/95518" xr:uid="{00000000-0004-0000-0B00-00005F010000}"/>
    <hyperlink ref="W61" r:id="rId353" tooltip="收费数据，点击购买转债增强数据" display="https://www.jisilu.cn/question/95518" xr:uid="{00000000-0004-0000-0B00-000060010000}"/>
    <hyperlink ref="Y61" r:id="rId354" tooltip="加【岭南转债】为自选转债" display="javascript:addOwnedConvertBond('128044');" xr:uid="{00000000-0004-0000-0B00-000061010000}"/>
    <hyperlink ref="A62" r:id="rId355" display="https://www.jisilu.cn/data/convert_bond_detail/128036" xr:uid="{00000000-0004-0000-0B00-000062010000}"/>
    <hyperlink ref="E62" r:id="rId356" display="https://www.jisilu.cn/data/stock/002548" xr:uid="{00000000-0004-0000-0B00-000063010000}"/>
    <hyperlink ref="L62" r:id="rId357" tooltip="收费数据，点击购买转债增强数据" display="https://www.jisilu.cn/question/95518" xr:uid="{00000000-0004-0000-0B00-000064010000}"/>
    <hyperlink ref="N62" r:id="rId358" tooltip="收费数据，点击购买转债增强数据" display="https://www.jisilu.cn/question/95518" xr:uid="{00000000-0004-0000-0B00-000065010000}"/>
    <hyperlink ref="W62" r:id="rId359" tooltip="收费数据，点击购买转债增强数据" display="https://www.jisilu.cn/question/95518" xr:uid="{00000000-0004-0000-0B00-000066010000}"/>
    <hyperlink ref="Y62" r:id="rId360" tooltip="加【金农转债】为自选转债" display="javascript:addOwnedConvertBond('128036');" xr:uid="{00000000-0004-0000-0B00-000067010000}"/>
    <hyperlink ref="A63" r:id="rId361" display="https://www.jisilu.cn/data/convert_bond_detail/113523" xr:uid="{00000000-0004-0000-0B00-000068010000}"/>
    <hyperlink ref="E63" r:id="rId362" display="https://www.jisilu.cn/data/stock/603568" xr:uid="{00000000-0004-0000-0B00-000069010000}"/>
    <hyperlink ref="L63" r:id="rId363" tooltip="收费数据，点击购买转债增强数据" display="https://www.jisilu.cn/question/95518" xr:uid="{00000000-0004-0000-0B00-00006A010000}"/>
    <hyperlink ref="N63" r:id="rId364" tooltip="收费数据，点击购买转债增强数据" display="https://www.jisilu.cn/question/95518" xr:uid="{00000000-0004-0000-0B00-00006B010000}"/>
    <hyperlink ref="W63" r:id="rId365" tooltip="收费数据，点击购买转债增强数据" display="https://www.jisilu.cn/question/95518" xr:uid="{00000000-0004-0000-0B00-00006C010000}"/>
    <hyperlink ref="Y63" r:id="rId366" tooltip="加【伟明转债】为自选转债" display="javascript:addOwnedConvertBond('113523');" xr:uid="{00000000-0004-0000-0B00-00006D010000}"/>
    <hyperlink ref="A64" r:id="rId367" display="https://www.jisilu.cn/data/convert_bond_detail/127012" xr:uid="{00000000-0004-0000-0B00-00006E010000}"/>
    <hyperlink ref="E64" r:id="rId368" display="https://www.jisilu.cn/data/stock/001965" xr:uid="{00000000-0004-0000-0B00-00006F010000}"/>
    <hyperlink ref="L64" r:id="rId369" tooltip="收费数据，点击购买转债增强数据" display="https://www.jisilu.cn/question/95518" xr:uid="{00000000-0004-0000-0B00-000070010000}"/>
    <hyperlink ref="N64" r:id="rId370" tooltip="收费数据，点击购买转债增强数据" display="https://www.jisilu.cn/question/95518" xr:uid="{00000000-0004-0000-0B00-000071010000}"/>
    <hyperlink ref="W64" r:id="rId371" tooltip="收费数据，点击购买转债增强数据" display="https://www.jisilu.cn/question/95518" xr:uid="{00000000-0004-0000-0B00-000072010000}"/>
    <hyperlink ref="Y64" r:id="rId372" tooltip="加【招路转债】为自选转债" display="javascript:addOwnedConvertBond('127012');" xr:uid="{00000000-0004-0000-0B00-000073010000}"/>
    <hyperlink ref="A65" r:id="rId373" display="https://www.jisilu.cn/data/convert_bond_detail/113540" xr:uid="{00000000-0004-0000-0B00-000074010000}"/>
    <hyperlink ref="E65" r:id="rId374" display="https://www.jisilu.cn/data/stock/603636" xr:uid="{00000000-0004-0000-0B00-000075010000}"/>
    <hyperlink ref="L65" r:id="rId375" tooltip="收费数据，点击购买转债增强数据" display="https://www.jisilu.cn/question/95518" xr:uid="{00000000-0004-0000-0B00-000076010000}"/>
    <hyperlink ref="N65" r:id="rId376" tooltip="收费数据，点击购买转债增强数据" display="https://www.jisilu.cn/question/95518" xr:uid="{00000000-0004-0000-0B00-000077010000}"/>
    <hyperlink ref="W65" r:id="rId377" tooltip="收费数据，点击购买转债增强数据" display="https://www.jisilu.cn/question/95518" xr:uid="{00000000-0004-0000-0B00-000078010000}"/>
    <hyperlink ref="Y65" r:id="rId378" tooltip="加【南威转债】为自选转债" display="javascript:addOwnedConvertBond('113540');" xr:uid="{00000000-0004-0000-0B00-000079010000}"/>
    <hyperlink ref="A66" r:id="rId379" display="https://www.jisilu.cn/data/convert_bond_detail/113515" xr:uid="{00000000-0004-0000-0B00-00007A010000}"/>
    <hyperlink ref="E66" r:id="rId380" display="https://www.jisilu.cn/data/stock/603588" xr:uid="{00000000-0004-0000-0B00-00007B010000}"/>
    <hyperlink ref="L66" r:id="rId381" tooltip="收费数据，点击购买转债增强数据" display="https://www.jisilu.cn/question/95518" xr:uid="{00000000-0004-0000-0B00-00007C010000}"/>
    <hyperlink ref="N66" r:id="rId382" tooltip="收费数据，点击购买转债增强数据" display="https://www.jisilu.cn/question/95518" xr:uid="{00000000-0004-0000-0B00-00007D010000}"/>
    <hyperlink ref="W66" r:id="rId383" tooltip="收费数据，点击购买转债增强数据" display="https://www.jisilu.cn/question/95518" xr:uid="{00000000-0004-0000-0B00-00007E010000}"/>
    <hyperlink ref="Y66" r:id="rId384" tooltip="加【高能转债】为自选转债" display="javascript:addOwnedConvertBond('113515');" xr:uid="{00000000-0004-0000-0B00-00007F010000}"/>
    <hyperlink ref="A67" r:id="rId385" display="https://www.jisilu.cn/data/convert_bond_detail/128064" xr:uid="{00000000-0004-0000-0B00-000080010000}"/>
    <hyperlink ref="E67" r:id="rId386" display="https://www.jisilu.cn/data/stock/002538" xr:uid="{00000000-0004-0000-0B00-000081010000}"/>
    <hyperlink ref="L67" r:id="rId387" tooltip="收费数据，点击购买转债增强数据" display="https://www.jisilu.cn/question/95518" xr:uid="{00000000-0004-0000-0B00-000082010000}"/>
    <hyperlink ref="N67" r:id="rId388" tooltip="收费数据，点击购买转债增强数据" display="https://www.jisilu.cn/question/95518" xr:uid="{00000000-0004-0000-0B00-000083010000}"/>
    <hyperlink ref="W67" r:id="rId389" tooltip="收费数据，点击购买转债增强数据" display="https://www.jisilu.cn/question/95518" xr:uid="{00000000-0004-0000-0B00-000084010000}"/>
    <hyperlink ref="Y67" r:id="rId390" tooltip="加【司尔转债】为自选转债" display="javascript:addOwnedConvertBond('128064');" xr:uid="{00000000-0004-0000-0B00-000085010000}"/>
    <hyperlink ref="A68" r:id="rId391" display="https://www.jisilu.cn/data/convert_bond_detail/132014" xr:uid="{00000000-0004-0000-0B00-000086010000}"/>
    <hyperlink ref="E68" r:id="rId392" display="https://www.jisilu.cn/data/stock/601117" xr:uid="{00000000-0004-0000-0B00-000087010000}"/>
    <hyperlink ref="L68" r:id="rId393" tooltip="收费数据，点击购买转债增强数据" display="https://www.jisilu.cn/question/95518" xr:uid="{00000000-0004-0000-0B00-000088010000}"/>
    <hyperlink ref="N68" r:id="rId394" tooltip="收费数据，点击购买转债增强数据" display="https://www.jisilu.cn/question/95518" xr:uid="{00000000-0004-0000-0B00-000089010000}"/>
    <hyperlink ref="W68" r:id="rId395" tooltip="收费数据，点击购买转债增强数据" display="https://www.jisilu.cn/question/95518" xr:uid="{00000000-0004-0000-0B00-00008A010000}"/>
    <hyperlink ref="Y68" r:id="rId396" tooltip="加【18中化EB】为自选转债" display="javascript:addOwnedConvertBond('132014');" xr:uid="{00000000-0004-0000-0B00-00008B010000}"/>
    <hyperlink ref="A69" r:id="rId397" display="https://www.jisilu.cn/data/convert_bond_detail/110047" xr:uid="{00000000-0004-0000-0B00-00008C010000}"/>
    <hyperlink ref="E69" r:id="rId398" display="https://www.jisilu.cn/data/stock/600567" xr:uid="{00000000-0004-0000-0B00-00008D010000}"/>
    <hyperlink ref="L69" r:id="rId399" tooltip="收费数据，点击购买转债增强数据" display="https://www.jisilu.cn/question/95518" xr:uid="{00000000-0004-0000-0B00-00008E010000}"/>
    <hyperlink ref="N69" r:id="rId400" tooltip="收费数据，点击购买转债增强数据" display="https://www.jisilu.cn/question/95518" xr:uid="{00000000-0004-0000-0B00-00008F010000}"/>
    <hyperlink ref="W69" r:id="rId401" tooltip="收费数据，点击购买转债增强数据" display="https://www.jisilu.cn/question/95518" xr:uid="{00000000-0004-0000-0B00-000090010000}"/>
    <hyperlink ref="Y69" r:id="rId402" tooltip="加【山鹰转债】为自选转债" display="javascript:addOwnedConvertBond('110047');" xr:uid="{00000000-0004-0000-0B00-000091010000}"/>
    <hyperlink ref="A70" r:id="rId403" display="https://www.jisilu.cn/data/convert_bond_detail/113542" xr:uid="{00000000-0004-0000-0B00-000092010000}"/>
    <hyperlink ref="E70" r:id="rId404" display="https://www.jisilu.cn/data/stock/603898" xr:uid="{00000000-0004-0000-0B00-000093010000}"/>
    <hyperlink ref="L70" r:id="rId405" tooltip="收费数据，点击购买转债增强数据" display="https://www.jisilu.cn/question/95518" xr:uid="{00000000-0004-0000-0B00-000094010000}"/>
    <hyperlink ref="N70" r:id="rId406" tooltip="收费数据，点击购买转债增强数据" display="https://www.jisilu.cn/question/95518" xr:uid="{00000000-0004-0000-0B00-000095010000}"/>
    <hyperlink ref="W70" r:id="rId407" tooltip="收费数据，点击购买转债增强数据" display="https://www.jisilu.cn/question/95518" xr:uid="{00000000-0004-0000-0B00-000096010000}"/>
    <hyperlink ref="Y70" r:id="rId408" tooltip="加【好客转债】为自选转债" display="javascript:addOwnedConvertBond('113542');" xr:uid="{00000000-0004-0000-0B00-000097010000}"/>
    <hyperlink ref="A71" r:id="rId409" display="https://www.jisilu.cn/data/convert_bond_detail/123011" xr:uid="{00000000-0004-0000-0B00-000098010000}"/>
    <hyperlink ref="E71" r:id="rId410" display="https://www.jisilu.cn/data/stock/300473" xr:uid="{00000000-0004-0000-0B00-000099010000}"/>
    <hyperlink ref="L71" r:id="rId411" tooltip="收费数据，点击购买转债增强数据" display="https://www.jisilu.cn/question/95518" xr:uid="{00000000-0004-0000-0B00-00009A010000}"/>
    <hyperlink ref="N71" r:id="rId412" tooltip="收费数据，点击购买转债增强数据" display="https://www.jisilu.cn/question/95518" xr:uid="{00000000-0004-0000-0B00-00009B010000}"/>
    <hyperlink ref="W71" r:id="rId413" tooltip="收费数据，点击购买转债增强数据" display="https://www.jisilu.cn/question/95518" xr:uid="{00000000-0004-0000-0B00-00009C010000}"/>
    <hyperlink ref="Y71" r:id="rId414" tooltip="加【德尔转债】为自选转债" display="javascript:addOwnedConvertBond('123011');" xr:uid="{00000000-0004-0000-0B00-00009D010000}"/>
    <hyperlink ref="A72" r:id="rId415" display="https://www.jisilu.cn/data/convert_bond_detail/113504" xr:uid="{00000000-0004-0000-0B00-00009E010000}"/>
    <hyperlink ref="E72" r:id="rId416" display="https://www.jisilu.cn/data/stock/603989" xr:uid="{00000000-0004-0000-0B00-00009F010000}"/>
    <hyperlink ref="L72" r:id="rId417" tooltip="收费数据，点击购买转债增强数据" display="https://www.jisilu.cn/question/95518" xr:uid="{00000000-0004-0000-0B00-0000A0010000}"/>
    <hyperlink ref="N72" r:id="rId418" tooltip="收费数据，点击购买转债增强数据" display="https://www.jisilu.cn/question/95518" xr:uid="{00000000-0004-0000-0B00-0000A1010000}"/>
    <hyperlink ref="W72" r:id="rId419" tooltip="收费数据，点击购买转债增强数据" display="https://www.jisilu.cn/question/95518" xr:uid="{00000000-0004-0000-0B00-0000A2010000}"/>
    <hyperlink ref="Y72" r:id="rId420" tooltip="加【艾华转债】为自选转债" display="javascript:addOwnedConvertBond('113504');" xr:uid="{00000000-0004-0000-0B00-0000A3010000}"/>
    <hyperlink ref="A73" r:id="rId421" display="https://www.jisilu.cn/data/convert_bond_detail/132020" xr:uid="{00000000-0004-0000-0B00-0000A4010000}"/>
    <hyperlink ref="E73" r:id="rId422" display="https://www.jisilu.cn/data/stock/600299" xr:uid="{00000000-0004-0000-0B00-0000A5010000}"/>
    <hyperlink ref="L73" r:id="rId423" tooltip="收费数据，点击购买转债增强数据" display="https://www.jisilu.cn/question/95518" xr:uid="{00000000-0004-0000-0B00-0000A6010000}"/>
    <hyperlink ref="N73" r:id="rId424" tooltip="收费数据，点击购买转债增强数据" display="https://www.jisilu.cn/question/95518" xr:uid="{00000000-0004-0000-0B00-0000A7010000}"/>
    <hyperlink ref="W73" r:id="rId425" tooltip="收费数据，点击购买转债增强数据" display="https://www.jisilu.cn/question/95518" xr:uid="{00000000-0004-0000-0B00-0000A8010000}"/>
    <hyperlink ref="Y73" r:id="rId426" tooltip="加【19蓝星EB】为自选转债" display="javascript:addOwnedConvertBond('132020');" xr:uid="{00000000-0004-0000-0B00-0000A9010000}"/>
    <hyperlink ref="A74" r:id="rId427" display="https://www.jisilu.cn/data/convert_bond_detail/127007" xr:uid="{00000000-0004-0000-0B00-0000AA010000}"/>
    <hyperlink ref="E74" r:id="rId428" display="https://www.jisilu.cn/data/stock/000665" xr:uid="{00000000-0004-0000-0B00-0000AB010000}"/>
    <hyperlink ref="L74" r:id="rId429" tooltip="收费数据，点击购买转债增强数据" display="https://www.jisilu.cn/question/95518" xr:uid="{00000000-0004-0000-0B00-0000AC010000}"/>
    <hyperlink ref="N74" r:id="rId430" tooltip="收费数据，点击购买转债增强数据" display="https://www.jisilu.cn/question/95518" xr:uid="{00000000-0004-0000-0B00-0000AD010000}"/>
    <hyperlink ref="W74" r:id="rId431" tooltip="收费数据，点击购买转债增强数据" display="https://www.jisilu.cn/question/95518" xr:uid="{00000000-0004-0000-0B00-0000AE010000}"/>
    <hyperlink ref="Y74" r:id="rId432" tooltip="加【湖广转债】为自选转债" display="javascript:addOwnedConvertBond('127007');" xr:uid="{00000000-0004-0000-0B00-0000AF010000}"/>
    <hyperlink ref="A75" r:id="rId433" display="https://www.jisilu.cn/data/convert_bond_detail/110050" xr:uid="{00000000-0004-0000-0B00-0000B0010000}"/>
    <hyperlink ref="E75" r:id="rId434" display="https://www.jisilu.cn/data/stock/600728" xr:uid="{00000000-0004-0000-0B00-0000B1010000}"/>
    <hyperlink ref="L75" r:id="rId435" tooltip="收费数据，点击购买转债增强数据" display="https://www.jisilu.cn/question/95518" xr:uid="{00000000-0004-0000-0B00-0000B2010000}"/>
    <hyperlink ref="N75" r:id="rId436" tooltip="收费数据，点击购买转债增强数据" display="https://www.jisilu.cn/question/95518" xr:uid="{00000000-0004-0000-0B00-0000B3010000}"/>
    <hyperlink ref="W75" r:id="rId437" tooltip="收费数据，点击购买转债增强数据" display="https://www.jisilu.cn/question/95518" xr:uid="{00000000-0004-0000-0B00-0000B4010000}"/>
    <hyperlink ref="Y75" r:id="rId438" tooltip="加【佳都转债】为自选转债" display="javascript:addOwnedConvertBond('110050');" xr:uid="{00000000-0004-0000-0B00-0000B5010000}"/>
    <hyperlink ref="A76" r:id="rId439" display="https://www.jisilu.cn/data/convert_bond_detail/113547" xr:uid="{00000000-0004-0000-0B00-0000B6010000}"/>
    <hyperlink ref="E76" r:id="rId440" display="https://www.jisilu.cn/data/stock/603612" xr:uid="{00000000-0004-0000-0B00-0000B7010000}"/>
    <hyperlink ref="L76" r:id="rId441" tooltip="收费数据，点击购买转债增强数据" display="https://www.jisilu.cn/question/95518" xr:uid="{00000000-0004-0000-0B00-0000B8010000}"/>
    <hyperlink ref="N76" r:id="rId442" tooltip="收费数据，点击购买转债增强数据" display="https://www.jisilu.cn/question/95518" xr:uid="{00000000-0004-0000-0B00-0000B9010000}"/>
    <hyperlink ref="W76" r:id="rId443" tooltip="收费数据，点击购买转债增强数据" display="https://www.jisilu.cn/question/95518" xr:uid="{00000000-0004-0000-0B00-0000BA010000}"/>
    <hyperlink ref="Y76" r:id="rId444" tooltip="加【索发转债】为自选转债" display="javascript:addOwnedConvertBond('113547');" xr:uid="{00000000-0004-0000-0B00-0000BB010000}"/>
    <hyperlink ref="A77" r:id="rId445" display="https://www.jisilu.cn/data/convert_bond_detail/110033" xr:uid="{00000000-0004-0000-0B00-0000BC010000}"/>
    <hyperlink ref="E77" r:id="rId446" display="https://www.jisilu.cn/data/stock/600755" xr:uid="{00000000-0004-0000-0B00-0000BD010000}"/>
    <hyperlink ref="L77" r:id="rId447" tooltip="收费数据，点击购买转债增强数据" display="https://www.jisilu.cn/question/95518" xr:uid="{00000000-0004-0000-0B00-0000BE010000}"/>
    <hyperlink ref="N77" r:id="rId448" tooltip="收费数据，点击购买转债增强数据" display="https://www.jisilu.cn/question/95518" xr:uid="{00000000-0004-0000-0B00-0000BF010000}"/>
    <hyperlink ref="W77" r:id="rId449" tooltip="收费数据，点击购买转债增强数据" display="https://www.jisilu.cn/question/95518" xr:uid="{00000000-0004-0000-0B00-0000C0010000}"/>
    <hyperlink ref="Y77" r:id="rId450" tooltip="加【国贸转债】为自选转债" display="javascript:addOwnedConvertBond('110033');" xr:uid="{00000000-0004-0000-0B00-0000C1010000}"/>
    <hyperlink ref="A78" r:id="rId451" display="https://www.jisilu.cn/data/convert_bond_detail/123004" xr:uid="{00000000-0004-0000-0B00-0000C2010000}"/>
    <hyperlink ref="E78" r:id="rId452" display="https://www.jisilu.cn/data/stock/300197" xr:uid="{00000000-0004-0000-0B00-0000C3010000}"/>
    <hyperlink ref="L78" r:id="rId453" tooltip="收费数据，点击购买转债增强数据" display="https://www.jisilu.cn/question/95518" xr:uid="{00000000-0004-0000-0B00-0000C4010000}"/>
    <hyperlink ref="N78" r:id="rId454" tooltip="收费数据，点击购买转债增强数据" display="https://www.jisilu.cn/question/95518" xr:uid="{00000000-0004-0000-0B00-0000C5010000}"/>
    <hyperlink ref="W78" r:id="rId455" tooltip="收费数据，点击购买转债增强数据" display="https://www.jisilu.cn/question/95518" xr:uid="{00000000-0004-0000-0B00-0000C6010000}"/>
    <hyperlink ref="Y78" r:id="rId456" tooltip="加【铁汉转债】为自选转债" display="javascript:addOwnedConvertBond('123004');" xr:uid="{00000000-0004-0000-0B00-0000C7010000}"/>
    <hyperlink ref="A79" r:id="rId457" display="https://www.jisilu.cn/data/convert_bond_detail/110056" xr:uid="{00000000-0004-0000-0B00-0000C8010000}"/>
    <hyperlink ref="E79" r:id="rId458" display="https://www.jisilu.cn/data/stock/600487" xr:uid="{00000000-0004-0000-0B00-0000C9010000}"/>
    <hyperlink ref="L79" r:id="rId459" tooltip="收费数据，点击购买转债增强数据" display="https://www.jisilu.cn/question/95518" xr:uid="{00000000-0004-0000-0B00-0000CA010000}"/>
    <hyperlink ref="N79" r:id="rId460" tooltip="收费数据，点击购买转债增强数据" display="https://www.jisilu.cn/question/95518" xr:uid="{00000000-0004-0000-0B00-0000CB010000}"/>
    <hyperlink ref="W79" r:id="rId461" tooltip="收费数据，点击购买转债增强数据" display="https://www.jisilu.cn/question/95518" xr:uid="{00000000-0004-0000-0B00-0000CC010000}"/>
    <hyperlink ref="Y79" r:id="rId462" tooltip="加【亨通转债】为自选转债" display="javascript:addOwnedConvertBond('110056');" xr:uid="{00000000-0004-0000-0B00-0000CD010000}"/>
    <hyperlink ref="A80" r:id="rId463" display="https://www.jisilu.cn/data/convert_bond_detail/123020" xr:uid="{00000000-0004-0000-0B00-0000CE010000}"/>
    <hyperlink ref="E80" r:id="rId464" display="https://www.jisilu.cn/data/stock/300497" xr:uid="{00000000-0004-0000-0B00-0000CF010000}"/>
    <hyperlink ref="L80" r:id="rId465" tooltip="收费数据，点击购买转债增强数据" display="https://www.jisilu.cn/question/95518" xr:uid="{00000000-0004-0000-0B00-0000D0010000}"/>
    <hyperlink ref="N80" r:id="rId466" tooltip="收费数据，点击购买转债增强数据" display="https://www.jisilu.cn/question/95518" xr:uid="{00000000-0004-0000-0B00-0000D1010000}"/>
    <hyperlink ref="W80" r:id="rId467" tooltip="收费数据，点击购买转债增强数据" display="https://www.jisilu.cn/question/95518" xr:uid="{00000000-0004-0000-0B00-0000D2010000}"/>
    <hyperlink ref="Y80" r:id="rId468" tooltip="加【富祥转债】为自选转债" display="javascript:addOwnedConvertBond('123020');" xr:uid="{00000000-0004-0000-0B00-0000D3010000}"/>
    <hyperlink ref="A81" r:id="rId469" display="https://www.jisilu.cn/data/convert_bond_detail/110046" xr:uid="{00000000-0004-0000-0B00-0000D4010000}"/>
    <hyperlink ref="E81" r:id="rId470" display="https://www.jisilu.cn/data/stock/600233" xr:uid="{00000000-0004-0000-0B00-0000D5010000}"/>
    <hyperlink ref="L81" r:id="rId471" tooltip="收费数据，点击购买转债增强数据" display="https://www.jisilu.cn/question/95518" xr:uid="{00000000-0004-0000-0B00-0000D6010000}"/>
    <hyperlink ref="N81" r:id="rId472" tooltip="收费数据，点击购买转债增强数据" display="https://www.jisilu.cn/question/95518" xr:uid="{00000000-0004-0000-0B00-0000D7010000}"/>
    <hyperlink ref="W81" r:id="rId473" tooltip="收费数据，点击购买转债增强数据" display="https://www.jisilu.cn/question/95518" xr:uid="{00000000-0004-0000-0B00-0000D8010000}"/>
    <hyperlink ref="Y81" r:id="rId474" tooltip="加【圆通转债】为自选转债" display="javascript:addOwnedConvertBond('110046');" xr:uid="{00000000-0004-0000-0B00-0000D9010000}"/>
    <hyperlink ref="A82" r:id="rId475" display="https://www.jisilu.cn/data/convert_bond_detail/128019" xr:uid="{00000000-0004-0000-0B00-0000DA010000}"/>
    <hyperlink ref="E82" r:id="rId476" display="https://www.jisilu.cn/data/stock/002318" xr:uid="{00000000-0004-0000-0B00-0000DB010000}"/>
    <hyperlink ref="L82" r:id="rId477" tooltip="收费数据，点击购买转债增强数据" display="https://www.jisilu.cn/question/95518" xr:uid="{00000000-0004-0000-0B00-0000DC010000}"/>
    <hyperlink ref="N82" r:id="rId478" tooltip="收费数据，点击购买转债增强数据" display="https://www.jisilu.cn/question/95518" xr:uid="{00000000-0004-0000-0B00-0000DD010000}"/>
    <hyperlink ref="W82" r:id="rId479" tooltip="收费数据，点击购买转债增强数据" display="https://www.jisilu.cn/question/95518" xr:uid="{00000000-0004-0000-0B00-0000DE010000}"/>
    <hyperlink ref="Y82" r:id="rId480" tooltip="加【久立转2】为自选转债" display="javascript:addOwnedConvertBond('128019');" xr:uid="{00000000-0004-0000-0B00-0000DF010000}"/>
    <hyperlink ref="A83" r:id="rId481" display="https://www.jisilu.cn/data/convert_bond_detail/123013" xr:uid="{00000000-0004-0000-0B00-0000E0010000}"/>
    <hyperlink ref="E83" r:id="rId482" display="https://www.jisilu.cn/data/stock/300539" xr:uid="{00000000-0004-0000-0B00-0000E1010000}"/>
    <hyperlink ref="L83" r:id="rId483" tooltip="收费数据，点击购买转债增强数据" display="https://www.jisilu.cn/question/95518" xr:uid="{00000000-0004-0000-0B00-0000E2010000}"/>
    <hyperlink ref="N83" r:id="rId484" tooltip="收费数据，点击购买转债增强数据" display="https://www.jisilu.cn/question/95518" xr:uid="{00000000-0004-0000-0B00-0000E3010000}"/>
    <hyperlink ref="W83" r:id="rId485" tooltip="收费数据，点击购买转债增强数据" display="https://www.jisilu.cn/question/95518" xr:uid="{00000000-0004-0000-0B00-0000E4010000}"/>
    <hyperlink ref="Y83" r:id="rId486" tooltip="加【横河转债】为自选转债" display="javascript:addOwnedConvertBond('123013');" xr:uid="{00000000-0004-0000-0B00-0000E5010000}"/>
    <hyperlink ref="A84" r:id="rId487" display="https://www.jisilu.cn/data/convert_bond_detail/113516" xr:uid="{00000000-0004-0000-0B00-0000E6010000}"/>
    <hyperlink ref="E84" r:id="rId488" display="https://www.jisilu.cn/data/stock/603323" xr:uid="{00000000-0004-0000-0B00-0000E7010000}"/>
    <hyperlink ref="L84" r:id="rId489" tooltip="收费数据，点击购买转债增强数据" display="https://www.jisilu.cn/question/95518" xr:uid="{00000000-0004-0000-0B00-0000E8010000}"/>
    <hyperlink ref="N84" r:id="rId490" tooltip="收费数据，点击购买转债增强数据" display="https://www.jisilu.cn/question/95518" xr:uid="{00000000-0004-0000-0B00-0000E9010000}"/>
    <hyperlink ref="W84" r:id="rId491" tooltip="收费数据，点击购买转债增强数据" display="https://www.jisilu.cn/question/95518" xr:uid="{00000000-0004-0000-0B00-0000EA010000}"/>
    <hyperlink ref="Y84" r:id="rId492" tooltip="加【苏农转债】为自选转债" display="javascript:addOwnedConvertBond('113516');" xr:uid="{00000000-0004-0000-0B00-0000EB010000}"/>
    <hyperlink ref="A85" r:id="rId493" display="https://www.jisilu.cn/data/convert_bond_detail/127013" xr:uid="{00000000-0004-0000-0B00-0000EC010000}"/>
    <hyperlink ref="E85" r:id="rId494" display="https://www.jisilu.cn/data/stock/000810" xr:uid="{00000000-0004-0000-0B00-0000ED010000}"/>
    <hyperlink ref="L85" r:id="rId495" tooltip="收费数据，点击购买转债增强数据" display="https://www.jisilu.cn/question/95518" xr:uid="{00000000-0004-0000-0B00-0000EE010000}"/>
    <hyperlink ref="N85" r:id="rId496" tooltip="收费数据，点击购买转债增强数据" display="https://www.jisilu.cn/question/95518" xr:uid="{00000000-0004-0000-0B00-0000EF010000}"/>
    <hyperlink ref="W85" r:id="rId497" tooltip="收费数据，点击购买转债增强数据" display="https://www.jisilu.cn/question/95518" xr:uid="{00000000-0004-0000-0B00-0000F0010000}"/>
    <hyperlink ref="Y85" r:id="rId498" tooltip="加【创维转债】为自选转债" display="javascript:addOwnedConvertBond('127013');" xr:uid="{00000000-0004-0000-0B00-0000F1010000}"/>
    <hyperlink ref="A86" r:id="rId499" display="https://www.jisilu.cn/data/convert_bond_detail/113525" xr:uid="{00000000-0004-0000-0B00-0000F2010000}"/>
    <hyperlink ref="E86" r:id="rId500" display="https://www.jisilu.cn/data/stock/603055" xr:uid="{00000000-0004-0000-0B00-0000F3010000}"/>
    <hyperlink ref="L86" r:id="rId501" tooltip="收费数据，点击购买转债增强数据" display="https://www.jisilu.cn/question/95518" xr:uid="{00000000-0004-0000-0B00-0000F4010000}"/>
    <hyperlink ref="N86" r:id="rId502" tooltip="收费数据，点击购买转债增强数据" display="https://www.jisilu.cn/question/95518" xr:uid="{00000000-0004-0000-0B00-0000F5010000}"/>
    <hyperlink ref="W86" r:id="rId503" tooltip="收费数据，点击购买转债增强数据" display="https://www.jisilu.cn/question/95518" xr:uid="{00000000-0004-0000-0B00-0000F6010000}"/>
    <hyperlink ref="Y86" r:id="rId504" tooltip="加【台华转债】为自选转债" display="javascript:addOwnedConvertBond('113525');" xr:uid="{00000000-0004-0000-0B00-0000F7010000}"/>
    <hyperlink ref="A87" r:id="rId505" display="https://www.jisilu.cn/data/convert_bond_detail/113522" xr:uid="{00000000-0004-0000-0B00-0000F8010000}"/>
    <hyperlink ref="E87" r:id="rId506" display="https://www.jisilu.cn/data/stock/603305" xr:uid="{00000000-0004-0000-0B00-0000F9010000}"/>
    <hyperlink ref="L87" r:id="rId507" tooltip="收费数据，点击购买转债增强数据" display="https://www.jisilu.cn/question/95518" xr:uid="{00000000-0004-0000-0B00-0000FA010000}"/>
    <hyperlink ref="N87" r:id="rId508" tooltip="收费数据，点击购买转债增强数据" display="https://www.jisilu.cn/question/95518" xr:uid="{00000000-0004-0000-0B00-0000FB010000}"/>
    <hyperlink ref="W87" r:id="rId509" tooltip="收费数据，点击购买转债增强数据" display="https://www.jisilu.cn/question/95518" xr:uid="{00000000-0004-0000-0B00-0000FC010000}"/>
    <hyperlink ref="Y87" r:id="rId510" tooltip="加【旭升转债】为自选转债" display="javascript:addOwnedConvertBond('113522');" xr:uid="{00000000-0004-0000-0B00-0000FD010000}"/>
    <hyperlink ref="A88" r:id="rId511" display="https://www.jisilu.cn/data/convert_bond_detail/113548" xr:uid="{00000000-0004-0000-0B00-0000FE010000}"/>
    <hyperlink ref="E88" r:id="rId512" display="https://www.jisilu.cn/data/stock/603688" xr:uid="{00000000-0004-0000-0B00-0000FF010000}"/>
    <hyperlink ref="L88" r:id="rId513" tooltip="收费数据，点击购买转债增强数据" display="https://www.jisilu.cn/question/95518" xr:uid="{00000000-0004-0000-0B00-000000020000}"/>
    <hyperlink ref="N88" r:id="rId514" tooltip="收费数据，点击购买转债增强数据" display="https://www.jisilu.cn/question/95518" xr:uid="{00000000-0004-0000-0B00-000001020000}"/>
    <hyperlink ref="W88" r:id="rId515" tooltip="收费数据，点击购买转债增强数据" display="https://www.jisilu.cn/question/95518" xr:uid="{00000000-0004-0000-0B00-000002020000}"/>
    <hyperlink ref="Y88" r:id="rId516" tooltip="加【石英转债】为自选转债" display="javascript:addOwnedConvertBond('113548');" xr:uid="{00000000-0004-0000-0B00-000003020000}"/>
    <hyperlink ref="A89" r:id="rId517" display="https://www.jisilu.cn/data/convert_bond_detail/113008" xr:uid="{00000000-0004-0000-0B00-000004020000}"/>
    <hyperlink ref="E89" r:id="rId518" display="https://www.jisilu.cn/data/stock/601727" xr:uid="{00000000-0004-0000-0B00-000005020000}"/>
    <hyperlink ref="L89" r:id="rId519" tooltip="收费数据，点击购买转债增强数据" display="https://www.jisilu.cn/question/95518" xr:uid="{00000000-0004-0000-0B00-000006020000}"/>
    <hyperlink ref="N89" r:id="rId520" tooltip="收费数据，点击购买转债增强数据" display="https://www.jisilu.cn/question/95518" xr:uid="{00000000-0004-0000-0B00-000007020000}"/>
    <hyperlink ref="W89" r:id="rId521" tooltip="收费数据，点击购买转债增强数据" display="https://www.jisilu.cn/question/95518" xr:uid="{00000000-0004-0000-0B00-000008020000}"/>
    <hyperlink ref="Y89" r:id="rId522" tooltip="加【电气转债】为自选转债" display="javascript:addOwnedConvertBond('113008');" xr:uid="{00000000-0004-0000-0B00-000009020000}"/>
    <hyperlink ref="A90" r:id="rId523" display="https://www.jisilu.cn/data/convert_bond_detail/128033" xr:uid="{00000000-0004-0000-0B00-00000A020000}"/>
    <hyperlink ref="E90" r:id="rId524" display="https://www.jisilu.cn/data/stock/002658" xr:uid="{00000000-0004-0000-0B00-00000B020000}"/>
    <hyperlink ref="L90" r:id="rId525" tooltip="收费数据，点击购买转债增强数据" display="https://www.jisilu.cn/question/95518" xr:uid="{00000000-0004-0000-0B00-00000C020000}"/>
    <hyperlink ref="N90" r:id="rId526" tooltip="收费数据，点击购买转债增强数据" display="https://www.jisilu.cn/question/95518" xr:uid="{00000000-0004-0000-0B00-00000D020000}"/>
    <hyperlink ref="W90" r:id="rId527" tooltip="收费数据，点击购买转债增强数据" display="https://www.jisilu.cn/question/95518" xr:uid="{00000000-0004-0000-0B00-00000E020000}"/>
    <hyperlink ref="Y90" r:id="rId528" tooltip="加【迪龙转债】为自选转债" display="javascript:addOwnedConvertBond('128033');" xr:uid="{00000000-0004-0000-0B00-00000F020000}"/>
    <hyperlink ref="A91" r:id="rId529" display="https://www.jisilu.cn/data/convert_bond_detail/113528" xr:uid="{00000000-0004-0000-0B00-000010020000}"/>
    <hyperlink ref="E91" r:id="rId530" display="https://www.jisilu.cn/data/stock/603897" xr:uid="{00000000-0004-0000-0B00-000011020000}"/>
    <hyperlink ref="L91" r:id="rId531" tooltip="收费数据，点击购买转债增强数据" display="https://www.jisilu.cn/question/95518" xr:uid="{00000000-0004-0000-0B00-000012020000}"/>
    <hyperlink ref="N91" r:id="rId532" tooltip="收费数据，点击购买转债增强数据" display="https://www.jisilu.cn/question/95518" xr:uid="{00000000-0004-0000-0B00-000013020000}"/>
    <hyperlink ref="W91" r:id="rId533" tooltip="收费数据，点击购买转债增强数据" display="https://www.jisilu.cn/question/95518" xr:uid="{00000000-0004-0000-0B00-000014020000}"/>
    <hyperlink ref="Y91" r:id="rId534" tooltip="加【长城转债】为自选转债" display="javascript:addOwnedConvertBond('113528');" xr:uid="{00000000-0004-0000-0B00-000015020000}"/>
    <hyperlink ref="A92" r:id="rId535" display="https://www.jisilu.cn/data/convert_bond_detail/127014" xr:uid="{00000000-0004-0000-0B00-000016020000}"/>
    <hyperlink ref="E92" r:id="rId536" display="https://www.jisilu.cn/data/stock/000065" xr:uid="{00000000-0004-0000-0B00-000017020000}"/>
    <hyperlink ref="L92" r:id="rId537" tooltip="收费数据，点击购买转债增强数据" display="https://www.jisilu.cn/question/95518" xr:uid="{00000000-0004-0000-0B00-000018020000}"/>
    <hyperlink ref="N92" r:id="rId538" tooltip="收费数据，点击购买转债增强数据" display="https://www.jisilu.cn/question/95518" xr:uid="{00000000-0004-0000-0B00-000019020000}"/>
    <hyperlink ref="W92" r:id="rId539" tooltip="收费数据，点击购买转债增强数据" display="https://www.jisilu.cn/question/95518" xr:uid="{00000000-0004-0000-0B00-00001A020000}"/>
    <hyperlink ref="Y92" r:id="rId540" tooltip="加【北方转债】为自选转债" display="javascript:addOwnedConvertBond('127014');" xr:uid="{00000000-0004-0000-0B00-00001B020000}"/>
    <hyperlink ref="A93" r:id="rId541" display="https://www.jisilu.cn/data/convert_bond_detail/113020" xr:uid="{00000000-0004-0000-0B00-00001C020000}"/>
    <hyperlink ref="E93" r:id="rId542" display="https://www.jisilu.cn/data/stock/601233" xr:uid="{00000000-0004-0000-0B00-00001D020000}"/>
    <hyperlink ref="L93" r:id="rId543" tooltip="收费数据，点击购买转债增强数据" display="https://www.jisilu.cn/question/95518" xr:uid="{00000000-0004-0000-0B00-00001E020000}"/>
    <hyperlink ref="N93" r:id="rId544" tooltip="收费数据，点击购买转债增强数据" display="https://www.jisilu.cn/question/95518" xr:uid="{00000000-0004-0000-0B00-00001F020000}"/>
    <hyperlink ref="W93" r:id="rId545" tooltip="收费数据，点击购买转债增强数据" display="https://www.jisilu.cn/question/95518" xr:uid="{00000000-0004-0000-0B00-000020020000}"/>
    <hyperlink ref="Y93" r:id="rId546" tooltip="加【桐昆转债】为自选转债" display="javascript:addOwnedConvertBond('113020');" xr:uid="{00000000-0004-0000-0B00-000021020000}"/>
    <hyperlink ref="A94" r:id="rId547" display="https://www.jisilu.cn/data/convert_bond_detail/123002" xr:uid="{00000000-0004-0000-0B00-000022020000}"/>
    <hyperlink ref="E94" r:id="rId548" display="https://www.jisilu.cn/data/stock/300388" xr:uid="{00000000-0004-0000-0B00-000023020000}"/>
    <hyperlink ref="L94" r:id="rId549" tooltip="收费数据，点击购买转债增强数据" display="https://www.jisilu.cn/question/95518" xr:uid="{00000000-0004-0000-0B00-000024020000}"/>
    <hyperlink ref="N94" r:id="rId550" tooltip="收费数据，点击购买转债增强数据" display="https://www.jisilu.cn/question/95518" xr:uid="{00000000-0004-0000-0B00-000025020000}"/>
    <hyperlink ref="W94" r:id="rId551" tooltip="收费数据，点击购买转债增强数据" display="https://www.jisilu.cn/question/95518" xr:uid="{00000000-0004-0000-0B00-000026020000}"/>
    <hyperlink ref="Y94" r:id="rId552" tooltip="加【国祯转债】为自选转债" display="javascript:addOwnedConvertBond('123002');" xr:uid="{00000000-0004-0000-0B00-000027020000}"/>
    <hyperlink ref="A95" r:id="rId553" display="https://www.jisilu.cn/data/convert_bond_detail/113527" xr:uid="{00000000-0004-0000-0B00-000028020000}"/>
    <hyperlink ref="E95" r:id="rId554" display="https://www.jisilu.cn/data/stock/603518" xr:uid="{00000000-0004-0000-0B00-000029020000}"/>
    <hyperlink ref="L95" r:id="rId555" tooltip="收费数据，点击购买转债增强数据" display="https://www.jisilu.cn/question/95518" xr:uid="{00000000-0004-0000-0B00-00002A020000}"/>
    <hyperlink ref="N95" r:id="rId556" tooltip="收费数据，点击购买转债增强数据" display="https://www.jisilu.cn/question/95518" xr:uid="{00000000-0004-0000-0B00-00002B020000}"/>
    <hyperlink ref="W95" r:id="rId557" tooltip="收费数据，点击购买转债增强数据" display="https://www.jisilu.cn/question/95518" xr:uid="{00000000-0004-0000-0B00-00002C020000}"/>
    <hyperlink ref="Y95" r:id="rId558" tooltip="加【维格转债】为自选转债" display="javascript:addOwnedConvertBond('113527');" xr:uid="{00000000-0004-0000-0B00-00002D020000}"/>
    <hyperlink ref="A96" r:id="rId559" display="https://www.jisilu.cn/data/convert_bond_detail/110048" xr:uid="{00000000-0004-0000-0B00-00002E020000}"/>
    <hyperlink ref="E96" r:id="rId560" display="https://www.jisilu.cn/data/stock/600483" xr:uid="{00000000-0004-0000-0B00-00002F020000}"/>
    <hyperlink ref="L96" r:id="rId561" tooltip="收费数据，点击购买转债增强数据" display="https://www.jisilu.cn/question/95518" xr:uid="{00000000-0004-0000-0B00-000030020000}"/>
    <hyperlink ref="N96" r:id="rId562" tooltip="收费数据，点击购买转债增强数据" display="https://www.jisilu.cn/question/95518" xr:uid="{00000000-0004-0000-0B00-000031020000}"/>
    <hyperlink ref="W96" r:id="rId563" tooltip="收费数据，点击购买转债增强数据" display="https://www.jisilu.cn/question/95518" xr:uid="{00000000-0004-0000-0B00-000032020000}"/>
    <hyperlink ref="Y96" r:id="rId564" tooltip="加【福能转债】为自选转债" display="javascript:addOwnedConvertBond('110048');" xr:uid="{00000000-0004-0000-0B00-000033020000}"/>
    <hyperlink ref="A97" r:id="rId565" display="https://www.jisilu.cn/data/convert_bond_detail/113519" xr:uid="{00000000-0004-0000-0B00-000034020000}"/>
    <hyperlink ref="E97" r:id="rId566" display="https://www.jisilu.cn/data/stock/603569" xr:uid="{00000000-0004-0000-0B00-000035020000}"/>
    <hyperlink ref="L97" r:id="rId567" tooltip="收费数据，点击购买转债增强数据" display="https://www.jisilu.cn/question/95518" xr:uid="{00000000-0004-0000-0B00-000036020000}"/>
    <hyperlink ref="N97" r:id="rId568" tooltip="收费数据，点击购买转债增强数据" display="https://www.jisilu.cn/question/95518" xr:uid="{00000000-0004-0000-0B00-000037020000}"/>
    <hyperlink ref="W97" r:id="rId569" tooltip="收费数据，点击购买转债增强数据" display="https://www.jisilu.cn/question/95518" xr:uid="{00000000-0004-0000-0B00-000038020000}"/>
    <hyperlink ref="Y97" r:id="rId570" tooltip="加【长久转债】为自选转债" display="javascript:addOwnedConvertBond('113519');" xr:uid="{00000000-0004-0000-0B00-000039020000}"/>
    <hyperlink ref="A98" r:id="rId571" display="https://www.jisilu.cn/data/convert_bond_detail/128048" xr:uid="{00000000-0004-0000-0B00-00003A020000}"/>
    <hyperlink ref="E98" r:id="rId572" display="https://www.jisilu.cn/data/stock/002839" xr:uid="{00000000-0004-0000-0B00-00003B020000}"/>
    <hyperlink ref="L98" r:id="rId573" tooltip="收费数据，点击购买转债增强数据" display="https://www.jisilu.cn/question/95518" xr:uid="{00000000-0004-0000-0B00-00003C020000}"/>
    <hyperlink ref="N98" r:id="rId574" tooltip="收费数据，点击购买转债增强数据" display="https://www.jisilu.cn/question/95518" xr:uid="{00000000-0004-0000-0B00-00003D020000}"/>
    <hyperlink ref="W98" r:id="rId575" tooltip="收费数据，点击购买转债增强数据" display="https://www.jisilu.cn/question/95518" xr:uid="{00000000-0004-0000-0B00-00003E020000}"/>
    <hyperlink ref="Y98" r:id="rId576" tooltip="加【张行转债】为自选转债" display="javascript:addOwnedConvertBond('128048');" xr:uid="{00000000-0004-0000-0B00-00003F020000}"/>
    <hyperlink ref="A99" r:id="rId577" display="https://www.jisilu.cn/data/convert_bond_detail/128050" xr:uid="{00000000-0004-0000-0B00-000040020000}"/>
    <hyperlink ref="E99" r:id="rId578" display="https://www.jisilu.cn/data/stock/002865" xr:uid="{00000000-0004-0000-0B00-000041020000}"/>
    <hyperlink ref="L99" r:id="rId579" tooltip="收费数据，点击购买转债增强数据" display="https://www.jisilu.cn/question/95518" xr:uid="{00000000-0004-0000-0B00-000042020000}"/>
    <hyperlink ref="N99" r:id="rId580" tooltip="收费数据，点击购买转债增强数据" display="https://www.jisilu.cn/question/95518" xr:uid="{00000000-0004-0000-0B00-000043020000}"/>
    <hyperlink ref="W99" r:id="rId581" tooltip="收费数据，点击购买转债增强数据" display="https://www.jisilu.cn/question/95518" xr:uid="{00000000-0004-0000-0B00-000044020000}"/>
    <hyperlink ref="Y99" r:id="rId582" tooltip="加【钧达转债】为自选转债" display="javascript:addOwnedConvertBond('128050');" xr:uid="{00000000-0004-0000-0B00-000045020000}"/>
    <hyperlink ref="A100" r:id="rId583" display="https://www.jisilu.cn/data/convert_bond_detail/123009" xr:uid="{00000000-0004-0000-0B00-000046020000}"/>
    <hyperlink ref="E100" r:id="rId584" display="https://www.jisilu.cn/data/stock/300568" xr:uid="{00000000-0004-0000-0B00-000047020000}"/>
    <hyperlink ref="L100" r:id="rId585" tooltip="收费数据，点击购买转债增强数据" display="https://www.jisilu.cn/question/95518" xr:uid="{00000000-0004-0000-0B00-000048020000}"/>
    <hyperlink ref="N100" r:id="rId586" tooltip="收费数据，点击购买转债增强数据" display="https://www.jisilu.cn/question/95518" xr:uid="{00000000-0004-0000-0B00-000049020000}"/>
    <hyperlink ref="W100" r:id="rId587" tooltip="收费数据，点击购买转债增强数据" display="https://www.jisilu.cn/question/95518" xr:uid="{00000000-0004-0000-0B00-00004A020000}"/>
    <hyperlink ref="Y100" r:id="rId588" tooltip="加【星源转债】为自选转债" display="javascript:addOwnedConvertBond('123009');" xr:uid="{00000000-0004-0000-0B00-00004B020000}"/>
    <hyperlink ref="A101" r:id="rId589" display="https://www.jisilu.cn/data/convert_bond_detail/110060" xr:uid="{00000000-0004-0000-0B00-00004C020000}"/>
    <hyperlink ref="E101" r:id="rId590" display="https://www.jisilu.cn/data/stock/600326" xr:uid="{00000000-0004-0000-0B00-00004D020000}"/>
    <hyperlink ref="L101" r:id="rId591" tooltip="收费数据，点击购买转债增强数据" display="https://www.jisilu.cn/question/95518" xr:uid="{00000000-0004-0000-0B00-00004E020000}"/>
    <hyperlink ref="N101" r:id="rId592" tooltip="收费数据，点击购买转债增强数据" display="https://www.jisilu.cn/question/95518" xr:uid="{00000000-0004-0000-0B00-00004F020000}"/>
    <hyperlink ref="W101" r:id="rId593" tooltip="收费数据，点击购买转债增强数据" display="https://www.jisilu.cn/question/95518" xr:uid="{00000000-0004-0000-0B00-000050020000}"/>
    <hyperlink ref="Y101" r:id="rId594" tooltip="加【天路转债】为自选转债" display="javascript:addOwnedConvertBond('110060');" xr:uid="{00000000-0004-0000-0B00-000051020000}"/>
    <hyperlink ref="A102" r:id="rId595" display="https://www.jisilu.cn/data/convert_bond_detail/123029" xr:uid="{00000000-0004-0000-0B00-000052020000}"/>
    <hyperlink ref="E102" r:id="rId596" display="https://www.jisilu.cn/data/stock/300677" xr:uid="{00000000-0004-0000-0B00-000053020000}"/>
    <hyperlink ref="L102" r:id="rId597" tooltip="收费数据，点击购买转债增强数据" display="https://www.jisilu.cn/question/95518" xr:uid="{00000000-0004-0000-0B00-000054020000}"/>
    <hyperlink ref="N102" r:id="rId598" tooltip="收费数据，点击购买转债增强数据" display="https://www.jisilu.cn/question/95518" xr:uid="{00000000-0004-0000-0B00-000055020000}"/>
    <hyperlink ref="W102" r:id="rId599" tooltip="收费数据，点击购买转债增强数据" display="https://www.jisilu.cn/question/95518" xr:uid="{00000000-0004-0000-0B00-000056020000}"/>
    <hyperlink ref="Y102" r:id="rId600" tooltip="加【英科转债】为自选转债" display="javascript:addOwnedConvertBond('123029');" xr:uid="{00000000-0004-0000-0B00-000057020000}"/>
    <hyperlink ref="A103" r:id="rId601" display="https://www.jisilu.cn/data/convert_bond_detail/113028" xr:uid="{00000000-0004-0000-0B00-000058020000}"/>
    <hyperlink ref="E103" r:id="rId602" display="https://www.jisilu.cn/data/stock/601200" xr:uid="{00000000-0004-0000-0B00-000059020000}"/>
    <hyperlink ref="L103" r:id="rId603" tooltip="收费数据，点击购买转债增强数据" display="https://www.jisilu.cn/question/95518" xr:uid="{00000000-0004-0000-0B00-00005A020000}"/>
    <hyperlink ref="N103" r:id="rId604" tooltip="收费数据，点击购买转债增强数据" display="https://www.jisilu.cn/question/95518" xr:uid="{00000000-0004-0000-0B00-00005B020000}"/>
    <hyperlink ref="W103" r:id="rId605" tooltip="收费数据，点击购买转债增强数据" display="https://www.jisilu.cn/question/95518" xr:uid="{00000000-0004-0000-0B00-00005C020000}"/>
    <hyperlink ref="Y103" r:id="rId606" tooltip="加【环境转债】为自选转债" display="javascript:addOwnedConvertBond('113028');" xr:uid="{00000000-0004-0000-0B00-00005D020000}"/>
    <hyperlink ref="A104" r:id="rId607" display="https://www.jisilu.cn/data/convert_bond_detail/128021" xr:uid="{00000000-0004-0000-0B00-00005E020000}"/>
    <hyperlink ref="E104" r:id="rId608" display="https://www.jisilu.cn/data/stock/002562" xr:uid="{00000000-0004-0000-0B00-00005F020000}"/>
    <hyperlink ref="L104" r:id="rId609" tooltip="收费数据，点击购买转债增强数据" display="https://www.jisilu.cn/question/95518" xr:uid="{00000000-0004-0000-0B00-000060020000}"/>
    <hyperlink ref="N104" r:id="rId610" tooltip="收费数据，点击购买转债增强数据" display="https://www.jisilu.cn/question/95518" xr:uid="{00000000-0004-0000-0B00-000061020000}"/>
    <hyperlink ref="W104" r:id="rId611" tooltip="收费数据，点击购买转债增强数据" display="https://www.jisilu.cn/question/95518" xr:uid="{00000000-0004-0000-0B00-000062020000}"/>
    <hyperlink ref="Y104" r:id="rId612" tooltip="加【兄弟转债】为自选转债" display="javascript:addOwnedConvertBond('128021');" xr:uid="{00000000-0004-0000-0B00-000063020000}"/>
    <hyperlink ref="A105" r:id="rId613" display="https://www.jisilu.cn/data/convert_bond_detail/113532" xr:uid="{00000000-0004-0000-0B00-000064020000}"/>
    <hyperlink ref="E105" r:id="rId614" display="https://www.jisilu.cn/data/stock/603817" xr:uid="{00000000-0004-0000-0B00-000065020000}"/>
    <hyperlink ref="L105" r:id="rId615" tooltip="收费数据，点击购买转债增强数据" display="https://www.jisilu.cn/question/95518" xr:uid="{00000000-0004-0000-0B00-000066020000}"/>
    <hyperlink ref="N105" r:id="rId616" tooltip="收费数据，点击购买转债增强数据" display="https://www.jisilu.cn/question/95518" xr:uid="{00000000-0004-0000-0B00-000067020000}"/>
    <hyperlink ref="W105" r:id="rId617" tooltip="收费数据，点击购买转债增强数据" display="https://www.jisilu.cn/question/95518" xr:uid="{00000000-0004-0000-0B00-000068020000}"/>
    <hyperlink ref="Y105" r:id="rId618" tooltip="加【海环转债】为自选转债" display="javascript:addOwnedConvertBond('113532');" xr:uid="{00000000-0004-0000-0B00-000069020000}"/>
    <hyperlink ref="A106" r:id="rId619" display="https://www.jisilu.cn/data/convert_bond_detail/128065" xr:uid="{00000000-0004-0000-0B00-00006A020000}"/>
    <hyperlink ref="E106" r:id="rId620" display="https://www.jisilu.cn/data/stock/002497" xr:uid="{00000000-0004-0000-0B00-00006B020000}"/>
    <hyperlink ref="L106" r:id="rId621" tooltip="收费数据，点击购买转债增强数据" display="https://www.jisilu.cn/question/95518" xr:uid="{00000000-0004-0000-0B00-00006C020000}"/>
    <hyperlink ref="N106" r:id="rId622" tooltip="收费数据，点击购买转债增强数据" display="https://www.jisilu.cn/question/95518" xr:uid="{00000000-0004-0000-0B00-00006D020000}"/>
    <hyperlink ref="W106" r:id="rId623" tooltip="收费数据，点击购买转债增强数据" display="https://www.jisilu.cn/question/95518" xr:uid="{00000000-0004-0000-0B00-00006E020000}"/>
    <hyperlink ref="Y106" r:id="rId624" tooltip="加【雅化转债】为自选转债" display="javascript:addOwnedConvertBond('128065');" xr:uid="{00000000-0004-0000-0B00-00006F020000}"/>
    <hyperlink ref="A107" r:id="rId625" display="https://www.jisilu.cn/data/convert_bond_detail/120003" xr:uid="{00000000-0004-0000-0B00-000070020000}"/>
    <hyperlink ref="E107" r:id="rId626" display="https://www.jisilu.cn/data/stock/000932" xr:uid="{00000000-0004-0000-0B00-000071020000}"/>
    <hyperlink ref="L107" r:id="rId627" tooltip="收费数据，点击购买转债增强数据" display="https://www.jisilu.cn/question/95518" xr:uid="{00000000-0004-0000-0B00-000072020000}"/>
    <hyperlink ref="N107" r:id="rId628" tooltip="收费数据，点击购买转债增强数据" display="https://www.jisilu.cn/question/95518" xr:uid="{00000000-0004-0000-0B00-000073020000}"/>
    <hyperlink ref="W107" r:id="rId629" tooltip="收费数据，点击购买转债增强数据" display="https://www.jisilu.cn/question/95518" xr:uid="{00000000-0004-0000-0B00-000074020000}"/>
    <hyperlink ref="Y107" r:id="rId630" tooltip="加【19华菱EB】为自选转债" display="javascript:addOwnedConvertBond('120003');" xr:uid="{00000000-0004-0000-0B00-000075020000}"/>
    <hyperlink ref="A108" r:id="rId631" display="https://www.jisilu.cn/data/convert_bond_detail/113505" xr:uid="{00000000-0004-0000-0B00-000076020000}"/>
    <hyperlink ref="E108" r:id="rId632" display="https://www.jisilu.cn/data/stock/603618" xr:uid="{00000000-0004-0000-0B00-000077020000}"/>
    <hyperlink ref="L108" r:id="rId633" tooltip="收费数据，点击购买转债增强数据" display="https://www.jisilu.cn/question/95518" xr:uid="{00000000-0004-0000-0B00-000078020000}"/>
    <hyperlink ref="N108" r:id="rId634" tooltip="收费数据，点击购买转债增强数据" display="https://www.jisilu.cn/question/95518" xr:uid="{00000000-0004-0000-0B00-000079020000}"/>
    <hyperlink ref="W108" r:id="rId635" tooltip="收费数据，点击购买转债增强数据" display="https://www.jisilu.cn/question/95518" xr:uid="{00000000-0004-0000-0B00-00007A020000}"/>
    <hyperlink ref="Y108" r:id="rId636" tooltip="加【杭电转债】为自选转债" display="javascript:addOwnedConvertBond('113505');" xr:uid="{00000000-0004-0000-0B00-00007B020000}"/>
    <hyperlink ref="A109" r:id="rId637" display="https://www.jisilu.cn/data/convert_bond_detail/123016" xr:uid="{00000000-0004-0000-0B00-00007C020000}"/>
    <hyperlink ref="E109" r:id="rId638" display="https://www.jisilu.cn/data/stock/300232" xr:uid="{00000000-0004-0000-0B00-00007D020000}"/>
    <hyperlink ref="L109" r:id="rId639" tooltip="收费数据，点击购买转债增强数据" display="https://www.jisilu.cn/question/95518" xr:uid="{00000000-0004-0000-0B00-00007E020000}"/>
    <hyperlink ref="N109" r:id="rId640" tooltip="收费数据，点击购买转债增强数据" display="https://www.jisilu.cn/question/95518" xr:uid="{00000000-0004-0000-0B00-00007F020000}"/>
    <hyperlink ref="W109" r:id="rId641" tooltip="收费数据，点击购买转债增强数据" display="https://www.jisilu.cn/question/95518" xr:uid="{00000000-0004-0000-0B00-000080020000}"/>
    <hyperlink ref="Y109" r:id="rId642" tooltip="加【洲明转债】为自选转债" display="javascript:addOwnedConvertBond('123016');" xr:uid="{00000000-0004-0000-0B00-000081020000}"/>
    <hyperlink ref="A110" r:id="rId643" display="https://www.jisilu.cn/data/convert_bond_detail/110043" xr:uid="{00000000-0004-0000-0B00-000082020000}"/>
    <hyperlink ref="E110" r:id="rId644" display="https://www.jisilu.cn/data/stock/600908" xr:uid="{00000000-0004-0000-0B00-000083020000}"/>
    <hyperlink ref="L110" r:id="rId645" tooltip="收费数据，点击购买转债增强数据" display="https://www.jisilu.cn/question/95518" xr:uid="{00000000-0004-0000-0B00-000084020000}"/>
    <hyperlink ref="N110" r:id="rId646" tooltip="收费数据，点击购买转债增强数据" display="https://www.jisilu.cn/question/95518" xr:uid="{00000000-0004-0000-0B00-000085020000}"/>
    <hyperlink ref="W110" r:id="rId647" tooltip="收费数据，点击购买转债增强数据" display="https://www.jisilu.cn/question/95518" xr:uid="{00000000-0004-0000-0B00-000086020000}"/>
    <hyperlink ref="Y110" r:id="rId648" tooltip="加【无锡转债】为自选转债" display="javascript:addOwnedConvertBond('110043');" xr:uid="{00000000-0004-0000-0B00-000087020000}"/>
    <hyperlink ref="A111" r:id="rId649" display="https://www.jisilu.cn/data/convert_bond_detail/128058" xr:uid="{00000000-0004-0000-0B00-000088020000}"/>
    <hyperlink ref="E111" r:id="rId650" display="https://www.jisilu.cn/data/stock/002139" xr:uid="{00000000-0004-0000-0B00-000089020000}"/>
    <hyperlink ref="L111" r:id="rId651" tooltip="收费数据，点击购买转债增强数据" display="https://www.jisilu.cn/question/95518" xr:uid="{00000000-0004-0000-0B00-00008A020000}"/>
    <hyperlink ref="N111" r:id="rId652" tooltip="收费数据，点击购买转债增强数据" display="https://www.jisilu.cn/question/95518" xr:uid="{00000000-0004-0000-0B00-00008B020000}"/>
    <hyperlink ref="W111" r:id="rId653" tooltip="收费数据，点击购买转债增强数据" display="https://www.jisilu.cn/question/95518" xr:uid="{00000000-0004-0000-0B00-00008C020000}"/>
    <hyperlink ref="Y111" r:id="rId654" tooltip="加【拓邦转债】为自选转债" display="javascript:addOwnedConvertBond('128058');" xr:uid="{00000000-0004-0000-0B00-00008D020000}"/>
    <hyperlink ref="A112" r:id="rId655" display="https://www.jisilu.cn/data/convert_bond_detail/113503" xr:uid="{00000000-0004-0000-0B00-00008E020000}"/>
    <hyperlink ref="E112" r:id="rId656" display="https://www.jisilu.cn/data/stock/603738" xr:uid="{00000000-0004-0000-0B00-00008F020000}"/>
    <hyperlink ref="L112" r:id="rId657" tooltip="收费数据，点击购买转债增强数据" display="https://www.jisilu.cn/question/95518" xr:uid="{00000000-0004-0000-0B00-000090020000}"/>
    <hyperlink ref="N112" r:id="rId658" tooltip="收费数据，点击购买转债增强数据" display="https://www.jisilu.cn/question/95518" xr:uid="{00000000-0004-0000-0B00-000091020000}"/>
    <hyperlink ref="W112" r:id="rId659" tooltip="收费数据，点击购买转债增强数据" display="https://www.jisilu.cn/question/95518" xr:uid="{00000000-0004-0000-0B00-000092020000}"/>
    <hyperlink ref="Y112" r:id="rId660" tooltip="加【泰晶转债】为自选转债" display="javascript:addOwnedConvertBond('113503');" xr:uid="{00000000-0004-0000-0B00-000093020000}"/>
    <hyperlink ref="A113" r:id="rId661" display="https://www.jisilu.cn/data/convert_bond_detail/110053" xr:uid="{00000000-0004-0000-0B00-000094020000}"/>
    <hyperlink ref="E113" r:id="rId662" display="https://www.jisilu.cn/data/stock/600919" xr:uid="{00000000-0004-0000-0B00-000095020000}"/>
    <hyperlink ref="L113" r:id="rId663" tooltip="收费数据，点击购买转债增强数据" display="https://www.jisilu.cn/question/95518" xr:uid="{00000000-0004-0000-0B00-000096020000}"/>
    <hyperlink ref="N113" r:id="rId664" tooltip="收费数据，点击购买转债增强数据" display="https://www.jisilu.cn/question/95518" xr:uid="{00000000-0004-0000-0B00-000097020000}"/>
    <hyperlink ref="W113" r:id="rId665" tooltip="收费数据，点击购买转债增强数据" display="https://www.jisilu.cn/question/95518" xr:uid="{00000000-0004-0000-0B00-000098020000}"/>
    <hyperlink ref="Y113" r:id="rId666" tooltip="加【苏银转债】为自选转债" display="javascript:addOwnedConvertBond('110053');" xr:uid="{00000000-0004-0000-0B00-000099020000}"/>
    <hyperlink ref="A114" r:id="rId667" display="https://www.jisilu.cn/data/convert_bond_detail/110057" xr:uid="{00000000-0004-0000-0B00-00009A020000}"/>
    <hyperlink ref="E114" r:id="rId668" display="https://www.jisilu.cn/data/stock/600420" xr:uid="{00000000-0004-0000-0B00-00009B020000}"/>
    <hyperlink ref="L114" r:id="rId669" tooltip="收费数据，点击购买转债增强数据" display="https://www.jisilu.cn/question/95518" xr:uid="{00000000-0004-0000-0B00-00009C020000}"/>
    <hyperlink ref="N114" r:id="rId670" tooltip="收费数据，点击购买转债增强数据" display="https://www.jisilu.cn/question/95518" xr:uid="{00000000-0004-0000-0B00-00009D020000}"/>
    <hyperlink ref="W114" r:id="rId671" tooltip="收费数据，点击购买转债增强数据" display="https://www.jisilu.cn/question/95518" xr:uid="{00000000-0004-0000-0B00-00009E020000}"/>
    <hyperlink ref="Y114" r:id="rId672" tooltip="加【现代转债】为自选转债" display="javascript:addOwnedConvertBond('110057');" xr:uid="{00000000-0004-0000-0B00-00009F020000}"/>
    <hyperlink ref="A115" r:id="rId673" display="https://www.jisilu.cn/data/convert_bond_detail/110052" xr:uid="{00000000-0004-0000-0B00-0000A0020000}"/>
    <hyperlink ref="E115" r:id="rId674" display="https://www.jisilu.cn/data/stock/600996" xr:uid="{00000000-0004-0000-0B00-0000A1020000}"/>
    <hyperlink ref="L115" r:id="rId675" tooltip="收费数据，点击购买转债增强数据" display="https://www.jisilu.cn/question/95518" xr:uid="{00000000-0004-0000-0B00-0000A2020000}"/>
    <hyperlink ref="N115" r:id="rId676" tooltip="收费数据，点击购买转债增强数据" display="https://www.jisilu.cn/question/95518" xr:uid="{00000000-0004-0000-0B00-0000A3020000}"/>
    <hyperlink ref="W115" r:id="rId677" tooltip="收费数据，点击购买转债增强数据" display="https://www.jisilu.cn/question/95518" xr:uid="{00000000-0004-0000-0B00-0000A4020000}"/>
    <hyperlink ref="Y115" r:id="rId678" tooltip="加【贵广转债】为自选转债" display="javascript:addOwnedConvertBond('110052');" xr:uid="{00000000-0004-0000-0B00-0000A5020000}"/>
    <hyperlink ref="A116" r:id="rId679" display="https://www.jisilu.cn/data/convert_bond_detail/132005" xr:uid="{00000000-0004-0000-0B00-0000A6020000}"/>
    <hyperlink ref="E116" r:id="rId680" display="https://www.jisilu.cn/data/stock/601601" xr:uid="{00000000-0004-0000-0B00-0000A7020000}"/>
    <hyperlink ref="L116" r:id="rId681" tooltip="收费数据，点击购买转债增强数据" display="https://www.jisilu.cn/question/95518" xr:uid="{00000000-0004-0000-0B00-0000A8020000}"/>
    <hyperlink ref="N116" r:id="rId682" tooltip="收费数据，点击购买转债增强数据" display="https://www.jisilu.cn/question/95518" xr:uid="{00000000-0004-0000-0B00-0000A9020000}"/>
    <hyperlink ref="W116" r:id="rId683" tooltip="收费数据，点击购买转债增强数据" display="https://www.jisilu.cn/question/95518" xr:uid="{00000000-0004-0000-0B00-0000AA020000}"/>
    <hyperlink ref="Y116" r:id="rId684" tooltip="加【15国资EB】为自选转债" display="javascript:addOwnedConvertBond('132005');" xr:uid="{00000000-0004-0000-0B00-0000AB020000}"/>
    <hyperlink ref="A117" r:id="rId685" display="https://www.jisilu.cn/data/convert_bond_detail/110055" xr:uid="{00000000-0004-0000-0B00-0000AC020000}"/>
    <hyperlink ref="E117" r:id="rId686" display="https://www.jisilu.cn/data/stock/600197" xr:uid="{00000000-0004-0000-0B00-0000AD020000}"/>
    <hyperlink ref="L117" r:id="rId687" tooltip="收费数据，点击购买转债增强数据" display="https://www.jisilu.cn/question/95518" xr:uid="{00000000-0004-0000-0B00-0000AE020000}"/>
    <hyperlink ref="N117" r:id="rId688" tooltip="收费数据，点击购买转债增强数据" display="https://www.jisilu.cn/question/95518" xr:uid="{00000000-0004-0000-0B00-0000AF020000}"/>
    <hyperlink ref="W117" r:id="rId689" tooltip="收费数据，点击购买转债增强数据" display="https://www.jisilu.cn/question/95518" xr:uid="{00000000-0004-0000-0B00-0000B0020000}"/>
    <hyperlink ref="Y117" r:id="rId690" tooltip="加【伊力转债】为自选转债" display="javascript:addOwnedConvertBond('110055');" xr:uid="{00000000-0004-0000-0B00-0000B1020000}"/>
    <hyperlink ref="A118" r:id="rId691" display="https://www.jisilu.cn/data/convert_bond_detail/113510" xr:uid="{00000000-0004-0000-0B00-0000B2020000}"/>
    <hyperlink ref="E118" r:id="rId692" display="https://www.jisilu.cn/data/stock/603601" xr:uid="{00000000-0004-0000-0B00-0000B3020000}"/>
    <hyperlink ref="L118" r:id="rId693" tooltip="收费数据，点击购买转债增强数据" display="https://www.jisilu.cn/question/95518" xr:uid="{00000000-0004-0000-0B00-0000B4020000}"/>
    <hyperlink ref="N118" r:id="rId694" tooltip="收费数据，点击购买转债增强数据" display="https://www.jisilu.cn/question/95518" xr:uid="{00000000-0004-0000-0B00-0000B5020000}"/>
    <hyperlink ref="W118" r:id="rId695" tooltip="收费数据，点击购买转债增强数据" display="https://www.jisilu.cn/question/95518" xr:uid="{00000000-0004-0000-0B00-0000B6020000}"/>
    <hyperlink ref="Y118" r:id="rId696" tooltip="加【再升转债】为自选转债" display="javascript:addOwnedConvertBond('113510');" xr:uid="{00000000-0004-0000-0B00-0000B7020000}"/>
    <hyperlink ref="A119" r:id="rId697" display="https://www.jisilu.cn/data/convert_bond_detail/113019" xr:uid="{00000000-0004-0000-0B00-0000B8020000}"/>
    <hyperlink ref="E119" r:id="rId698" display="https://www.jisilu.cn/data/stock/601966" xr:uid="{00000000-0004-0000-0B00-0000B9020000}"/>
    <hyperlink ref="L119" r:id="rId699" tooltip="收费数据，点击购买转债增强数据" display="https://www.jisilu.cn/question/95518" xr:uid="{00000000-0004-0000-0B00-0000BA020000}"/>
    <hyperlink ref="N119" r:id="rId700" tooltip="收费数据，点击购买转债增强数据" display="https://www.jisilu.cn/question/95518" xr:uid="{00000000-0004-0000-0B00-0000BB020000}"/>
    <hyperlink ref="W119" r:id="rId701" tooltip="收费数据，点击购买转债增强数据" display="https://www.jisilu.cn/question/95518" xr:uid="{00000000-0004-0000-0B00-0000BC020000}"/>
    <hyperlink ref="Y119" r:id="rId702" tooltip="加【玲珑转债】为自选转债" display="javascript:addOwnedConvertBond('113019');" xr:uid="{00000000-0004-0000-0B00-0000BD020000}"/>
    <hyperlink ref="A120" r:id="rId703" display="https://www.jisilu.cn/data/convert_bond_detail/113526" xr:uid="{00000000-0004-0000-0B00-0000BE020000}"/>
    <hyperlink ref="E120" r:id="rId704" display="https://www.jisilu.cn/data/stock/603797" xr:uid="{00000000-0004-0000-0B00-0000BF020000}"/>
    <hyperlink ref="L120" r:id="rId705" tooltip="收费数据，点击购买转债增强数据" display="https://www.jisilu.cn/question/95518" xr:uid="{00000000-0004-0000-0B00-0000C0020000}"/>
    <hyperlink ref="N120" r:id="rId706" tooltip="收费数据，点击购买转债增强数据" display="https://www.jisilu.cn/question/95518" xr:uid="{00000000-0004-0000-0B00-0000C1020000}"/>
    <hyperlink ref="W120" r:id="rId707" tooltip="收费数据，点击购买转债增强数据" display="https://www.jisilu.cn/question/95518" xr:uid="{00000000-0004-0000-0B00-0000C2020000}"/>
    <hyperlink ref="Y120" r:id="rId708" tooltip="加【联泰转债】为自选转债" display="javascript:addOwnedConvertBond('113526');" xr:uid="{00000000-0004-0000-0B00-0000C3020000}"/>
    <hyperlink ref="A121" r:id="rId709" display="https://www.jisilu.cn/data/convert_bond_detail/128059" xr:uid="{00000000-0004-0000-0B00-0000C4020000}"/>
    <hyperlink ref="E121" r:id="rId710" display="https://www.jisilu.cn/data/stock/002841" xr:uid="{00000000-0004-0000-0B00-0000C5020000}"/>
    <hyperlink ref="L121" r:id="rId711" tooltip="收费数据，点击购买转债增强数据" display="https://www.jisilu.cn/question/95518" xr:uid="{00000000-0004-0000-0B00-0000C6020000}"/>
    <hyperlink ref="N121" r:id="rId712" tooltip="收费数据，点击购买转债增强数据" display="https://www.jisilu.cn/question/95518" xr:uid="{00000000-0004-0000-0B00-0000C7020000}"/>
    <hyperlink ref="W121" r:id="rId713" tooltip="收费数据，点击购买转债增强数据" display="https://www.jisilu.cn/question/95518" xr:uid="{00000000-0004-0000-0B00-0000C8020000}"/>
    <hyperlink ref="Y121" r:id="rId714" tooltip="加【视源转债】为自选转债" display="javascript:addOwnedConvertBond('128059');" xr:uid="{00000000-0004-0000-0B00-0000C9020000}"/>
    <hyperlink ref="A122" r:id="rId715" display="https://www.jisilu.cn/data/convert_bond_detail/123003" xr:uid="{00000000-0004-0000-0B00-0000CA020000}"/>
    <hyperlink ref="E122" r:id="rId716" display="https://www.jisilu.cn/data/stock/300433" xr:uid="{00000000-0004-0000-0B00-0000CB020000}"/>
    <hyperlink ref="L122" r:id="rId717" tooltip="收费数据，点击购买转债增强数据" display="https://www.jisilu.cn/question/95518" xr:uid="{00000000-0004-0000-0B00-0000CC020000}"/>
    <hyperlink ref="N122" r:id="rId718" tooltip="收费数据，点击购买转债增强数据" display="https://www.jisilu.cn/question/95518" xr:uid="{00000000-0004-0000-0B00-0000CD020000}"/>
    <hyperlink ref="W122" r:id="rId719" tooltip="收费数据，点击购买转债增强数据" display="https://www.jisilu.cn/question/95518" xr:uid="{00000000-0004-0000-0B00-0000CE020000}"/>
    <hyperlink ref="Y122" r:id="rId720" tooltip="加【蓝思转债】为自选转债" display="javascript:addOwnedConvertBond('123003');" xr:uid="{00000000-0004-0000-0B00-0000CF020000}"/>
    <hyperlink ref="A123" r:id="rId721" display="https://www.jisilu.cn/data/convert_bond_detail/113551" xr:uid="{00000000-0004-0000-0B00-0000D0020000}"/>
    <hyperlink ref="E123" r:id="rId722" display="https://www.jisilu.cn/data/stock/603806" xr:uid="{00000000-0004-0000-0B00-0000D1020000}"/>
    <hyperlink ref="L123" r:id="rId723" tooltip="收费数据，点击购买转债增强数据" display="https://www.jisilu.cn/question/95518" xr:uid="{00000000-0004-0000-0B00-0000D2020000}"/>
    <hyperlink ref="N123" r:id="rId724" tooltip="收费数据，点击购买转债增强数据" display="https://www.jisilu.cn/question/95518" xr:uid="{00000000-0004-0000-0B00-0000D3020000}"/>
    <hyperlink ref="W123" r:id="rId725" tooltip="收费数据，点击购买转债增强数据" display="https://www.jisilu.cn/question/95518" xr:uid="{00000000-0004-0000-0B00-0000D4020000}"/>
    <hyperlink ref="Y123" r:id="rId726" tooltip="加【福特转债】为自选转债" display="javascript:addOwnedConvertBond('113551');" xr:uid="{00000000-0004-0000-0B00-0000D5020000}"/>
    <hyperlink ref="A124" r:id="rId727" display="https://www.jisilu.cn/data/convert_bond_detail/113509" xr:uid="{00000000-0004-0000-0B00-0000D6020000}"/>
    <hyperlink ref="E124" r:id="rId728" display="https://www.jisilu.cn/data/stock/603179" xr:uid="{00000000-0004-0000-0B00-0000D7020000}"/>
    <hyperlink ref="L124" r:id="rId729" tooltip="收费数据，点击购买转债增强数据" display="https://www.jisilu.cn/question/95518" xr:uid="{00000000-0004-0000-0B00-0000D8020000}"/>
    <hyperlink ref="N124" r:id="rId730" tooltip="收费数据，点击购买转债增强数据" display="https://www.jisilu.cn/question/95518" xr:uid="{00000000-0004-0000-0B00-0000D9020000}"/>
    <hyperlink ref="W124" r:id="rId731" tooltip="收费数据，点击购买转债增强数据" display="https://www.jisilu.cn/question/95518" xr:uid="{00000000-0004-0000-0B00-0000DA020000}"/>
    <hyperlink ref="Y124" r:id="rId732" tooltip="加【新泉转债】为自选转债" display="javascript:addOwnedConvertBond('113509');" xr:uid="{00000000-0004-0000-0B00-0000DB020000}"/>
    <hyperlink ref="A125" r:id="rId733" display="https://www.jisilu.cn/data/convert_bond_detail/113011" xr:uid="{00000000-0004-0000-0B00-0000DC020000}"/>
    <hyperlink ref="E125" r:id="rId734" display="https://www.jisilu.cn/data/stock/601818" xr:uid="{00000000-0004-0000-0B00-0000DD020000}"/>
    <hyperlink ref="L125" r:id="rId735" tooltip="收费数据，点击购买转债增强数据" display="https://www.jisilu.cn/question/95518" xr:uid="{00000000-0004-0000-0B00-0000DE020000}"/>
    <hyperlink ref="N125" r:id="rId736" tooltip="收费数据，点击购买转债增强数据" display="https://www.jisilu.cn/question/95518" xr:uid="{00000000-0004-0000-0B00-0000DF020000}"/>
    <hyperlink ref="W125" r:id="rId737" tooltip="收费数据，点击购买转债增强数据" display="https://www.jisilu.cn/question/95518" xr:uid="{00000000-0004-0000-0B00-0000E0020000}"/>
    <hyperlink ref="Y125" r:id="rId738" tooltip="加【光大转债】为自选转债" display="javascript:addOwnedConvertBond('113011');" xr:uid="{00000000-0004-0000-0B00-0000E1020000}"/>
    <hyperlink ref="A126" r:id="rId739" display="https://www.jisilu.cn/data/convert_bond_detail/128061" xr:uid="{00000000-0004-0000-0B00-0000E2020000}"/>
    <hyperlink ref="E126" r:id="rId740" display="https://www.jisilu.cn/data/stock/002439" xr:uid="{00000000-0004-0000-0B00-0000E3020000}"/>
    <hyperlink ref="L126" r:id="rId741" tooltip="收费数据，点击购买转债增强数据" display="https://www.jisilu.cn/question/95518" xr:uid="{00000000-0004-0000-0B00-0000E4020000}"/>
    <hyperlink ref="N126" r:id="rId742" tooltip="收费数据，点击购买转债增强数据" display="https://www.jisilu.cn/question/95518" xr:uid="{00000000-0004-0000-0B00-0000E5020000}"/>
    <hyperlink ref="W126" r:id="rId743" tooltip="收费数据，点击购买转债增强数据" display="https://www.jisilu.cn/question/95518" xr:uid="{00000000-0004-0000-0B00-0000E6020000}"/>
    <hyperlink ref="Y126" r:id="rId744" tooltip="加【启明转债】为自选转债" display="javascript:addOwnedConvertBond('128061');" xr:uid="{00000000-0004-0000-0B00-0000E7020000}"/>
    <hyperlink ref="A127" r:id="rId745" display="https://www.jisilu.cn/data/convert_bond_detail/113535" xr:uid="{00000000-0004-0000-0B00-0000E8020000}"/>
    <hyperlink ref="E127" r:id="rId746" display="https://www.jisilu.cn/data/stock/603278" xr:uid="{00000000-0004-0000-0B00-0000E9020000}"/>
    <hyperlink ref="L127" r:id="rId747" tooltip="收费数据，点击购买转债增强数据" display="https://www.jisilu.cn/question/95518" xr:uid="{00000000-0004-0000-0B00-0000EA020000}"/>
    <hyperlink ref="N127" r:id="rId748" tooltip="收费数据，点击购买转债增强数据" display="https://www.jisilu.cn/question/95518" xr:uid="{00000000-0004-0000-0B00-0000EB020000}"/>
    <hyperlink ref="W127" r:id="rId749" tooltip="收费数据，点击购买转债增强数据" display="https://www.jisilu.cn/question/95518" xr:uid="{00000000-0004-0000-0B00-0000EC020000}"/>
    <hyperlink ref="Y127" r:id="rId750" tooltip="加【大业转债】为自选转债" display="javascript:addOwnedConvertBond('113535');" xr:uid="{00000000-0004-0000-0B00-0000ED020000}"/>
    <hyperlink ref="A128" r:id="rId751" display="https://www.jisilu.cn/data/convert_bond_detail/128074" xr:uid="{00000000-0004-0000-0B00-0000EE020000}"/>
    <hyperlink ref="E128" r:id="rId752" display="https://www.jisilu.cn/data/stock/002174" xr:uid="{00000000-0004-0000-0B00-0000EF020000}"/>
    <hyperlink ref="L128" r:id="rId753" tooltip="收费数据，点击购买转债增强数据" display="https://www.jisilu.cn/question/95518" xr:uid="{00000000-0004-0000-0B00-0000F0020000}"/>
    <hyperlink ref="N128" r:id="rId754" tooltip="收费数据，点击购买转债增强数据" display="https://www.jisilu.cn/question/95518" xr:uid="{00000000-0004-0000-0B00-0000F1020000}"/>
    <hyperlink ref="W128" r:id="rId755" tooltip="收费数据，点击购买转债增强数据" display="https://www.jisilu.cn/question/95518" xr:uid="{00000000-0004-0000-0B00-0000F2020000}"/>
    <hyperlink ref="Y128" r:id="rId756" tooltip="加【游族转债】为自选转债" display="javascript:addOwnedConvertBond('128074');" xr:uid="{00000000-0004-0000-0B00-0000F3020000}"/>
    <hyperlink ref="A129" r:id="rId757" display="https://www.jisilu.cn/data/convert_bond_detail/113518" xr:uid="{00000000-0004-0000-0B00-0000F4020000}"/>
    <hyperlink ref="E129" r:id="rId758" display="https://www.jisilu.cn/data/stock/603816" xr:uid="{00000000-0004-0000-0B00-0000F5020000}"/>
    <hyperlink ref="L129" r:id="rId759" tooltip="收费数据，点击购买转债增强数据" display="https://www.jisilu.cn/question/95518" xr:uid="{00000000-0004-0000-0B00-0000F6020000}"/>
    <hyperlink ref="N129" r:id="rId760" tooltip="收费数据，点击购买转债增强数据" display="https://www.jisilu.cn/question/95518" xr:uid="{00000000-0004-0000-0B00-0000F7020000}"/>
    <hyperlink ref="W129" r:id="rId761" tooltip="收费数据，点击购买转债增强数据" display="https://www.jisilu.cn/question/95518" xr:uid="{00000000-0004-0000-0B00-0000F8020000}"/>
    <hyperlink ref="Y129" r:id="rId762" tooltip="加【顾家转债】为自选转债" display="javascript:addOwnedConvertBond('113518');" xr:uid="{00000000-0004-0000-0B00-0000F9020000}"/>
    <hyperlink ref="A130" r:id="rId763" display="https://www.jisilu.cn/data/convert_bond_detail/110042" xr:uid="{00000000-0004-0000-0B00-0000FA020000}"/>
    <hyperlink ref="E130" r:id="rId764" display="https://www.jisilu.cn/data/stock/600372" xr:uid="{00000000-0004-0000-0B00-0000FB020000}"/>
    <hyperlink ref="L130" r:id="rId765" tooltip="收费数据，点击购买转债增强数据" display="https://www.jisilu.cn/question/95518" xr:uid="{00000000-0004-0000-0B00-0000FC020000}"/>
    <hyperlink ref="N130" r:id="rId766" tooltip="收费数据，点击购买转债增强数据" display="https://www.jisilu.cn/question/95518" xr:uid="{00000000-0004-0000-0B00-0000FD020000}"/>
    <hyperlink ref="W130" r:id="rId767" tooltip="收费数据，点击购买转债增强数据" display="https://www.jisilu.cn/question/95518" xr:uid="{00000000-0004-0000-0B00-0000FE020000}"/>
    <hyperlink ref="Y130" r:id="rId768" tooltip="加【航电转债】为自选转债" display="javascript:addOwnedConvertBond('110042');" xr:uid="{00000000-0004-0000-0B00-0000FF020000}"/>
    <hyperlink ref="A131" r:id="rId769" display="https://www.jisilu.cn/data/convert_bond_detail/128018" xr:uid="{00000000-0004-0000-0B00-000000030000}"/>
    <hyperlink ref="E131" r:id="rId770" display="https://www.jisilu.cn/data/stock/002527" xr:uid="{00000000-0004-0000-0B00-000001030000}"/>
    <hyperlink ref="L131" r:id="rId771" tooltip="收费数据，点击购买转债增强数据" display="https://www.jisilu.cn/question/95518" xr:uid="{00000000-0004-0000-0B00-000002030000}"/>
    <hyperlink ref="N131" r:id="rId772" tooltip="收费数据，点击购买转债增强数据" display="https://www.jisilu.cn/question/95518" xr:uid="{00000000-0004-0000-0B00-000003030000}"/>
    <hyperlink ref="W131" r:id="rId773" tooltip="收费数据，点击购买转债增强数据" display="https://www.jisilu.cn/question/95518" xr:uid="{00000000-0004-0000-0B00-000004030000}"/>
    <hyperlink ref="Y131" r:id="rId774" tooltip="加【时达转债】为自选转债" display="javascript:addOwnedConvertBond('128018');" xr:uid="{00000000-0004-0000-0B00-000005030000}"/>
    <hyperlink ref="A132" r:id="rId775" display="https://www.jisilu.cn/data/convert_bond_detail/113017" xr:uid="{00000000-0004-0000-0B00-000006030000}"/>
    <hyperlink ref="E132" r:id="rId776" display="https://www.jisilu.cn/data/stock/601929" xr:uid="{00000000-0004-0000-0B00-000007030000}"/>
    <hyperlink ref="L132" r:id="rId777" tooltip="收费数据，点击购买转债增强数据" display="https://www.jisilu.cn/question/95518" xr:uid="{00000000-0004-0000-0B00-000008030000}"/>
    <hyperlink ref="N132" r:id="rId778" tooltip="收费数据，点击购买转债增强数据" display="https://www.jisilu.cn/question/95518" xr:uid="{00000000-0004-0000-0B00-000009030000}"/>
    <hyperlink ref="W132" r:id="rId779" tooltip="收费数据，点击购买转债增强数据" display="https://www.jisilu.cn/question/95518" xr:uid="{00000000-0004-0000-0B00-00000A030000}"/>
    <hyperlink ref="Y132" r:id="rId780" tooltip="加【吉视转债】为自选转债" display="javascript:addOwnedConvertBond('113017');" xr:uid="{00000000-0004-0000-0B00-00000B030000}"/>
    <hyperlink ref="A133" r:id="rId781" display="https://www.jisilu.cn/data/convert_bond_detail/110054" xr:uid="{00000000-0004-0000-0B00-00000C030000}"/>
    <hyperlink ref="E133" r:id="rId782" display="https://www.jisilu.cn/data/stock/600438" xr:uid="{00000000-0004-0000-0B00-00000D030000}"/>
    <hyperlink ref="L133" r:id="rId783" tooltip="收费数据，点击购买转债增强数据" display="https://www.jisilu.cn/question/95518" xr:uid="{00000000-0004-0000-0B00-00000E030000}"/>
    <hyperlink ref="N133" r:id="rId784" tooltip="收费数据，点击购买转债增强数据" display="https://www.jisilu.cn/question/95518" xr:uid="{00000000-0004-0000-0B00-00000F030000}"/>
    <hyperlink ref="W133" r:id="rId785" tooltip="收费数据，点击购买转债增强数据" display="https://www.jisilu.cn/question/95518" xr:uid="{00000000-0004-0000-0B00-000010030000}"/>
    <hyperlink ref="Y133" r:id="rId786" tooltip="加【通威转债】为自选转债" display="javascript:addOwnedConvertBond('110054');" xr:uid="{00000000-0004-0000-0B00-000011030000}"/>
    <hyperlink ref="A134" r:id="rId787" display="https://www.jisilu.cn/data/convert_bond_detail/128022" xr:uid="{00000000-0004-0000-0B00-000012030000}"/>
    <hyperlink ref="E134" r:id="rId788" display="https://www.jisilu.cn/data/stock/002707" xr:uid="{00000000-0004-0000-0B00-000013030000}"/>
    <hyperlink ref="L134" r:id="rId789" tooltip="收费数据，点击购买转债增强数据" display="https://www.jisilu.cn/question/95518" xr:uid="{00000000-0004-0000-0B00-000014030000}"/>
    <hyperlink ref="N134" r:id="rId790" tooltip="收费数据，点击购买转债增强数据" display="https://www.jisilu.cn/question/95518" xr:uid="{00000000-0004-0000-0B00-000015030000}"/>
    <hyperlink ref="W134" r:id="rId791" tooltip="收费数据，点击购买转债增强数据" display="https://www.jisilu.cn/question/95518" xr:uid="{00000000-0004-0000-0B00-000016030000}"/>
    <hyperlink ref="Y134" r:id="rId792" tooltip="加【众信转债】为自选转债" display="javascript:addOwnedConvertBond('128022');" xr:uid="{00000000-0004-0000-0B00-000017030000}"/>
    <hyperlink ref="A135" r:id="rId793" display="https://www.jisilu.cn/data/convert_bond_detail/113543" xr:uid="{00000000-0004-0000-0B00-000018030000}"/>
    <hyperlink ref="E135" r:id="rId794" display="https://www.jisilu.cn/data/stock/603833" xr:uid="{00000000-0004-0000-0B00-000019030000}"/>
    <hyperlink ref="L135" r:id="rId795" tooltip="收费数据，点击购买转债增强数据" display="https://www.jisilu.cn/question/95518" xr:uid="{00000000-0004-0000-0B00-00001A030000}"/>
    <hyperlink ref="N135" r:id="rId796" tooltip="收费数据，点击购买转债增强数据" display="https://www.jisilu.cn/question/95518" xr:uid="{00000000-0004-0000-0B00-00001B030000}"/>
    <hyperlink ref="W135" r:id="rId797" tooltip="收费数据，点击购买转债增强数据" display="https://www.jisilu.cn/question/95518" xr:uid="{00000000-0004-0000-0B00-00001C030000}"/>
    <hyperlink ref="Y135" r:id="rId798" tooltip="加【欧派转债】为自选转债" display="javascript:addOwnedConvertBond('113543');" xr:uid="{00000000-0004-0000-0B00-00001D030000}"/>
    <hyperlink ref="A136" r:id="rId799" display="https://www.jisilu.cn/data/convert_bond_detail/110041" xr:uid="{00000000-0004-0000-0B00-00001E030000}"/>
    <hyperlink ref="E136" r:id="rId800" display="https://www.jisilu.cn/data/stock/600863" xr:uid="{00000000-0004-0000-0B00-00001F030000}"/>
    <hyperlink ref="L136" r:id="rId801" tooltip="收费数据，点击购买转债增强数据" display="https://www.jisilu.cn/question/95518" xr:uid="{00000000-0004-0000-0B00-000020030000}"/>
    <hyperlink ref="N136" r:id="rId802" tooltip="收费数据，点击购买转债增强数据" display="https://www.jisilu.cn/question/95518" xr:uid="{00000000-0004-0000-0B00-000021030000}"/>
    <hyperlink ref="W136" r:id="rId803" tooltip="收费数据，点击购买转债增强数据" display="https://www.jisilu.cn/question/95518" xr:uid="{00000000-0004-0000-0B00-000022030000}"/>
    <hyperlink ref="Y136" r:id="rId804" tooltip="加【蒙电转债】为自选转债" display="javascript:addOwnedConvertBond('110041');" xr:uid="{00000000-0004-0000-0B00-000023030000}"/>
    <hyperlink ref="A137" r:id="rId805" display="https://www.jisilu.cn/data/convert_bond_detail/113531" xr:uid="{00000000-0004-0000-0B00-000024030000}"/>
    <hyperlink ref="E137" r:id="rId806" display="https://www.jisilu.cn/data/stock/603883" xr:uid="{00000000-0004-0000-0B00-000025030000}"/>
    <hyperlink ref="L137" r:id="rId807" tooltip="收费数据，点击购买转债增强数据" display="https://www.jisilu.cn/question/95518" xr:uid="{00000000-0004-0000-0B00-000026030000}"/>
    <hyperlink ref="N137" r:id="rId808" tooltip="收费数据，点击购买转债增强数据" display="https://www.jisilu.cn/question/95518" xr:uid="{00000000-0004-0000-0B00-000027030000}"/>
    <hyperlink ref="W137" r:id="rId809" tooltip="收费数据，点击购买转债增强数据" display="https://www.jisilu.cn/question/95518" xr:uid="{00000000-0004-0000-0B00-000028030000}"/>
    <hyperlink ref="Y137" r:id="rId810" tooltip="加【百姓转债】为自选转债" display="javascript:addOwnedConvertBond('113531');" xr:uid="{00000000-0004-0000-0B00-000029030000}"/>
    <hyperlink ref="A138" r:id="rId811" display="https://www.jisilu.cn/data/convert_bond_detail/123035" xr:uid="{00000000-0004-0000-0B00-00002A030000}"/>
    <hyperlink ref="E138" r:id="rId812" display="https://www.jisilu.cn/data/stock/300296" xr:uid="{00000000-0004-0000-0B00-00002B030000}"/>
    <hyperlink ref="L138" r:id="rId813" tooltip="收费数据，点击购买转债增强数据" display="https://www.jisilu.cn/question/95518" xr:uid="{00000000-0004-0000-0B00-00002C030000}"/>
    <hyperlink ref="N138" r:id="rId814" tooltip="收费数据，点击购买转债增强数据" display="https://www.jisilu.cn/question/95518" xr:uid="{00000000-0004-0000-0B00-00002D030000}"/>
    <hyperlink ref="W138" r:id="rId815" tooltip="收费数据，点击购买转债增强数据" display="https://www.jisilu.cn/question/95518" xr:uid="{00000000-0004-0000-0B00-00002E030000}"/>
    <hyperlink ref="Y138" r:id="rId816" tooltip="加【利德转债】为自选转债" display="javascript:addOwnedConvertBond('123035');" xr:uid="{00000000-0004-0000-0B00-00002F030000}"/>
    <hyperlink ref="A139" r:id="rId817" display="https://www.jisilu.cn/data/convert_bond_detail/110051" xr:uid="{00000000-0004-0000-0B00-000030030000}"/>
    <hyperlink ref="E139" r:id="rId818" display="https://www.jisilu.cn/data/stock/600522" xr:uid="{00000000-0004-0000-0B00-000031030000}"/>
    <hyperlink ref="L139" r:id="rId819" tooltip="收费数据，点击购买转债增强数据" display="https://www.jisilu.cn/question/95518" xr:uid="{00000000-0004-0000-0B00-000032030000}"/>
    <hyperlink ref="N139" r:id="rId820" tooltip="收费数据，点击购买转债增强数据" display="https://www.jisilu.cn/question/95518" xr:uid="{00000000-0004-0000-0B00-000033030000}"/>
    <hyperlink ref="W139" r:id="rId821" tooltip="收费数据，点击购买转债增强数据" display="https://www.jisilu.cn/question/95518" xr:uid="{00000000-0004-0000-0B00-000034030000}"/>
    <hyperlink ref="Y139" r:id="rId822" tooltip="加【中天转债】为自选转债" display="javascript:addOwnedConvertBond('110051');" xr:uid="{00000000-0004-0000-0B00-000035030000}"/>
    <hyperlink ref="A140" r:id="rId823" display="https://www.jisilu.cn/data/convert_bond_detail/123017" xr:uid="{00000000-0004-0000-0B00-000036030000}"/>
    <hyperlink ref="E140" r:id="rId824" display="https://www.jisilu.cn/data/stock/300618" xr:uid="{00000000-0004-0000-0B00-000037030000}"/>
    <hyperlink ref="L140" r:id="rId825" tooltip="收费数据，点击购买转债增强数据" display="https://www.jisilu.cn/question/95518" xr:uid="{00000000-0004-0000-0B00-000038030000}"/>
    <hyperlink ref="N140" r:id="rId826" tooltip="收费数据，点击购买转债增强数据" display="https://www.jisilu.cn/question/95518" xr:uid="{00000000-0004-0000-0B00-000039030000}"/>
    <hyperlink ref="W140" r:id="rId827" tooltip="收费数据，点击购买转债增强数据" display="https://www.jisilu.cn/question/95518" xr:uid="{00000000-0004-0000-0B00-00003A030000}"/>
    <hyperlink ref="Y140" r:id="rId828" tooltip="加【寒锐转债】为自选转债" display="javascript:addOwnedConvertBond('123017');" xr:uid="{00000000-0004-0000-0B00-00003B030000}"/>
    <hyperlink ref="A141" r:id="rId829" display="https://www.jisilu.cn/data/convert_bond_detail/113026" xr:uid="{00000000-0004-0000-0B00-00003C030000}"/>
    <hyperlink ref="E141" r:id="rId830" display="https://www.jisilu.cn/data/stock/601985" xr:uid="{00000000-0004-0000-0B00-00003D030000}"/>
    <hyperlink ref="L141" r:id="rId831" tooltip="收费数据，点击购买转债增强数据" display="https://www.jisilu.cn/question/95518" xr:uid="{00000000-0004-0000-0B00-00003E030000}"/>
    <hyperlink ref="N141" r:id="rId832" tooltip="收费数据，点击购买转债增强数据" display="https://www.jisilu.cn/question/95518" xr:uid="{00000000-0004-0000-0B00-00003F030000}"/>
    <hyperlink ref="W141" r:id="rId833" tooltip="收费数据，点击购买转债增强数据" display="https://www.jisilu.cn/question/95518" xr:uid="{00000000-0004-0000-0B00-000040030000}"/>
    <hyperlink ref="Y141" r:id="rId834" tooltip="加【核能转债】为自选转债" display="javascript:addOwnedConvertBond('113026');" xr:uid="{00000000-0004-0000-0B00-000041030000}"/>
    <hyperlink ref="A142" r:id="rId835" display="https://www.jisilu.cn/data/convert_bond_detail/128016" xr:uid="{00000000-0004-0000-0B00-000042030000}"/>
    <hyperlink ref="E142" r:id="rId836" display="https://www.jisilu.cn/data/stock/002271" xr:uid="{00000000-0004-0000-0B00-000043030000}"/>
    <hyperlink ref="L142" r:id="rId837" tooltip="收费数据，点击购买转债增强数据" display="https://www.jisilu.cn/question/95518" xr:uid="{00000000-0004-0000-0B00-000044030000}"/>
    <hyperlink ref="N142" r:id="rId838" tooltip="收费数据，点击购买转债增强数据" display="https://www.jisilu.cn/question/95518" xr:uid="{00000000-0004-0000-0B00-000045030000}"/>
    <hyperlink ref="W142" r:id="rId839" tooltip="收费数据，点击购买转债增强数据" display="https://www.jisilu.cn/question/95518" xr:uid="{00000000-0004-0000-0B00-000046030000}"/>
    <hyperlink ref="Y142" r:id="rId840" tooltip="加【雨虹转债】为自选转债" display="javascript:addOwnedConvertBond('128016');" xr:uid="{00000000-0004-0000-0B00-000047030000}"/>
    <hyperlink ref="A143" r:id="rId841" display="https://www.jisilu.cn/data/convert_bond_detail/110059" xr:uid="{00000000-0004-0000-0B00-000048030000}"/>
    <hyperlink ref="E143" r:id="rId842" display="https://www.jisilu.cn/data/stock/600000" xr:uid="{00000000-0004-0000-0B00-000049030000}"/>
    <hyperlink ref="L143" r:id="rId843" tooltip="收费数据，点击购买转债增强数据" display="https://www.jisilu.cn/question/95518" xr:uid="{00000000-0004-0000-0B00-00004A030000}"/>
    <hyperlink ref="N143" r:id="rId844" tooltip="收费数据，点击购买转债增强数据" display="https://www.jisilu.cn/question/95518" xr:uid="{00000000-0004-0000-0B00-00004B030000}"/>
    <hyperlink ref="W143" r:id="rId845" tooltip="收费数据，点击购买转债增强数据" display="https://www.jisilu.cn/question/95518" xr:uid="{00000000-0004-0000-0B00-00004C030000}"/>
    <hyperlink ref="Y143" r:id="rId846" tooltip="加【浦发转债】为自选转债" display="javascript:addOwnedConvertBond('110059');" xr:uid="{00000000-0004-0000-0B00-00004D030000}"/>
    <hyperlink ref="A144" r:id="rId847" display="https://www.jisilu.cn/data/convert_bond_detail/123025" xr:uid="{00000000-0004-0000-0B00-00004E030000}"/>
    <hyperlink ref="E144" r:id="rId848" display="https://www.jisilu.cn/data/stock/300567" xr:uid="{00000000-0004-0000-0B00-00004F030000}"/>
    <hyperlink ref="L144" r:id="rId849" tooltip="收费数据，点击购买转债增强数据" display="https://www.jisilu.cn/question/95518" xr:uid="{00000000-0004-0000-0B00-000050030000}"/>
    <hyperlink ref="N144" r:id="rId850" tooltip="收费数据，点击购买转债增强数据" display="https://www.jisilu.cn/question/95518" xr:uid="{00000000-0004-0000-0B00-000051030000}"/>
    <hyperlink ref="W144" r:id="rId851" tooltip="收费数据，点击购买转债增强数据" display="https://www.jisilu.cn/question/95518" xr:uid="{00000000-0004-0000-0B00-000052030000}"/>
    <hyperlink ref="Y144" r:id="rId852" tooltip="加【精测转债】为自选转债" display="javascript:addOwnedConvertBond('123025');" xr:uid="{00000000-0004-0000-0B00-000053030000}"/>
    <hyperlink ref="A145" r:id="rId853" display="https://www.jisilu.cn/data/convert_bond_detail/128078" xr:uid="{00000000-0004-0000-0B00-000054030000}"/>
    <hyperlink ref="E145" r:id="rId854" display="https://www.jisilu.cn/data/stock/002368" xr:uid="{00000000-0004-0000-0B00-000055030000}"/>
    <hyperlink ref="L145" r:id="rId855" tooltip="收费数据，点击购买转债增强数据" display="https://www.jisilu.cn/question/95518" xr:uid="{00000000-0004-0000-0B00-000056030000}"/>
    <hyperlink ref="N145" r:id="rId856" tooltip="收费数据，点击购买转债增强数据" display="https://www.jisilu.cn/question/95518" xr:uid="{00000000-0004-0000-0B00-000057030000}"/>
    <hyperlink ref="W145" r:id="rId857" tooltip="收费数据，点击购买转债增强数据" display="https://www.jisilu.cn/question/95518" xr:uid="{00000000-0004-0000-0B00-000058030000}"/>
    <hyperlink ref="Y145" r:id="rId858" tooltip="加【太极转债】为自选转债" display="javascript:addOwnedConvertBond('128078');" xr:uid="{00000000-0004-0000-0B00-000059030000}"/>
    <hyperlink ref="A146" r:id="rId859" display="https://www.jisilu.cn/data/convert_bond_detail/113533" xr:uid="{00000000-0004-0000-0B00-00005A030000}"/>
    <hyperlink ref="E146" r:id="rId860" display="https://www.jisilu.cn/data/stock/603233" xr:uid="{00000000-0004-0000-0B00-00005B030000}"/>
    <hyperlink ref="L146" r:id="rId861" tooltip="收费数据，点击购买转债增强数据" display="https://www.jisilu.cn/question/95518" xr:uid="{00000000-0004-0000-0B00-00005C030000}"/>
    <hyperlink ref="N146" r:id="rId862" tooltip="收费数据，点击购买转债增强数据" display="https://www.jisilu.cn/question/95518" xr:uid="{00000000-0004-0000-0B00-00005D030000}"/>
    <hyperlink ref="W146" r:id="rId863" tooltip="收费数据，点击购买转债增强数据" display="https://www.jisilu.cn/question/95518" xr:uid="{00000000-0004-0000-0B00-00005E030000}"/>
    <hyperlink ref="Y146" r:id="rId864" tooltip="加【参林转债】为自选转债" display="javascript:addOwnedConvertBond('113533');" xr:uid="{00000000-0004-0000-0B00-00005F030000}"/>
    <hyperlink ref="A147" r:id="rId865" display="https://www.jisilu.cn/data/convert_bond_detail/128041" xr:uid="{00000000-0004-0000-0B00-000060030000}"/>
    <hyperlink ref="E147" r:id="rId866" display="https://www.jisilu.cn/data/stock/002446" xr:uid="{00000000-0004-0000-0B00-000061030000}"/>
    <hyperlink ref="L147" r:id="rId867" tooltip="收费数据，点击购买转债增强数据" display="https://www.jisilu.cn/question/95518" xr:uid="{00000000-0004-0000-0B00-000062030000}"/>
    <hyperlink ref="N147" r:id="rId868" tooltip="收费数据，点击购买转债增强数据" display="https://www.jisilu.cn/question/95518" xr:uid="{00000000-0004-0000-0B00-000063030000}"/>
    <hyperlink ref="W147" r:id="rId869" tooltip="收费数据，点击购买转债增强数据" display="https://www.jisilu.cn/question/95518" xr:uid="{00000000-0004-0000-0B00-000064030000}"/>
    <hyperlink ref="Y147" r:id="rId870" tooltip="加【盛路转债】为自选转债" display="javascript:addOwnedConvertBond('128041');" xr:uid="{00000000-0004-0000-0B00-000065030000}"/>
    <hyperlink ref="A148" r:id="rId871" display="https://www.jisilu.cn/data/convert_bond_detail/123007" xr:uid="{00000000-0004-0000-0B00-000066030000}"/>
    <hyperlink ref="E148" r:id="rId872" display="https://www.jisilu.cn/data/stock/300409" xr:uid="{00000000-0004-0000-0B00-000067030000}"/>
    <hyperlink ref="L148" r:id="rId873" tooltip="收费数据，点击购买转债增强数据" display="https://www.jisilu.cn/question/95518" xr:uid="{00000000-0004-0000-0B00-000068030000}"/>
    <hyperlink ref="N148" r:id="rId874" tooltip="收费数据，点击购买转债增强数据" display="https://www.jisilu.cn/question/95518" xr:uid="{00000000-0004-0000-0B00-000069030000}"/>
    <hyperlink ref="W148" r:id="rId875" tooltip="收费数据，点击购买转债增强数据" display="https://www.jisilu.cn/question/95518" xr:uid="{00000000-0004-0000-0B00-00006A030000}"/>
    <hyperlink ref="Y148" r:id="rId876" tooltip="加【道氏转债】为自选转债" display="javascript:addOwnedConvertBond('123007');" xr:uid="{00000000-0004-0000-0B00-00006B030000}"/>
    <hyperlink ref="A149" r:id="rId877" display="https://www.jisilu.cn/data/convert_bond_detail/113517" xr:uid="{00000000-0004-0000-0B00-00006C030000}"/>
    <hyperlink ref="E149" r:id="rId878" display="https://www.jisilu.cn/data/stock/603019" xr:uid="{00000000-0004-0000-0B00-00006D030000}"/>
    <hyperlink ref="L149" r:id="rId879" tooltip="收费数据，点击购买转债增强数据" display="https://www.jisilu.cn/question/95518" xr:uid="{00000000-0004-0000-0B00-00006E030000}"/>
    <hyperlink ref="N149" r:id="rId880" tooltip="收费数据，点击购买转债增强数据" display="https://www.jisilu.cn/question/95518" xr:uid="{00000000-0004-0000-0B00-00006F030000}"/>
    <hyperlink ref="W149" r:id="rId881" tooltip="收费数据，点击购买转债增强数据" display="https://www.jisilu.cn/question/95518" xr:uid="{00000000-0004-0000-0B00-000070030000}"/>
    <hyperlink ref="Y149" r:id="rId882" tooltip="加【曙光转债】为自选转债" display="javascript:addOwnedConvertBond('113517');" xr:uid="{00000000-0004-0000-0B00-000071030000}"/>
    <hyperlink ref="A150" r:id="rId883" display="https://www.jisilu.cn/data/convert_bond_detail/128020" xr:uid="{00000000-0004-0000-0B00-000072030000}"/>
    <hyperlink ref="E150" r:id="rId884" display="https://www.jisilu.cn/data/stock/002273" xr:uid="{00000000-0004-0000-0B00-000073030000}"/>
    <hyperlink ref="L150" r:id="rId885" tooltip="收费数据，点击购买转债增强数据" display="https://www.jisilu.cn/question/95518" xr:uid="{00000000-0004-0000-0B00-000074030000}"/>
    <hyperlink ref="N150" r:id="rId886" tooltip="收费数据，点击购买转债增强数据" display="https://www.jisilu.cn/question/95518" xr:uid="{00000000-0004-0000-0B00-000075030000}"/>
    <hyperlink ref="W150" r:id="rId887" tooltip="收费数据，点击购买转债增强数据" display="https://www.jisilu.cn/question/95518" xr:uid="{00000000-0004-0000-0B00-000076030000}"/>
    <hyperlink ref="Y150" r:id="rId888" tooltip="加【水晶转债】为自选转债" display="javascript:addOwnedConvertBond('128020');" xr:uid="{00000000-0004-0000-0B00-000077030000}"/>
    <hyperlink ref="A151" r:id="rId889" display="https://www.jisilu.cn/data/convert_bond_detail/128029" xr:uid="{00000000-0004-0000-0B00-000078030000}"/>
    <hyperlink ref="E151" r:id="rId890" display="https://www.jisilu.cn/data/stock/002078" xr:uid="{00000000-0004-0000-0B00-000079030000}"/>
    <hyperlink ref="L151" r:id="rId891" tooltip="收费数据，点击购买转债增强数据" display="https://www.jisilu.cn/question/95518" xr:uid="{00000000-0004-0000-0B00-00007A030000}"/>
    <hyperlink ref="N151" r:id="rId892" tooltip="收费数据，点击购买转债增强数据" display="https://www.jisilu.cn/question/95518" xr:uid="{00000000-0004-0000-0B00-00007B030000}"/>
    <hyperlink ref="W151" r:id="rId893" tooltip="收费数据，点击购买转债增强数据" display="https://www.jisilu.cn/question/95518" xr:uid="{00000000-0004-0000-0B00-00007C030000}"/>
    <hyperlink ref="Y151" r:id="rId894" tooltip="加【太阳转债】为自选转债" display="javascript:addOwnedConvertBond('128029');" xr:uid="{00000000-0004-0000-0B00-00007D030000}"/>
    <hyperlink ref="A152" r:id="rId895" display="https://www.jisilu.cn/data/convert_bond_detail/113016" xr:uid="{00000000-0004-0000-0B00-00007E030000}"/>
    <hyperlink ref="E152" r:id="rId896" display="https://www.jisilu.cn/data/stock/601127" xr:uid="{00000000-0004-0000-0B00-00007F030000}"/>
    <hyperlink ref="L152" r:id="rId897" tooltip="收费数据，点击购买转债增强数据" display="https://www.jisilu.cn/question/95518" xr:uid="{00000000-0004-0000-0B00-000080030000}"/>
    <hyperlink ref="N152" r:id="rId898" tooltip="收费数据，点击购买转债增强数据" display="https://www.jisilu.cn/question/95518" xr:uid="{00000000-0004-0000-0B00-000081030000}"/>
    <hyperlink ref="W152" r:id="rId899" tooltip="收费数据，点击购买转债增强数据" display="https://www.jisilu.cn/question/95518" xr:uid="{00000000-0004-0000-0B00-000082030000}"/>
    <hyperlink ref="Y152" r:id="rId900" tooltip="加【小康转债】为自选转债" display="javascript:addOwnedConvertBond('113016');" xr:uid="{00000000-0004-0000-0B00-000083030000}"/>
    <hyperlink ref="A153" r:id="rId901" display="https://www.jisilu.cn/data/convert_bond_detail/128080" xr:uid="{00000000-0004-0000-0B00-000084030000}"/>
    <hyperlink ref="E153" r:id="rId902" display="https://www.jisilu.cn/data/stock/002352" xr:uid="{00000000-0004-0000-0B00-000085030000}"/>
    <hyperlink ref="L153" r:id="rId903" tooltip="收费数据，点击购买转债增强数据" display="https://www.jisilu.cn/question/95518" xr:uid="{00000000-0004-0000-0B00-000086030000}"/>
    <hyperlink ref="N153" r:id="rId904" tooltip="收费数据，点击购买转债增强数据" display="https://www.jisilu.cn/question/95518" xr:uid="{00000000-0004-0000-0B00-000087030000}"/>
    <hyperlink ref="W153" r:id="rId905" tooltip="收费数据，点击购买转债增强数据" display="https://www.jisilu.cn/question/95518" xr:uid="{00000000-0004-0000-0B00-000088030000}"/>
    <hyperlink ref="Y153" r:id="rId906" tooltip="加【顺丰转债】为自选转债" display="javascript:addOwnedConvertBond('128080');" xr:uid="{00000000-0004-0000-0B00-000089030000}"/>
    <hyperlink ref="A154" r:id="rId907" display="https://www.jisilu.cn/data/convert_bond_detail/110061" xr:uid="{00000000-0004-0000-0B00-00008A030000}"/>
    <hyperlink ref="E154" r:id="rId908" display="https://www.jisilu.cn/data/stock/600674" xr:uid="{00000000-0004-0000-0B00-00008B030000}"/>
    <hyperlink ref="L154" r:id="rId909" tooltip="收费数据，点击购买转债增强数据" display="https://www.jisilu.cn/question/95518" xr:uid="{00000000-0004-0000-0B00-00008C030000}"/>
    <hyperlink ref="N154" r:id="rId910" tooltip="收费数据，点击购买转债增强数据" display="https://www.jisilu.cn/question/95518" xr:uid="{00000000-0004-0000-0B00-00008D030000}"/>
    <hyperlink ref="W154" r:id="rId911" tooltip="收费数据，点击购买转债增强数据" display="https://www.jisilu.cn/question/95518" xr:uid="{00000000-0004-0000-0B00-00008E030000}"/>
    <hyperlink ref="Y154" r:id="rId912" tooltip="加【川投转债】为自选转债" display="javascript:addOwnedConvertBond('110061');" xr:uid="{00000000-0004-0000-0B00-00008F030000}"/>
    <hyperlink ref="A155" r:id="rId913" display="https://www.jisilu.cn/data/convert_bond_detail/113021" xr:uid="{00000000-0004-0000-0B00-000090030000}"/>
    <hyperlink ref="E155" r:id="rId914" display="https://www.jisilu.cn/data/stock/601998" xr:uid="{00000000-0004-0000-0B00-000091030000}"/>
    <hyperlink ref="L155" r:id="rId915" tooltip="收费数据，点击购买转债增强数据" display="https://www.jisilu.cn/question/95518" xr:uid="{00000000-0004-0000-0B00-000092030000}"/>
    <hyperlink ref="N155" r:id="rId916" tooltip="收费数据，点击购买转债增强数据" display="https://www.jisilu.cn/question/95518" xr:uid="{00000000-0004-0000-0B00-000093030000}"/>
    <hyperlink ref="W155" r:id="rId917" tooltip="收费数据，点击购买转债增强数据" display="https://www.jisilu.cn/question/95518" xr:uid="{00000000-0004-0000-0B00-000094030000}"/>
    <hyperlink ref="Y155" r:id="rId918" tooltip="加【中信转债】为自选转债" display="javascript:addOwnedConvertBond('113021');" xr:uid="{00000000-0004-0000-0B00-000095030000}"/>
    <hyperlink ref="A156" r:id="rId919" display="https://www.jisilu.cn/data/convert_bond_detail/113022" xr:uid="{00000000-0004-0000-0B00-000096030000}"/>
    <hyperlink ref="E156" r:id="rId920" display="https://www.jisilu.cn/data/stock/601878" xr:uid="{00000000-0004-0000-0B00-000097030000}"/>
    <hyperlink ref="L156" r:id="rId921" tooltip="收费数据，点击购买转债增强数据" display="https://www.jisilu.cn/question/95518" xr:uid="{00000000-0004-0000-0B00-000098030000}"/>
    <hyperlink ref="N156" r:id="rId922" tooltip="收费数据，点击购买转债增强数据" display="https://www.jisilu.cn/question/95518" xr:uid="{00000000-0004-0000-0B00-000099030000}"/>
    <hyperlink ref="W156" r:id="rId923" tooltip="收费数据，点击购买转债增强数据" display="https://www.jisilu.cn/question/95518" xr:uid="{00000000-0004-0000-0B00-00009A030000}"/>
    <hyperlink ref="Y156" r:id="rId924" tooltip="加【浙商转债】为自选转债" display="javascript:addOwnedConvertBond('113022');" xr:uid="{00000000-0004-0000-0B00-00009B030000}"/>
    <hyperlink ref="A157" r:id="rId925" display="https://www.jisilu.cn/data/convert_bond_detail/110062" xr:uid="{00000000-0004-0000-0B00-00009C030000}"/>
    <hyperlink ref="E157" r:id="rId926" display="https://www.jisilu.cn/data/stock/600498" xr:uid="{00000000-0004-0000-0B00-00009D030000}"/>
    <hyperlink ref="L157" r:id="rId927" tooltip="收费数据，点击购买转债增强数据" display="https://www.jisilu.cn/question/95518" xr:uid="{00000000-0004-0000-0B00-00009E030000}"/>
    <hyperlink ref="N157" r:id="rId928" tooltip="收费数据，点击购买转债增强数据" display="https://www.jisilu.cn/question/95518" xr:uid="{00000000-0004-0000-0B00-00009F030000}"/>
    <hyperlink ref="W157" r:id="rId929" tooltip="收费数据，点击购买转债增强数据" display="https://www.jisilu.cn/question/95518" xr:uid="{00000000-0004-0000-0B00-0000A0030000}"/>
    <hyperlink ref="Y157" r:id="rId930" tooltip="加【烽火转债】为自选转债" display="javascript:addOwnedConvertBond('110062');" xr:uid="{00000000-0004-0000-0B00-0000A1030000}"/>
    <hyperlink ref="A158" r:id="rId931" display="https://www.jisilu.cn/data/convert_bond_detail/132021" xr:uid="{00000000-0004-0000-0B00-0000A2030000}"/>
    <hyperlink ref="E158" r:id="rId932" display="https://www.jisilu.cn/data/stock/600536" xr:uid="{00000000-0004-0000-0B00-0000A3030000}"/>
    <hyperlink ref="L158" r:id="rId933" tooltip="收费数据，点击购买转债增强数据" display="https://www.jisilu.cn/question/95518" xr:uid="{00000000-0004-0000-0B00-0000A4030000}"/>
    <hyperlink ref="N158" r:id="rId934" tooltip="收费数据，点击购买转债增强数据" display="https://www.jisilu.cn/question/95518" xr:uid="{00000000-0004-0000-0B00-0000A5030000}"/>
    <hyperlink ref="W158" r:id="rId935" tooltip="收费数据，点击购买转债增强数据" display="https://www.jisilu.cn/question/95518" xr:uid="{00000000-0004-0000-0B00-0000A6030000}"/>
    <hyperlink ref="Y158" r:id="rId936" tooltip="加【19中电EB】为自选转债" display="javascript:addOwnedConvertBond('132021');" xr:uid="{00000000-0004-0000-0B00-0000A7030000}"/>
    <hyperlink ref="A159" r:id="rId937" display="https://www.jisilu.cn/data/convert_bond_detail/128068" xr:uid="{00000000-0004-0000-0B00-0000A8030000}"/>
    <hyperlink ref="E159" r:id="rId938" display="https://www.jisilu.cn/data/stock/002402" xr:uid="{00000000-0004-0000-0B00-0000A9030000}"/>
    <hyperlink ref="L159" r:id="rId939" tooltip="收费数据，点击购买转债增强数据" display="https://www.jisilu.cn/question/95518" xr:uid="{00000000-0004-0000-0B00-0000AA030000}"/>
    <hyperlink ref="N159" r:id="rId940" tooltip="收费数据，点击购买转债增强数据" display="https://www.jisilu.cn/question/95518" xr:uid="{00000000-0004-0000-0B00-0000AB030000}"/>
    <hyperlink ref="W159" r:id="rId941" tooltip="收费数据，点击购买转债增强数据" display="https://www.jisilu.cn/question/95518" xr:uid="{00000000-0004-0000-0B00-0000AC030000}"/>
    <hyperlink ref="Y159" r:id="rId942" tooltip="加【和而转债】为自选转债" display="javascript:addOwnedConvertBond('128068');" xr:uid="{00000000-0004-0000-0B00-0000AD030000}"/>
    <hyperlink ref="A160" r:id="rId943" display="https://www.jisilu.cn/data/convert_bond_detail/113538" xr:uid="{00000000-0004-0000-0B00-0000AE030000}"/>
    <hyperlink ref="E160" r:id="rId944" display="https://www.jisilu.cn/data/stock/603658" xr:uid="{00000000-0004-0000-0B00-0000AF030000}"/>
    <hyperlink ref="L160" r:id="rId945" tooltip="收费数据，点击购买转债增强数据" display="https://www.jisilu.cn/question/95518" xr:uid="{00000000-0004-0000-0B00-0000B0030000}"/>
    <hyperlink ref="N160" r:id="rId946" tooltip="收费数据，点击购买转债增强数据" display="https://www.jisilu.cn/question/95518" xr:uid="{00000000-0004-0000-0B00-0000B1030000}"/>
    <hyperlink ref="W160" r:id="rId947" tooltip="收费数据，点击购买转债增强数据" display="https://www.jisilu.cn/question/95518" xr:uid="{00000000-0004-0000-0B00-0000B2030000}"/>
    <hyperlink ref="Y160" r:id="rId948" tooltip="加【安图转债】为自选转债" display="javascript:addOwnedConvertBond('113538');" xr:uid="{00000000-0004-0000-0B00-0000B3030000}"/>
    <hyperlink ref="A161" r:id="rId949" display="https://www.jisilu.cn/data/convert_bond_detail/128017" xr:uid="{00000000-0004-0000-0B00-0000B4030000}"/>
    <hyperlink ref="E161" r:id="rId950" display="https://www.jisilu.cn/data/stock/002597" xr:uid="{00000000-0004-0000-0B00-0000B5030000}"/>
    <hyperlink ref="L161" r:id="rId951" tooltip="收费数据，点击购买转债增强数据" display="https://www.jisilu.cn/question/95518" xr:uid="{00000000-0004-0000-0B00-0000B6030000}"/>
    <hyperlink ref="N161" r:id="rId952" tooltip="收费数据，点击购买转债增强数据" display="https://www.jisilu.cn/question/95518" xr:uid="{00000000-0004-0000-0B00-0000B7030000}"/>
    <hyperlink ref="W161" r:id="rId953" tooltip="收费数据，点击购买转债增强数据" display="https://www.jisilu.cn/question/95518" xr:uid="{00000000-0004-0000-0B00-0000B8030000}"/>
    <hyperlink ref="Y161" r:id="rId954" tooltip="加【金禾转债】为自选转债" display="javascript:addOwnedConvertBond('128017');" xr:uid="{00000000-0004-0000-0B00-0000B9030000}"/>
    <hyperlink ref="A162" r:id="rId955" display="https://www.jisilu.cn/data/convert_bond_detail/127006" xr:uid="{00000000-0004-0000-0B00-0000BA030000}"/>
    <hyperlink ref="E162" r:id="rId956" display="https://www.jisilu.cn/data/stock/000623" xr:uid="{00000000-0004-0000-0B00-0000BB030000}"/>
    <hyperlink ref="L162" r:id="rId957" tooltip="收费数据，点击购买转债增强数据" display="https://www.jisilu.cn/question/95518" xr:uid="{00000000-0004-0000-0B00-0000BC030000}"/>
    <hyperlink ref="N162" r:id="rId958" tooltip="收费数据，点击购买转债增强数据" display="https://www.jisilu.cn/question/95518" xr:uid="{00000000-0004-0000-0B00-0000BD030000}"/>
    <hyperlink ref="W162" r:id="rId959" tooltip="收费数据，点击购买转债增强数据" display="https://www.jisilu.cn/question/95518" xr:uid="{00000000-0004-0000-0B00-0000BE030000}"/>
    <hyperlink ref="Y162" r:id="rId960" tooltip="加【敖东转债】为自选转债" display="javascript:addOwnedConvertBond('127006');" xr:uid="{00000000-0004-0000-0B00-0000BF030000}"/>
    <hyperlink ref="A163" r:id="rId961" display="https://www.jisilu.cn/data/convert_bond_detail/113520" xr:uid="{00000000-0004-0000-0B00-0000C0030000}"/>
    <hyperlink ref="E163" r:id="rId962" display="https://www.jisilu.cn/data/stock/603313" xr:uid="{00000000-0004-0000-0B00-0000C1030000}"/>
    <hyperlink ref="L163" r:id="rId963" tooltip="收费数据，点击购买转债增强数据" display="https://www.jisilu.cn/question/95518" xr:uid="{00000000-0004-0000-0B00-0000C2030000}"/>
    <hyperlink ref="N163" r:id="rId964" tooltip="收费数据，点击购买转债增强数据" display="https://www.jisilu.cn/question/95518" xr:uid="{00000000-0004-0000-0B00-0000C3030000}"/>
    <hyperlink ref="W163" r:id="rId965" tooltip="收费数据，点击购买转债增强数据" display="https://www.jisilu.cn/question/95518" xr:uid="{00000000-0004-0000-0B00-0000C4030000}"/>
    <hyperlink ref="Y163" r:id="rId966" tooltip="加【百合转债】为自选转债" display="javascript:addOwnedConvertBond('113520');" xr:uid="{00000000-0004-0000-0B00-0000C5030000}"/>
    <hyperlink ref="A164" r:id="rId967" display="https://www.jisilu.cn/data/convert_bond_detail/128045" xr:uid="{00000000-0004-0000-0B00-0000C6030000}"/>
    <hyperlink ref="E164" r:id="rId968" display="https://www.jisilu.cn/data/stock/002013" xr:uid="{00000000-0004-0000-0B00-0000C7030000}"/>
    <hyperlink ref="L164" r:id="rId969" tooltip="收费数据，点击购买转债增强数据" display="https://www.jisilu.cn/question/95518" xr:uid="{00000000-0004-0000-0B00-0000C8030000}"/>
    <hyperlink ref="N164" r:id="rId970" tooltip="收费数据，点击购买转债增强数据" display="https://www.jisilu.cn/question/95518" xr:uid="{00000000-0004-0000-0B00-0000C9030000}"/>
    <hyperlink ref="W164" r:id="rId971" tooltip="收费数据，点击购买转债增强数据" display="https://www.jisilu.cn/question/95518" xr:uid="{00000000-0004-0000-0B00-0000CA030000}"/>
    <hyperlink ref="Y164" r:id="rId972" tooltip="加【机电转债】为自选转债" display="javascript:addOwnedConvertBond('128045');" xr:uid="{00000000-0004-0000-0B00-0000CB030000}"/>
    <hyperlink ref="A165" r:id="rId973" display="https://www.jisilu.cn/data/convert_bond_detail/128042" xr:uid="{00000000-0004-0000-0B00-0000CC030000}"/>
    <hyperlink ref="E165" r:id="rId974" display="https://www.jisilu.cn/data/stock/002823" xr:uid="{00000000-0004-0000-0B00-0000CD030000}"/>
    <hyperlink ref="L165" r:id="rId975" tooltip="收费数据，点击购买转债增强数据" display="https://www.jisilu.cn/question/95518" xr:uid="{00000000-0004-0000-0B00-0000CE030000}"/>
    <hyperlink ref="N165" r:id="rId976" tooltip="收费数据，点击购买转债增强数据" display="https://www.jisilu.cn/question/95518" xr:uid="{00000000-0004-0000-0B00-0000CF030000}"/>
    <hyperlink ref="W165" r:id="rId977" tooltip="收费数据，点击购买转债增强数据" display="https://www.jisilu.cn/question/95518" xr:uid="{00000000-0004-0000-0B00-0000D0030000}"/>
    <hyperlink ref="Y165" r:id="rId978" tooltip="加【凯中转债】为自选转债" display="javascript:addOwnedConvertBond('128042');" xr:uid="{00000000-0004-0000-0B00-0000D1030000}"/>
    <hyperlink ref="A166" r:id="rId979" display="https://www.jisilu.cn/data/convert_bond_detail/128072" xr:uid="{00000000-0004-0000-0B00-0000D2030000}"/>
    <hyperlink ref="E166" r:id="rId980" display="https://www.jisilu.cn/data/stock/002842" xr:uid="{00000000-0004-0000-0B00-0000D3030000}"/>
    <hyperlink ref="L166" r:id="rId981" tooltip="收费数据，点击购买转债增强数据" display="https://www.jisilu.cn/question/95518" xr:uid="{00000000-0004-0000-0B00-0000D4030000}"/>
    <hyperlink ref="N166" r:id="rId982" tooltip="收费数据，点击购买转债增强数据" display="https://www.jisilu.cn/question/95518" xr:uid="{00000000-0004-0000-0B00-0000D5030000}"/>
    <hyperlink ref="W166" r:id="rId983" tooltip="收费数据，点击购买转债增强数据" display="https://www.jisilu.cn/question/95518" xr:uid="{00000000-0004-0000-0B00-0000D6030000}"/>
    <hyperlink ref="Y166" r:id="rId984" tooltip="加【翔鹭转债】为自选转债" display="javascript:addOwnedConvertBond('128072');" xr:uid="{00000000-0004-0000-0B00-0000D7030000}"/>
    <hyperlink ref="A167" r:id="rId985" display="https://www.jisilu.cn/data/convert_bond_detail/128067" xr:uid="{00000000-0004-0000-0B00-0000D8030000}"/>
    <hyperlink ref="E167" r:id="rId986" display="https://www.jisilu.cn/data/stock/002727" xr:uid="{00000000-0004-0000-0B00-0000D9030000}"/>
    <hyperlink ref="L167" r:id="rId987" tooltip="收费数据，点击购买转债增强数据" display="https://www.jisilu.cn/question/95518" xr:uid="{00000000-0004-0000-0B00-0000DA030000}"/>
    <hyperlink ref="N167" r:id="rId988" tooltip="收费数据，点击购买转债增强数据" display="https://www.jisilu.cn/question/95518" xr:uid="{00000000-0004-0000-0B00-0000DB030000}"/>
    <hyperlink ref="W167" r:id="rId989" tooltip="收费数据，点击购买转债增强数据" display="https://www.jisilu.cn/question/95518" xr:uid="{00000000-0004-0000-0B00-0000DC030000}"/>
    <hyperlink ref="Y167" r:id="rId990" tooltip="加【一心转债】为自选转债" display="javascript:addOwnedConvertBond('128067');" xr:uid="{00000000-0004-0000-0B00-0000DD030000}"/>
    <hyperlink ref="A168" r:id="rId991" display="https://www.jisilu.cn/data/convert_bond_detail/127005" xr:uid="{00000000-0004-0000-0B00-0000DE030000}"/>
    <hyperlink ref="E168" r:id="rId992" display="https://www.jisilu.cn/data/stock/000783" xr:uid="{00000000-0004-0000-0B00-0000DF030000}"/>
    <hyperlink ref="L168" r:id="rId993" tooltip="收费数据，点击购买转债增强数据" display="https://www.jisilu.cn/question/95518" xr:uid="{00000000-0004-0000-0B00-0000E0030000}"/>
    <hyperlink ref="N168" r:id="rId994" tooltip="收费数据，点击购买转债增强数据" display="https://www.jisilu.cn/question/95518" xr:uid="{00000000-0004-0000-0B00-0000E1030000}"/>
    <hyperlink ref="W168" r:id="rId995" tooltip="收费数据，点击购买转债增强数据" display="https://www.jisilu.cn/question/95518" xr:uid="{00000000-0004-0000-0B00-0000E2030000}"/>
    <hyperlink ref="Y168" r:id="rId996" tooltip="加【长证转债】为自选转债" display="javascript:addOwnedConvertBond('127005');" xr:uid="{00000000-0004-0000-0B00-0000E3030000}"/>
    <hyperlink ref="A169" r:id="rId997" display="https://www.jisilu.cn/data/convert_bond_detail/132009" xr:uid="{00000000-0004-0000-0B00-0000E4030000}"/>
    <hyperlink ref="E169" r:id="rId998" display="https://www.jisilu.cn/data/stock/601857" xr:uid="{00000000-0004-0000-0B00-0000E5030000}"/>
    <hyperlink ref="L169" r:id="rId999" tooltip="收费数据，点击购买转债增强数据" display="https://www.jisilu.cn/question/95518" xr:uid="{00000000-0004-0000-0B00-0000E6030000}"/>
    <hyperlink ref="N169" r:id="rId1000" tooltip="收费数据，点击购买转债增强数据" display="https://www.jisilu.cn/question/95518" xr:uid="{00000000-0004-0000-0B00-0000E7030000}"/>
    <hyperlink ref="W169" r:id="rId1001" tooltip="收费数据，点击购买转债增强数据" display="https://www.jisilu.cn/question/95518" xr:uid="{00000000-0004-0000-0B00-0000E8030000}"/>
    <hyperlink ref="Y169" r:id="rId1002" tooltip="加【17中油EB】为自选转债" display="javascript:addOwnedConvertBond('132009');" xr:uid="{00000000-0004-0000-0B00-0000E9030000}"/>
    <hyperlink ref="A170" r:id="rId1003" display="https://www.jisilu.cn/data/convert_bond_detail/113544" xr:uid="{00000000-0004-0000-0B00-0000EA030000}"/>
    <hyperlink ref="E170" r:id="rId1004" display="https://www.jisilu.cn/data/stock/603866" xr:uid="{00000000-0004-0000-0B00-0000EB030000}"/>
    <hyperlink ref="L170" r:id="rId1005" tooltip="收费数据，点击购买转债增强数据" display="https://www.jisilu.cn/question/95518" xr:uid="{00000000-0004-0000-0B00-0000EC030000}"/>
    <hyperlink ref="N170" r:id="rId1006" tooltip="收费数据，点击购买转债增强数据" display="https://www.jisilu.cn/question/95518" xr:uid="{00000000-0004-0000-0B00-0000ED030000}"/>
    <hyperlink ref="W170" r:id="rId1007" tooltip="收费数据，点击购买转债增强数据" display="https://www.jisilu.cn/question/95518" xr:uid="{00000000-0004-0000-0B00-0000EE030000}"/>
    <hyperlink ref="Y170" r:id="rId1008" tooltip="加【桃李转债】为自选转债" display="javascript:addOwnedConvertBond('113544');" xr:uid="{00000000-0004-0000-0B00-0000EF030000}"/>
    <hyperlink ref="A171" r:id="rId1009" display="https://www.jisilu.cn/data/convert_bond_detail/128060" xr:uid="{00000000-0004-0000-0B00-0000F0030000}"/>
    <hyperlink ref="E171" r:id="rId1010" display="https://www.jisilu.cn/data/stock/002822" xr:uid="{00000000-0004-0000-0B00-0000F1030000}"/>
    <hyperlink ref="L171" r:id="rId1011" tooltip="收费数据，点击购买转债增强数据" display="https://www.jisilu.cn/question/95518" xr:uid="{00000000-0004-0000-0B00-0000F2030000}"/>
    <hyperlink ref="N171" r:id="rId1012" tooltip="收费数据，点击购买转债增强数据" display="https://www.jisilu.cn/question/95518" xr:uid="{00000000-0004-0000-0B00-0000F3030000}"/>
    <hyperlink ref="W171" r:id="rId1013" tooltip="收费数据，点击购买转债增强数据" display="https://www.jisilu.cn/question/95518" xr:uid="{00000000-0004-0000-0B00-0000F4030000}"/>
    <hyperlink ref="Y171" r:id="rId1014" tooltip="加【中装转债】为自选转债" display="javascript:addOwnedConvertBond('128060');" xr:uid="{00000000-0004-0000-0B00-0000F5030000}"/>
    <hyperlink ref="A172" r:id="rId1015" display="https://www.jisilu.cn/data/convert_bond_detail/128026" xr:uid="{00000000-0004-0000-0B00-0000F6030000}"/>
    <hyperlink ref="E172" r:id="rId1016" display="https://www.jisilu.cn/data/stock/002772" xr:uid="{00000000-0004-0000-0B00-0000F7030000}"/>
    <hyperlink ref="L172" r:id="rId1017" tooltip="收费数据，点击购买转债增强数据" display="https://www.jisilu.cn/question/95518" xr:uid="{00000000-0004-0000-0B00-0000F8030000}"/>
    <hyperlink ref="N172" r:id="rId1018" tooltip="收费数据，点击购买转债增强数据" display="https://www.jisilu.cn/question/95518" xr:uid="{00000000-0004-0000-0B00-0000F9030000}"/>
    <hyperlink ref="W172" r:id="rId1019" tooltip="收费数据，点击购买转债增强数据" display="https://www.jisilu.cn/question/95518" xr:uid="{00000000-0004-0000-0B00-0000FA030000}"/>
    <hyperlink ref="Y172" r:id="rId1020" tooltip="加【众兴转债】为自选转债" display="javascript:addOwnedConvertBond('128026');" xr:uid="{00000000-0004-0000-0B00-0000FB030000}"/>
    <hyperlink ref="A173" r:id="rId1021" display="https://www.jisilu.cn/data/convert_bond_detail/113508" xr:uid="{00000000-0004-0000-0B00-0000FC030000}"/>
    <hyperlink ref="E173" r:id="rId1022" display="https://www.jisilu.cn/data/stock/603225" xr:uid="{00000000-0004-0000-0B00-0000FD030000}"/>
    <hyperlink ref="L173" r:id="rId1023" tooltip="收费数据，点击购买转债增强数据" display="https://www.jisilu.cn/question/95518" xr:uid="{00000000-0004-0000-0B00-0000FE030000}"/>
    <hyperlink ref="N173" r:id="rId1024" tooltip="收费数据，点击购买转债增强数据" display="https://www.jisilu.cn/question/95518" xr:uid="{00000000-0004-0000-0B00-0000FF030000}"/>
    <hyperlink ref="W173" r:id="rId1025" tooltip="收费数据，点击购买转债增强数据" display="https://www.jisilu.cn/question/95518" xr:uid="{00000000-0004-0000-0B00-000000040000}"/>
    <hyperlink ref="Y173" r:id="rId1026" tooltip="加【新凤转债】为自选转债" display="javascript:addOwnedConvertBond('113508');" xr:uid="{00000000-0004-0000-0B00-000001040000}"/>
    <hyperlink ref="A174" r:id="rId1027" display="https://www.jisilu.cn/data/convert_bond_detail/110044" xr:uid="{00000000-0004-0000-0B00-000002040000}"/>
    <hyperlink ref="E174" r:id="rId1028" display="https://www.jisilu.cn/data/stock/600831" xr:uid="{00000000-0004-0000-0B00-000003040000}"/>
    <hyperlink ref="L174" r:id="rId1029" tooltip="收费数据，点击购买转债增强数据" display="https://www.jisilu.cn/question/95518" xr:uid="{00000000-0004-0000-0B00-000004040000}"/>
    <hyperlink ref="N174" r:id="rId1030" tooltip="收费数据，点击购买转债增强数据" display="https://www.jisilu.cn/question/95518" xr:uid="{00000000-0004-0000-0B00-000005040000}"/>
    <hyperlink ref="W174" r:id="rId1031" tooltip="收费数据，点击购买转债增强数据" display="https://www.jisilu.cn/question/95518" xr:uid="{00000000-0004-0000-0B00-000006040000}"/>
    <hyperlink ref="Y174" r:id="rId1032" tooltip="加【广电转债】为自选转债" display="javascript:addOwnedConvertBond('110044');" xr:uid="{00000000-0004-0000-0B00-000007040000}"/>
    <hyperlink ref="A175" r:id="rId1033" display="https://www.jisilu.cn/data/convert_bond_detail/110034" xr:uid="{00000000-0004-0000-0B00-000008040000}"/>
    <hyperlink ref="E175" r:id="rId1034" display="https://www.jisilu.cn/data/stock/600998" xr:uid="{00000000-0004-0000-0B00-000009040000}"/>
    <hyperlink ref="L175" r:id="rId1035" tooltip="收费数据，点击购买转债增强数据" display="https://www.jisilu.cn/question/95518" xr:uid="{00000000-0004-0000-0B00-00000A040000}"/>
    <hyperlink ref="N175" r:id="rId1036" tooltip="收费数据，点击购买转债增强数据" display="https://www.jisilu.cn/question/95518" xr:uid="{00000000-0004-0000-0B00-00000B040000}"/>
    <hyperlink ref="W175" r:id="rId1037" tooltip="收费数据，点击购买转债增强数据" display="https://www.jisilu.cn/question/95518" xr:uid="{00000000-0004-0000-0B00-00000C040000}"/>
    <hyperlink ref="Y175" r:id="rId1038" tooltip="加【九州转债】为自选转债" display="javascript:addOwnedConvertBond('110034');" xr:uid="{00000000-0004-0000-0B00-00000D040000}"/>
    <hyperlink ref="A176" r:id="rId1039" display="https://www.jisilu.cn/data/convert_bond_detail/113012" xr:uid="{00000000-0004-0000-0B00-00000E040000}"/>
    <hyperlink ref="E176" r:id="rId1040" display="https://www.jisilu.cn/data/stock/601311" xr:uid="{00000000-0004-0000-0B00-00000F040000}"/>
    <hyperlink ref="L176" r:id="rId1041" tooltip="收费数据，点击购买转债增强数据" display="https://www.jisilu.cn/question/95518" xr:uid="{00000000-0004-0000-0B00-000010040000}"/>
    <hyperlink ref="N176" r:id="rId1042" tooltip="收费数据，点击购买转债增强数据" display="https://www.jisilu.cn/question/95518" xr:uid="{00000000-0004-0000-0B00-000011040000}"/>
    <hyperlink ref="W176" r:id="rId1043" tooltip="收费数据，点击购买转债增强数据" display="https://www.jisilu.cn/question/95518" xr:uid="{00000000-0004-0000-0B00-000012040000}"/>
    <hyperlink ref="Y176" r:id="rId1044" tooltip="加【骆驼转债】为自选转债" display="javascript:addOwnedConvertBond('113012');" xr:uid="{00000000-0004-0000-0B00-000013040000}"/>
    <hyperlink ref="A177" r:id="rId1045" display="https://www.jisilu.cn/data/convert_bond_detail/113024" xr:uid="{00000000-0004-0000-0B00-000014040000}"/>
    <hyperlink ref="E177" r:id="rId1046" display="https://www.jisilu.cn/data/stock/601611" xr:uid="{00000000-0004-0000-0B00-000015040000}"/>
    <hyperlink ref="L177" r:id="rId1047" tooltip="收费数据，点击购买转债增强数据" display="https://www.jisilu.cn/question/95518" xr:uid="{00000000-0004-0000-0B00-000016040000}"/>
    <hyperlink ref="N177" r:id="rId1048" tooltip="收费数据，点击购买转债增强数据" display="https://www.jisilu.cn/question/95518" xr:uid="{00000000-0004-0000-0B00-000017040000}"/>
    <hyperlink ref="W177" r:id="rId1049" tooltip="收费数据，点击购买转债增强数据" display="https://www.jisilu.cn/question/95518" xr:uid="{00000000-0004-0000-0B00-000018040000}"/>
    <hyperlink ref="Y177" r:id="rId1050" tooltip="加【核建转债】为自选转债" display="javascript:addOwnedConvertBond('113024');" xr:uid="{00000000-0004-0000-0B00-000019040000}"/>
    <hyperlink ref="A178" r:id="rId1051" display="https://www.jisilu.cn/data/convert_bond_detail/110045" xr:uid="{00000000-0004-0000-0B00-00001A040000}"/>
    <hyperlink ref="E178" r:id="rId1052" display="https://www.jisilu.cn/data/stock/600398" xr:uid="{00000000-0004-0000-0B00-00001B040000}"/>
    <hyperlink ref="L178" r:id="rId1053" tooltip="收费数据，点击购买转债增强数据" display="https://www.jisilu.cn/question/95518" xr:uid="{00000000-0004-0000-0B00-00001C040000}"/>
    <hyperlink ref="N178" r:id="rId1054" tooltip="收费数据，点击购买转债增强数据" display="https://www.jisilu.cn/question/95518" xr:uid="{00000000-0004-0000-0B00-00001D040000}"/>
    <hyperlink ref="W178" r:id="rId1055" tooltip="收费数据，点击购买转债增强数据" display="https://www.jisilu.cn/question/95518" xr:uid="{00000000-0004-0000-0B00-00001E040000}"/>
    <hyperlink ref="Y178" r:id="rId1056" tooltip="加【海澜转债】为自选转债" display="javascript:addOwnedConvertBond('110045');" xr:uid="{00000000-0004-0000-0B00-00001F040000}"/>
    <hyperlink ref="A179" r:id="rId1057" display="https://www.jisilu.cn/data/convert_bond_detail/132015" xr:uid="{00000000-0004-0000-0B00-000020040000}"/>
    <hyperlink ref="E179" r:id="rId1058" display="https://www.jisilu.cn/data/stock/601857" xr:uid="{00000000-0004-0000-0B00-000021040000}"/>
    <hyperlink ref="L179" r:id="rId1059" tooltip="收费数据，点击购买转债增强数据" display="https://www.jisilu.cn/question/95518" xr:uid="{00000000-0004-0000-0B00-000022040000}"/>
    <hyperlink ref="N179" r:id="rId1060" tooltip="收费数据，点击购买转债增强数据" display="https://www.jisilu.cn/question/95518" xr:uid="{00000000-0004-0000-0B00-000023040000}"/>
    <hyperlink ref="W179" r:id="rId1061" tooltip="收费数据，点击购买转债增强数据" display="https://www.jisilu.cn/question/95518" xr:uid="{00000000-0004-0000-0B00-000024040000}"/>
    <hyperlink ref="Y179" r:id="rId1062" tooltip="加【18中油EB】为自选转债" display="javascript:addOwnedConvertBond('132015');" xr:uid="{00000000-0004-0000-0B00-000025040000}"/>
    <hyperlink ref="A180" r:id="rId1063" display="https://www.jisilu.cn/data/convert_bond_detail/128015" xr:uid="{00000000-0004-0000-0B00-000026040000}"/>
    <hyperlink ref="E180" r:id="rId1064" display="https://www.jisilu.cn/data/stock/002279" xr:uid="{00000000-0004-0000-0B00-000027040000}"/>
    <hyperlink ref="L180" r:id="rId1065" tooltip="收费数据，点击购买转债增强数据" display="https://www.jisilu.cn/question/95518" xr:uid="{00000000-0004-0000-0B00-000028040000}"/>
    <hyperlink ref="N180" r:id="rId1066" tooltip="收费数据，点击购买转债增强数据" display="https://www.jisilu.cn/question/95518" xr:uid="{00000000-0004-0000-0B00-000029040000}"/>
    <hyperlink ref="W180" r:id="rId1067" tooltip="收费数据，点击购买转债增强数据" display="https://www.jisilu.cn/question/95518" xr:uid="{00000000-0004-0000-0B00-00002A040000}"/>
    <hyperlink ref="Y180" r:id="rId1068" tooltip="加【久其转债】为自选转债" display="javascript:addOwnedConvertBond('128015');" xr:uid="{00000000-0004-0000-0B00-00002B040000}"/>
    <hyperlink ref="A181" r:id="rId1069" display="https://www.jisilu.cn/data/convert_bond_detail/113013" xr:uid="{00000000-0004-0000-0B00-00002C040000}"/>
    <hyperlink ref="E181" r:id="rId1070" display="https://www.jisilu.cn/data/stock/601211" xr:uid="{00000000-0004-0000-0B00-00002D040000}"/>
    <hyperlink ref="L181" r:id="rId1071" tooltip="收费数据，点击购买转债增强数据" display="https://www.jisilu.cn/question/95518" xr:uid="{00000000-0004-0000-0B00-00002E040000}"/>
    <hyperlink ref="N181" r:id="rId1072" tooltip="收费数据，点击购买转债增强数据" display="https://www.jisilu.cn/question/95518" xr:uid="{00000000-0004-0000-0B00-00002F040000}"/>
    <hyperlink ref="W181" r:id="rId1073" tooltip="收费数据，点击购买转债增强数据" display="https://www.jisilu.cn/question/95518" xr:uid="{00000000-0004-0000-0B00-000030040000}"/>
    <hyperlink ref="Y181" r:id="rId1074" tooltip="加【国君转债】为自选转债" display="javascript:addOwnedConvertBond('113013');" xr:uid="{00000000-0004-0000-0B00-000031040000}"/>
    <hyperlink ref="A182" r:id="rId1075" display="https://www.jisilu.cn/data/convert_bond_detail/128014" xr:uid="{00000000-0004-0000-0B00-000032040000}"/>
    <hyperlink ref="E182" r:id="rId1076" display="https://www.jisilu.cn/data/stock/002753" xr:uid="{00000000-0004-0000-0B00-000033040000}"/>
    <hyperlink ref="L182" r:id="rId1077" tooltip="收费数据，点击购买转债增强数据" display="https://www.jisilu.cn/question/95518" xr:uid="{00000000-0004-0000-0B00-000034040000}"/>
    <hyperlink ref="N182" r:id="rId1078" tooltip="收费数据，点击购买转债增强数据" display="https://www.jisilu.cn/question/95518" xr:uid="{00000000-0004-0000-0B00-000035040000}"/>
    <hyperlink ref="W182" r:id="rId1079" tooltip="收费数据，点击购买转债增强数据" display="https://www.jisilu.cn/question/95518" xr:uid="{00000000-0004-0000-0B00-000036040000}"/>
    <hyperlink ref="Y182" r:id="rId1080" tooltip="加【永东转债】为自选转债" display="javascript:addOwnedConvertBond('128014');" xr:uid="{00000000-0004-0000-0B00-000037040000}"/>
    <hyperlink ref="A183" r:id="rId1081" display="https://www.jisilu.cn/data/convert_bond_detail/128030" xr:uid="{00000000-0004-0000-0B00-000038040000}"/>
    <hyperlink ref="E183" r:id="rId1082" display="https://www.jisilu.cn/data/stock/002100" xr:uid="{00000000-0004-0000-0B00-000039040000}"/>
    <hyperlink ref="L183" r:id="rId1083" tooltip="收费数据，点击购买转债增强数据" display="https://www.jisilu.cn/question/95518" xr:uid="{00000000-0004-0000-0B00-00003A040000}"/>
    <hyperlink ref="N183" r:id="rId1084" tooltip="收费数据，点击购买转债增强数据" display="https://www.jisilu.cn/question/95518" xr:uid="{00000000-0004-0000-0B00-00003B040000}"/>
    <hyperlink ref="W183" r:id="rId1085" tooltip="收费数据，点击购买转债增强数据" display="https://www.jisilu.cn/question/95518" xr:uid="{00000000-0004-0000-0B00-00003C040000}"/>
    <hyperlink ref="Y183" r:id="rId1086" tooltip="加【天康转债】为自选转债" display="javascript:addOwnedConvertBond('128030');" xr:uid="{00000000-0004-0000-0B00-00003D040000}"/>
    <hyperlink ref="A184" r:id="rId1087" display="https://www.jisilu.cn/data/convert_bond_detail/123031" xr:uid="{00000000-0004-0000-0B00-00003E040000}"/>
    <hyperlink ref="E184" r:id="rId1088" display="https://www.jisilu.cn/data/stock/300655" xr:uid="{00000000-0004-0000-0B00-00003F040000}"/>
    <hyperlink ref="L184" r:id="rId1089" tooltip="收费数据，点击购买转债增强数据" display="https://www.jisilu.cn/question/95518" xr:uid="{00000000-0004-0000-0B00-000040040000}"/>
    <hyperlink ref="N184" r:id="rId1090" tooltip="收费数据，点击购买转债增强数据" display="https://www.jisilu.cn/question/95518" xr:uid="{00000000-0004-0000-0B00-000041040000}"/>
    <hyperlink ref="W184" r:id="rId1091" tooltip="收费数据，点击购买转债增强数据" display="https://www.jisilu.cn/question/95518" xr:uid="{00000000-0004-0000-0B00-000042040000}"/>
    <hyperlink ref="Y184" r:id="rId1092" tooltip="加【晶瑞转债】为自选转债" display="javascript:addOwnedConvertBond('123031');" xr:uid="{00000000-0004-0000-0B00-000043040000}"/>
    <hyperlink ref="A185" r:id="rId1093" display="https://www.jisilu.cn/data/convert_bond_detail/127011" xr:uid="{00000000-0004-0000-0B00-000044040000}"/>
    <hyperlink ref="E185" r:id="rId1094" display="https://www.jisilu.cn/data/stock/000887" xr:uid="{00000000-0004-0000-0B00-000045040000}"/>
    <hyperlink ref="L185" r:id="rId1095" tooltip="收费数据，点击购买转债增强数据" display="https://www.jisilu.cn/question/95518" xr:uid="{00000000-0004-0000-0B00-000046040000}"/>
    <hyperlink ref="N185" r:id="rId1096" tooltip="收费数据，点击购买转债增强数据" display="https://www.jisilu.cn/question/95518" xr:uid="{00000000-0004-0000-0B00-000047040000}"/>
    <hyperlink ref="W185" r:id="rId1097" tooltip="收费数据，点击购买转债增强数据" display="https://www.jisilu.cn/question/95518" xr:uid="{00000000-0004-0000-0B00-000048040000}"/>
    <hyperlink ref="Y185" r:id="rId1098" tooltip="加【中鼎转2】为自选转债" display="javascript:addOwnedConvertBond('127011');" xr:uid="{00000000-0004-0000-0B00-000049040000}"/>
    <hyperlink ref="A186" r:id="rId1099" display="https://www.jisilu.cn/data/convert_bond_detail/128028" xr:uid="{00000000-0004-0000-0B00-00004A040000}"/>
    <hyperlink ref="E186" r:id="rId1100" display="https://www.jisilu.cn/data/stock/002460" xr:uid="{00000000-0004-0000-0B00-00004B040000}"/>
    <hyperlink ref="L186" r:id="rId1101" tooltip="收费数据，点击购买转债增强数据" display="https://www.jisilu.cn/question/95518" xr:uid="{00000000-0004-0000-0B00-00004C040000}"/>
    <hyperlink ref="N186" r:id="rId1102" tooltip="收费数据，点击购买转债增强数据" display="https://www.jisilu.cn/question/95518" xr:uid="{00000000-0004-0000-0B00-00004D040000}"/>
    <hyperlink ref="W186" r:id="rId1103" tooltip="收费数据，点击购买转债增强数据" display="https://www.jisilu.cn/question/95518" xr:uid="{00000000-0004-0000-0B00-00004E040000}"/>
    <hyperlink ref="Y186" r:id="rId1104" tooltip="加【赣锋转债】为自选转债" display="javascript:addOwnedConvertBond('128028');" xr:uid="{00000000-0004-0000-0B00-00004F040000}"/>
    <hyperlink ref="A187" r:id="rId1105" display="https://www.jisilu.cn/data/convert_bond_detail/113009" xr:uid="{00000000-0004-0000-0B00-000050040000}"/>
    <hyperlink ref="E187" r:id="rId1106" display="https://www.jisilu.cn/data/stock/601238" xr:uid="{00000000-0004-0000-0B00-000051040000}"/>
    <hyperlink ref="L187" r:id="rId1107" tooltip="收费数据，点击购买转债增强数据" display="https://www.jisilu.cn/question/95518" xr:uid="{00000000-0004-0000-0B00-000052040000}"/>
    <hyperlink ref="N187" r:id="rId1108" tooltip="收费数据，点击购买转债增强数据" display="https://www.jisilu.cn/question/95518" xr:uid="{00000000-0004-0000-0B00-000053040000}"/>
    <hyperlink ref="W187" r:id="rId1109" tooltip="收费数据，点击购买转债增强数据" display="https://www.jisilu.cn/question/95518" xr:uid="{00000000-0004-0000-0B00-000054040000}"/>
    <hyperlink ref="Y187" r:id="rId1110" tooltip="加【广汽转债】为自选转债" display="javascript:addOwnedConvertBond('113009');" xr:uid="{00000000-0004-0000-0B00-000055040000}"/>
    <hyperlink ref="A188" r:id="rId1111" display="https://www.jisilu.cn/data/convert_bond_detail/128046" xr:uid="{00000000-0004-0000-0B00-000056040000}"/>
    <hyperlink ref="E188" r:id="rId1112" display="https://www.jisilu.cn/data/stock/002258" xr:uid="{00000000-0004-0000-0B00-000057040000}"/>
    <hyperlink ref="L188" r:id="rId1113" tooltip="收费数据，点击购买转债增强数据" display="https://www.jisilu.cn/question/95518" xr:uid="{00000000-0004-0000-0B00-000058040000}"/>
    <hyperlink ref="N188" r:id="rId1114" tooltip="收费数据，点击购买转债增强数据" display="https://www.jisilu.cn/question/95518" xr:uid="{00000000-0004-0000-0B00-000059040000}"/>
    <hyperlink ref="W188" r:id="rId1115" tooltip="收费数据，点击购买转债增强数据" display="https://www.jisilu.cn/question/95518" xr:uid="{00000000-0004-0000-0B00-00005A040000}"/>
    <hyperlink ref="Y188" r:id="rId1116" tooltip="加【利尔转债】为自选转债" display="javascript:addOwnedConvertBond('128046');" xr:uid="{00000000-0004-0000-0B00-00005B040000}"/>
    <hyperlink ref="A189" r:id="rId1117" display="https://www.jisilu.cn/data/convert_bond_detail/128038" xr:uid="{00000000-0004-0000-0B00-00005C040000}"/>
    <hyperlink ref="E189" r:id="rId1118" display="https://www.jisilu.cn/data/stock/002131" xr:uid="{00000000-0004-0000-0B00-00005D040000}"/>
    <hyperlink ref="L189" r:id="rId1119" tooltip="收费数据，点击购买转债增强数据" display="https://www.jisilu.cn/question/95518" xr:uid="{00000000-0004-0000-0B00-00005E040000}"/>
    <hyperlink ref="N189" r:id="rId1120" tooltip="收费数据，点击购买转债增强数据" display="https://www.jisilu.cn/question/95518" xr:uid="{00000000-0004-0000-0B00-00005F040000}"/>
    <hyperlink ref="W189" r:id="rId1121" tooltip="收费数据，点击购买转债增强数据" display="https://www.jisilu.cn/question/95518" xr:uid="{00000000-0004-0000-0B00-000060040000}"/>
    <hyperlink ref="Y189" r:id="rId1122" tooltip="加【利欧转债】为自选转债" display="javascript:addOwnedConvertBond('128038');" xr:uid="{00000000-0004-0000-0B00-000061040000}"/>
    <hyperlink ref="A190" r:id="rId1123" display="https://www.jisilu.cn/data/convert_bond_detail/132004" xr:uid="{00000000-0004-0000-0B00-000062040000}"/>
    <hyperlink ref="E190" r:id="rId1124" display="https://www.jisilu.cn/data/stock/600170" xr:uid="{00000000-0004-0000-0B00-000063040000}"/>
    <hyperlink ref="L190" r:id="rId1125" tooltip="收费数据，点击购买转债增强数据" display="https://www.jisilu.cn/question/95518" xr:uid="{00000000-0004-0000-0B00-000064040000}"/>
    <hyperlink ref="N190" r:id="rId1126" tooltip="收费数据，点击购买转债增强数据" display="https://www.jisilu.cn/question/95518" xr:uid="{00000000-0004-0000-0B00-000065040000}"/>
    <hyperlink ref="W190" r:id="rId1127" tooltip="收费数据，点击购买转债增强数据" display="https://www.jisilu.cn/question/95518" xr:uid="{00000000-0004-0000-0B00-000066040000}"/>
    <hyperlink ref="Y190" r:id="rId1128" tooltip="加【15国盛EB】为自选转债" display="javascript:addOwnedConvertBond('132004');" xr:uid="{00000000-0004-0000-0B00-000067040000}"/>
    <hyperlink ref="A191" r:id="rId1129" display="https://www.jisilu.cn/data/convert_bond_detail/132013" xr:uid="{00000000-0004-0000-0B00-000068040000}"/>
    <hyperlink ref="E191" r:id="rId1130" display="https://www.jisilu.cn/data/stock/600019" xr:uid="{00000000-0004-0000-0B00-000069040000}"/>
    <hyperlink ref="L191" r:id="rId1131" tooltip="收费数据，点击购买转债增强数据" display="https://www.jisilu.cn/question/95518" xr:uid="{00000000-0004-0000-0B00-00006A040000}"/>
    <hyperlink ref="N191" r:id="rId1132" tooltip="收费数据，点击购买转债增强数据" display="https://www.jisilu.cn/question/95518" xr:uid="{00000000-0004-0000-0B00-00006B040000}"/>
    <hyperlink ref="W191" r:id="rId1133" tooltip="收费数据，点击购买转债增强数据" display="https://www.jisilu.cn/question/95518" xr:uid="{00000000-0004-0000-0B00-00006C040000}"/>
    <hyperlink ref="Y191" r:id="rId1134" tooltip="加【17宝武EB】为自选转债" display="javascript:addOwnedConvertBond('132013');" xr:uid="{00000000-0004-0000-0B00-00006D040000}"/>
    <hyperlink ref="A192" r:id="rId1135" display="https://www.jisilu.cn/data/convert_bond_detail/128035" xr:uid="{00000000-0004-0000-0B00-00006E040000}"/>
    <hyperlink ref="E192" r:id="rId1136" display="https://www.jisilu.cn/data/stock/002008" xr:uid="{00000000-0004-0000-0B00-00006F040000}"/>
    <hyperlink ref="L192" r:id="rId1137" tooltip="收费数据，点击购买转债增强数据" display="https://www.jisilu.cn/question/95518" xr:uid="{00000000-0004-0000-0B00-000070040000}"/>
    <hyperlink ref="N192" r:id="rId1138" tooltip="收费数据，点击购买转债增强数据" display="https://www.jisilu.cn/question/95518" xr:uid="{00000000-0004-0000-0B00-000071040000}"/>
    <hyperlink ref="W192" r:id="rId1139" tooltip="收费数据，点击购买转债增强数据" display="https://www.jisilu.cn/question/95518" xr:uid="{00000000-0004-0000-0B00-000072040000}"/>
    <hyperlink ref="Y192" r:id="rId1140" tooltip="加【大族转债】为自选转债" display="javascript:addOwnedConvertBond('128035');" xr:uid="{00000000-0004-0000-0B00-000073040000}"/>
    <hyperlink ref="A193" r:id="rId1141" display="https://www.jisilu.cn/data/convert_bond_detail/123022" xr:uid="{00000000-0004-0000-0B00-000074040000}"/>
    <hyperlink ref="E193" r:id="rId1142" display="https://www.jisilu.cn/data/stock/300088" xr:uid="{00000000-0004-0000-0B00-000075040000}"/>
    <hyperlink ref="L193" r:id="rId1143" tooltip="收费数据，点击购买转债增强数据" display="https://www.jisilu.cn/question/95518" xr:uid="{00000000-0004-0000-0B00-000076040000}"/>
    <hyperlink ref="N193" r:id="rId1144" tooltip="收费数据，点击购买转债增强数据" display="https://www.jisilu.cn/question/95518" xr:uid="{00000000-0004-0000-0B00-000077040000}"/>
    <hyperlink ref="W193" r:id="rId1145" tooltip="收费数据，点击购买转债增强数据" display="https://www.jisilu.cn/question/95518" xr:uid="{00000000-0004-0000-0B00-000078040000}"/>
    <hyperlink ref="Y193" r:id="rId1146" tooltip="加【长信转债】为自选转债" display="javascript:addOwnedConvertBond('123022');" xr:uid="{00000000-0004-0000-0B00-000079040000}"/>
    <hyperlink ref="A194" r:id="rId1147" display="https://www.jisilu.cn/data/convert_bond_detail/127004" xr:uid="{00000000-0004-0000-0B00-00007A040000}"/>
    <hyperlink ref="E194" r:id="rId1148" display="https://www.jisilu.cn/data/stock/000700" xr:uid="{00000000-0004-0000-0B00-00007B040000}"/>
    <hyperlink ref="L194" r:id="rId1149" tooltip="收费数据，点击购买转债增强数据" display="https://www.jisilu.cn/question/95518" xr:uid="{00000000-0004-0000-0B00-00007C040000}"/>
    <hyperlink ref="N194" r:id="rId1150" tooltip="收费数据，点击购买转债增强数据" display="https://www.jisilu.cn/question/95518" xr:uid="{00000000-0004-0000-0B00-00007D040000}"/>
    <hyperlink ref="W194" r:id="rId1151" tooltip="收费数据，点击购买转债增强数据" display="https://www.jisilu.cn/question/95518" xr:uid="{00000000-0004-0000-0B00-00007E040000}"/>
    <hyperlink ref="Y194" r:id="rId1152" tooltip="加【模塑转债】为自选转债" display="javascript:addOwnedConvertBond('127004');" xr:uid="{00000000-0004-0000-0B00-00007F040000}"/>
    <hyperlink ref="A195" r:id="rId1153" display="https://www.jisilu.cn/data/convert_bond_detail/128032" xr:uid="{00000000-0004-0000-0B00-000080040000}"/>
    <hyperlink ref="E195" r:id="rId1154" display="https://www.jisilu.cn/data/stock/002472" xr:uid="{00000000-0004-0000-0B00-000081040000}"/>
    <hyperlink ref="L195" r:id="rId1155" tooltip="收费数据，点击购买转债增强数据" display="https://www.jisilu.cn/question/95518" xr:uid="{00000000-0004-0000-0B00-000082040000}"/>
    <hyperlink ref="N195" r:id="rId1156" tooltip="收费数据，点击购买转债增强数据" display="https://www.jisilu.cn/question/95518" xr:uid="{00000000-0004-0000-0B00-000083040000}"/>
    <hyperlink ref="W195" r:id="rId1157" tooltip="收费数据，点击购买转债增强数据" display="https://www.jisilu.cn/question/95518" xr:uid="{00000000-0004-0000-0B00-000084040000}"/>
    <hyperlink ref="Y195" r:id="rId1158" tooltip="加【双环转债】为自选转债" display="javascript:addOwnedConvertBond('128032');" xr:uid="{00000000-0004-0000-0B00-000085040000}"/>
    <hyperlink ref="A196" r:id="rId1159" display="https://www.jisilu.cn/data/convert_bond_detail/128023" xr:uid="{00000000-0004-0000-0B00-000086040000}"/>
    <hyperlink ref="E196" r:id="rId1160" display="https://www.jisilu.cn/data/stock/002284" xr:uid="{00000000-0004-0000-0B00-000087040000}"/>
    <hyperlink ref="L196" r:id="rId1161" tooltip="收费数据，点击购买转债增强数据" display="https://www.jisilu.cn/question/95518" xr:uid="{00000000-0004-0000-0B00-000088040000}"/>
    <hyperlink ref="N196" r:id="rId1162" tooltip="收费数据，点击购买转债增强数据" display="https://www.jisilu.cn/question/95518" xr:uid="{00000000-0004-0000-0B00-000089040000}"/>
    <hyperlink ref="W196" r:id="rId1163" tooltip="收费数据，点击购买转债增强数据" display="https://www.jisilu.cn/question/95518" xr:uid="{00000000-0004-0000-0B00-00008A040000}"/>
    <hyperlink ref="Y196" r:id="rId1164" tooltip="加【亚太转债】为自选转债" display="javascript:addOwnedConvertBond('128023');" xr:uid="{00000000-0004-0000-0B00-00008B040000}"/>
    <hyperlink ref="A197" r:id="rId1165" display="https://www.jisilu.cn/data/convert_bond_detail/128052" xr:uid="{00000000-0004-0000-0B00-00008C040000}"/>
    <hyperlink ref="E197" r:id="rId1166" display="https://www.jisilu.cn/data/stock/002783" xr:uid="{00000000-0004-0000-0B00-00008D040000}"/>
    <hyperlink ref="L197" r:id="rId1167" tooltip="收费数据，点击购买转债增强数据" display="https://www.jisilu.cn/question/95518" xr:uid="{00000000-0004-0000-0B00-00008E040000}"/>
    <hyperlink ref="N197" r:id="rId1168" tooltip="收费数据，点击购买转债增强数据" display="https://www.jisilu.cn/question/95518" xr:uid="{00000000-0004-0000-0B00-00008F040000}"/>
    <hyperlink ref="W197" r:id="rId1169" tooltip="收费数据，点击购买转债增强数据" display="https://www.jisilu.cn/question/95518" xr:uid="{00000000-0004-0000-0B00-000090040000}"/>
    <hyperlink ref="Y197" r:id="rId1170" tooltip="加【凯龙转债】为自选转债" display="javascript:addOwnedConvertBond('128052');" xr:uid="{00000000-0004-0000-0B00-000091040000}"/>
    <hyperlink ref="A198" r:id="rId1171" display="https://www.jisilu.cn/data/convert_bond_detail/113014" xr:uid="{00000000-0004-0000-0B00-000092040000}"/>
    <hyperlink ref="E198" r:id="rId1172" display="https://www.jisilu.cn/data/stock/601222" xr:uid="{00000000-0004-0000-0B00-000093040000}"/>
    <hyperlink ref="L198" r:id="rId1173" tooltip="收费数据，点击购买转债增强数据" display="https://www.jisilu.cn/question/95518" xr:uid="{00000000-0004-0000-0B00-000094040000}"/>
    <hyperlink ref="N198" r:id="rId1174" tooltip="收费数据，点击购买转债增强数据" display="https://www.jisilu.cn/question/95518" xr:uid="{00000000-0004-0000-0B00-000095040000}"/>
    <hyperlink ref="W198" r:id="rId1175" tooltip="收费数据，点击购买转债增强数据" display="https://www.jisilu.cn/question/95518" xr:uid="{00000000-0004-0000-0B00-000096040000}"/>
    <hyperlink ref="Y198" r:id="rId1176" tooltip="加【林洋转债】为自选转债" display="javascript:addOwnedConvertBond('113014');" xr:uid="{00000000-0004-0000-0B00-000097040000}"/>
    <hyperlink ref="A199" r:id="rId1177" display="https://www.jisilu.cn/data/convert_bond_detail/110038" xr:uid="{00000000-0004-0000-0B00-000098040000}"/>
    <hyperlink ref="E199" r:id="rId1178" display="https://www.jisilu.cn/data/stock/600566" xr:uid="{00000000-0004-0000-0B00-000099040000}"/>
    <hyperlink ref="L199" r:id="rId1179" tooltip="收费数据，点击购买转债增强数据" display="https://www.jisilu.cn/question/95518" xr:uid="{00000000-0004-0000-0B00-00009A040000}"/>
    <hyperlink ref="N199" r:id="rId1180" tooltip="收费数据，点击购买转债增强数据" display="https://www.jisilu.cn/question/95518" xr:uid="{00000000-0004-0000-0B00-00009B040000}"/>
    <hyperlink ref="W199" r:id="rId1181" tooltip="收费数据，点击购买转债增强数据" display="https://www.jisilu.cn/question/95518" xr:uid="{00000000-0004-0000-0B00-00009C040000}"/>
    <hyperlink ref="Y199" r:id="rId1182" tooltip="加【济川转债】为自选转债" display="javascript:addOwnedConvertBond('110038');" xr:uid="{00000000-0004-0000-0B00-00009D040000}"/>
    <hyperlink ref="A200" r:id="rId1183" display="https://www.jisilu.cn/data/convert_bond_detail/113502" xr:uid="{00000000-0004-0000-0B00-00009E040000}"/>
    <hyperlink ref="E200" r:id="rId1184" display="https://www.jisilu.cn/data/stock/603822" xr:uid="{00000000-0004-0000-0B00-00009F040000}"/>
    <hyperlink ref="L200" r:id="rId1185" tooltip="收费数据，点击购买转债增强数据" display="https://www.jisilu.cn/question/95518" xr:uid="{00000000-0004-0000-0B00-0000A0040000}"/>
    <hyperlink ref="N200" r:id="rId1186" tooltip="收费数据，点击购买转债增强数据" display="https://www.jisilu.cn/question/95518" xr:uid="{00000000-0004-0000-0B00-0000A1040000}"/>
    <hyperlink ref="W200" r:id="rId1187" tooltip="收费数据，点击购买转债增强数据" display="https://www.jisilu.cn/question/95518" xr:uid="{00000000-0004-0000-0B00-0000A2040000}"/>
    <hyperlink ref="Y200" r:id="rId1188" tooltip="加【嘉澳转债】为自选转债" display="javascript:addOwnedConvertBond('113502');" xr:uid="{00000000-0004-0000-0B00-0000A3040000}"/>
    <hyperlink ref="A201" r:id="rId1189" display="https://www.jisilu.cn/data/convert_bond_detail/127008" xr:uid="{00000000-0004-0000-0B00-0000A4040000}"/>
    <hyperlink ref="E201" r:id="rId1190" display="https://www.jisilu.cn/data/stock/000070" xr:uid="{00000000-0004-0000-0B00-0000A5040000}"/>
    <hyperlink ref="L201" r:id="rId1191" tooltip="收费数据，点击购买转债增强数据" display="https://www.jisilu.cn/question/95518" xr:uid="{00000000-0004-0000-0B00-0000A6040000}"/>
    <hyperlink ref="N201" r:id="rId1192" tooltip="收费数据，点击购买转债增强数据" display="https://www.jisilu.cn/question/95518" xr:uid="{00000000-0004-0000-0B00-0000A7040000}"/>
    <hyperlink ref="W201" r:id="rId1193" tooltip="收费数据，点击购买转债增强数据" display="https://www.jisilu.cn/question/95518" xr:uid="{00000000-0004-0000-0B00-0000A8040000}"/>
    <hyperlink ref="Y201" r:id="rId1194" tooltip="加【特发转债】为自选转债" display="javascript:addOwnedConvertBond('127008');" xr:uid="{00000000-0004-0000-0B00-0000A9040000}"/>
    <hyperlink ref="A202" r:id="rId1195" display="https://www.jisilu.cn/data/convert_bond_detail/132007" xr:uid="{00000000-0004-0000-0B00-0000AA040000}"/>
    <hyperlink ref="E202" r:id="rId1196" display="https://www.jisilu.cn/data/stock/601928" xr:uid="{00000000-0004-0000-0B00-0000AB040000}"/>
    <hyperlink ref="L202" r:id="rId1197" tooltip="收费数据，点击购买转债增强数据" display="https://www.jisilu.cn/question/95518" xr:uid="{00000000-0004-0000-0B00-0000AC040000}"/>
    <hyperlink ref="N202" r:id="rId1198" tooltip="收费数据，点击购买转债增强数据" display="https://www.jisilu.cn/question/95518" xr:uid="{00000000-0004-0000-0B00-0000AD040000}"/>
    <hyperlink ref="W202" r:id="rId1199" tooltip="收费数据，点击购买转债增强数据" display="https://www.jisilu.cn/question/95518" xr:uid="{00000000-0004-0000-0B00-0000AE040000}"/>
    <hyperlink ref="Y202" r:id="rId1200" tooltip="加【16凤凰EB】为自选转债" display="javascript:addOwnedConvertBond('132007');" xr:uid="{00000000-0004-0000-0B00-0000AF040000}"/>
    <hyperlink ref="A203" r:id="rId1201" display="https://www.jisilu.cn/data/convert_bond_detail/128037" xr:uid="{00000000-0004-0000-0B00-0000B0040000}"/>
    <hyperlink ref="E203" r:id="rId1202" display="https://www.jisilu.cn/data/stock/002542" xr:uid="{00000000-0004-0000-0B00-0000B1040000}"/>
    <hyperlink ref="L203" r:id="rId1203" tooltip="收费数据，点击购买转债增强数据" display="https://www.jisilu.cn/question/95518" xr:uid="{00000000-0004-0000-0B00-0000B2040000}"/>
    <hyperlink ref="N203" r:id="rId1204" tooltip="收费数据，点击购买转债增强数据" display="https://www.jisilu.cn/question/95518" xr:uid="{00000000-0004-0000-0B00-0000B3040000}"/>
    <hyperlink ref="W203" r:id="rId1205" tooltip="收费数据，点击购买转债增强数据" display="https://www.jisilu.cn/question/95518" xr:uid="{00000000-0004-0000-0B00-0000B4040000}"/>
    <hyperlink ref="Y203" r:id="rId1206" tooltip="加【岩土转债】为自选转债" display="javascript:addOwnedConvertBond('128037');" xr:uid="{00000000-0004-0000-0B00-0000B5040000}"/>
    <hyperlink ref="A204" r:id="rId1207" display="https://www.jisilu.cn/data/convert_bond_detail/132008" xr:uid="{00000000-0004-0000-0B00-0000B6040000}"/>
    <hyperlink ref="E204" r:id="rId1208" display="https://www.jisilu.cn/data/stock/600350" xr:uid="{00000000-0004-0000-0B00-0000B7040000}"/>
    <hyperlink ref="L204" r:id="rId1209" tooltip="收费数据，点击购买转债增强数据" display="https://www.jisilu.cn/question/95518" xr:uid="{00000000-0004-0000-0B00-0000B8040000}"/>
    <hyperlink ref="N204" r:id="rId1210" tooltip="收费数据，点击购买转债增强数据" display="https://www.jisilu.cn/question/95518" xr:uid="{00000000-0004-0000-0B00-0000B9040000}"/>
    <hyperlink ref="W204" r:id="rId1211" tooltip="收费数据，点击购买转债增强数据" display="https://www.jisilu.cn/question/95518" xr:uid="{00000000-0004-0000-0B00-0000BA040000}"/>
    <hyperlink ref="Y204" r:id="rId1212" tooltip="加【17山高EB】为自选转债" display="javascript:addOwnedConvertBond('132008');" xr:uid="{00000000-0004-0000-0B00-0000BB040000}"/>
    <hyperlink ref="A205" r:id="rId1213" display="https://www.jisilu.cn/data/convert_bond_detail/128062" xr:uid="{00000000-0004-0000-0B00-0000BC040000}"/>
    <hyperlink ref="E205" r:id="rId1214" display="https://www.jisilu.cn/data/stock/002370" xr:uid="{00000000-0004-0000-0B00-0000BD040000}"/>
    <hyperlink ref="L205" r:id="rId1215" tooltip="收费数据，点击购买转债增强数据" display="https://www.jisilu.cn/question/95518" xr:uid="{00000000-0004-0000-0B00-0000BE040000}"/>
    <hyperlink ref="N205" r:id="rId1216" tooltip="收费数据，点击购买转债增强数据" display="https://www.jisilu.cn/question/95518" xr:uid="{00000000-0004-0000-0B00-0000BF040000}"/>
    <hyperlink ref="W205" r:id="rId1217" tooltip="收费数据，点击购买转债增强数据" display="https://www.jisilu.cn/question/95518" xr:uid="{00000000-0004-0000-0B00-0000C0040000}"/>
    <hyperlink ref="Y205" r:id="rId1218" tooltip="加【亚药转债】为自选转债" display="javascript:addOwnedConvertBond('128062');" xr:uid="{00000000-0004-0000-0B00-0000C1040000}"/>
    <hyperlink ref="A206" r:id="rId1219" display="https://www.jisilu.cn/data/convert_bond_detail/128043" xr:uid="{00000000-0004-0000-0B00-0000C2040000}"/>
    <hyperlink ref="E206" r:id="rId1220" display="https://www.jisilu.cn/data/stock/002793" xr:uid="{00000000-0004-0000-0B00-0000C3040000}"/>
    <hyperlink ref="L206" r:id="rId1221" tooltip="收费数据，点击购买转债增强数据" display="https://www.jisilu.cn/question/95518" xr:uid="{00000000-0004-0000-0B00-0000C4040000}"/>
    <hyperlink ref="N206" r:id="rId1222" tooltip="收费数据，点击购买转债增强数据" display="https://www.jisilu.cn/question/95518" xr:uid="{00000000-0004-0000-0B00-0000C5040000}"/>
    <hyperlink ref="W206" r:id="rId1223" tooltip="收费数据，点击购买转债增强数据" display="https://www.jisilu.cn/question/95518" xr:uid="{00000000-0004-0000-0B00-0000C6040000}"/>
    <hyperlink ref="Y206" r:id="rId1224" tooltip="加【东音转债】为自选转债" display="javascript:addOwnedConvertBond('128043');" xr:uid="{00000000-0004-0000-0B00-0000C7040000}"/>
    <hyperlink ref="A207" r:id="rId1225" display="https://www.jisilu.cn/data/convert_bond_detail/110031" xr:uid="{00000000-0004-0000-0B00-0000C8040000}"/>
    <hyperlink ref="E207" r:id="rId1226" display="https://www.jisilu.cn/data/stock/600271" xr:uid="{00000000-0004-0000-0B00-0000C9040000}"/>
    <hyperlink ref="L207" r:id="rId1227" tooltip="收费数据，点击购买转债增强数据" display="https://www.jisilu.cn/question/95518" xr:uid="{00000000-0004-0000-0B00-0000CA040000}"/>
    <hyperlink ref="N207" r:id="rId1228" tooltip="收费数据，点击购买转债增强数据" display="https://www.jisilu.cn/question/95518" xr:uid="{00000000-0004-0000-0B00-0000CB040000}"/>
    <hyperlink ref="W207" r:id="rId1229" tooltip="收费数据，点击购买转债增强数据" display="https://www.jisilu.cn/question/95518" xr:uid="{00000000-0004-0000-0B00-0000CC040000}"/>
    <hyperlink ref="Y207" r:id="rId1230" tooltip="加【航信转债】为自选转债" display="javascript:addOwnedConvertBond('110031');" xr:uid="{00000000-0004-0000-0B00-0000CD040000}"/>
    <hyperlink ref="A208" r:id="rId1231" display="https://www.jisilu.cn/data/convert_bond_detail/128013" xr:uid="{00000000-0004-0000-0B00-0000CE040000}"/>
    <hyperlink ref="E208" r:id="rId1232" display="https://www.jisilu.cn/data/stock/002325" xr:uid="{00000000-0004-0000-0B00-0000CF040000}"/>
    <hyperlink ref="L208" r:id="rId1233" tooltip="收费数据，点击购买转债增强数据" display="https://www.jisilu.cn/question/95518" xr:uid="{00000000-0004-0000-0B00-0000D0040000}"/>
    <hyperlink ref="N208" r:id="rId1234" tooltip="收费数据，点击购买转债增强数据" display="https://www.jisilu.cn/question/95518" xr:uid="{00000000-0004-0000-0B00-0000D1040000}"/>
    <hyperlink ref="W208" r:id="rId1235" tooltip="收费数据，点击购买转债增强数据" display="https://www.jisilu.cn/question/95518" xr:uid="{00000000-0004-0000-0B00-0000D2040000}"/>
    <hyperlink ref="Y208" r:id="rId1236" tooltip="加【洪涛转债】为自选转债" display="javascript:addOwnedConvertBond('128013');" xr:uid="{00000000-0004-0000-0B00-0000D3040000}"/>
    <hyperlink ref="A209" r:id="rId1237" display="https://www.jisilu.cn/data/convert_bond_detail/128010" xr:uid="{00000000-0004-0000-0B00-0000D4040000}"/>
    <hyperlink ref="E209" r:id="rId1238" display="https://www.jisilu.cn/data/stock/002245" xr:uid="{00000000-0004-0000-0B00-0000D5040000}"/>
    <hyperlink ref="L209" r:id="rId1239" tooltip="收费数据，点击购买转债增强数据" display="https://www.jisilu.cn/question/95518" xr:uid="{00000000-0004-0000-0B00-0000D6040000}"/>
    <hyperlink ref="N209" r:id="rId1240" tooltip="收费数据，点击购买转债增强数据" display="https://www.jisilu.cn/question/95518" xr:uid="{00000000-0004-0000-0B00-0000D7040000}"/>
    <hyperlink ref="W209" r:id="rId1241" tooltip="收费数据，点击购买转债增强数据" display="https://www.jisilu.cn/question/95518" xr:uid="{00000000-0004-0000-0B00-0000D8040000}"/>
    <hyperlink ref="Y209" r:id="rId1242" tooltip="加【顺昌转债】为自选转债" display="javascript:addOwnedConvertBond('128010');" xr:uid="{00000000-0004-0000-0B00-0000D9040000}"/>
    <hyperlink ref="A210" r:id="rId1243" display="https://www.jisilu.cn/data/convert_bond_detail/132011" xr:uid="{00000000-0004-0000-0B00-0000DA040000}"/>
    <hyperlink ref="E210" r:id="rId1244" display="https://www.jisilu.cn/data/stock/600633" xr:uid="{00000000-0004-0000-0B00-0000DB040000}"/>
    <hyperlink ref="L210" r:id="rId1245" tooltip="收费数据，点击购买转债增强数据" display="https://www.jisilu.cn/question/95518" xr:uid="{00000000-0004-0000-0B00-0000DC040000}"/>
    <hyperlink ref="N210" r:id="rId1246" tooltip="收费数据，点击购买转债增强数据" display="https://www.jisilu.cn/question/95518" xr:uid="{00000000-0004-0000-0B00-0000DD040000}"/>
    <hyperlink ref="W210" r:id="rId1247" tooltip="收费数据，点击购买转债增强数据" display="https://www.jisilu.cn/question/95518" xr:uid="{00000000-0004-0000-0B00-0000DE040000}"/>
    <hyperlink ref="Y210" r:id="rId1248" tooltip="加【17浙报EB】为自选转债" display="javascript:addOwnedConvertBond('132011');" xr:uid="{00000000-0004-0000-0B00-0000DF040000}"/>
    <hyperlink ref="A211" r:id="rId1249" display="https://www.jisilu.cn/data/convert_bond_detail/128012" xr:uid="{00000000-0004-0000-0B00-0000E0040000}"/>
    <hyperlink ref="E211" r:id="rId1250" display="https://www.jisilu.cn/data/stock/002496" xr:uid="{00000000-0004-0000-0B00-0000E1040000}"/>
    <hyperlink ref="L211" r:id="rId1251" tooltip="收费数据，点击购买转债增强数据" display="https://www.jisilu.cn/question/95518" xr:uid="{00000000-0004-0000-0B00-0000E2040000}"/>
    <hyperlink ref="N211" r:id="rId1252" tooltip="收费数据，点击购买转债增强数据" display="https://www.jisilu.cn/question/95518" xr:uid="{00000000-0004-0000-0B00-0000E3040000}"/>
    <hyperlink ref="W211" r:id="rId1253" tooltip="收费数据，点击购买转债增强数据" display="https://www.jisilu.cn/question/95518" xr:uid="{00000000-0004-0000-0B00-0000E4040000}"/>
    <hyperlink ref="Y211" r:id="rId1254" tooltip="加【辉丰转债】为自选转债" display="javascript:addOwnedConvertBond('128012');" xr:uid="{00000000-0004-0000-0B00-0000E504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124"/>
  <sheetViews>
    <sheetView workbookViewId="0">
      <selection activeCell="R24" sqref="R24"/>
    </sheetView>
  </sheetViews>
  <sheetFormatPr baseColWidth="10" defaultRowHeight="16"/>
  <cols>
    <col min="1" max="4" width="10.83203125" style="182" customWidth="1"/>
  </cols>
  <sheetData>
    <row r="1" spans="1:21" ht="22" customHeight="1">
      <c r="A1" s="141" t="s">
        <v>1692</v>
      </c>
      <c r="E1" s="141" t="s">
        <v>1693</v>
      </c>
      <c r="K1" s="141" t="s">
        <v>1694</v>
      </c>
      <c r="P1" s="141" t="s">
        <v>1695</v>
      </c>
      <c r="U1" s="141">
        <v>190605</v>
      </c>
    </row>
    <row r="2" spans="1:21" ht="22" customHeight="1">
      <c r="A2" s="141" t="s">
        <v>1696</v>
      </c>
      <c r="E2" s="141" t="s">
        <v>1697</v>
      </c>
      <c r="K2" s="141" t="s">
        <v>1698</v>
      </c>
      <c r="P2" s="141" t="s">
        <v>1699</v>
      </c>
      <c r="U2" s="141" t="s">
        <v>1700</v>
      </c>
    </row>
    <row r="3" spans="1:21" ht="22" customHeight="1">
      <c r="A3" s="141" t="s">
        <v>1701</v>
      </c>
      <c r="E3" s="141" t="s">
        <v>1702</v>
      </c>
      <c r="K3" s="141" t="s">
        <v>1703</v>
      </c>
      <c r="P3" s="141" t="s">
        <v>1704</v>
      </c>
      <c r="U3" s="141" t="s">
        <v>1705</v>
      </c>
    </row>
    <row r="4" spans="1:21" ht="22" customHeight="1">
      <c r="A4" s="141" t="s">
        <v>1706</v>
      </c>
      <c r="E4" s="141" t="s">
        <v>1707</v>
      </c>
      <c r="K4" s="141" t="s">
        <v>1708</v>
      </c>
      <c r="P4" s="141" t="s">
        <v>1709</v>
      </c>
      <c r="U4" s="141" t="s">
        <v>1710</v>
      </c>
    </row>
    <row r="5" spans="1:21" ht="22" customHeight="1">
      <c r="A5" s="141" t="s">
        <v>1711</v>
      </c>
      <c r="E5" s="141" t="s">
        <v>1712</v>
      </c>
      <c r="K5" s="141" t="s">
        <v>1713</v>
      </c>
      <c r="P5" s="141" t="s">
        <v>1714</v>
      </c>
      <c r="U5" s="141" t="s">
        <v>1715</v>
      </c>
    </row>
    <row r="6" spans="1:21" ht="22" customHeight="1">
      <c r="A6" s="142"/>
      <c r="E6" s="141" t="s">
        <v>1716</v>
      </c>
      <c r="K6" s="141" t="s">
        <v>1717</v>
      </c>
      <c r="P6" s="141" t="s">
        <v>1718</v>
      </c>
      <c r="U6" s="141" t="s">
        <v>1719</v>
      </c>
    </row>
    <row r="7" spans="1:21" ht="22" customHeight="1">
      <c r="E7" s="141" t="s">
        <v>1720</v>
      </c>
      <c r="K7" s="141" t="s">
        <v>1721</v>
      </c>
      <c r="P7" s="141" t="s">
        <v>1722</v>
      </c>
      <c r="U7" s="141" t="s">
        <v>1723</v>
      </c>
    </row>
    <row r="8" spans="1:21" ht="22" customHeight="1">
      <c r="E8" s="141" t="s">
        <v>1724</v>
      </c>
      <c r="K8" s="141" t="s">
        <v>1725</v>
      </c>
      <c r="P8" s="141" t="s">
        <v>1726</v>
      </c>
      <c r="U8" s="141" t="s">
        <v>1727</v>
      </c>
    </row>
    <row r="9" spans="1:21" ht="22" customHeight="1">
      <c r="E9" s="141" t="s">
        <v>1728</v>
      </c>
      <c r="K9" s="141" t="s">
        <v>1729</v>
      </c>
      <c r="P9" s="141" t="s">
        <v>1730</v>
      </c>
      <c r="U9" s="141" t="s">
        <v>1731</v>
      </c>
    </row>
    <row r="10" spans="1:21" ht="22" customHeight="1">
      <c r="E10" s="141" t="s">
        <v>1732</v>
      </c>
      <c r="K10" s="141" t="s">
        <v>1733</v>
      </c>
      <c r="P10" s="141" t="s">
        <v>1734</v>
      </c>
      <c r="U10" s="141" t="s">
        <v>1735</v>
      </c>
    </row>
    <row r="11" spans="1:21" ht="22" customHeight="1">
      <c r="E11" s="141" t="s">
        <v>1736</v>
      </c>
      <c r="K11" s="141" t="s">
        <v>1737</v>
      </c>
      <c r="P11" s="141" t="s">
        <v>1738</v>
      </c>
      <c r="U11" s="141" t="s">
        <v>1739</v>
      </c>
    </row>
    <row r="12" spans="1:21" ht="22" customHeight="1">
      <c r="E12" s="141" t="s">
        <v>1740</v>
      </c>
      <c r="K12" s="141" t="s">
        <v>1741</v>
      </c>
      <c r="P12" s="141" t="s">
        <v>1742</v>
      </c>
      <c r="U12" s="141" t="s">
        <v>1743</v>
      </c>
    </row>
    <row r="13" spans="1:21" ht="22" customHeight="1">
      <c r="E13" s="141" t="s">
        <v>1744</v>
      </c>
      <c r="K13" s="141" t="s">
        <v>1745</v>
      </c>
      <c r="P13" s="141" t="s">
        <v>1746</v>
      </c>
      <c r="U13" s="141" t="s">
        <v>1747</v>
      </c>
    </row>
    <row r="14" spans="1:21" ht="22" customHeight="1">
      <c r="E14" s="141" t="s">
        <v>1748</v>
      </c>
      <c r="K14" s="141" t="s">
        <v>1749</v>
      </c>
      <c r="P14" s="141" t="s">
        <v>1750</v>
      </c>
      <c r="U14" s="141" t="s">
        <v>1751</v>
      </c>
    </row>
    <row r="15" spans="1:21" ht="22" customHeight="1">
      <c r="E15" s="141" t="s">
        <v>1752</v>
      </c>
      <c r="K15" s="141" t="s">
        <v>1753</v>
      </c>
      <c r="P15" s="141" t="s">
        <v>1754</v>
      </c>
      <c r="U15" s="141" t="s">
        <v>1755</v>
      </c>
    </row>
    <row r="16" spans="1:21" ht="22" customHeight="1">
      <c r="E16" s="141" t="s">
        <v>1756</v>
      </c>
      <c r="K16" s="141" t="s">
        <v>1757</v>
      </c>
      <c r="P16" s="141" t="s">
        <v>1758</v>
      </c>
      <c r="U16" s="141" t="s">
        <v>1759</v>
      </c>
    </row>
    <row r="17" spans="5:21" ht="22" customHeight="1">
      <c r="E17" s="141" t="s">
        <v>1760</v>
      </c>
      <c r="K17" s="141" t="s">
        <v>1761</v>
      </c>
      <c r="P17" s="141" t="s">
        <v>1762</v>
      </c>
      <c r="U17" s="141" t="s">
        <v>1763</v>
      </c>
    </row>
    <row r="18" spans="5:21" ht="22" customHeight="1">
      <c r="E18" s="141" t="s">
        <v>1764</v>
      </c>
      <c r="K18" s="141" t="s">
        <v>1765</v>
      </c>
      <c r="P18" s="141" t="s">
        <v>1766</v>
      </c>
      <c r="U18" s="141" t="s">
        <v>1767</v>
      </c>
    </row>
    <row r="19" spans="5:21" ht="22" customHeight="1">
      <c r="E19" s="141" t="s">
        <v>1768</v>
      </c>
      <c r="K19" s="141" t="s">
        <v>1769</v>
      </c>
      <c r="P19" s="141" t="s">
        <v>1770</v>
      </c>
      <c r="U19" s="141" t="s">
        <v>1771</v>
      </c>
    </row>
    <row r="20" spans="5:21" ht="22" customHeight="1">
      <c r="E20" s="141" t="s">
        <v>1772</v>
      </c>
      <c r="K20" s="141" t="s">
        <v>1773</v>
      </c>
      <c r="P20" s="141" t="s">
        <v>1774</v>
      </c>
      <c r="U20" s="141" t="s">
        <v>1775</v>
      </c>
    </row>
    <row r="21" spans="5:21" ht="22" customHeight="1">
      <c r="E21" s="141" t="s">
        <v>1776</v>
      </c>
      <c r="K21" s="141" t="s">
        <v>1777</v>
      </c>
      <c r="P21" s="141" t="s">
        <v>1778</v>
      </c>
      <c r="U21" s="141" t="s">
        <v>1779</v>
      </c>
    </row>
    <row r="22" spans="5:21" ht="22" customHeight="1">
      <c r="E22" s="141" t="s">
        <v>1780</v>
      </c>
      <c r="K22" s="141" t="s">
        <v>1781</v>
      </c>
      <c r="P22" s="141" t="s">
        <v>1782</v>
      </c>
      <c r="U22" s="141" t="s">
        <v>1783</v>
      </c>
    </row>
    <row r="23" spans="5:21" ht="22" customHeight="1">
      <c r="E23" s="141" t="s">
        <v>1784</v>
      </c>
      <c r="K23" s="141" t="s">
        <v>1785</v>
      </c>
      <c r="P23" s="141" t="s">
        <v>1786</v>
      </c>
      <c r="U23" s="141" t="s">
        <v>1787</v>
      </c>
    </row>
    <row r="24" spans="5:21" ht="22" customHeight="1">
      <c r="E24" s="141" t="s">
        <v>1788</v>
      </c>
      <c r="K24" s="141" t="s">
        <v>1789</v>
      </c>
      <c r="P24" s="141" t="s">
        <v>1790</v>
      </c>
      <c r="U24" s="141" t="s">
        <v>1791</v>
      </c>
    </row>
    <row r="25" spans="5:21" ht="22" customHeight="1">
      <c r="E25" s="141" t="s">
        <v>1792</v>
      </c>
      <c r="K25" s="141" t="s">
        <v>1793</v>
      </c>
      <c r="P25" s="141" t="s">
        <v>1794</v>
      </c>
      <c r="U25" s="141" t="s">
        <v>1795</v>
      </c>
    </row>
    <row r="26" spans="5:21" ht="22" customHeight="1">
      <c r="E26" s="141" t="s">
        <v>1796</v>
      </c>
      <c r="K26" s="141" t="s">
        <v>1797</v>
      </c>
      <c r="P26" s="141" t="s">
        <v>1798</v>
      </c>
      <c r="U26" s="141" t="s">
        <v>1799</v>
      </c>
    </row>
    <row r="27" spans="5:21" ht="22" customHeight="1">
      <c r="E27" s="141" t="s">
        <v>1800</v>
      </c>
      <c r="K27" s="141" t="s">
        <v>1801</v>
      </c>
      <c r="P27" s="141" t="s">
        <v>1802</v>
      </c>
      <c r="U27" s="141" t="s">
        <v>1803</v>
      </c>
    </row>
    <row r="28" spans="5:21" ht="22" customHeight="1">
      <c r="E28" s="141" t="s">
        <v>1804</v>
      </c>
      <c r="K28" s="141" t="s">
        <v>1805</v>
      </c>
      <c r="P28" s="141" t="s">
        <v>1806</v>
      </c>
      <c r="U28" s="141" t="s">
        <v>1807</v>
      </c>
    </row>
    <row r="29" spans="5:21" ht="22" customHeight="1">
      <c r="E29" s="141" t="s">
        <v>1808</v>
      </c>
      <c r="K29" s="141" t="s">
        <v>1809</v>
      </c>
      <c r="P29" s="141" t="s">
        <v>1810</v>
      </c>
      <c r="U29" s="141" t="s">
        <v>1811</v>
      </c>
    </row>
    <row r="30" spans="5:21" ht="22" customHeight="1">
      <c r="E30" s="141" t="s">
        <v>1812</v>
      </c>
      <c r="K30" s="141" t="s">
        <v>1813</v>
      </c>
      <c r="P30" s="141" t="s">
        <v>1814</v>
      </c>
      <c r="U30" s="141" t="s">
        <v>1815</v>
      </c>
    </row>
    <row r="31" spans="5:21" ht="22" customHeight="1">
      <c r="E31" s="141" t="s">
        <v>1816</v>
      </c>
      <c r="K31" s="141" t="s">
        <v>1817</v>
      </c>
      <c r="P31" s="141" t="s">
        <v>1818</v>
      </c>
      <c r="U31" s="141" t="s">
        <v>1819</v>
      </c>
    </row>
    <row r="32" spans="5:21" ht="22" customHeight="1">
      <c r="E32" s="141" t="s">
        <v>1820</v>
      </c>
      <c r="K32" s="141" t="s">
        <v>1821</v>
      </c>
      <c r="P32" s="141" t="s">
        <v>1822</v>
      </c>
      <c r="U32" s="141" t="s">
        <v>1823</v>
      </c>
    </row>
    <row r="33" spans="5:16" ht="22" customHeight="1">
      <c r="E33" s="141" t="s">
        <v>1824</v>
      </c>
      <c r="K33" s="141" t="s">
        <v>1825</v>
      </c>
      <c r="P33" s="141" t="s">
        <v>1826</v>
      </c>
    </row>
    <row r="34" spans="5:16" ht="22" customHeight="1">
      <c r="E34" s="141" t="s">
        <v>1827</v>
      </c>
      <c r="K34" s="141" t="s">
        <v>1828</v>
      </c>
      <c r="P34" s="141" t="s">
        <v>1829</v>
      </c>
    </row>
    <row r="35" spans="5:16" ht="22" customHeight="1">
      <c r="E35" s="141" t="s">
        <v>1830</v>
      </c>
      <c r="K35" s="141" t="s">
        <v>1831</v>
      </c>
      <c r="P35" s="141" t="s">
        <v>1832</v>
      </c>
    </row>
    <row r="36" spans="5:16" ht="22" customHeight="1">
      <c r="E36" s="141" t="s">
        <v>1833</v>
      </c>
      <c r="K36" s="141" t="s">
        <v>1834</v>
      </c>
      <c r="P36" s="141" t="s">
        <v>1835</v>
      </c>
    </row>
    <row r="37" spans="5:16" ht="22" customHeight="1">
      <c r="E37" s="141" t="s">
        <v>1836</v>
      </c>
      <c r="K37" s="141" t="s">
        <v>1837</v>
      </c>
      <c r="P37" s="141" t="s">
        <v>1838</v>
      </c>
    </row>
    <row r="38" spans="5:16" ht="22" customHeight="1">
      <c r="E38" s="141" t="s">
        <v>1839</v>
      </c>
      <c r="K38" s="141" t="s">
        <v>1840</v>
      </c>
      <c r="P38" s="141" t="s">
        <v>1841</v>
      </c>
    </row>
    <row r="39" spans="5:16" ht="22" customHeight="1">
      <c r="E39" s="141" t="s">
        <v>1842</v>
      </c>
      <c r="K39" s="141" t="s">
        <v>1843</v>
      </c>
      <c r="P39" s="141" t="s">
        <v>1844</v>
      </c>
    </row>
    <row r="40" spans="5:16" ht="22" customHeight="1">
      <c r="E40" s="141" t="s">
        <v>1845</v>
      </c>
      <c r="K40" s="141" t="s">
        <v>1846</v>
      </c>
      <c r="P40" s="141" t="s">
        <v>1847</v>
      </c>
    </row>
    <row r="41" spans="5:16" ht="22" customHeight="1">
      <c r="E41" s="141" t="s">
        <v>1848</v>
      </c>
      <c r="K41" s="141" t="s">
        <v>1849</v>
      </c>
      <c r="P41" s="141" t="s">
        <v>1850</v>
      </c>
    </row>
    <row r="42" spans="5:16" ht="22" customHeight="1">
      <c r="E42" s="141" t="s">
        <v>1851</v>
      </c>
      <c r="K42" s="141" t="s">
        <v>1852</v>
      </c>
      <c r="P42" s="141" t="s">
        <v>1853</v>
      </c>
    </row>
    <row r="43" spans="5:16" ht="22" customHeight="1">
      <c r="E43" s="141" t="s">
        <v>1854</v>
      </c>
      <c r="K43" s="141" t="s">
        <v>1855</v>
      </c>
      <c r="P43" s="141" t="s">
        <v>1856</v>
      </c>
    </row>
    <row r="44" spans="5:16" ht="22" customHeight="1">
      <c r="E44" s="141" t="s">
        <v>1857</v>
      </c>
      <c r="K44" s="141" t="s">
        <v>1858</v>
      </c>
      <c r="P44" s="141" t="s">
        <v>1859</v>
      </c>
    </row>
    <row r="45" spans="5:16" ht="22" customHeight="1">
      <c r="E45" s="141" t="s">
        <v>1860</v>
      </c>
      <c r="K45" s="141" t="s">
        <v>1861</v>
      </c>
      <c r="P45" s="141" t="s">
        <v>1862</v>
      </c>
    </row>
    <row r="46" spans="5:16" ht="22" customHeight="1">
      <c r="E46" s="141" t="s">
        <v>1863</v>
      </c>
      <c r="K46" s="141" t="s">
        <v>1864</v>
      </c>
      <c r="P46" s="141" t="s">
        <v>1865</v>
      </c>
    </row>
    <row r="47" spans="5:16" ht="22" customHeight="1">
      <c r="E47" s="141" t="s">
        <v>1866</v>
      </c>
      <c r="K47" s="141" t="s">
        <v>1867</v>
      </c>
      <c r="P47" s="141" t="s">
        <v>1868</v>
      </c>
    </row>
    <row r="48" spans="5:16" ht="22" customHeight="1">
      <c r="E48" s="141" t="s">
        <v>1869</v>
      </c>
      <c r="K48" s="141" t="s">
        <v>1870</v>
      </c>
      <c r="P48" s="141" t="s">
        <v>1871</v>
      </c>
    </row>
    <row r="49" spans="5:16" ht="22" customHeight="1">
      <c r="E49" s="141" t="s">
        <v>1872</v>
      </c>
      <c r="K49" s="141" t="s">
        <v>1873</v>
      </c>
      <c r="P49" s="141" t="s">
        <v>1874</v>
      </c>
    </row>
    <row r="50" spans="5:16" ht="22" customHeight="1">
      <c r="E50" s="141" t="s">
        <v>1875</v>
      </c>
      <c r="K50" s="141" t="s">
        <v>1876</v>
      </c>
      <c r="P50" s="141" t="s">
        <v>1877</v>
      </c>
    </row>
    <row r="51" spans="5:16" ht="22" customHeight="1">
      <c r="E51" s="141" t="s">
        <v>1878</v>
      </c>
      <c r="K51" s="141" t="s">
        <v>1879</v>
      </c>
      <c r="P51" s="141" t="s">
        <v>1880</v>
      </c>
    </row>
    <row r="52" spans="5:16" ht="22" customHeight="1">
      <c r="E52" s="141" t="s">
        <v>1881</v>
      </c>
      <c r="K52" s="141" t="s">
        <v>1882</v>
      </c>
      <c r="P52" s="141" t="s">
        <v>1883</v>
      </c>
    </row>
    <row r="53" spans="5:16" ht="22" customHeight="1">
      <c r="E53" s="141" t="s">
        <v>1884</v>
      </c>
      <c r="K53" s="141" t="s">
        <v>1885</v>
      </c>
      <c r="P53" s="141" t="s">
        <v>1886</v>
      </c>
    </row>
    <row r="54" spans="5:16" ht="22" customHeight="1">
      <c r="E54" s="141" t="s">
        <v>1887</v>
      </c>
      <c r="K54" s="141" t="s">
        <v>1888</v>
      </c>
      <c r="P54" s="141" t="s">
        <v>1889</v>
      </c>
    </row>
    <row r="55" spans="5:16" ht="22" customHeight="1">
      <c r="E55" s="141" t="s">
        <v>1890</v>
      </c>
      <c r="K55" s="141" t="s">
        <v>1891</v>
      </c>
      <c r="P55" s="141" t="s">
        <v>1892</v>
      </c>
    </row>
    <row r="56" spans="5:16" ht="22" customHeight="1">
      <c r="E56" s="141" t="s">
        <v>1893</v>
      </c>
      <c r="K56" s="141" t="s">
        <v>1894</v>
      </c>
      <c r="P56" s="141" t="s">
        <v>1895</v>
      </c>
    </row>
    <row r="57" spans="5:16" ht="22" customHeight="1">
      <c r="E57" s="141" t="s">
        <v>1896</v>
      </c>
      <c r="K57" s="141" t="s">
        <v>1897</v>
      </c>
      <c r="P57" s="141" t="s">
        <v>1898</v>
      </c>
    </row>
    <row r="58" spans="5:16" ht="22" customHeight="1">
      <c r="E58" s="141" t="s">
        <v>1899</v>
      </c>
      <c r="K58" s="141" t="s">
        <v>1900</v>
      </c>
      <c r="P58" s="141" t="s">
        <v>1901</v>
      </c>
    </row>
    <row r="59" spans="5:16" ht="22" customHeight="1">
      <c r="E59" s="141" t="s">
        <v>1902</v>
      </c>
      <c r="K59" s="141" t="s">
        <v>1903</v>
      </c>
      <c r="P59" s="141" t="s">
        <v>1904</v>
      </c>
    </row>
    <row r="60" spans="5:16" ht="22" customHeight="1">
      <c r="E60" s="141" t="s">
        <v>1905</v>
      </c>
      <c r="K60" s="141" t="s">
        <v>1906</v>
      </c>
      <c r="P60" s="141" t="s">
        <v>1907</v>
      </c>
    </row>
    <row r="61" spans="5:16" ht="22" customHeight="1">
      <c r="E61" s="141" t="s">
        <v>1908</v>
      </c>
      <c r="K61" s="141" t="s">
        <v>1909</v>
      </c>
      <c r="P61" s="141" t="s">
        <v>1910</v>
      </c>
    </row>
    <row r="62" spans="5:16" ht="22" customHeight="1">
      <c r="E62" s="141" t="s">
        <v>1911</v>
      </c>
      <c r="K62" s="141" t="s">
        <v>1912</v>
      </c>
      <c r="P62" s="141" t="s">
        <v>1913</v>
      </c>
    </row>
    <row r="63" spans="5:16" ht="22" customHeight="1">
      <c r="E63" s="141" t="s">
        <v>1914</v>
      </c>
      <c r="K63" s="141" t="s">
        <v>1915</v>
      </c>
      <c r="P63" s="141" t="s">
        <v>1916</v>
      </c>
    </row>
    <row r="64" spans="5:16" ht="22" customHeight="1">
      <c r="E64" s="141" t="s">
        <v>1917</v>
      </c>
      <c r="K64" s="141" t="s">
        <v>1918</v>
      </c>
      <c r="P64" s="141" t="s">
        <v>1919</v>
      </c>
    </row>
    <row r="65" spans="5:16" ht="22" customHeight="1">
      <c r="E65" s="141" t="s">
        <v>1920</v>
      </c>
      <c r="K65" s="141" t="s">
        <v>1921</v>
      </c>
      <c r="P65" s="141" t="s">
        <v>1922</v>
      </c>
    </row>
    <row r="66" spans="5:16" ht="22" customHeight="1">
      <c r="E66" s="141" t="s">
        <v>1923</v>
      </c>
      <c r="K66" s="141" t="s">
        <v>1924</v>
      </c>
      <c r="P66" s="141" t="s">
        <v>1925</v>
      </c>
    </row>
    <row r="67" spans="5:16" ht="22" customHeight="1">
      <c r="E67" s="141" t="s">
        <v>1926</v>
      </c>
      <c r="K67" s="141" t="s">
        <v>1927</v>
      </c>
      <c r="P67" s="141" t="s">
        <v>1928</v>
      </c>
    </row>
    <row r="68" spans="5:16" ht="22" customHeight="1">
      <c r="E68" s="141" t="s">
        <v>1929</v>
      </c>
      <c r="K68" s="141" t="s">
        <v>1930</v>
      </c>
      <c r="P68" s="141" t="s">
        <v>1931</v>
      </c>
    </row>
    <row r="69" spans="5:16" ht="22" customHeight="1">
      <c r="E69" s="141" t="s">
        <v>1932</v>
      </c>
      <c r="K69" s="141" t="s">
        <v>1933</v>
      </c>
      <c r="P69" s="141" t="s">
        <v>1934</v>
      </c>
    </row>
    <row r="70" spans="5:16" ht="22" customHeight="1">
      <c r="E70" s="141" t="s">
        <v>1935</v>
      </c>
      <c r="K70" s="141" t="s">
        <v>1936</v>
      </c>
      <c r="P70" s="141" t="s">
        <v>1937</v>
      </c>
    </row>
    <row r="71" spans="5:16" ht="22" customHeight="1">
      <c r="E71" s="141" t="s">
        <v>1938</v>
      </c>
      <c r="K71" s="141" t="s">
        <v>1939</v>
      </c>
      <c r="P71" s="141" t="s">
        <v>1940</v>
      </c>
    </row>
    <row r="72" spans="5:16" ht="22" customHeight="1">
      <c r="E72" s="141" t="s">
        <v>1941</v>
      </c>
      <c r="K72" s="141" t="s">
        <v>1942</v>
      </c>
      <c r="P72" s="141" t="s">
        <v>1943</v>
      </c>
    </row>
    <row r="73" spans="5:16" ht="22" customHeight="1">
      <c r="K73" s="141" t="s">
        <v>1944</v>
      </c>
      <c r="P73" s="141" t="s">
        <v>1945</v>
      </c>
    </row>
    <row r="74" spans="5:16" ht="22" customHeight="1">
      <c r="K74" s="141" t="s">
        <v>1946</v>
      </c>
      <c r="P74" s="141" t="s">
        <v>1947</v>
      </c>
    </row>
    <row r="75" spans="5:16" ht="22" customHeight="1">
      <c r="K75" s="141" t="s">
        <v>1948</v>
      </c>
      <c r="P75" s="141" t="s">
        <v>1949</v>
      </c>
    </row>
    <row r="76" spans="5:16" ht="22" customHeight="1">
      <c r="K76" s="141" t="s">
        <v>1950</v>
      </c>
      <c r="P76" s="141" t="s">
        <v>1951</v>
      </c>
    </row>
    <row r="77" spans="5:16" ht="22" customHeight="1">
      <c r="K77" s="141" t="s">
        <v>1952</v>
      </c>
      <c r="P77" s="141" t="s">
        <v>1953</v>
      </c>
    </row>
    <row r="78" spans="5:16" ht="22" customHeight="1">
      <c r="K78" s="141" t="s">
        <v>1954</v>
      </c>
      <c r="P78" s="141" t="s">
        <v>1955</v>
      </c>
    </row>
    <row r="79" spans="5:16" ht="22" customHeight="1">
      <c r="K79" s="141" t="s">
        <v>1956</v>
      </c>
      <c r="P79" s="141" t="s">
        <v>1957</v>
      </c>
    </row>
    <row r="80" spans="5:16" ht="22" customHeight="1">
      <c r="K80" s="141" t="s">
        <v>1958</v>
      </c>
      <c r="P80" s="141" t="s">
        <v>1959</v>
      </c>
    </row>
    <row r="81" spans="11:16" ht="22" customHeight="1">
      <c r="K81" s="141" t="s">
        <v>1960</v>
      </c>
      <c r="P81" s="141" t="s">
        <v>1961</v>
      </c>
    </row>
    <row r="82" spans="11:16" ht="22" customHeight="1">
      <c r="K82" s="141" t="s">
        <v>1962</v>
      </c>
      <c r="P82" s="141" t="s">
        <v>1963</v>
      </c>
    </row>
    <row r="83" spans="11:16" ht="22" customHeight="1">
      <c r="K83" s="141" t="s">
        <v>1964</v>
      </c>
      <c r="P83" s="141" t="s">
        <v>1965</v>
      </c>
    </row>
    <row r="84" spans="11:16" ht="22" customHeight="1">
      <c r="K84" s="141" t="s">
        <v>1966</v>
      </c>
      <c r="P84" s="141" t="s">
        <v>1967</v>
      </c>
    </row>
    <row r="85" spans="11:16" ht="22" customHeight="1">
      <c r="K85" s="141" t="s">
        <v>1968</v>
      </c>
      <c r="P85" s="141" t="s">
        <v>1969</v>
      </c>
    </row>
    <row r="86" spans="11:16" ht="22" customHeight="1">
      <c r="K86" s="141" t="s">
        <v>1970</v>
      </c>
      <c r="P86" s="141" t="s">
        <v>1971</v>
      </c>
    </row>
    <row r="87" spans="11:16" ht="22" customHeight="1">
      <c r="K87" s="141" t="s">
        <v>1972</v>
      </c>
      <c r="P87" s="141" t="s">
        <v>1973</v>
      </c>
    </row>
    <row r="88" spans="11:16" ht="22" customHeight="1">
      <c r="K88" s="141" t="s">
        <v>1974</v>
      </c>
      <c r="P88" s="141" t="s">
        <v>1975</v>
      </c>
    </row>
    <row r="89" spans="11:16" ht="22" customHeight="1">
      <c r="K89" s="141" t="s">
        <v>1976</v>
      </c>
      <c r="P89" s="141" t="s">
        <v>1977</v>
      </c>
    </row>
    <row r="90" spans="11:16" ht="22" customHeight="1">
      <c r="K90" s="141" t="s">
        <v>1978</v>
      </c>
      <c r="P90" s="141" t="s">
        <v>1979</v>
      </c>
    </row>
    <row r="91" spans="11:16" ht="22" customHeight="1">
      <c r="K91" s="141" t="s">
        <v>1980</v>
      </c>
      <c r="P91" s="141" t="s">
        <v>1981</v>
      </c>
    </row>
    <row r="92" spans="11:16" ht="22" customHeight="1">
      <c r="K92" s="141" t="s">
        <v>1982</v>
      </c>
      <c r="P92" s="141" t="s">
        <v>1983</v>
      </c>
    </row>
    <row r="93" spans="11:16" ht="22" customHeight="1">
      <c r="K93" s="141" t="s">
        <v>1984</v>
      </c>
      <c r="P93" s="141" t="s">
        <v>1985</v>
      </c>
    </row>
    <row r="94" spans="11:16" ht="22" customHeight="1">
      <c r="K94" s="141" t="s">
        <v>1986</v>
      </c>
      <c r="P94" s="141" t="s">
        <v>1987</v>
      </c>
    </row>
    <row r="95" spans="11:16" ht="22" customHeight="1">
      <c r="K95" s="141" t="s">
        <v>1988</v>
      </c>
      <c r="P95" s="141" t="s">
        <v>1989</v>
      </c>
    </row>
    <row r="96" spans="11:16" ht="22" customHeight="1">
      <c r="K96" s="141" t="s">
        <v>1990</v>
      </c>
      <c r="P96" s="141" t="s">
        <v>1991</v>
      </c>
    </row>
    <row r="97" spans="11:16" ht="22" customHeight="1">
      <c r="K97" s="141" t="s">
        <v>1992</v>
      </c>
      <c r="P97" s="141" t="s">
        <v>1993</v>
      </c>
    </row>
    <row r="98" spans="11:16" ht="22" customHeight="1">
      <c r="K98" s="141" t="s">
        <v>1994</v>
      </c>
      <c r="P98" s="141" t="s">
        <v>1995</v>
      </c>
    </row>
    <row r="99" spans="11:16" ht="22" customHeight="1">
      <c r="K99" s="141" t="s">
        <v>1996</v>
      </c>
      <c r="P99" s="141" t="s">
        <v>1997</v>
      </c>
    </row>
    <row r="100" spans="11:16" ht="22" customHeight="1">
      <c r="K100" s="141" t="s">
        <v>1998</v>
      </c>
      <c r="P100" s="141" t="s">
        <v>1999</v>
      </c>
    </row>
    <row r="101" spans="11:16" ht="22" customHeight="1">
      <c r="K101" s="141" t="s">
        <v>2000</v>
      </c>
      <c r="P101" s="141" t="s">
        <v>2001</v>
      </c>
    </row>
    <row r="102" spans="11:16" ht="22" customHeight="1">
      <c r="K102" s="141" t="s">
        <v>2002</v>
      </c>
      <c r="P102" s="141" t="s">
        <v>2003</v>
      </c>
    </row>
    <row r="103" spans="11:16" ht="22" customHeight="1">
      <c r="K103" s="141" t="s">
        <v>2004</v>
      </c>
      <c r="P103" s="141" t="s">
        <v>2005</v>
      </c>
    </row>
    <row r="104" spans="11:16" ht="22" customHeight="1">
      <c r="K104" s="141" t="s">
        <v>2006</v>
      </c>
      <c r="P104" s="141" t="s">
        <v>2007</v>
      </c>
    </row>
    <row r="105" spans="11:16" ht="22" customHeight="1">
      <c r="K105" s="141" t="s">
        <v>2008</v>
      </c>
      <c r="P105" s="141" t="s">
        <v>2009</v>
      </c>
    </row>
    <row r="106" spans="11:16" ht="22" customHeight="1">
      <c r="K106" s="141" t="s">
        <v>2010</v>
      </c>
      <c r="P106" s="141" t="s">
        <v>2011</v>
      </c>
    </row>
    <row r="107" spans="11:16" ht="22" customHeight="1">
      <c r="K107" s="141" t="s">
        <v>2012</v>
      </c>
      <c r="P107" s="141" t="s">
        <v>2013</v>
      </c>
    </row>
    <row r="108" spans="11:16" ht="22" customHeight="1">
      <c r="K108" s="141" t="s">
        <v>2014</v>
      </c>
      <c r="P108" s="141" t="s">
        <v>2015</v>
      </c>
    </row>
    <row r="109" spans="11:16" ht="22" customHeight="1">
      <c r="K109" s="141" t="s">
        <v>2016</v>
      </c>
      <c r="P109" s="141" t="s">
        <v>2017</v>
      </c>
    </row>
    <row r="110" spans="11:16" ht="22" customHeight="1">
      <c r="K110" s="141" t="s">
        <v>2018</v>
      </c>
      <c r="P110" s="141" t="s">
        <v>2019</v>
      </c>
    </row>
    <row r="111" spans="11:16" ht="22" customHeight="1">
      <c r="K111" s="141" t="s">
        <v>2020</v>
      </c>
      <c r="P111" s="141" t="s">
        <v>2021</v>
      </c>
    </row>
    <row r="112" spans="11:16" ht="22" customHeight="1">
      <c r="K112" s="141" t="s">
        <v>2022</v>
      </c>
      <c r="P112" s="141" t="s">
        <v>2023</v>
      </c>
    </row>
    <row r="113" spans="11:16" ht="22" customHeight="1">
      <c r="K113" s="141" t="s">
        <v>2024</v>
      </c>
      <c r="P113" s="141" t="s">
        <v>2025</v>
      </c>
    </row>
    <row r="114" spans="11:16" ht="22" customHeight="1">
      <c r="P114" s="141" t="s">
        <v>2026</v>
      </c>
    </row>
    <row r="115" spans="11:16" ht="22" customHeight="1">
      <c r="P115" s="141" t="s">
        <v>2027</v>
      </c>
    </row>
    <row r="116" spans="11:16" ht="22" customHeight="1">
      <c r="P116" s="141" t="s">
        <v>2028</v>
      </c>
    </row>
    <row r="117" spans="11:16" ht="22" customHeight="1">
      <c r="P117" s="141" t="s">
        <v>2029</v>
      </c>
    </row>
    <row r="118" spans="11:16" ht="22" customHeight="1">
      <c r="P118" s="141" t="s">
        <v>2030</v>
      </c>
    </row>
    <row r="119" spans="11:16" ht="22" customHeight="1">
      <c r="P119" s="141" t="s">
        <v>2031</v>
      </c>
    </row>
    <row r="120" spans="11:16" ht="22" customHeight="1">
      <c r="P120" s="141" t="s">
        <v>2032</v>
      </c>
    </row>
    <row r="121" spans="11:16" ht="22" customHeight="1">
      <c r="P121" s="141" t="s">
        <v>2033</v>
      </c>
    </row>
    <row r="122" spans="11:16" ht="22" customHeight="1">
      <c r="P122" s="141" t="s">
        <v>2034</v>
      </c>
    </row>
    <row r="123" spans="11:16" ht="22" customHeight="1">
      <c r="P123" s="141" t="s">
        <v>2035</v>
      </c>
    </row>
    <row r="124" spans="11:16" ht="22" customHeight="1">
      <c r="P124" s="141" t="s">
        <v>2036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58"/>
  <sheetViews>
    <sheetView topLeftCell="A29" workbookViewId="0">
      <selection activeCell="B47" sqref="B47"/>
    </sheetView>
  </sheetViews>
  <sheetFormatPr baseColWidth="10" defaultRowHeight="16"/>
  <cols>
    <col min="2" max="2" width="19.6640625" style="182" customWidth="1"/>
    <col min="10" max="10" width="16" style="182" customWidth="1"/>
  </cols>
  <sheetData>
    <row r="1" spans="1:25" ht="17" customHeight="1">
      <c r="A1" s="130" t="s">
        <v>448</v>
      </c>
      <c r="B1" s="130" t="s">
        <v>449</v>
      </c>
      <c r="C1" s="130" t="s">
        <v>450</v>
      </c>
      <c r="D1" s="130" t="s">
        <v>451</v>
      </c>
      <c r="E1" s="130" t="s">
        <v>452</v>
      </c>
      <c r="F1" s="130" t="s">
        <v>453</v>
      </c>
      <c r="G1" s="130" t="s">
        <v>454</v>
      </c>
      <c r="H1" s="130" t="s">
        <v>455</v>
      </c>
      <c r="I1" s="130" t="s">
        <v>456</v>
      </c>
      <c r="J1" s="130" t="s">
        <v>457</v>
      </c>
      <c r="K1" s="130" t="s">
        <v>458</v>
      </c>
      <c r="L1" s="130" t="s">
        <v>770</v>
      </c>
    </row>
    <row r="2" spans="1:25" ht="17" customHeight="1">
      <c r="A2" s="131" t="s">
        <v>1144</v>
      </c>
      <c r="B2" s="131" t="s">
        <v>110</v>
      </c>
      <c r="C2" s="131">
        <v>8603.67</v>
      </c>
      <c r="D2" s="131">
        <v>-1.07</v>
      </c>
      <c r="E2" s="131">
        <v>2.34</v>
      </c>
      <c r="F2" s="131">
        <v>31.66</v>
      </c>
      <c r="G2" s="131">
        <v>0.82</v>
      </c>
      <c r="H2" s="131">
        <v>8.3000000000000007</v>
      </c>
      <c r="I2" s="131">
        <v>0.91</v>
      </c>
      <c r="J2" s="132">
        <v>42025</v>
      </c>
      <c r="K2" s="133" t="s">
        <v>458</v>
      </c>
      <c r="L2" s="108">
        <f t="shared" ref="L2:L65" si="0">H2/F2</f>
        <v>0.26216045483259637</v>
      </c>
      <c r="M2" s="199"/>
      <c r="N2" s="181"/>
      <c r="O2" s="181"/>
      <c r="P2" s="181"/>
      <c r="Q2" s="181"/>
      <c r="R2" s="181"/>
      <c r="S2" s="199"/>
      <c r="T2" s="181"/>
      <c r="U2" s="181"/>
      <c r="V2" s="181"/>
      <c r="W2" s="181"/>
      <c r="X2" s="181"/>
      <c r="Y2" s="199"/>
    </row>
    <row r="3" spans="1:25" ht="17" customHeight="1">
      <c r="A3" s="131" t="s">
        <v>1149</v>
      </c>
      <c r="B3" s="131" t="s">
        <v>1150</v>
      </c>
      <c r="C3" s="131">
        <v>4797.6000000000004</v>
      </c>
      <c r="D3" s="131">
        <v>-0.73</v>
      </c>
      <c r="E3" s="131">
        <v>2.68</v>
      </c>
      <c r="F3" s="131">
        <v>31.98</v>
      </c>
      <c r="G3" s="131">
        <v>0.77</v>
      </c>
      <c r="H3" s="131">
        <v>7.39</v>
      </c>
      <c r="I3" s="131">
        <v>0.92</v>
      </c>
      <c r="J3" s="132">
        <v>41983</v>
      </c>
      <c r="K3" s="133" t="s">
        <v>458</v>
      </c>
      <c r="L3" s="108">
        <f t="shared" si="0"/>
        <v>0.23108192620387741</v>
      </c>
      <c r="M3" s="200"/>
      <c r="N3" s="181"/>
      <c r="O3" s="181"/>
      <c r="P3" s="181"/>
      <c r="Q3" s="181"/>
      <c r="R3" s="181"/>
      <c r="S3" s="200"/>
      <c r="T3" s="181"/>
      <c r="U3" s="181"/>
      <c r="V3" s="181"/>
      <c r="W3" s="181"/>
      <c r="X3" s="181"/>
      <c r="Y3" s="200"/>
    </row>
    <row r="4" spans="1:25" ht="17" customHeight="1">
      <c r="A4" s="131" t="s">
        <v>1166</v>
      </c>
      <c r="B4" s="131" t="s">
        <v>1167</v>
      </c>
      <c r="C4" s="131">
        <v>9173.73</v>
      </c>
      <c r="D4" s="131">
        <v>0.53</v>
      </c>
      <c r="E4" s="131">
        <v>5.05</v>
      </c>
      <c r="F4" s="131">
        <v>29.3</v>
      </c>
      <c r="G4" s="131">
        <v>0.92</v>
      </c>
      <c r="H4" s="131">
        <v>6.73</v>
      </c>
      <c r="I4" s="131">
        <v>1</v>
      </c>
      <c r="J4" s="132">
        <v>40634</v>
      </c>
      <c r="K4" s="133" t="s">
        <v>458</v>
      </c>
      <c r="L4" s="108">
        <f t="shared" si="0"/>
        <v>0.22969283276450514</v>
      </c>
      <c r="M4" s="115"/>
      <c r="N4" s="133"/>
      <c r="O4" s="115"/>
      <c r="P4" s="115"/>
      <c r="Q4" s="116"/>
      <c r="R4" s="115"/>
      <c r="S4" s="117"/>
      <c r="T4" s="115"/>
      <c r="U4" s="116"/>
      <c r="V4" s="116"/>
      <c r="W4" s="133"/>
      <c r="X4" s="115"/>
      <c r="Y4" s="133"/>
    </row>
    <row r="5" spans="1:25" ht="17" customHeight="1">
      <c r="A5" s="131" t="s">
        <v>1153</v>
      </c>
      <c r="B5" s="131" t="s">
        <v>1154</v>
      </c>
      <c r="C5" s="131">
        <v>18659.36</v>
      </c>
      <c r="D5" s="131">
        <v>-0.47</v>
      </c>
      <c r="E5" s="131">
        <v>2.0499999999999998</v>
      </c>
      <c r="F5" s="131">
        <v>31.79</v>
      </c>
      <c r="G5" s="131">
        <v>0.87</v>
      </c>
      <c r="H5" s="131">
        <v>7.28</v>
      </c>
      <c r="I5" s="131">
        <v>0.96</v>
      </c>
      <c r="J5" s="132">
        <v>41211</v>
      </c>
      <c r="K5" s="133" t="s">
        <v>458</v>
      </c>
      <c r="L5" s="108">
        <f t="shared" si="0"/>
        <v>0.22900283107895567</v>
      </c>
      <c r="M5" s="115"/>
      <c r="N5" s="133"/>
      <c r="O5" s="115"/>
      <c r="P5" s="115"/>
      <c r="Q5" s="116"/>
      <c r="R5" s="115"/>
      <c r="S5" s="117"/>
      <c r="T5" s="115"/>
      <c r="U5" s="116"/>
      <c r="V5" s="116"/>
      <c r="W5" s="133"/>
      <c r="X5" s="115"/>
      <c r="Y5" s="133"/>
    </row>
    <row r="6" spans="1:25" ht="17" customHeight="1">
      <c r="A6" s="131" t="s">
        <v>1164</v>
      </c>
      <c r="B6" s="131" t="s">
        <v>1165</v>
      </c>
      <c r="C6" s="131">
        <v>25967.33</v>
      </c>
      <c r="D6" s="131">
        <v>0.01</v>
      </c>
      <c r="E6" s="131">
        <v>11.32</v>
      </c>
      <c r="F6" s="131">
        <v>22.58</v>
      </c>
      <c r="G6" s="131">
        <v>0.91</v>
      </c>
      <c r="H6" s="131">
        <v>5.05</v>
      </c>
      <c r="I6" s="131">
        <v>0.99</v>
      </c>
      <c r="J6" s="132">
        <v>40634</v>
      </c>
      <c r="K6" s="133" t="s">
        <v>458</v>
      </c>
      <c r="L6" s="108">
        <f t="shared" si="0"/>
        <v>0.22364924712134635</v>
      </c>
      <c r="M6" s="115"/>
      <c r="N6" s="133"/>
      <c r="O6" s="115"/>
      <c r="P6" s="115"/>
      <c r="Q6" s="116"/>
      <c r="R6" s="115"/>
      <c r="S6" s="117"/>
      <c r="T6" s="115"/>
      <c r="U6" s="116"/>
      <c r="V6" s="116"/>
      <c r="W6" s="133"/>
      <c r="X6" s="115"/>
      <c r="Y6" s="133"/>
    </row>
    <row r="7" spans="1:25" ht="17" customHeight="1">
      <c r="A7" s="131" t="s">
        <v>715</v>
      </c>
      <c r="B7" s="131" t="s">
        <v>716</v>
      </c>
      <c r="C7" s="131">
        <v>1754.97</v>
      </c>
      <c r="D7" s="131">
        <v>1.55</v>
      </c>
      <c r="E7" s="131">
        <v>1.99</v>
      </c>
      <c r="F7" s="131">
        <v>10.77</v>
      </c>
      <c r="G7" s="131">
        <v>0.03</v>
      </c>
      <c r="H7" s="131">
        <v>2.39</v>
      </c>
      <c r="I7" s="131">
        <v>0.47</v>
      </c>
      <c r="J7" s="132">
        <v>39099</v>
      </c>
      <c r="K7" s="133" t="s">
        <v>458</v>
      </c>
      <c r="L7" s="108">
        <f t="shared" si="0"/>
        <v>0.22191272051996289</v>
      </c>
      <c r="M7" s="115"/>
      <c r="N7" s="133"/>
      <c r="O7" s="115"/>
      <c r="P7" s="115"/>
      <c r="Q7" s="116"/>
      <c r="R7" s="115"/>
      <c r="S7" s="117"/>
      <c r="T7" s="115"/>
      <c r="U7" s="116"/>
      <c r="V7" s="116"/>
      <c r="W7" s="133"/>
      <c r="X7" s="115"/>
      <c r="Y7" s="133"/>
    </row>
    <row r="8" spans="1:25" ht="17" customHeight="1">
      <c r="A8" s="131" t="s">
        <v>947</v>
      </c>
      <c r="B8" s="131" t="s">
        <v>948</v>
      </c>
      <c r="C8" s="131">
        <v>3207.69</v>
      </c>
      <c r="D8" s="131">
        <v>0.52</v>
      </c>
      <c r="E8" s="131">
        <v>7.13</v>
      </c>
      <c r="F8" s="131">
        <v>13.32</v>
      </c>
      <c r="G8" s="131">
        <v>0.06</v>
      </c>
      <c r="H8" s="131">
        <v>2.95</v>
      </c>
      <c r="I8" s="131">
        <v>0.25</v>
      </c>
      <c r="J8" s="132">
        <v>42221</v>
      </c>
      <c r="K8" s="133" t="s">
        <v>458</v>
      </c>
      <c r="L8" s="108">
        <f t="shared" si="0"/>
        <v>0.22147147147147148</v>
      </c>
      <c r="M8" s="115"/>
      <c r="N8" s="133"/>
      <c r="O8" s="115"/>
      <c r="P8" s="115"/>
      <c r="Q8" s="116"/>
      <c r="R8" s="115"/>
      <c r="S8" s="117"/>
      <c r="T8" s="115"/>
      <c r="U8" s="116"/>
      <c r="V8" s="116"/>
      <c r="W8" s="133"/>
      <c r="X8" s="115"/>
      <c r="Y8" s="133"/>
    </row>
    <row r="9" spans="1:25" ht="17" customHeight="1">
      <c r="A9" s="131" t="s">
        <v>618</v>
      </c>
      <c r="B9" s="131" t="s">
        <v>619</v>
      </c>
      <c r="C9" s="131">
        <v>20285.919999999998</v>
      </c>
      <c r="D9" s="131">
        <v>-1.0900000000000001</v>
      </c>
      <c r="E9" s="131">
        <v>-1.95</v>
      </c>
      <c r="F9" s="131">
        <v>32.770000000000003</v>
      </c>
      <c r="G9" s="131">
        <v>0.46</v>
      </c>
      <c r="H9" s="131">
        <v>7.25</v>
      </c>
      <c r="I9" s="131">
        <v>0.81</v>
      </c>
      <c r="J9" s="132">
        <v>36529</v>
      </c>
      <c r="K9" s="133" t="s">
        <v>458</v>
      </c>
      <c r="L9" s="108">
        <f t="shared" si="0"/>
        <v>0.22123893805309733</v>
      </c>
      <c r="M9" s="115"/>
      <c r="N9" s="133"/>
      <c r="O9" s="115"/>
      <c r="P9" s="115"/>
      <c r="Q9" s="116"/>
      <c r="R9" s="116"/>
      <c r="S9" s="117"/>
      <c r="T9" s="115"/>
      <c r="U9" s="116"/>
      <c r="V9" s="116"/>
      <c r="W9" s="133"/>
      <c r="X9" s="115"/>
      <c r="Y9" s="133"/>
    </row>
    <row r="10" spans="1:25" ht="17" customHeight="1">
      <c r="A10" s="131" t="s">
        <v>606</v>
      </c>
      <c r="B10" s="131" t="s">
        <v>607</v>
      </c>
      <c r="C10" s="131">
        <v>17868.099999999999</v>
      </c>
      <c r="D10" s="131">
        <v>0.37</v>
      </c>
      <c r="E10" s="131">
        <v>3.76</v>
      </c>
      <c r="F10" s="131">
        <v>17.190000000000001</v>
      </c>
      <c r="G10" s="131">
        <v>0.43</v>
      </c>
      <c r="H10" s="131">
        <v>3.78</v>
      </c>
      <c r="I10" s="131">
        <v>0.67</v>
      </c>
      <c r="J10" s="132">
        <v>36529</v>
      </c>
      <c r="K10" s="133" t="s">
        <v>458</v>
      </c>
      <c r="L10" s="108">
        <f t="shared" si="0"/>
        <v>0.21989528795811517</v>
      </c>
      <c r="M10" s="115"/>
      <c r="N10" s="133"/>
      <c r="O10" s="115"/>
      <c r="P10" s="115"/>
      <c r="Q10" s="116"/>
      <c r="R10" s="116"/>
      <c r="S10" s="117"/>
      <c r="T10" s="115"/>
      <c r="U10" s="116"/>
      <c r="V10" s="116"/>
      <c r="W10" s="133"/>
      <c r="X10" s="115"/>
      <c r="Y10" s="133"/>
    </row>
    <row r="11" spans="1:25" ht="17" customHeight="1">
      <c r="A11" s="131" t="s">
        <v>1162</v>
      </c>
      <c r="B11" s="131" t="s">
        <v>1163</v>
      </c>
      <c r="C11" s="131">
        <v>11036.05</v>
      </c>
      <c r="D11" s="131">
        <v>-0.26</v>
      </c>
      <c r="E11" s="131">
        <v>1.82</v>
      </c>
      <c r="F11" s="131">
        <v>33.44</v>
      </c>
      <c r="G11" s="131">
        <v>0.67</v>
      </c>
      <c r="H11" s="131">
        <v>7.29</v>
      </c>
      <c r="I11" s="131">
        <v>0.97</v>
      </c>
      <c r="J11" s="132">
        <v>39822</v>
      </c>
      <c r="K11" s="133" t="s">
        <v>458</v>
      </c>
      <c r="L11" s="108">
        <f t="shared" si="0"/>
        <v>0.21800239234449761</v>
      </c>
      <c r="M11" s="115"/>
      <c r="N11" s="133"/>
      <c r="O11" s="115"/>
      <c r="P11" s="115"/>
      <c r="Q11" s="116"/>
      <c r="R11" s="116"/>
      <c r="S11" s="117"/>
      <c r="T11" s="115"/>
      <c r="U11" s="116"/>
      <c r="V11" s="116"/>
      <c r="W11" s="133"/>
      <c r="X11" s="115"/>
      <c r="Y11" s="133"/>
    </row>
    <row r="12" spans="1:25" ht="17" customHeight="1">
      <c r="A12" s="131" t="s">
        <v>1151</v>
      </c>
      <c r="B12" s="131" t="s">
        <v>1152</v>
      </c>
      <c r="C12" s="131">
        <v>16660.36</v>
      </c>
      <c r="D12" s="131">
        <v>-0.15</v>
      </c>
      <c r="E12" s="131">
        <v>2.56</v>
      </c>
      <c r="F12" s="131">
        <v>32.61</v>
      </c>
      <c r="G12" s="131">
        <v>0.89</v>
      </c>
      <c r="H12" s="131">
        <v>7.09</v>
      </c>
      <c r="I12" s="131">
        <v>0.96</v>
      </c>
      <c r="J12" s="132">
        <v>41264</v>
      </c>
      <c r="K12" s="133" t="s">
        <v>458</v>
      </c>
      <c r="L12" s="108">
        <f t="shared" si="0"/>
        <v>0.21741796994786874</v>
      </c>
      <c r="M12" s="115"/>
      <c r="N12" s="133"/>
      <c r="O12" s="115"/>
      <c r="P12" s="115"/>
      <c r="Q12" s="116"/>
      <c r="R12" s="116"/>
      <c r="S12" s="117"/>
      <c r="T12" s="115"/>
      <c r="U12" s="116"/>
      <c r="V12" s="116"/>
      <c r="W12" s="133"/>
      <c r="X12" s="115"/>
      <c r="Y12" s="133"/>
    </row>
    <row r="13" spans="1:25" ht="17" customHeight="1">
      <c r="A13" s="131" t="s">
        <v>940</v>
      </c>
      <c r="B13" s="131" t="s">
        <v>47</v>
      </c>
      <c r="C13" s="131">
        <v>1171.3</v>
      </c>
      <c r="D13" s="131">
        <v>2.19</v>
      </c>
      <c r="E13" s="131">
        <v>10.28</v>
      </c>
      <c r="F13" s="131">
        <v>29.28</v>
      </c>
      <c r="G13" s="131">
        <v>0.56000000000000005</v>
      </c>
      <c r="H13" s="131">
        <v>6.17</v>
      </c>
      <c r="I13" s="131">
        <v>0.8</v>
      </c>
      <c r="J13" s="132">
        <v>40261</v>
      </c>
      <c r="K13" s="133" t="s">
        <v>458</v>
      </c>
      <c r="L13" s="108">
        <f t="shared" si="0"/>
        <v>0.21072404371584699</v>
      </c>
      <c r="M13" s="115"/>
      <c r="N13" s="133"/>
      <c r="O13" s="115"/>
      <c r="P13" s="115"/>
      <c r="Q13" s="116"/>
      <c r="R13" s="116"/>
      <c r="S13" s="117"/>
      <c r="T13" s="115"/>
      <c r="U13" s="116"/>
      <c r="V13" s="116"/>
      <c r="W13" s="133"/>
      <c r="X13" s="115"/>
      <c r="Y13" s="133"/>
    </row>
    <row r="14" spans="1:25" ht="17" customHeight="1">
      <c r="A14" s="131" t="s">
        <v>1147</v>
      </c>
      <c r="B14" s="131" t="s">
        <v>1148</v>
      </c>
      <c r="C14" s="131">
        <v>15526.58</v>
      </c>
      <c r="D14" s="131">
        <v>-0.43</v>
      </c>
      <c r="E14" s="131">
        <v>2.31</v>
      </c>
      <c r="F14" s="131">
        <v>32.24</v>
      </c>
      <c r="G14" s="131">
        <v>0.69</v>
      </c>
      <c r="H14" s="131">
        <v>6.73</v>
      </c>
      <c r="I14" s="131">
        <v>0.93</v>
      </c>
      <c r="J14" s="132">
        <v>42160</v>
      </c>
      <c r="K14" s="133" t="s">
        <v>458</v>
      </c>
      <c r="L14" s="108">
        <f t="shared" si="0"/>
        <v>0.20874689826302731</v>
      </c>
      <c r="M14" s="115"/>
      <c r="N14" s="133"/>
      <c r="O14" s="115"/>
      <c r="P14" s="115"/>
      <c r="Q14" s="116"/>
      <c r="R14" s="116"/>
      <c r="S14" s="117"/>
      <c r="T14" s="115"/>
      <c r="U14" s="116"/>
      <c r="V14" s="116"/>
      <c r="W14" s="133"/>
      <c r="X14" s="115"/>
      <c r="Y14" s="133"/>
    </row>
    <row r="15" spans="1:25" ht="17" customHeight="1">
      <c r="A15" s="131" t="s">
        <v>1132</v>
      </c>
      <c r="B15" s="131" t="s">
        <v>1133</v>
      </c>
      <c r="C15" s="131">
        <v>5179.74</v>
      </c>
      <c r="D15" s="131">
        <v>0.41</v>
      </c>
      <c r="E15" s="131">
        <v>2.08</v>
      </c>
      <c r="F15" s="131">
        <v>17.510000000000002</v>
      </c>
      <c r="G15" s="131">
        <v>0.83</v>
      </c>
      <c r="H15" s="131">
        <v>3.6</v>
      </c>
      <c r="I15" s="131">
        <v>0.89</v>
      </c>
      <c r="J15" s="132">
        <v>39468</v>
      </c>
      <c r="K15" s="133" t="s">
        <v>458</v>
      </c>
      <c r="L15" s="108">
        <f t="shared" si="0"/>
        <v>0.20559680182752713</v>
      </c>
      <c r="M15" s="115"/>
      <c r="N15" s="133"/>
      <c r="O15" s="115"/>
      <c r="P15" s="115"/>
      <c r="Q15" s="116"/>
      <c r="R15" s="116"/>
      <c r="S15" s="117"/>
      <c r="T15" s="115"/>
      <c r="U15" s="116"/>
      <c r="V15" s="116"/>
      <c r="W15" s="133"/>
      <c r="X15" s="115"/>
      <c r="Y15" s="133"/>
    </row>
    <row r="16" spans="1:25" ht="17" customHeight="1">
      <c r="A16" s="131" t="s">
        <v>1140</v>
      </c>
      <c r="B16" s="131" t="s">
        <v>65</v>
      </c>
      <c r="C16" s="131">
        <v>16526.97</v>
      </c>
      <c r="D16" s="131">
        <v>-0.21</v>
      </c>
      <c r="E16" s="131">
        <v>2.5099999999999998</v>
      </c>
      <c r="F16" s="131">
        <v>32.92</v>
      </c>
      <c r="G16" s="131">
        <v>0.68</v>
      </c>
      <c r="H16" s="131">
        <v>6.74</v>
      </c>
      <c r="I16" s="131">
        <v>0.92</v>
      </c>
      <c r="J16" s="132">
        <v>39997</v>
      </c>
      <c r="K16" s="133" t="s">
        <v>458</v>
      </c>
      <c r="L16" s="108">
        <f t="shared" si="0"/>
        <v>0.20473876063183474</v>
      </c>
      <c r="M16" s="115"/>
      <c r="N16" s="133"/>
      <c r="O16" s="115"/>
      <c r="P16" s="115"/>
      <c r="Q16" s="116"/>
      <c r="R16" s="116"/>
      <c r="S16" s="117"/>
      <c r="T16" s="115"/>
      <c r="U16" s="116"/>
      <c r="V16" s="116"/>
      <c r="W16" s="133"/>
      <c r="X16" s="115"/>
      <c r="Y16" s="133"/>
    </row>
    <row r="17" spans="1:25" ht="17" customHeight="1">
      <c r="A17" s="131" t="s">
        <v>951</v>
      </c>
      <c r="B17" s="131" t="s">
        <v>754</v>
      </c>
      <c r="C17" s="131">
        <v>7615.8</v>
      </c>
      <c r="D17" s="131">
        <v>-0.86</v>
      </c>
      <c r="E17" s="131">
        <v>-3.56</v>
      </c>
      <c r="F17" s="131">
        <v>8.09</v>
      </c>
      <c r="G17" s="131">
        <v>0.1</v>
      </c>
      <c r="H17" s="131">
        <v>1.65</v>
      </c>
      <c r="I17" s="131">
        <v>0.21</v>
      </c>
      <c r="J17" s="132">
        <v>40114</v>
      </c>
      <c r="K17" s="133" t="s">
        <v>458</v>
      </c>
      <c r="L17" s="108">
        <f t="shared" si="0"/>
        <v>0.20395550061804696</v>
      </c>
      <c r="M17" s="115"/>
      <c r="N17" s="133"/>
      <c r="O17" s="115"/>
      <c r="P17" s="115"/>
      <c r="Q17" s="116"/>
      <c r="R17" s="116"/>
      <c r="S17" s="117"/>
      <c r="T17" s="115"/>
      <c r="U17" s="116"/>
      <c r="V17" s="116"/>
      <c r="W17" s="133"/>
      <c r="X17" s="115"/>
      <c r="Y17" s="133"/>
    </row>
    <row r="18" spans="1:25" ht="17" customHeight="1">
      <c r="A18" s="131" t="s">
        <v>486</v>
      </c>
      <c r="B18" s="131" t="s">
        <v>487</v>
      </c>
      <c r="C18" s="131">
        <v>15513.59</v>
      </c>
      <c r="D18" s="131">
        <v>-0.73</v>
      </c>
      <c r="E18" s="131">
        <v>-0.27</v>
      </c>
      <c r="F18" s="131">
        <v>32.409999999999997</v>
      </c>
      <c r="G18" s="131">
        <v>0.47</v>
      </c>
      <c r="H18" s="131">
        <v>6.58</v>
      </c>
      <c r="I18" s="131">
        <v>0.81</v>
      </c>
      <c r="J18" s="132">
        <v>36529</v>
      </c>
      <c r="K18" s="133" t="s">
        <v>458</v>
      </c>
      <c r="L18" s="108">
        <f t="shared" si="0"/>
        <v>0.20302375809935208</v>
      </c>
      <c r="M18" s="115"/>
      <c r="N18" s="133"/>
      <c r="O18" s="115"/>
      <c r="P18" s="115"/>
      <c r="Q18" s="116"/>
      <c r="R18" s="116"/>
      <c r="S18" s="117"/>
      <c r="T18" s="115"/>
      <c r="U18" s="116"/>
      <c r="V18" s="116"/>
      <c r="W18" s="133"/>
      <c r="X18" s="115"/>
      <c r="Y18" s="133"/>
    </row>
    <row r="19" spans="1:25" ht="17" customHeight="1">
      <c r="A19" s="131" t="s">
        <v>594</v>
      </c>
      <c r="B19" s="131" t="s">
        <v>595</v>
      </c>
      <c r="C19" s="131">
        <v>4605.09</v>
      </c>
      <c r="D19" s="131">
        <v>1.56</v>
      </c>
      <c r="E19" s="131">
        <v>4.5599999999999996</v>
      </c>
      <c r="F19" s="131">
        <v>26.61</v>
      </c>
      <c r="G19" s="131">
        <v>0.14000000000000001</v>
      </c>
      <c r="H19" s="131">
        <v>5.4</v>
      </c>
      <c r="I19" s="131">
        <v>0.89</v>
      </c>
      <c r="J19" s="132">
        <v>36529</v>
      </c>
      <c r="K19" s="133" t="s">
        <v>458</v>
      </c>
      <c r="L19" s="108">
        <f t="shared" si="0"/>
        <v>0.20293122886133033</v>
      </c>
      <c r="M19" s="115"/>
      <c r="N19" s="133"/>
      <c r="O19" s="115"/>
      <c r="P19" s="115"/>
      <c r="Q19" s="116"/>
      <c r="R19" s="116"/>
      <c r="S19" s="117"/>
      <c r="T19" s="115"/>
      <c r="U19" s="116"/>
      <c r="V19" s="116"/>
      <c r="W19" s="133"/>
      <c r="X19" s="115"/>
      <c r="Y19" s="133"/>
    </row>
    <row r="20" spans="1:25" ht="17" customHeight="1">
      <c r="A20" s="131" t="s">
        <v>1060</v>
      </c>
      <c r="B20" s="131" t="s">
        <v>44</v>
      </c>
      <c r="C20" s="131">
        <v>7692.24</v>
      </c>
      <c r="D20" s="131">
        <v>2.17</v>
      </c>
      <c r="E20" s="131">
        <v>2.4700000000000002</v>
      </c>
      <c r="F20" s="131">
        <v>7.59</v>
      </c>
      <c r="G20" s="131">
        <v>0.16</v>
      </c>
      <c r="H20" s="131">
        <v>1.52</v>
      </c>
      <c r="I20" s="131">
        <v>0.42</v>
      </c>
      <c r="J20" s="132">
        <v>43179</v>
      </c>
      <c r="K20" s="133" t="s">
        <v>458</v>
      </c>
      <c r="L20" s="108">
        <f t="shared" si="0"/>
        <v>0.20026350461133072</v>
      </c>
      <c r="M20" s="115"/>
      <c r="N20" s="133"/>
      <c r="O20" s="115"/>
      <c r="P20" s="115"/>
      <c r="Q20" s="116"/>
      <c r="R20" s="116"/>
      <c r="S20" s="117"/>
      <c r="T20" s="115"/>
      <c r="U20" s="116"/>
      <c r="V20" s="116"/>
      <c r="W20" s="133"/>
      <c r="X20" s="115"/>
      <c r="Y20" s="133"/>
    </row>
    <row r="21" spans="1:25" ht="17" customHeight="1">
      <c r="A21" s="131" t="s">
        <v>1045</v>
      </c>
      <c r="B21" s="131" t="s">
        <v>349</v>
      </c>
      <c r="C21" s="131">
        <v>10072.74</v>
      </c>
      <c r="D21" s="131">
        <v>0.75</v>
      </c>
      <c r="E21" s="131">
        <v>3.83</v>
      </c>
      <c r="F21" s="131">
        <v>18.670000000000002</v>
      </c>
      <c r="G21" s="131">
        <v>0.68</v>
      </c>
      <c r="H21" s="131">
        <v>3.71</v>
      </c>
      <c r="I21" s="131">
        <v>0.67</v>
      </c>
      <c r="J21" s="132">
        <v>42192</v>
      </c>
      <c r="K21" s="133" t="s">
        <v>458</v>
      </c>
      <c r="L21" s="108">
        <f t="shared" si="0"/>
        <v>0.1987145152651312</v>
      </c>
      <c r="M21" s="115"/>
      <c r="N21" s="133"/>
      <c r="O21" s="115"/>
      <c r="P21" s="115"/>
      <c r="Q21" s="116"/>
      <c r="R21" s="116"/>
      <c r="S21" s="117"/>
      <c r="T21" s="115"/>
      <c r="U21" s="116"/>
      <c r="V21" s="116"/>
      <c r="W21" s="133"/>
      <c r="X21" s="115"/>
      <c r="Y21" s="133"/>
    </row>
    <row r="22" spans="1:25" ht="17" customHeight="1">
      <c r="A22" s="131" t="s">
        <v>480</v>
      </c>
      <c r="B22" s="131" t="s">
        <v>481</v>
      </c>
      <c r="C22" s="131">
        <v>8091.27</v>
      </c>
      <c r="D22" s="131">
        <v>0.45</v>
      </c>
      <c r="E22" s="131">
        <v>4.01</v>
      </c>
      <c r="F22" s="131">
        <v>17.82</v>
      </c>
      <c r="G22" s="131">
        <v>0.33</v>
      </c>
      <c r="H22" s="131">
        <v>3.5</v>
      </c>
      <c r="I22" s="131">
        <v>0.76</v>
      </c>
      <c r="J22" s="132">
        <v>36529</v>
      </c>
      <c r="K22" s="133" t="s">
        <v>458</v>
      </c>
      <c r="L22" s="108">
        <f t="shared" si="0"/>
        <v>0.19640852974186307</v>
      </c>
      <c r="M22" s="115"/>
      <c r="N22" s="133"/>
      <c r="O22" s="115"/>
      <c r="P22" s="115"/>
      <c r="Q22" s="116"/>
      <c r="R22" s="116"/>
      <c r="S22" s="117"/>
      <c r="T22" s="115"/>
      <c r="U22" s="116"/>
      <c r="V22" s="116"/>
      <c r="W22" s="133"/>
      <c r="X22" s="115"/>
      <c r="Y22" s="133"/>
    </row>
    <row r="23" spans="1:25" ht="17" customHeight="1">
      <c r="A23" s="131" t="s">
        <v>1122</v>
      </c>
      <c r="B23" s="131" t="s">
        <v>1123</v>
      </c>
      <c r="C23" s="131">
        <v>3988.85</v>
      </c>
      <c r="D23" s="131">
        <v>0.64</v>
      </c>
      <c r="E23" s="131">
        <v>2.21</v>
      </c>
      <c r="F23" s="131">
        <v>13.79</v>
      </c>
      <c r="G23" s="131">
        <v>0.81</v>
      </c>
      <c r="H23" s="131">
        <v>2.56</v>
      </c>
      <c r="I23" s="131">
        <v>0.86</v>
      </c>
      <c r="J23" s="132">
        <v>39822</v>
      </c>
      <c r="K23" s="133" t="s">
        <v>458</v>
      </c>
      <c r="L23" s="108">
        <f t="shared" si="0"/>
        <v>0.18564176939811458</v>
      </c>
      <c r="M23" s="115"/>
      <c r="N23" s="133"/>
      <c r="O23" s="115"/>
      <c r="P23" s="115"/>
      <c r="Q23" s="116"/>
      <c r="R23" s="116"/>
      <c r="S23" s="117"/>
      <c r="T23" s="115"/>
      <c r="U23" s="116"/>
      <c r="V23" s="116"/>
      <c r="W23" s="133"/>
      <c r="X23" s="115"/>
      <c r="Y23" s="133"/>
    </row>
    <row r="24" spans="1:25" ht="17" customHeight="1">
      <c r="A24" s="131" t="s">
        <v>1068</v>
      </c>
      <c r="B24" s="131" t="s">
        <v>1069</v>
      </c>
      <c r="C24" s="131">
        <v>8434.35</v>
      </c>
      <c r="D24" s="131">
        <v>0.93</v>
      </c>
      <c r="E24" s="131">
        <v>0.32</v>
      </c>
      <c r="F24" s="131">
        <v>11</v>
      </c>
      <c r="G24" s="131">
        <v>0.17</v>
      </c>
      <c r="H24" s="131">
        <v>1.96</v>
      </c>
      <c r="I24" s="131">
        <v>0.66</v>
      </c>
      <c r="J24" s="132">
        <v>41470</v>
      </c>
      <c r="K24" s="133" t="s">
        <v>458</v>
      </c>
      <c r="L24" s="108">
        <f t="shared" si="0"/>
        <v>0.17818181818181819</v>
      </c>
      <c r="M24" s="115"/>
      <c r="N24" s="133"/>
      <c r="O24" s="115"/>
      <c r="P24" s="115"/>
      <c r="Q24" s="116"/>
      <c r="R24" s="116"/>
      <c r="S24" s="117"/>
      <c r="T24" s="115"/>
      <c r="U24" s="116"/>
      <c r="V24" s="116"/>
      <c r="W24" s="133"/>
      <c r="X24" s="115"/>
      <c r="Y24" s="133"/>
    </row>
    <row r="25" spans="1:25" ht="17" customHeight="1">
      <c r="A25" s="131" t="s">
        <v>986</v>
      </c>
      <c r="B25" s="131" t="s">
        <v>987</v>
      </c>
      <c r="C25" s="131">
        <v>8460.1299999999992</v>
      </c>
      <c r="D25" s="131">
        <v>0.92</v>
      </c>
      <c r="E25" s="131">
        <v>7.61</v>
      </c>
      <c r="F25" s="131">
        <v>14.69</v>
      </c>
      <c r="G25" s="131">
        <v>0.1</v>
      </c>
      <c r="H25" s="131">
        <v>2.59</v>
      </c>
      <c r="I25" s="131">
        <v>0.56999999999999995</v>
      </c>
      <c r="J25" s="132">
        <v>42226</v>
      </c>
      <c r="K25" s="133" t="s">
        <v>458</v>
      </c>
      <c r="L25" s="108">
        <f t="shared" si="0"/>
        <v>0.17631041524846836</v>
      </c>
      <c r="M25" s="115"/>
      <c r="N25" s="133"/>
      <c r="O25" s="115"/>
      <c r="P25" s="115"/>
      <c r="Q25" s="116"/>
      <c r="R25" s="116"/>
      <c r="S25" s="117"/>
      <c r="T25" s="115"/>
      <c r="U25" s="116"/>
      <c r="V25" s="116"/>
      <c r="W25" s="133"/>
      <c r="X25" s="115"/>
      <c r="Y25" s="133"/>
    </row>
    <row r="26" spans="1:25" ht="17" customHeight="1">
      <c r="A26" s="131" t="s">
        <v>866</v>
      </c>
      <c r="B26" s="131" t="s">
        <v>867</v>
      </c>
      <c r="C26" s="131">
        <v>6717.93</v>
      </c>
      <c r="D26" s="131">
        <v>-0.66</v>
      </c>
      <c r="E26" s="131">
        <v>-3.38</v>
      </c>
      <c r="F26" s="131">
        <v>8.19</v>
      </c>
      <c r="G26" s="131">
        <v>0.06</v>
      </c>
      <c r="H26" s="131">
        <v>1.44</v>
      </c>
      <c r="I26" s="131">
        <v>0.11</v>
      </c>
      <c r="J26" s="132">
        <v>41264</v>
      </c>
      <c r="K26" s="133" t="s">
        <v>458</v>
      </c>
      <c r="L26" s="108">
        <f t="shared" si="0"/>
        <v>0.17582417582417584</v>
      </c>
      <c r="M26" s="115"/>
      <c r="N26" s="133"/>
      <c r="O26" s="115"/>
      <c r="P26" s="115"/>
      <c r="Q26" s="116"/>
      <c r="R26" s="116"/>
      <c r="S26" s="117"/>
      <c r="T26" s="115"/>
      <c r="U26" s="116"/>
      <c r="V26" s="116"/>
      <c r="W26" s="133"/>
      <c r="X26" s="115"/>
      <c r="Y26" s="133"/>
    </row>
    <row r="27" spans="1:25" ht="17" customHeight="1">
      <c r="A27" s="131" t="s">
        <v>633</v>
      </c>
      <c r="B27" s="131" t="s">
        <v>634</v>
      </c>
      <c r="C27" s="131">
        <v>8267.8700000000008</v>
      </c>
      <c r="D27" s="131">
        <v>0.98</v>
      </c>
      <c r="E27" s="131">
        <v>-2.98</v>
      </c>
      <c r="F27" s="131">
        <v>9.3000000000000007</v>
      </c>
      <c r="G27" s="131">
        <v>0.05</v>
      </c>
      <c r="H27" s="131">
        <v>1.63</v>
      </c>
      <c r="I27" s="131">
        <v>0.26</v>
      </c>
      <c r="J27" s="132">
        <v>36529</v>
      </c>
      <c r="K27" s="133" t="s">
        <v>458</v>
      </c>
      <c r="L27" s="108">
        <f t="shared" si="0"/>
        <v>0.17526881720430104</v>
      </c>
      <c r="M27" s="115"/>
      <c r="N27" s="133"/>
      <c r="O27" s="115"/>
      <c r="P27" s="115"/>
      <c r="Q27" s="116"/>
      <c r="R27" s="116"/>
      <c r="S27" s="117"/>
      <c r="T27" s="115"/>
      <c r="U27" s="116"/>
      <c r="V27" s="116"/>
      <c r="W27" s="133"/>
      <c r="X27" s="115"/>
      <c r="Y27" s="133"/>
    </row>
    <row r="28" spans="1:25" ht="17" customHeight="1">
      <c r="A28" s="131" t="s">
        <v>993</v>
      </c>
      <c r="B28" s="131" t="s">
        <v>994</v>
      </c>
      <c r="C28" s="131">
        <v>5070.83</v>
      </c>
      <c r="D28" s="131">
        <v>-0.51</v>
      </c>
      <c r="E28" s="131">
        <v>7.0000000000000007E-2</v>
      </c>
      <c r="F28" s="131">
        <v>8.01</v>
      </c>
      <c r="G28" s="131">
        <v>0.1</v>
      </c>
      <c r="H28" s="131">
        <v>1.4</v>
      </c>
      <c r="I28" s="131">
        <v>0.25</v>
      </c>
      <c r="J28" s="132">
        <v>43179</v>
      </c>
      <c r="K28" s="133" t="s">
        <v>458</v>
      </c>
      <c r="L28" s="108">
        <f t="shared" si="0"/>
        <v>0.17478152309612982</v>
      </c>
      <c r="M28" s="115"/>
      <c r="N28" s="133"/>
      <c r="O28" s="115"/>
      <c r="P28" s="115"/>
      <c r="Q28" s="116"/>
      <c r="R28" s="116"/>
      <c r="S28" s="117"/>
      <c r="T28" s="115"/>
      <c r="U28" s="116"/>
      <c r="V28" s="116"/>
      <c r="W28" s="133"/>
      <c r="X28" s="115"/>
      <c r="Y28" s="133"/>
    </row>
    <row r="29" spans="1:25" ht="17" customHeight="1">
      <c r="A29" s="131" t="s">
        <v>1143</v>
      </c>
      <c r="B29" s="131" t="s">
        <v>145</v>
      </c>
      <c r="C29" s="131">
        <v>14515.73</v>
      </c>
      <c r="D29" s="131">
        <v>-0.15</v>
      </c>
      <c r="E29" s="131">
        <v>2.82</v>
      </c>
      <c r="F29" s="131">
        <v>32.229999999999997</v>
      </c>
      <c r="G29" s="131">
        <v>0.69</v>
      </c>
      <c r="H29" s="131">
        <v>5.62</v>
      </c>
      <c r="I29" s="131">
        <v>0.94</v>
      </c>
      <c r="J29" s="132">
        <v>40757</v>
      </c>
      <c r="K29" s="133" t="s">
        <v>458</v>
      </c>
      <c r="L29" s="108">
        <f t="shared" si="0"/>
        <v>0.1743717033819423</v>
      </c>
      <c r="M29" s="115"/>
      <c r="N29" s="133"/>
      <c r="O29" s="115"/>
      <c r="P29" s="115"/>
      <c r="Q29" s="116"/>
      <c r="R29" s="116"/>
      <c r="S29" s="117"/>
      <c r="T29" s="115"/>
      <c r="U29" s="116"/>
      <c r="V29" s="116"/>
      <c r="W29" s="133"/>
      <c r="X29" s="115"/>
      <c r="Y29" s="133"/>
    </row>
    <row r="30" spans="1:25" ht="17" customHeight="1">
      <c r="A30" s="131" t="s">
        <v>1013</v>
      </c>
      <c r="B30" s="131" t="s">
        <v>1014</v>
      </c>
      <c r="C30" s="131">
        <v>4541.3999999999996</v>
      </c>
      <c r="D30" s="131">
        <v>-1.99</v>
      </c>
      <c r="E30" s="131">
        <v>12.43</v>
      </c>
      <c r="F30" s="131">
        <v>9.5</v>
      </c>
      <c r="G30" s="131">
        <v>0.44</v>
      </c>
      <c r="H30" s="131">
        <v>1.61</v>
      </c>
      <c r="I30" s="131">
        <v>0.48</v>
      </c>
      <c r="J30" s="132">
        <v>43179</v>
      </c>
      <c r="K30" s="133" t="s">
        <v>458</v>
      </c>
      <c r="L30" s="108">
        <f t="shared" si="0"/>
        <v>0.16947368421052633</v>
      </c>
      <c r="M30" s="115"/>
      <c r="N30" s="133"/>
      <c r="O30" s="115"/>
      <c r="P30" s="115"/>
      <c r="Q30" s="116"/>
      <c r="R30" s="115"/>
      <c r="S30" s="117"/>
      <c r="T30" s="115"/>
      <c r="U30" s="116"/>
      <c r="V30" s="116"/>
      <c r="W30" s="133"/>
      <c r="X30" s="115"/>
      <c r="Y30" s="133"/>
    </row>
    <row r="31" spans="1:25" ht="17" customHeight="1">
      <c r="A31" s="131" t="s">
        <v>1076</v>
      </c>
      <c r="B31" s="131" t="s">
        <v>84</v>
      </c>
      <c r="C31" s="131">
        <v>7914.41</v>
      </c>
      <c r="D31" s="131">
        <v>0.47</v>
      </c>
      <c r="E31" s="131">
        <v>4.96</v>
      </c>
      <c r="F31" s="131">
        <v>19.5</v>
      </c>
      <c r="G31" s="131">
        <v>0.09</v>
      </c>
      <c r="H31" s="131">
        <v>3.29</v>
      </c>
      <c r="I31" s="131">
        <v>0.75</v>
      </c>
      <c r="J31" s="132">
        <v>41796</v>
      </c>
      <c r="K31" s="133" t="s">
        <v>458</v>
      </c>
      <c r="L31" s="108">
        <f t="shared" si="0"/>
        <v>0.16871794871794871</v>
      </c>
      <c r="M31" s="115"/>
      <c r="N31" s="133"/>
      <c r="O31" s="115"/>
      <c r="P31" s="115"/>
      <c r="Q31" s="116"/>
      <c r="R31" s="116"/>
      <c r="S31" s="117"/>
      <c r="T31" s="115"/>
      <c r="U31" s="116"/>
      <c r="V31" s="116"/>
      <c r="W31" s="133"/>
      <c r="X31" s="115"/>
      <c r="Y31" s="133"/>
    </row>
    <row r="32" spans="1:25" ht="17" customHeight="1">
      <c r="A32" s="131" t="s">
        <v>1021</v>
      </c>
      <c r="B32" s="131" t="s">
        <v>1022</v>
      </c>
      <c r="C32" s="131">
        <v>4761.82</v>
      </c>
      <c r="D32" s="131">
        <v>0.17</v>
      </c>
      <c r="E32" s="131">
        <v>3.33</v>
      </c>
      <c r="F32" s="131">
        <v>11.39</v>
      </c>
      <c r="G32" s="131">
        <v>0.14000000000000001</v>
      </c>
      <c r="H32" s="131">
        <v>1.89</v>
      </c>
      <c r="I32" s="131">
        <v>0.56999999999999995</v>
      </c>
      <c r="J32" s="132">
        <v>43157</v>
      </c>
      <c r="K32" s="133" t="s">
        <v>458</v>
      </c>
      <c r="L32" s="108">
        <f t="shared" si="0"/>
        <v>0.16593503072870938</v>
      </c>
      <c r="M32" s="115"/>
      <c r="N32" s="133"/>
      <c r="O32" s="115"/>
      <c r="P32" s="115"/>
      <c r="Q32" s="116"/>
      <c r="R32" s="116"/>
      <c r="S32" s="117"/>
      <c r="T32" s="115"/>
      <c r="U32" s="116"/>
      <c r="V32" s="116"/>
      <c r="W32" s="133"/>
      <c r="X32" s="115"/>
      <c r="Y32" s="133"/>
    </row>
    <row r="33" spans="1:25" ht="17" customHeight="1">
      <c r="A33" s="131" t="s">
        <v>868</v>
      </c>
      <c r="B33" s="131" t="s">
        <v>869</v>
      </c>
      <c r="C33" s="131">
        <v>6280.71</v>
      </c>
      <c r="D33" s="131">
        <v>-0.48</v>
      </c>
      <c r="E33" s="131">
        <v>-2.54</v>
      </c>
      <c r="F33" s="131">
        <v>8.9499999999999993</v>
      </c>
      <c r="G33" s="131">
        <v>0.1</v>
      </c>
      <c r="H33" s="131">
        <v>1.47</v>
      </c>
      <c r="I33" s="131">
        <v>0.12</v>
      </c>
      <c r="J33" s="132">
        <v>41141</v>
      </c>
      <c r="K33" s="133" t="s">
        <v>458</v>
      </c>
      <c r="L33" s="108">
        <f t="shared" si="0"/>
        <v>0.16424581005586594</v>
      </c>
      <c r="M33" s="115"/>
      <c r="N33" s="133"/>
      <c r="O33" s="115"/>
      <c r="P33" s="115"/>
      <c r="Q33" s="116"/>
      <c r="R33" s="115"/>
      <c r="S33" s="117"/>
      <c r="T33" s="115"/>
      <c r="U33" s="116"/>
      <c r="V33" s="116"/>
      <c r="W33" s="133"/>
      <c r="X33" s="115"/>
      <c r="Y33" s="133"/>
    </row>
    <row r="34" spans="1:25" ht="17" customHeight="1">
      <c r="A34" s="131" t="s">
        <v>625</v>
      </c>
      <c r="B34" s="131" t="s">
        <v>626</v>
      </c>
      <c r="C34" s="131">
        <v>16360.28</v>
      </c>
      <c r="D34" s="131">
        <v>0.15</v>
      </c>
      <c r="E34" s="131">
        <v>4.01</v>
      </c>
      <c r="F34" s="131">
        <v>31.34</v>
      </c>
      <c r="G34" s="131">
        <v>0.39</v>
      </c>
      <c r="H34" s="131">
        <v>5.13</v>
      </c>
      <c r="I34" s="131">
        <v>0.72</v>
      </c>
      <c r="J34" s="132">
        <v>36529</v>
      </c>
      <c r="K34" s="133" t="s">
        <v>458</v>
      </c>
      <c r="L34" s="108">
        <f t="shared" si="0"/>
        <v>0.16368857689853222</v>
      </c>
      <c r="M34" s="115"/>
      <c r="N34" s="133"/>
      <c r="O34" s="115"/>
      <c r="P34" s="115"/>
      <c r="Q34" s="116"/>
      <c r="R34" s="116"/>
      <c r="S34" s="117"/>
      <c r="T34" s="115"/>
      <c r="U34" s="116"/>
      <c r="V34" s="116"/>
      <c r="W34" s="133"/>
      <c r="X34" s="115"/>
      <c r="Y34" s="133"/>
    </row>
    <row r="35" spans="1:25" ht="17" customHeight="1">
      <c r="A35" s="131" t="s">
        <v>639</v>
      </c>
      <c r="B35" s="131" t="s">
        <v>640</v>
      </c>
      <c r="C35" s="131">
        <v>3640.22</v>
      </c>
      <c r="D35" s="131">
        <v>0.37</v>
      </c>
      <c r="E35" s="131">
        <v>3.22</v>
      </c>
      <c r="F35" s="131">
        <v>7.31</v>
      </c>
      <c r="G35" s="131">
        <v>0.28000000000000003</v>
      </c>
      <c r="H35" s="131">
        <v>1.1200000000000001</v>
      </c>
      <c r="I35" s="131">
        <v>0.37</v>
      </c>
      <c r="J35" s="132">
        <v>40826</v>
      </c>
      <c r="K35" s="133" t="s">
        <v>458</v>
      </c>
      <c r="L35" s="108">
        <f t="shared" si="0"/>
        <v>0.15321477428180577</v>
      </c>
      <c r="M35" s="115"/>
      <c r="N35" s="133"/>
      <c r="O35" s="115"/>
      <c r="P35" s="115"/>
      <c r="Q35" s="116"/>
      <c r="R35" s="116"/>
      <c r="S35" s="117"/>
      <c r="T35" s="115"/>
      <c r="U35" s="116"/>
      <c r="V35" s="116"/>
      <c r="W35" s="133"/>
      <c r="X35" s="115"/>
      <c r="Y35" s="133"/>
    </row>
    <row r="36" spans="1:25" ht="17" customHeight="1">
      <c r="A36" s="131" t="s">
        <v>1136</v>
      </c>
      <c r="B36" s="131" t="s">
        <v>1137</v>
      </c>
      <c r="C36" s="131">
        <v>3170.56</v>
      </c>
      <c r="D36" s="131">
        <v>3.71</v>
      </c>
      <c r="E36" s="131">
        <v>15.09</v>
      </c>
      <c r="F36" s="131">
        <v>38.229999999999997</v>
      </c>
      <c r="G36" s="131">
        <v>0.33</v>
      </c>
      <c r="H36" s="131">
        <v>5.8</v>
      </c>
      <c r="I36" s="131">
        <v>0.89</v>
      </c>
      <c r="J36" s="132">
        <v>42073</v>
      </c>
      <c r="K36" s="133" t="s">
        <v>458</v>
      </c>
      <c r="L36" s="108">
        <f t="shared" si="0"/>
        <v>0.15171331415119016</v>
      </c>
      <c r="M36" s="115"/>
      <c r="N36" s="133"/>
      <c r="O36" s="115"/>
      <c r="P36" s="115"/>
      <c r="Q36" s="116"/>
      <c r="R36" s="115"/>
      <c r="S36" s="117"/>
      <c r="T36" s="115"/>
      <c r="U36" s="116"/>
      <c r="V36" s="116"/>
      <c r="W36" s="133"/>
      <c r="X36" s="115"/>
      <c r="Y36" s="133"/>
    </row>
    <row r="37" spans="1:25" ht="17" customHeight="1">
      <c r="A37" s="131" t="s">
        <v>1042</v>
      </c>
      <c r="B37" s="131" t="s">
        <v>159</v>
      </c>
      <c r="C37" s="131">
        <v>2448.58</v>
      </c>
      <c r="D37" s="131">
        <v>1.34</v>
      </c>
      <c r="E37" s="131">
        <v>0.72</v>
      </c>
      <c r="F37" s="131">
        <v>11.17</v>
      </c>
      <c r="G37" s="131">
        <v>0.21</v>
      </c>
      <c r="H37" s="131">
        <v>1.69</v>
      </c>
      <c r="I37" s="131">
        <v>0.74</v>
      </c>
      <c r="J37" s="132">
        <v>42048</v>
      </c>
      <c r="K37" s="133" t="s">
        <v>458</v>
      </c>
      <c r="L37" s="108">
        <f t="shared" si="0"/>
        <v>0.15129811996418979</v>
      </c>
      <c r="M37" s="115"/>
      <c r="N37" s="133"/>
      <c r="O37" s="115"/>
      <c r="P37" s="115"/>
      <c r="Q37" s="116"/>
      <c r="R37" s="115"/>
      <c r="S37" s="117"/>
      <c r="T37" s="115"/>
      <c r="U37" s="116"/>
      <c r="V37" s="116"/>
      <c r="W37" s="133"/>
      <c r="X37" s="115"/>
      <c r="Y37" s="133"/>
    </row>
    <row r="38" spans="1:25" ht="17" customHeight="1">
      <c r="A38" s="131" t="s">
        <v>1094</v>
      </c>
      <c r="B38" s="131" t="s">
        <v>97</v>
      </c>
      <c r="C38" s="131">
        <v>9874.51</v>
      </c>
      <c r="D38" s="131">
        <v>0.95</v>
      </c>
      <c r="E38" s="131">
        <v>8.4499999999999993</v>
      </c>
      <c r="F38" s="131">
        <v>54.61</v>
      </c>
      <c r="G38" s="131">
        <v>0.27</v>
      </c>
      <c r="H38" s="131">
        <v>8.2100000000000009</v>
      </c>
      <c r="I38" s="131">
        <v>0.85</v>
      </c>
      <c r="J38" s="132">
        <v>41943</v>
      </c>
      <c r="K38" s="133" t="s">
        <v>458</v>
      </c>
      <c r="L38" s="108">
        <f t="shared" si="0"/>
        <v>0.15033876579381067</v>
      </c>
      <c r="M38" s="115"/>
      <c r="N38" s="133"/>
      <c r="O38" s="115"/>
      <c r="P38" s="115"/>
      <c r="Q38" s="116"/>
      <c r="R38" s="116"/>
      <c r="S38" s="117"/>
      <c r="T38" s="115"/>
      <c r="U38" s="116"/>
      <c r="V38" s="116"/>
      <c r="W38" s="133"/>
      <c r="X38" s="115"/>
      <c r="Y38" s="133"/>
    </row>
    <row r="39" spans="1:25" ht="17" customHeight="1">
      <c r="A39" s="131" t="s">
        <v>1107</v>
      </c>
      <c r="B39" s="131" t="s">
        <v>167</v>
      </c>
      <c r="C39" s="131">
        <v>10428.93</v>
      </c>
      <c r="D39" s="131">
        <v>0.19</v>
      </c>
      <c r="E39" s="131">
        <v>2.35</v>
      </c>
      <c r="F39" s="131">
        <v>17.07</v>
      </c>
      <c r="G39" s="131">
        <v>0.6</v>
      </c>
      <c r="H39" s="131">
        <v>2.5499999999999998</v>
      </c>
      <c r="I39" s="131">
        <v>0.72</v>
      </c>
      <c r="J39" s="132">
        <v>37621</v>
      </c>
      <c r="K39" s="133" t="s">
        <v>458</v>
      </c>
      <c r="L39" s="108">
        <f t="shared" si="0"/>
        <v>0.1493848857644991</v>
      </c>
      <c r="M39" s="115"/>
      <c r="N39" s="133"/>
      <c r="O39" s="115"/>
      <c r="P39" s="115"/>
      <c r="Q39" s="116"/>
      <c r="R39" s="116"/>
      <c r="S39" s="117"/>
      <c r="T39" s="115"/>
      <c r="U39" s="116"/>
      <c r="V39" s="116"/>
      <c r="W39" s="133"/>
      <c r="X39" s="115"/>
      <c r="Y39" s="133"/>
    </row>
    <row r="40" spans="1:25" ht="17" customHeight="1">
      <c r="A40" s="131" t="s">
        <v>845</v>
      </c>
      <c r="B40" s="131" t="s">
        <v>846</v>
      </c>
      <c r="C40" s="131">
        <v>5755.64</v>
      </c>
      <c r="D40" s="131">
        <v>-0.3</v>
      </c>
      <c r="E40" s="131">
        <v>-2</v>
      </c>
      <c r="F40" s="131">
        <v>9.4600000000000009</v>
      </c>
      <c r="G40" s="131">
        <v>0.12</v>
      </c>
      <c r="H40" s="131">
        <v>1.4</v>
      </c>
      <c r="I40" s="131">
        <v>0.1</v>
      </c>
      <c r="J40" s="132">
        <v>41470</v>
      </c>
      <c r="K40" s="133" t="s">
        <v>458</v>
      </c>
      <c r="L40" s="108">
        <f t="shared" si="0"/>
        <v>0.14799154334038053</v>
      </c>
      <c r="M40" s="115"/>
      <c r="N40" s="133"/>
      <c r="O40" s="115"/>
      <c r="P40" s="115"/>
      <c r="Q40" s="116"/>
      <c r="R40" s="115"/>
      <c r="S40" s="117"/>
      <c r="T40" s="115"/>
      <c r="U40" s="116"/>
      <c r="V40" s="116"/>
      <c r="W40" s="133"/>
      <c r="X40" s="115"/>
      <c r="Y40" s="133"/>
    </row>
    <row r="41" spans="1:25" ht="17" customHeight="1">
      <c r="A41" s="131" t="s">
        <v>1116</v>
      </c>
      <c r="B41" s="131" t="s">
        <v>1117</v>
      </c>
      <c r="C41" s="131">
        <v>1976.14</v>
      </c>
      <c r="D41" s="131">
        <v>1.31</v>
      </c>
      <c r="E41" s="131">
        <v>7.8</v>
      </c>
      <c r="F41" s="131">
        <v>27.17</v>
      </c>
      <c r="G41" s="131">
        <v>0.93</v>
      </c>
      <c r="H41" s="131">
        <v>4.0199999999999996</v>
      </c>
      <c r="I41" s="131">
        <v>0.95</v>
      </c>
      <c r="J41" s="132">
        <v>40050</v>
      </c>
      <c r="K41" s="133" t="s">
        <v>458</v>
      </c>
      <c r="L41" s="108">
        <f t="shared" si="0"/>
        <v>0.14795730585204267</v>
      </c>
      <c r="M41" s="115"/>
      <c r="N41" s="133"/>
      <c r="O41" s="115"/>
      <c r="P41" s="115"/>
      <c r="Q41" s="116"/>
      <c r="R41" s="115"/>
      <c r="S41" s="117"/>
      <c r="T41" s="115"/>
      <c r="U41" s="116"/>
      <c r="V41" s="116"/>
      <c r="W41" s="133"/>
      <c r="X41" s="115"/>
      <c r="Y41" s="133"/>
    </row>
    <row r="42" spans="1:25" ht="17" customHeight="1">
      <c r="A42" s="131" t="s">
        <v>488</v>
      </c>
      <c r="B42" s="131" t="s">
        <v>489</v>
      </c>
      <c r="C42" s="131">
        <v>6348.68</v>
      </c>
      <c r="D42" s="131">
        <v>0.79</v>
      </c>
      <c r="E42" s="131">
        <v>0.48</v>
      </c>
      <c r="F42" s="131">
        <v>13.13</v>
      </c>
      <c r="G42" s="131">
        <v>0.06</v>
      </c>
      <c r="H42" s="131">
        <v>1.94</v>
      </c>
      <c r="I42" s="131">
        <v>0.23</v>
      </c>
      <c r="J42" s="132">
        <v>36529</v>
      </c>
      <c r="K42" s="133" t="s">
        <v>458</v>
      </c>
      <c r="L42" s="108">
        <f t="shared" si="0"/>
        <v>0.14775323686214775</v>
      </c>
      <c r="M42" s="115"/>
      <c r="N42" s="133"/>
      <c r="O42" s="115"/>
      <c r="P42" s="115"/>
      <c r="Q42" s="116"/>
      <c r="R42" s="116"/>
      <c r="S42" s="117"/>
      <c r="T42" s="115"/>
      <c r="U42" s="116"/>
      <c r="V42" s="116"/>
      <c r="W42" s="133"/>
      <c r="X42" s="115"/>
      <c r="Y42" s="133"/>
    </row>
    <row r="43" spans="1:25" ht="17" customHeight="1">
      <c r="A43" s="131" t="s">
        <v>1085</v>
      </c>
      <c r="B43" s="131" t="s">
        <v>1086</v>
      </c>
      <c r="C43" s="131">
        <v>5470.64</v>
      </c>
      <c r="D43" s="131">
        <v>3.05</v>
      </c>
      <c r="E43" s="131">
        <v>11.65</v>
      </c>
      <c r="F43" s="131">
        <v>40.89</v>
      </c>
      <c r="G43" s="131">
        <v>0.97</v>
      </c>
      <c r="H43" s="131">
        <v>6.03</v>
      </c>
      <c r="I43" s="131">
        <v>0.95</v>
      </c>
      <c r="J43" s="132">
        <v>37621</v>
      </c>
      <c r="K43" s="133" t="s">
        <v>458</v>
      </c>
      <c r="L43" s="108">
        <f t="shared" si="0"/>
        <v>0.1474688187820983</v>
      </c>
      <c r="M43" s="115"/>
      <c r="N43" s="133"/>
      <c r="O43" s="115"/>
      <c r="P43" s="115"/>
      <c r="Q43" s="116"/>
      <c r="R43" s="116"/>
      <c r="S43" s="117"/>
      <c r="T43" s="115"/>
      <c r="U43" s="116"/>
      <c r="V43" s="116"/>
      <c r="W43" s="133"/>
      <c r="X43" s="115"/>
      <c r="Y43" s="133"/>
    </row>
    <row r="44" spans="1:25" ht="17" customHeight="1">
      <c r="A44" s="131" t="s">
        <v>1073</v>
      </c>
      <c r="B44" s="131" t="s">
        <v>1074</v>
      </c>
      <c r="C44" s="131">
        <v>2020.06</v>
      </c>
      <c r="D44" s="131">
        <v>1.32</v>
      </c>
      <c r="E44" s="131">
        <v>8.73</v>
      </c>
      <c r="F44" s="131">
        <v>31.92</v>
      </c>
      <c r="G44" s="131">
        <v>0.41</v>
      </c>
      <c r="H44" s="131">
        <v>4.6900000000000004</v>
      </c>
      <c r="I44" s="131">
        <v>0.66</v>
      </c>
      <c r="J44" s="132">
        <v>42044</v>
      </c>
      <c r="K44" s="133" t="s">
        <v>458</v>
      </c>
      <c r="L44" s="108">
        <f t="shared" si="0"/>
        <v>0.14692982456140352</v>
      </c>
      <c r="M44" s="115"/>
      <c r="N44" s="133"/>
      <c r="O44" s="115"/>
      <c r="P44" s="115"/>
      <c r="Q44" s="116"/>
      <c r="R44" s="116"/>
      <c r="S44" s="117"/>
      <c r="T44" s="115"/>
      <c r="U44" s="116"/>
      <c r="V44" s="116"/>
      <c r="W44" s="133"/>
      <c r="X44" s="115"/>
      <c r="Y44" s="133"/>
    </row>
    <row r="45" spans="1:25" ht="17" customHeight="1">
      <c r="A45" s="131" t="s">
        <v>1159</v>
      </c>
      <c r="B45" s="131" t="s">
        <v>204</v>
      </c>
      <c r="C45" s="131">
        <v>3329.62</v>
      </c>
      <c r="D45" s="131">
        <v>0.39</v>
      </c>
      <c r="E45" s="131">
        <v>3.06</v>
      </c>
      <c r="F45" s="131">
        <v>24.85</v>
      </c>
      <c r="G45" s="131">
        <v>0.97</v>
      </c>
      <c r="H45" s="131">
        <v>3.65</v>
      </c>
      <c r="I45" s="131">
        <v>1</v>
      </c>
      <c r="J45" s="132">
        <v>40634</v>
      </c>
      <c r="K45" s="133" t="s">
        <v>458</v>
      </c>
      <c r="L45" s="108">
        <f t="shared" si="0"/>
        <v>0.14688128772635814</v>
      </c>
      <c r="M45" s="115"/>
      <c r="N45" s="133"/>
      <c r="O45" s="115"/>
      <c r="P45" s="115"/>
      <c r="Q45" s="116"/>
      <c r="R45" s="116"/>
      <c r="S45" s="117"/>
      <c r="T45" s="115"/>
      <c r="U45" s="116"/>
      <c r="V45" s="116"/>
      <c r="W45" s="133"/>
      <c r="X45" s="115"/>
      <c r="Y45" s="133"/>
    </row>
    <row r="46" spans="1:25" ht="17" customHeight="1">
      <c r="A46" s="131" t="s">
        <v>1155</v>
      </c>
      <c r="B46" s="131" t="s">
        <v>1156</v>
      </c>
      <c r="C46" s="131">
        <v>2690.73</v>
      </c>
      <c r="D46" s="131">
        <v>-1.66</v>
      </c>
      <c r="E46" s="131">
        <v>0.64</v>
      </c>
      <c r="F46" s="131">
        <v>24.85</v>
      </c>
      <c r="G46" s="131">
        <v>0.97</v>
      </c>
      <c r="H46" s="131">
        <v>3.65</v>
      </c>
      <c r="I46" s="131">
        <v>0.97</v>
      </c>
      <c r="J46" s="132">
        <v>43682</v>
      </c>
      <c r="K46" s="133" t="s">
        <v>458</v>
      </c>
      <c r="L46" s="108">
        <f t="shared" si="0"/>
        <v>0.14688128772635814</v>
      </c>
      <c r="M46" s="115"/>
      <c r="N46" s="133"/>
      <c r="O46" s="115"/>
      <c r="P46" s="115"/>
      <c r="Q46" s="116"/>
      <c r="R46" s="116"/>
      <c r="S46" s="117"/>
      <c r="T46" s="115"/>
      <c r="U46" s="116"/>
      <c r="V46" s="116"/>
      <c r="W46" s="133"/>
      <c r="X46" s="115"/>
      <c r="Y46" s="133"/>
    </row>
    <row r="47" spans="1:25" ht="17" customHeight="1">
      <c r="A47" s="131" t="s">
        <v>1157</v>
      </c>
      <c r="B47" s="131" t="s">
        <v>1158</v>
      </c>
      <c r="C47" s="131">
        <v>8685.02</v>
      </c>
      <c r="D47" s="131">
        <v>0.22</v>
      </c>
      <c r="E47" s="131">
        <v>2.35</v>
      </c>
      <c r="F47" s="131">
        <v>24.85</v>
      </c>
      <c r="G47" s="131">
        <v>0.97</v>
      </c>
      <c r="H47" s="131">
        <v>3.65</v>
      </c>
      <c r="I47" s="131">
        <v>0.97</v>
      </c>
      <c r="J47" s="132">
        <v>43682</v>
      </c>
      <c r="K47" s="133" t="s">
        <v>458</v>
      </c>
      <c r="L47" s="108">
        <f t="shared" si="0"/>
        <v>0.14688128772635814</v>
      </c>
      <c r="M47" s="115"/>
      <c r="N47" s="133"/>
      <c r="O47" s="115"/>
      <c r="P47" s="115"/>
      <c r="Q47" s="116"/>
      <c r="R47" s="115"/>
      <c r="S47" s="117"/>
      <c r="T47" s="115"/>
      <c r="U47" s="116"/>
      <c r="V47" s="116"/>
      <c r="W47" s="133"/>
      <c r="X47" s="115"/>
      <c r="Y47" s="133"/>
    </row>
    <row r="48" spans="1:25" ht="17" customHeight="1">
      <c r="A48" s="131" t="s">
        <v>582</v>
      </c>
      <c r="B48" s="131" t="s">
        <v>583</v>
      </c>
      <c r="C48" s="131">
        <v>4881.47</v>
      </c>
      <c r="D48" s="131">
        <v>-0.6</v>
      </c>
      <c r="E48" s="131">
        <v>-2.5499999999999998</v>
      </c>
      <c r="F48" s="131">
        <v>9.36</v>
      </c>
      <c r="G48" s="131">
        <v>0.03</v>
      </c>
      <c r="H48" s="131">
        <v>1.37</v>
      </c>
      <c r="I48" s="131">
        <v>0.06</v>
      </c>
      <c r="J48" s="132">
        <v>36529</v>
      </c>
      <c r="K48" s="133" t="s">
        <v>458</v>
      </c>
      <c r="L48" s="108">
        <f t="shared" si="0"/>
        <v>0.14636752136752137</v>
      </c>
      <c r="M48" s="115"/>
      <c r="N48" s="133"/>
      <c r="O48" s="115"/>
      <c r="P48" s="115"/>
      <c r="Q48" s="116"/>
      <c r="R48" s="116"/>
      <c r="S48" s="117"/>
      <c r="T48" s="115"/>
      <c r="U48" s="116"/>
      <c r="V48" s="116"/>
      <c r="W48" s="133"/>
      <c r="X48" s="115"/>
      <c r="Y48" s="133"/>
    </row>
    <row r="49" spans="1:25" ht="17" customHeight="1">
      <c r="A49" s="131" t="s">
        <v>1124</v>
      </c>
      <c r="B49" s="131" t="s">
        <v>1125</v>
      </c>
      <c r="C49" s="131">
        <v>4019.42</v>
      </c>
      <c r="D49" s="131">
        <v>2.6</v>
      </c>
      <c r="E49" s="131">
        <v>8.59</v>
      </c>
      <c r="F49" s="131">
        <v>57.47</v>
      </c>
      <c r="G49" s="131">
        <v>0.68</v>
      </c>
      <c r="H49" s="131">
        <v>8.3800000000000008</v>
      </c>
      <c r="I49" s="131">
        <v>0.97</v>
      </c>
      <c r="J49" s="132">
        <v>42242</v>
      </c>
      <c r="K49" s="133" t="s">
        <v>458</v>
      </c>
      <c r="L49" s="108">
        <f t="shared" si="0"/>
        <v>0.14581520793457459</v>
      </c>
      <c r="M49" s="115"/>
      <c r="N49" s="133"/>
      <c r="O49" s="115"/>
      <c r="P49" s="115"/>
      <c r="Q49" s="116"/>
      <c r="R49" s="116"/>
      <c r="S49" s="117"/>
      <c r="T49" s="115"/>
      <c r="U49" s="116"/>
      <c r="V49" s="116"/>
      <c r="W49" s="133"/>
      <c r="X49" s="115"/>
      <c r="Y49" s="133"/>
    </row>
    <row r="50" spans="1:25" ht="17" customHeight="1">
      <c r="A50" s="131" t="s">
        <v>1092</v>
      </c>
      <c r="B50" s="131" t="s">
        <v>1093</v>
      </c>
      <c r="C50" s="131">
        <v>7597.69</v>
      </c>
      <c r="D50" s="131">
        <v>0.73</v>
      </c>
      <c r="E50" s="131">
        <v>2.96</v>
      </c>
      <c r="F50" s="131">
        <v>9.81</v>
      </c>
      <c r="G50" s="131">
        <v>0.81</v>
      </c>
      <c r="H50" s="131">
        <v>1.43</v>
      </c>
      <c r="I50" s="131">
        <v>0.62</v>
      </c>
      <c r="J50" s="132">
        <v>41066</v>
      </c>
      <c r="K50" s="133" t="s">
        <v>458</v>
      </c>
      <c r="L50" s="108">
        <f t="shared" si="0"/>
        <v>0.14576962283384301</v>
      </c>
      <c r="M50" s="115"/>
      <c r="N50" s="133"/>
      <c r="O50" s="115"/>
      <c r="P50" s="115"/>
      <c r="Q50" s="116"/>
      <c r="R50" s="116"/>
      <c r="S50" s="117"/>
      <c r="T50" s="115"/>
      <c r="U50" s="116"/>
      <c r="V50" s="116"/>
      <c r="W50" s="133"/>
      <c r="X50" s="115"/>
      <c r="Y50" s="133"/>
    </row>
    <row r="51" spans="1:25" ht="17" customHeight="1">
      <c r="A51" s="131" t="s">
        <v>944</v>
      </c>
      <c r="B51" s="131" t="s">
        <v>945</v>
      </c>
      <c r="C51" s="131">
        <v>2987.19</v>
      </c>
      <c r="D51" s="131">
        <v>0.87</v>
      </c>
      <c r="E51" s="131">
        <v>6.56</v>
      </c>
      <c r="F51" s="131">
        <v>11.67</v>
      </c>
      <c r="G51" s="131">
        <v>0.12</v>
      </c>
      <c r="H51" s="131">
        <v>1.69</v>
      </c>
      <c r="I51" s="131">
        <v>0.28000000000000003</v>
      </c>
      <c r="J51" s="132">
        <v>42045</v>
      </c>
      <c r="K51" s="133" t="s">
        <v>458</v>
      </c>
      <c r="L51" s="108">
        <f t="shared" si="0"/>
        <v>0.14481576692373607</v>
      </c>
      <c r="M51" s="115"/>
      <c r="N51" s="133"/>
      <c r="O51" s="115"/>
      <c r="P51" s="115"/>
      <c r="Q51" s="116"/>
      <c r="R51" s="115"/>
      <c r="S51" s="117"/>
      <c r="T51" s="115"/>
      <c r="U51" s="116"/>
      <c r="V51" s="116"/>
      <c r="W51" s="133"/>
      <c r="X51" s="115"/>
      <c r="Y51" s="133"/>
    </row>
    <row r="52" spans="1:25" ht="17" customHeight="1">
      <c r="A52" s="131" t="s">
        <v>474</v>
      </c>
      <c r="B52" s="131" t="s">
        <v>475</v>
      </c>
      <c r="C52" s="131">
        <v>4192.07</v>
      </c>
      <c r="D52" s="131">
        <v>-0.52</v>
      </c>
      <c r="E52" s="131">
        <v>-2.34</v>
      </c>
      <c r="F52" s="131">
        <v>9.68</v>
      </c>
      <c r="G52" s="131">
        <v>0.03</v>
      </c>
      <c r="H52" s="131">
        <v>1.4</v>
      </c>
      <c r="I52" s="131">
        <v>0.06</v>
      </c>
      <c r="J52" s="132">
        <v>36529</v>
      </c>
      <c r="K52" s="133" t="s">
        <v>458</v>
      </c>
      <c r="L52" s="108">
        <f t="shared" si="0"/>
        <v>0.14462809917355371</v>
      </c>
      <c r="M52" s="115"/>
      <c r="N52" s="133"/>
      <c r="O52" s="115"/>
      <c r="P52" s="115"/>
      <c r="Q52" s="116"/>
      <c r="R52" s="116"/>
      <c r="S52" s="117"/>
      <c r="T52" s="115"/>
      <c r="U52" s="116"/>
      <c r="V52" s="116"/>
      <c r="W52" s="133"/>
      <c r="X52" s="115"/>
      <c r="Y52" s="133"/>
    </row>
    <row r="53" spans="1:25" ht="17" customHeight="1">
      <c r="A53" s="131" t="s">
        <v>1063</v>
      </c>
      <c r="B53" s="131" t="s">
        <v>1064</v>
      </c>
      <c r="C53" s="131">
        <v>4664.49</v>
      </c>
      <c r="D53" s="131">
        <v>1.89</v>
      </c>
      <c r="E53" s="131">
        <v>7.83</v>
      </c>
      <c r="F53" s="131">
        <v>31.89</v>
      </c>
      <c r="G53" s="131">
        <v>0.63</v>
      </c>
      <c r="H53" s="131">
        <v>4.59</v>
      </c>
      <c r="I53" s="131">
        <v>0.79</v>
      </c>
      <c r="J53" s="132">
        <v>40028</v>
      </c>
      <c r="K53" s="133" t="s">
        <v>458</v>
      </c>
      <c r="L53" s="108">
        <f t="shared" si="0"/>
        <v>0.14393226716839133</v>
      </c>
      <c r="M53" s="115"/>
      <c r="N53" s="133"/>
      <c r="O53" s="115"/>
      <c r="P53" s="115"/>
      <c r="Q53" s="116"/>
      <c r="R53" s="116"/>
      <c r="S53" s="117"/>
      <c r="T53" s="115"/>
      <c r="U53" s="116"/>
      <c r="V53" s="116"/>
      <c r="W53" s="133"/>
      <c r="X53" s="115"/>
      <c r="Y53" s="133"/>
    </row>
    <row r="54" spans="1:25" ht="17" customHeight="1">
      <c r="A54" s="131" t="s">
        <v>1141</v>
      </c>
      <c r="B54" s="131" t="s">
        <v>1142</v>
      </c>
      <c r="C54" s="131">
        <v>3419.27</v>
      </c>
      <c r="D54" s="131">
        <v>1.85</v>
      </c>
      <c r="E54" s="131">
        <v>9.5500000000000007</v>
      </c>
      <c r="F54" s="131">
        <v>61.02</v>
      </c>
      <c r="G54" s="131">
        <v>0.81</v>
      </c>
      <c r="H54" s="131">
        <v>8.73</v>
      </c>
      <c r="I54" s="131">
        <v>0.95</v>
      </c>
      <c r="J54" s="132">
        <v>42221</v>
      </c>
      <c r="K54" s="133" t="s">
        <v>458</v>
      </c>
      <c r="L54" s="108">
        <f t="shared" si="0"/>
        <v>0.14306784660766961</v>
      </c>
      <c r="M54" s="115"/>
      <c r="N54" s="133"/>
      <c r="O54" s="115"/>
      <c r="P54" s="115"/>
      <c r="Q54" s="116"/>
      <c r="R54" s="116"/>
      <c r="S54" s="117"/>
      <c r="T54" s="115"/>
      <c r="U54" s="116"/>
      <c r="V54" s="116"/>
      <c r="W54" s="133"/>
      <c r="X54" s="115"/>
      <c r="Y54" s="133"/>
    </row>
    <row r="55" spans="1:25" ht="17" customHeight="1">
      <c r="A55" s="131" t="s">
        <v>1145</v>
      </c>
      <c r="B55" s="131" t="s">
        <v>1146</v>
      </c>
      <c r="C55" s="131">
        <v>9388.94</v>
      </c>
      <c r="D55" s="131">
        <v>0.34</v>
      </c>
      <c r="E55" s="131">
        <v>4.6399999999999997</v>
      </c>
      <c r="F55" s="131">
        <v>35.46</v>
      </c>
      <c r="G55" s="131">
        <v>0.75</v>
      </c>
      <c r="H55" s="131">
        <v>5.07</v>
      </c>
      <c r="I55" s="131">
        <v>0.97</v>
      </c>
      <c r="J55" s="132">
        <v>42258</v>
      </c>
      <c r="K55" s="133" t="s">
        <v>458</v>
      </c>
      <c r="L55" s="108">
        <f t="shared" si="0"/>
        <v>0.14297800338409475</v>
      </c>
      <c r="M55" s="115"/>
      <c r="N55" s="133"/>
      <c r="O55" s="115"/>
      <c r="P55" s="115"/>
      <c r="Q55" s="116"/>
      <c r="R55" s="116"/>
      <c r="S55" s="117"/>
      <c r="T55" s="115"/>
      <c r="U55" s="116"/>
      <c r="V55" s="116"/>
      <c r="W55" s="133"/>
      <c r="X55" s="115"/>
      <c r="Y55" s="133"/>
    </row>
    <row r="56" spans="1:25" ht="17" customHeight="1">
      <c r="A56" s="131" t="s">
        <v>1070</v>
      </c>
      <c r="B56" s="131" t="s">
        <v>1071</v>
      </c>
      <c r="C56" s="131">
        <v>6789.2</v>
      </c>
      <c r="D56" s="131">
        <v>-0.14000000000000001</v>
      </c>
      <c r="E56" s="131">
        <v>9.1</v>
      </c>
      <c r="F56" s="131">
        <v>40.130000000000003</v>
      </c>
      <c r="G56" s="131">
        <v>0.32</v>
      </c>
      <c r="H56" s="131">
        <v>5.66</v>
      </c>
      <c r="I56" s="131">
        <v>0.78</v>
      </c>
      <c r="J56" s="132">
        <v>42982</v>
      </c>
      <c r="K56" s="133" t="s">
        <v>458</v>
      </c>
      <c r="L56" s="108">
        <f t="shared" si="0"/>
        <v>0.14104161475205582</v>
      </c>
      <c r="M56" s="115"/>
      <c r="N56" s="133"/>
      <c r="O56" s="115"/>
      <c r="P56" s="115"/>
      <c r="Q56" s="116"/>
      <c r="R56" s="116"/>
      <c r="S56" s="117"/>
      <c r="T56" s="115"/>
      <c r="U56" s="116"/>
      <c r="V56" s="116"/>
      <c r="W56" s="133"/>
      <c r="X56" s="115"/>
      <c r="Y56" s="133"/>
    </row>
    <row r="57" spans="1:25" ht="17" customHeight="1">
      <c r="A57" s="131" t="s">
        <v>1120</v>
      </c>
      <c r="B57" s="131" t="s">
        <v>1121</v>
      </c>
      <c r="C57" s="131">
        <v>5117.6099999999997</v>
      </c>
      <c r="D57" s="131">
        <v>-0.04</v>
      </c>
      <c r="E57" s="131">
        <v>3.43</v>
      </c>
      <c r="F57" s="131">
        <v>26.49</v>
      </c>
      <c r="G57" s="131">
        <v>0.89</v>
      </c>
      <c r="H57" s="131">
        <v>3.71</v>
      </c>
      <c r="I57" s="131">
        <v>0.83</v>
      </c>
      <c r="J57" s="132">
        <v>40326</v>
      </c>
      <c r="K57" s="133" t="s">
        <v>458</v>
      </c>
      <c r="L57" s="108">
        <f t="shared" si="0"/>
        <v>0.14005285013212534</v>
      </c>
      <c r="M57" s="115"/>
      <c r="N57" s="133"/>
      <c r="O57" s="115"/>
      <c r="P57" s="115"/>
      <c r="Q57" s="116"/>
      <c r="R57" s="116"/>
      <c r="S57" s="117"/>
      <c r="T57" s="115"/>
      <c r="U57" s="116"/>
      <c r="V57" s="116"/>
      <c r="W57" s="133"/>
      <c r="X57" s="115"/>
      <c r="Y57" s="133"/>
    </row>
    <row r="58" spans="1:25" ht="17" customHeight="1">
      <c r="A58" s="131" t="s">
        <v>1114</v>
      </c>
      <c r="B58" s="131" t="s">
        <v>1115</v>
      </c>
      <c r="C58" s="131">
        <v>3210.96</v>
      </c>
      <c r="D58" s="131">
        <v>2.02</v>
      </c>
      <c r="E58" s="131">
        <v>10.199999999999999</v>
      </c>
      <c r="F58" s="131">
        <v>24.18</v>
      </c>
      <c r="G58" s="131">
        <v>0.79</v>
      </c>
      <c r="H58" s="131">
        <v>3.37</v>
      </c>
      <c r="I58" s="131">
        <v>0.87</v>
      </c>
      <c r="J58" s="132">
        <v>42016</v>
      </c>
      <c r="K58" s="133" t="s">
        <v>458</v>
      </c>
      <c r="L58" s="108">
        <f t="shared" si="0"/>
        <v>0.13937138130686519</v>
      </c>
      <c r="M58" s="115"/>
      <c r="N58" s="133"/>
      <c r="O58" s="115"/>
      <c r="P58" s="115"/>
      <c r="Q58" s="116"/>
      <c r="R58" s="115"/>
      <c r="S58" s="117"/>
      <c r="T58" s="115"/>
      <c r="U58" s="116"/>
      <c r="V58" s="116"/>
      <c r="W58" s="133"/>
      <c r="X58" s="115"/>
      <c r="Y58" s="133"/>
    </row>
    <row r="59" spans="1:25" ht="17" customHeight="1">
      <c r="A59" s="131" t="s">
        <v>1019</v>
      </c>
      <c r="B59" s="131" t="s">
        <v>1020</v>
      </c>
      <c r="C59" s="131">
        <v>2008.55</v>
      </c>
      <c r="D59" s="131">
        <v>1.97</v>
      </c>
      <c r="E59" s="131">
        <v>8.5299999999999994</v>
      </c>
      <c r="F59" s="131">
        <v>32.450000000000003</v>
      </c>
      <c r="G59" s="131">
        <v>0.67</v>
      </c>
      <c r="H59" s="131">
        <v>4.51</v>
      </c>
      <c r="I59" s="131">
        <v>0.73</v>
      </c>
      <c r="J59" s="132">
        <v>40602</v>
      </c>
      <c r="K59" s="133" t="s">
        <v>458</v>
      </c>
      <c r="L59" s="108">
        <f t="shared" si="0"/>
        <v>0.1389830508474576</v>
      </c>
      <c r="M59" s="115"/>
      <c r="N59" s="133"/>
      <c r="O59" s="115"/>
      <c r="P59" s="115"/>
      <c r="Q59" s="116"/>
      <c r="R59" s="116"/>
      <c r="S59" s="117"/>
      <c r="T59" s="115"/>
      <c r="U59" s="116"/>
      <c r="V59" s="116"/>
      <c r="W59" s="133"/>
      <c r="X59" s="115"/>
      <c r="Y59" s="133"/>
    </row>
    <row r="60" spans="1:25" ht="17" customHeight="1">
      <c r="A60" s="131" t="s">
        <v>1087</v>
      </c>
      <c r="B60" s="131" t="s">
        <v>1088</v>
      </c>
      <c r="C60" s="131">
        <v>8636.31</v>
      </c>
      <c r="D60" s="131">
        <v>0.65</v>
      </c>
      <c r="E60" s="131">
        <v>2.42</v>
      </c>
      <c r="F60" s="131">
        <v>17.54</v>
      </c>
      <c r="G60" s="131">
        <v>0.54</v>
      </c>
      <c r="H60" s="131">
        <v>2.4</v>
      </c>
      <c r="I60" s="131">
        <v>0.74</v>
      </c>
      <c r="J60" s="132">
        <v>40308</v>
      </c>
      <c r="K60" s="133" t="s">
        <v>458</v>
      </c>
      <c r="L60" s="108">
        <f t="shared" si="0"/>
        <v>0.13683010262257697</v>
      </c>
      <c r="M60" s="115"/>
      <c r="N60" s="133"/>
      <c r="O60" s="115"/>
      <c r="P60" s="115"/>
      <c r="Q60" s="116"/>
      <c r="R60" s="115"/>
      <c r="S60" s="117"/>
      <c r="T60" s="115"/>
      <c r="U60" s="116"/>
      <c r="V60" s="116"/>
      <c r="W60" s="133"/>
      <c r="X60" s="115"/>
      <c r="Y60" s="133"/>
    </row>
    <row r="61" spans="1:25" ht="17" customHeight="1">
      <c r="A61" s="131" t="s">
        <v>1017</v>
      </c>
      <c r="B61" s="131" t="s">
        <v>1018</v>
      </c>
      <c r="C61" s="131">
        <v>3723.81</v>
      </c>
      <c r="D61" s="131">
        <v>-0.99</v>
      </c>
      <c r="E61" s="131">
        <v>2.5099999999999998</v>
      </c>
      <c r="F61" s="131">
        <v>9.41</v>
      </c>
      <c r="G61" s="131">
        <v>0.57999999999999996</v>
      </c>
      <c r="H61" s="131">
        <v>1.28</v>
      </c>
      <c r="I61" s="131">
        <v>0.63</v>
      </c>
      <c r="J61" s="132">
        <v>43214</v>
      </c>
      <c r="K61" s="133" t="s">
        <v>458</v>
      </c>
      <c r="L61" s="108">
        <f t="shared" si="0"/>
        <v>0.13602550478214664</v>
      </c>
      <c r="M61" s="115"/>
      <c r="N61" s="133"/>
      <c r="O61" s="115"/>
      <c r="P61" s="115"/>
      <c r="Q61" s="116"/>
      <c r="R61" s="115"/>
      <c r="S61" s="117"/>
      <c r="T61" s="115"/>
      <c r="U61" s="116"/>
      <c r="V61" s="116"/>
      <c r="W61" s="133"/>
      <c r="X61" s="115"/>
      <c r="Y61" s="133"/>
    </row>
    <row r="62" spans="1:25" ht="17" customHeight="1">
      <c r="A62" s="131" t="s">
        <v>1103</v>
      </c>
      <c r="B62" s="131" t="s">
        <v>1104</v>
      </c>
      <c r="C62" s="131">
        <v>4901.63</v>
      </c>
      <c r="D62" s="131">
        <v>1.21</v>
      </c>
      <c r="E62" s="131">
        <v>5.23</v>
      </c>
      <c r="F62" s="131">
        <v>24.19</v>
      </c>
      <c r="G62" s="131">
        <v>0.71</v>
      </c>
      <c r="H62" s="131">
        <v>3.28</v>
      </c>
      <c r="I62" s="131">
        <v>0.77</v>
      </c>
      <c r="J62" s="132">
        <v>37623</v>
      </c>
      <c r="K62" s="133" t="s">
        <v>458</v>
      </c>
      <c r="L62" s="108">
        <f t="shared" si="0"/>
        <v>0.13559322033898302</v>
      </c>
      <c r="M62" s="115"/>
      <c r="N62" s="133"/>
      <c r="O62" s="115"/>
      <c r="P62" s="115"/>
      <c r="Q62" s="116"/>
      <c r="R62" s="116"/>
      <c r="S62" s="117"/>
      <c r="T62" s="115"/>
      <c r="U62" s="116"/>
      <c r="V62" s="116"/>
      <c r="W62" s="133"/>
      <c r="X62" s="115"/>
      <c r="Y62" s="133"/>
    </row>
    <row r="63" spans="1:25" ht="17" customHeight="1">
      <c r="A63" s="131" t="s">
        <v>1105</v>
      </c>
      <c r="B63" s="131" t="s">
        <v>1106</v>
      </c>
      <c r="C63" s="131">
        <v>6291.66</v>
      </c>
      <c r="D63" s="131">
        <v>1.21</v>
      </c>
      <c r="E63" s="131">
        <v>5.23</v>
      </c>
      <c r="F63" s="131">
        <v>24.19</v>
      </c>
      <c r="G63" s="131">
        <v>0.71</v>
      </c>
      <c r="H63" s="131">
        <v>3.28</v>
      </c>
      <c r="I63" s="131">
        <v>0.77</v>
      </c>
      <c r="J63" s="132">
        <v>37623</v>
      </c>
      <c r="K63" s="133" t="s">
        <v>458</v>
      </c>
      <c r="L63" s="108">
        <f t="shared" si="0"/>
        <v>0.13559322033898302</v>
      </c>
      <c r="M63" s="115"/>
      <c r="N63" s="133"/>
      <c r="O63" s="115"/>
      <c r="P63" s="115"/>
      <c r="Q63" s="116"/>
      <c r="R63" s="115"/>
      <c r="S63" s="117"/>
      <c r="T63" s="115"/>
      <c r="U63" s="116"/>
      <c r="V63" s="116"/>
      <c r="W63" s="133"/>
      <c r="X63" s="115"/>
      <c r="Y63" s="133"/>
    </row>
    <row r="64" spans="1:25" ht="17" customHeight="1">
      <c r="A64" s="131" t="s">
        <v>1126</v>
      </c>
      <c r="B64" s="131" t="s">
        <v>1127</v>
      </c>
      <c r="C64" s="131">
        <v>4755.6899999999996</v>
      </c>
      <c r="D64" s="131">
        <v>1.34</v>
      </c>
      <c r="E64" s="131">
        <v>5.54</v>
      </c>
      <c r="F64" s="131">
        <v>24.19</v>
      </c>
      <c r="G64" s="131">
        <v>1</v>
      </c>
      <c r="H64" s="131">
        <v>3.28</v>
      </c>
      <c r="I64" s="131">
        <v>0.99</v>
      </c>
      <c r="J64" s="132">
        <v>43179</v>
      </c>
      <c r="K64" s="133" t="s">
        <v>458</v>
      </c>
      <c r="L64" s="108">
        <f t="shared" si="0"/>
        <v>0.13559322033898302</v>
      </c>
      <c r="M64" s="115"/>
      <c r="N64" s="133"/>
      <c r="O64" s="115"/>
      <c r="P64" s="115"/>
      <c r="Q64" s="116"/>
      <c r="R64" s="115"/>
      <c r="S64" s="117"/>
      <c r="T64" s="115"/>
      <c r="U64" s="116"/>
      <c r="V64" s="116"/>
      <c r="W64" s="133"/>
      <c r="X64" s="115"/>
      <c r="Y64" s="133"/>
    </row>
    <row r="65" spans="1:25" ht="17" customHeight="1">
      <c r="A65" s="131" t="s">
        <v>522</v>
      </c>
      <c r="B65" s="131" t="s">
        <v>523</v>
      </c>
      <c r="C65" s="131">
        <v>6333.14</v>
      </c>
      <c r="D65" s="131">
        <v>3.59</v>
      </c>
      <c r="E65" s="131">
        <v>14.48</v>
      </c>
      <c r="F65" s="131">
        <v>45.1</v>
      </c>
      <c r="G65" s="131">
        <v>0.4</v>
      </c>
      <c r="H65" s="131">
        <v>6.05</v>
      </c>
      <c r="I65" s="131">
        <v>0.68</v>
      </c>
      <c r="J65" s="132">
        <v>36529</v>
      </c>
      <c r="K65" s="133" t="s">
        <v>458</v>
      </c>
      <c r="L65" s="108">
        <f t="shared" si="0"/>
        <v>0.13414634146341461</v>
      </c>
      <c r="M65" s="115"/>
      <c r="N65" s="133"/>
      <c r="O65" s="115"/>
      <c r="P65" s="115"/>
      <c r="Q65" s="116"/>
      <c r="R65" s="115"/>
      <c r="S65" s="117"/>
      <c r="T65" s="115"/>
      <c r="U65" s="116"/>
      <c r="V65" s="116"/>
      <c r="W65" s="133"/>
      <c r="X65" s="115"/>
      <c r="Y65" s="133"/>
    </row>
    <row r="66" spans="1:25" ht="17" customHeight="1">
      <c r="A66" s="131" t="s">
        <v>967</v>
      </c>
      <c r="B66" s="131" t="s">
        <v>968</v>
      </c>
      <c r="C66" s="131">
        <v>1524.69</v>
      </c>
      <c r="D66" s="131">
        <v>0.88</v>
      </c>
      <c r="E66" s="131">
        <v>1.1200000000000001</v>
      </c>
      <c r="F66" s="131">
        <v>10.220000000000001</v>
      </c>
      <c r="G66" s="131">
        <v>0.26</v>
      </c>
      <c r="H66" s="131">
        <v>1.37</v>
      </c>
      <c r="I66" s="131">
        <v>0.24</v>
      </c>
      <c r="J66" s="132">
        <v>40030</v>
      </c>
      <c r="K66" s="133" t="s">
        <v>458</v>
      </c>
      <c r="L66" s="108">
        <f t="shared" ref="L66:L129" si="1">H66/F66</f>
        <v>0.13405088062622308</v>
      </c>
      <c r="M66" s="115"/>
      <c r="N66" s="133"/>
      <c r="O66" s="115"/>
      <c r="P66" s="115"/>
      <c r="Q66" s="116"/>
      <c r="R66" s="115"/>
      <c r="S66" s="117"/>
      <c r="T66" s="115"/>
      <c r="U66" s="116"/>
      <c r="V66" s="116"/>
      <c r="W66" s="133"/>
      <c r="X66" s="115"/>
      <c r="Y66" s="133"/>
    </row>
    <row r="67" spans="1:25" ht="17" customHeight="1">
      <c r="A67" s="131" t="s">
        <v>1118</v>
      </c>
      <c r="B67" s="131" t="s">
        <v>1119</v>
      </c>
      <c r="C67" s="131">
        <v>1270.56</v>
      </c>
      <c r="D67" s="131">
        <v>0.12</v>
      </c>
      <c r="E67" s="131">
        <v>3.62</v>
      </c>
      <c r="F67" s="131">
        <v>30.68</v>
      </c>
      <c r="G67" s="131">
        <v>0.3</v>
      </c>
      <c r="H67" s="131">
        <v>4.1100000000000003</v>
      </c>
      <c r="I67" s="131">
        <v>0.9</v>
      </c>
      <c r="J67" s="132">
        <v>41842</v>
      </c>
      <c r="K67" s="133" t="s">
        <v>458</v>
      </c>
      <c r="L67" s="108">
        <f t="shared" si="1"/>
        <v>0.13396349413298567</v>
      </c>
      <c r="M67" s="115"/>
      <c r="N67" s="133"/>
      <c r="O67" s="115"/>
      <c r="P67" s="115"/>
      <c r="Q67" s="116"/>
      <c r="R67" s="116"/>
      <c r="S67" s="117"/>
      <c r="T67" s="115"/>
      <c r="U67" s="116"/>
      <c r="V67" s="116"/>
      <c r="W67" s="133"/>
      <c r="X67" s="115"/>
      <c r="Y67" s="133"/>
    </row>
    <row r="68" spans="1:25" ht="17" customHeight="1">
      <c r="A68" s="131" t="s">
        <v>1005</v>
      </c>
      <c r="B68" s="131" t="s">
        <v>1006</v>
      </c>
      <c r="C68" s="131">
        <v>3353.59</v>
      </c>
      <c r="D68" s="131">
        <v>0.48</v>
      </c>
      <c r="E68" s="131">
        <v>1.65</v>
      </c>
      <c r="F68" s="131">
        <v>16.63</v>
      </c>
      <c r="G68" s="131">
        <v>0.17</v>
      </c>
      <c r="H68" s="131">
        <v>2.2200000000000002</v>
      </c>
      <c r="I68" s="131">
        <v>0.27</v>
      </c>
      <c r="J68" s="132">
        <v>40326</v>
      </c>
      <c r="K68" s="133" t="s">
        <v>458</v>
      </c>
      <c r="L68" s="108">
        <f t="shared" si="1"/>
        <v>0.13349368610944079</v>
      </c>
      <c r="M68" s="115"/>
      <c r="N68" s="133"/>
      <c r="O68" s="115"/>
      <c r="P68" s="115"/>
      <c r="Q68" s="116"/>
      <c r="R68" s="116"/>
      <c r="S68" s="117"/>
      <c r="T68" s="115"/>
      <c r="U68" s="116"/>
      <c r="V68" s="116"/>
      <c r="W68" s="133"/>
      <c r="X68" s="115"/>
      <c r="Y68" s="133"/>
    </row>
    <row r="69" spans="1:25" ht="17" customHeight="1">
      <c r="A69" s="131" t="s">
        <v>1108</v>
      </c>
      <c r="B69" s="131" t="s">
        <v>1109</v>
      </c>
      <c r="C69" s="131">
        <v>1647.79</v>
      </c>
      <c r="D69" s="131">
        <v>0.94</v>
      </c>
      <c r="E69" s="131">
        <v>6.18</v>
      </c>
      <c r="F69" s="131">
        <v>35.53</v>
      </c>
      <c r="G69" s="131">
        <v>0.84</v>
      </c>
      <c r="H69" s="131">
        <v>4.74</v>
      </c>
      <c r="I69" s="131">
        <v>0.88</v>
      </c>
      <c r="J69" s="132">
        <v>41796</v>
      </c>
      <c r="K69" s="133" t="s">
        <v>458</v>
      </c>
      <c r="L69" s="108">
        <f t="shared" si="1"/>
        <v>0.13340838727835633</v>
      </c>
      <c r="M69" s="115"/>
      <c r="N69" s="133"/>
      <c r="O69" s="115"/>
      <c r="P69" s="115"/>
      <c r="Q69" s="116"/>
      <c r="R69" s="116"/>
      <c r="S69" s="117"/>
      <c r="T69" s="115"/>
      <c r="U69" s="116"/>
      <c r="V69" s="116"/>
      <c r="W69" s="133"/>
      <c r="X69" s="115"/>
      <c r="Y69" s="133"/>
    </row>
    <row r="70" spans="1:25" ht="17" customHeight="1">
      <c r="A70" s="131" t="s">
        <v>1128</v>
      </c>
      <c r="B70" s="131" t="s">
        <v>120</v>
      </c>
      <c r="C70" s="131">
        <v>2966.36</v>
      </c>
      <c r="D70" s="131">
        <v>2.63</v>
      </c>
      <c r="E70" s="131">
        <v>13.15</v>
      </c>
      <c r="F70" s="131">
        <v>47.68</v>
      </c>
      <c r="G70" s="131">
        <v>0.66</v>
      </c>
      <c r="H70" s="131">
        <v>6.35</v>
      </c>
      <c r="I70" s="131">
        <v>0.87</v>
      </c>
      <c r="J70" s="132">
        <v>41764</v>
      </c>
      <c r="K70" s="133" t="s">
        <v>458</v>
      </c>
      <c r="L70" s="108">
        <f t="shared" si="1"/>
        <v>0.13317953020134227</v>
      </c>
      <c r="M70" s="115"/>
      <c r="N70" s="133"/>
      <c r="O70" s="115"/>
      <c r="P70" s="115"/>
      <c r="Q70" s="116"/>
      <c r="R70" s="115"/>
      <c r="S70" s="117"/>
      <c r="T70" s="115"/>
      <c r="U70" s="116"/>
      <c r="V70" s="116"/>
      <c r="W70" s="133"/>
      <c r="X70" s="115"/>
      <c r="Y70" s="133"/>
    </row>
    <row r="71" spans="1:25" ht="17" customHeight="1">
      <c r="A71" s="131" t="s">
        <v>905</v>
      </c>
      <c r="B71" s="131" t="s">
        <v>906</v>
      </c>
      <c r="C71" s="131">
        <v>4417.07</v>
      </c>
      <c r="D71" s="131">
        <v>0.28999999999999998</v>
      </c>
      <c r="E71" s="131">
        <v>1.17</v>
      </c>
      <c r="F71" s="131">
        <v>18.329999999999998</v>
      </c>
      <c r="G71" s="131">
        <v>0.17</v>
      </c>
      <c r="H71" s="131">
        <v>2.44</v>
      </c>
      <c r="I71" s="131">
        <v>0.1</v>
      </c>
      <c r="J71" s="132">
        <v>40284</v>
      </c>
      <c r="K71" s="133" t="s">
        <v>458</v>
      </c>
      <c r="L71" s="108">
        <f t="shared" si="1"/>
        <v>0.1331151118385161</v>
      </c>
      <c r="M71" s="115"/>
      <c r="N71" s="133"/>
      <c r="O71" s="115"/>
      <c r="P71" s="115"/>
      <c r="Q71" s="116"/>
      <c r="R71" s="115"/>
      <c r="S71" s="117"/>
      <c r="T71" s="115"/>
      <c r="U71" s="116"/>
      <c r="V71" s="116"/>
      <c r="W71" s="133"/>
      <c r="X71" s="115"/>
      <c r="Y71" s="133"/>
    </row>
    <row r="72" spans="1:25" ht="17" customHeight="1">
      <c r="A72" s="131" t="s">
        <v>1081</v>
      </c>
      <c r="B72" s="131" t="s">
        <v>1082</v>
      </c>
      <c r="C72" s="131">
        <v>6292.86</v>
      </c>
      <c r="D72" s="131">
        <v>1.07</v>
      </c>
      <c r="E72" s="131">
        <v>3.48</v>
      </c>
      <c r="F72" s="131">
        <v>15.41</v>
      </c>
      <c r="G72" s="131">
        <v>0.44</v>
      </c>
      <c r="H72" s="131">
        <v>2.0499999999999998</v>
      </c>
      <c r="I72" s="131">
        <v>0.56000000000000005</v>
      </c>
      <c r="J72" s="132">
        <v>42240</v>
      </c>
      <c r="K72" s="133" t="s">
        <v>458</v>
      </c>
      <c r="L72" s="108">
        <f t="shared" si="1"/>
        <v>0.13303049967553535</v>
      </c>
      <c r="M72" s="115"/>
      <c r="N72" s="133"/>
      <c r="O72" s="115"/>
      <c r="P72" s="115"/>
      <c r="Q72" s="116"/>
      <c r="R72" s="116"/>
      <c r="S72" s="117"/>
      <c r="T72" s="115"/>
      <c r="U72" s="116"/>
      <c r="V72" s="116"/>
      <c r="W72" s="133"/>
      <c r="X72" s="115"/>
      <c r="Y72" s="133"/>
    </row>
    <row r="73" spans="1:25" ht="17" customHeight="1">
      <c r="A73" s="131" t="s">
        <v>812</v>
      </c>
      <c r="B73" s="131" t="s">
        <v>813</v>
      </c>
      <c r="C73" s="131">
        <v>6098.52</v>
      </c>
      <c r="D73" s="131">
        <v>-0.32</v>
      </c>
      <c r="E73" s="131">
        <v>0.19</v>
      </c>
      <c r="F73" s="131">
        <v>9.14</v>
      </c>
      <c r="G73" s="131">
        <v>0.41</v>
      </c>
      <c r="H73" s="131">
        <v>1.21</v>
      </c>
      <c r="I73" s="131">
        <v>0.03</v>
      </c>
      <c r="J73" s="132">
        <v>40949</v>
      </c>
      <c r="K73" s="133" t="s">
        <v>458</v>
      </c>
      <c r="L73" s="108">
        <f t="shared" si="1"/>
        <v>0.13238512035010941</v>
      </c>
      <c r="M73" s="115"/>
      <c r="N73" s="133"/>
      <c r="O73" s="115"/>
      <c r="P73" s="115"/>
      <c r="Q73" s="116"/>
      <c r="R73" s="116"/>
      <c r="S73" s="117"/>
      <c r="T73" s="115"/>
      <c r="U73" s="116"/>
      <c r="V73" s="116"/>
      <c r="W73" s="133"/>
      <c r="X73" s="115"/>
      <c r="Y73" s="133"/>
    </row>
    <row r="74" spans="1:25" ht="17" customHeight="1">
      <c r="A74" s="131" t="s">
        <v>1134</v>
      </c>
      <c r="B74" s="131" t="s">
        <v>1135</v>
      </c>
      <c r="C74" s="131">
        <v>3030.99</v>
      </c>
      <c r="D74" s="131">
        <v>1.53</v>
      </c>
      <c r="E74" s="131">
        <v>4.08</v>
      </c>
      <c r="F74" s="131">
        <v>19.5</v>
      </c>
      <c r="G74" s="131">
        <v>0.68</v>
      </c>
      <c r="H74" s="131">
        <v>2.58</v>
      </c>
      <c r="I74" s="131">
        <v>0.97</v>
      </c>
      <c r="J74" s="132">
        <v>41127</v>
      </c>
      <c r="K74" s="133" t="s">
        <v>458</v>
      </c>
      <c r="L74" s="108">
        <f t="shared" si="1"/>
        <v>0.13230769230769232</v>
      </c>
      <c r="M74" s="115"/>
      <c r="N74" s="133"/>
      <c r="O74" s="115"/>
      <c r="P74" s="115"/>
      <c r="Q74" s="116"/>
      <c r="R74" s="116"/>
      <c r="S74" s="117"/>
      <c r="T74" s="115"/>
      <c r="U74" s="116"/>
      <c r="V74" s="116"/>
      <c r="W74" s="133"/>
      <c r="X74" s="115"/>
      <c r="Y74" s="133"/>
    </row>
    <row r="75" spans="1:25" ht="17" customHeight="1">
      <c r="A75" s="131" t="s">
        <v>899</v>
      </c>
      <c r="B75" s="131" t="s">
        <v>900</v>
      </c>
      <c r="C75" s="131">
        <v>965.32</v>
      </c>
      <c r="D75" s="131">
        <v>-0.8</v>
      </c>
      <c r="E75" s="131">
        <v>-0.02</v>
      </c>
      <c r="F75" s="131">
        <v>8.2100000000000009</v>
      </c>
      <c r="G75" s="131">
        <v>0.3</v>
      </c>
      <c r="H75" s="131">
        <v>1.08</v>
      </c>
      <c r="I75" s="131">
        <v>0.09</v>
      </c>
      <c r="J75" s="132">
        <v>41198</v>
      </c>
      <c r="K75" s="133" t="s">
        <v>458</v>
      </c>
      <c r="L75" s="108">
        <f t="shared" si="1"/>
        <v>0.13154689403166869</v>
      </c>
      <c r="M75" s="115"/>
      <c r="N75" s="133"/>
      <c r="O75" s="115"/>
      <c r="P75" s="115"/>
      <c r="Q75" s="116"/>
      <c r="R75" s="115"/>
      <c r="S75" s="117"/>
      <c r="T75" s="115"/>
      <c r="U75" s="116"/>
      <c r="V75" s="116"/>
      <c r="W75" s="133"/>
      <c r="X75" s="115"/>
      <c r="Y75" s="133"/>
    </row>
    <row r="76" spans="1:25" ht="17" customHeight="1">
      <c r="A76" s="131" t="s">
        <v>887</v>
      </c>
      <c r="B76" s="131" t="s">
        <v>75</v>
      </c>
      <c r="C76" s="131">
        <v>7237.24</v>
      </c>
      <c r="D76" s="131">
        <v>1.78</v>
      </c>
      <c r="E76" s="131">
        <v>9.11</v>
      </c>
      <c r="F76" s="131">
        <v>28.79</v>
      </c>
      <c r="G76" s="131">
        <v>0.36</v>
      </c>
      <c r="H76" s="131">
        <v>3.78</v>
      </c>
      <c r="I76" s="131">
        <v>0.34</v>
      </c>
      <c r="J76" s="132">
        <v>39078</v>
      </c>
      <c r="K76" s="133" t="s">
        <v>458</v>
      </c>
      <c r="L76" s="108">
        <f t="shared" si="1"/>
        <v>0.1312955887460924</v>
      </c>
      <c r="M76" s="115"/>
      <c r="N76" s="133"/>
      <c r="O76" s="115"/>
      <c r="P76" s="115"/>
      <c r="Q76" s="116"/>
      <c r="R76" s="115"/>
      <c r="S76" s="117"/>
      <c r="T76" s="115"/>
      <c r="U76" s="116"/>
      <c r="V76" s="116"/>
      <c r="W76" s="133"/>
      <c r="X76" s="115"/>
      <c r="Y76" s="133"/>
    </row>
    <row r="77" spans="1:25" ht="17" customHeight="1">
      <c r="A77" s="131" t="s">
        <v>890</v>
      </c>
      <c r="B77" s="131" t="s">
        <v>891</v>
      </c>
      <c r="C77" s="131">
        <v>3758.86</v>
      </c>
      <c r="D77" s="131">
        <v>1.53</v>
      </c>
      <c r="E77" s="131">
        <v>8.5</v>
      </c>
      <c r="F77" s="131">
        <v>28.79</v>
      </c>
      <c r="G77" s="131">
        <v>0.36</v>
      </c>
      <c r="H77" s="131">
        <v>3.78</v>
      </c>
      <c r="I77" s="131">
        <v>0.34</v>
      </c>
      <c r="J77" s="132">
        <v>39080</v>
      </c>
      <c r="K77" s="133" t="s">
        <v>458</v>
      </c>
      <c r="L77" s="108">
        <f t="shared" si="1"/>
        <v>0.1312955887460924</v>
      </c>
      <c r="M77" s="115"/>
      <c r="N77" s="133"/>
      <c r="O77" s="115"/>
      <c r="P77" s="115"/>
      <c r="Q77" s="116"/>
      <c r="R77" s="116"/>
      <c r="S77" s="117"/>
      <c r="T77" s="115"/>
      <c r="U77" s="116"/>
      <c r="V77" s="116"/>
      <c r="W77" s="133"/>
      <c r="X77" s="115"/>
      <c r="Y77" s="133"/>
    </row>
    <row r="78" spans="1:25" ht="17" customHeight="1">
      <c r="A78" s="131" t="s">
        <v>1095</v>
      </c>
      <c r="B78" s="131" t="s">
        <v>1096</v>
      </c>
      <c r="C78" s="131">
        <v>11389.29</v>
      </c>
      <c r="D78" s="131">
        <v>0.64</v>
      </c>
      <c r="E78" s="131">
        <v>4.42</v>
      </c>
      <c r="F78" s="131">
        <v>39.61</v>
      </c>
      <c r="G78" s="131">
        <v>0.91</v>
      </c>
      <c r="H78" s="131">
        <v>5.19</v>
      </c>
      <c r="I78" s="131">
        <v>0.7</v>
      </c>
      <c r="J78" s="132">
        <v>39265</v>
      </c>
      <c r="K78" s="133" t="s">
        <v>458</v>
      </c>
      <c r="L78" s="108">
        <f t="shared" si="1"/>
        <v>0.13102751830345874</v>
      </c>
      <c r="M78" s="115"/>
      <c r="N78" s="133"/>
      <c r="O78" s="115"/>
      <c r="P78" s="115"/>
      <c r="Q78" s="116"/>
      <c r="R78" s="116"/>
      <c r="S78" s="117"/>
      <c r="T78" s="115"/>
      <c r="U78" s="116"/>
      <c r="V78" s="116"/>
      <c r="W78" s="133"/>
      <c r="X78" s="115"/>
      <c r="Y78" s="133"/>
    </row>
    <row r="79" spans="1:25" ht="17" customHeight="1">
      <c r="A79" s="131" t="s">
        <v>893</v>
      </c>
      <c r="B79" s="131" t="s">
        <v>894</v>
      </c>
      <c r="C79" s="131">
        <v>5652.57</v>
      </c>
      <c r="D79" s="131">
        <v>0.83</v>
      </c>
      <c r="E79" s="131">
        <v>0.11</v>
      </c>
      <c r="F79" s="131">
        <v>7.83</v>
      </c>
      <c r="G79" s="131">
        <v>0.41</v>
      </c>
      <c r="H79" s="131">
        <v>1.02</v>
      </c>
      <c r="I79" s="131">
        <v>0.12</v>
      </c>
      <c r="J79" s="132">
        <v>39822</v>
      </c>
      <c r="K79" s="133" t="s">
        <v>458</v>
      </c>
      <c r="L79" s="108">
        <f t="shared" si="1"/>
        <v>0.13026819923371646</v>
      </c>
      <c r="M79" s="115"/>
      <c r="N79" s="133"/>
      <c r="O79" s="115"/>
      <c r="P79" s="115"/>
      <c r="Q79" s="116"/>
      <c r="R79" s="116"/>
      <c r="S79" s="117"/>
      <c r="T79" s="115"/>
      <c r="U79" s="116"/>
      <c r="V79" s="116"/>
      <c r="W79" s="133"/>
      <c r="X79" s="115"/>
      <c r="Y79" s="133"/>
    </row>
    <row r="80" spans="1:25" ht="17" customHeight="1">
      <c r="A80" s="131" t="s">
        <v>649</v>
      </c>
      <c r="B80" s="131" t="s">
        <v>650</v>
      </c>
      <c r="C80" s="131">
        <v>6518.7</v>
      </c>
      <c r="D80" s="131">
        <v>-2.94</v>
      </c>
      <c r="E80" s="131">
        <v>-1.84</v>
      </c>
      <c r="F80" s="131">
        <v>34.28</v>
      </c>
      <c r="G80" s="131">
        <v>0.14000000000000001</v>
      </c>
      <c r="H80" s="131">
        <v>4.45</v>
      </c>
      <c r="I80" s="131">
        <v>0.62</v>
      </c>
      <c r="J80" s="132">
        <v>36529</v>
      </c>
      <c r="K80" s="133" t="s">
        <v>458</v>
      </c>
      <c r="L80" s="108">
        <f t="shared" si="1"/>
        <v>0.12981330221703619</v>
      </c>
      <c r="M80" s="115"/>
      <c r="N80" s="133"/>
      <c r="O80" s="115"/>
      <c r="P80" s="115"/>
      <c r="Q80" s="116"/>
      <c r="R80" s="116"/>
      <c r="S80" s="117"/>
      <c r="T80" s="115"/>
      <c r="U80" s="116"/>
      <c r="V80" s="116"/>
      <c r="W80" s="133"/>
      <c r="X80" s="115"/>
      <c r="Y80" s="133"/>
    </row>
    <row r="81" spans="1:25" ht="17" customHeight="1">
      <c r="A81" s="131" t="s">
        <v>1101</v>
      </c>
      <c r="B81" s="131" t="s">
        <v>1102</v>
      </c>
      <c r="C81" s="131">
        <v>3313.88</v>
      </c>
      <c r="D81" s="131">
        <v>3.1</v>
      </c>
      <c r="E81" s="131">
        <v>9.4499999999999993</v>
      </c>
      <c r="F81" s="131">
        <v>58.59</v>
      </c>
      <c r="G81" s="131">
        <v>0.36</v>
      </c>
      <c r="H81" s="131">
        <v>7.55</v>
      </c>
      <c r="I81" s="131">
        <v>0.79</v>
      </c>
      <c r="J81" s="132">
        <v>42132</v>
      </c>
      <c r="K81" s="133" t="s">
        <v>458</v>
      </c>
      <c r="L81" s="108">
        <f t="shared" si="1"/>
        <v>0.12886158047448368</v>
      </c>
      <c r="M81" s="115"/>
      <c r="N81" s="133"/>
      <c r="O81" s="115"/>
      <c r="P81" s="115"/>
      <c r="Q81" s="116"/>
      <c r="R81" s="116"/>
      <c r="S81" s="117"/>
      <c r="T81" s="115"/>
      <c r="U81" s="116"/>
      <c r="V81" s="116"/>
      <c r="W81" s="133"/>
      <c r="X81" s="115"/>
      <c r="Y81" s="133"/>
    </row>
    <row r="82" spans="1:25" ht="17" customHeight="1">
      <c r="A82" s="131" t="s">
        <v>903</v>
      </c>
      <c r="B82" s="131" t="s">
        <v>904</v>
      </c>
      <c r="C82" s="131">
        <v>6900.98</v>
      </c>
      <c r="D82" s="131">
        <v>0.79</v>
      </c>
      <c r="E82" s="131">
        <v>-0.12</v>
      </c>
      <c r="F82" s="131">
        <v>8.49</v>
      </c>
      <c r="G82" s="131">
        <v>0.45</v>
      </c>
      <c r="H82" s="131">
        <v>1.0900000000000001</v>
      </c>
      <c r="I82" s="131">
        <v>0.14000000000000001</v>
      </c>
      <c r="J82" s="132">
        <v>39265</v>
      </c>
      <c r="K82" s="133" t="s">
        <v>458</v>
      </c>
      <c r="L82" s="108">
        <f t="shared" si="1"/>
        <v>0.12838633686690223</v>
      </c>
      <c r="M82" s="115"/>
      <c r="N82" s="133"/>
      <c r="O82" s="115"/>
      <c r="P82" s="115"/>
      <c r="Q82" s="116"/>
      <c r="R82" s="115"/>
      <c r="S82" s="117"/>
      <c r="T82" s="115"/>
      <c r="U82" s="116"/>
      <c r="V82" s="116"/>
      <c r="W82" s="133"/>
      <c r="X82" s="115"/>
      <c r="Y82" s="133"/>
    </row>
    <row r="83" spans="1:25" ht="17" customHeight="1">
      <c r="A83" s="131" t="s">
        <v>793</v>
      </c>
      <c r="B83" s="131" t="s">
        <v>794</v>
      </c>
      <c r="C83" s="131">
        <v>2206.81</v>
      </c>
      <c r="D83" s="131">
        <v>1.01</v>
      </c>
      <c r="E83" s="131">
        <v>5.17</v>
      </c>
      <c r="F83" s="131">
        <v>6.79</v>
      </c>
      <c r="G83" s="131">
        <v>0</v>
      </c>
      <c r="H83" s="131">
        <v>0.87</v>
      </c>
      <c r="I83" s="131">
        <v>0</v>
      </c>
      <c r="J83" s="132">
        <v>41596</v>
      </c>
      <c r="K83" s="133" t="s">
        <v>458</v>
      </c>
      <c r="L83" s="108">
        <f t="shared" si="1"/>
        <v>0.12812960235640647</v>
      </c>
      <c r="M83" s="115"/>
      <c r="N83" s="133"/>
      <c r="O83" s="115"/>
      <c r="P83" s="115"/>
      <c r="Q83" s="116"/>
      <c r="R83" s="116"/>
      <c r="S83" s="117"/>
      <c r="T83" s="115"/>
      <c r="U83" s="116"/>
      <c r="V83" s="116"/>
      <c r="W83" s="133"/>
      <c r="X83" s="115"/>
      <c r="Y83" s="133"/>
    </row>
    <row r="84" spans="1:25" ht="17" customHeight="1">
      <c r="A84" s="131" t="s">
        <v>840</v>
      </c>
      <c r="B84" s="131" t="s">
        <v>56</v>
      </c>
      <c r="C84" s="131">
        <v>4505.3900000000003</v>
      </c>
      <c r="D84" s="131">
        <v>0.12</v>
      </c>
      <c r="E84" s="131">
        <v>1.46</v>
      </c>
      <c r="F84" s="131">
        <v>7.73</v>
      </c>
      <c r="G84" s="131">
        <v>7.0000000000000007E-2</v>
      </c>
      <c r="H84" s="131">
        <v>0.99</v>
      </c>
      <c r="I84" s="131">
        <v>0</v>
      </c>
      <c r="J84" s="132">
        <v>43577</v>
      </c>
      <c r="K84" s="133" t="s">
        <v>458</v>
      </c>
      <c r="L84" s="108">
        <f t="shared" si="1"/>
        <v>0.1280724450194049</v>
      </c>
      <c r="M84" s="115"/>
      <c r="N84" s="133"/>
      <c r="O84" s="115"/>
      <c r="P84" s="115"/>
      <c r="Q84" s="116"/>
      <c r="R84" s="116"/>
      <c r="S84" s="117"/>
      <c r="T84" s="115"/>
      <c r="U84" s="116"/>
      <c r="V84" s="116"/>
      <c r="W84" s="133"/>
      <c r="X84" s="115"/>
      <c r="Y84" s="133"/>
    </row>
    <row r="85" spans="1:25" ht="17" customHeight="1">
      <c r="A85" s="131" t="s">
        <v>917</v>
      </c>
      <c r="B85" s="131" t="s">
        <v>918</v>
      </c>
      <c r="C85" s="131">
        <v>5627.92</v>
      </c>
      <c r="D85" s="131">
        <v>1.62</v>
      </c>
      <c r="E85" s="131">
        <v>9.83</v>
      </c>
      <c r="F85" s="131">
        <v>9.5299999999999994</v>
      </c>
      <c r="G85" s="131">
        <v>0.41</v>
      </c>
      <c r="H85" s="131">
        <v>1.22</v>
      </c>
      <c r="I85" s="131">
        <v>0.2</v>
      </c>
      <c r="J85" s="132">
        <v>41894</v>
      </c>
      <c r="K85" s="133" t="s">
        <v>458</v>
      </c>
      <c r="L85" s="108">
        <f t="shared" si="1"/>
        <v>0.12801678908709341</v>
      </c>
      <c r="M85" s="115"/>
      <c r="N85" s="133"/>
      <c r="O85" s="115"/>
      <c r="P85" s="115"/>
      <c r="Q85" s="116"/>
      <c r="R85" s="116"/>
      <c r="S85" s="117"/>
      <c r="T85" s="115"/>
      <c r="U85" s="116"/>
      <c r="V85" s="116"/>
      <c r="W85" s="133"/>
      <c r="X85" s="115"/>
      <c r="Y85" s="133"/>
    </row>
    <row r="86" spans="1:25" ht="17" customHeight="1">
      <c r="A86" s="131" t="s">
        <v>816</v>
      </c>
      <c r="B86" s="131" t="s">
        <v>817</v>
      </c>
      <c r="C86" s="131">
        <v>3726.69</v>
      </c>
      <c r="D86" s="131">
        <v>0.46</v>
      </c>
      <c r="E86" s="131">
        <v>1.86</v>
      </c>
      <c r="F86" s="131">
        <v>8.77</v>
      </c>
      <c r="G86" s="131">
        <v>0.79</v>
      </c>
      <c r="H86" s="131">
        <v>1.1200000000000001</v>
      </c>
      <c r="I86" s="131">
        <v>0.34</v>
      </c>
      <c r="J86" s="132">
        <v>43692</v>
      </c>
      <c r="K86" s="133" t="s">
        <v>458</v>
      </c>
      <c r="L86" s="108">
        <f t="shared" si="1"/>
        <v>0.12770809578107187</v>
      </c>
      <c r="M86" s="115"/>
      <c r="N86" s="133"/>
      <c r="O86" s="115"/>
      <c r="P86" s="115"/>
      <c r="Q86" s="116"/>
      <c r="R86" s="116"/>
      <c r="S86" s="117"/>
      <c r="T86" s="115"/>
      <c r="U86" s="116"/>
      <c r="V86" s="116"/>
      <c r="W86" s="133"/>
      <c r="X86" s="115"/>
      <c r="Y86" s="133"/>
    </row>
    <row r="87" spans="1:25" ht="17" customHeight="1">
      <c r="A87" s="131" t="s">
        <v>990</v>
      </c>
      <c r="B87" s="131" t="s">
        <v>156</v>
      </c>
      <c r="C87" s="131">
        <v>1603.51</v>
      </c>
      <c r="D87" s="131">
        <v>0.64</v>
      </c>
      <c r="E87" s="131">
        <v>1.98</v>
      </c>
      <c r="F87" s="131">
        <v>10.99</v>
      </c>
      <c r="G87" s="131">
        <v>0.3</v>
      </c>
      <c r="H87" s="131">
        <v>1.4</v>
      </c>
      <c r="I87" s="131">
        <v>0.3</v>
      </c>
      <c r="J87" s="132">
        <v>41858</v>
      </c>
      <c r="K87" s="133" t="s">
        <v>458</v>
      </c>
      <c r="L87" s="108">
        <f t="shared" si="1"/>
        <v>0.12738853503184713</v>
      </c>
      <c r="M87" s="115"/>
      <c r="N87" s="133"/>
      <c r="O87" s="115"/>
      <c r="P87" s="115"/>
      <c r="Q87" s="116"/>
      <c r="R87" s="115"/>
      <c r="S87" s="117"/>
      <c r="T87" s="115"/>
      <c r="U87" s="116"/>
      <c r="V87" s="116"/>
      <c r="W87" s="133"/>
      <c r="X87" s="115"/>
      <c r="Y87" s="133"/>
    </row>
    <row r="88" spans="1:25" ht="17" customHeight="1">
      <c r="A88" s="131" t="s">
        <v>892</v>
      </c>
      <c r="B88" s="131" t="s">
        <v>115</v>
      </c>
      <c r="C88" s="131">
        <v>6583.13</v>
      </c>
      <c r="D88" s="131">
        <v>0.82</v>
      </c>
      <c r="E88" s="131">
        <v>-0.21</v>
      </c>
      <c r="F88" s="131">
        <v>8.64</v>
      </c>
      <c r="G88" s="131">
        <v>0.52</v>
      </c>
      <c r="H88" s="131">
        <v>1.1000000000000001</v>
      </c>
      <c r="I88" s="131">
        <v>0.17</v>
      </c>
      <c r="J88" s="132">
        <v>39997</v>
      </c>
      <c r="K88" s="133" t="s">
        <v>458</v>
      </c>
      <c r="L88" s="108">
        <f t="shared" si="1"/>
        <v>0.12731481481481483</v>
      </c>
      <c r="M88" s="115"/>
      <c r="N88" s="133"/>
      <c r="O88" s="115"/>
      <c r="P88" s="115"/>
      <c r="Q88" s="116"/>
      <c r="R88" s="116"/>
      <c r="S88" s="117"/>
      <c r="T88" s="115"/>
      <c r="U88" s="116"/>
      <c r="V88" s="116"/>
      <c r="W88" s="133"/>
      <c r="X88" s="115"/>
      <c r="Y88" s="133"/>
    </row>
    <row r="89" spans="1:25" ht="17" customHeight="1">
      <c r="A89" s="131" t="s">
        <v>876</v>
      </c>
      <c r="B89" s="131" t="s">
        <v>877</v>
      </c>
      <c r="C89" s="131">
        <v>3944.67</v>
      </c>
      <c r="D89" s="131">
        <v>1.28</v>
      </c>
      <c r="E89" s="131">
        <v>1.07</v>
      </c>
      <c r="F89" s="131">
        <v>8.25</v>
      </c>
      <c r="G89" s="131">
        <v>0.21</v>
      </c>
      <c r="H89" s="131">
        <v>1.05</v>
      </c>
      <c r="I89" s="131">
        <v>7.0000000000000007E-2</v>
      </c>
      <c r="J89" s="132">
        <v>39870</v>
      </c>
      <c r="K89" s="133" t="s">
        <v>458</v>
      </c>
      <c r="L89" s="108">
        <f t="shared" si="1"/>
        <v>0.12727272727272729</v>
      </c>
      <c r="M89" s="115"/>
      <c r="N89" s="133"/>
      <c r="O89" s="115"/>
      <c r="P89" s="115"/>
      <c r="Q89" s="116"/>
      <c r="R89" s="116"/>
      <c r="S89" s="117"/>
      <c r="T89" s="115"/>
      <c r="U89" s="116"/>
      <c r="V89" s="116"/>
      <c r="W89" s="133"/>
      <c r="X89" s="115"/>
      <c r="Y89" s="133"/>
    </row>
    <row r="90" spans="1:25" ht="17" customHeight="1">
      <c r="A90" s="131" t="s">
        <v>795</v>
      </c>
      <c r="B90" s="131" t="s">
        <v>169</v>
      </c>
      <c r="C90" s="131">
        <v>4331.7299999999996</v>
      </c>
      <c r="D90" s="131">
        <v>1.28</v>
      </c>
      <c r="E90" s="131">
        <v>1.26</v>
      </c>
      <c r="F90" s="131">
        <v>7.7</v>
      </c>
      <c r="G90" s="131">
        <v>0.14000000000000001</v>
      </c>
      <c r="H90" s="131">
        <v>0.98</v>
      </c>
      <c r="I90" s="131">
        <v>0.01</v>
      </c>
      <c r="J90" s="132">
        <v>39468</v>
      </c>
      <c r="K90" s="133" t="s">
        <v>458</v>
      </c>
      <c r="L90" s="108">
        <f t="shared" si="1"/>
        <v>0.12727272727272726</v>
      </c>
      <c r="M90" s="115"/>
      <c r="N90" s="133"/>
      <c r="O90" s="115"/>
      <c r="P90" s="115"/>
      <c r="Q90" s="116"/>
      <c r="R90" s="116"/>
      <c r="S90" s="117"/>
      <c r="T90" s="115"/>
      <c r="U90" s="116"/>
      <c r="V90" s="116"/>
      <c r="W90" s="133"/>
      <c r="X90" s="115"/>
      <c r="Y90" s="133"/>
    </row>
    <row r="91" spans="1:25" ht="17" customHeight="1">
      <c r="A91" s="131" t="s">
        <v>1079</v>
      </c>
      <c r="B91" s="131" t="s">
        <v>1080</v>
      </c>
      <c r="C91" s="131">
        <v>3409.05</v>
      </c>
      <c r="D91" s="131">
        <v>3.24</v>
      </c>
      <c r="E91" s="131">
        <v>8.58</v>
      </c>
      <c r="F91" s="131">
        <v>59.56</v>
      </c>
      <c r="G91" s="131">
        <v>0.53</v>
      </c>
      <c r="H91" s="131">
        <v>7.56</v>
      </c>
      <c r="I91" s="131">
        <v>0.71</v>
      </c>
      <c r="J91" s="132">
        <v>42024</v>
      </c>
      <c r="K91" s="133" t="s">
        <v>458</v>
      </c>
      <c r="L91" s="108">
        <f t="shared" si="1"/>
        <v>0.12693082605775688</v>
      </c>
      <c r="M91" s="115"/>
      <c r="N91" s="133"/>
      <c r="O91" s="115"/>
      <c r="P91" s="115"/>
      <c r="Q91" s="116"/>
      <c r="R91" s="115"/>
      <c r="S91" s="117"/>
      <c r="T91" s="115"/>
      <c r="U91" s="116"/>
      <c r="V91" s="116"/>
      <c r="W91" s="133"/>
      <c r="X91" s="115"/>
      <c r="Y91" s="133"/>
    </row>
    <row r="92" spans="1:25" ht="17" customHeight="1">
      <c r="A92" s="131" t="s">
        <v>1029</v>
      </c>
      <c r="B92" s="131" t="s">
        <v>1030</v>
      </c>
      <c r="C92" s="131">
        <v>6820.1</v>
      </c>
      <c r="D92" s="131">
        <v>0.39</v>
      </c>
      <c r="E92" s="131">
        <v>2.61</v>
      </c>
      <c r="F92" s="131">
        <v>14.28</v>
      </c>
      <c r="G92" s="131">
        <v>0.36</v>
      </c>
      <c r="H92" s="131">
        <v>1.81</v>
      </c>
      <c r="I92" s="131">
        <v>0.33</v>
      </c>
      <c r="J92" s="132">
        <v>40121</v>
      </c>
      <c r="K92" s="133" t="s">
        <v>458</v>
      </c>
      <c r="L92" s="108">
        <f t="shared" si="1"/>
        <v>0.12675070028011207</v>
      </c>
      <c r="M92" s="115"/>
      <c r="N92" s="133"/>
      <c r="O92" s="115"/>
      <c r="P92" s="115"/>
      <c r="Q92" s="116"/>
      <c r="R92" s="116"/>
      <c r="S92" s="117"/>
      <c r="T92" s="115"/>
      <c r="U92" s="116"/>
      <c r="V92" s="116"/>
      <c r="W92" s="133"/>
      <c r="X92" s="115"/>
      <c r="Y92" s="133"/>
    </row>
    <row r="93" spans="1:25" ht="17" customHeight="1">
      <c r="A93" s="131" t="s">
        <v>912</v>
      </c>
      <c r="B93" s="131" t="s">
        <v>68</v>
      </c>
      <c r="C93" s="131">
        <v>6226.46</v>
      </c>
      <c r="D93" s="131">
        <v>0.76</v>
      </c>
      <c r="E93" s="131">
        <v>-0.39</v>
      </c>
      <c r="F93" s="131">
        <v>8.76</v>
      </c>
      <c r="G93" s="131">
        <v>0.64</v>
      </c>
      <c r="H93" s="131">
        <v>1.1100000000000001</v>
      </c>
      <c r="I93" s="131">
        <v>0.22</v>
      </c>
      <c r="J93" s="132">
        <v>40757</v>
      </c>
      <c r="K93" s="133" t="s">
        <v>458</v>
      </c>
      <c r="L93" s="108">
        <f t="shared" si="1"/>
        <v>0.12671232876712329</v>
      </c>
      <c r="M93" s="115"/>
      <c r="N93" s="133"/>
      <c r="O93" s="115"/>
      <c r="P93" s="115"/>
      <c r="Q93" s="116"/>
      <c r="R93" s="116"/>
      <c r="S93" s="117"/>
      <c r="T93" s="115"/>
      <c r="U93" s="116"/>
      <c r="V93" s="116"/>
      <c r="W93" s="133"/>
      <c r="X93" s="115"/>
      <c r="Y93" s="133"/>
    </row>
    <row r="94" spans="1:25" ht="17" customHeight="1">
      <c r="A94" s="131" t="s">
        <v>1110</v>
      </c>
      <c r="B94" s="131" t="s">
        <v>164</v>
      </c>
      <c r="C94" s="131">
        <v>11150.36</v>
      </c>
      <c r="D94" s="131">
        <v>1.34</v>
      </c>
      <c r="E94" s="131">
        <v>6.39</v>
      </c>
      <c r="F94" s="131">
        <v>40.79</v>
      </c>
      <c r="G94" s="131">
        <v>0.85</v>
      </c>
      <c r="H94" s="131">
        <v>5.16</v>
      </c>
      <c r="I94" s="131">
        <v>0.85</v>
      </c>
      <c r="J94" s="132">
        <v>41211</v>
      </c>
      <c r="K94" s="133" t="s">
        <v>458</v>
      </c>
      <c r="L94" s="108">
        <f t="shared" si="1"/>
        <v>0.12650159352782545</v>
      </c>
      <c r="M94" s="115"/>
      <c r="N94" s="133"/>
      <c r="O94" s="115"/>
      <c r="P94" s="115"/>
      <c r="Q94" s="116"/>
      <c r="R94" s="115"/>
      <c r="S94" s="117"/>
      <c r="T94" s="115"/>
      <c r="U94" s="116"/>
      <c r="V94" s="116"/>
      <c r="W94" s="133"/>
      <c r="X94" s="115"/>
      <c r="Y94" s="133"/>
    </row>
    <row r="95" spans="1:25" ht="17" customHeight="1">
      <c r="A95" s="131" t="s">
        <v>895</v>
      </c>
      <c r="B95" s="131" t="s">
        <v>896</v>
      </c>
      <c r="C95" s="131">
        <v>5760.04</v>
      </c>
      <c r="D95" s="131">
        <v>1</v>
      </c>
      <c r="E95" s="131">
        <v>0.16</v>
      </c>
      <c r="F95" s="131">
        <v>8.23</v>
      </c>
      <c r="G95" s="131">
        <v>0.5</v>
      </c>
      <c r="H95" s="131">
        <v>1.04</v>
      </c>
      <c r="I95" s="131">
        <v>0.16</v>
      </c>
      <c r="J95" s="132">
        <v>39426</v>
      </c>
      <c r="K95" s="133" t="s">
        <v>458</v>
      </c>
      <c r="L95" s="108">
        <f t="shared" si="1"/>
        <v>0.12636695018226002</v>
      </c>
      <c r="M95" s="115"/>
      <c r="N95" s="133"/>
      <c r="O95" s="115"/>
      <c r="P95" s="115"/>
      <c r="Q95" s="116"/>
      <c r="R95" s="116"/>
      <c r="S95" s="117"/>
      <c r="T95" s="115"/>
      <c r="U95" s="116"/>
      <c r="V95" s="116"/>
      <c r="W95" s="133"/>
      <c r="X95" s="115"/>
      <c r="Y95" s="133"/>
    </row>
    <row r="96" spans="1:25" ht="17" customHeight="1">
      <c r="A96" s="131" t="s">
        <v>1065</v>
      </c>
      <c r="B96" s="131" t="s">
        <v>1066</v>
      </c>
      <c r="C96" s="131">
        <v>7701.93</v>
      </c>
      <c r="D96" s="131">
        <v>0.77</v>
      </c>
      <c r="E96" s="131">
        <v>2.95</v>
      </c>
      <c r="F96" s="131">
        <v>19.100000000000001</v>
      </c>
      <c r="G96" s="131">
        <v>0.51</v>
      </c>
      <c r="H96" s="131">
        <v>2.41</v>
      </c>
      <c r="I96" s="131">
        <v>0.66</v>
      </c>
      <c r="J96" s="132">
        <v>40308</v>
      </c>
      <c r="K96" s="133" t="s">
        <v>458</v>
      </c>
      <c r="L96" s="108">
        <f t="shared" si="1"/>
        <v>0.12617801047120419</v>
      </c>
      <c r="M96" s="115"/>
      <c r="N96" s="133"/>
      <c r="O96" s="115"/>
      <c r="P96" s="115"/>
      <c r="Q96" s="116"/>
      <c r="R96" s="116"/>
      <c r="S96" s="117"/>
      <c r="T96" s="115"/>
      <c r="U96" s="116"/>
      <c r="V96" s="116"/>
      <c r="W96" s="133"/>
      <c r="X96" s="115"/>
      <c r="Y96" s="133"/>
    </row>
    <row r="97" spans="1:25" ht="17" customHeight="1">
      <c r="A97" s="131" t="s">
        <v>1011</v>
      </c>
      <c r="B97" s="131" t="s">
        <v>1012</v>
      </c>
      <c r="C97" s="131">
        <v>3026.5</v>
      </c>
      <c r="D97" s="131">
        <v>0.81</v>
      </c>
      <c r="E97" s="131">
        <v>2.97</v>
      </c>
      <c r="F97" s="131">
        <v>11.27</v>
      </c>
      <c r="G97" s="131">
        <v>0.65</v>
      </c>
      <c r="H97" s="131">
        <v>1.42</v>
      </c>
      <c r="I97" s="131">
        <v>0.51</v>
      </c>
      <c r="J97" s="132">
        <v>40514</v>
      </c>
      <c r="K97" s="133" t="s">
        <v>458</v>
      </c>
      <c r="L97" s="108">
        <f t="shared" si="1"/>
        <v>0.12599822537710736</v>
      </c>
      <c r="M97" s="115"/>
      <c r="N97" s="133"/>
      <c r="O97" s="115"/>
      <c r="P97" s="115"/>
      <c r="Q97" s="116"/>
      <c r="R97" s="115"/>
      <c r="S97" s="117"/>
      <c r="T97" s="115"/>
      <c r="U97" s="116"/>
      <c r="V97" s="116"/>
      <c r="W97" s="133"/>
      <c r="X97" s="115"/>
      <c r="Y97" s="133"/>
    </row>
    <row r="98" spans="1:25" ht="17" customHeight="1">
      <c r="A98" s="131" t="s">
        <v>981</v>
      </c>
      <c r="B98" s="131" t="s">
        <v>982</v>
      </c>
      <c r="C98" s="131">
        <v>4958.09</v>
      </c>
      <c r="D98" s="131">
        <v>0.56999999999999995</v>
      </c>
      <c r="E98" s="131">
        <v>1.1100000000000001</v>
      </c>
      <c r="F98" s="131">
        <v>11.08</v>
      </c>
      <c r="G98" s="131">
        <v>0.41</v>
      </c>
      <c r="H98" s="131">
        <v>1.39</v>
      </c>
      <c r="I98" s="131">
        <v>0.28999999999999998</v>
      </c>
      <c r="J98" s="132">
        <v>38356</v>
      </c>
      <c r="K98" s="133" t="s">
        <v>458</v>
      </c>
      <c r="L98" s="108">
        <f t="shared" si="1"/>
        <v>0.12545126353790612</v>
      </c>
      <c r="M98" s="115"/>
      <c r="N98" s="133"/>
      <c r="O98" s="115"/>
      <c r="P98" s="115"/>
      <c r="Q98" s="116"/>
      <c r="R98" s="116"/>
      <c r="S98" s="117"/>
      <c r="T98" s="115"/>
      <c r="U98" s="116"/>
      <c r="V98" s="116"/>
      <c r="W98" s="133"/>
      <c r="X98" s="115"/>
      <c r="Y98" s="133"/>
    </row>
    <row r="99" spans="1:25" ht="17" customHeight="1">
      <c r="A99" s="131" t="s">
        <v>969</v>
      </c>
      <c r="B99" s="131" t="s">
        <v>970</v>
      </c>
      <c r="C99" s="131">
        <v>3123.47</v>
      </c>
      <c r="D99" s="131">
        <v>2.31</v>
      </c>
      <c r="E99" s="131">
        <v>12.53</v>
      </c>
      <c r="F99" s="131">
        <v>31.17</v>
      </c>
      <c r="G99" s="131">
        <v>0.39</v>
      </c>
      <c r="H99" s="131">
        <v>3.91</v>
      </c>
      <c r="I99" s="131">
        <v>0.52</v>
      </c>
      <c r="J99" s="132">
        <v>41899</v>
      </c>
      <c r="K99" s="133" t="s">
        <v>458</v>
      </c>
      <c r="L99" s="108">
        <f t="shared" si="1"/>
        <v>0.12544112929098492</v>
      </c>
      <c r="M99" s="115"/>
      <c r="N99" s="133"/>
      <c r="O99" s="115"/>
      <c r="P99" s="115"/>
      <c r="Q99" s="116"/>
      <c r="R99" s="116"/>
      <c r="S99" s="117"/>
      <c r="T99" s="115"/>
      <c r="U99" s="116"/>
      <c r="V99" s="116"/>
      <c r="W99" s="133"/>
      <c r="X99" s="115"/>
      <c r="Y99" s="133"/>
    </row>
    <row r="100" spans="1:25" ht="17" customHeight="1">
      <c r="A100" s="131" t="s">
        <v>806</v>
      </c>
      <c r="B100" s="131" t="s">
        <v>90</v>
      </c>
      <c r="C100" s="131">
        <v>6775.33</v>
      </c>
      <c r="D100" s="131">
        <v>0.51</v>
      </c>
      <c r="E100" s="131">
        <v>-0.72</v>
      </c>
      <c r="F100" s="131">
        <v>6.63</v>
      </c>
      <c r="G100" s="131">
        <v>0.64</v>
      </c>
      <c r="H100" s="131">
        <v>0.83</v>
      </c>
      <c r="I100" s="131">
        <v>0.02</v>
      </c>
      <c r="J100" s="132">
        <v>41470</v>
      </c>
      <c r="K100" s="133" t="s">
        <v>458</v>
      </c>
      <c r="L100" s="108">
        <f t="shared" si="1"/>
        <v>0.12518853695324283</v>
      </c>
      <c r="M100" s="115"/>
      <c r="N100" s="133"/>
      <c r="O100" s="115"/>
      <c r="P100" s="115"/>
      <c r="Q100" s="116"/>
      <c r="R100" s="116"/>
      <c r="S100" s="117"/>
      <c r="T100" s="115"/>
      <c r="U100" s="116"/>
      <c r="V100" s="116"/>
      <c r="W100" s="133"/>
      <c r="X100" s="115"/>
      <c r="Y100" s="133"/>
    </row>
    <row r="101" spans="1:25" ht="17" customHeight="1">
      <c r="A101" s="131" t="s">
        <v>961</v>
      </c>
      <c r="B101" s="131" t="s">
        <v>962</v>
      </c>
      <c r="C101" s="131">
        <v>2931.54</v>
      </c>
      <c r="D101" s="131">
        <v>2.2799999999999998</v>
      </c>
      <c r="E101" s="131">
        <v>11.56</v>
      </c>
      <c r="F101" s="131">
        <v>28</v>
      </c>
      <c r="G101" s="131">
        <v>0.88</v>
      </c>
      <c r="H101" s="131">
        <v>3.49</v>
      </c>
      <c r="I101" s="131">
        <v>0.75</v>
      </c>
      <c r="J101" s="132">
        <v>42160</v>
      </c>
      <c r="K101" s="133" t="s">
        <v>458</v>
      </c>
      <c r="L101" s="108">
        <f t="shared" si="1"/>
        <v>0.12464285714285715</v>
      </c>
      <c r="M101" s="115"/>
      <c r="N101" s="133"/>
      <c r="O101" s="115"/>
      <c r="P101" s="115"/>
      <c r="Q101" s="116"/>
      <c r="R101" s="116"/>
      <c r="S101" s="117"/>
      <c r="T101" s="115"/>
      <c r="U101" s="116"/>
      <c r="V101" s="116"/>
      <c r="W101" s="133"/>
      <c r="X101" s="115"/>
      <c r="Y101" s="133"/>
    </row>
    <row r="102" spans="1:25" ht="17" customHeight="1">
      <c r="A102" s="131" t="s">
        <v>1037</v>
      </c>
      <c r="B102" s="131" t="s">
        <v>1038</v>
      </c>
      <c r="C102" s="131">
        <v>10523.53</v>
      </c>
      <c r="D102" s="131">
        <v>1.88</v>
      </c>
      <c r="E102" s="131">
        <v>6.06</v>
      </c>
      <c r="F102" s="131">
        <v>37.32</v>
      </c>
      <c r="G102" s="131">
        <v>0.87</v>
      </c>
      <c r="H102" s="131">
        <v>4.6399999999999997</v>
      </c>
      <c r="I102" s="131">
        <v>0.74</v>
      </c>
      <c r="J102" s="132">
        <v>41010</v>
      </c>
      <c r="K102" s="133" t="s">
        <v>458</v>
      </c>
      <c r="L102" s="108">
        <f t="shared" si="1"/>
        <v>0.12433011789924972</v>
      </c>
      <c r="M102" s="115"/>
      <c r="N102" s="133"/>
      <c r="O102" s="115"/>
      <c r="P102" s="115"/>
      <c r="Q102" s="116"/>
      <c r="R102" s="116"/>
      <c r="S102" s="117"/>
      <c r="T102" s="115"/>
      <c r="U102" s="116"/>
      <c r="V102" s="116"/>
      <c r="W102" s="133"/>
      <c r="X102" s="115"/>
      <c r="Y102" s="133"/>
    </row>
    <row r="103" spans="1:25" ht="17" customHeight="1">
      <c r="A103" s="131" t="s">
        <v>1001</v>
      </c>
      <c r="B103" s="131" t="s">
        <v>1002</v>
      </c>
      <c r="C103" s="131">
        <v>2553.7199999999998</v>
      </c>
      <c r="D103" s="131">
        <v>0.52</v>
      </c>
      <c r="E103" s="131">
        <v>0.31</v>
      </c>
      <c r="F103" s="131">
        <v>10.54</v>
      </c>
      <c r="G103" s="131">
        <v>0.33</v>
      </c>
      <c r="H103" s="131">
        <v>1.31</v>
      </c>
      <c r="I103" s="131">
        <v>0.17</v>
      </c>
      <c r="J103" s="132">
        <v>39926</v>
      </c>
      <c r="K103" s="133" t="s">
        <v>458</v>
      </c>
      <c r="L103" s="108">
        <f t="shared" si="1"/>
        <v>0.12428842504743834</v>
      </c>
      <c r="M103" s="115"/>
      <c r="N103" s="133"/>
      <c r="O103" s="115"/>
      <c r="P103" s="115"/>
      <c r="Q103" s="116"/>
      <c r="R103" s="116"/>
      <c r="S103" s="117"/>
      <c r="T103" s="115"/>
      <c r="U103" s="116"/>
      <c r="V103" s="116"/>
      <c r="W103" s="133"/>
      <c r="X103" s="115"/>
      <c r="Y103" s="133"/>
    </row>
    <row r="104" spans="1:25" ht="17" customHeight="1">
      <c r="A104" s="131" t="s">
        <v>1046</v>
      </c>
      <c r="B104" s="131" t="s">
        <v>1047</v>
      </c>
      <c r="C104" s="131">
        <v>11288.57</v>
      </c>
      <c r="D104" s="131">
        <v>1.57</v>
      </c>
      <c r="E104" s="131">
        <v>1.51</v>
      </c>
      <c r="F104" s="131">
        <v>16.739999999999998</v>
      </c>
      <c r="G104" s="131">
        <v>0.27</v>
      </c>
      <c r="H104" s="131">
        <v>2.08</v>
      </c>
      <c r="I104" s="131">
        <v>0.68</v>
      </c>
      <c r="J104" s="132">
        <v>41264</v>
      </c>
      <c r="K104" s="133" t="s">
        <v>458</v>
      </c>
      <c r="L104" s="108">
        <f t="shared" si="1"/>
        <v>0.12425328554360814</v>
      </c>
      <c r="M104" s="115"/>
      <c r="N104" s="133"/>
      <c r="O104" s="115"/>
      <c r="P104" s="115"/>
      <c r="Q104" s="116"/>
      <c r="R104" s="116"/>
      <c r="S104" s="117"/>
      <c r="T104" s="115"/>
      <c r="U104" s="116"/>
      <c r="V104" s="116"/>
      <c r="W104" s="133"/>
      <c r="X104" s="115"/>
      <c r="Y104" s="133"/>
    </row>
    <row r="105" spans="1:25" ht="17" customHeight="1">
      <c r="A105" s="131" t="s">
        <v>955</v>
      </c>
      <c r="B105" s="131" t="s">
        <v>956</v>
      </c>
      <c r="C105" s="131">
        <v>4354.8100000000004</v>
      </c>
      <c r="D105" s="131">
        <v>0.47</v>
      </c>
      <c r="E105" s="131">
        <v>0.85</v>
      </c>
      <c r="F105" s="131">
        <v>11.35</v>
      </c>
      <c r="G105" s="131">
        <v>0.41</v>
      </c>
      <c r="H105" s="131">
        <v>1.41</v>
      </c>
      <c r="I105" s="131">
        <v>0.31</v>
      </c>
      <c r="J105" s="132">
        <v>38721</v>
      </c>
      <c r="K105" s="133" t="s">
        <v>458</v>
      </c>
      <c r="L105" s="108">
        <f t="shared" si="1"/>
        <v>0.12422907488986784</v>
      </c>
      <c r="M105" s="115"/>
      <c r="N105" s="133"/>
      <c r="O105" s="115"/>
      <c r="P105" s="115"/>
      <c r="Q105" s="116"/>
      <c r="R105" s="116"/>
      <c r="S105" s="117"/>
      <c r="T105" s="115"/>
      <c r="U105" s="116"/>
      <c r="V105" s="116"/>
      <c r="W105" s="133"/>
      <c r="X105" s="115"/>
      <c r="Y105" s="133"/>
    </row>
    <row r="106" spans="1:25" ht="17" customHeight="1">
      <c r="A106" s="131" t="s">
        <v>1097</v>
      </c>
      <c r="B106" s="131" t="s">
        <v>1098</v>
      </c>
      <c r="C106" s="131">
        <v>3079.87</v>
      </c>
      <c r="D106" s="131">
        <v>0.71</v>
      </c>
      <c r="E106" s="131">
        <v>2.74</v>
      </c>
      <c r="F106" s="131">
        <v>21.02</v>
      </c>
      <c r="G106" s="131">
        <v>0.68</v>
      </c>
      <c r="H106" s="131">
        <v>2.6</v>
      </c>
      <c r="I106" s="131">
        <v>0.77</v>
      </c>
      <c r="J106" s="132">
        <v>40212</v>
      </c>
      <c r="K106" s="133" t="s">
        <v>458</v>
      </c>
      <c r="L106" s="108">
        <f t="shared" si="1"/>
        <v>0.12369172216936251</v>
      </c>
      <c r="M106" s="115"/>
      <c r="N106" s="133"/>
      <c r="O106" s="115"/>
      <c r="P106" s="115"/>
      <c r="Q106" s="116"/>
      <c r="R106" s="116"/>
      <c r="S106" s="117"/>
      <c r="T106" s="115"/>
      <c r="U106" s="116"/>
      <c r="V106" s="116"/>
      <c r="W106" s="133"/>
      <c r="X106" s="115"/>
      <c r="Y106" s="133"/>
    </row>
    <row r="107" spans="1:25" ht="17" customHeight="1">
      <c r="A107" s="131" t="s">
        <v>807</v>
      </c>
      <c r="B107" s="131" t="s">
        <v>808</v>
      </c>
      <c r="C107" s="131">
        <v>4134.38</v>
      </c>
      <c r="D107" s="131">
        <v>-0.83</v>
      </c>
      <c r="E107" s="131">
        <v>0.01</v>
      </c>
      <c r="F107" s="131">
        <v>9.4700000000000006</v>
      </c>
      <c r="G107" s="131">
        <v>0.18</v>
      </c>
      <c r="H107" s="131">
        <v>1.17</v>
      </c>
      <c r="I107" s="131">
        <v>0.02</v>
      </c>
      <c r="J107" s="132">
        <v>40081</v>
      </c>
      <c r="K107" s="133" t="s">
        <v>458</v>
      </c>
      <c r="L107" s="108">
        <f t="shared" si="1"/>
        <v>0.12354804646251319</v>
      </c>
      <c r="M107" s="115"/>
      <c r="N107" s="133"/>
      <c r="O107" s="115"/>
      <c r="P107" s="115"/>
      <c r="Q107" s="116"/>
      <c r="R107" s="116"/>
      <c r="S107" s="117"/>
      <c r="T107" s="115"/>
      <c r="U107" s="116"/>
      <c r="V107" s="116"/>
      <c r="W107" s="133"/>
      <c r="X107" s="115"/>
      <c r="Y107" s="133"/>
    </row>
    <row r="108" spans="1:25" ht="17" customHeight="1">
      <c r="A108" s="131" t="s">
        <v>776</v>
      </c>
      <c r="B108" s="131" t="s">
        <v>777</v>
      </c>
      <c r="C108" s="131">
        <v>8722.43</v>
      </c>
      <c r="D108" s="131">
        <v>0.35</v>
      </c>
      <c r="E108" s="131">
        <v>2.85</v>
      </c>
      <c r="F108" s="131">
        <v>7.37</v>
      </c>
      <c r="G108" s="131">
        <v>0.21</v>
      </c>
      <c r="H108" s="131">
        <v>0.91</v>
      </c>
      <c r="I108" s="131">
        <v>0</v>
      </c>
      <c r="J108" s="132">
        <v>39086</v>
      </c>
      <c r="K108" s="133" t="s">
        <v>458</v>
      </c>
      <c r="L108" s="108">
        <f t="shared" si="1"/>
        <v>0.12347354138398915</v>
      </c>
      <c r="M108" s="115"/>
      <c r="N108" s="133"/>
      <c r="O108" s="115"/>
      <c r="P108" s="115"/>
      <c r="Q108" s="116"/>
      <c r="R108" s="116"/>
      <c r="S108" s="117"/>
      <c r="T108" s="115"/>
      <c r="U108" s="116"/>
      <c r="V108" s="116"/>
      <c r="W108" s="133"/>
      <c r="X108" s="115"/>
      <c r="Y108" s="133"/>
    </row>
    <row r="109" spans="1:25" ht="17" customHeight="1">
      <c r="A109" s="131" t="s">
        <v>959</v>
      </c>
      <c r="B109" s="131" t="s">
        <v>960</v>
      </c>
      <c r="C109" s="131">
        <v>6784.47</v>
      </c>
      <c r="D109" s="131">
        <v>1.05</v>
      </c>
      <c r="E109" s="131">
        <v>0.25</v>
      </c>
      <c r="F109" s="131">
        <v>8.68</v>
      </c>
      <c r="G109" s="131">
        <v>0.71</v>
      </c>
      <c r="H109" s="131">
        <v>1.07</v>
      </c>
      <c r="I109" s="131">
        <v>0.3</v>
      </c>
      <c r="J109" s="132">
        <v>41403</v>
      </c>
      <c r="K109" s="133" t="s">
        <v>458</v>
      </c>
      <c r="L109" s="108">
        <f t="shared" si="1"/>
        <v>0.12327188940092167</v>
      </c>
      <c r="M109" s="115"/>
      <c r="N109" s="133"/>
      <c r="O109" s="115"/>
      <c r="P109" s="115"/>
      <c r="Q109" s="116"/>
      <c r="R109" s="116"/>
      <c r="S109" s="117"/>
      <c r="T109" s="115"/>
      <c r="U109" s="116"/>
      <c r="V109" s="116"/>
      <c r="W109" s="133"/>
      <c r="X109" s="115"/>
      <c r="Y109" s="133"/>
    </row>
    <row r="110" spans="1:25" ht="17" customHeight="1">
      <c r="A110" s="131" t="s">
        <v>1138</v>
      </c>
      <c r="B110" s="131" t="s">
        <v>1139</v>
      </c>
      <c r="C110" s="131">
        <v>4618.1000000000004</v>
      </c>
      <c r="D110" s="131">
        <v>3.22</v>
      </c>
      <c r="E110" s="131">
        <v>13.25</v>
      </c>
      <c r="F110" s="131">
        <v>50.73</v>
      </c>
      <c r="G110" s="131">
        <v>0.93</v>
      </c>
      <c r="H110" s="131">
        <v>6.25</v>
      </c>
      <c r="I110" s="131">
        <v>1</v>
      </c>
      <c r="J110" s="132">
        <v>42221</v>
      </c>
      <c r="K110" s="133" t="s">
        <v>458</v>
      </c>
      <c r="L110" s="108">
        <f t="shared" si="1"/>
        <v>0.1232012615809186</v>
      </c>
      <c r="M110" s="115"/>
      <c r="N110" s="133"/>
      <c r="O110" s="115"/>
      <c r="P110" s="115"/>
      <c r="Q110" s="116"/>
      <c r="R110" s="115"/>
      <c r="S110" s="117"/>
      <c r="T110" s="115"/>
      <c r="U110" s="116"/>
      <c r="V110" s="116"/>
      <c r="W110" s="133"/>
      <c r="X110" s="115"/>
      <c r="Y110" s="133"/>
    </row>
    <row r="111" spans="1:25" ht="17" customHeight="1">
      <c r="A111" s="131" t="s">
        <v>1112</v>
      </c>
      <c r="B111" s="131" t="s">
        <v>1113</v>
      </c>
      <c r="C111" s="131">
        <v>7286.51</v>
      </c>
      <c r="D111" s="131">
        <v>1</v>
      </c>
      <c r="E111" s="131">
        <v>6.5</v>
      </c>
      <c r="F111" s="131">
        <v>45.71</v>
      </c>
      <c r="G111" s="131">
        <v>0.87</v>
      </c>
      <c r="H111" s="131">
        <v>5.63</v>
      </c>
      <c r="I111" s="131">
        <v>0.81</v>
      </c>
      <c r="J111" s="132">
        <v>42132</v>
      </c>
      <c r="K111" s="133" t="s">
        <v>458</v>
      </c>
      <c r="L111" s="108">
        <f t="shared" si="1"/>
        <v>0.12316779698096696</v>
      </c>
      <c r="M111" s="115"/>
      <c r="N111" s="133"/>
      <c r="O111" s="115"/>
      <c r="P111" s="115"/>
      <c r="Q111" s="116"/>
      <c r="R111" s="115"/>
      <c r="S111" s="117"/>
      <c r="T111" s="115"/>
      <c r="U111" s="116"/>
      <c r="V111" s="116"/>
      <c r="W111" s="133"/>
      <c r="X111" s="115"/>
      <c r="Y111" s="133"/>
    </row>
    <row r="112" spans="1:25" ht="17" customHeight="1">
      <c r="A112" s="131" t="s">
        <v>859</v>
      </c>
      <c r="B112" s="131" t="s">
        <v>29</v>
      </c>
      <c r="C112" s="131">
        <v>3065.99</v>
      </c>
      <c r="D112" s="131">
        <v>0.42</v>
      </c>
      <c r="E112" s="131">
        <v>0.09</v>
      </c>
      <c r="F112" s="131">
        <v>9.91</v>
      </c>
      <c r="G112" s="131">
        <v>0.28000000000000003</v>
      </c>
      <c r="H112" s="131">
        <v>1.22</v>
      </c>
      <c r="I112" s="131">
        <v>0.18</v>
      </c>
      <c r="J112" s="132">
        <v>37988</v>
      </c>
      <c r="K112" s="133" t="s">
        <v>458</v>
      </c>
      <c r="L112" s="108">
        <f t="shared" si="1"/>
        <v>0.12310797174571139</v>
      </c>
      <c r="M112" s="115"/>
      <c r="N112" s="133"/>
      <c r="O112" s="115"/>
      <c r="P112" s="115"/>
      <c r="Q112" s="116"/>
      <c r="R112" s="115"/>
      <c r="S112" s="117"/>
      <c r="T112" s="115"/>
      <c r="U112" s="116"/>
      <c r="V112" s="116"/>
      <c r="W112" s="133"/>
      <c r="X112" s="115"/>
      <c r="Y112" s="133"/>
    </row>
    <row r="113" spans="1:25" ht="17" customHeight="1">
      <c r="A113" s="131" t="s">
        <v>922</v>
      </c>
      <c r="B113" s="131" t="s">
        <v>923</v>
      </c>
      <c r="C113" s="131">
        <v>2477.46</v>
      </c>
      <c r="D113" s="131">
        <v>0.47</v>
      </c>
      <c r="E113" s="131">
        <v>0.81</v>
      </c>
      <c r="F113" s="131">
        <v>9.91</v>
      </c>
      <c r="G113" s="131">
        <v>0.5</v>
      </c>
      <c r="H113" s="131">
        <v>1.22</v>
      </c>
      <c r="I113" s="131">
        <v>0.32</v>
      </c>
      <c r="J113" s="132">
        <v>40547</v>
      </c>
      <c r="K113" s="133" t="s">
        <v>458</v>
      </c>
      <c r="L113" s="108">
        <f t="shared" si="1"/>
        <v>0.12310797174571139</v>
      </c>
      <c r="M113" s="115"/>
      <c r="N113" s="133"/>
      <c r="O113" s="115"/>
      <c r="P113" s="115"/>
      <c r="Q113" s="116"/>
      <c r="R113" s="116"/>
      <c r="S113" s="117"/>
      <c r="T113" s="115"/>
      <c r="U113" s="116"/>
      <c r="V113" s="116"/>
      <c r="W113" s="133"/>
      <c r="X113" s="115"/>
      <c r="Y113" s="133"/>
    </row>
    <row r="114" spans="1:25" ht="17" customHeight="1">
      <c r="A114" s="131" t="s">
        <v>1050</v>
      </c>
      <c r="B114" s="131" t="s">
        <v>1051</v>
      </c>
      <c r="C114" s="131">
        <v>3370</v>
      </c>
      <c r="D114" s="131">
        <v>0.72</v>
      </c>
      <c r="E114" s="131">
        <v>3.65</v>
      </c>
      <c r="F114" s="131">
        <v>12.06</v>
      </c>
      <c r="G114" s="131">
        <v>0.65</v>
      </c>
      <c r="H114" s="131">
        <v>1.48</v>
      </c>
      <c r="I114" s="131">
        <v>0.48</v>
      </c>
      <c r="J114" s="132">
        <v>40218</v>
      </c>
      <c r="K114" s="133" t="s">
        <v>458</v>
      </c>
      <c r="L114" s="108">
        <f t="shared" si="1"/>
        <v>0.12271973466003316</v>
      </c>
      <c r="M114" s="115"/>
      <c r="N114" s="133"/>
      <c r="O114" s="115"/>
      <c r="P114" s="115"/>
      <c r="Q114" s="116"/>
      <c r="R114" s="115"/>
      <c r="S114" s="117"/>
      <c r="T114" s="115"/>
      <c r="U114" s="116"/>
      <c r="V114" s="116"/>
      <c r="W114" s="133"/>
      <c r="X114" s="115"/>
      <c r="Y114" s="133"/>
    </row>
    <row r="115" spans="1:25" ht="17" customHeight="1">
      <c r="A115" s="131" t="s">
        <v>792</v>
      </c>
      <c r="B115" s="131" t="s">
        <v>150</v>
      </c>
      <c r="C115" s="131">
        <v>2782.94</v>
      </c>
      <c r="D115" s="131">
        <v>0.04</v>
      </c>
      <c r="E115" s="131">
        <v>1.1499999999999999</v>
      </c>
      <c r="F115" s="131">
        <v>7.09</v>
      </c>
      <c r="G115" s="131">
        <v>0.1</v>
      </c>
      <c r="H115" s="131">
        <v>0.87</v>
      </c>
      <c r="I115" s="131">
        <v>0</v>
      </c>
      <c r="J115" s="132">
        <v>38356</v>
      </c>
      <c r="K115" s="133" t="s">
        <v>458</v>
      </c>
      <c r="L115" s="108">
        <f t="shared" si="1"/>
        <v>0.1227080394922426</v>
      </c>
      <c r="M115" s="115"/>
      <c r="N115" s="133"/>
      <c r="O115" s="115"/>
      <c r="P115" s="115"/>
      <c r="Q115" s="116"/>
      <c r="R115" s="116"/>
      <c r="S115" s="117"/>
      <c r="T115" s="115"/>
      <c r="U115" s="116"/>
      <c r="V115" s="116"/>
      <c r="W115" s="133"/>
      <c r="X115" s="115"/>
      <c r="Y115" s="133"/>
    </row>
    <row r="116" spans="1:25" ht="17" customHeight="1">
      <c r="A116" s="131" t="s">
        <v>818</v>
      </c>
      <c r="B116" s="131" t="s">
        <v>819</v>
      </c>
      <c r="C116" s="131">
        <v>4164.49</v>
      </c>
      <c r="D116" s="131">
        <v>0.55000000000000004</v>
      </c>
      <c r="E116" s="131">
        <v>-0.24</v>
      </c>
      <c r="F116" s="131">
        <v>7.91</v>
      </c>
      <c r="G116" s="131">
        <v>0.3</v>
      </c>
      <c r="H116" s="131">
        <v>0.97</v>
      </c>
      <c r="I116" s="131">
        <v>0.02</v>
      </c>
      <c r="J116" s="132">
        <v>39822</v>
      </c>
      <c r="K116" s="133" t="s">
        <v>458</v>
      </c>
      <c r="L116" s="108">
        <f t="shared" si="1"/>
        <v>0.12262958280657395</v>
      </c>
      <c r="M116" s="115"/>
      <c r="N116" s="133"/>
      <c r="O116" s="115"/>
      <c r="P116" s="115"/>
      <c r="Q116" s="116"/>
      <c r="R116" s="116"/>
      <c r="S116" s="117"/>
      <c r="T116" s="115"/>
      <c r="U116" s="116"/>
      <c r="V116" s="116"/>
      <c r="W116" s="133"/>
      <c r="X116" s="115"/>
      <c r="Y116" s="133"/>
    </row>
    <row r="117" spans="1:25" ht="17" customHeight="1">
      <c r="A117" s="131" t="s">
        <v>512</v>
      </c>
      <c r="B117" s="131" t="s">
        <v>513</v>
      </c>
      <c r="C117" s="131">
        <v>2166.41</v>
      </c>
      <c r="D117" s="131">
        <v>1.5</v>
      </c>
      <c r="E117" s="131">
        <v>1.21</v>
      </c>
      <c r="F117" s="131">
        <v>16.03</v>
      </c>
      <c r="G117" s="131">
        <v>0.12</v>
      </c>
      <c r="H117" s="131">
        <v>1.94</v>
      </c>
      <c r="I117" s="131">
        <v>0.21</v>
      </c>
      <c r="J117" s="132">
        <v>36529</v>
      </c>
      <c r="K117" s="133" t="s">
        <v>458</v>
      </c>
      <c r="L117" s="108">
        <f t="shared" si="1"/>
        <v>0.12102308172177166</v>
      </c>
      <c r="M117" s="115"/>
      <c r="N117" s="133"/>
      <c r="O117" s="115"/>
      <c r="P117" s="115"/>
      <c r="Q117" s="116"/>
      <c r="R117" s="115"/>
      <c r="S117" s="117"/>
      <c r="T117" s="115"/>
      <c r="U117" s="116"/>
      <c r="V117" s="116"/>
      <c r="W117" s="133"/>
      <c r="X117" s="115"/>
      <c r="Y117" s="133"/>
    </row>
    <row r="118" spans="1:25" ht="17" customHeight="1">
      <c r="A118" s="131" t="s">
        <v>853</v>
      </c>
      <c r="B118" s="131" t="s">
        <v>854</v>
      </c>
      <c r="C118" s="131">
        <v>3511.08</v>
      </c>
      <c r="D118" s="131">
        <v>0.73</v>
      </c>
      <c r="E118" s="131">
        <v>0.28999999999999998</v>
      </c>
      <c r="F118" s="131">
        <v>8.85</v>
      </c>
      <c r="G118" s="131">
        <v>0.4</v>
      </c>
      <c r="H118" s="131">
        <v>1.07</v>
      </c>
      <c r="I118" s="131">
        <v>0.14000000000000001</v>
      </c>
      <c r="J118" s="132">
        <v>40212</v>
      </c>
      <c r="K118" s="133" t="s">
        <v>458</v>
      </c>
      <c r="L118" s="108">
        <f t="shared" si="1"/>
        <v>0.12090395480225991</v>
      </c>
      <c r="M118" s="115"/>
      <c r="N118" s="133"/>
      <c r="O118" s="115"/>
      <c r="P118" s="115"/>
      <c r="Q118" s="116"/>
      <c r="R118" s="116"/>
      <c r="S118" s="117"/>
      <c r="T118" s="115"/>
      <c r="U118" s="116"/>
      <c r="V118" s="116"/>
      <c r="W118" s="133"/>
      <c r="X118" s="115"/>
      <c r="Y118" s="133"/>
    </row>
    <row r="119" spans="1:25" ht="17" customHeight="1">
      <c r="A119" s="131" t="s">
        <v>798</v>
      </c>
      <c r="B119" s="131" t="s">
        <v>799</v>
      </c>
      <c r="C119" s="131">
        <v>6042.28</v>
      </c>
      <c r="D119" s="131">
        <v>0.39</v>
      </c>
      <c r="E119" s="131">
        <v>1.65</v>
      </c>
      <c r="F119" s="131">
        <v>17</v>
      </c>
      <c r="G119" s="131">
        <v>0.01</v>
      </c>
      <c r="H119" s="131">
        <v>2.0499999999999998</v>
      </c>
      <c r="I119" s="131">
        <v>0.01</v>
      </c>
      <c r="J119" s="132">
        <v>40298</v>
      </c>
      <c r="K119" s="133" t="s">
        <v>458</v>
      </c>
      <c r="L119" s="108">
        <f t="shared" si="1"/>
        <v>0.12058823529411763</v>
      </c>
      <c r="M119" s="115"/>
      <c r="N119" s="133"/>
      <c r="O119" s="115"/>
      <c r="P119" s="115"/>
      <c r="Q119" s="116"/>
      <c r="R119" s="115"/>
      <c r="S119" s="117"/>
      <c r="T119" s="115"/>
      <c r="U119" s="116"/>
      <c r="V119" s="116"/>
      <c r="W119" s="133"/>
      <c r="X119" s="115"/>
      <c r="Y119" s="133"/>
    </row>
    <row r="120" spans="1:25" ht="17" customHeight="1">
      <c r="A120" s="131" t="s">
        <v>1031</v>
      </c>
      <c r="B120" s="131" t="s">
        <v>1032</v>
      </c>
      <c r="C120" s="131">
        <v>4761.34</v>
      </c>
      <c r="D120" s="131">
        <v>1.41</v>
      </c>
      <c r="E120" s="131">
        <v>6.42</v>
      </c>
      <c r="F120" s="131">
        <v>24.56</v>
      </c>
      <c r="G120" s="131">
        <v>0.5</v>
      </c>
      <c r="H120" s="131">
        <v>2.96</v>
      </c>
      <c r="I120" s="131">
        <v>0.56000000000000005</v>
      </c>
      <c r="J120" s="132">
        <v>40121</v>
      </c>
      <c r="K120" s="133" t="s">
        <v>458</v>
      </c>
      <c r="L120" s="108">
        <f t="shared" si="1"/>
        <v>0.12052117263843648</v>
      </c>
      <c r="M120" s="115"/>
      <c r="N120" s="133"/>
      <c r="O120" s="115"/>
      <c r="P120" s="115"/>
      <c r="Q120" s="116"/>
      <c r="R120" s="116"/>
      <c r="S120" s="117"/>
      <c r="T120" s="115"/>
      <c r="U120" s="116"/>
      <c r="V120" s="116"/>
      <c r="W120" s="133"/>
      <c r="X120" s="115"/>
      <c r="Y120" s="133"/>
    </row>
    <row r="121" spans="1:25" ht="17" customHeight="1">
      <c r="A121" s="131" t="s">
        <v>939</v>
      </c>
      <c r="B121" s="131" t="s">
        <v>36</v>
      </c>
      <c r="C121" s="131">
        <v>4185.83</v>
      </c>
      <c r="D121" s="131">
        <v>0.75</v>
      </c>
      <c r="E121" s="131">
        <v>2.1800000000000002</v>
      </c>
      <c r="F121" s="131">
        <v>12.62</v>
      </c>
      <c r="G121" s="131">
        <v>0.38</v>
      </c>
      <c r="H121" s="131">
        <v>1.52</v>
      </c>
      <c r="I121" s="131">
        <v>0.3</v>
      </c>
      <c r="J121" s="132">
        <v>38450</v>
      </c>
      <c r="K121" s="133" t="s">
        <v>458</v>
      </c>
      <c r="L121" s="108">
        <f t="shared" si="1"/>
        <v>0.12044374009508717</v>
      </c>
      <c r="M121" s="115"/>
      <c r="N121" s="133"/>
      <c r="O121" s="115"/>
      <c r="P121" s="115"/>
      <c r="Q121" s="116"/>
      <c r="R121" s="116"/>
      <c r="S121" s="117"/>
      <c r="T121" s="115"/>
      <c r="U121" s="116"/>
      <c r="V121" s="116"/>
      <c r="W121" s="133"/>
      <c r="X121" s="115"/>
      <c r="Y121" s="133"/>
    </row>
    <row r="122" spans="1:25" ht="17" customHeight="1">
      <c r="A122" s="131" t="s">
        <v>1043</v>
      </c>
      <c r="B122" s="131" t="s">
        <v>1044</v>
      </c>
      <c r="C122" s="131">
        <v>1185.0899999999999</v>
      </c>
      <c r="D122" s="131">
        <v>1.2</v>
      </c>
      <c r="E122" s="131">
        <v>4.37</v>
      </c>
      <c r="F122" s="131">
        <v>12.62</v>
      </c>
      <c r="G122" s="131">
        <v>0.56000000000000005</v>
      </c>
      <c r="H122" s="131">
        <v>1.52</v>
      </c>
      <c r="I122" s="131">
        <v>0.61</v>
      </c>
      <c r="J122" s="132">
        <v>41456</v>
      </c>
      <c r="K122" s="133" t="s">
        <v>458</v>
      </c>
      <c r="L122" s="108">
        <f t="shared" si="1"/>
        <v>0.12044374009508717</v>
      </c>
      <c r="M122" s="115"/>
      <c r="N122" s="133"/>
      <c r="O122" s="115"/>
      <c r="P122" s="115"/>
      <c r="Q122" s="116"/>
      <c r="R122" s="115"/>
      <c r="S122" s="117"/>
      <c r="T122" s="115"/>
      <c r="U122" s="116"/>
      <c r="V122" s="116"/>
      <c r="W122" s="133"/>
      <c r="X122" s="115"/>
      <c r="Y122" s="133"/>
    </row>
    <row r="123" spans="1:25" ht="17" customHeight="1">
      <c r="A123" s="131" t="s">
        <v>832</v>
      </c>
      <c r="B123" s="131" t="s">
        <v>833</v>
      </c>
      <c r="C123" s="131">
        <v>4183.6099999999997</v>
      </c>
      <c r="D123" s="131">
        <v>0.95</v>
      </c>
      <c r="E123" s="131">
        <v>3.12</v>
      </c>
      <c r="F123" s="131">
        <v>12.62</v>
      </c>
      <c r="G123" s="131">
        <v>0.9</v>
      </c>
      <c r="H123" s="131">
        <v>1.52</v>
      </c>
      <c r="I123" s="131">
        <v>0.84</v>
      </c>
      <c r="J123" s="132">
        <v>43682</v>
      </c>
      <c r="K123" s="133" t="s">
        <v>458</v>
      </c>
      <c r="L123" s="108">
        <f t="shared" si="1"/>
        <v>0.12044374009508717</v>
      </c>
      <c r="M123" s="115"/>
      <c r="N123" s="133"/>
      <c r="O123" s="115"/>
      <c r="P123" s="115"/>
      <c r="Q123" s="116"/>
      <c r="R123" s="115"/>
      <c r="S123" s="117"/>
      <c r="T123" s="115"/>
      <c r="U123" s="116"/>
      <c r="V123" s="116"/>
      <c r="W123" s="133"/>
      <c r="X123" s="115"/>
      <c r="Y123" s="133"/>
    </row>
    <row r="124" spans="1:25" ht="17" customHeight="1">
      <c r="A124" s="131" t="s">
        <v>1048</v>
      </c>
      <c r="B124" s="131" t="s">
        <v>1049</v>
      </c>
      <c r="C124" s="131">
        <v>7304.31</v>
      </c>
      <c r="D124" s="131">
        <v>0.83</v>
      </c>
      <c r="E124" s="131">
        <v>3.3</v>
      </c>
      <c r="F124" s="131">
        <v>20.43</v>
      </c>
      <c r="G124" s="131">
        <v>0.49</v>
      </c>
      <c r="H124" s="131">
        <v>2.46</v>
      </c>
      <c r="I124" s="131">
        <v>0.61</v>
      </c>
      <c r="J124" s="132">
        <v>40308</v>
      </c>
      <c r="K124" s="133" t="s">
        <v>458</v>
      </c>
      <c r="L124" s="108">
        <f t="shared" si="1"/>
        <v>0.12041116005873716</v>
      </c>
      <c r="M124" s="115"/>
      <c r="N124" s="133"/>
      <c r="O124" s="115"/>
      <c r="P124" s="115"/>
      <c r="Q124" s="116"/>
      <c r="R124" s="116"/>
      <c r="S124" s="117"/>
      <c r="T124" s="115"/>
      <c r="U124" s="116"/>
      <c r="V124" s="116"/>
      <c r="W124" s="133"/>
      <c r="X124" s="115"/>
      <c r="Y124" s="133"/>
    </row>
    <row r="125" spans="1:25" ht="17" customHeight="1">
      <c r="A125" s="131" t="s">
        <v>1129</v>
      </c>
      <c r="B125" s="131" t="s">
        <v>153</v>
      </c>
      <c r="C125" s="131">
        <v>9785.6</v>
      </c>
      <c r="D125" s="131">
        <v>-0.24</v>
      </c>
      <c r="E125" s="131">
        <v>-2.76</v>
      </c>
      <c r="F125" s="131">
        <v>39.630000000000003</v>
      </c>
      <c r="G125" s="131">
        <v>0.98</v>
      </c>
      <c r="H125" s="131">
        <v>4.7699999999999996</v>
      </c>
      <c r="I125" s="131">
        <v>0.99</v>
      </c>
      <c r="J125" s="132">
        <v>43572</v>
      </c>
      <c r="K125" s="133" t="s">
        <v>458</v>
      </c>
      <c r="L125" s="108">
        <f t="shared" si="1"/>
        <v>0.12036336109008325</v>
      </c>
      <c r="M125" s="115"/>
      <c r="N125" s="133"/>
      <c r="O125" s="115"/>
      <c r="P125" s="115"/>
      <c r="Q125" s="116"/>
      <c r="R125" s="115"/>
      <c r="S125" s="117"/>
      <c r="T125" s="115"/>
      <c r="U125" s="116"/>
      <c r="V125" s="116"/>
      <c r="W125" s="133"/>
      <c r="X125" s="115"/>
      <c r="Y125" s="133"/>
    </row>
    <row r="126" spans="1:25" ht="17" customHeight="1">
      <c r="A126" s="131" t="s">
        <v>997</v>
      </c>
      <c r="B126" s="131" t="s">
        <v>998</v>
      </c>
      <c r="C126" s="131">
        <v>1068.79</v>
      </c>
      <c r="D126" s="131">
        <v>1.54</v>
      </c>
      <c r="E126" s="131">
        <v>0.82</v>
      </c>
      <c r="F126" s="131">
        <v>17.34</v>
      </c>
      <c r="G126" s="131">
        <v>0.36</v>
      </c>
      <c r="H126" s="131">
        <v>2.08</v>
      </c>
      <c r="I126" s="131">
        <v>0.64</v>
      </c>
      <c r="J126" s="132">
        <v>42037</v>
      </c>
      <c r="K126" s="133" t="s">
        <v>458</v>
      </c>
      <c r="L126" s="108">
        <f t="shared" si="1"/>
        <v>0.11995386389850059</v>
      </c>
      <c r="M126" s="115"/>
      <c r="N126" s="133"/>
      <c r="O126" s="115"/>
      <c r="P126" s="115"/>
      <c r="Q126" s="116"/>
      <c r="R126" s="116"/>
      <c r="S126" s="117"/>
      <c r="T126" s="115"/>
      <c r="U126" s="116"/>
      <c r="V126" s="116"/>
      <c r="W126" s="133"/>
      <c r="X126" s="115"/>
      <c r="Y126" s="133"/>
    </row>
    <row r="127" spans="1:25" ht="17" customHeight="1">
      <c r="A127" s="131" t="s">
        <v>1111</v>
      </c>
      <c r="B127" s="131" t="s">
        <v>143</v>
      </c>
      <c r="C127" s="131">
        <v>10875.06</v>
      </c>
      <c r="D127" s="131">
        <v>1.77</v>
      </c>
      <c r="E127" s="131">
        <v>6.41</v>
      </c>
      <c r="F127" s="131">
        <v>39.42</v>
      </c>
      <c r="G127" s="131">
        <v>0.9</v>
      </c>
      <c r="H127" s="131">
        <v>4.71</v>
      </c>
      <c r="I127" s="131">
        <v>0.86</v>
      </c>
      <c r="J127" s="132">
        <v>40956</v>
      </c>
      <c r="K127" s="133" t="s">
        <v>458</v>
      </c>
      <c r="L127" s="108">
        <f t="shared" si="1"/>
        <v>0.11948249619482496</v>
      </c>
      <c r="M127" s="115"/>
      <c r="N127" s="133"/>
      <c r="O127" s="115"/>
      <c r="P127" s="115"/>
      <c r="Q127" s="116"/>
      <c r="R127" s="116"/>
      <c r="S127" s="117"/>
      <c r="T127" s="115"/>
      <c r="U127" s="116"/>
      <c r="V127" s="116"/>
      <c r="W127" s="133"/>
      <c r="X127" s="115"/>
      <c r="Y127" s="133"/>
    </row>
    <row r="128" spans="1:25" ht="17" customHeight="1">
      <c r="A128" s="131" t="s">
        <v>888</v>
      </c>
      <c r="B128" s="131" t="s">
        <v>889</v>
      </c>
      <c r="C128" s="131">
        <v>8958.39</v>
      </c>
      <c r="D128" s="131">
        <v>0.59</v>
      </c>
      <c r="E128" s="131">
        <v>0.91</v>
      </c>
      <c r="F128" s="131">
        <v>10.89</v>
      </c>
      <c r="G128" s="131">
        <v>0.28999999999999998</v>
      </c>
      <c r="H128" s="131">
        <v>1.3</v>
      </c>
      <c r="I128" s="131">
        <v>0.16</v>
      </c>
      <c r="J128" s="132">
        <v>37438</v>
      </c>
      <c r="K128" s="133" t="s">
        <v>458</v>
      </c>
      <c r="L128" s="108">
        <f t="shared" si="1"/>
        <v>0.11937557392102846</v>
      </c>
      <c r="M128" s="115"/>
      <c r="N128" s="133"/>
      <c r="O128" s="115"/>
      <c r="P128" s="115"/>
      <c r="Q128" s="116"/>
      <c r="R128" s="116"/>
      <c r="S128" s="117"/>
      <c r="T128" s="115"/>
      <c r="U128" s="116"/>
      <c r="V128" s="116"/>
      <c r="W128" s="133"/>
      <c r="X128" s="115"/>
      <c r="Y128" s="133"/>
    </row>
    <row r="129" spans="1:25" ht="17" customHeight="1">
      <c r="A129" s="131" t="s">
        <v>952</v>
      </c>
      <c r="B129" s="131" t="s">
        <v>953</v>
      </c>
      <c r="C129" s="131">
        <v>8521.76</v>
      </c>
      <c r="D129" s="131">
        <v>0.79</v>
      </c>
      <c r="E129" s="131">
        <v>2.06</v>
      </c>
      <c r="F129" s="131">
        <v>10.89</v>
      </c>
      <c r="G129" s="131">
        <v>0.6</v>
      </c>
      <c r="H129" s="131">
        <v>1.3</v>
      </c>
      <c r="I129" s="131">
        <v>0.32</v>
      </c>
      <c r="J129" s="132">
        <v>40687</v>
      </c>
      <c r="K129" s="133" t="s">
        <v>458</v>
      </c>
      <c r="L129" s="108">
        <f t="shared" si="1"/>
        <v>0.11937557392102846</v>
      </c>
      <c r="M129" s="115"/>
      <c r="N129" s="133"/>
      <c r="O129" s="115"/>
      <c r="P129" s="115"/>
      <c r="Q129" s="116"/>
      <c r="R129" s="116"/>
      <c r="S129" s="117"/>
      <c r="T129" s="115"/>
      <c r="U129" s="116"/>
      <c r="V129" s="116"/>
      <c r="W129" s="133"/>
      <c r="X129" s="115"/>
      <c r="Y129" s="133"/>
    </row>
    <row r="130" spans="1:25" ht="17" customHeight="1">
      <c r="A130" s="131" t="s">
        <v>1035</v>
      </c>
      <c r="B130" s="131" t="s">
        <v>1036</v>
      </c>
      <c r="C130" s="131">
        <v>6480.45</v>
      </c>
      <c r="D130" s="131">
        <v>1.58</v>
      </c>
      <c r="E130" s="131">
        <v>0.88</v>
      </c>
      <c r="F130" s="131">
        <v>17.32</v>
      </c>
      <c r="G130" s="131">
        <v>0.32</v>
      </c>
      <c r="H130" s="131">
        <v>2.06</v>
      </c>
      <c r="I130" s="131">
        <v>0.65</v>
      </c>
      <c r="J130" s="132">
        <v>41264</v>
      </c>
      <c r="K130" s="133" t="s">
        <v>458</v>
      </c>
      <c r="L130" s="108">
        <f t="shared" ref="L130:L193" si="2">H130/F130</f>
        <v>0.11893764434180139</v>
      </c>
      <c r="M130" s="115"/>
      <c r="N130" s="133"/>
      <c r="O130" s="115"/>
      <c r="P130" s="115"/>
      <c r="Q130" s="116"/>
      <c r="R130" s="115"/>
      <c r="S130" s="117"/>
      <c r="T130" s="115"/>
      <c r="U130" s="116"/>
      <c r="V130" s="116"/>
      <c r="W130" s="133"/>
      <c r="X130" s="115"/>
      <c r="Y130" s="133"/>
    </row>
    <row r="131" spans="1:25" ht="17" customHeight="1">
      <c r="A131" s="131" t="s">
        <v>851</v>
      </c>
      <c r="B131" s="131" t="s">
        <v>852</v>
      </c>
      <c r="C131" s="131">
        <v>5199.16</v>
      </c>
      <c r="D131" s="131">
        <v>0.55000000000000004</v>
      </c>
      <c r="E131" s="131">
        <v>0.7</v>
      </c>
      <c r="F131" s="131">
        <v>10.92</v>
      </c>
      <c r="G131" s="131">
        <v>0.17</v>
      </c>
      <c r="H131" s="131">
        <v>1.29</v>
      </c>
      <c r="I131" s="131">
        <v>7.0000000000000007E-2</v>
      </c>
      <c r="J131" s="132">
        <v>38716</v>
      </c>
      <c r="K131" s="133" t="s">
        <v>458</v>
      </c>
      <c r="L131" s="108">
        <f t="shared" si="2"/>
        <v>0.11813186813186814</v>
      </c>
      <c r="M131" s="115"/>
      <c r="N131" s="133"/>
      <c r="O131" s="115"/>
      <c r="P131" s="115"/>
      <c r="Q131" s="116"/>
      <c r="R131" s="116"/>
      <c r="S131" s="117"/>
      <c r="T131" s="115"/>
      <c r="U131" s="116"/>
      <c r="V131" s="116"/>
      <c r="W131" s="133"/>
      <c r="X131" s="115"/>
      <c r="Y131" s="133"/>
    </row>
    <row r="132" spans="1:25" ht="17" customHeight="1">
      <c r="A132" s="131" t="s">
        <v>572</v>
      </c>
      <c r="B132" s="131" t="s">
        <v>573</v>
      </c>
      <c r="C132" s="131">
        <v>6362.1</v>
      </c>
      <c r="D132" s="131">
        <v>1.39</v>
      </c>
      <c r="E132" s="131">
        <v>8.9</v>
      </c>
      <c r="F132" s="131">
        <v>48.59</v>
      </c>
      <c r="G132" s="131">
        <v>0.44</v>
      </c>
      <c r="H132" s="131">
        <v>5.69</v>
      </c>
      <c r="I132" s="131">
        <v>0.82</v>
      </c>
      <c r="J132" s="132">
        <v>36529</v>
      </c>
      <c r="K132" s="133" t="s">
        <v>458</v>
      </c>
      <c r="L132" s="108">
        <f t="shared" si="2"/>
        <v>0.11710228442066269</v>
      </c>
      <c r="M132" s="115"/>
      <c r="N132" s="133"/>
      <c r="O132" s="115"/>
      <c r="P132" s="115"/>
      <c r="Q132" s="116"/>
      <c r="R132" s="116"/>
      <c r="S132" s="117"/>
      <c r="T132" s="115"/>
      <c r="U132" s="116"/>
      <c r="V132" s="116"/>
      <c r="W132" s="133"/>
      <c r="X132" s="115"/>
      <c r="Y132" s="133"/>
    </row>
    <row r="133" spans="1:25" ht="17" customHeight="1">
      <c r="A133" s="131" t="s">
        <v>820</v>
      </c>
      <c r="B133" s="131" t="s">
        <v>821</v>
      </c>
      <c r="C133" s="131">
        <v>993.56</v>
      </c>
      <c r="D133" s="131">
        <v>0.78</v>
      </c>
      <c r="E133" s="131">
        <v>0.84</v>
      </c>
      <c r="F133" s="131">
        <v>9.68</v>
      </c>
      <c r="G133" s="131">
        <v>0.35</v>
      </c>
      <c r="H133" s="131">
        <v>1.1299999999999999</v>
      </c>
      <c r="I133" s="131">
        <v>0.08</v>
      </c>
      <c r="J133" s="132">
        <v>39701</v>
      </c>
      <c r="K133" s="133" t="s">
        <v>458</v>
      </c>
      <c r="L133" s="108">
        <f t="shared" si="2"/>
        <v>0.11673553719008263</v>
      </c>
      <c r="M133" s="115"/>
      <c r="N133" s="133"/>
      <c r="O133" s="115"/>
      <c r="P133" s="115"/>
      <c r="Q133" s="116"/>
      <c r="R133" s="115"/>
      <c r="S133" s="117"/>
      <c r="T133" s="115"/>
      <c r="U133" s="116"/>
      <c r="V133" s="116"/>
      <c r="W133" s="133"/>
      <c r="X133" s="115"/>
      <c r="Y133" s="133"/>
    </row>
    <row r="134" spans="1:25" ht="17" customHeight="1">
      <c r="A134" s="131" t="s">
        <v>949</v>
      </c>
      <c r="B134" s="131" t="s">
        <v>950</v>
      </c>
      <c r="C134" s="131">
        <v>11331.49</v>
      </c>
      <c r="D134" s="131">
        <v>-0.77</v>
      </c>
      <c r="E134" s="131">
        <v>1.46</v>
      </c>
      <c r="F134" s="131">
        <v>9.1300000000000008</v>
      </c>
      <c r="G134" s="131">
        <v>0.43</v>
      </c>
      <c r="H134" s="131">
        <v>1.06</v>
      </c>
      <c r="I134" s="131">
        <v>0.26</v>
      </c>
      <c r="J134" s="132">
        <v>37438</v>
      </c>
      <c r="K134" s="133" t="s">
        <v>458</v>
      </c>
      <c r="L134" s="108">
        <f t="shared" si="2"/>
        <v>0.11610076670317633</v>
      </c>
      <c r="M134" s="115"/>
      <c r="N134" s="133"/>
      <c r="O134" s="115"/>
      <c r="P134" s="115"/>
      <c r="Q134" s="116"/>
      <c r="R134" s="116"/>
      <c r="S134" s="117"/>
      <c r="T134" s="115"/>
      <c r="U134" s="116"/>
      <c r="V134" s="116"/>
      <c r="W134" s="133"/>
      <c r="X134" s="115"/>
      <c r="Y134" s="133"/>
    </row>
    <row r="135" spans="1:25" ht="17" customHeight="1">
      <c r="A135" s="131" t="s">
        <v>514</v>
      </c>
      <c r="B135" s="131" t="s">
        <v>515</v>
      </c>
      <c r="C135" s="131">
        <v>3794.77</v>
      </c>
      <c r="D135" s="131">
        <v>0.54</v>
      </c>
      <c r="E135" s="131">
        <v>-0.69</v>
      </c>
      <c r="F135" s="131">
        <v>6.98</v>
      </c>
      <c r="G135" s="131">
        <v>0.3</v>
      </c>
      <c r="H135" s="131">
        <v>0.81</v>
      </c>
      <c r="I135" s="131">
        <v>0.03</v>
      </c>
      <c r="J135" s="132">
        <v>36529</v>
      </c>
      <c r="K135" s="133" t="s">
        <v>458</v>
      </c>
      <c r="L135" s="108">
        <f t="shared" si="2"/>
        <v>0.11604584527220631</v>
      </c>
      <c r="M135" s="115"/>
      <c r="N135" s="133"/>
      <c r="O135" s="115"/>
      <c r="P135" s="115"/>
      <c r="Q135" s="116"/>
      <c r="R135" s="116"/>
      <c r="S135" s="117"/>
      <c r="T135" s="115"/>
      <c r="U135" s="116"/>
      <c r="V135" s="116"/>
      <c r="W135" s="133"/>
      <c r="X135" s="115"/>
      <c r="Y135" s="133"/>
    </row>
    <row r="136" spans="1:25" ht="17" customHeight="1">
      <c r="A136" s="131" t="s">
        <v>719</v>
      </c>
      <c r="B136" s="131" t="s">
        <v>720</v>
      </c>
      <c r="C136" s="131">
        <v>3796.4</v>
      </c>
      <c r="D136" s="131">
        <v>0.54</v>
      </c>
      <c r="E136" s="131">
        <v>-0.69</v>
      </c>
      <c r="F136" s="131">
        <v>6.98</v>
      </c>
      <c r="G136" s="131">
        <v>0.3</v>
      </c>
      <c r="H136" s="131">
        <v>0.81</v>
      </c>
      <c r="I136" s="131">
        <v>0.03</v>
      </c>
      <c r="J136" s="132">
        <v>36529</v>
      </c>
      <c r="K136" s="133" t="s">
        <v>458</v>
      </c>
      <c r="L136" s="108">
        <f t="shared" si="2"/>
        <v>0.11604584527220631</v>
      </c>
      <c r="M136" s="115"/>
      <c r="N136" s="133"/>
      <c r="O136" s="115"/>
      <c r="P136" s="115"/>
      <c r="Q136" s="116"/>
      <c r="R136" s="115"/>
      <c r="S136" s="117"/>
      <c r="T136" s="115"/>
      <c r="U136" s="116"/>
      <c r="V136" s="116"/>
      <c r="W136" s="133"/>
      <c r="X136" s="115"/>
      <c r="Y136" s="133"/>
    </row>
    <row r="137" spans="1:25" ht="17" customHeight="1">
      <c r="A137" s="131" t="s">
        <v>783</v>
      </c>
      <c r="B137" s="131" t="s">
        <v>117</v>
      </c>
      <c r="C137" s="131">
        <v>1248.74</v>
      </c>
      <c r="D137" s="131">
        <v>-0.2</v>
      </c>
      <c r="E137" s="131">
        <v>-2.14</v>
      </c>
      <c r="F137" s="131">
        <v>8.5500000000000007</v>
      </c>
      <c r="G137" s="131">
        <v>0.02</v>
      </c>
      <c r="H137" s="131">
        <v>0.99</v>
      </c>
      <c r="I137" s="131">
        <v>0.01</v>
      </c>
      <c r="J137" s="132">
        <v>42048</v>
      </c>
      <c r="K137" s="133" t="s">
        <v>458</v>
      </c>
      <c r="L137" s="108">
        <f t="shared" si="2"/>
        <v>0.11578947368421051</v>
      </c>
      <c r="M137" s="115"/>
      <c r="N137" s="133"/>
      <c r="O137" s="115"/>
      <c r="P137" s="115"/>
      <c r="Q137" s="116"/>
      <c r="R137" s="116"/>
      <c r="S137" s="117"/>
      <c r="T137" s="115"/>
      <c r="U137" s="116"/>
      <c r="V137" s="116"/>
      <c r="W137" s="133"/>
      <c r="X137" s="115"/>
      <c r="Y137" s="133"/>
    </row>
    <row r="138" spans="1:25" ht="17" customHeight="1">
      <c r="A138" s="131" t="s">
        <v>784</v>
      </c>
      <c r="B138" s="131" t="s">
        <v>785</v>
      </c>
      <c r="C138" s="131">
        <v>1623.66</v>
      </c>
      <c r="D138" s="131">
        <v>-0.03</v>
      </c>
      <c r="E138" s="131">
        <v>-1.82</v>
      </c>
      <c r="F138" s="131">
        <v>8.5500000000000007</v>
      </c>
      <c r="G138" s="131">
        <v>0.02</v>
      </c>
      <c r="H138" s="131">
        <v>0.99</v>
      </c>
      <c r="I138" s="131">
        <v>0.01</v>
      </c>
      <c r="J138" s="132">
        <v>42025</v>
      </c>
      <c r="K138" s="133" t="s">
        <v>458</v>
      </c>
      <c r="L138" s="108">
        <f t="shared" si="2"/>
        <v>0.11578947368421051</v>
      </c>
      <c r="M138" s="115"/>
      <c r="N138" s="133"/>
      <c r="O138" s="115"/>
      <c r="P138" s="115"/>
      <c r="Q138" s="116"/>
      <c r="R138" s="116"/>
      <c r="S138" s="117"/>
      <c r="T138" s="115"/>
      <c r="U138" s="116"/>
      <c r="V138" s="116"/>
      <c r="W138" s="133"/>
      <c r="X138" s="115"/>
      <c r="Y138" s="133"/>
    </row>
    <row r="139" spans="1:25" ht="17" customHeight="1">
      <c r="A139" s="131" t="s">
        <v>786</v>
      </c>
      <c r="B139" s="131" t="s">
        <v>787</v>
      </c>
      <c r="C139" s="131" t="s">
        <v>622</v>
      </c>
      <c r="D139" s="131">
        <v>0</v>
      </c>
      <c r="E139" s="131">
        <v>0</v>
      </c>
      <c r="F139" s="131">
        <v>9.1999999999999993</v>
      </c>
      <c r="G139" s="131">
        <v>0.22</v>
      </c>
      <c r="H139" s="131">
        <v>1.06</v>
      </c>
      <c r="I139" s="131">
        <v>0.15</v>
      </c>
      <c r="J139" s="132">
        <v>42348</v>
      </c>
      <c r="K139" s="133" t="s">
        <v>458</v>
      </c>
      <c r="L139" s="108">
        <f t="shared" si="2"/>
        <v>0.11521739130434784</v>
      </c>
      <c r="M139" s="115"/>
      <c r="N139" s="133"/>
      <c r="O139" s="115"/>
      <c r="P139" s="115"/>
      <c r="Q139" s="116"/>
      <c r="R139" s="115"/>
      <c r="S139" s="117"/>
      <c r="T139" s="115"/>
      <c r="U139" s="116"/>
      <c r="V139" s="116"/>
      <c r="W139" s="133"/>
      <c r="X139" s="115"/>
      <c r="Y139" s="133"/>
    </row>
    <row r="140" spans="1:25" ht="17" customHeight="1">
      <c r="A140" s="131" t="s">
        <v>913</v>
      </c>
      <c r="B140" s="131" t="s">
        <v>914</v>
      </c>
      <c r="C140" s="131">
        <v>970.42</v>
      </c>
      <c r="D140" s="131">
        <v>0.83</v>
      </c>
      <c r="E140" s="131">
        <v>1.99</v>
      </c>
      <c r="F140" s="131">
        <v>18.47</v>
      </c>
      <c r="G140" s="131">
        <v>0.01</v>
      </c>
      <c r="H140" s="131">
        <v>2.12</v>
      </c>
      <c r="I140" s="131">
        <v>0.11</v>
      </c>
      <c r="J140" s="132">
        <v>40564</v>
      </c>
      <c r="K140" s="133" t="s">
        <v>458</v>
      </c>
      <c r="L140" s="108">
        <f t="shared" si="2"/>
        <v>0.11478072550081214</v>
      </c>
      <c r="M140" s="115"/>
      <c r="N140" s="133"/>
      <c r="O140" s="115"/>
      <c r="P140" s="115"/>
      <c r="Q140" s="116"/>
      <c r="R140" s="116"/>
      <c r="S140" s="117"/>
      <c r="T140" s="115"/>
      <c r="U140" s="116"/>
      <c r="V140" s="116"/>
      <c r="W140" s="133"/>
      <c r="X140" s="115"/>
      <c r="Y140" s="133"/>
    </row>
    <row r="141" spans="1:25" ht="17" customHeight="1">
      <c r="A141" s="131" t="s">
        <v>825</v>
      </c>
      <c r="B141" s="131" t="s">
        <v>826</v>
      </c>
      <c r="C141" s="131">
        <v>9963.4599999999991</v>
      </c>
      <c r="D141" s="131">
        <v>-0.73</v>
      </c>
      <c r="E141" s="131">
        <v>0.82</v>
      </c>
      <c r="F141" s="131">
        <v>9.16</v>
      </c>
      <c r="G141" s="131">
        <v>0.38</v>
      </c>
      <c r="H141" s="131">
        <v>1.05</v>
      </c>
      <c r="I141" s="131">
        <v>0.14000000000000001</v>
      </c>
      <c r="J141" s="132">
        <v>38971</v>
      </c>
      <c r="K141" s="133" t="s">
        <v>458</v>
      </c>
      <c r="L141" s="108">
        <f t="shared" si="2"/>
        <v>0.11462882096069869</v>
      </c>
      <c r="M141" s="115"/>
      <c r="N141" s="133"/>
      <c r="O141" s="115"/>
      <c r="P141" s="115"/>
      <c r="Q141" s="116"/>
      <c r="R141" s="116"/>
      <c r="S141" s="117"/>
      <c r="T141" s="115"/>
      <c r="U141" s="116"/>
      <c r="V141" s="116"/>
      <c r="W141" s="133"/>
      <c r="X141" s="115"/>
      <c r="Y141" s="133"/>
    </row>
    <row r="142" spans="1:25" ht="17" customHeight="1">
      <c r="A142" s="131" t="s">
        <v>1099</v>
      </c>
      <c r="B142" s="131" t="s">
        <v>1100</v>
      </c>
      <c r="C142" s="131">
        <v>4264.6499999999996</v>
      </c>
      <c r="D142" s="131">
        <v>-0.4</v>
      </c>
      <c r="E142" s="131">
        <v>-0.75</v>
      </c>
      <c r="F142" s="131">
        <v>13.44</v>
      </c>
      <c r="G142" s="131">
        <v>0.78</v>
      </c>
      <c r="H142" s="131">
        <v>1.54</v>
      </c>
      <c r="I142" s="131">
        <v>0.7</v>
      </c>
      <c r="J142" s="132">
        <v>42221</v>
      </c>
      <c r="K142" s="133" t="s">
        <v>458</v>
      </c>
      <c r="L142" s="108">
        <f t="shared" si="2"/>
        <v>0.11458333333333334</v>
      </c>
      <c r="M142" s="115"/>
      <c r="N142" s="133"/>
      <c r="O142" s="115"/>
      <c r="P142" s="115"/>
      <c r="Q142" s="116"/>
      <c r="R142" s="116"/>
      <c r="S142" s="117"/>
      <c r="T142" s="115"/>
      <c r="U142" s="116"/>
      <c r="V142" s="116"/>
      <c r="W142" s="133"/>
      <c r="X142" s="115"/>
      <c r="Y142" s="133"/>
    </row>
    <row r="143" spans="1:25" ht="17" customHeight="1">
      <c r="A143" s="131" t="s">
        <v>872</v>
      </c>
      <c r="B143" s="131" t="s">
        <v>873</v>
      </c>
      <c r="C143" s="131">
        <v>1085.8</v>
      </c>
      <c r="D143" s="131">
        <v>0.39</v>
      </c>
      <c r="E143" s="131">
        <v>-0.85</v>
      </c>
      <c r="F143" s="131">
        <v>9.9499999999999993</v>
      </c>
      <c r="G143" s="131">
        <v>0.46</v>
      </c>
      <c r="H143" s="131">
        <v>1.1399999999999999</v>
      </c>
      <c r="I143" s="131">
        <v>0.13</v>
      </c>
      <c r="J143" s="132">
        <v>40182</v>
      </c>
      <c r="K143" s="133" t="s">
        <v>458</v>
      </c>
      <c r="L143" s="108">
        <f t="shared" si="2"/>
        <v>0.11457286432160804</v>
      </c>
      <c r="M143" s="115"/>
      <c r="N143" s="133"/>
      <c r="O143" s="115"/>
      <c r="P143" s="115"/>
      <c r="Q143" s="116"/>
      <c r="R143" s="116"/>
      <c r="S143" s="117"/>
      <c r="T143" s="115"/>
      <c r="U143" s="116"/>
      <c r="V143" s="116"/>
      <c r="W143" s="133"/>
      <c r="X143" s="115"/>
      <c r="Y143" s="133"/>
    </row>
    <row r="144" spans="1:25" ht="17" customHeight="1">
      <c r="A144" s="131" t="s">
        <v>908</v>
      </c>
      <c r="B144" s="131" t="s">
        <v>909</v>
      </c>
      <c r="C144" s="131">
        <v>4411.29</v>
      </c>
      <c r="D144" s="131">
        <v>0.91</v>
      </c>
      <c r="E144" s="131">
        <v>3.1</v>
      </c>
      <c r="F144" s="131">
        <v>14</v>
      </c>
      <c r="G144" s="131">
        <v>0.4</v>
      </c>
      <c r="H144" s="131">
        <v>1.59</v>
      </c>
      <c r="I144" s="131">
        <v>0.26</v>
      </c>
      <c r="J144" s="132">
        <v>39097</v>
      </c>
      <c r="K144" s="133" t="s">
        <v>458</v>
      </c>
      <c r="L144" s="108">
        <f t="shared" si="2"/>
        <v>0.11357142857142857</v>
      </c>
      <c r="M144" s="115"/>
      <c r="N144" s="133"/>
      <c r="O144" s="115"/>
      <c r="P144" s="115"/>
      <c r="Q144" s="116"/>
      <c r="R144" s="115"/>
      <c r="S144" s="117"/>
      <c r="T144" s="115"/>
      <c r="U144" s="116"/>
      <c r="V144" s="116"/>
      <c r="W144" s="133"/>
      <c r="X144" s="115"/>
      <c r="Y144" s="133"/>
    </row>
    <row r="145" spans="1:25" ht="17" customHeight="1">
      <c r="A145" s="131" t="s">
        <v>910</v>
      </c>
      <c r="B145" s="131" t="s">
        <v>911</v>
      </c>
      <c r="C145" s="131">
        <v>5532.72</v>
      </c>
      <c r="D145" s="131">
        <v>1.05</v>
      </c>
      <c r="E145" s="131">
        <v>4.21</v>
      </c>
      <c r="F145" s="131">
        <v>14</v>
      </c>
      <c r="G145" s="131">
        <v>0.4</v>
      </c>
      <c r="H145" s="131">
        <v>1.59</v>
      </c>
      <c r="I145" s="131">
        <v>0.26</v>
      </c>
      <c r="J145" s="132">
        <v>39097</v>
      </c>
      <c r="K145" s="133" t="s">
        <v>458</v>
      </c>
      <c r="L145" s="108">
        <f t="shared" si="2"/>
        <v>0.11357142857142857</v>
      </c>
      <c r="M145" s="115"/>
      <c r="N145" s="133"/>
      <c r="O145" s="115"/>
      <c r="P145" s="115"/>
      <c r="Q145" s="116"/>
      <c r="R145" s="116"/>
      <c r="S145" s="117"/>
      <c r="T145" s="115"/>
      <c r="U145" s="116"/>
      <c r="V145" s="116"/>
      <c r="W145" s="133"/>
      <c r="X145" s="115"/>
      <c r="Y145" s="133"/>
    </row>
    <row r="146" spans="1:25" ht="17" customHeight="1">
      <c r="A146" s="131" t="s">
        <v>809</v>
      </c>
      <c r="B146" s="131" t="s">
        <v>764</v>
      </c>
      <c r="C146" s="131">
        <v>3864.74</v>
      </c>
      <c r="D146" s="131">
        <v>0.9</v>
      </c>
      <c r="E146" s="131">
        <v>1.56</v>
      </c>
      <c r="F146" s="131">
        <v>8.56</v>
      </c>
      <c r="G146" s="131">
        <v>0.03</v>
      </c>
      <c r="H146" s="131">
        <v>0.97</v>
      </c>
      <c r="I146" s="131">
        <v>0.06</v>
      </c>
      <c r="J146" s="132">
        <v>42075</v>
      </c>
      <c r="K146" s="133" t="s">
        <v>458</v>
      </c>
      <c r="L146" s="108">
        <f t="shared" si="2"/>
        <v>0.11331775700934578</v>
      </c>
      <c r="M146" s="115"/>
      <c r="N146" s="133"/>
      <c r="O146" s="115"/>
      <c r="P146" s="115"/>
      <c r="Q146" s="116"/>
      <c r="R146" s="116"/>
      <c r="S146" s="117"/>
      <c r="T146" s="115"/>
      <c r="U146" s="116"/>
      <c r="V146" s="116"/>
      <c r="W146" s="133"/>
      <c r="X146" s="115"/>
      <c r="Y146" s="133"/>
    </row>
    <row r="147" spans="1:25" ht="17" customHeight="1">
      <c r="A147" s="131" t="s">
        <v>705</v>
      </c>
      <c r="B147" s="131" t="s">
        <v>706</v>
      </c>
      <c r="C147" s="131">
        <v>762.75</v>
      </c>
      <c r="D147" s="131">
        <v>0.74</v>
      </c>
      <c r="E147" s="131">
        <v>1.83</v>
      </c>
      <c r="F147" s="131">
        <v>16.36</v>
      </c>
      <c r="G147" s="131">
        <v>0.05</v>
      </c>
      <c r="H147" s="131">
        <v>1.85</v>
      </c>
      <c r="I147" s="131">
        <v>0.06</v>
      </c>
      <c r="J147" s="132">
        <v>36529</v>
      </c>
      <c r="K147" s="133" t="s">
        <v>458</v>
      </c>
      <c r="L147" s="108">
        <f t="shared" si="2"/>
        <v>0.11308068459657702</v>
      </c>
      <c r="M147" s="115"/>
      <c r="N147" s="133"/>
      <c r="O147" s="115"/>
      <c r="P147" s="115"/>
      <c r="Q147" s="116"/>
      <c r="R147" s="116"/>
      <c r="S147" s="117"/>
      <c r="T147" s="115"/>
      <c r="U147" s="116"/>
      <c r="V147" s="116"/>
      <c r="W147" s="133"/>
      <c r="X147" s="115"/>
      <c r="Y147" s="133"/>
    </row>
    <row r="148" spans="1:25" ht="17" customHeight="1">
      <c r="A148" s="131" t="s">
        <v>977</v>
      </c>
      <c r="B148" s="131" t="s">
        <v>978</v>
      </c>
      <c r="C148" s="131">
        <v>1816.22</v>
      </c>
      <c r="D148" s="131">
        <v>-1.45</v>
      </c>
      <c r="E148" s="131">
        <v>14.07</v>
      </c>
      <c r="F148" s="131">
        <v>15.97</v>
      </c>
      <c r="G148" s="131">
        <v>0.81</v>
      </c>
      <c r="H148" s="131">
        <v>1.79</v>
      </c>
      <c r="I148" s="131">
        <v>0.65</v>
      </c>
      <c r="J148" s="132">
        <v>43179</v>
      </c>
      <c r="K148" s="133" t="s">
        <v>458</v>
      </c>
      <c r="L148" s="108">
        <f t="shared" si="2"/>
        <v>0.11208515967438948</v>
      </c>
      <c r="M148" s="115"/>
      <c r="N148" s="133"/>
      <c r="O148" s="115"/>
      <c r="P148" s="115"/>
      <c r="Q148" s="116"/>
      <c r="R148" s="116"/>
      <c r="S148" s="117"/>
      <c r="T148" s="115"/>
      <c r="U148" s="116"/>
      <c r="V148" s="116"/>
      <c r="W148" s="133"/>
      <c r="X148" s="115"/>
      <c r="Y148" s="133"/>
    </row>
    <row r="149" spans="1:25" ht="17" customHeight="1">
      <c r="A149" s="131" t="s">
        <v>1054</v>
      </c>
      <c r="B149" s="131" t="s">
        <v>1055</v>
      </c>
      <c r="C149" s="131">
        <v>6829.88</v>
      </c>
      <c r="D149" s="131">
        <v>1.56</v>
      </c>
      <c r="E149" s="131">
        <v>6.13</v>
      </c>
      <c r="F149" s="131">
        <v>39.409999999999997</v>
      </c>
      <c r="G149" s="131">
        <v>0.92</v>
      </c>
      <c r="H149" s="131">
        <v>4.41</v>
      </c>
      <c r="I149" s="131">
        <v>0.71</v>
      </c>
      <c r="J149" s="132">
        <v>39822</v>
      </c>
      <c r="K149" s="133" t="s">
        <v>458</v>
      </c>
      <c r="L149" s="108">
        <f t="shared" si="2"/>
        <v>0.1119005328596803</v>
      </c>
      <c r="M149" s="115"/>
      <c r="N149" s="133"/>
      <c r="O149" s="115"/>
      <c r="P149" s="115"/>
      <c r="Q149" s="116"/>
      <c r="R149" s="116"/>
      <c r="S149" s="117"/>
      <c r="T149" s="115"/>
      <c r="U149" s="116"/>
      <c r="V149" s="116"/>
      <c r="W149" s="133"/>
      <c r="X149" s="115"/>
      <c r="Y149" s="133"/>
    </row>
    <row r="150" spans="1:25" ht="17" customHeight="1">
      <c r="A150" s="131" t="s">
        <v>476</v>
      </c>
      <c r="B150" s="131" t="s">
        <v>477</v>
      </c>
      <c r="C150" s="131">
        <v>3454.75</v>
      </c>
      <c r="D150" s="131">
        <v>0.64</v>
      </c>
      <c r="E150" s="131">
        <v>4.43</v>
      </c>
      <c r="F150" s="131">
        <v>33.44</v>
      </c>
      <c r="G150" s="131">
        <v>0.23</v>
      </c>
      <c r="H150" s="131">
        <v>3.73</v>
      </c>
      <c r="I150" s="131">
        <v>0.56000000000000005</v>
      </c>
      <c r="J150" s="132">
        <v>36529</v>
      </c>
      <c r="K150" s="133" t="s">
        <v>458</v>
      </c>
      <c r="L150" s="108">
        <f t="shared" si="2"/>
        <v>0.11154306220095694</v>
      </c>
      <c r="M150" s="115"/>
      <c r="N150" s="133"/>
      <c r="O150" s="115"/>
      <c r="P150" s="115"/>
      <c r="Q150" s="116"/>
      <c r="R150" s="115"/>
      <c r="S150" s="117"/>
      <c r="T150" s="115"/>
      <c r="U150" s="116"/>
      <c r="V150" s="116"/>
      <c r="W150" s="133"/>
      <c r="X150" s="115"/>
      <c r="Y150" s="133"/>
    </row>
    <row r="151" spans="1:25" ht="17" customHeight="1">
      <c r="A151" s="131" t="s">
        <v>790</v>
      </c>
      <c r="B151" s="131" t="s">
        <v>791</v>
      </c>
      <c r="C151" s="131">
        <v>1554.6</v>
      </c>
      <c r="D151" s="131">
        <v>0.53</v>
      </c>
      <c r="E151" s="131">
        <v>-0.38</v>
      </c>
      <c r="F151" s="131">
        <v>9.06</v>
      </c>
      <c r="G151" s="131">
        <v>0.32</v>
      </c>
      <c r="H151" s="131">
        <v>1.01</v>
      </c>
      <c r="I151" s="131">
        <v>0.03</v>
      </c>
      <c r="J151" s="132">
        <v>39902</v>
      </c>
      <c r="K151" s="133" t="s">
        <v>458</v>
      </c>
      <c r="L151" s="108">
        <f t="shared" si="2"/>
        <v>0.11147902869757174</v>
      </c>
      <c r="M151" s="115"/>
      <c r="N151" s="133"/>
      <c r="O151" s="115"/>
      <c r="P151" s="115"/>
      <c r="Q151" s="116"/>
      <c r="R151" s="116"/>
      <c r="S151" s="117"/>
      <c r="T151" s="115"/>
      <c r="U151" s="116"/>
      <c r="V151" s="116"/>
      <c r="W151" s="133"/>
      <c r="X151" s="115"/>
      <c r="Y151" s="133"/>
    </row>
    <row r="152" spans="1:25" ht="17" customHeight="1">
      <c r="A152" s="131" t="s">
        <v>544</v>
      </c>
      <c r="B152" s="131" t="s">
        <v>545</v>
      </c>
      <c r="C152" s="131">
        <v>8205.83</v>
      </c>
      <c r="D152" s="131">
        <v>-1.89</v>
      </c>
      <c r="E152" s="131">
        <v>-6.64</v>
      </c>
      <c r="F152" s="131">
        <v>29.22</v>
      </c>
      <c r="G152" s="131">
        <v>0.79</v>
      </c>
      <c r="H152" s="131">
        <v>3.25</v>
      </c>
      <c r="I152" s="131">
        <v>0.82</v>
      </c>
      <c r="J152" s="132">
        <v>36529</v>
      </c>
      <c r="K152" s="133" t="s">
        <v>458</v>
      </c>
      <c r="L152" s="108">
        <f t="shared" si="2"/>
        <v>0.11122518822724162</v>
      </c>
      <c r="M152" s="115"/>
      <c r="N152" s="133"/>
      <c r="O152" s="115"/>
      <c r="P152" s="115"/>
      <c r="Q152" s="116"/>
      <c r="R152" s="116"/>
      <c r="S152" s="117"/>
      <c r="T152" s="115"/>
      <c r="U152" s="116"/>
      <c r="V152" s="116"/>
      <c r="W152" s="133"/>
      <c r="X152" s="115"/>
      <c r="Y152" s="133"/>
    </row>
    <row r="153" spans="1:25" ht="17" customHeight="1">
      <c r="A153" s="131" t="s">
        <v>847</v>
      </c>
      <c r="B153" s="131" t="s">
        <v>848</v>
      </c>
      <c r="C153" s="131">
        <v>1567.61</v>
      </c>
      <c r="D153" s="131">
        <v>-0.15</v>
      </c>
      <c r="E153" s="131">
        <v>0.22</v>
      </c>
      <c r="F153" s="131">
        <v>11.97</v>
      </c>
      <c r="G153" s="131">
        <v>0.24</v>
      </c>
      <c r="H153" s="131">
        <v>1.33</v>
      </c>
      <c r="I153" s="131">
        <v>0.13</v>
      </c>
      <c r="J153" s="132">
        <v>42501</v>
      </c>
      <c r="K153" s="133" t="s">
        <v>458</v>
      </c>
      <c r="L153" s="108">
        <f t="shared" si="2"/>
        <v>0.1111111111111111</v>
      </c>
      <c r="M153" s="115"/>
      <c r="N153" s="133"/>
      <c r="O153" s="115"/>
      <c r="P153" s="115"/>
      <c r="Q153" s="116"/>
      <c r="R153" s="116"/>
      <c r="S153" s="117"/>
      <c r="T153" s="115"/>
      <c r="U153" s="116"/>
      <c r="V153" s="116"/>
      <c r="W153" s="133"/>
      <c r="X153" s="115"/>
      <c r="Y153" s="133"/>
    </row>
    <row r="154" spans="1:25" ht="17" customHeight="1">
      <c r="A154" s="131" t="s">
        <v>548</v>
      </c>
      <c r="B154" s="131" t="s">
        <v>549</v>
      </c>
      <c r="C154" s="131">
        <v>4836.1099999999997</v>
      </c>
      <c r="D154" s="131">
        <v>2.36</v>
      </c>
      <c r="E154" s="131">
        <v>2.02</v>
      </c>
      <c r="F154" s="131">
        <v>16.86</v>
      </c>
      <c r="G154" s="131">
        <v>0.14000000000000001</v>
      </c>
      <c r="H154" s="131">
        <v>1.87</v>
      </c>
      <c r="I154" s="131">
        <v>0.13</v>
      </c>
      <c r="J154" s="132">
        <v>36529</v>
      </c>
      <c r="K154" s="133" t="s">
        <v>458</v>
      </c>
      <c r="L154" s="108">
        <f t="shared" si="2"/>
        <v>0.11091340450771056</v>
      </c>
      <c r="M154" s="115"/>
      <c r="N154" s="133"/>
      <c r="O154" s="115"/>
      <c r="P154" s="115"/>
      <c r="Q154" s="116"/>
      <c r="R154" s="116"/>
      <c r="S154" s="117"/>
      <c r="T154" s="115"/>
      <c r="U154" s="116"/>
      <c r="V154" s="116"/>
      <c r="W154" s="133"/>
      <c r="X154" s="115"/>
      <c r="Y154" s="133"/>
    </row>
    <row r="155" spans="1:25" ht="17" customHeight="1">
      <c r="A155" s="131" t="s">
        <v>647</v>
      </c>
      <c r="B155" s="131" t="s">
        <v>648</v>
      </c>
      <c r="C155" s="131" t="s">
        <v>622</v>
      </c>
      <c r="D155" s="131">
        <v>0</v>
      </c>
      <c r="E155" s="131">
        <v>0</v>
      </c>
      <c r="F155" s="131">
        <v>39.83</v>
      </c>
      <c r="G155" s="131">
        <v>0.38</v>
      </c>
      <c r="H155" s="131">
        <v>4.4000000000000004</v>
      </c>
      <c r="I155" s="131">
        <v>0.4</v>
      </c>
      <c r="J155" s="132">
        <v>42901</v>
      </c>
      <c r="K155" s="133" t="s">
        <v>458</v>
      </c>
      <c r="L155" s="108">
        <f t="shared" si="2"/>
        <v>0.11046949535525986</v>
      </c>
      <c r="M155" s="115"/>
      <c r="N155" s="133"/>
      <c r="O155" s="115"/>
      <c r="P155" s="115"/>
      <c r="Q155" s="116"/>
      <c r="R155" s="116"/>
      <c r="S155" s="117"/>
      <c r="T155" s="115"/>
      <c r="U155" s="116"/>
      <c r="V155" s="116"/>
      <c r="W155" s="133"/>
      <c r="X155" s="115"/>
      <c r="Y155" s="133"/>
    </row>
    <row r="156" spans="1:25" ht="17" customHeight="1">
      <c r="A156" s="131" t="s">
        <v>1025</v>
      </c>
      <c r="B156" s="131" t="s">
        <v>1026</v>
      </c>
      <c r="C156" s="131">
        <v>11115.88</v>
      </c>
      <c r="D156" s="131">
        <v>1.47</v>
      </c>
      <c r="E156" s="131">
        <v>6.57</v>
      </c>
      <c r="F156" s="131">
        <v>25.95</v>
      </c>
      <c r="G156" s="131">
        <v>0.56999999999999995</v>
      </c>
      <c r="H156" s="131">
        <v>2.85</v>
      </c>
      <c r="I156" s="131">
        <v>0.47</v>
      </c>
      <c r="J156" s="132">
        <v>36529</v>
      </c>
      <c r="K156" s="133" t="s">
        <v>458</v>
      </c>
      <c r="L156" s="108">
        <f t="shared" si="2"/>
        <v>0.10982658959537572</v>
      </c>
      <c r="M156" s="115"/>
      <c r="N156" s="133"/>
      <c r="O156" s="115"/>
      <c r="P156" s="115"/>
      <c r="Q156" s="116"/>
      <c r="R156" s="116"/>
      <c r="S156" s="117"/>
      <c r="T156" s="115"/>
      <c r="U156" s="116"/>
      <c r="V156" s="116"/>
      <c r="W156" s="133"/>
      <c r="X156" s="115"/>
      <c r="Y156" s="133"/>
    </row>
    <row r="157" spans="1:25" ht="17" customHeight="1">
      <c r="A157" s="131" t="s">
        <v>1077</v>
      </c>
      <c r="B157" s="131" t="s">
        <v>1078</v>
      </c>
      <c r="C157" s="131">
        <v>6138.79</v>
      </c>
      <c r="D157" s="131">
        <v>2.98</v>
      </c>
      <c r="E157" s="131">
        <v>12.58</v>
      </c>
      <c r="F157" s="131">
        <v>47.98</v>
      </c>
      <c r="G157" s="131">
        <v>0.88</v>
      </c>
      <c r="H157" s="131">
        <v>5.26</v>
      </c>
      <c r="I157" s="131">
        <v>0.92</v>
      </c>
      <c r="J157" s="132">
        <v>40490</v>
      </c>
      <c r="K157" s="133" t="s">
        <v>458</v>
      </c>
      <c r="L157" s="108">
        <f t="shared" si="2"/>
        <v>0.10962901208837016</v>
      </c>
      <c r="M157" s="115"/>
      <c r="N157" s="133"/>
      <c r="O157" s="115"/>
      <c r="P157" s="115"/>
      <c r="Q157" s="116"/>
      <c r="R157" s="116"/>
      <c r="S157" s="117"/>
      <c r="T157" s="115"/>
      <c r="U157" s="116"/>
      <c r="V157" s="116"/>
      <c r="W157" s="133"/>
      <c r="X157" s="115"/>
      <c r="Y157" s="133"/>
    </row>
    <row r="158" spans="1:25" ht="17" customHeight="1">
      <c r="A158" s="131" t="s">
        <v>1130</v>
      </c>
      <c r="B158" s="131" t="s">
        <v>1131</v>
      </c>
      <c r="C158" s="131">
        <v>3404.6</v>
      </c>
      <c r="D158" s="131">
        <v>-1</v>
      </c>
      <c r="E158" s="131">
        <v>3.37</v>
      </c>
      <c r="F158" s="131">
        <v>13.61</v>
      </c>
      <c r="G158" s="131">
        <v>0.95</v>
      </c>
      <c r="H158" s="131">
        <v>1.49</v>
      </c>
      <c r="I158" s="131">
        <v>0.95</v>
      </c>
      <c r="J158" s="132">
        <v>43678</v>
      </c>
      <c r="K158" s="133" t="s">
        <v>458</v>
      </c>
      <c r="L158" s="108">
        <f t="shared" si="2"/>
        <v>0.109478324761205</v>
      </c>
      <c r="M158" s="115"/>
      <c r="N158" s="133"/>
      <c r="O158" s="115"/>
      <c r="P158" s="115"/>
      <c r="Q158" s="116"/>
      <c r="R158" s="116"/>
      <c r="S158" s="117"/>
      <c r="T158" s="115"/>
      <c r="U158" s="116"/>
      <c r="V158" s="116"/>
      <c r="W158" s="133"/>
      <c r="X158" s="115"/>
      <c r="Y158" s="133"/>
    </row>
    <row r="159" spans="1:25" ht="17" customHeight="1">
      <c r="A159" s="131" t="s">
        <v>843</v>
      </c>
      <c r="B159" s="131" t="s">
        <v>39</v>
      </c>
      <c r="C159" s="131">
        <v>4302.78</v>
      </c>
      <c r="D159" s="131">
        <v>1.34</v>
      </c>
      <c r="E159" s="131">
        <v>5.2</v>
      </c>
      <c r="F159" s="131">
        <v>17.2</v>
      </c>
      <c r="G159" s="131">
        <v>0.16</v>
      </c>
      <c r="H159" s="131">
        <v>1.88</v>
      </c>
      <c r="I159" s="131">
        <v>0.16</v>
      </c>
      <c r="J159" s="132">
        <v>39097</v>
      </c>
      <c r="K159" s="133" t="s">
        <v>458</v>
      </c>
      <c r="L159" s="108">
        <f t="shared" si="2"/>
        <v>0.10930232558139534</v>
      </c>
      <c r="M159" s="115"/>
      <c r="N159" s="133"/>
      <c r="O159" s="115"/>
      <c r="P159" s="115"/>
      <c r="Q159" s="116"/>
      <c r="R159" s="116"/>
      <c r="S159" s="117"/>
      <c r="T159" s="115"/>
      <c r="U159" s="116"/>
      <c r="V159" s="116"/>
      <c r="W159" s="133"/>
      <c r="X159" s="115"/>
      <c r="Y159" s="133"/>
    </row>
    <row r="160" spans="1:25" ht="17" customHeight="1">
      <c r="A160" s="131" t="s">
        <v>954</v>
      </c>
      <c r="B160" s="131" t="s">
        <v>95</v>
      </c>
      <c r="C160" s="131">
        <v>10604.05</v>
      </c>
      <c r="D160" s="131">
        <v>1.44</v>
      </c>
      <c r="E160" s="131">
        <v>5.93</v>
      </c>
      <c r="F160" s="131">
        <v>39.42</v>
      </c>
      <c r="G160" s="131">
        <v>0.91</v>
      </c>
      <c r="H160" s="131">
        <v>4.2699999999999996</v>
      </c>
      <c r="I160" s="131">
        <v>0.5</v>
      </c>
      <c r="J160" s="132">
        <v>39997</v>
      </c>
      <c r="K160" s="133" t="s">
        <v>458</v>
      </c>
      <c r="L160" s="108">
        <f t="shared" si="2"/>
        <v>0.10832064941653981</v>
      </c>
      <c r="M160" s="115"/>
      <c r="N160" s="133"/>
      <c r="O160" s="115"/>
      <c r="P160" s="115"/>
      <c r="Q160" s="116"/>
      <c r="R160" s="116"/>
      <c r="S160" s="117"/>
      <c r="T160" s="115"/>
      <c r="U160" s="116"/>
      <c r="V160" s="116"/>
      <c r="W160" s="133"/>
      <c r="X160" s="115"/>
      <c r="Y160" s="133"/>
    </row>
    <row r="161" spans="1:25" ht="17" customHeight="1">
      <c r="A161" s="131" t="s">
        <v>829</v>
      </c>
      <c r="B161" s="131" t="s">
        <v>830</v>
      </c>
      <c r="C161" s="131">
        <v>3095.79</v>
      </c>
      <c r="D161" s="131">
        <v>0.66</v>
      </c>
      <c r="E161" s="131">
        <v>1.5</v>
      </c>
      <c r="F161" s="131">
        <v>13.25</v>
      </c>
      <c r="G161" s="131">
        <v>0.23</v>
      </c>
      <c r="H161" s="131">
        <v>1.42</v>
      </c>
      <c r="I161" s="131">
        <v>0.1</v>
      </c>
      <c r="J161" s="132">
        <v>36529</v>
      </c>
      <c r="K161" s="133" t="s">
        <v>458</v>
      </c>
      <c r="L161" s="108">
        <f t="shared" si="2"/>
        <v>0.10716981132075472</v>
      </c>
      <c r="M161" s="115"/>
      <c r="N161" s="133"/>
      <c r="O161" s="115"/>
      <c r="P161" s="115"/>
      <c r="Q161" s="116"/>
      <c r="R161" s="115"/>
      <c r="S161" s="117"/>
      <c r="T161" s="115"/>
      <c r="U161" s="116"/>
      <c r="V161" s="116"/>
      <c r="W161" s="133"/>
      <c r="X161" s="115"/>
      <c r="Y161" s="133"/>
    </row>
    <row r="162" spans="1:25" ht="17" customHeight="1">
      <c r="A162" s="131" t="s">
        <v>494</v>
      </c>
      <c r="B162" s="131" t="s">
        <v>495</v>
      </c>
      <c r="C162" s="131">
        <v>6020.06</v>
      </c>
      <c r="D162" s="131">
        <v>-3.72</v>
      </c>
      <c r="E162" s="131">
        <v>-2.46</v>
      </c>
      <c r="F162" s="131">
        <v>33.450000000000003</v>
      </c>
      <c r="G162" s="131">
        <v>0.17</v>
      </c>
      <c r="H162" s="131">
        <v>3.58</v>
      </c>
      <c r="I162" s="131">
        <v>0.37</v>
      </c>
      <c r="J162" s="132">
        <v>36529</v>
      </c>
      <c r="K162" s="133" t="s">
        <v>458</v>
      </c>
      <c r="L162" s="108">
        <f t="shared" si="2"/>
        <v>0.10702541106128549</v>
      </c>
      <c r="M162" s="115"/>
      <c r="N162" s="133"/>
      <c r="O162" s="115"/>
      <c r="P162" s="115"/>
      <c r="Q162" s="116"/>
      <c r="R162" s="116"/>
      <c r="S162" s="117"/>
      <c r="T162" s="115"/>
      <c r="U162" s="116"/>
      <c r="V162" s="116"/>
      <c r="W162" s="133"/>
      <c r="X162" s="115"/>
      <c r="Y162" s="133"/>
    </row>
    <row r="163" spans="1:25" ht="17" customHeight="1">
      <c r="A163" s="131" t="s">
        <v>1039</v>
      </c>
      <c r="B163" s="131" t="s">
        <v>1040</v>
      </c>
      <c r="C163" s="131">
        <v>3503.59</v>
      </c>
      <c r="D163" s="131">
        <v>0.92</v>
      </c>
      <c r="E163" s="131">
        <v>2.46</v>
      </c>
      <c r="F163" s="131">
        <v>14.87</v>
      </c>
      <c r="G163" s="131">
        <v>0.59</v>
      </c>
      <c r="H163" s="131">
        <v>1.59</v>
      </c>
      <c r="I163" s="131">
        <v>0.35</v>
      </c>
      <c r="J163" s="132">
        <v>39997</v>
      </c>
      <c r="K163" s="133" t="s">
        <v>458</v>
      </c>
      <c r="L163" s="108">
        <f t="shared" si="2"/>
        <v>0.10692669804976464</v>
      </c>
      <c r="M163" s="115"/>
      <c r="N163" s="133"/>
      <c r="O163" s="115"/>
      <c r="P163" s="115"/>
      <c r="Q163" s="116"/>
      <c r="R163" s="115"/>
      <c r="S163" s="117"/>
      <c r="T163" s="115"/>
      <c r="U163" s="116"/>
      <c r="V163" s="116"/>
      <c r="W163" s="133"/>
      <c r="X163" s="115"/>
      <c r="Y163" s="133"/>
    </row>
    <row r="164" spans="1:25" ht="17" customHeight="1">
      <c r="A164" s="131" t="s">
        <v>920</v>
      </c>
      <c r="B164" s="131" t="s">
        <v>921</v>
      </c>
      <c r="C164" s="131">
        <v>3572.59</v>
      </c>
      <c r="D164" s="131">
        <v>-1.06</v>
      </c>
      <c r="E164" s="131">
        <v>-1.97</v>
      </c>
      <c r="F164" s="131">
        <v>6.36</v>
      </c>
      <c r="G164" s="131">
        <v>0.28999999999999998</v>
      </c>
      <c r="H164" s="131">
        <v>0.68</v>
      </c>
      <c r="I164" s="131">
        <v>0.18</v>
      </c>
      <c r="J164" s="132">
        <v>43262</v>
      </c>
      <c r="K164" s="133" t="s">
        <v>458</v>
      </c>
      <c r="L164" s="108">
        <f t="shared" si="2"/>
        <v>0.1069182389937107</v>
      </c>
      <c r="M164" s="115"/>
      <c r="N164" s="133"/>
      <c r="O164" s="115"/>
      <c r="P164" s="115"/>
      <c r="Q164" s="116"/>
      <c r="R164" s="116"/>
      <c r="S164" s="117"/>
      <c r="T164" s="115"/>
      <c r="U164" s="116"/>
      <c r="V164" s="116"/>
      <c r="W164" s="133"/>
      <c r="X164" s="115"/>
      <c r="Y164" s="133"/>
    </row>
    <row r="165" spans="1:25" ht="17" customHeight="1">
      <c r="A165" s="131" t="s">
        <v>1075</v>
      </c>
      <c r="B165" s="131" t="s">
        <v>78</v>
      </c>
      <c r="C165" s="131">
        <v>1982.18</v>
      </c>
      <c r="D165" s="131">
        <v>2.57</v>
      </c>
      <c r="E165" s="131">
        <v>10.24</v>
      </c>
      <c r="F165" s="131">
        <v>55.5</v>
      </c>
      <c r="G165" s="131">
        <v>0.66</v>
      </c>
      <c r="H165" s="131">
        <v>5.93</v>
      </c>
      <c r="I165" s="131">
        <v>0.76</v>
      </c>
      <c r="J165" s="132">
        <v>40330</v>
      </c>
      <c r="K165" s="133" t="s">
        <v>458</v>
      </c>
      <c r="L165" s="108">
        <f t="shared" si="2"/>
        <v>0.10684684684684684</v>
      </c>
      <c r="M165" s="115"/>
      <c r="N165" s="133"/>
      <c r="O165" s="115"/>
      <c r="P165" s="115"/>
      <c r="Q165" s="116"/>
      <c r="R165" s="116"/>
      <c r="S165" s="117"/>
      <c r="T165" s="115"/>
      <c r="U165" s="116"/>
      <c r="V165" s="116"/>
      <c r="W165" s="133"/>
      <c r="X165" s="115"/>
      <c r="Y165" s="133"/>
    </row>
    <row r="166" spans="1:25" ht="17" customHeight="1">
      <c r="A166" s="131" t="s">
        <v>831</v>
      </c>
      <c r="B166" s="131" t="s">
        <v>192</v>
      </c>
      <c r="C166" s="131">
        <v>28795.91</v>
      </c>
      <c r="D166" s="131">
        <v>-0.9</v>
      </c>
      <c r="E166" s="131">
        <v>2.15</v>
      </c>
      <c r="F166" s="131">
        <v>10.39</v>
      </c>
      <c r="G166" s="131">
        <v>0.34</v>
      </c>
      <c r="H166" s="131">
        <v>1.1100000000000001</v>
      </c>
      <c r="I166" s="131">
        <v>0.11</v>
      </c>
      <c r="J166" s="132">
        <v>37438</v>
      </c>
      <c r="K166" s="133" t="s">
        <v>458</v>
      </c>
      <c r="L166" s="108">
        <f t="shared" si="2"/>
        <v>0.1068334937439846</v>
      </c>
      <c r="M166" s="115"/>
      <c r="N166" s="133"/>
      <c r="O166" s="115"/>
      <c r="P166" s="115"/>
      <c r="Q166" s="116"/>
      <c r="R166" s="116"/>
      <c r="S166" s="117"/>
      <c r="T166" s="115"/>
      <c r="U166" s="116"/>
      <c r="V166" s="116"/>
      <c r="W166" s="133"/>
      <c r="X166" s="115"/>
      <c r="Y166" s="133"/>
    </row>
    <row r="167" spans="1:25" ht="17" customHeight="1">
      <c r="A167" s="131" t="s">
        <v>983</v>
      </c>
      <c r="B167" s="131" t="s">
        <v>984</v>
      </c>
      <c r="C167" s="131">
        <v>5024.18</v>
      </c>
      <c r="D167" s="131">
        <v>1.1299999999999999</v>
      </c>
      <c r="E167" s="131">
        <v>4.3099999999999996</v>
      </c>
      <c r="F167" s="131">
        <v>19.149999999999999</v>
      </c>
      <c r="G167" s="131">
        <v>0.13</v>
      </c>
      <c r="H167" s="131">
        <v>2.04</v>
      </c>
      <c r="I167" s="131">
        <v>0.41</v>
      </c>
      <c r="J167" s="132">
        <v>40511</v>
      </c>
      <c r="K167" s="133" t="s">
        <v>458</v>
      </c>
      <c r="L167" s="108">
        <f t="shared" si="2"/>
        <v>0.10652741514360314</v>
      </c>
      <c r="M167" s="115"/>
      <c r="N167" s="133"/>
      <c r="O167" s="115"/>
      <c r="P167" s="115"/>
      <c r="Q167" s="116"/>
      <c r="R167" s="116"/>
      <c r="S167" s="117"/>
      <c r="T167" s="115"/>
      <c r="U167" s="116"/>
      <c r="V167" s="116"/>
      <c r="W167" s="133"/>
      <c r="X167" s="115"/>
      <c r="Y167" s="133"/>
    </row>
    <row r="168" spans="1:25" ht="17" customHeight="1">
      <c r="A168" s="131" t="s">
        <v>558</v>
      </c>
      <c r="B168" s="131" t="s">
        <v>559</v>
      </c>
      <c r="C168" s="131">
        <v>1963.53</v>
      </c>
      <c r="D168" s="131">
        <v>0.82</v>
      </c>
      <c r="E168" s="131">
        <v>0.98</v>
      </c>
      <c r="F168" s="131">
        <v>9.7100000000000009</v>
      </c>
      <c r="G168" s="131">
        <v>0.02</v>
      </c>
      <c r="H168" s="131">
        <v>1.03</v>
      </c>
      <c r="I168" s="131">
        <v>0.13</v>
      </c>
      <c r="J168" s="132">
        <v>36529</v>
      </c>
      <c r="K168" s="133" t="s">
        <v>458</v>
      </c>
      <c r="L168" s="108">
        <f t="shared" si="2"/>
        <v>0.10607621009268794</v>
      </c>
      <c r="M168" s="115"/>
      <c r="N168" s="133"/>
      <c r="O168" s="115"/>
      <c r="P168" s="115"/>
      <c r="Q168" s="116"/>
      <c r="R168" s="116"/>
      <c r="S168" s="117"/>
      <c r="T168" s="115"/>
      <c r="U168" s="116"/>
      <c r="V168" s="116"/>
      <c r="W168" s="133"/>
      <c r="X168" s="115"/>
      <c r="Y168" s="133"/>
    </row>
    <row r="169" spans="1:25" ht="17" customHeight="1">
      <c r="A169" s="131" t="s">
        <v>490</v>
      </c>
      <c r="B169" s="131" t="s">
        <v>491</v>
      </c>
      <c r="C169" s="131">
        <v>2138.92</v>
      </c>
      <c r="D169" s="131">
        <v>0.73</v>
      </c>
      <c r="E169" s="131">
        <v>2.38</v>
      </c>
      <c r="F169" s="131">
        <v>9.7899999999999991</v>
      </c>
      <c r="G169" s="131">
        <v>0.03</v>
      </c>
      <c r="H169" s="131">
        <v>1.03</v>
      </c>
      <c r="I169" s="131">
        <v>0.01</v>
      </c>
      <c r="J169" s="132">
        <v>36529</v>
      </c>
      <c r="K169" s="133" t="s">
        <v>458</v>
      </c>
      <c r="L169" s="108">
        <f t="shared" si="2"/>
        <v>0.10520939734422882</v>
      </c>
      <c r="M169" s="115"/>
      <c r="N169" s="133"/>
      <c r="O169" s="115"/>
      <c r="P169" s="115"/>
      <c r="Q169" s="116"/>
      <c r="R169" s="116"/>
      <c r="S169" s="117"/>
      <c r="T169" s="115"/>
      <c r="U169" s="116"/>
      <c r="V169" s="116"/>
      <c r="W169" s="133"/>
      <c r="X169" s="115"/>
      <c r="Y169" s="133"/>
    </row>
    <row r="170" spans="1:25" ht="17" customHeight="1">
      <c r="A170" s="131" t="s">
        <v>695</v>
      </c>
      <c r="B170" s="131" t="s">
        <v>696</v>
      </c>
      <c r="C170" s="131">
        <v>2431.02</v>
      </c>
      <c r="D170" s="131">
        <v>-0.35</v>
      </c>
      <c r="E170" s="131">
        <v>-0.84</v>
      </c>
      <c r="F170" s="131">
        <v>9.9</v>
      </c>
      <c r="G170" s="131">
        <v>0.05</v>
      </c>
      <c r="H170" s="131">
        <v>1.04</v>
      </c>
      <c r="I170" s="131">
        <v>0.01</v>
      </c>
      <c r="J170" s="132">
        <v>36529</v>
      </c>
      <c r="K170" s="133" t="s">
        <v>458</v>
      </c>
      <c r="L170" s="108">
        <f t="shared" si="2"/>
        <v>0.10505050505050505</v>
      </c>
      <c r="M170" s="115"/>
      <c r="N170" s="133"/>
      <c r="O170" s="115"/>
      <c r="P170" s="115"/>
      <c r="Q170" s="116"/>
      <c r="R170" s="116"/>
      <c r="S170" s="117"/>
      <c r="T170" s="115"/>
      <c r="U170" s="116"/>
      <c r="V170" s="116"/>
      <c r="W170" s="133"/>
      <c r="X170" s="115"/>
      <c r="Y170" s="133"/>
    </row>
    <row r="171" spans="1:25" ht="17" customHeight="1">
      <c r="A171" s="131" t="s">
        <v>931</v>
      </c>
      <c r="B171" s="131" t="s">
        <v>932</v>
      </c>
      <c r="C171" s="131">
        <v>10472.870000000001</v>
      </c>
      <c r="D171" s="131">
        <v>1.75</v>
      </c>
      <c r="E171" s="131">
        <v>5.57</v>
      </c>
      <c r="F171" s="131">
        <v>36.96</v>
      </c>
      <c r="G171" s="131">
        <v>0.85</v>
      </c>
      <c r="H171" s="131">
        <v>3.88</v>
      </c>
      <c r="I171" s="131">
        <v>0.27</v>
      </c>
      <c r="J171" s="132">
        <v>41264</v>
      </c>
      <c r="K171" s="133" t="s">
        <v>458</v>
      </c>
      <c r="L171" s="108">
        <f t="shared" si="2"/>
        <v>0.10497835497835498</v>
      </c>
      <c r="M171" s="115"/>
      <c r="N171" s="133"/>
      <c r="O171" s="115"/>
      <c r="P171" s="115"/>
      <c r="Q171" s="116"/>
      <c r="R171" s="116"/>
      <c r="S171" s="117"/>
      <c r="T171" s="115"/>
      <c r="U171" s="116"/>
      <c r="V171" s="116"/>
      <c r="W171" s="133"/>
      <c r="X171" s="115"/>
      <c r="Y171" s="133"/>
    </row>
    <row r="172" spans="1:25" ht="17" customHeight="1">
      <c r="A172" s="131" t="s">
        <v>1072</v>
      </c>
      <c r="B172" s="131"/>
      <c r="C172" s="131">
        <v>1659.61</v>
      </c>
      <c r="D172" s="131">
        <v>2.88</v>
      </c>
      <c r="E172" s="131">
        <v>9.7799999999999994</v>
      </c>
      <c r="F172" s="131">
        <v>63.12</v>
      </c>
      <c r="G172" s="131">
        <v>0.79</v>
      </c>
      <c r="H172" s="131">
        <v>6.59</v>
      </c>
      <c r="I172" s="131">
        <v>0.75</v>
      </c>
      <c r="J172" s="132">
        <v>41808</v>
      </c>
      <c r="K172" s="133" t="s">
        <v>458</v>
      </c>
      <c r="L172" s="108">
        <f t="shared" si="2"/>
        <v>0.104404309252218</v>
      </c>
      <c r="M172" s="115"/>
      <c r="N172" s="133"/>
      <c r="O172" s="115"/>
      <c r="P172" s="115"/>
      <c r="Q172" s="116"/>
      <c r="R172" s="116"/>
      <c r="S172" s="117"/>
      <c r="T172" s="115"/>
      <c r="U172" s="116"/>
      <c r="V172" s="116"/>
      <c r="W172" s="133"/>
      <c r="X172" s="115"/>
      <c r="Y172" s="133"/>
    </row>
    <row r="173" spans="1:25" ht="17" customHeight="1">
      <c r="A173" s="131" t="s">
        <v>907</v>
      </c>
      <c r="B173" s="131" t="s">
        <v>760</v>
      </c>
      <c r="C173" s="131">
        <v>8658.66</v>
      </c>
      <c r="D173" s="131">
        <v>2.8</v>
      </c>
      <c r="E173" s="131">
        <v>5.18</v>
      </c>
      <c r="F173" s="131">
        <v>27.16</v>
      </c>
      <c r="G173" s="131">
        <v>0.32</v>
      </c>
      <c r="H173" s="131">
        <v>2.82</v>
      </c>
      <c r="I173" s="131">
        <v>0.22</v>
      </c>
      <c r="J173" s="132">
        <v>42143</v>
      </c>
      <c r="K173" s="133" t="s">
        <v>458</v>
      </c>
      <c r="L173" s="108">
        <f t="shared" si="2"/>
        <v>0.10382916053019145</v>
      </c>
      <c r="M173" s="115"/>
      <c r="N173" s="133"/>
      <c r="O173" s="115"/>
      <c r="P173" s="115"/>
      <c r="Q173" s="116"/>
      <c r="R173" s="115"/>
      <c r="S173" s="117"/>
      <c r="T173" s="115"/>
      <c r="U173" s="116"/>
      <c r="V173" s="116"/>
      <c r="W173" s="133"/>
      <c r="X173" s="115"/>
      <c r="Y173" s="133"/>
    </row>
    <row r="174" spans="1:25" ht="17" customHeight="1">
      <c r="A174" s="131" t="s">
        <v>862</v>
      </c>
      <c r="B174" s="131" t="s">
        <v>863</v>
      </c>
      <c r="C174" s="131">
        <v>1382.39</v>
      </c>
      <c r="D174" s="131">
        <v>1.83</v>
      </c>
      <c r="E174" s="131">
        <v>8.65</v>
      </c>
      <c r="F174" s="131">
        <v>31.13</v>
      </c>
      <c r="G174" s="131">
        <v>0.32</v>
      </c>
      <c r="H174" s="131">
        <v>3.23</v>
      </c>
      <c r="I174" s="131">
        <v>0.26</v>
      </c>
      <c r="J174" s="132">
        <v>40259</v>
      </c>
      <c r="K174" s="133" t="s">
        <v>458</v>
      </c>
      <c r="L174" s="108">
        <f t="shared" si="2"/>
        <v>0.10375843238034051</v>
      </c>
      <c r="M174" s="115"/>
      <c r="N174" s="133"/>
      <c r="O174" s="115"/>
      <c r="P174" s="115"/>
      <c r="Q174" s="116"/>
      <c r="R174" s="115"/>
      <c r="S174" s="117"/>
      <c r="T174" s="115"/>
      <c r="U174" s="116"/>
      <c r="V174" s="116"/>
      <c r="W174" s="133"/>
      <c r="X174" s="115"/>
      <c r="Y174" s="133"/>
    </row>
    <row r="175" spans="1:25" ht="17" customHeight="1">
      <c r="A175" s="131" t="s">
        <v>1023</v>
      </c>
      <c r="B175" s="131" t="s">
        <v>1024</v>
      </c>
      <c r="C175" s="131">
        <v>11294.25</v>
      </c>
      <c r="D175" s="131">
        <v>1.71</v>
      </c>
      <c r="E175" s="131">
        <v>6.54</v>
      </c>
      <c r="F175" s="131">
        <v>41.26</v>
      </c>
      <c r="G175" s="131">
        <v>0.9</v>
      </c>
      <c r="H175" s="131">
        <v>4.2699999999999996</v>
      </c>
      <c r="I175" s="131">
        <v>0.57999999999999996</v>
      </c>
      <c r="J175" s="132">
        <v>42451</v>
      </c>
      <c r="K175" s="133" t="s">
        <v>458</v>
      </c>
      <c r="L175" s="108">
        <f t="shared" si="2"/>
        <v>0.10349006301502665</v>
      </c>
      <c r="M175" s="115"/>
      <c r="N175" s="133"/>
      <c r="O175" s="115"/>
      <c r="P175" s="115"/>
      <c r="Q175" s="116"/>
      <c r="R175" s="116"/>
      <c r="S175" s="117"/>
      <c r="T175" s="115"/>
      <c r="U175" s="116"/>
      <c r="V175" s="116"/>
      <c r="W175" s="133"/>
      <c r="X175" s="115"/>
      <c r="Y175" s="133"/>
    </row>
    <row r="176" spans="1:25" ht="17" customHeight="1">
      <c r="A176" s="131" t="s">
        <v>526</v>
      </c>
      <c r="B176" s="131" t="s">
        <v>527</v>
      </c>
      <c r="C176" s="131">
        <v>5100.5</v>
      </c>
      <c r="D176" s="131">
        <v>2.95</v>
      </c>
      <c r="E176" s="131">
        <v>13.68</v>
      </c>
      <c r="F176" s="131">
        <v>44.59</v>
      </c>
      <c r="G176" s="131">
        <v>0.5</v>
      </c>
      <c r="H176" s="131">
        <v>4.59</v>
      </c>
      <c r="I176" s="131">
        <v>0.86</v>
      </c>
      <c r="J176" s="132">
        <v>36529</v>
      </c>
      <c r="K176" s="133" t="s">
        <v>458</v>
      </c>
      <c r="L176" s="108">
        <f t="shared" si="2"/>
        <v>0.10293787844808251</v>
      </c>
      <c r="M176" s="115"/>
      <c r="N176" s="133"/>
      <c r="O176" s="115"/>
      <c r="P176" s="115"/>
      <c r="Q176" s="116"/>
      <c r="R176" s="116"/>
      <c r="S176" s="117"/>
      <c r="T176" s="115"/>
      <c r="U176" s="116"/>
      <c r="V176" s="116"/>
      <c r="W176" s="133"/>
      <c r="X176" s="115"/>
      <c r="Y176" s="133"/>
    </row>
    <row r="177" spans="1:25" ht="17" customHeight="1">
      <c r="A177" s="131" t="s">
        <v>810</v>
      </c>
      <c r="B177" s="131" t="s">
        <v>811</v>
      </c>
      <c r="C177" s="131">
        <v>1540.81</v>
      </c>
      <c r="D177" s="131">
        <v>1.77</v>
      </c>
      <c r="E177" s="131">
        <v>4.95</v>
      </c>
      <c r="F177" s="131">
        <v>17.36</v>
      </c>
      <c r="G177" s="131">
        <v>0.31</v>
      </c>
      <c r="H177" s="131">
        <v>1.77</v>
      </c>
      <c r="I177" s="131">
        <v>0.16</v>
      </c>
      <c r="J177" s="132">
        <v>42132</v>
      </c>
      <c r="K177" s="133" t="s">
        <v>458</v>
      </c>
      <c r="L177" s="108">
        <f t="shared" si="2"/>
        <v>0.10195852534562212</v>
      </c>
      <c r="M177" s="115"/>
      <c r="N177" s="133"/>
      <c r="O177" s="115"/>
      <c r="P177" s="115"/>
      <c r="Q177" s="116"/>
      <c r="R177" s="116"/>
      <c r="S177" s="117"/>
      <c r="T177" s="115"/>
      <c r="U177" s="116"/>
      <c r="V177" s="116"/>
      <c r="W177" s="133"/>
      <c r="X177" s="115"/>
      <c r="Y177" s="133"/>
    </row>
    <row r="178" spans="1:25" ht="17" customHeight="1">
      <c r="A178" s="131" t="s">
        <v>602</v>
      </c>
      <c r="B178" s="131" t="s">
        <v>603</v>
      </c>
      <c r="C178" s="131">
        <v>3983.49</v>
      </c>
      <c r="D178" s="131">
        <v>-0.02</v>
      </c>
      <c r="E178" s="131">
        <v>3.46</v>
      </c>
      <c r="F178" s="131">
        <v>16.22</v>
      </c>
      <c r="G178" s="131">
        <v>0.18</v>
      </c>
      <c r="H178" s="131">
        <v>1.65</v>
      </c>
      <c r="I178" s="131">
        <v>0.13</v>
      </c>
      <c r="J178" s="132">
        <v>36529</v>
      </c>
      <c r="K178" s="133" t="s">
        <v>458</v>
      </c>
      <c r="L178" s="108">
        <f t="shared" si="2"/>
        <v>0.10172626387176326</v>
      </c>
      <c r="M178" s="115"/>
      <c r="N178" s="133"/>
      <c r="O178" s="115"/>
      <c r="P178" s="115"/>
      <c r="Q178" s="116"/>
      <c r="R178" s="116"/>
      <c r="S178" s="117"/>
      <c r="T178" s="115"/>
      <c r="U178" s="116"/>
      <c r="V178" s="116"/>
      <c r="W178" s="133"/>
      <c r="X178" s="115"/>
      <c r="Y178" s="133"/>
    </row>
    <row r="179" spans="1:25" ht="17" customHeight="1">
      <c r="A179" s="131" t="s">
        <v>878</v>
      </c>
      <c r="B179" s="131" t="s">
        <v>879</v>
      </c>
      <c r="C179" s="131">
        <v>4077.24</v>
      </c>
      <c r="D179" s="131">
        <v>-1.41</v>
      </c>
      <c r="E179" s="131">
        <v>18.79</v>
      </c>
      <c r="F179" s="131">
        <v>17.14</v>
      </c>
      <c r="G179" s="131">
        <v>0.38</v>
      </c>
      <c r="H179" s="131">
        <v>1.73</v>
      </c>
      <c r="I179" s="131">
        <v>0.24</v>
      </c>
      <c r="J179" s="132">
        <v>38356</v>
      </c>
      <c r="K179" s="133" t="s">
        <v>458</v>
      </c>
      <c r="L179" s="108">
        <f t="shared" si="2"/>
        <v>0.10093348891481914</v>
      </c>
      <c r="M179" s="115"/>
      <c r="N179" s="133"/>
      <c r="O179" s="115"/>
      <c r="P179" s="115"/>
      <c r="Q179" s="116"/>
      <c r="R179" s="116"/>
      <c r="S179" s="117"/>
      <c r="T179" s="115"/>
      <c r="U179" s="116"/>
      <c r="V179" s="116"/>
      <c r="W179" s="133"/>
      <c r="X179" s="115"/>
      <c r="Y179" s="133"/>
    </row>
    <row r="180" spans="1:25" ht="17" customHeight="1">
      <c r="A180" s="131" t="s">
        <v>556</v>
      </c>
      <c r="B180" s="131" t="s">
        <v>557</v>
      </c>
      <c r="C180" s="131">
        <v>1140.48</v>
      </c>
      <c r="D180" s="131">
        <v>1.0900000000000001</v>
      </c>
      <c r="E180" s="131">
        <v>-1.97</v>
      </c>
      <c r="F180" s="131">
        <v>10.06</v>
      </c>
      <c r="G180" s="131">
        <v>7.0000000000000007E-2</v>
      </c>
      <c r="H180" s="131">
        <v>1.01</v>
      </c>
      <c r="I180" s="131">
        <v>0.01</v>
      </c>
      <c r="J180" s="132">
        <v>36529</v>
      </c>
      <c r="K180" s="133" t="s">
        <v>458</v>
      </c>
      <c r="L180" s="108">
        <f t="shared" si="2"/>
        <v>0.1003976143141153</v>
      </c>
      <c r="M180" s="115"/>
      <c r="N180" s="133"/>
      <c r="O180" s="115"/>
      <c r="P180" s="115"/>
      <c r="Q180" s="116"/>
      <c r="R180" s="116"/>
      <c r="S180" s="117"/>
      <c r="T180" s="115"/>
      <c r="U180" s="116"/>
      <c r="V180" s="116"/>
      <c r="W180" s="133"/>
      <c r="X180" s="115"/>
      <c r="Y180" s="133"/>
    </row>
    <row r="181" spans="1:25" ht="17" customHeight="1">
      <c r="A181" s="131" t="s">
        <v>631</v>
      </c>
      <c r="B181" s="131" t="s">
        <v>632</v>
      </c>
      <c r="C181" s="131">
        <v>2188.65</v>
      </c>
      <c r="D181" s="131">
        <v>0.85</v>
      </c>
      <c r="E181" s="131">
        <v>-0.3</v>
      </c>
      <c r="F181" s="131">
        <v>8.19</v>
      </c>
      <c r="G181" s="131">
        <v>0.01</v>
      </c>
      <c r="H181" s="131">
        <v>0.82</v>
      </c>
      <c r="I181" s="131">
        <v>0.02</v>
      </c>
      <c r="J181" s="132">
        <v>40826</v>
      </c>
      <c r="K181" s="133" t="s">
        <v>458</v>
      </c>
      <c r="L181" s="108">
        <f t="shared" si="2"/>
        <v>0.10012210012210013</v>
      </c>
      <c r="M181" s="115"/>
      <c r="N181" s="133"/>
      <c r="O181" s="115"/>
      <c r="P181" s="115"/>
      <c r="Q181" s="116"/>
      <c r="R181" s="116"/>
      <c r="S181" s="117"/>
      <c r="T181" s="115"/>
      <c r="U181" s="116"/>
      <c r="V181" s="116"/>
      <c r="W181" s="133"/>
      <c r="X181" s="115"/>
      <c r="Y181" s="133"/>
    </row>
    <row r="182" spans="1:25" ht="17" customHeight="1">
      <c r="A182" s="131" t="s">
        <v>985</v>
      </c>
      <c r="B182" s="131" t="s">
        <v>53</v>
      </c>
      <c r="C182" s="131">
        <v>10628.07</v>
      </c>
      <c r="D182" s="131">
        <v>1.75</v>
      </c>
      <c r="E182" s="131">
        <v>6.47</v>
      </c>
      <c r="F182" s="131">
        <v>41.11</v>
      </c>
      <c r="G182" s="131">
        <v>0.78</v>
      </c>
      <c r="H182" s="131">
        <v>4.1100000000000003</v>
      </c>
      <c r="I182" s="131">
        <v>0.39</v>
      </c>
      <c r="J182" s="132">
        <v>40757</v>
      </c>
      <c r="K182" s="133" t="s">
        <v>458</v>
      </c>
      <c r="L182" s="108">
        <f t="shared" si="2"/>
        <v>9.997567501824374E-2</v>
      </c>
      <c r="M182" s="115"/>
      <c r="N182" s="133"/>
      <c r="O182" s="115"/>
      <c r="P182" s="115"/>
      <c r="Q182" s="116"/>
      <c r="R182" s="116"/>
      <c r="S182" s="117"/>
      <c r="T182" s="115"/>
      <c r="U182" s="116"/>
      <c r="V182" s="116"/>
      <c r="W182" s="133"/>
      <c r="X182" s="115"/>
      <c r="Y182" s="133"/>
    </row>
    <row r="183" spans="1:25" ht="17" customHeight="1">
      <c r="A183" s="131" t="s">
        <v>681</v>
      </c>
      <c r="B183" s="131" t="s">
        <v>682</v>
      </c>
      <c r="C183" s="131">
        <v>4254.67</v>
      </c>
      <c r="D183" s="131">
        <v>0.94</v>
      </c>
      <c r="E183" s="131">
        <v>4.05</v>
      </c>
      <c r="F183" s="131">
        <v>23.12</v>
      </c>
      <c r="G183" s="131">
        <v>0.19</v>
      </c>
      <c r="H183" s="131">
        <v>2.31</v>
      </c>
      <c r="I183" s="131">
        <v>0.23</v>
      </c>
      <c r="J183" s="132">
        <v>36529</v>
      </c>
      <c r="K183" s="133" t="s">
        <v>458</v>
      </c>
      <c r="L183" s="108">
        <f t="shared" si="2"/>
        <v>9.9913494809688586E-2</v>
      </c>
      <c r="M183" s="115"/>
      <c r="N183" s="133"/>
      <c r="O183" s="115"/>
      <c r="P183" s="115"/>
      <c r="Q183" s="116"/>
      <c r="R183" s="116"/>
      <c r="S183" s="117"/>
      <c r="T183" s="115"/>
      <c r="U183" s="116"/>
      <c r="V183" s="116"/>
      <c r="W183" s="133"/>
      <c r="X183" s="115"/>
      <c r="Y183" s="133"/>
    </row>
    <row r="184" spans="1:25" ht="17" customHeight="1">
      <c r="A184" s="131" t="s">
        <v>1015</v>
      </c>
      <c r="B184" s="131" t="s">
        <v>1016</v>
      </c>
      <c r="C184" s="131">
        <v>1878.99</v>
      </c>
      <c r="D184" s="131">
        <v>1.27</v>
      </c>
      <c r="E184" s="131">
        <v>5.14</v>
      </c>
      <c r="F184" s="131">
        <v>25.83</v>
      </c>
      <c r="G184" s="131">
        <v>0.36</v>
      </c>
      <c r="H184" s="131">
        <v>2.58</v>
      </c>
      <c r="I184" s="131">
        <v>0.65</v>
      </c>
      <c r="J184" s="132">
        <v>42383</v>
      </c>
      <c r="K184" s="133" t="s">
        <v>458</v>
      </c>
      <c r="L184" s="108">
        <f t="shared" si="2"/>
        <v>9.9883855981416969E-2</v>
      </c>
      <c r="M184" s="115"/>
      <c r="N184" s="133"/>
      <c r="O184" s="115"/>
      <c r="P184" s="115"/>
      <c r="Q184" s="116"/>
      <c r="R184" s="116"/>
      <c r="S184" s="117"/>
      <c r="T184" s="115"/>
      <c r="U184" s="116"/>
      <c r="V184" s="116"/>
      <c r="W184" s="133"/>
      <c r="X184" s="115"/>
      <c r="Y184" s="133"/>
    </row>
    <row r="185" spans="1:25" ht="17" customHeight="1">
      <c r="A185" s="131" t="s">
        <v>651</v>
      </c>
      <c r="B185" s="131" t="s">
        <v>652</v>
      </c>
      <c r="C185" s="131">
        <v>9154.92</v>
      </c>
      <c r="D185" s="131">
        <v>-5.5</v>
      </c>
      <c r="E185" s="131">
        <v>-4.07</v>
      </c>
      <c r="F185" s="131">
        <v>30.64</v>
      </c>
      <c r="G185" s="131">
        <v>0.21</v>
      </c>
      <c r="H185" s="131">
        <v>3.05</v>
      </c>
      <c r="I185" s="131">
        <v>0.16</v>
      </c>
      <c r="J185" s="132">
        <v>36529</v>
      </c>
      <c r="K185" s="133" t="s">
        <v>458</v>
      </c>
      <c r="L185" s="108">
        <f t="shared" si="2"/>
        <v>9.9543080939947778E-2</v>
      </c>
      <c r="M185" s="115"/>
      <c r="N185" s="133"/>
      <c r="O185" s="115"/>
      <c r="P185" s="115"/>
      <c r="Q185" s="116"/>
      <c r="R185" s="116"/>
      <c r="S185" s="117"/>
      <c r="T185" s="115"/>
      <c r="U185" s="116"/>
      <c r="V185" s="116"/>
      <c r="W185" s="133"/>
      <c r="X185" s="115"/>
      <c r="Y185" s="133"/>
    </row>
    <row r="186" spans="1:25" ht="17" customHeight="1">
      <c r="A186" s="131" t="s">
        <v>924</v>
      </c>
      <c r="B186" s="131" t="s">
        <v>925</v>
      </c>
      <c r="C186" s="131">
        <v>2706.5</v>
      </c>
      <c r="D186" s="131">
        <v>1.68</v>
      </c>
      <c r="E186" s="131">
        <v>4.01</v>
      </c>
      <c r="F186" s="131">
        <v>18.63</v>
      </c>
      <c r="G186" s="131">
        <v>0.26</v>
      </c>
      <c r="H186" s="131">
        <v>1.85</v>
      </c>
      <c r="I186" s="131">
        <v>0.27</v>
      </c>
      <c r="J186" s="132">
        <v>41991</v>
      </c>
      <c r="K186" s="133" t="s">
        <v>458</v>
      </c>
      <c r="L186" s="108">
        <f t="shared" si="2"/>
        <v>9.9302200751476125E-2</v>
      </c>
      <c r="M186" s="115"/>
      <c r="N186" s="133"/>
      <c r="O186" s="115"/>
      <c r="P186" s="115"/>
      <c r="Q186" s="116"/>
      <c r="R186" s="116"/>
      <c r="S186" s="117"/>
      <c r="T186" s="115"/>
      <c r="U186" s="116"/>
      <c r="V186" s="116"/>
      <c r="W186" s="133"/>
      <c r="X186" s="115"/>
      <c r="Y186" s="133"/>
    </row>
    <row r="187" spans="1:25" ht="17" customHeight="1">
      <c r="A187" s="131" t="s">
        <v>576</v>
      </c>
      <c r="B187" s="131" t="s">
        <v>577</v>
      </c>
      <c r="C187" s="131">
        <v>9407.6</v>
      </c>
      <c r="D187" s="131">
        <v>3.21</v>
      </c>
      <c r="E187" s="131">
        <v>7.38</v>
      </c>
      <c r="F187" s="131">
        <v>47.15</v>
      </c>
      <c r="G187" s="131">
        <v>0.45</v>
      </c>
      <c r="H187" s="131">
        <v>4.66</v>
      </c>
      <c r="I187" s="131">
        <v>0.4</v>
      </c>
      <c r="J187" s="132">
        <v>36529</v>
      </c>
      <c r="K187" s="133" t="s">
        <v>458</v>
      </c>
      <c r="L187" s="108">
        <f t="shared" si="2"/>
        <v>9.8833510074231176E-2</v>
      </c>
      <c r="M187" s="115"/>
      <c r="N187" s="133"/>
      <c r="O187" s="115"/>
      <c r="P187" s="115"/>
      <c r="Q187" s="116"/>
      <c r="R187" s="116"/>
      <c r="S187" s="117"/>
      <c r="T187" s="115"/>
      <c r="U187" s="116"/>
      <c r="V187" s="116"/>
      <c r="W187" s="133"/>
      <c r="X187" s="115"/>
      <c r="Y187" s="133"/>
    </row>
    <row r="188" spans="1:25" ht="17" customHeight="1">
      <c r="A188" s="131" t="s">
        <v>880</v>
      </c>
      <c r="B188" s="131" t="s">
        <v>881</v>
      </c>
      <c r="C188" s="131">
        <v>4868.7299999999996</v>
      </c>
      <c r="D188" s="131">
        <v>-0.75</v>
      </c>
      <c r="E188" s="131">
        <v>3.74</v>
      </c>
      <c r="F188" s="131">
        <v>10.43</v>
      </c>
      <c r="G188" s="131">
        <v>0.28999999999999998</v>
      </c>
      <c r="H188" s="131">
        <v>1.03</v>
      </c>
      <c r="I188" s="131">
        <v>0.14000000000000001</v>
      </c>
      <c r="J188" s="132">
        <v>38971</v>
      </c>
      <c r="K188" s="133" t="s">
        <v>458</v>
      </c>
      <c r="L188" s="108">
        <f t="shared" si="2"/>
        <v>9.8753595397890706E-2</v>
      </c>
      <c r="M188" s="115"/>
      <c r="N188" s="133"/>
      <c r="O188" s="115"/>
      <c r="P188" s="115"/>
      <c r="Q188" s="116"/>
      <c r="R188" s="116"/>
      <c r="S188" s="117"/>
      <c r="T188" s="115"/>
      <c r="U188" s="116"/>
      <c r="V188" s="116"/>
      <c r="W188" s="133"/>
      <c r="X188" s="115"/>
      <c r="Y188" s="133"/>
    </row>
    <row r="189" spans="1:25" ht="17" customHeight="1">
      <c r="A189" s="131" t="s">
        <v>685</v>
      </c>
      <c r="B189" s="131" t="s">
        <v>686</v>
      </c>
      <c r="C189" s="131">
        <v>3366.39</v>
      </c>
      <c r="D189" s="131">
        <v>0.77</v>
      </c>
      <c r="E189" s="131">
        <v>4.54</v>
      </c>
      <c r="F189" s="131">
        <v>23.79</v>
      </c>
      <c r="G189" s="131">
        <v>0.1</v>
      </c>
      <c r="H189" s="131">
        <v>2.3199999999999998</v>
      </c>
      <c r="I189" s="131">
        <v>0.36</v>
      </c>
      <c r="J189" s="132">
        <v>36529</v>
      </c>
      <c r="K189" s="133" t="s">
        <v>458</v>
      </c>
      <c r="L189" s="108">
        <f t="shared" si="2"/>
        <v>9.7519966372425382E-2</v>
      </c>
      <c r="M189" s="115"/>
      <c r="N189" s="133"/>
      <c r="O189" s="115"/>
      <c r="P189" s="115"/>
      <c r="Q189" s="116"/>
      <c r="R189" s="116"/>
      <c r="S189" s="117"/>
      <c r="T189" s="115"/>
      <c r="U189" s="116"/>
      <c r="V189" s="116"/>
      <c r="W189" s="133"/>
      <c r="X189" s="115"/>
      <c r="Y189" s="133"/>
    </row>
    <row r="190" spans="1:25" ht="17" customHeight="1">
      <c r="A190" s="131" t="s">
        <v>478</v>
      </c>
      <c r="B190" s="131" t="s">
        <v>479</v>
      </c>
      <c r="C190" s="131">
        <v>3345.88</v>
      </c>
      <c r="D190" s="131">
        <v>-0.06</v>
      </c>
      <c r="E190" s="131">
        <v>3.24</v>
      </c>
      <c r="F190" s="131">
        <v>15.26</v>
      </c>
      <c r="G190" s="131">
        <v>0.01</v>
      </c>
      <c r="H190" s="131">
        <v>1.48</v>
      </c>
      <c r="I190" s="131">
        <v>0.03</v>
      </c>
      <c r="J190" s="132">
        <v>36529</v>
      </c>
      <c r="K190" s="133" t="s">
        <v>458</v>
      </c>
      <c r="L190" s="108">
        <f t="shared" si="2"/>
        <v>9.6985583224115338E-2</v>
      </c>
      <c r="M190" s="115"/>
      <c r="N190" s="133"/>
      <c r="O190" s="115"/>
      <c r="P190" s="115"/>
      <c r="Q190" s="116"/>
      <c r="R190" s="116"/>
      <c r="S190" s="117"/>
      <c r="T190" s="115"/>
      <c r="U190" s="116"/>
      <c r="V190" s="116"/>
      <c r="W190" s="133"/>
      <c r="X190" s="115"/>
      <c r="Y190" s="133"/>
    </row>
    <row r="191" spans="1:25" ht="17" customHeight="1">
      <c r="A191" s="131" t="s">
        <v>849</v>
      </c>
      <c r="B191" s="131" t="s">
        <v>850</v>
      </c>
      <c r="C191" s="131">
        <v>7586.76</v>
      </c>
      <c r="D191" s="131">
        <v>1.82</v>
      </c>
      <c r="E191" s="131">
        <v>7</v>
      </c>
      <c r="F191" s="131">
        <v>27.84</v>
      </c>
      <c r="G191" s="131">
        <v>0.7</v>
      </c>
      <c r="H191" s="131">
        <v>2.7</v>
      </c>
      <c r="I191" s="131">
        <v>0.57999999999999996</v>
      </c>
      <c r="J191" s="132">
        <v>40298</v>
      </c>
      <c r="K191" s="133" t="s">
        <v>458</v>
      </c>
      <c r="L191" s="108">
        <f t="shared" si="2"/>
        <v>9.6982758620689669E-2</v>
      </c>
      <c r="M191" s="115"/>
      <c r="N191" s="133"/>
      <c r="O191" s="115"/>
      <c r="P191" s="115"/>
      <c r="Q191" s="116"/>
      <c r="R191" s="116"/>
      <c r="S191" s="117"/>
      <c r="T191" s="115"/>
      <c r="U191" s="116"/>
      <c r="V191" s="116"/>
      <c r="W191" s="133"/>
      <c r="X191" s="115"/>
      <c r="Y191" s="133"/>
    </row>
    <row r="192" spans="1:25" ht="17" customHeight="1">
      <c r="A192" s="131" t="s">
        <v>823</v>
      </c>
      <c r="B192" s="131" t="s">
        <v>824</v>
      </c>
      <c r="C192" s="131">
        <v>1436.91</v>
      </c>
      <c r="D192" s="131">
        <v>0.9</v>
      </c>
      <c r="E192" s="131">
        <v>1.1299999999999999</v>
      </c>
      <c r="F192" s="131">
        <v>11.56</v>
      </c>
      <c r="G192" s="131">
        <v>0.01</v>
      </c>
      <c r="H192" s="131">
        <v>1.1200000000000001</v>
      </c>
      <c r="I192" s="131">
        <v>0.05</v>
      </c>
      <c r="J192" s="132">
        <v>42024</v>
      </c>
      <c r="K192" s="133" t="s">
        <v>458</v>
      </c>
      <c r="L192" s="108">
        <f t="shared" si="2"/>
        <v>9.6885813148788927E-2</v>
      </c>
      <c r="M192" s="115"/>
      <c r="N192" s="133"/>
      <c r="O192" s="115"/>
      <c r="P192" s="115"/>
      <c r="Q192" s="116"/>
      <c r="R192" s="116"/>
      <c r="S192" s="117"/>
      <c r="T192" s="115"/>
      <c r="U192" s="116"/>
      <c r="V192" s="116"/>
      <c r="W192" s="133"/>
      <c r="X192" s="115"/>
      <c r="Y192" s="133"/>
    </row>
    <row r="193" spans="1:25" ht="17" customHeight="1">
      <c r="A193" s="131" t="s">
        <v>855</v>
      </c>
      <c r="B193" s="131" t="s">
        <v>856</v>
      </c>
      <c r="C193" s="131">
        <v>3858.07</v>
      </c>
      <c r="D193" s="131">
        <v>-1.38</v>
      </c>
      <c r="E193" s="131">
        <v>18.899999999999999</v>
      </c>
      <c r="F193" s="131">
        <v>18.07</v>
      </c>
      <c r="G193" s="131">
        <v>0.3</v>
      </c>
      <c r="H193" s="131">
        <v>1.75</v>
      </c>
      <c r="I193" s="131">
        <v>0.18</v>
      </c>
      <c r="J193" s="132">
        <v>36529</v>
      </c>
      <c r="K193" s="133" t="s">
        <v>458</v>
      </c>
      <c r="L193" s="108">
        <f t="shared" si="2"/>
        <v>9.6845600442722737E-2</v>
      </c>
      <c r="M193" s="115"/>
      <c r="N193" s="133"/>
      <c r="O193" s="115"/>
      <c r="P193" s="115"/>
      <c r="Q193" s="116"/>
      <c r="R193" s="116"/>
      <c r="S193" s="117"/>
      <c r="T193" s="115"/>
      <c r="U193" s="116"/>
      <c r="V193" s="116"/>
      <c r="W193" s="133"/>
      <c r="X193" s="115"/>
      <c r="Y193" s="133"/>
    </row>
    <row r="194" spans="1:25" ht="17" customHeight="1">
      <c r="A194" s="131" t="s">
        <v>610</v>
      </c>
      <c r="B194" s="131" t="s">
        <v>611</v>
      </c>
      <c r="C194" s="131">
        <v>4870.1000000000004</v>
      </c>
      <c r="D194" s="131">
        <v>-0.04</v>
      </c>
      <c r="E194" s="131">
        <v>6.21</v>
      </c>
      <c r="F194" s="131">
        <v>19.98</v>
      </c>
      <c r="G194" s="131">
        <v>0.33</v>
      </c>
      <c r="H194" s="131">
        <v>1.93</v>
      </c>
      <c r="I194" s="131">
        <v>0.2</v>
      </c>
      <c r="J194" s="132">
        <v>36529</v>
      </c>
      <c r="K194" s="133" t="s">
        <v>458</v>
      </c>
      <c r="L194" s="108">
        <f t="shared" ref="L194:L257" si="3">H194/F194</f>
        <v>9.6596596596596584E-2</v>
      </c>
      <c r="M194" s="115"/>
      <c r="N194" s="133"/>
      <c r="O194" s="115"/>
      <c r="P194" s="115"/>
      <c r="Q194" s="116"/>
      <c r="R194" s="116"/>
      <c r="S194" s="117"/>
      <c r="T194" s="115"/>
      <c r="U194" s="116"/>
      <c r="V194" s="116"/>
      <c r="W194" s="133"/>
      <c r="X194" s="115"/>
      <c r="Y194" s="133"/>
    </row>
    <row r="195" spans="1:25" ht="17" customHeight="1">
      <c r="A195" s="131" t="s">
        <v>1091</v>
      </c>
      <c r="B195" s="131" t="s">
        <v>147</v>
      </c>
      <c r="C195" s="131">
        <v>2269.9499999999998</v>
      </c>
      <c r="D195" s="131">
        <v>2.74</v>
      </c>
      <c r="E195" s="131">
        <v>12.07</v>
      </c>
      <c r="F195" s="131">
        <v>52.12</v>
      </c>
      <c r="G195" s="131">
        <v>0.8</v>
      </c>
      <c r="H195" s="131">
        <v>5.0199999999999996</v>
      </c>
      <c r="I195" s="131">
        <v>0.9</v>
      </c>
      <c r="J195" s="132">
        <v>41971</v>
      </c>
      <c r="K195" s="133" t="s">
        <v>458</v>
      </c>
      <c r="L195" s="108">
        <f t="shared" si="3"/>
        <v>9.6316193399846511E-2</v>
      </c>
      <c r="M195" s="115"/>
      <c r="N195" s="133"/>
      <c r="O195" s="115"/>
      <c r="P195" s="115"/>
      <c r="Q195" s="116"/>
      <c r="R195" s="116"/>
      <c r="S195" s="117"/>
      <c r="T195" s="115"/>
      <c r="U195" s="116"/>
      <c r="V195" s="116"/>
      <c r="W195" s="133"/>
      <c r="X195" s="115"/>
      <c r="Y195" s="133"/>
    </row>
    <row r="196" spans="1:25" ht="17" customHeight="1">
      <c r="A196" s="131" t="s">
        <v>508</v>
      </c>
      <c r="B196" s="131" t="s">
        <v>509</v>
      </c>
      <c r="C196" s="131">
        <v>2107.86</v>
      </c>
      <c r="D196" s="131">
        <v>0.15</v>
      </c>
      <c r="E196" s="131">
        <v>-1.17</v>
      </c>
      <c r="F196" s="131">
        <v>9.6199999999999992</v>
      </c>
      <c r="G196" s="131">
        <v>0.2</v>
      </c>
      <c r="H196" s="131">
        <v>0.92</v>
      </c>
      <c r="I196" s="131">
        <v>0.09</v>
      </c>
      <c r="J196" s="132">
        <v>36529</v>
      </c>
      <c r="K196" s="133" t="s">
        <v>458</v>
      </c>
      <c r="L196" s="108">
        <f t="shared" si="3"/>
        <v>9.5634095634095639E-2</v>
      </c>
      <c r="M196" s="115"/>
      <c r="N196" s="133"/>
      <c r="O196" s="115"/>
      <c r="P196" s="115"/>
      <c r="Q196" s="116"/>
      <c r="R196" s="116"/>
      <c r="S196" s="117"/>
      <c r="T196" s="115"/>
      <c r="U196" s="116"/>
      <c r="V196" s="116"/>
      <c r="W196" s="133"/>
      <c r="X196" s="115"/>
      <c r="Y196" s="133"/>
    </row>
    <row r="197" spans="1:25" ht="17" customHeight="1">
      <c r="A197" s="131" t="s">
        <v>703</v>
      </c>
      <c r="B197" s="131" t="s">
        <v>704</v>
      </c>
      <c r="C197" s="131">
        <v>2278.13</v>
      </c>
      <c r="D197" s="131">
        <v>0.15</v>
      </c>
      <c r="E197" s="131">
        <v>-1.17</v>
      </c>
      <c r="F197" s="131">
        <v>9.6199999999999992</v>
      </c>
      <c r="G197" s="131">
        <v>0.2</v>
      </c>
      <c r="H197" s="131">
        <v>0.92</v>
      </c>
      <c r="I197" s="131">
        <v>0.1</v>
      </c>
      <c r="J197" s="132">
        <v>36529</v>
      </c>
      <c r="K197" s="133" t="s">
        <v>458</v>
      </c>
      <c r="L197" s="108">
        <f t="shared" si="3"/>
        <v>9.5634095634095639E-2</v>
      </c>
      <c r="M197" s="115"/>
      <c r="N197" s="133"/>
      <c r="O197" s="115"/>
      <c r="P197" s="115"/>
      <c r="Q197" s="116"/>
      <c r="R197" s="116"/>
      <c r="S197" s="117"/>
      <c r="T197" s="115"/>
      <c r="U197" s="116"/>
      <c r="V197" s="116"/>
      <c r="W197" s="133"/>
      <c r="X197" s="115"/>
      <c r="Y197" s="133"/>
    </row>
    <row r="198" spans="1:25" ht="17" customHeight="1">
      <c r="A198" s="131" t="s">
        <v>999</v>
      </c>
      <c r="B198" s="131" t="s">
        <v>1000</v>
      </c>
      <c r="C198" s="131">
        <v>3075.75</v>
      </c>
      <c r="D198" s="131">
        <v>-0.68</v>
      </c>
      <c r="E198" s="131">
        <v>3.95</v>
      </c>
      <c r="F198" s="131">
        <v>10.71</v>
      </c>
      <c r="G198" s="131">
        <v>0.69</v>
      </c>
      <c r="H198" s="131">
        <v>1.02</v>
      </c>
      <c r="I198" s="131">
        <v>0.71</v>
      </c>
      <c r="J198" s="132">
        <v>43495</v>
      </c>
      <c r="K198" s="133" t="s">
        <v>458</v>
      </c>
      <c r="L198" s="108">
        <f t="shared" si="3"/>
        <v>9.5238095238095233E-2</v>
      </c>
      <c r="M198" s="115"/>
      <c r="N198" s="133"/>
      <c r="O198" s="115"/>
      <c r="P198" s="115"/>
      <c r="Q198" s="116"/>
      <c r="R198" s="116"/>
      <c r="S198" s="117"/>
      <c r="T198" s="115"/>
      <c r="U198" s="116"/>
      <c r="V198" s="116"/>
      <c r="W198" s="133"/>
      <c r="X198" s="115"/>
      <c r="Y198" s="133"/>
    </row>
    <row r="199" spans="1:25" ht="17" customHeight="1">
      <c r="A199" s="131" t="s">
        <v>1056</v>
      </c>
      <c r="B199" s="131" t="s">
        <v>1057</v>
      </c>
      <c r="C199" s="131">
        <v>2268.1999999999998</v>
      </c>
      <c r="D199" s="131">
        <v>2.29</v>
      </c>
      <c r="E199" s="131">
        <v>12.11</v>
      </c>
      <c r="F199" s="131">
        <v>45.43</v>
      </c>
      <c r="G199" s="131">
        <v>0.69</v>
      </c>
      <c r="H199" s="131">
        <v>4.3099999999999996</v>
      </c>
      <c r="I199" s="131">
        <v>0.9</v>
      </c>
      <c r="J199" s="132">
        <v>40855</v>
      </c>
      <c r="K199" s="133" t="s">
        <v>458</v>
      </c>
      <c r="L199" s="108">
        <f t="shared" si="3"/>
        <v>9.4871230464450798E-2</v>
      </c>
      <c r="M199" s="115"/>
      <c r="N199" s="133"/>
      <c r="O199" s="115"/>
      <c r="P199" s="115"/>
      <c r="Q199" s="116"/>
      <c r="R199" s="116"/>
      <c r="S199" s="117"/>
      <c r="T199" s="115"/>
      <c r="U199" s="116"/>
      <c r="V199" s="116"/>
      <c r="W199" s="133"/>
      <c r="X199" s="115"/>
      <c r="Y199" s="133"/>
    </row>
    <row r="200" spans="1:25" ht="17" customHeight="1">
      <c r="A200" s="131" t="s">
        <v>1003</v>
      </c>
      <c r="B200" s="131" t="s">
        <v>1004</v>
      </c>
      <c r="C200" s="131">
        <v>3806.7</v>
      </c>
      <c r="D200" s="131">
        <v>0.97</v>
      </c>
      <c r="E200" s="131">
        <v>2.94</v>
      </c>
      <c r="F200" s="131">
        <v>17.77</v>
      </c>
      <c r="G200" s="131">
        <v>0.46</v>
      </c>
      <c r="H200" s="131">
        <v>1.68</v>
      </c>
      <c r="I200" s="131">
        <v>0.33</v>
      </c>
      <c r="J200" s="132">
        <v>39997</v>
      </c>
      <c r="K200" s="133" t="s">
        <v>458</v>
      </c>
      <c r="L200" s="108">
        <f t="shared" si="3"/>
        <v>9.4541361845807539E-2</v>
      </c>
      <c r="M200" s="115"/>
      <c r="N200" s="133"/>
      <c r="O200" s="115"/>
      <c r="P200" s="115"/>
      <c r="Q200" s="116"/>
      <c r="R200" s="116"/>
      <c r="S200" s="117"/>
      <c r="T200" s="115"/>
      <c r="U200" s="116"/>
      <c r="V200" s="116"/>
      <c r="W200" s="133"/>
      <c r="X200" s="115"/>
      <c r="Y200" s="133"/>
    </row>
    <row r="201" spans="1:25" ht="17" customHeight="1">
      <c r="A201" s="131" t="s">
        <v>472</v>
      </c>
      <c r="B201" s="131" t="s">
        <v>473</v>
      </c>
      <c r="C201" s="131">
        <v>8493.9500000000007</v>
      </c>
      <c r="D201" s="131">
        <v>1.85</v>
      </c>
      <c r="E201" s="131">
        <v>6.27</v>
      </c>
      <c r="F201" s="131">
        <v>38.630000000000003</v>
      </c>
      <c r="G201" s="131">
        <v>0.48</v>
      </c>
      <c r="H201" s="131">
        <v>3.64</v>
      </c>
      <c r="I201" s="131">
        <v>0.31</v>
      </c>
      <c r="J201" s="132">
        <v>36529</v>
      </c>
      <c r="K201" s="133" t="s">
        <v>458</v>
      </c>
      <c r="L201" s="108">
        <f t="shared" si="3"/>
        <v>9.4227284493916638E-2</v>
      </c>
      <c r="M201" s="115"/>
      <c r="N201" s="133"/>
      <c r="O201" s="115"/>
      <c r="P201" s="115"/>
      <c r="Q201" s="116"/>
      <c r="R201" s="116"/>
      <c r="S201" s="117"/>
      <c r="T201" s="115"/>
      <c r="U201" s="116"/>
      <c r="V201" s="116"/>
      <c r="W201" s="133"/>
      <c r="X201" s="115"/>
      <c r="Y201" s="133"/>
    </row>
    <row r="202" spans="1:25" ht="17" customHeight="1">
      <c r="A202" s="131" t="s">
        <v>574</v>
      </c>
      <c r="B202" s="131" t="s">
        <v>575</v>
      </c>
      <c r="C202" s="131">
        <v>6728.4</v>
      </c>
      <c r="D202" s="131">
        <v>3.32</v>
      </c>
      <c r="E202" s="131">
        <v>5.54</v>
      </c>
      <c r="F202" s="131">
        <v>16.059999999999999</v>
      </c>
      <c r="G202" s="131">
        <v>0.04</v>
      </c>
      <c r="H202" s="131">
        <v>1.51</v>
      </c>
      <c r="I202" s="131">
        <v>0.06</v>
      </c>
      <c r="J202" s="132">
        <v>36529</v>
      </c>
      <c r="K202" s="133" t="s">
        <v>458</v>
      </c>
      <c r="L202" s="108">
        <f t="shared" si="3"/>
        <v>9.4022415940224174E-2</v>
      </c>
      <c r="M202" s="115"/>
      <c r="N202" s="133"/>
      <c r="O202" s="115"/>
      <c r="P202" s="115"/>
      <c r="Q202" s="116"/>
      <c r="R202" s="116"/>
      <c r="S202" s="117"/>
      <c r="T202" s="115"/>
      <c r="U202" s="116"/>
      <c r="V202" s="116"/>
      <c r="W202" s="133"/>
      <c r="X202" s="115"/>
      <c r="Y202" s="133"/>
    </row>
    <row r="203" spans="1:25" ht="17" customHeight="1">
      <c r="A203" s="131" t="s">
        <v>1160</v>
      </c>
      <c r="B203" s="131" t="s">
        <v>1161</v>
      </c>
      <c r="C203" s="131">
        <v>3485.01</v>
      </c>
      <c r="D203" s="131">
        <v>1</v>
      </c>
      <c r="E203" s="131">
        <v>3.43</v>
      </c>
      <c r="F203" s="131">
        <v>28.48</v>
      </c>
      <c r="G203" s="131">
        <v>0.99</v>
      </c>
      <c r="H203" s="131">
        <v>2.67</v>
      </c>
      <c r="I203" s="131">
        <v>1</v>
      </c>
      <c r="J203" s="132">
        <v>43476</v>
      </c>
      <c r="K203" s="133" t="s">
        <v>458</v>
      </c>
      <c r="L203" s="108">
        <f t="shared" si="3"/>
        <v>9.375E-2</v>
      </c>
      <c r="M203" s="115"/>
      <c r="N203" s="133"/>
      <c r="O203" s="115"/>
      <c r="P203" s="115"/>
      <c r="Q203" s="116"/>
      <c r="R203" s="116"/>
      <c r="S203" s="117"/>
      <c r="T203" s="115"/>
      <c r="U203" s="116"/>
      <c r="V203" s="116"/>
      <c r="W203" s="133"/>
      <c r="X203" s="115"/>
      <c r="Y203" s="133"/>
    </row>
    <row r="204" spans="1:25" ht="17" customHeight="1">
      <c r="A204" s="131" t="s">
        <v>637</v>
      </c>
      <c r="B204" s="131" t="s">
        <v>638</v>
      </c>
      <c r="C204" s="131">
        <v>5675.15</v>
      </c>
      <c r="D204" s="131">
        <v>0.67</v>
      </c>
      <c r="E204" s="131">
        <v>5.48</v>
      </c>
      <c r="F204" s="131">
        <v>29.89</v>
      </c>
      <c r="G204" s="131">
        <v>0.3</v>
      </c>
      <c r="H204" s="131">
        <v>2.79</v>
      </c>
      <c r="I204" s="131">
        <v>0.37</v>
      </c>
      <c r="J204" s="132">
        <v>36529</v>
      </c>
      <c r="K204" s="133" t="s">
        <v>458</v>
      </c>
      <c r="L204" s="108">
        <f t="shared" si="3"/>
        <v>9.3342254934760782E-2</v>
      </c>
      <c r="M204" s="115"/>
      <c r="N204" s="133"/>
      <c r="O204" s="115"/>
      <c r="P204" s="115"/>
      <c r="Q204" s="116"/>
      <c r="R204" s="116"/>
      <c r="S204" s="117"/>
      <c r="T204" s="115"/>
      <c r="U204" s="116"/>
      <c r="V204" s="116"/>
      <c r="W204" s="133"/>
      <c r="X204" s="115"/>
      <c r="Y204" s="133"/>
    </row>
    <row r="205" spans="1:25" ht="17" customHeight="1">
      <c r="A205" s="131" t="s">
        <v>598</v>
      </c>
      <c r="B205" s="131" t="s">
        <v>599</v>
      </c>
      <c r="C205" s="131">
        <v>5778.05</v>
      </c>
      <c r="D205" s="131">
        <v>0.51</v>
      </c>
      <c r="E205" s="131">
        <v>1.51</v>
      </c>
      <c r="F205" s="131">
        <v>41.87</v>
      </c>
      <c r="G205" s="131">
        <v>0.47</v>
      </c>
      <c r="H205" s="131">
        <v>3.9</v>
      </c>
      <c r="I205" s="131">
        <v>0.64</v>
      </c>
      <c r="J205" s="132">
        <v>36529</v>
      </c>
      <c r="K205" s="133" t="s">
        <v>458</v>
      </c>
      <c r="L205" s="108">
        <f t="shared" si="3"/>
        <v>9.3145450203009322E-2</v>
      </c>
      <c r="M205" s="115"/>
      <c r="N205" s="133"/>
      <c r="O205" s="115"/>
      <c r="P205" s="115"/>
      <c r="Q205" s="116"/>
      <c r="R205" s="116"/>
      <c r="S205" s="117"/>
      <c r="T205" s="115"/>
      <c r="U205" s="116"/>
      <c r="V205" s="116"/>
      <c r="W205" s="133"/>
      <c r="X205" s="115"/>
      <c r="Y205" s="133"/>
    </row>
    <row r="206" spans="1:25" ht="17" customHeight="1">
      <c r="A206" s="131" t="s">
        <v>928</v>
      </c>
      <c r="B206" s="131" t="s">
        <v>59</v>
      </c>
      <c r="C206" s="131">
        <v>1370.95</v>
      </c>
      <c r="D206" s="131">
        <v>1.55</v>
      </c>
      <c r="E206" s="131">
        <v>8.01</v>
      </c>
      <c r="F206" s="131">
        <v>27.05</v>
      </c>
      <c r="G206" s="131">
        <v>0.31</v>
      </c>
      <c r="H206" s="131">
        <v>2.5</v>
      </c>
      <c r="I206" s="131">
        <v>0.32</v>
      </c>
      <c r="J206" s="132">
        <v>41177</v>
      </c>
      <c r="K206" s="133" t="s">
        <v>458</v>
      </c>
      <c r="L206" s="108">
        <f t="shared" si="3"/>
        <v>9.2421441774491686E-2</v>
      </c>
      <c r="M206" s="115"/>
      <c r="N206" s="133"/>
      <c r="O206" s="115"/>
      <c r="P206" s="115"/>
      <c r="Q206" s="116"/>
      <c r="R206" s="116"/>
      <c r="S206" s="117"/>
      <c r="T206" s="115"/>
      <c r="U206" s="116"/>
      <c r="V206" s="116"/>
      <c r="W206" s="133"/>
      <c r="X206" s="115"/>
      <c r="Y206" s="133"/>
    </row>
    <row r="207" spans="1:25" ht="17" customHeight="1">
      <c r="A207" s="131" t="s">
        <v>979</v>
      </c>
      <c r="B207" s="131" t="s">
        <v>980</v>
      </c>
      <c r="C207" s="131">
        <v>3349.45</v>
      </c>
      <c r="D207" s="131">
        <v>2.5299999999999998</v>
      </c>
      <c r="E207" s="131">
        <v>14.29</v>
      </c>
      <c r="F207" s="131">
        <v>55.34</v>
      </c>
      <c r="G207" s="131">
        <v>0.67</v>
      </c>
      <c r="H207" s="131">
        <v>5.07</v>
      </c>
      <c r="I207" s="131">
        <v>0.68</v>
      </c>
      <c r="J207" s="132">
        <v>42216</v>
      </c>
      <c r="K207" s="133" t="s">
        <v>458</v>
      </c>
      <c r="L207" s="108">
        <f t="shared" si="3"/>
        <v>9.1615468015901702E-2</v>
      </c>
      <c r="M207" s="115"/>
      <c r="N207" s="133"/>
      <c r="O207" s="115"/>
      <c r="P207" s="115"/>
      <c r="Q207" s="116"/>
      <c r="R207" s="116"/>
      <c r="S207" s="117"/>
      <c r="T207" s="115"/>
      <c r="U207" s="116"/>
      <c r="V207" s="116"/>
      <c r="W207" s="133"/>
      <c r="X207" s="115"/>
      <c r="Y207" s="133"/>
    </row>
    <row r="208" spans="1:25" ht="17" customHeight="1">
      <c r="A208" s="131" t="s">
        <v>580</v>
      </c>
      <c r="B208" s="131" t="s">
        <v>581</v>
      </c>
      <c r="C208" s="131">
        <v>2422.66</v>
      </c>
      <c r="D208" s="131">
        <v>0.79</v>
      </c>
      <c r="E208" s="131">
        <v>1.1100000000000001</v>
      </c>
      <c r="F208" s="131">
        <v>21.38</v>
      </c>
      <c r="G208" s="131">
        <v>0.06</v>
      </c>
      <c r="H208" s="131">
        <v>1.95</v>
      </c>
      <c r="I208" s="131">
        <v>0.24</v>
      </c>
      <c r="J208" s="132">
        <v>36529</v>
      </c>
      <c r="K208" s="133" t="s">
        <v>458</v>
      </c>
      <c r="L208" s="108">
        <f t="shared" si="3"/>
        <v>9.1206735266604305E-2</v>
      </c>
      <c r="M208" s="115"/>
      <c r="N208" s="133"/>
      <c r="O208" s="115"/>
      <c r="P208" s="115"/>
      <c r="Q208" s="116"/>
      <c r="R208" s="116"/>
      <c r="S208" s="117"/>
      <c r="T208" s="115"/>
      <c r="U208" s="116"/>
      <c r="V208" s="116"/>
      <c r="W208" s="133"/>
      <c r="X208" s="115"/>
      <c r="Y208" s="133"/>
    </row>
    <row r="209" spans="1:25" ht="17" customHeight="1">
      <c r="A209" s="131" t="s">
        <v>578</v>
      </c>
      <c r="B209" s="131" t="s">
        <v>579</v>
      </c>
      <c r="C209" s="131">
        <v>10513.56</v>
      </c>
      <c r="D209" s="131">
        <v>1.1200000000000001</v>
      </c>
      <c r="E209" s="131">
        <v>5.08</v>
      </c>
      <c r="F209" s="131">
        <v>39.659999999999997</v>
      </c>
      <c r="G209" s="131">
        <v>0.56000000000000005</v>
      </c>
      <c r="H209" s="131">
        <v>3.6</v>
      </c>
      <c r="I209" s="131">
        <v>0.43</v>
      </c>
      <c r="J209" s="132">
        <v>36529</v>
      </c>
      <c r="K209" s="133" t="s">
        <v>458</v>
      </c>
      <c r="L209" s="108">
        <f t="shared" si="3"/>
        <v>9.077155824508322E-2</v>
      </c>
      <c r="M209" s="115"/>
      <c r="N209" s="133"/>
      <c r="O209" s="115"/>
      <c r="P209" s="115"/>
      <c r="Q209" s="116"/>
      <c r="R209" s="116"/>
      <c r="S209" s="117"/>
      <c r="T209" s="115"/>
      <c r="U209" s="116"/>
      <c r="V209" s="116"/>
      <c r="W209" s="133"/>
      <c r="X209" s="115"/>
      <c r="Y209" s="133"/>
    </row>
    <row r="210" spans="1:25" ht="17" customHeight="1">
      <c r="A210" s="131" t="s">
        <v>641</v>
      </c>
      <c r="B210" s="131" t="s">
        <v>642</v>
      </c>
      <c r="C210" s="131">
        <v>6094.87</v>
      </c>
      <c r="D210" s="131">
        <v>1.43</v>
      </c>
      <c r="E210" s="131">
        <v>4.47</v>
      </c>
      <c r="F210" s="131">
        <v>24.58</v>
      </c>
      <c r="G210" s="131">
        <v>0.32</v>
      </c>
      <c r="H210" s="131">
        <v>2.23</v>
      </c>
      <c r="I210" s="131">
        <v>0.28000000000000003</v>
      </c>
      <c r="J210" s="132">
        <v>36529</v>
      </c>
      <c r="K210" s="133" t="s">
        <v>458</v>
      </c>
      <c r="L210" s="108">
        <f t="shared" si="3"/>
        <v>9.0724165988608635E-2</v>
      </c>
      <c r="M210" s="115"/>
      <c r="N210" s="133"/>
      <c r="O210" s="115"/>
      <c r="P210" s="115"/>
      <c r="Q210" s="116"/>
      <c r="R210" s="116"/>
      <c r="S210" s="117"/>
      <c r="T210" s="115"/>
      <c r="U210" s="116"/>
      <c r="V210" s="116"/>
      <c r="W210" s="133"/>
      <c r="X210" s="115"/>
      <c r="Y210" s="133"/>
    </row>
    <row r="211" spans="1:25" ht="17" customHeight="1">
      <c r="A211" s="131" t="s">
        <v>1007</v>
      </c>
      <c r="B211" s="131" t="s">
        <v>1008</v>
      </c>
      <c r="C211" s="131">
        <v>2081.48</v>
      </c>
      <c r="D211" s="131">
        <v>2.68</v>
      </c>
      <c r="E211" s="131">
        <v>13.13</v>
      </c>
      <c r="F211" s="131">
        <v>46.03</v>
      </c>
      <c r="G211" s="131">
        <v>0.53</v>
      </c>
      <c r="H211" s="131">
        <v>4.17</v>
      </c>
      <c r="I211" s="131">
        <v>0.82</v>
      </c>
      <c r="J211" s="132">
        <v>41744</v>
      </c>
      <c r="K211" s="133" t="s">
        <v>458</v>
      </c>
      <c r="L211" s="108">
        <f t="shared" si="3"/>
        <v>9.0593091462089936E-2</v>
      </c>
      <c r="M211" s="115"/>
      <c r="N211" s="133"/>
      <c r="O211" s="115"/>
      <c r="P211" s="115"/>
      <c r="Q211" s="116"/>
      <c r="R211" s="116"/>
      <c r="S211" s="117"/>
      <c r="T211" s="115"/>
      <c r="U211" s="116"/>
      <c r="V211" s="116"/>
      <c r="W211" s="133"/>
      <c r="X211" s="115"/>
      <c r="Y211" s="133"/>
    </row>
    <row r="212" spans="1:25" ht="17" customHeight="1">
      <c r="A212" s="131" t="s">
        <v>898</v>
      </c>
      <c r="B212" s="131" t="s">
        <v>127</v>
      </c>
      <c r="C212" s="131">
        <v>2845.88</v>
      </c>
      <c r="D212" s="131">
        <v>0.82</v>
      </c>
      <c r="E212" s="131">
        <v>2.97</v>
      </c>
      <c r="F212" s="131">
        <v>20.79</v>
      </c>
      <c r="G212" s="131">
        <v>0.2</v>
      </c>
      <c r="H212" s="131">
        <v>1.88</v>
      </c>
      <c r="I212" s="131">
        <v>0.36</v>
      </c>
      <c r="J212" s="132">
        <v>40757</v>
      </c>
      <c r="K212" s="133" t="s">
        <v>458</v>
      </c>
      <c r="L212" s="108">
        <f t="shared" si="3"/>
        <v>9.0428090428090427E-2</v>
      </c>
      <c r="M212" s="115"/>
      <c r="N212" s="133"/>
      <c r="O212" s="115"/>
      <c r="P212" s="115"/>
      <c r="Q212" s="116"/>
      <c r="R212" s="116"/>
      <c r="S212" s="117"/>
      <c r="T212" s="115"/>
      <c r="U212" s="116"/>
      <c r="V212" s="116"/>
      <c r="W212" s="133"/>
      <c r="X212" s="115"/>
      <c r="Y212" s="133"/>
    </row>
    <row r="213" spans="1:25" ht="17" customHeight="1">
      <c r="A213" s="131" t="s">
        <v>838</v>
      </c>
      <c r="B213" s="131" t="s">
        <v>839</v>
      </c>
      <c r="C213" s="131">
        <v>1171.76</v>
      </c>
      <c r="D213" s="131">
        <v>0.32</v>
      </c>
      <c r="E213" s="131">
        <v>-0.65</v>
      </c>
      <c r="F213" s="131">
        <v>10.63</v>
      </c>
      <c r="G213" s="131">
        <v>0.44</v>
      </c>
      <c r="H213" s="131">
        <v>0.96</v>
      </c>
      <c r="I213" s="131">
        <v>7.0000000000000007E-2</v>
      </c>
      <c r="J213" s="132">
        <v>42003</v>
      </c>
      <c r="K213" s="133" t="s">
        <v>458</v>
      </c>
      <c r="L213" s="108">
        <f t="shared" si="3"/>
        <v>9.0310442144872993E-2</v>
      </c>
    </row>
    <row r="214" spans="1:25" ht="17" customHeight="1">
      <c r="A214" s="131" t="s">
        <v>693</v>
      </c>
      <c r="B214" s="131" t="s">
        <v>694</v>
      </c>
      <c r="C214" s="131">
        <v>4458.12</v>
      </c>
      <c r="D214" s="131">
        <v>1.35</v>
      </c>
      <c r="E214" s="131">
        <v>10.48</v>
      </c>
      <c r="F214" s="131">
        <v>30.15</v>
      </c>
      <c r="G214" s="131">
        <v>0.13</v>
      </c>
      <c r="H214" s="131">
        <v>2.72</v>
      </c>
      <c r="I214" s="131">
        <v>0.2</v>
      </c>
      <c r="J214" s="132">
        <v>36529</v>
      </c>
      <c r="K214" s="133" t="s">
        <v>458</v>
      </c>
      <c r="L214" s="108">
        <f t="shared" si="3"/>
        <v>9.0215588723051424E-2</v>
      </c>
    </row>
    <row r="215" spans="1:25" ht="17" customHeight="1">
      <c r="A215" s="131" t="s">
        <v>568</v>
      </c>
      <c r="B215" s="131" t="s">
        <v>569</v>
      </c>
      <c r="C215" s="131">
        <v>5934.21</v>
      </c>
      <c r="D215" s="131">
        <v>2.81</v>
      </c>
      <c r="E215" s="131">
        <v>4.6500000000000004</v>
      </c>
      <c r="F215" s="131">
        <v>26.98</v>
      </c>
      <c r="G215" s="131">
        <v>0.16</v>
      </c>
      <c r="H215" s="131">
        <v>2.4300000000000002</v>
      </c>
      <c r="I215" s="131">
        <v>0.14000000000000001</v>
      </c>
      <c r="J215" s="132">
        <v>36529</v>
      </c>
      <c r="K215" s="133" t="s">
        <v>458</v>
      </c>
      <c r="L215" s="108">
        <f t="shared" si="3"/>
        <v>9.0066716085989623E-2</v>
      </c>
    </row>
    <row r="216" spans="1:25" ht="17" customHeight="1">
      <c r="A216" s="131" t="s">
        <v>827</v>
      </c>
      <c r="B216" s="131" t="s">
        <v>828</v>
      </c>
      <c r="C216" s="131">
        <v>3881.18</v>
      </c>
      <c r="D216" s="131">
        <v>0.65</v>
      </c>
      <c r="E216" s="131">
        <v>1.7</v>
      </c>
      <c r="F216" s="131">
        <v>17.329999999999998</v>
      </c>
      <c r="G216" s="131">
        <v>0.25</v>
      </c>
      <c r="H216" s="131">
        <v>1.56</v>
      </c>
      <c r="I216" s="131">
        <v>0.14000000000000001</v>
      </c>
      <c r="J216" s="132">
        <v>41584</v>
      </c>
      <c r="K216" s="133" t="s">
        <v>458</v>
      </c>
      <c r="L216" s="108">
        <f t="shared" si="3"/>
        <v>9.0017311021350271E-2</v>
      </c>
    </row>
    <row r="217" spans="1:25" ht="17" customHeight="1">
      <c r="A217" s="131" t="s">
        <v>629</v>
      </c>
      <c r="B217" s="131" t="s">
        <v>630</v>
      </c>
      <c r="C217" s="131">
        <v>1529.63</v>
      </c>
      <c r="D217" s="131">
        <v>2.06</v>
      </c>
      <c r="E217" s="131">
        <v>4.45</v>
      </c>
      <c r="F217" s="131">
        <v>12.35</v>
      </c>
      <c r="G217" s="131">
        <v>7.0000000000000007E-2</v>
      </c>
      <c r="H217" s="131">
        <v>1.1100000000000001</v>
      </c>
      <c r="I217" s="131">
        <v>0.05</v>
      </c>
      <c r="J217" s="132">
        <v>40826</v>
      </c>
      <c r="K217" s="133" t="s">
        <v>458</v>
      </c>
      <c r="L217" s="108">
        <f t="shared" si="3"/>
        <v>8.9878542510121465E-2</v>
      </c>
    </row>
    <row r="218" spans="1:25" ht="17" customHeight="1">
      <c r="A218" s="131" t="s">
        <v>1089</v>
      </c>
      <c r="B218" s="131" t="s">
        <v>1090</v>
      </c>
      <c r="C218" s="131">
        <v>3495.54</v>
      </c>
      <c r="D218" s="131">
        <v>4.25</v>
      </c>
      <c r="E218" s="131">
        <v>15.13</v>
      </c>
      <c r="F218" s="131">
        <v>52.71</v>
      </c>
      <c r="G218" s="131">
        <v>0.64</v>
      </c>
      <c r="H218" s="131">
        <v>4.6900000000000004</v>
      </c>
      <c r="I218" s="131">
        <v>0.99</v>
      </c>
      <c r="J218" s="132">
        <v>42219</v>
      </c>
      <c r="K218" s="133" t="s">
        <v>458</v>
      </c>
      <c r="L218" s="108">
        <f t="shared" si="3"/>
        <v>8.8977423638778225E-2</v>
      </c>
    </row>
    <row r="219" spans="1:25" ht="17" customHeight="1">
      <c r="A219" s="131" t="s">
        <v>995</v>
      </c>
      <c r="B219" s="131" t="s">
        <v>996</v>
      </c>
      <c r="C219" s="131">
        <v>1579.62</v>
      </c>
      <c r="D219" s="131">
        <v>0.12</v>
      </c>
      <c r="E219" s="131">
        <v>-2.4300000000000002</v>
      </c>
      <c r="F219" s="131">
        <v>17.54</v>
      </c>
      <c r="G219" s="131">
        <v>0.3</v>
      </c>
      <c r="H219" s="131">
        <v>1.54</v>
      </c>
      <c r="I219" s="131">
        <v>0.26</v>
      </c>
      <c r="J219" s="132">
        <v>41470</v>
      </c>
      <c r="K219" s="133" t="s">
        <v>458</v>
      </c>
      <c r="L219" s="108">
        <f t="shared" si="3"/>
        <v>8.77993158494869E-2</v>
      </c>
    </row>
    <row r="220" spans="1:25" ht="17" customHeight="1">
      <c r="A220" s="131" t="s">
        <v>502</v>
      </c>
      <c r="B220" s="131" t="s">
        <v>503</v>
      </c>
      <c r="C220" s="131">
        <v>2817.49</v>
      </c>
      <c r="D220" s="131">
        <v>0.9</v>
      </c>
      <c r="E220" s="131">
        <v>4.22</v>
      </c>
      <c r="F220" s="131">
        <v>22.57</v>
      </c>
      <c r="G220" s="131">
        <v>0.25</v>
      </c>
      <c r="H220" s="131">
        <v>1.98</v>
      </c>
      <c r="I220" s="131">
        <v>0.13</v>
      </c>
      <c r="J220" s="132">
        <v>36529</v>
      </c>
      <c r="K220" s="133" t="s">
        <v>458</v>
      </c>
      <c r="L220" s="108">
        <f t="shared" si="3"/>
        <v>8.7727071333628712E-2</v>
      </c>
    </row>
    <row r="221" spans="1:25" ht="17" customHeight="1">
      <c r="A221" s="131" t="s">
        <v>584</v>
      </c>
      <c r="B221" s="131" t="s">
        <v>585</v>
      </c>
      <c r="C221" s="131">
        <v>1960.88</v>
      </c>
      <c r="D221" s="131">
        <v>-2.67</v>
      </c>
      <c r="E221" s="131">
        <v>3.02</v>
      </c>
      <c r="F221" s="131">
        <v>34.33</v>
      </c>
      <c r="G221" s="131">
        <v>0.16</v>
      </c>
      <c r="H221" s="131">
        <v>3.01</v>
      </c>
      <c r="I221" s="131">
        <v>0.32</v>
      </c>
      <c r="J221" s="132">
        <v>36529</v>
      </c>
      <c r="K221" s="133" t="s">
        <v>458</v>
      </c>
      <c r="L221" s="108">
        <f t="shared" si="3"/>
        <v>8.7678415380133989E-2</v>
      </c>
    </row>
    <row r="222" spans="1:25" ht="17" customHeight="1">
      <c r="A222" s="131" t="s">
        <v>782</v>
      </c>
      <c r="B222" s="131" t="s">
        <v>161</v>
      </c>
      <c r="C222" s="131">
        <v>3155.52</v>
      </c>
      <c r="D222" s="131">
        <v>-0.7</v>
      </c>
      <c r="E222" s="131">
        <v>3.16</v>
      </c>
      <c r="F222" s="131">
        <v>14.02</v>
      </c>
      <c r="G222" s="131">
        <v>0.28000000000000003</v>
      </c>
      <c r="H222" s="131">
        <v>1.22</v>
      </c>
      <c r="I222" s="131">
        <v>0.01</v>
      </c>
      <c r="J222" s="132">
        <v>40777</v>
      </c>
      <c r="K222" s="133" t="s">
        <v>458</v>
      </c>
      <c r="L222" s="108">
        <f t="shared" si="3"/>
        <v>8.7018544935805991E-2</v>
      </c>
    </row>
    <row r="223" spans="1:25" ht="17" customHeight="1">
      <c r="A223" s="131" t="s">
        <v>988</v>
      </c>
      <c r="B223" s="131" t="s">
        <v>989</v>
      </c>
      <c r="C223" s="131">
        <v>5101.17</v>
      </c>
      <c r="D223" s="131">
        <v>2.93</v>
      </c>
      <c r="E223" s="131">
        <v>8.9</v>
      </c>
      <c r="F223" s="131">
        <v>35.590000000000003</v>
      </c>
      <c r="G223" s="131">
        <v>0.3</v>
      </c>
      <c r="H223" s="131">
        <v>3.09</v>
      </c>
      <c r="I223" s="131">
        <v>0.45</v>
      </c>
      <c r="J223" s="132">
        <v>42065</v>
      </c>
      <c r="K223" s="133" t="s">
        <v>458</v>
      </c>
      <c r="L223" s="108">
        <f t="shared" si="3"/>
        <v>8.6822141050856977E-2</v>
      </c>
    </row>
    <row r="224" spans="1:25" ht="17" customHeight="1">
      <c r="A224" s="131" t="s">
        <v>675</v>
      </c>
      <c r="B224" s="131" t="s">
        <v>676</v>
      </c>
      <c r="C224" s="131">
        <v>3974.16</v>
      </c>
      <c r="D224" s="131">
        <v>1.1200000000000001</v>
      </c>
      <c r="E224" s="131">
        <v>5.93</v>
      </c>
      <c r="F224" s="131">
        <v>22</v>
      </c>
      <c r="G224" s="131">
        <v>0.13</v>
      </c>
      <c r="H224" s="131">
        <v>1.91</v>
      </c>
      <c r="I224" s="131">
        <v>0.26</v>
      </c>
      <c r="J224" s="132">
        <v>36529</v>
      </c>
      <c r="K224" s="133" t="s">
        <v>458</v>
      </c>
      <c r="L224" s="108">
        <f t="shared" si="3"/>
        <v>8.6818181818181808E-2</v>
      </c>
    </row>
    <row r="225" spans="1:12" ht="17" customHeight="1">
      <c r="A225" s="131" t="s">
        <v>506</v>
      </c>
      <c r="B225" s="131" t="s">
        <v>507</v>
      </c>
      <c r="C225" s="131">
        <v>2522.44</v>
      </c>
      <c r="D225" s="131">
        <v>-0.19</v>
      </c>
      <c r="E225" s="131">
        <v>0.28999999999999998</v>
      </c>
      <c r="F225" s="131">
        <v>13.04</v>
      </c>
      <c r="G225" s="131">
        <v>0.1</v>
      </c>
      <c r="H225" s="131">
        <v>1.1299999999999999</v>
      </c>
      <c r="I225" s="131">
        <v>0.01</v>
      </c>
      <c r="J225" s="132">
        <v>36529</v>
      </c>
      <c r="K225" s="133" t="s">
        <v>458</v>
      </c>
      <c r="L225" s="108">
        <f t="shared" si="3"/>
        <v>8.665644171779141E-2</v>
      </c>
    </row>
    <row r="226" spans="1:12" ht="17" customHeight="1">
      <c r="A226" s="131" t="s">
        <v>937</v>
      </c>
      <c r="B226" s="131" t="s">
        <v>938</v>
      </c>
      <c r="C226" s="131">
        <v>2515.77</v>
      </c>
      <c r="D226" s="131">
        <v>1.98</v>
      </c>
      <c r="E226" s="131">
        <v>9.06</v>
      </c>
      <c r="F226" s="131">
        <v>46.02</v>
      </c>
      <c r="G226" s="131">
        <v>0.72</v>
      </c>
      <c r="H226" s="131">
        <v>3.97</v>
      </c>
      <c r="I226" s="131">
        <v>0.31</v>
      </c>
      <c r="J226" s="132">
        <v>41841</v>
      </c>
      <c r="K226" s="133" t="s">
        <v>458</v>
      </c>
      <c r="L226" s="108">
        <f t="shared" si="3"/>
        <v>8.6266840504128639E-2</v>
      </c>
    </row>
    <row r="227" spans="1:12" ht="17" customHeight="1">
      <c r="A227" s="131" t="s">
        <v>874</v>
      </c>
      <c r="B227" s="131" t="s">
        <v>875</v>
      </c>
      <c r="C227" s="131">
        <v>6246.84</v>
      </c>
      <c r="D227" s="131">
        <v>0.95</v>
      </c>
      <c r="E227" s="131">
        <v>3.97</v>
      </c>
      <c r="F227" s="131">
        <v>25.16</v>
      </c>
      <c r="G227" s="131">
        <v>0.31</v>
      </c>
      <c r="H227" s="131">
        <v>2.16</v>
      </c>
      <c r="I227" s="131">
        <v>0.16</v>
      </c>
      <c r="J227" s="132">
        <v>40331</v>
      </c>
      <c r="K227" s="133" t="s">
        <v>458</v>
      </c>
      <c r="L227" s="108">
        <f t="shared" si="3"/>
        <v>8.5850556438791734E-2</v>
      </c>
    </row>
    <row r="228" spans="1:12" ht="17" customHeight="1">
      <c r="A228" s="131" t="s">
        <v>871</v>
      </c>
      <c r="B228" s="131" t="s">
        <v>172</v>
      </c>
      <c r="C228" s="131">
        <v>13092.74</v>
      </c>
      <c r="D228" s="131">
        <v>1.18</v>
      </c>
      <c r="E228" s="131">
        <v>3.9</v>
      </c>
      <c r="F228" s="131">
        <v>18.100000000000001</v>
      </c>
      <c r="G228" s="131">
        <v>0.12</v>
      </c>
      <c r="H228" s="131">
        <v>1.55</v>
      </c>
      <c r="I228" s="131">
        <v>0.32</v>
      </c>
      <c r="J228" s="132">
        <v>42404</v>
      </c>
      <c r="K228" s="133" t="s">
        <v>458</v>
      </c>
      <c r="L228" s="108">
        <f t="shared" si="3"/>
        <v>8.5635359116022089E-2</v>
      </c>
    </row>
    <row r="229" spans="1:12" ht="17" customHeight="1">
      <c r="A229" s="131" t="s">
        <v>800</v>
      </c>
      <c r="B229" s="131" t="s">
        <v>801</v>
      </c>
      <c r="C229" s="131">
        <v>1709.48</v>
      </c>
      <c r="D229" s="131">
        <v>1.03</v>
      </c>
      <c r="E229" s="131">
        <v>0.46</v>
      </c>
      <c r="F229" s="131">
        <v>13.57</v>
      </c>
      <c r="G229" s="131">
        <v>0.1</v>
      </c>
      <c r="H229" s="131">
        <v>1.1599999999999999</v>
      </c>
      <c r="I229" s="131">
        <v>7.0000000000000007E-2</v>
      </c>
      <c r="J229" s="132">
        <v>42117</v>
      </c>
      <c r="K229" s="133" t="s">
        <v>458</v>
      </c>
      <c r="L229" s="108">
        <f t="shared" si="3"/>
        <v>8.5482682387619746E-2</v>
      </c>
    </row>
    <row r="230" spans="1:12" ht="17" customHeight="1">
      <c r="A230" s="131" t="s">
        <v>468</v>
      </c>
      <c r="B230" s="131" t="s">
        <v>469</v>
      </c>
      <c r="C230" s="131">
        <v>2335.33</v>
      </c>
      <c r="D230" s="131">
        <v>0.32</v>
      </c>
      <c r="E230" s="131">
        <v>-1.94</v>
      </c>
      <c r="F230" s="131">
        <v>17.239999999999998</v>
      </c>
      <c r="G230" s="131">
        <v>0.24</v>
      </c>
      <c r="H230" s="131">
        <v>1.43</v>
      </c>
      <c r="I230" s="131">
        <v>0.14000000000000001</v>
      </c>
      <c r="J230" s="132">
        <v>36529</v>
      </c>
      <c r="K230" s="133" t="s">
        <v>458</v>
      </c>
      <c r="L230" s="108">
        <f t="shared" si="3"/>
        <v>8.2946635730858476E-2</v>
      </c>
    </row>
    <row r="231" spans="1:12" ht="17" customHeight="1">
      <c r="A231" s="131" t="s">
        <v>482</v>
      </c>
      <c r="B231" s="131" t="s">
        <v>483</v>
      </c>
      <c r="C231" s="131">
        <v>4179.71</v>
      </c>
      <c r="D231" s="131">
        <v>0.09</v>
      </c>
      <c r="E231" s="131">
        <v>6.8</v>
      </c>
      <c r="F231" s="131">
        <v>20.75</v>
      </c>
      <c r="G231" s="131">
        <v>0.51</v>
      </c>
      <c r="H231" s="131">
        <v>1.7</v>
      </c>
      <c r="I231" s="131">
        <v>0.16</v>
      </c>
      <c r="J231" s="132">
        <v>36529</v>
      </c>
      <c r="K231" s="133" t="s">
        <v>458</v>
      </c>
      <c r="L231" s="108">
        <f t="shared" si="3"/>
        <v>8.1927710843373497E-2</v>
      </c>
    </row>
    <row r="232" spans="1:12" ht="17" customHeight="1">
      <c r="A232" s="131" t="s">
        <v>554</v>
      </c>
      <c r="B232" s="131" t="s">
        <v>555</v>
      </c>
      <c r="C232" s="131">
        <v>7019.42</v>
      </c>
      <c r="D232" s="131">
        <v>0.82</v>
      </c>
      <c r="E232" s="131">
        <v>-1.05</v>
      </c>
      <c r="F232" s="131">
        <v>18.940000000000001</v>
      </c>
      <c r="G232" s="131">
        <v>0.13</v>
      </c>
      <c r="H232" s="131">
        <v>1.55</v>
      </c>
      <c r="I232" s="131">
        <v>0.02</v>
      </c>
      <c r="J232" s="132">
        <v>36529</v>
      </c>
      <c r="K232" s="133" t="s">
        <v>458</v>
      </c>
      <c r="L232" s="108">
        <f t="shared" si="3"/>
        <v>8.1837381203801476E-2</v>
      </c>
    </row>
    <row r="233" spans="1:12" ht="17" customHeight="1">
      <c r="A233" s="131" t="s">
        <v>864</v>
      </c>
      <c r="B233" s="131" t="s">
        <v>865</v>
      </c>
      <c r="C233" s="131">
        <v>5673.93</v>
      </c>
      <c r="D233" s="131">
        <v>0.86</v>
      </c>
      <c r="E233" s="131">
        <v>3.42</v>
      </c>
      <c r="F233" s="131">
        <v>22.56</v>
      </c>
      <c r="G233" s="131">
        <v>0.21</v>
      </c>
      <c r="H233" s="131">
        <v>1.84</v>
      </c>
      <c r="I233" s="131">
        <v>0.17</v>
      </c>
      <c r="J233" s="132">
        <v>40855</v>
      </c>
      <c r="K233" s="133" t="s">
        <v>458</v>
      </c>
      <c r="L233" s="108">
        <f t="shared" si="3"/>
        <v>8.1560283687943269E-2</v>
      </c>
    </row>
    <row r="234" spans="1:12" ht="17" customHeight="1">
      <c r="A234" s="131" t="s">
        <v>723</v>
      </c>
      <c r="B234" s="131" t="s">
        <v>724</v>
      </c>
      <c r="C234" s="131">
        <v>3475.86</v>
      </c>
      <c r="D234" s="131">
        <v>2.56</v>
      </c>
      <c r="E234" s="131">
        <v>7.54</v>
      </c>
      <c r="F234" s="131">
        <v>45.74</v>
      </c>
      <c r="G234" s="131">
        <v>0.12</v>
      </c>
      <c r="H234" s="131">
        <v>3.73</v>
      </c>
      <c r="I234" s="131">
        <v>0.36</v>
      </c>
      <c r="J234" s="132">
        <v>36529</v>
      </c>
      <c r="K234" s="133" t="s">
        <v>458</v>
      </c>
      <c r="L234" s="108">
        <f t="shared" si="3"/>
        <v>8.1547879317883681E-2</v>
      </c>
    </row>
    <row r="235" spans="1:12" ht="17" customHeight="1">
      <c r="A235" s="131" t="s">
        <v>901</v>
      </c>
      <c r="B235" s="131" t="s">
        <v>902</v>
      </c>
      <c r="C235" s="131">
        <v>2002.53</v>
      </c>
      <c r="D235" s="131">
        <v>-0.42</v>
      </c>
      <c r="E235" s="131">
        <v>4.83</v>
      </c>
      <c r="F235" s="131">
        <v>11.9</v>
      </c>
      <c r="G235" s="131">
        <v>0.28999999999999998</v>
      </c>
      <c r="H235" s="131">
        <v>0.97</v>
      </c>
      <c r="I235" s="131">
        <v>0.21</v>
      </c>
      <c r="J235" s="132">
        <v>38971</v>
      </c>
      <c r="K235" s="133" t="s">
        <v>458</v>
      </c>
      <c r="L235" s="108">
        <f t="shared" si="3"/>
        <v>8.1512605042016809E-2</v>
      </c>
    </row>
    <row r="236" spans="1:12" ht="17" customHeight="1">
      <c r="A236" s="131" t="s">
        <v>538</v>
      </c>
      <c r="B236" s="131" t="s">
        <v>539</v>
      </c>
      <c r="C236" s="131">
        <v>2376.87</v>
      </c>
      <c r="D236" s="131">
        <v>1.89</v>
      </c>
      <c r="E236" s="131">
        <v>7.74</v>
      </c>
      <c r="F236" s="131">
        <v>40.450000000000003</v>
      </c>
      <c r="G236" s="131">
        <v>0.4</v>
      </c>
      <c r="H236" s="131">
        <v>3.29</v>
      </c>
      <c r="I236" s="131">
        <v>0.42</v>
      </c>
      <c r="J236" s="132">
        <v>36529</v>
      </c>
      <c r="K236" s="133" t="s">
        <v>458</v>
      </c>
      <c r="L236" s="108">
        <f t="shared" si="3"/>
        <v>8.1334981458590846E-2</v>
      </c>
    </row>
    <row r="237" spans="1:12" ht="17" customHeight="1">
      <c r="A237" s="131" t="s">
        <v>885</v>
      </c>
      <c r="B237" s="131" t="s">
        <v>886</v>
      </c>
      <c r="C237" s="131">
        <v>1921.73</v>
      </c>
      <c r="D237" s="131">
        <v>1.87</v>
      </c>
      <c r="E237" s="131">
        <v>8.67</v>
      </c>
      <c r="F237" s="131">
        <v>26.81</v>
      </c>
      <c r="G237" s="131">
        <v>0.6</v>
      </c>
      <c r="H237" s="131">
        <v>2.1800000000000002</v>
      </c>
      <c r="I237" s="131">
        <v>0.26</v>
      </c>
      <c r="J237" s="132">
        <v>41775</v>
      </c>
      <c r="K237" s="133" t="s">
        <v>458</v>
      </c>
      <c r="L237" s="108">
        <f t="shared" si="3"/>
        <v>8.1312942931741891E-2</v>
      </c>
    </row>
    <row r="238" spans="1:12" ht="17" customHeight="1">
      <c r="A238" s="131" t="s">
        <v>796</v>
      </c>
      <c r="B238" s="131" t="s">
        <v>797</v>
      </c>
      <c r="C238" s="131">
        <v>1980.54</v>
      </c>
      <c r="D238" s="131">
        <v>-0.14000000000000001</v>
      </c>
      <c r="E238" s="131">
        <v>2.33</v>
      </c>
      <c r="F238" s="131">
        <v>14.3</v>
      </c>
      <c r="G238" s="131">
        <v>0.34</v>
      </c>
      <c r="H238" s="131">
        <v>1.1599999999999999</v>
      </c>
      <c r="I238" s="131">
        <v>0.01</v>
      </c>
      <c r="J238" s="132">
        <v>40284</v>
      </c>
      <c r="K238" s="133" t="s">
        <v>458</v>
      </c>
      <c r="L238" s="108">
        <f t="shared" si="3"/>
        <v>8.1118881118881103E-2</v>
      </c>
    </row>
    <row r="239" spans="1:12" ht="17" customHeight="1">
      <c r="A239" s="131" t="s">
        <v>802</v>
      </c>
      <c r="B239" s="131" t="s">
        <v>803</v>
      </c>
      <c r="C239" s="131">
        <v>1539.08</v>
      </c>
      <c r="D239" s="131">
        <v>0.88</v>
      </c>
      <c r="E239" s="131">
        <v>0.49</v>
      </c>
      <c r="F239" s="131">
        <v>14.73</v>
      </c>
      <c r="G239" s="131">
        <v>0.15</v>
      </c>
      <c r="H239" s="131">
        <v>1.19</v>
      </c>
      <c r="I239" s="131">
        <v>0.06</v>
      </c>
      <c r="J239" s="132">
        <v>42051</v>
      </c>
      <c r="K239" s="133" t="s">
        <v>458</v>
      </c>
      <c r="L239" s="108">
        <f t="shared" si="3"/>
        <v>8.0787508486082821E-2</v>
      </c>
    </row>
    <row r="240" spans="1:12" ht="17" customHeight="1">
      <c r="A240" s="131" t="s">
        <v>645</v>
      </c>
      <c r="B240" s="131" t="s">
        <v>646</v>
      </c>
      <c r="C240" s="131">
        <v>6402.97</v>
      </c>
      <c r="D240" s="131">
        <v>-0.38</v>
      </c>
      <c r="E240" s="131">
        <v>3.91</v>
      </c>
      <c r="F240" s="131">
        <v>21.23</v>
      </c>
      <c r="G240" s="131">
        <v>0.15</v>
      </c>
      <c r="H240" s="131">
        <v>1.71</v>
      </c>
      <c r="I240" s="131">
        <v>0.04</v>
      </c>
      <c r="J240" s="132">
        <v>39042</v>
      </c>
      <c r="K240" s="133" t="s">
        <v>458</v>
      </c>
      <c r="L240" s="108">
        <f t="shared" si="3"/>
        <v>8.0546396608572768E-2</v>
      </c>
    </row>
    <row r="241" spans="1:12" ht="17" customHeight="1">
      <c r="A241" s="131" t="s">
        <v>663</v>
      </c>
      <c r="B241" s="131" t="s">
        <v>664</v>
      </c>
      <c r="C241" s="131">
        <v>2429.94</v>
      </c>
      <c r="D241" s="131">
        <v>0.36</v>
      </c>
      <c r="E241" s="131">
        <v>-1.35</v>
      </c>
      <c r="F241" s="131">
        <v>17.07</v>
      </c>
      <c r="G241" s="131">
        <v>0.13</v>
      </c>
      <c r="H241" s="131">
        <v>1.37</v>
      </c>
      <c r="I241" s="131">
        <v>0.03</v>
      </c>
      <c r="J241" s="132">
        <v>36529</v>
      </c>
      <c r="K241" s="133" t="s">
        <v>458</v>
      </c>
      <c r="L241" s="108">
        <f t="shared" si="3"/>
        <v>8.0257762155828943E-2</v>
      </c>
    </row>
    <row r="242" spans="1:12" ht="17" customHeight="1">
      <c r="A242" s="131" t="s">
        <v>462</v>
      </c>
      <c r="B242" s="131" t="s">
        <v>463</v>
      </c>
      <c r="C242" s="131">
        <v>3980.69</v>
      </c>
      <c r="D242" s="131">
        <v>3.85</v>
      </c>
      <c r="E242" s="131">
        <v>14.39</v>
      </c>
      <c r="F242" s="131">
        <v>48.51</v>
      </c>
      <c r="G242" s="131">
        <v>0.46</v>
      </c>
      <c r="H242" s="131">
        <v>3.87</v>
      </c>
      <c r="I242" s="131">
        <v>0.68</v>
      </c>
      <c r="J242" s="132">
        <v>36529</v>
      </c>
      <c r="K242" s="133" t="s">
        <v>458</v>
      </c>
      <c r="L242" s="108">
        <f t="shared" si="3"/>
        <v>7.9777365491651209E-2</v>
      </c>
    </row>
    <row r="243" spans="1:12" ht="17" customHeight="1">
      <c r="A243" s="131" t="s">
        <v>1033</v>
      </c>
      <c r="B243" s="131" t="s">
        <v>1034</v>
      </c>
      <c r="C243" s="131">
        <v>6980.52</v>
      </c>
      <c r="D243" s="131">
        <v>3.78</v>
      </c>
      <c r="E243" s="131">
        <v>14.42</v>
      </c>
      <c r="F243" s="131">
        <v>55.34</v>
      </c>
      <c r="G243" s="131">
        <v>0.94</v>
      </c>
      <c r="H243" s="131">
        <v>4.4000000000000004</v>
      </c>
      <c r="I243" s="131">
        <v>0.91</v>
      </c>
      <c r="J243" s="132">
        <v>42160</v>
      </c>
      <c r="K243" s="133" t="s">
        <v>458</v>
      </c>
      <c r="L243" s="108">
        <f t="shared" si="3"/>
        <v>7.9508492952656301E-2</v>
      </c>
    </row>
    <row r="244" spans="1:12" ht="17" customHeight="1">
      <c r="A244" s="131" t="s">
        <v>546</v>
      </c>
      <c r="B244" s="131" t="s">
        <v>547</v>
      </c>
      <c r="C244" s="131">
        <v>3806.6</v>
      </c>
      <c r="D244" s="131">
        <v>0.22</v>
      </c>
      <c r="E244" s="131">
        <v>-1.18</v>
      </c>
      <c r="F244" s="131">
        <v>15.14</v>
      </c>
      <c r="G244" s="131">
        <v>0.06</v>
      </c>
      <c r="H244" s="131">
        <v>1.2</v>
      </c>
      <c r="I244" s="131">
        <v>0.03</v>
      </c>
      <c r="J244" s="132">
        <v>36529</v>
      </c>
      <c r="K244" s="133" t="s">
        <v>458</v>
      </c>
      <c r="L244" s="108">
        <f t="shared" si="3"/>
        <v>7.9260237780713338E-2</v>
      </c>
    </row>
    <row r="245" spans="1:12" ht="17" customHeight="1">
      <c r="A245" s="131" t="s">
        <v>528</v>
      </c>
      <c r="B245" s="131" t="s">
        <v>529</v>
      </c>
      <c r="C245" s="131">
        <v>5851.49</v>
      </c>
      <c r="D245" s="131">
        <v>3.7</v>
      </c>
      <c r="E245" s="131">
        <v>10.54</v>
      </c>
      <c r="F245" s="131">
        <v>47.4</v>
      </c>
      <c r="G245" s="131">
        <v>0.54</v>
      </c>
      <c r="H245" s="131">
        <v>3.73</v>
      </c>
      <c r="I245" s="131">
        <v>0.42</v>
      </c>
      <c r="J245" s="132">
        <v>36529</v>
      </c>
      <c r="K245" s="133" t="s">
        <v>458</v>
      </c>
      <c r="L245" s="108">
        <f t="shared" si="3"/>
        <v>7.8691983122362877E-2</v>
      </c>
    </row>
    <row r="246" spans="1:12" ht="17" customHeight="1">
      <c r="A246" s="131" t="s">
        <v>540</v>
      </c>
      <c r="B246" s="131" t="s">
        <v>541</v>
      </c>
      <c r="C246" s="131">
        <v>1185.3699999999999</v>
      </c>
      <c r="D246" s="131">
        <v>0.06</v>
      </c>
      <c r="E246" s="131">
        <v>15.93</v>
      </c>
      <c r="F246" s="131">
        <v>54.04</v>
      </c>
      <c r="G246" s="131">
        <v>0.49</v>
      </c>
      <c r="H246" s="131">
        <v>4.22</v>
      </c>
      <c r="I246" s="131">
        <v>0.62</v>
      </c>
      <c r="J246" s="132">
        <v>36529</v>
      </c>
      <c r="K246" s="133" t="s">
        <v>458</v>
      </c>
      <c r="L246" s="108">
        <f t="shared" si="3"/>
        <v>7.8090303478904513E-2</v>
      </c>
    </row>
    <row r="247" spans="1:12" ht="17" customHeight="1">
      <c r="A247" s="131" t="s">
        <v>1009</v>
      </c>
      <c r="B247" s="131" t="s">
        <v>1010</v>
      </c>
      <c r="C247" s="131">
        <v>5930</v>
      </c>
      <c r="D247" s="131">
        <v>2.4</v>
      </c>
      <c r="E247" s="131">
        <v>9.32</v>
      </c>
      <c r="F247" s="131">
        <v>41.51</v>
      </c>
      <c r="G247" s="131">
        <v>1</v>
      </c>
      <c r="H247" s="131">
        <v>3.24</v>
      </c>
      <c r="I247" s="131">
        <v>0.71</v>
      </c>
      <c r="J247" s="132">
        <v>42501</v>
      </c>
      <c r="K247" s="133" t="s">
        <v>458</v>
      </c>
      <c r="L247" s="108">
        <f t="shared" si="3"/>
        <v>7.8053481088894247E-2</v>
      </c>
    </row>
    <row r="248" spans="1:12" ht="17" customHeight="1">
      <c r="A248" s="131" t="s">
        <v>1067</v>
      </c>
      <c r="B248" s="131" t="s">
        <v>106</v>
      </c>
      <c r="C248" s="131">
        <v>5293.5</v>
      </c>
      <c r="D248" s="131">
        <v>2.79</v>
      </c>
      <c r="E248" s="131">
        <v>13.89</v>
      </c>
      <c r="F248" s="131">
        <v>62.43</v>
      </c>
      <c r="G248" s="131">
        <v>0.82</v>
      </c>
      <c r="H248" s="131">
        <v>4.87</v>
      </c>
      <c r="I248" s="131">
        <v>0.86</v>
      </c>
      <c r="J248" s="132">
        <v>39997</v>
      </c>
      <c r="K248" s="133" t="s">
        <v>458</v>
      </c>
      <c r="L248" s="108">
        <f t="shared" si="3"/>
        <v>7.8007368252442741E-2</v>
      </c>
    </row>
    <row r="249" spans="1:12" ht="17" customHeight="1">
      <c r="A249" s="131" t="s">
        <v>957</v>
      </c>
      <c r="B249" s="131" t="s">
        <v>958</v>
      </c>
      <c r="C249" s="131">
        <v>7003.64</v>
      </c>
      <c r="D249" s="131">
        <v>-0.76</v>
      </c>
      <c r="E249" s="131">
        <v>-1.54</v>
      </c>
      <c r="F249" s="131">
        <v>18.02</v>
      </c>
      <c r="G249" s="131">
        <v>0.9</v>
      </c>
      <c r="H249" s="131">
        <v>1.4</v>
      </c>
      <c r="I249" s="131">
        <v>0.33</v>
      </c>
      <c r="J249" s="132">
        <v>43483</v>
      </c>
      <c r="K249" s="133" t="s">
        <v>458</v>
      </c>
      <c r="L249" s="108">
        <f t="shared" si="3"/>
        <v>7.7691453940066588E-2</v>
      </c>
    </row>
    <row r="250" spans="1:12" ht="17" customHeight="1">
      <c r="A250" s="131" t="s">
        <v>721</v>
      </c>
      <c r="B250" s="131" t="s">
        <v>722</v>
      </c>
      <c r="C250" s="131">
        <v>1629.2</v>
      </c>
      <c r="D250" s="131">
        <v>1.26</v>
      </c>
      <c r="E250" s="131">
        <v>1.0900000000000001</v>
      </c>
      <c r="F250" s="131">
        <v>19.829999999999998</v>
      </c>
      <c r="G250" s="131">
        <v>0.06</v>
      </c>
      <c r="H250" s="131">
        <v>1.54</v>
      </c>
      <c r="I250" s="131">
        <v>0</v>
      </c>
      <c r="J250" s="132">
        <v>36529</v>
      </c>
      <c r="K250" s="133" t="s">
        <v>458</v>
      </c>
      <c r="L250" s="108">
        <f t="shared" si="3"/>
        <v>7.7660110943015642E-2</v>
      </c>
    </row>
    <row r="251" spans="1:12" ht="17" customHeight="1">
      <c r="A251" s="131" t="s">
        <v>492</v>
      </c>
      <c r="B251" s="131" t="s">
        <v>493</v>
      </c>
      <c r="C251" s="131">
        <v>1214.92</v>
      </c>
      <c r="D251" s="131">
        <v>1.1399999999999999</v>
      </c>
      <c r="E251" s="131">
        <v>3.61</v>
      </c>
      <c r="F251" s="131">
        <v>27.64</v>
      </c>
      <c r="G251" s="131">
        <v>0.34</v>
      </c>
      <c r="H251" s="131">
        <v>2.14</v>
      </c>
      <c r="I251" s="131">
        <v>0.22</v>
      </c>
      <c r="J251" s="132">
        <v>36529</v>
      </c>
      <c r="K251" s="133" t="s">
        <v>458</v>
      </c>
      <c r="L251" s="108">
        <f t="shared" si="3"/>
        <v>7.7424023154848046E-2</v>
      </c>
    </row>
    <row r="252" spans="1:12" ht="17" customHeight="1">
      <c r="A252" s="131" t="s">
        <v>919</v>
      </c>
      <c r="B252" s="131" t="s">
        <v>92</v>
      </c>
      <c r="C252" s="131">
        <v>1508.09</v>
      </c>
      <c r="D252" s="131">
        <v>0.21</v>
      </c>
      <c r="E252" s="131">
        <v>9.35</v>
      </c>
      <c r="F252" s="131">
        <v>41.82</v>
      </c>
      <c r="G252" s="131">
        <v>0.47</v>
      </c>
      <c r="H252" s="131">
        <v>3.23</v>
      </c>
      <c r="I252" s="131">
        <v>0.27</v>
      </c>
      <c r="J252" s="132">
        <v>41744</v>
      </c>
      <c r="K252" s="133" t="s">
        <v>458</v>
      </c>
      <c r="L252" s="108">
        <f t="shared" si="3"/>
        <v>7.7235772357723581E-2</v>
      </c>
    </row>
    <row r="253" spans="1:12" ht="17" customHeight="1">
      <c r="A253" s="131" t="s">
        <v>653</v>
      </c>
      <c r="B253" s="131" t="s">
        <v>654</v>
      </c>
      <c r="C253" s="131">
        <v>3131.2</v>
      </c>
      <c r="D253" s="131">
        <v>-6.03</v>
      </c>
      <c r="E253" s="131">
        <v>-6.12</v>
      </c>
      <c r="F253" s="131">
        <v>26.98</v>
      </c>
      <c r="G253" s="131">
        <v>0.08</v>
      </c>
      <c r="H253" s="131">
        <v>2.0699999999999998</v>
      </c>
      <c r="I253" s="131">
        <v>0.12</v>
      </c>
      <c r="J253" s="132">
        <v>36529</v>
      </c>
      <c r="K253" s="133" t="s">
        <v>458</v>
      </c>
      <c r="L253" s="108">
        <f t="shared" si="3"/>
        <v>7.672349888806522E-2</v>
      </c>
    </row>
    <row r="254" spans="1:12" ht="17" customHeight="1">
      <c r="A254" s="131" t="s">
        <v>518</v>
      </c>
      <c r="B254" s="131" t="s">
        <v>519</v>
      </c>
      <c r="C254" s="131">
        <v>886.37</v>
      </c>
      <c r="D254" s="131">
        <v>-0.47</v>
      </c>
      <c r="E254" s="131">
        <v>14.03</v>
      </c>
      <c r="F254" s="131">
        <v>47.45</v>
      </c>
      <c r="G254" s="131">
        <v>0.14000000000000001</v>
      </c>
      <c r="H254" s="131">
        <v>3.64</v>
      </c>
      <c r="I254" s="131">
        <v>0.18</v>
      </c>
      <c r="J254" s="132">
        <v>36529</v>
      </c>
      <c r="K254" s="133" t="s">
        <v>458</v>
      </c>
      <c r="L254" s="108">
        <f t="shared" si="3"/>
        <v>7.6712328767123292E-2</v>
      </c>
    </row>
    <row r="255" spans="1:12" ht="17" customHeight="1">
      <c r="A255" s="131" t="s">
        <v>588</v>
      </c>
      <c r="B255" s="131" t="s">
        <v>589</v>
      </c>
      <c r="C255" s="131">
        <v>6644.16</v>
      </c>
      <c r="D255" s="131">
        <v>-0.75</v>
      </c>
      <c r="E255" s="131">
        <v>10.52</v>
      </c>
      <c r="F255" s="131">
        <v>50.48</v>
      </c>
      <c r="G255" s="131">
        <v>0.77</v>
      </c>
      <c r="H255" s="131">
        <v>3.87</v>
      </c>
      <c r="I255" s="131">
        <v>0.51</v>
      </c>
      <c r="J255" s="132">
        <v>36529</v>
      </c>
      <c r="K255" s="133" t="s">
        <v>458</v>
      </c>
      <c r="L255" s="108">
        <f t="shared" si="3"/>
        <v>7.6664025356576876E-2</v>
      </c>
    </row>
    <row r="256" spans="1:12" ht="17" customHeight="1">
      <c r="A256" s="131" t="s">
        <v>586</v>
      </c>
      <c r="B256" s="131" t="s">
        <v>587</v>
      </c>
      <c r="C256" s="131">
        <v>1885.43</v>
      </c>
      <c r="D256" s="131">
        <v>0.32</v>
      </c>
      <c r="E256" s="131">
        <v>1.08</v>
      </c>
      <c r="F256" s="131">
        <v>29.22</v>
      </c>
      <c r="G256" s="131">
        <v>0.12</v>
      </c>
      <c r="H256" s="131">
        <v>2.23</v>
      </c>
      <c r="I256" s="131">
        <v>0.22</v>
      </c>
      <c r="J256" s="132">
        <v>36529</v>
      </c>
      <c r="K256" s="133" t="s">
        <v>458</v>
      </c>
      <c r="L256" s="108">
        <f t="shared" si="3"/>
        <v>7.6317590691307322E-2</v>
      </c>
    </row>
    <row r="257" spans="1:12" ht="17" customHeight="1">
      <c r="A257" s="131" t="s">
        <v>542</v>
      </c>
      <c r="B257" s="131" t="s">
        <v>543</v>
      </c>
      <c r="C257" s="131">
        <v>2435.23</v>
      </c>
      <c r="D257" s="131">
        <v>1.18</v>
      </c>
      <c r="E257" s="131">
        <v>2.17</v>
      </c>
      <c r="F257" s="131">
        <v>16.7</v>
      </c>
      <c r="G257" s="131">
        <v>0.04</v>
      </c>
      <c r="H257" s="131">
        <v>1.27</v>
      </c>
      <c r="I257" s="131">
        <v>0.04</v>
      </c>
      <c r="J257" s="132">
        <v>36529</v>
      </c>
      <c r="K257" s="133" t="s">
        <v>458</v>
      </c>
      <c r="L257" s="108">
        <f t="shared" si="3"/>
        <v>7.6047904191616778E-2</v>
      </c>
    </row>
    <row r="258" spans="1:12" ht="17" customHeight="1">
      <c r="A258" s="131" t="s">
        <v>933</v>
      </c>
      <c r="B258" s="131" t="s">
        <v>934</v>
      </c>
      <c r="C258" s="131">
        <v>1642.19</v>
      </c>
      <c r="D258" s="131">
        <v>2.41</v>
      </c>
      <c r="E258" s="131">
        <v>9.25</v>
      </c>
      <c r="F258" s="131">
        <v>34.53</v>
      </c>
      <c r="G258" s="131">
        <v>0.39</v>
      </c>
      <c r="H258" s="131">
        <v>2.61</v>
      </c>
      <c r="I258" s="131">
        <v>0.32</v>
      </c>
      <c r="J258" s="132">
        <v>42045</v>
      </c>
      <c r="K258" s="133" t="s">
        <v>458</v>
      </c>
      <c r="L258" s="108">
        <f t="shared" ref="L258:L321" si="4">H258/F258</f>
        <v>7.5586446568201557E-2</v>
      </c>
    </row>
    <row r="259" spans="1:12" ht="17" customHeight="1">
      <c r="A259" s="131" t="s">
        <v>570</v>
      </c>
      <c r="B259" s="131" t="s">
        <v>571</v>
      </c>
      <c r="C259" s="131">
        <v>7074.59</v>
      </c>
      <c r="D259" s="131">
        <v>0.86</v>
      </c>
      <c r="E259" s="131">
        <v>7.1</v>
      </c>
      <c r="F259" s="131">
        <v>99.84</v>
      </c>
      <c r="G259" s="131">
        <v>0.68</v>
      </c>
      <c r="H259" s="131">
        <v>7.54</v>
      </c>
      <c r="I259" s="131">
        <v>0.56999999999999995</v>
      </c>
      <c r="J259" s="132">
        <v>39265</v>
      </c>
      <c r="K259" s="133" t="s">
        <v>458</v>
      </c>
      <c r="L259" s="108">
        <f t="shared" si="4"/>
        <v>7.5520833333333329E-2</v>
      </c>
    </row>
    <row r="260" spans="1:12" ht="17" customHeight="1">
      <c r="A260" s="131" t="s">
        <v>683</v>
      </c>
      <c r="B260" s="131" t="s">
        <v>684</v>
      </c>
      <c r="C260" s="131">
        <v>2193.94</v>
      </c>
      <c r="D260" s="131">
        <v>1.62</v>
      </c>
      <c r="E260" s="131">
        <v>5.94</v>
      </c>
      <c r="F260" s="131">
        <v>22.19</v>
      </c>
      <c r="G260" s="131">
        <v>0.2</v>
      </c>
      <c r="H260" s="131">
        <v>1.67</v>
      </c>
      <c r="I260" s="131">
        <v>0.2</v>
      </c>
      <c r="J260" s="132">
        <v>36529</v>
      </c>
      <c r="K260" s="133" t="s">
        <v>458</v>
      </c>
      <c r="L260" s="108">
        <f t="shared" si="4"/>
        <v>7.5259125732311846E-2</v>
      </c>
    </row>
    <row r="261" spans="1:12" ht="17" customHeight="1">
      <c r="A261" s="131" t="s">
        <v>844</v>
      </c>
      <c r="B261" s="131" t="s">
        <v>108</v>
      </c>
      <c r="C261" s="131">
        <v>4837.78</v>
      </c>
      <c r="D261" s="131">
        <v>0.08</v>
      </c>
      <c r="E261" s="131">
        <v>5.87</v>
      </c>
      <c r="F261" s="131">
        <v>28.99</v>
      </c>
      <c r="G261" s="131">
        <v>0.91</v>
      </c>
      <c r="H261" s="131">
        <v>2.17</v>
      </c>
      <c r="I261" s="131">
        <v>0.25</v>
      </c>
      <c r="J261" s="132">
        <v>40757</v>
      </c>
      <c r="K261" s="133" t="s">
        <v>458</v>
      </c>
      <c r="L261" s="108">
        <f t="shared" si="4"/>
        <v>7.485339772335288E-2</v>
      </c>
    </row>
    <row r="262" spans="1:12" ht="17" customHeight="1">
      <c r="A262" s="131" t="s">
        <v>496</v>
      </c>
      <c r="B262" s="131" t="s">
        <v>497</v>
      </c>
      <c r="C262" s="131">
        <v>1988.98</v>
      </c>
      <c r="D262" s="131">
        <v>0.41</v>
      </c>
      <c r="E262" s="131">
        <v>0.39</v>
      </c>
      <c r="F262" s="131">
        <v>19.13</v>
      </c>
      <c r="G262" s="131">
        <v>0.12</v>
      </c>
      <c r="H262" s="131">
        <v>1.43</v>
      </c>
      <c r="I262" s="131">
        <v>0.01</v>
      </c>
      <c r="J262" s="132">
        <v>36529</v>
      </c>
      <c r="K262" s="133" t="s">
        <v>458</v>
      </c>
      <c r="L262" s="108">
        <f t="shared" si="4"/>
        <v>7.4751698902247782E-2</v>
      </c>
    </row>
    <row r="263" spans="1:12" ht="17" customHeight="1">
      <c r="A263" s="131" t="s">
        <v>822</v>
      </c>
      <c r="B263" s="131" t="s">
        <v>42</v>
      </c>
      <c r="C263" s="131">
        <v>5587.54</v>
      </c>
      <c r="D263" s="131">
        <v>1.41</v>
      </c>
      <c r="E263" s="131">
        <v>6.07</v>
      </c>
      <c r="F263" s="131">
        <v>26.31</v>
      </c>
      <c r="G263" s="131">
        <v>0.18</v>
      </c>
      <c r="H263" s="131">
        <v>1.94</v>
      </c>
      <c r="I263" s="131">
        <v>0.11</v>
      </c>
      <c r="J263" s="132">
        <v>39097</v>
      </c>
      <c r="K263" s="133" t="s">
        <v>458</v>
      </c>
      <c r="L263" s="108">
        <f t="shared" si="4"/>
        <v>7.3736221968833143E-2</v>
      </c>
    </row>
    <row r="264" spans="1:12" ht="17" customHeight="1">
      <c r="A264" s="131" t="s">
        <v>836</v>
      </c>
      <c r="B264" s="131" t="s">
        <v>837</v>
      </c>
      <c r="C264" s="131">
        <v>6537.3</v>
      </c>
      <c r="D264" s="131">
        <v>1.1000000000000001</v>
      </c>
      <c r="E264" s="131">
        <v>4.88</v>
      </c>
      <c r="F264" s="131">
        <v>26.31</v>
      </c>
      <c r="G264" s="131">
        <v>0.2</v>
      </c>
      <c r="H264" s="131">
        <v>1.94</v>
      </c>
      <c r="I264" s="131">
        <v>0.14000000000000001</v>
      </c>
      <c r="J264" s="132">
        <v>40707</v>
      </c>
      <c r="K264" s="133" t="s">
        <v>458</v>
      </c>
      <c r="L264" s="108">
        <f t="shared" si="4"/>
        <v>7.3736221968833143E-2</v>
      </c>
    </row>
    <row r="265" spans="1:12" ht="17" customHeight="1">
      <c r="A265" s="131" t="s">
        <v>709</v>
      </c>
      <c r="B265" s="131" t="s">
        <v>710</v>
      </c>
      <c r="C265" s="131">
        <v>2617.1</v>
      </c>
      <c r="D265" s="131">
        <v>1.87</v>
      </c>
      <c r="E265" s="131">
        <v>5.81</v>
      </c>
      <c r="F265" s="131">
        <v>30.46</v>
      </c>
      <c r="G265" s="131">
        <v>0.37</v>
      </c>
      <c r="H265" s="131">
        <v>2.2400000000000002</v>
      </c>
      <c r="I265" s="131">
        <v>0.28000000000000003</v>
      </c>
      <c r="J265" s="132">
        <v>36529</v>
      </c>
      <c r="K265" s="133" t="s">
        <v>458</v>
      </c>
      <c r="L265" s="108">
        <f t="shared" si="4"/>
        <v>7.3539067629678267E-2</v>
      </c>
    </row>
    <row r="266" spans="1:12" ht="17" customHeight="1">
      <c r="A266" s="131" t="s">
        <v>963</v>
      </c>
      <c r="B266" s="131" t="s">
        <v>964</v>
      </c>
      <c r="C266" s="131">
        <v>1637.95</v>
      </c>
      <c r="D266" s="131">
        <v>2.69</v>
      </c>
      <c r="E266" s="131">
        <v>10.53</v>
      </c>
      <c r="F266" s="131">
        <v>35.49</v>
      </c>
      <c r="G266" s="131">
        <v>0.77</v>
      </c>
      <c r="H266" s="131">
        <v>2.59</v>
      </c>
      <c r="I266" s="131">
        <v>0.34</v>
      </c>
      <c r="J266" s="132">
        <v>42166</v>
      </c>
      <c r="K266" s="133" t="s">
        <v>458</v>
      </c>
      <c r="L266" s="108">
        <f t="shared" si="4"/>
        <v>7.2978303747534515E-2</v>
      </c>
    </row>
    <row r="267" spans="1:12" ht="17" customHeight="1">
      <c r="A267" s="131" t="s">
        <v>711</v>
      </c>
      <c r="B267" s="131" t="s">
        <v>712</v>
      </c>
      <c r="C267" s="131">
        <v>2201.6</v>
      </c>
      <c r="D267" s="131">
        <v>1.25</v>
      </c>
      <c r="E267" s="131">
        <v>7.16</v>
      </c>
      <c r="F267" s="131">
        <v>29.67</v>
      </c>
      <c r="G267" s="131">
        <v>0.14000000000000001</v>
      </c>
      <c r="H267" s="131">
        <v>2.16</v>
      </c>
      <c r="I267" s="131">
        <v>0.18</v>
      </c>
      <c r="J267" s="132">
        <v>36529</v>
      </c>
      <c r="K267" s="133" t="s">
        <v>458</v>
      </c>
      <c r="L267" s="108">
        <f t="shared" si="4"/>
        <v>7.2800808897876643E-2</v>
      </c>
    </row>
    <row r="268" spans="1:12" ht="17" customHeight="1">
      <c r="A268" s="131" t="s">
        <v>510</v>
      </c>
      <c r="B268" s="131" t="s">
        <v>511</v>
      </c>
      <c r="C268" s="131">
        <v>2395.02</v>
      </c>
      <c r="D268" s="131">
        <v>1.55</v>
      </c>
      <c r="E268" s="131">
        <v>6.4</v>
      </c>
      <c r="F268" s="131">
        <v>25.85</v>
      </c>
      <c r="G268" s="131">
        <v>0.23</v>
      </c>
      <c r="H268" s="131">
        <v>1.87</v>
      </c>
      <c r="I268" s="131">
        <v>0.24</v>
      </c>
      <c r="J268" s="132">
        <v>36529</v>
      </c>
      <c r="K268" s="133" t="s">
        <v>458</v>
      </c>
      <c r="L268" s="108">
        <f t="shared" si="4"/>
        <v>7.2340425531914887E-2</v>
      </c>
    </row>
    <row r="269" spans="1:12" ht="17" customHeight="1">
      <c r="A269" s="131" t="s">
        <v>623</v>
      </c>
      <c r="B269" s="131" t="s">
        <v>624</v>
      </c>
      <c r="C269" s="131">
        <v>3595.25</v>
      </c>
      <c r="D269" s="131">
        <v>-0.42</v>
      </c>
      <c r="E269" s="131">
        <v>2.86</v>
      </c>
      <c r="F269" s="131">
        <v>19.91</v>
      </c>
      <c r="G269" s="131">
        <v>0.14000000000000001</v>
      </c>
      <c r="H269" s="131">
        <v>1.44</v>
      </c>
      <c r="I269" s="131">
        <v>0.01</v>
      </c>
      <c r="J269" s="132">
        <v>36529</v>
      </c>
      <c r="K269" s="133" t="s">
        <v>458</v>
      </c>
      <c r="L269" s="108">
        <f t="shared" si="4"/>
        <v>7.2325464590657959E-2</v>
      </c>
    </row>
    <row r="270" spans="1:12" ht="17" customHeight="1">
      <c r="A270" s="131" t="s">
        <v>614</v>
      </c>
      <c r="B270" s="131" t="s">
        <v>615</v>
      </c>
      <c r="C270" s="131">
        <v>1915.46</v>
      </c>
      <c r="D270" s="131">
        <v>1.05</v>
      </c>
      <c r="E270" s="131">
        <v>5.28</v>
      </c>
      <c r="F270" s="131">
        <v>29.01</v>
      </c>
      <c r="G270" s="131">
        <v>0.55000000000000004</v>
      </c>
      <c r="H270" s="131">
        <v>2.09</v>
      </c>
      <c r="I270" s="131">
        <v>0.31</v>
      </c>
      <c r="J270" s="132">
        <v>36529</v>
      </c>
      <c r="K270" s="133" t="s">
        <v>458</v>
      </c>
      <c r="L270" s="108">
        <f t="shared" si="4"/>
        <v>7.2044122716304712E-2</v>
      </c>
    </row>
    <row r="271" spans="1:12" ht="17" customHeight="1">
      <c r="A271" s="131" t="s">
        <v>713</v>
      </c>
      <c r="B271" s="131" t="s">
        <v>714</v>
      </c>
      <c r="C271" s="131">
        <v>2297.69</v>
      </c>
      <c r="D271" s="131">
        <v>1.65</v>
      </c>
      <c r="E271" s="131">
        <v>5.03</v>
      </c>
      <c r="F271" s="131">
        <v>18.88</v>
      </c>
      <c r="G271" s="131">
        <v>0.19</v>
      </c>
      <c r="H271" s="131">
        <v>1.36</v>
      </c>
      <c r="I271" s="131">
        <v>0.18</v>
      </c>
      <c r="J271" s="132">
        <v>36529</v>
      </c>
      <c r="K271" s="133" t="s">
        <v>458</v>
      </c>
      <c r="L271" s="108">
        <f t="shared" si="4"/>
        <v>7.2033898305084748E-2</v>
      </c>
    </row>
    <row r="272" spans="1:12" ht="17" customHeight="1">
      <c r="A272" s="131" t="s">
        <v>484</v>
      </c>
      <c r="B272" s="131" t="s">
        <v>485</v>
      </c>
      <c r="C272" s="131">
        <v>1989.44</v>
      </c>
      <c r="D272" s="131">
        <v>0.96</v>
      </c>
      <c r="E272" s="131">
        <v>3.64</v>
      </c>
      <c r="F272" s="131">
        <v>26.15</v>
      </c>
      <c r="G272" s="131">
        <v>0.33</v>
      </c>
      <c r="H272" s="131">
        <v>1.88</v>
      </c>
      <c r="I272" s="131">
        <v>0.22</v>
      </c>
      <c r="J272" s="132">
        <v>36529</v>
      </c>
      <c r="K272" s="133" t="s">
        <v>458</v>
      </c>
      <c r="L272" s="108">
        <f t="shared" si="4"/>
        <v>7.1892925430210322E-2</v>
      </c>
    </row>
    <row r="273" spans="1:12" ht="17" customHeight="1">
      <c r="A273" s="131" t="s">
        <v>466</v>
      </c>
      <c r="B273" s="131" t="s">
        <v>467</v>
      </c>
      <c r="C273" s="131">
        <v>2473.9699999999998</v>
      </c>
      <c r="D273" s="131">
        <v>1.8</v>
      </c>
      <c r="E273" s="131">
        <v>7.3</v>
      </c>
      <c r="F273" s="131">
        <v>40.49</v>
      </c>
      <c r="G273" s="131">
        <v>0.53</v>
      </c>
      <c r="H273" s="131">
        <v>2.89</v>
      </c>
      <c r="I273" s="131">
        <v>0.6</v>
      </c>
      <c r="J273" s="132">
        <v>36529</v>
      </c>
      <c r="K273" s="133" t="s">
        <v>458</v>
      </c>
      <c r="L273" s="108">
        <f t="shared" si="4"/>
        <v>7.1375648308224252E-2</v>
      </c>
    </row>
    <row r="274" spans="1:12" ht="17" customHeight="1">
      <c r="A274" s="131" t="s">
        <v>841</v>
      </c>
      <c r="B274" s="131" t="s">
        <v>842</v>
      </c>
      <c r="C274" s="131">
        <v>1154.82</v>
      </c>
      <c r="D274" s="131">
        <v>0.6</v>
      </c>
      <c r="E274" s="131">
        <v>3.11</v>
      </c>
      <c r="F274" s="131">
        <v>22.87</v>
      </c>
      <c r="G274" s="131">
        <v>0.25</v>
      </c>
      <c r="H274" s="131">
        <v>1.63</v>
      </c>
      <c r="I274" s="131">
        <v>0.14000000000000001</v>
      </c>
      <c r="J274" s="132">
        <v>42012</v>
      </c>
      <c r="K274" s="133" t="s">
        <v>458</v>
      </c>
      <c r="L274" s="108">
        <f t="shared" si="4"/>
        <v>7.1272409269785744E-2</v>
      </c>
    </row>
    <row r="275" spans="1:12" ht="17" customHeight="1">
      <c r="A275" s="131" t="s">
        <v>679</v>
      </c>
      <c r="B275" s="131" t="s">
        <v>680</v>
      </c>
      <c r="C275" s="131">
        <v>2041.6</v>
      </c>
      <c r="D275" s="131">
        <v>0.08</v>
      </c>
      <c r="E275" s="131">
        <v>0.35</v>
      </c>
      <c r="F275" s="131">
        <v>14.67</v>
      </c>
      <c r="G275" s="131">
        <v>0.16</v>
      </c>
      <c r="H275" s="131">
        <v>1.04</v>
      </c>
      <c r="I275" s="131">
        <v>0</v>
      </c>
      <c r="J275" s="132">
        <v>36529</v>
      </c>
      <c r="K275" s="133" t="s">
        <v>458</v>
      </c>
      <c r="L275" s="108">
        <f t="shared" si="4"/>
        <v>7.0892978868438997E-2</v>
      </c>
    </row>
    <row r="276" spans="1:12" ht="17" customHeight="1">
      <c r="A276" s="131" t="s">
        <v>616</v>
      </c>
      <c r="B276" s="131" t="s">
        <v>617</v>
      </c>
      <c r="C276" s="131">
        <v>2110.19</v>
      </c>
      <c r="D276" s="131">
        <v>0.78</v>
      </c>
      <c r="E276" s="131">
        <v>0.64</v>
      </c>
      <c r="F276" s="131">
        <v>22.43</v>
      </c>
      <c r="G276" s="131">
        <v>0.09</v>
      </c>
      <c r="H276" s="131">
        <v>1.59</v>
      </c>
      <c r="I276" s="131">
        <v>0.14000000000000001</v>
      </c>
      <c r="J276" s="132">
        <v>36529</v>
      </c>
      <c r="K276" s="133" t="s">
        <v>458</v>
      </c>
      <c r="L276" s="108">
        <f t="shared" si="4"/>
        <v>7.0887204636647355E-2</v>
      </c>
    </row>
    <row r="277" spans="1:12" ht="17" customHeight="1">
      <c r="A277" s="131" t="s">
        <v>667</v>
      </c>
      <c r="B277" s="131" t="s">
        <v>668</v>
      </c>
      <c r="C277" s="131">
        <v>7838.83</v>
      </c>
      <c r="D277" s="131">
        <v>2.96</v>
      </c>
      <c r="E277" s="131">
        <v>11.46</v>
      </c>
      <c r="F277" s="131">
        <v>37.74</v>
      </c>
      <c r="G277" s="131">
        <v>0.38</v>
      </c>
      <c r="H277" s="131">
        <v>2.66</v>
      </c>
      <c r="I277" s="131">
        <v>0.28000000000000003</v>
      </c>
      <c r="J277" s="132">
        <v>36529</v>
      </c>
      <c r="K277" s="133" t="s">
        <v>458</v>
      </c>
      <c r="L277" s="108">
        <f t="shared" si="4"/>
        <v>7.0482246952835184E-2</v>
      </c>
    </row>
    <row r="278" spans="1:12" ht="17" customHeight="1">
      <c r="A278" s="131" t="s">
        <v>671</v>
      </c>
      <c r="B278" s="131" t="s">
        <v>672</v>
      </c>
      <c r="C278" s="131">
        <v>4272.07</v>
      </c>
      <c r="D278" s="131">
        <v>1.47</v>
      </c>
      <c r="E278" s="131">
        <v>0.36</v>
      </c>
      <c r="F278" s="131">
        <v>34.56</v>
      </c>
      <c r="G278" s="131">
        <v>0.42</v>
      </c>
      <c r="H278" s="131">
        <v>2.4</v>
      </c>
      <c r="I278" s="131">
        <v>0.17</v>
      </c>
      <c r="J278" s="132">
        <v>36529</v>
      </c>
      <c r="K278" s="133" t="s">
        <v>458</v>
      </c>
      <c r="L278" s="108">
        <f t="shared" si="4"/>
        <v>6.9444444444444434E-2</v>
      </c>
    </row>
    <row r="279" spans="1:12" ht="17" customHeight="1">
      <c r="A279" s="131" t="s">
        <v>635</v>
      </c>
      <c r="B279" s="131" t="s">
        <v>636</v>
      </c>
      <c r="C279" s="131">
        <v>5359.6</v>
      </c>
      <c r="D279" s="131">
        <v>-0.1</v>
      </c>
      <c r="E279" s="131">
        <v>5.2</v>
      </c>
      <c r="F279" s="131">
        <v>27.6</v>
      </c>
      <c r="G279" s="131">
        <v>0.31</v>
      </c>
      <c r="H279" s="131">
        <v>1.91</v>
      </c>
      <c r="I279" s="131">
        <v>0.11</v>
      </c>
      <c r="J279" s="132">
        <v>36529</v>
      </c>
      <c r="K279" s="133" t="s">
        <v>458</v>
      </c>
      <c r="L279" s="108">
        <f t="shared" si="4"/>
        <v>6.9202898550724631E-2</v>
      </c>
    </row>
    <row r="280" spans="1:12" ht="17" customHeight="1">
      <c r="A280" s="131" t="s">
        <v>608</v>
      </c>
      <c r="B280" s="131" t="s">
        <v>609</v>
      </c>
      <c r="C280" s="131">
        <v>4746.4799999999996</v>
      </c>
      <c r="D280" s="131">
        <v>0.09</v>
      </c>
      <c r="E280" s="131">
        <v>7.32</v>
      </c>
      <c r="F280" s="131">
        <v>21.06</v>
      </c>
      <c r="G280" s="131">
        <v>0.63</v>
      </c>
      <c r="H280" s="131">
        <v>1.44</v>
      </c>
      <c r="I280" s="131">
        <v>0.12</v>
      </c>
      <c r="J280" s="132">
        <v>36529</v>
      </c>
      <c r="K280" s="133" t="s">
        <v>458</v>
      </c>
      <c r="L280" s="108">
        <f t="shared" si="4"/>
        <v>6.8376068376068383E-2</v>
      </c>
    </row>
    <row r="281" spans="1:12" ht="17" customHeight="1">
      <c r="A281" s="131" t="s">
        <v>532</v>
      </c>
      <c r="B281" s="131" t="s">
        <v>533</v>
      </c>
      <c r="C281" s="131">
        <v>5592.42</v>
      </c>
      <c r="D281" s="131">
        <v>1.26</v>
      </c>
      <c r="E281" s="131">
        <v>13.33</v>
      </c>
      <c r="F281" s="131">
        <v>66.400000000000006</v>
      </c>
      <c r="G281" s="131">
        <v>0.83</v>
      </c>
      <c r="H281" s="131">
        <v>4.54</v>
      </c>
      <c r="I281" s="131">
        <v>0.53</v>
      </c>
      <c r="J281" s="132">
        <v>36529</v>
      </c>
      <c r="K281" s="133" t="s">
        <v>458</v>
      </c>
      <c r="L281" s="108">
        <f t="shared" si="4"/>
        <v>6.8373493975903615E-2</v>
      </c>
    </row>
    <row r="282" spans="1:12" ht="17" customHeight="1">
      <c r="A282" s="131" t="s">
        <v>929</v>
      </c>
      <c r="B282" s="131" t="s">
        <v>930</v>
      </c>
      <c r="C282" s="131">
        <v>2108.9899999999998</v>
      </c>
      <c r="D282" s="131">
        <v>2.08</v>
      </c>
      <c r="E282" s="131">
        <v>11.25</v>
      </c>
      <c r="F282" s="131">
        <v>34.840000000000003</v>
      </c>
      <c r="G282" s="131">
        <v>0.47</v>
      </c>
      <c r="H282" s="131">
        <v>2.38</v>
      </c>
      <c r="I282" s="131">
        <v>0.3</v>
      </c>
      <c r="J282" s="132">
        <v>41906</v>
      </c>
      <c r="K282" s="133" t="s">
        <v>458</v>
      </c>
      <c r="L282" s="108">
        <f t="shared" si="4"/>
        <v>6.8312284730195169E-2</v>
      </c>
    </row>
    <row r="283" spans="1:12" ht="17" customHeight="1">
      <c r="A283" s="131" t="s">
        <v>941</v>
      </c>
      <c r="B283" s="131" t="s">
        <v>942</v>
      </c>
      <c r="C283" s="131">
        <v>1244.8800000000001</v>
      </c>
      <c r="D283" s="131">
        <v>1.99</v>
      </c>
      <c r="E283" s="131">
        <v>6.89</v>
      </c>
      <c r="F283" s="131">
        <v>49.99</v>
      </c>
      <c r="G283" s="131">
        <v>0.21</v>
      </c>
      <c r="H283" s="131">
        <v>3.39</v>
      </c>
      <c r="I283" s="131">
        <v>0.45</v>
      </c>
      <c r="J283" s="132">
        <v>41744</v>
      </c>
      <c r="K283" s="133" t="s">
        <v>458</v>
      </c>
      <c r="L283" s="108">
        <f t="shared" si="4"/>
        <v>6.7813562712542505E-2</v>
      </c>
    </row>
    <row r="284" spans="1:12" ht="17" customHeight="1">
      <c r="A284" s="131" t="s">
        <v>857</v>
      </c>
      <c r="B284" s="131" t="s">
        <v>858</v>
      </c>
      <c r="C284" s="131">
        <v>1611.7</v>
      </c>
      <c r="D284" s="131">
        <v>2.16</v>
      </c>
      <c r="E284" s="131">
        <v>7.86</v>
      </c>
      <c r="F284" s="131">
        <v>52.51</v>
      </c>
      <c r="G284" s="131">
        <v>0.33</v>
      </c>
      <c r="H284" s="131">
        <v>3.56</v>
      </c>
      <c r="I284" s="131">
        <v>0.62</v>
      </c>
      <c r="J284" s="132">
        <v>42599</v>
      </c>
      <c r="K284" s="133" t="s">
        <v>458</v>
      </c>
      <c r="L284" s="108">
        <f t="shared" si="4"/>
        <v>6.7796610169491525E-2</v>
      </c>
    </row>
    <row r="285" spans="1:12" ht="17" customHeight="1">
      <c r="A285" s="131" t="s">
        <v>1058</v>
      </c>
      <c r="B285" s="131" t="s">
        <v>1059</v>
      </c>
      <c r="C285" s="131">
        <v>8662.26</v>
      </c>
      <c r="D285" s="131">
        <v>1.07</v>
      </c>
      <c r="E285" s="131">
        <v>12.45</v>
      </c>
      <c r="F285" s="131">
        <v>73.72</v>
      </c>
      <c r="G285" s="131">
        <v>0.8</v>
      </c>
      <c r="H285" s="131">
        <v>4.99</v>
      </c>
      <c r="I285" s="131">
        <v>0.64</v>
      </c>
      <c r="J285" s="132">
        <v>42160</v>
      </c>
      <c r="K285" s="133" t="s">
        <v>458</v>
      </c>
      <c r="L285" s="108">
        <f t="shared" si="4"/>
        <v>6.768855127509496E-2</v>
      </c>
    </row>
    <row r="286" spans="1:12" ht="17" customHeight="1">
      <c r="A286" s="131" t="s">
        <v>498</v>
      </c>
      <c r="B286" s="131" t="s">
        <v>499</v>
      </c>
      <c r="C286" s="131">
        <v>4676.4399999999996</v>
      </c>
      <c r="D286" s="131">
        <v>2.1</v>
      </c>
      <c r="E286" s="131">
        <v>7.39</v>
      </c>
      <c r="F286" s="131">
        <v>34.74</v>
      </c>
      <c r="G286" s="131">
        <v>0.28999999999999998</v>
      </c>
      <c r="H286" s="131">
        <v>2.35</v>
      </c>
      <c r="I286" s="131">
        <v>0.16</v>
      </c>
      <c r="J286" s="132">
        <v>36529</v>
      </c>
      <c r="K286" s="133" t="s">
        <v>458</v>
      </c>
      <c r="L286" s="108">
        <f t="shared" si="4"/>
        <v>6.7645365572826716E-2</v>
      </c>
    </row>
    <row r="287" spans="1:12" ht="17" customHeight="1">
      <c r="A287" s="131" t="s">
        <v>965</v>
      </c>
      <c r="B287" s="131" t="s">
        <v>966</v>
      </c>
      <c r="C287" s="131">
        <v>3050.32</v>
      </c>
      <c r="D287" s="131">
        <v>1.44</v>
      </c>
      <c r="E287" s="131">
        <v>9.52</v>
      </c>
      <c r="F287" s="131">
        <v>33.42</v>
      </c>
      <c r="G287" s="131">
        <v>0.55000000000000004</v>
      </c>
      <c r="H287" s="131">
        <v>2.2599999999999998</v>
      </c>
      <c r="I287" s="131">
        <v>0.47</v>
      </c>
      <c r="J287" s="132">
        <v>42725</v>
      </c>
      <c r="K287" s="133" t="s">
        <v>458</v>
      </c>
      <c r="L287" s="108">
        <f t="shared" si="4"/>
        <v>6.7624177139437455E-2</v>
      </c>
    </row>
    <row r="288" spans="1:12" ht="17" customHeight="1">
      <c r="A288" s="131" t="s">
        <v>804</v>
      </c>
      <c r="B288" s="131" t="s">
        <v>805</v>
      </c>
      <c r="C288" s="131">
        <v>5283.45</v>
      </c>
      <c r="D288" s="131">
        <v>0.74</v>
      </c>
      <c r="E288" s="131">
        <v>8.33</v>
      </c>
      <c r="F288" s="131">
        <v>21.72</v>
      </c>
      <c r="G288" s="131">
        <v>0.96</v>
      </c>
      <c r="H288" s="131">
        <v>1.46</v>
      </c>
      <c r="I288" s="131">
        <v>0.14000000000000001</v>
      </c>
      <c r="J288" s="132">
        <v>41470</v>
      </c>
      <c r="K288" s="133" t="s">
        <v>458</v>
      </c>
      <c r="L288" s="108">
        <f t="shared" si="4"/>
        <v>6.7219152854511979E-2</v>
      </c>
    </row>
    <row r="289" spans="1:12" ht="17" customHeight="1">
      <c r="A289" s="131" t="s">
        <v>771</v>
      </c>
      <c r="B289" s="131" t="s">
        <v>772</v>
      </c>
      <c r="C289" s="131">
        <v>1665.43</v>
      </c>
      <c r="D289" s="131">
        <v>0.08</v>
      </c>
      <c r="E289" s="131">
        <v>0.45</v>
      </c>
      <c r="F289" s="131">
        <v>17.32</v>
      </c>
      <c r="G289" s="131">
        <v>0.53</v>
      </c>
      <c r="H289" s="131">
        <v>1.1599999999999999</v>
      </c>
      <c r="I289" s="131">
        <v>0.03</v>
      </c>
      <c r="J289" s="132">
        <v>40298</v>
      </c>
      <c r="K289" s="133" t="s">
        <v>458</v>
      </c>
      <c r="L289" s="108">
        <f t="shared" si="4"/>
        <v>6.6974595842956119E-2</v>
      </c>
    </row>
    <row r="290" spans="1:12" ht="17" customHeight="1">
      <c r="A290" s="131" t="s">
        <v>1061</v>
      </c>
      <c r="B290" s="131" t="s">
        <v>1062</v>
      </c>
      <c r="C290" s="131">
        <v>13545.94</v>
      </c>
      <c r="D290" s="131">
        <v>0.15</v>
      </c>
      <c r="E290" s="131">
        <v>2.2400000000000002</v>
      </c>
      <c r="F290" s="131">
        <v>25.09</v>
      </c>
      <c r="G290" s="131">
        <v>1</v>
      </c>
      <c r="H290" s="131">
        <v>1.67</v>
      </c>
      <c r="I290" s="131">
        <v>0.47</v>
      </c>
      <c r="J290" s="132">
        <v>42258</v>
      </c>
      <c r="K290" s="133" t="s">
        <v>458</v>
      </c>
      <c r="L290" s="108">
        <f t="shared" si="4"/>
        <v>6.6560382622558784E-2</v>
      </c>
    </row>
    <row r="291" spans="1:12" ht="17" customHeight="1">
      <c r="A291" s="131" t="s">
        <v>773</v>
      </c>
      <c r="B291" s="131" t="s">
        <v>123</v>
      </c>
      <c r="C291" s="131">
        <v>1581.24</v>
      </c>
      <c r="D291" s="131">
        <v>7.0000000000000007E-2</v>
      </c>
      <c r="E291" s="131">
        <v>-0.28000000000000003</v>
      </c>
      <c r="F291" s="131">
        <v>14.58</v>
      </c>
      <c r="G291" s="131">
        <v>0.5</v>
      </c>
      <c r="H291" s="131">
        <v>0.97</v>
      </c>
      <c r="I291" s="131">
        <v>0.01</v>
      </c>
      <c r="J291" s="132">
        <v>40757</v>
      </c>
      <c r="K291" s="133" t="s">
        <v>458</v>
      </c>
      <c r="L291" s="108">
        <f t="shared" si="4"/>
        <v>6.6529492455418379E-2</v>
      </c>
    </row>
    <row r="292" spans="1:12" ht="17" customHeight="1">
      <c r="A292" s="131" t="s">
        <v>612</v>
      </c>
      <c r="B292" s="131" t="s">
        <v>613</v>
      </c>
      <c r="C292" s="131">
        <v>889.63</v>
      </c>
      <c r="D292" s="131">
        <v>0.57999999999999996</v>
      </c>
      <c r="E292" s="131">
        <v>7.51</v>
      </c>
      <c r="F292" s="131">
        <v>22.83</v>
      </c>
      <c r="G292" s="131">
        <v>0.09</v>
      </c>
      <c r="H292" s="131">
        <v>1.51</v>
      </c>
      <c r="I292" s="131">
        <v>0.09</v>
      </c>
      <c r="J292" s="132">
        <v>37384</v>
      </c>
      <c r="K292" s="133" t="s">
        <v>458</v>
      </c>
      <c r="L292" s="108">
        <f t="shared" si="4"/>
        <v>6.6141042487954452E-2</v>
      </c>
    </row>
    <row r="293" spans="1:12" ht="17" customHeight="1">
      <c r="A293" s="131" t="s">
        <v>659</v>
      </c>
      <c r="B293" s="131" t="s">
        <v>660</v>
      </c>
      <c r="C293" s="131">
        <v>2821.72</v>
      </c>
      <c r="D293" s="131">
        <v>0.43</v>
      </c>
      <c r="E293" s="131">
        <v>2.3199999999999998</v>
      </c>
      <c r="F293" s="131">
        <v>19.68</v>
      </c>
      <c r="G293" s="131">
        <v>0.04</v>
      </c>
      <c r="H293" s="131">
        <v>1.3</v>
      </c>
      <c r="I293" s="131">
        <v>0.02</v>
      </c>
      <c r="J293" s="132">
        <v>36529</v>
      </c>
      <c r="K293" s="133" t="s">
        <v>458</v>
      </c>
      <c r="L293" s="108">
        <f t="shared" si="4"/>
        <v>6.605691056910569E-2</v>
      </c>
    </row>
    <row r="294" spans="1:12" ht="17" customHeight="1">
      <c r="A294" s="131" t="s">
        <v>464</v>
      </c>
      <c r="B294" s="131" t="s">
        <v>465</v>
      </c>
      <c r="C294" s="131">
        <v>5280.49</v>
      </c>
      <c r="D294" s="131">
        <v>1.33</v>
      </c>
      <c r="E294" s="131">
        <v>13.04</v>
      </c>
      <c r="F294" s="131">
        <v>65.5</v>
      </c>
      <c r="G294" s="131">
        <v>0.83</v>
      </c>
      <c r="H294" s="131">
        <v>4.3099999999999996</v>
      </c>
      <c r="I294" s="131">
        <v>0.55000000000000004</v>
      </c>
      <c r="J294" s="132">
        <v>36529</v>
      </c>
      <c r="K294" s="133" t="s">
        <v>458</v>
      </c>
      <c r="L294" s="108">
        <f t="shared" si="4"/>
        <v>6.5801526717557249E-2</v>
      </c>
    </row>
    <row r="295" spans="1:12" ht="17" customHeight="1">
      <c r="A295" s="131" t="s">
        <v>882</v>
      </c>
      <c r="B295" s="131" t="s">
        <v>883</v>
      </c>
      <c r="C295" s="131">
        <v>1893.09</v>
      </c>
      <c r="D295" s="131">
        <v>2.06</v>
      </c>
      <c r="E295" s="131">
        <v>9.85</v>
      </c>
      <c r="F295" s="131">
        <v>45.56</v>
      </c>
      <c r="G295" s="131">
        <v>0.61</v>
      </c>
      <c r="H295" s="131">
        <v>2.99</v>
      </c>
      <c r="I295" s="131">
        <v>0.33</v>
      </c>
      <c r="J295" s="132">
        <v>40770</v>
      </c>
      <c r="K295" s="133" t="s">
        <v>458</v>
      </c>
      <c r="L295" s="108">
        <f t="shared" si="4"/>
        <v>6.5627743634767338E-2</v>
      </c>
    </row>
    <row r="296" spans="1:12" ht="17" customHeight="1">
      <c r="A296" s="131" t="s">
        <v>834</v>
      </c>
      <c r="B296" s="131" t="s">
        <v>835</v>
      </c>
      <c r="C296" s="131">
        <v>5182.25</v>
      </c>
      <c r="D296" s="131">
        <v>1.88</v>
      </c>
      <c r="E296" s="131">
        <v>8.4499999999999993</v>
      </c>
      <c r="F296" s="131">
        <v>31.66</v>
      </c>
      <c r="G296" s="131">
        <v>0.45</v>
      </c>
      <c r="H296" s="131">
        <v>2.0699999999999998</v>
      </c>
      <c r="I296" s="131">
        <v>0.16</v>
      </c>
      <c r="J296" s="132">
        <v>41157</v>
      </c>
      <c r="K296" s="133" t="s">
        <v>458</v>
      </c>
      <c r="L296" s="108">
        <f t="shared" si="4"/>
        <v>6.5382185723310171E-2</v>
      </c>
    </row>
    <row r="297" spans="1:12" ht="17" customHeight="1">
      <c r="A297" s="131" t="s">
        <v>780</v>
      </c>
      <c r="B297" s="131" t="s">
        <v>129</v>
      </c>
      <c r="C297" s="131">
        <v>1764.35</v>
      </c>
      <c r="D297" s="131">
        <v>0.04</v>
      </c>
      <c r="E297" s="131">
        <v>-0.77</v>
      </c>
      <c r="F297" s="131">
        <v>14.42</v>
      </c>
      <c r="G297" s="131">
        <v>0.41</v>
      </c>
      <c r="H297" s="131">
        <v>0.94</v>
      </c>
      <c r="I297" s="131">
        <v>0.01</v>
      </c>
      <c r="J297" s="132">
        <v>39997</v>
      </c>
      <c r="K297" s="133" t="s">
        <v>458</v>
      </c>
      <c r="L297" s="108">
        <f t="shared" si="4"/>
        <v>6.5187239944521497E-2</v>
      </c>
    </row>
    <row r="298" spans="1:12" ht="17" customHeight="1">
      <c r="A298" s="131" t="s">
        <v>814</v>
      </c>
      <c r="B298" s="131" t="s">
        <v>815</v>
      </c>
      <c r="C298" s="131">
        <v>1320.55</v>
      </c>
      <c r="D298" s="131">
        <v>-1.0900000000000001</v>
      </c>
      <c r="E298" s="131">
        <v>7.74</v>
      </c>
      <c r="F298" s="131">
        <v>14.44</v>
      </c>
      <c r="G298" s="131">
        <v>0.41</v>
      </c>
      <c r="H298" s="131">
        <v>0.94</v>
      </c>
      <c r="I298" s="131">
        <v>0.05</v>
      </c>
      <c r="J298" s="132">
        <v>43179</v>
      </c>
      <c r="K298" s="133" t="s">
        <v>458</v>
      </c>
      <c r="L298" s="108">
        <f t="shared" si="4"/>
        <v>6.5096952908587261E-2</v>
      </c>
    </row>
    <row r="299" spans="1:12" ht="17" customHeight="1">
      <c r="A299" s="131" t="s">
        <v>788</v>
      </c>
      <c r="B299" s="131" t="s">
        <v>789</v>
      </c>
      <c r="C299" s="131">
        <v>3789.59</v>
      </c>
      <c r="D299" s="131">
        <v>0.37</v>
      </c>
      <c r="E299" s="131">
        <v>1.03</v>
      </c>
      <c r="F299" s="131">
        <v>18.21</v>
      </c>
      <c r="G299" s="131">
        <v>0.54</v>
      </c>
      <c r="H299" s="131">
        <v>1.1599999999999999</v>
      </c>
      <c r="I299" s="131">
        <v>0.04</v>
      </c>
      <c r="J299" s="132">
        <v>40914</v>
      </c>
      <c r="K299" s="133" t="s">
        <v>458</v>
      </c>
      <c r="L299" s="108">
        <f t="shared" si="4"/>
        <v>6.3701263042284448E-2</v>
      </c>
    </row>
    <row r="300" spans="1:12" ht="17" customHeight="1">
      <c r="A300" s="131" t="s">
        <v>665</v>
      </c>
      <c r="B300" s="131" t="s">
        <v>666</v>
      </c>
      <c r="C300" s="131">
        <v>4982.16</v>
      </c>
      <c r="D300" s="131">
        <v>0.91</v>
      </c>
      <c r="E300" s="131">
        <v>4.63</v>
      </c>
      <c r="F300" s="131">
        <v>28.79</v>
      </c>
      <c r="G300" s="131">
        <v>0.1</v>
      </c>
      <c r="H300" s="131">
        <v>1.83</v>
      </c>
      <c r="I300" s="131">
        <v>0.09</v>
      </c>
      <c r="J300" s="132">
        <v>36529</v>
      </c>
      <c r="K300" s="133" t="s">
        <v>458</v>
      </c>
      <c r="L300" s="108">
        <f t="shared" si="4"/>
        <v>6.3563737408822513E-2</v>
      </c>
    </row>
    <row r="301" spans="1:12" ht="17" customHeight="1">
      <c r="A301" s="131" t="s">
        <v>774</v>
      </c>
      <c r="B301" s="131" t="s">
        <v>775</v>
      </c>
      <c r="C301" s="131">
        <v>2310.48</v>
      </c>
      <c r="D301" s="131">
        <v>0.11</v>
      </c>
      <c r="E301" s="131">
        <v>1.33</v>
      </c>
      <c r="F301" s="131">
        <v>17.63</v>
      </c>
      <c r="G301" s="131">
        <v>0.5</v>
      </c>
      <c r="H301" s="131">
        <v>1.1100000000000001</v>
      </c>
      <c r="I301" s="131">
        <v>0.01</v>
      </c>
      <c r="J301" s="132">
        <v>40114</v>
      </c>
      <c r="K301" s="133" t="s">
        <v>458</v>
      </c>
      <c r="L301" s="108">
        <f t="shared" si="4"/>
        <v>6.2960862166761208E-2</v>
      </c>
    </row>
    <row r="302" spans="1:12" ht="17" customHeight="1">
      <c r="A302" s="131" t="s">
        <v>971</v>
      </c>
      <c r="B302" s="131" t="s">
        <v>972</v>
      </c>
      <c r="C302" s="131">
        <v>3167.13</v>
      </c>
      <c r="D302" s="131">
        <v>0.68</v>
      </c>
      <c r="E302" s="131">
        <v>8.31</v>
      </c>
      <c r="F302" s="131">
        <v>39.619999999999997</v>
      </c>
      <c r="G302" s="131">
        <v>0.52</v>
      </c>
      <c r="H302" s="131">
        <v>2.4900000000000002</v>
      </c>
      <c r="I302" s="131">
        <v>0.32</v>
      </c>
      <c r="J302" s="132">
        <v>42219</v>
      </c>
      <c r="K302" s="133" t="s">
        <v>458</v>
      </c>
      <c r="L302" s="108">
        <f t="shared" si="4"/>
        <v>6.284704694598689E-2</v>
      </c>
    </row>
    <row r="303" spans="1:12" ht="17" customHeight="1">
      <c r="A303" s="131" t="s">
        <v>991</v>
      </c>
      <c r="B303" s="131" t="s">
        <v>992</v>
      </c>
      <c r="C303" s="131">
        <v>6526.31</v>
      </c>
      <c r="D303" s="131">
        <v>1.55</v>
      </c>
      <c r="E303" s="131">
        <v>0.71</v>
      </c>
      <c r="F303" s="131">
        <v>29.26</v>
      </c>
      <c r="G303" s="131">
        <v>0.83</v>
      </c>
      <c r="H303" s="131">
        <v>1.83</v>
      </c>
      <c r="I303" s="131">
        <v>0.5</v>
      </c>
      <c r="J303" s="132">
        <v>42110</v>
      </c>
      <c r="K303" s="133" t="s">
        <v>458</v>
      </c>
      <c r="L303" s="108">
        <f t="shared" si="4"/>
        <v>6.2542720437457275E-2</v>
      </c>
    </row>
    <row r="304" spans="1:12" ht="17" customHeight="1">
      <c r="A304" s="131" t="s">
        <v>657</v>
      </c>
      <c r="B304" s="131" t="s">
        <v>658</v>
      </c>
      <c r="C304" s="131">
        <v>1228.6500000000001</v>
      </c>
      <c r="D304" s="131">
        <v>0.73</v>
      </c>
      <c r="E304" s="131">
        <v>6.33</v>
      </c>
      <c r="F304" s="131">
        <v>27.05</v>
      </c>
      <c r="G304" s="131">
        <v>0.23</v>
      </c>
      <c r="H304" s="131">
        <v>1.69</v>
      </c>
      <c r="I304" s="131">
        <v>0.04</v>
      </c>
      <c r="J304" s="132">
        <v>36529</v>
      </c>
      <c r="K304" s="133" t="s">
        <v>458</v>
      </c>
      <c r="L304" s="108">
        <f t="shared" si="4"/>
        <v>6.2476894639556371E-2</v>
      </c>
    </row>
    <row r="305" spans="1:12" ht="17" customHeight="1">
      <c r="A305" s="131" t="s">
        <v>943</v>
      </c>
      <c r="B305" s="131" t="s">
        <v>72</v>
      </c>
      <c r="C305" s="131">
        <v>793.16</v>
      </c>
      <c r="D305" s="131">
        <v>1.56</v>
      </c>
      <c r="E305" s="131">
        <v>0.65</v>
      </c>
      <c r="F305" s="131">
        <v>30.11</v>
      </c>
      <c r="G305" s="131">
        <v>0.76</v>
      </c>
      <c r="H305" s="131">
        <v>1.86</v>
      </c>
      <c r="I305" s="131">
        <v>0.5</v>
      </c>
      <c r="J305" s="132">
        <v>41470</v>
      </c>
      <c r="K305" s="133" t="s">
        <v>458</v>
      </c>
      <c r="L305" s="108">
        <f t="shared" si="4"/>
        <v>6.1773497177017606E-2</v>
      </c>
    </row>
    <row r="306" spans="1:12" ht="17" customHeight="1">
      <c r="A306" s="131" t="s">
        <v>860</v>
      </c>
      <c r="B306" s="131" t="s">
        <v>861</v>
      </c>
      <c r="C306" s="131">
        <v>10376.379999999999</v>
      </c>
      <c r="D306" s="131">
        <v>1.46</v>
      </c>
      <c r="E306" s="131">
        <v>7.24</v>
      </c>
      <c r="F306" s="131">
        <v>46.67</v>
      </c>
      <c r="G306" s="131">
        <v>0.7</v>
      </c>
      <c r="H306" s="131">
        <v>2.88</v>
      </c>
      <c r="I306" s="131">
        <v>0.21</v>
      </c>
      <c r="J306" s="132">
        <v>38687</v>
      </c>
      <c r="K306" s="133" t="s">
        <v>458</v>
      </c>
      <c r="L306" s="108">
        <f t="shared" si="4"/>
        <v>6.1709877865866722E-2</v>
      </c>
    </row>
    <row r="307" spans="1:12" ht="17" customHeight="1">
      <c r="A307" s="131" t="s">
        <v>600</v>
      </c>
      <c r="B307" s="131" t="s">
        <v>601</v>
      </c>
      <c r="C307" s="131">
        <v>749.56</v>
      </c>
      <c r="D307" s="131">
        <v>0.56000000000000005</v>
      </c>
      <c r="E307" s="131">
        <v>3.39</v>
      </c>
      <c r="F307" s="131">
        <v>22.87</v>
      </c>
      <c r="G307" s="131">
        <v>0.18</v>
      </c>
      <c r="H307" s="131">
        <v>1.4</v>
      </c>
      <c r="I307" s="131">
        <v>0.06</v>
      </c>
      <c r="J307" s="132">
        <v>39265</v>
      </c>
      <c r="K307" s="133" t="s">
        <v>458</v>
      </c>
      <c r="L307" s="108">
        <f t="shared" si="4"/>
        <v>6.1215566243987753E-2</v>
      </c>
    </row>
    <row r="308" spans="1:12" ht="17" customHeight="1">
      <c r="A308" s="131" t="s">
        <v>778</v>
      </c>
      <c r="B308" s="131" t="s">
        <v>779</v>
      </c>
      <c r="C308" s="131">
        <v>1757.4</v>
      </c>
      <c r="D308" s="131">
        <v>0.13</v>
      </c>
      <c r="E308" s="131">
        <v>0.56999999999999995</v>
      </c>
      <c r="F308" s="131">
        <v>17.690000000000001</v>
      </c>
      <c r="G308" s="131">
        <v>0.55000000000000004</v>
      </c>
      <c r="H308" s="131">
        <v>1.08</v>
      </c>
      <c r="I308" s="131">
        <v>0.01</v>
      </c>
      <c r="J308" s="132">
        <v>40326</v>
      </c>
      <c r="K308" s="133" t="s">
        <v>458</v>
      </c>
      <c r="L308" s="108">
        <f t="shared" si="4"/>
        <v>6.1051441492368567E-2</v>
      </c>
    </row>
    <row r="309" spans="1:12" ht="17" customHeight="1">
      <c r="A309" s="131" t="s">
        <v>781</v>
      </c>
      <c r="B309" s="131" t="s">
        <v>103</v>
      </c>
      <c r="C309" s="131">
        <v>1514.76</v>
      </c>
      <c r="D309" s="131">
        <v>0.89</v>
      </c>
      <c r="E309" s="131">
        <v>5.87</v>
      </c>
      <c r="F309" s="131">
        <v>29.4</v>
      </c>
      <c r="G309" s="131">
        <v>0.21</v>
      </c>
      <c r="H309" s="131">
        <v>1.74</v>
      </c>
      <c r="I309" s="131">
        <v>0.12</v>
      </c>
      <c r="J309" s="132">
        <v>41841</v>
      </c>
      <c r="K309" s="133" t="s">
        <v>458</v>
      </c>
      <c r="L309" s="108">
        <f t="shared" si="4"/>
        <v>5.9183673469387757E-2</v>
      </c>
    </row>
    <row r="310" spans="1:12" ht="17" customHeight="1">
      <c r="A310" s="131" t="s">
        <v>1052</v>
      </c>
      <c r="B310" s="131" t="s">
        <v>1053</v>
      </c>
      <c r="C310" s="131">
        <v>1978.1</v>
      </c>
      <c r="D310" s="131">
        <v>2.2400000000000002</v>
      </c>
      <c r="E310" s="131">
        <v>13.84</v>
      </c>
      <c r="F310" s="131">
        <v>81.87</v>
      </c>
      <c r="G310" s="131">
        <v>0.72</v>
      </c>
      <c r="H310" s="131">
        <v>4.83</v>
      </c>
      <c r="I310" s="131">
        <v>0.64</v>
      </c>
      <c r="J310" s="132">
        <v>42075</v>
      </c>
      <c r="K310" s="133" t="s">
        <v>458</v>
      </c>
      <c r="L310" s="108">
        <f t="shared" si="4"/>
        <v>5.8995969219494321E-2</v>
      </c>
    </row>
    <row r="311" spans="1:12" ht="17" customHeight="1">
      <c r="A311" s="131" t="s">
        <v>717</v>
      </c>
      <c r="B311" s="131" t="s">
        <v>718</v>
      </c>
      <c r="C311" s="131">
        <v>6464.17</v>
      </c>
      <c r="D311" s="131">
        <v>1.48</v>
      </c>
      <c r="E311" s="131">
        <v>0.49</v>
      </c>
      <c r="F311" s="131">
        <v>28.66</v>
      </c>
      <c r="G311" s="131">
        <v>0.47</v>
      </c>
      <c r="H311" s="131">
        <v>1.69</v>
      </c>
      <c r="I311" s="131">
        <v>0.13</v>
      </c>
      <c r="J311" s="132">
        <v>36529</v>
      </c>
      <c r="K311" s="133" t="s">
        <v>458</v>
      </c>
      <c r="L311" s="108">
        <f t="shared" si="4"/>
        <v>5.8967201674808095E-2</v>
      </c>
    </row>
    <row r="312" spans="1:12" ht="17" customHeight="1">
      <c r="A312" s="131" t="s">
        <v>707</v>
      </c>
      <c r="B312" s="131" t="s">
        <v>708</v>
      </c>
      <c r="C312" s="131" t="s">
        <v>622</v>
      </c>
      <c r="D312" s="131">
        <v>0</v>
      </c>
      <c r="E312" s="131">
        <v>0</v>
      </c>
      <c r="F312" s="131">
        <v>77.69</v>
      </c>
      <c r="G312" s="131">
        <v>0.77</v>
      </c>
      <c r="H312" s="131">
        <v>4.46</v>
      </c>
      <c r="I312" s="131">
        <v>0.71</v>
      </c>
      <c r="J312" s="132">
        <v>43216</v>
      </c>
      <c r="K312" s="133" t="s">
        <v>458</v>
      </c>
      <c r="L312" s="108">
        <f t="shared" si="4"/>
        <v>5.7407645771656586E-2</v>
      </c>
    </row>
    <row r="313" spans="1:12" ht="17" customHeight="1">
      <c r="A313" s="131" t="s">
        <v>460</v>
      </c>
      <c r="B313" s="131" t="s">
        <v>461</v>
      </c>
      <c r="C313" s="131">
        <v>733.45</v>
      </c>
      <c r="D313" s="131">
        <v>-0.04</v>
      </c>
      <c r="E313" s="131">
        <v>7.84</v>
      </c>
      <c r="F313" s="131">
        <v>44.69</v>
      </c>
      <c r="G313" s="131">
        <v>0.27</v>
      </c>
      <c r="H313" s="131">
        <v>2.56</v>
      </c>
      <c r="I313" s="131">
        <v>7.0000000000000007E-2</v>
      </c>
      <c r="J313" s="132">
        <v>36529</v>
      </c>
      <c r="K313" s="133" t="s">
        <v>458</v>
      </c>
      <c r="L313" s="108">
        <f t="shared" si="4"/>
        <v>5.7283508614902667E-2</v>
      </c>
    </row>
    <row r="314" spans="1:12" ht="17" customHeight="1">
      <c r="A314" s="131" t="s">
        <v>500</v>
      </c>
      <c r="B314" s="131" t="s">
        <v>501</v>
      </c>
      <c r="C314" s="131">
        <v>2222.9499999999998</v>
      </c>
      <c r="D314" s="131">
        <v>0.69</v>
      </c>
      <c r="E314" s="131">
        <v>4.82</v>
      </c>
      <c r="F314" s="131">
        <v>33.950000000000003</v>
      </c>
      <c r="G314" s="131">
        <v>0.18</v>
      </c>
      <c r="H314" s="131">
        <v>1.93</v>
      </c>
      <c r="I314" s="131">
        <v>0.15</v>
      </c>
      <c r="J314" s="132">
        <v>36529</v>
      </c>
      <c r="K314" s="133" t="s">
        <v>458</v>
      </c>
      <c r="L314" s="108">
        <f t="shared" si="4"/>
        <v>5.6848306332842408E-2</v>
      </c>
    </row>
    <row r="315" spans="1:12" ht="17" customHeight="1">
      <c r="A315" s="131" t="s">
        <v>673</v>
      </c>
      <c r="B315" s="131" t="s">
        <v>674</v>
      </c>
      <c r="C315" s="131">
        <v>2220.66</v>
      </c>
      <c r="D315" s="131">
        <v>0.69</v>
      </c>
      <c r="E315" s="131">
        <v>4.83</v>
      </c>
      <c r="F315" s="131">
        <v>33.950000000000003</v>
      </c>
      <c r="G315" s="131">
        <v>0.18</v>
      </c>
      <c r="H315" s="131">
        <v>1.93</v>
      </c>
      <c r="I315" s="131">
        <v>0.15</v>
      </c>
      <c r="J315" s="132">
        <v>36529</v>
      </c>
      <c r="K315" s="133" t="s">
        <v>458</v>
      </c>
      <c r="L315" s="108">
        <f t="shared" si="4"/>
        <v>5.6848306332842408E-2</v>
      </c>
    </row>
    <row r="316" spans="1:12" ht="17" customHeight="1">
      <c r="A316" s="131" t="s">
        <v>884</v>
      </c>
      <c r="B316" s="131" t="s">
        <v>62</v>
      </c>
      <c r="C316" s="131">
        <v>5954.87</v>
      </c>
      <c r="D316" s="131">
        <v>1.28</v>
      </c>
      <c r="E316" s="131">
        <v>6.97</v>
      </c>
      <c r="F316" s="131">
        <v>41.43</v>
      </c>
      <c r="G316" s="131">
        <v>0.36</v>
      </c>
      <c r="H316" s="131">
        <v>2.35</v>
      </c>
      <c r="I316" s="131">
        <v>0.26</v>
      </c>
      <c r="J316" s="132">
        <v>41929</v>
      </c>
      <c r="K316" s="133" t="s">
        <v>458</v>
      </c>
      <c r="L316" s="108">
        <f t="shared" si="4"/>
        <v>5.6722181993724356E-2</v>
      </c>
    </row>
    <row r="317" spans="1:12" ht="17" customHeight="1">
      <c r="A317" s="131" t="s">
        <v>534</v>
      </c>
      <c r="B317" s="131" t="s">
        <v>535</v>
      </c>
      <c r="C317" s="131">
        <v>3471.78</v>
      </c>
      <c r="D317" s="131">
        <v>1.59</v>
      </c>
      <c r="E317" s="131">
        <v>11.88</v>
      </c>
      <c r="F317" s="131">
        <v>61.61</v>
      </c>
      <c r="G317" s="131">
        <v>0.71</v>
      </c>
      <c r="H317" s="131">
        <v>3.49</v>
      </c>
      <c r="I317" s="131">
        <v>0.44</v>
      </c>
      <c r="J317" s="132">
        <v>36529</v>
      </c>
      <c r="K317" s="133" t="s">
        <v>458</v>
      </c>
      <c r="L317" s="108">
        <f t="shared" si="4"/>
        <v>5.664664827138452E-2</v>
      </c>
    </row>
    <row r="318" spans="1:12" ht="17" customHeight="1">
      <c r="A318" s="131" t="s">
        <v>1041</v>
      </c>
      <c r="B318" s="131" t="s">
        <v>70</v>
      </c>
      <c r="C318" s="131">
        <v>6642.55</v>
      </c>
      <c r="D318" s="131">
        <v>2.56</v>
      </c>
      <c r="E318" s="131">
        <v>13.33</v>
      </c>
      <c r="F318" s="131">
        <v>81.33</v>
      </c>
      <c r="G318" s="131">
        <v>0.94</v>
      </c>
      <c r="H318" s="131">
        <v>4.58</v>
      </c>
      <c r="I318" s="131">
        <v>0.74</v>
      </c>
      <c r="J318" s="132">
        <v>40757</v>
      </c>
      <c r="K318" s="133" t="s">
        <v>458</v>
      </c>
      <c r="L318" s="108">
        <f t="shared" si="4"/>
        <v>5.6313783351776711E-2</v>
      </c>
    </row>
    <row r="319" spans="1:12" ht="17" customHeight="1">
      <c r="A319" s="131" t="s">
        <v>691</v>
      </c>
      <c r="B319" s="131" t="s">
        <v>692</v>
      </c>
      <c r="C319" s="131">
        <v>7225.22</v>
      </c>
      <c r="D319" s="131">
        <v>-0.75</v>
      </c>
      <c r="E319" s="131">
        <v>1.62</v>
      </c>
      <c r="F319" s="131">
        <v>48.71</v>
      </c>
      <c r="G319" s="131">
        <v>0.66</v>
      </c>
      <c r="H319" s="131">
        <v>2.74</v>
      </c>
      <c r="I319" s="131">
        <v>0.19</v>
      </c>
      <c r="J319" s="132">
        <v>39265</v>
      </c>
      <c r="K319" s="133" t="s">
        <v>458</v>
      </c>
      <c r="L319" s="108">
        <f t="shared" si="4"/>
        <v>5.6251283104085406E-2</v>
      </c>
    </row>
    <row r="320" spans="1:12" ht="17" customHeight="1">
      <c r="A320" s="131" t="s">
        <v>562</v>
      </c>
      <c r="B320" s="131" t="s">
        <v>563</v>
      </c>
      <c r="C320" s="131">
        <v>6125.71</v>
      </c>
      <c r="D320" s="131">
        <v>1.29</v>
      </c>
      <c r="E320" s="131">
        <v>4.68</v>
      </c>
      <c r="F320" s="131">
        <v>49.39</v>
      </c>
      <c r="G320" s="131">
        <v>0.11</v>
      </c>
      <c r="H320" s="131">
        <v>2.77</v>
      </c>
      <c r="I320" s="131">
        <v>0.28000000000000003</v>
      </c>
      <c r="J320" s="132">
        <v>36529</v>
      </c>
      <c r="K320" s="133" t="s">
        <v>458</v>
      </c>
      <c r="L320" s="108">
        <f t="shared" si="4"/>
        <v>5.6084227576432479E-2</v>
      </c>
    </row>
    <row r="321" spans="1:12" ht="17" customHeight="1">
      <c r="A321" s="131" t="s">
        <v>520</v>
      </c>
      <c r="B321" s="131" t="s">
        <v>521</v>
      </c>
      <c r="C321" s="131">
        <v>3138.19</v>
      </c>
      <c r="D321" s="131">
        <v>-0.15</v>
      </c>
      <c r="E321" s="131">
        <v>7.61</v>
      </c>
      <c r="F321" s="131">
        <v>52.56</v>
      </c>
      <c r="G321" s="131">
        <v>0.71</v>
      </c>
      <c r="H321" s="131">
        <v>2.9</v>
      </c>
      <c r="I321" s="131">
        <v>0.15</v>
      </c>
      <c r="J321" s="132">
        <v>40826</v>
      </c>
      <c r="K321" s="133" t="s">
        <v>458</v>
      </c>
      <c r="L321" s="108">
        <f t="shared" si="4"/>
        <v>5.5175038051750377E-2</v>
      </c>
    </row>
    <row r="322" spans="1:12" ht="17" customHeight="1">
      <c r="A322" s="131" t="s">
        <v>560</v>
      </c>
      <c r="B322" s="131" t="s">
        <v>561</v>
      </c>
      <c r="C322" s="131">
        <v>13588.63</v>
      </c>
      <c r="D322" s="131">
        <v>2.68</v>
      </c>
      <c r="E322" s="131">
        <v>10.82</v>
      </c>
      <c r="F322" s="131">
        <v>53.64</v>
      </c>
      <c r="G322" s="131">
        <v>0.11</v>
      </c>
      <c r="H322" s="131">
        <v>2.92</v>
      </c>
      <c r="I322" s="131">
        <v>0.37</v>
      </c>
      <c r="J322" s="132">
        <v>36529</v>
      </c>
      <c r="K322" s="133" t="s">
        <v>458</v>
      </c>
      <c r="L322" s="108">
        <f t="shared" ref="L322:L358" si="5">H322/F322</f>
        <v>5.4436987322893364E-2</v>
      </c>
    </row>
    <row r="323" spans="1:12" ht="17" customHeight="1">
      <c r="A323" s="131" t="s">
        <v>524</v>
      </c>
      <c r="B323" s="131" t="s">
        <v>525</v>
      </c>
      <c r="C323" s="131">
        <v>1766.17</v>
      </c>
      <c r="D323" s="131">
        <v>3.73</v>
      </c>
      <c r="E323" s="131">
        <v>10.49</v>
      </c>
      <c r="F323" s="131">
        <v>42.3</v>
      </c>
      <c r="G323" s="131">
        <v>0.44</v>
      </c>
      <c r="H323" s="131">
        <v>2.2999999999999998</v>
      </c>
      <c r="I323" s="131">
        <v>0.26</v>
      </c>
      <c r="J323" s="132">
        <v>36529</v>
      </c>
      <c r="K323" s="133" t="s">
        <v>458</v>
      </c>
      <c r="L323" s="108">
        <f t="shared" si="5"/>
        <v>5.4373522458628844E-2</v>
      </c>
    </row>
    <row r="324" spans="1:12" ht="17" customHeight="1">
      <c r="A324" s="131" t="s">
        <v>504</v>
      </c>
      <c r="B324" s="131" t="s">
        <v>505</v>
      </c>
      <c r="C324" s="131">
        <v>3168.93</v>
      </c>
      <c r="D324" s="131">
        <v>0.42</v>
      </c>
      <c r="E324" s="131">
        <v>4.3099999999999996</v>
      </c>
      <c r="F324" s="131">
        <v>40.32</v>
      </c>
      <c r="G324" s="131">
        <v>0.45</v>
      </c>
      <c r="H324" s="131">
        <v>2.19</v>
      </c>
      <c r="I324" s="131">
        <v>0.16</v>
      </c>
      <c r="J324" s="132">
        <v>36529</v>
      </c>
      <c r="K324" s="133" t="s">
        <v>458</v>
      </c>
      <c r="L324" s="108">
        <f t="shared" si="5"/>
        <v>5.4315476190476192E-2</v>
      </c>
    </row>
    <row r="325" spans="1:12" ht="17" customHeight="1">
      <c r="A325" s="131" t="s">
        <v>552</v>
      </c>
      <c r="B325" s="131" t="s">
        <v>553</v>
      </c>
      <c r="C325" s="131">
        <v>1448.73</v>
      </c>
      <c r="D325" s="131">
        <v>1.2</v>
      </c>
      <c r="E325" s="131">
        <v>-5.07</v>
      </c>
      <c r="F325" s="131">
        <v>29.34</v>
      </c>
      <c r="G325" s="131">
        <v>0.27</v>
      </c>
      <c r="H325" s="131">
        <v>1.59</v>
      </c>
      <c r="I325" s="131">
        <v>0.23</v>
      </c>
      <c r="J325" s="132">
        <v>36529</v>
      </c>
      <c r="K325" s="133" t="s">
        <v>458</v>
      </c>
      <c r="L325" s="108">
        <f t="shared" si="5"/>
        <v>5.419222903885481E-2</v>
      </c>
    </row>
    <row r="326" spans="1:12" ht="17" customHeight="1">
      <c r="A326" s="131" t="s">
        <v>1083</v>
      </c>
      <c r="B326" s="131" t="s">
        <v>1084</v>
      </c>
      <c r="C326" s="131">
        <v>4553.04</v>
      </c>
      <c r="D326" s="131">
        <v>0.34</v>
      </c>
      <c r="E326" s="131">
        <v>26.2</v>
      </c>
      <c r="F326" s="131">
        <v>70.86</v>
      </c>
      <c r="G326" s="131">
        <v>0.64</v>
      </c>
      <c r="H326" s="131">
        <v>3.8</v>
      </c>
      <c r="I326" s="131">
        <v>1</v>
      </c>
      <c r="J326" s="132">
        <v>43179</v>
      </c>
      <c r="K326" s="133" t="s">
        <v>458</v>
      </c>
      <c r="L326" s="108">
        <f t="shared" si="5"/>
        <v>5.3626869884278859E-2</v>
      </c>
    </row>
    <row r="327" spans="1:12" ht="17" customHeight="1">
      <c r="A327" s="131" t="s">
        <v>669</v>
      </c>
      <c r="B327" s="131" t="s">
        <v>670</v>
      </c>
      <c r="C327" s="131">
        <v>4967.7299999999996</v>
      </c>
      <c r="D327" s="131">
        <v>0.1</v>
      </c>
      <c r="E327" s="131">
        <v>4.6500000000000004</v>
      </c>
      <c r="F327" s="131">
        <v>37.19</v>
      </c>
      <c r="G327" s="131">
        <v>0.33</v>
      </c>
      <c r="H327" s="131">
        <v>1.97</v>
      </c>
      <c r="I327" s="131">
        <v>0.12</v>
      </c>
      <c r="J327" s="132">
        <v>36529</v>
      </c>
      <c r="K327" s="133" t="s">
        <v>458</v>
      </c>
      <c r="L327" s="108">
        <f t="shared" si="5"/>
        <v>5.2971228824952948E-2</v>
      </c>
    </row>
    <row r="328" spans="1:12" ht="17" customHeight="1">
      <c r="A328" s="131" t="s">
        <v>661</v>
      </c>
      <c r="B328" s="131" t="s">
        <v>662</v>
      </c>
      <c r="C328" s="131">
        <v>2757.83</v>
      </c>
      <c r="D328" s="131">
        <v>-0.06</v>
      </c>
      <c r="E328" s="131">
        <v>-1.31</v>
      </c>
      <c r="F328" s="131">
        <v>32.270000000000003</v>
      </c>
      <c r="G328" s="131">
        <v>0.25</v>
      </c>
      <c r="H328" s="131">
        <v>1.63</v>
      </c>
      <c r="I328" s="131">
        <v>0</v>
      </c>
      <c r="J328" s="132">
        <v>36878</v>
      </c>
      <c r="K328" s="133" t="s">
        <v>458</v>
      </c>
      <c r="L328" s="108">
        <f t="shared" si="5"/>
        <v>5.051131081499844E-2</v>
      </c>
    </row>
    <row r="329" spans="1:12" ht="17" customHeight="1">
      <c r="A329" s="131" t="s">
        <v>935</v>
      </c>
      <c r="B329" s="131" t="s">
        <v>936</v>
      </c>
      <c r="C329" s="131">
        <v>3796.17</v>
      </c>
      <c r="D329" s="131">
        <v>0.39</v>
      </c>
      <c r="E329" s="131">
        <v>3.07</v>
      </c>
      <c r="F329" s="131">
        <v>45.46</v>
      </c>
      <c r="G329" s="131">
        <v>0.3</v>
      </c>
      <c r="H329" s="131">
        <v>2.2599999999999998</v>
      </c>
      <c r="I329" s="131">
        <v>0.34</v>
      </c>
      <c r="J329" s="132">
        <v>41211</v>
      </c>
      <c r="K329" s="133" t="s">
        <v>458</v>
      </c>
      <c r="L329" s="108">
        <f t="shared" si="5"/>
        <v>4.9714034315882089E-2</v>
      </c>
    </row>
    <row r="330" spans="1:12" ht="17" customHeight="1">
      <c r="A330" s="131" t="s">
        <v>643</v>
      </c>
      <c r="B330" s="131" t="s">
        <v>644</v>
      </c>
      <c r="C330" s="131">
        <v>3443.33</v>
      </c>
      <c r="D330" s="131">
        <v>0.28999999999999998</v>
      </c>
      <c r="E330" s="131">
        <v>2.79</v>
      </c>
      <c r="F330" s="131">
        <v>44.11</v>
      </c>
      <c r="G330" s="131">
        <v>0.45</v>
      </c>
      <c r="H330" s="131">
        <v>2.19</v>
      </c>
      <c r="I330" s="131">
        <v>0.17</v>
      </c>
      <c r="J330" s="132">
        <v>36529</v>
      </c>
      <c r="K330" s="133" t="s">
        <v>458</v>
      </c>
      <c r="L330" s="108">
        <f t="shared" si="5"/>
        <v>4.9648605758331445E-2</v>
      </c>
    </row>
    <row r="331" spans="1:12" ht="17" customHeight="1">
      <c r="A331" s="131" t="s">
        <v>596</v>
      </c>
      <c r="B331" s="131" t="s">
        <v>597</v>
      </c>
      <c r="C331" s="131">
        <v>2455.3000000000002</v>
      </c>
      <c r="D331" s="131">
        <v>-1.21</v>
      </c>
      <c r="E331" s="131">
        <v>12.06</v>
      </c>
      <c r="F331" s="131">
        <v>55.33</v>
      </c>
      <c r="G331" s="131">
        <v>0.45</v>
      </c>
      <c r="H331" s="131">
        <v>2.66</v>
      </c>
      <c r="I331" s="131">
        <v>0.26</v>
      </c>
      <c r="J331" s="132">
        <v>36529</v>
      </c>
      <c r="K331" s="133" t="s">
        <v>458</v>
      </c>
      <c r="L331" s="108">
        <f t="shared" si="5"/>
        <v>4.8075185252123627E-2</v>
      </c>
    </row>
    <row r="332" spans="1:12" ht="17" customHeight="1">
      <c r="A332" s="131" t="s">
        <v>687</v>
      </c>
      <c r="B332" s="131" t="s">
        <v>688</v>
      </c>
      <c r="C332" s="131">
        <v>1122.9100000000001</v>
      </c>
      <c r="D332" s="131">
        <v>0.09</v>
      </c>
      <c r="E332" s="131">
        <v>0.86</v>
      </c>
      <c r="F332" s="131">
        <v>30.48</v>
      </c>
      <c r="G332" s="131">
        <v>0.37</v>
      </c>
      <c r="H332" s="131">
        <v>1.43</v>
      </c>
      <c r="I332" s="131">
        <v>0.05</v>
      </c>
      <c r="J332" s="132">
        <v>36529</v>
      </c>
      <c r="K332" s="133" t="s">
        <v>458</v>
      </c>
      <c r="L332" s="108">
        <f t="shared" si="5"/>
        <v>4.6916010498687662E-2</v>
      </c>
    </row>
    <row r="333" spans="1:12" ht="17" customHeight="1">
      <c r="A333" s="131" t="s">
        <v>870</v>
      </c>
      <c r="B333" s="131" t="s">
        <v>309</v>
      </c>
      <c r="C333" s="131">
        <v>3925.57</v>
      </c>
      <c r="D333" s="131">
        <v>0.32</v>
      </c>
      <c r="E333" s="131">
        <v>3.81</v>
      </c>
      <c r="F333" s="131">
        <v>49.11</v>
      </c>
      <c r="G333" s="131">
        <v>0.44</v>
      </c>
      <c r="H333" s="131">
        <v>2.2799999999999998</v>
      </c>
      <c r="I333" s="131">
        <v>0.27</v>
      </c>
      <c r="J333" s="132">
        <v>41038</v>
      </c>
      <c r="K333" s="133" t="s">
        <v>458</v>
      </c>
      <c r="L333" s="108">
        <f t="shared" si="5"/>
        <v>4.6426389737324374E-2</v>
      </c>
    </row>
    <row r="334" spans="1:12" ht="17" customHeight="1">
      <c r="A334" s="131" t="s">
        <v>915</v>
      </c>
      <c r="B334" s="131" t="s">
        <v>916</v>
      </c>
      <c r="C334" s="131">
        <v>3988.75</v>
      </c>
      <c r="D334" s="131">
        <v>0.33</v>
      </c>
      <c r="E334" s="131">
        <v>3.14</v>
      </c>
      <c r="F334" s="131">
        <v>47.97</v>
      </c>
      <c r="G334" s="131">
        <v>0.39</v>
      </c>
      <c r="H334" s="131">
        <v>2.2200000000000002</v>
      </c>
      <c r="I334" s="131">
        <v>0.32</v>
      </c>
      <c r="J334" s="132">
        <v>41264</v>
      </c>
      <c r="K334" s="133" t="s">
        <v>458</v>
      </c>
      <c r="L334" s="108">
        <f t="shared" si="5"/>
        <v>4.6278924327704821E-2</v>
      </c>
    </row>
    <row r="335" spans="1:12" ht="17" customHeight="1">
      <c r="A335" s="131" t="s">
        <v>926</v>
      </c>
      <c r="B335" s="131" t="s">
        <v>927</v>
      </c>
      <c r="C335" s="131">
        <v>6106</v>
      </c>
      <c r="D335" s="131">
        <v>2.08</v>
      </c>
      <c r="E335" s="131">
        <v>7.04</v>
      </c>
      <c r="F335" s="131">
        <v>59.62</v>
      </c>
      <c r="G335" s="131">
        <v>0.46</v>
      </c>
      <c r="H335" s="131">
        <v>2.74</v>
      </c>
      <c r="I335" s="131">
        <v>0.4</v>
      </c>
      <c r="J335" s="132">
        <v>40121</v>
      </c>
      <c r="K335" s="133" t="s">
        <v>458</v>
      </c>
      <c r="L335" s="108">
        <f t="shared" si="5"/>
        <v>4.595773230459578E-2</v>
      </c>
    </row>
    <row r="336" spans="1:12" ht="17" customHeight="1">
      <c r="A336" s="131" t="s">
        <v>516</v>
      </c>
      <c r="B336" s="131" t="s">
        <v>517</v>
      </c>
      <c r="C336" s="131">
        <v>1856.45</v>
      </c>
      <c r="D336" s="131">
        <v>-0.44</v>
      </c>
      <c r="E336" s="131">
        <v>5.92</v>
      </c>
      <c r="F336" s="131">
        <v>38.06</v>
      </c>
      <c r="G336" s="131">
        <v>0.3</v>
      </c>
      <c r="H336" s="131">
        <v>1.72</v>
      </c>
      <c r="I336" s="131">
        <v>0.05</v>
      </c>
      <c r="J336" s="132">
        <v>36529</v>
      </c>
      <c r="K336" s="133" t="s">
        <v>458</v>
      </c>
      <c r="L336" s="108">
        <f t="shared" si="5"/>
        <v>4.5191802417235936E-2</v>
      </c>
    </row>
    <row r="337" spans="1:12" ht="17" customHeight="1">
      <c r="A337" s="131" t="s">
        <v>677</v>
      </c>
      <c r="B337" s="131" t="s">
        <v>678</v>
      </c>
      <c r="C337" s="131">
        <v>3072.63</v>
      </c>
      <c r="D337" s="131">
        <v>0.34</v>
      </c>
      <c r="E337" s="131">
        <v>6.65</v>
      </c>
      <c r="F337" s="131">
        <v>43.09</v>
      </c>
      <c r="G337" s="131">
        <v>0.61</v>
      </c>
      <c r="H337" s="131">
        <v>1.86</v>
      </c>
      <c r="I337" s="131">
        <v>0.17</v>
      </c>
      <c r="J337" s="132">
        <v>36529</v>
      </c>
      <c r="K337" s="133" t="s">
        <v>458</v>
      </c>
      <c r="L337" s="108">
        <f t="shared" si="5"/>
        <v>4.3165467625899283E-2</v>
      </c>
    </row>
    <row r="338" spans="1:12" ht="17" customHeight="1">
      <c r="A338" s="131" t="s">
        <v>564</v>
      </c>
      <c r="B338" s="131" t="s">
        <v>565</v>
      </c>
      <c r="C338" s="131">
        <v>8752.49</v>
      </c>
      <c r="D338" s="131">
        <v>4.72</v>
      </c>
      <c r="E338" s="131">
        <v>11.37</v>
      </c>
      <c r="F338" s="131">
        <v>75.3</v>
      </c>
      <c r="G338" s="131">
        <v>0.59</v>
      </c>
      <c r="H338" s="131">
        <v>3.21</v>
      </c>
      <c r="I338" s="131">
        <v>0.25</v>
      </c>
      <c r="J338" s="132">
        <v>39265</v>
      </c>
      <c r="K338" s="133" t="s">
        <v>458</v>
      </c>
      <c r="L338" s="108">
        <f t="shared" si="5"/>
        <v>4.2629482071713146E-2</v>
      </c>
    </row>
    <row r="339" spans="1:12" ht="17" customHeight="1">
      <c r="A339" s="131" t="s">
        <v>620</v>
      </c>
      <c r="B339" s="131" t="s">
        <v>621</v>
      </c>
      <c r="C339" s="131" t="s">
        <v>622</v>
      </c>
      <c r="D339" s="131" t="s">
        <v>622</v>
      </c>
      <c r="E339" s="131" t="s">
        <v>622</v>
      </c>
      <c r="F339" s="131">
        <v>50.65</v>
      </c>
      <c r="G339" s="131">
        <v>0.76</v>
      </c>
      <c r="H339" s="131">
        <v>2.13</v>
      </c>
      <c r="I339" s="131">
        <v>0.27</v>
      </c>
      <c r="J339" s="132">
        <v>36529</v>
      </c>
      <c r="K339" s="133" t="s">
        <v>458</v>
      </c>
      <c r="L339" s="108">
        <f t="shared" si="5"/>
        <v>4.2053307008884502E-2</v>
      </c>
    </row>
    <row r="340" spans="1:12" ht="17" customHeight="1">
      <c r="A340" s="131" t="s">
        <v>689</v>
      </c>
      <c r="B340" s="131" t="s">
        <v>690</v>
      </c>
      <c r="C340" s="131">
        <v>8564.8799999999992</v>
      </c>
      <c r="D340" s="131">
        <v>0.95</v>
      </c>
      <c r="E340" s="131">
        <v>5.91</v>
      </c>
      <c r="F340" s="131">
        <v>79.180000000000007</v>
      </c>
      <c r="G340" s="131">
        <v>0.74</v>
      </c>
      <c r="H340" s="131">
        <v>3.32</v>
      </c>
      <c r="I340" s="131">
        <v>0.26</v>
      </c>
      <c r="J340" s="132">
        <v>36529</v>
      </c>
      <c r="K340" s="133" t="s">
        <v>458</v>
      </c>
      <c r="L340" s="108">
        <f t="shared" si="5"/>
        <v>4.1929780247537254E-2</v>
      </c>
    </row>
    <row r="341" spans="1:12" ht="17" customHeight="1">
      <c r="A341" s="131" t="s">
        <v>530</v>
      </c>
      <c r="B341" s="131" t="s">
        <v>531</v>
      </c>
      <c r="C341" s="131">
        <v>3675.77</v>
      </c>
      <c r="D341" s="131">
        <v>5.28</v>
      </c>
      <c r="E341" s="131">
        <v>22.69</v>
      </c>
      <c r="F341" s="131">
        <v>125.11</v>
      </c>
      <c r="G341" s="131">
        <v>0.93</v>
      </c>
      <c r="H341" s="131">
        <v>5.23</v>
      </c>
      <c r="I341" s="131">
        <v>0.85</v>
      </c>
      <c r="J341" s="132">
        <v>36529</v>
      </c>
      <c r="K341" s="133" t="s">
        <v>458</v>
      </c>
      <c r="L341" s="108">
        <f t="shared" si="5"/>
        <v>4.1803213172408281E-2</v>
      </c>
    </row>
    <row r="342" spans="1:12" ht="17" customHeight="1">
      <c r="A342" s="131" t="s">
        <v>973</v>
      </c>
      <c r="B342" s="131" t="s">
        <v>974</v>
      </c>
      <c r="C342" s="131">
        <v>1444.69</v>
      </c>
      <c r="D342" s="131">
        <v>-0.9</v>
      </c>
      <c r="E342" s="131">
        <v>6.13</v>
      </c>
      <c r="F342" s="131">
        <v>60.71</v>
      </c>
      <c r="G342" s="131">
        <v>0.81</v>
      </c>
      <c r="H342" s="131">
        <v>2.5099999999999998</v>
      </c>
      <c r="I342" s="131">
        <v>0.37</v>
      </c>
      <c r="J342" s="132">
        <v>42451</v>
      </c>
      <c r="K342" s="133" t="s">
        <v>458</v>
      </c>
      <c r="L342" s="108">
        <f t="shared" si="5"/>
        <v>4.1344094877285451E-2</v>
      </c>
    </row>
    <row r="343" spans="1:12" ht="17" customHeight="1">
      <c r="A343" s="131" t="s">
        <v>470</v>
      </c>
      <c r="B343" s="131" t="s">
        <v>471</v>
      </c>
      <c r="C343" s="131">
        <v>1197.58</v>
      </c>
      <c r="D343" s="131">
        <v>2.02</v>
      </c>
      <c r="E343" s="131">
        <v>6.32</v>
      </c>
      <c r="F343" s="131">
        <v>61.62</v>
      </c>
      <c r="G343" s="131">
        <v>0.46</v>
      </c>
      <c r="H343" s="131">
        <v>2.5299999999999998</v>
      </c>
      <c r="I343" s="131">
        <v>0.27</v>
      </c>
      <c r="J343" s="132">
        <v>36529</v>
      </c>
      <c r="K343" s="133" t="s">
        <v>458</v>
      </c>
      <c r="L343" s="108">
        <f t="shared" si="5"/>
        <v>4.1058098020123335E-2</v>
      </c>
    </row>
    <row r="344" spans="1:12" ht="17" customHeight="1">
      <c r="A344" s="131" t="s">
        <v>946</v>
      </c>
      <c r="B344" s="131" t="s">
        <v>757</v>
      </c>
      <c r="C344" s="131">
        <v>1139.6400000000001</v>
      </c>
      <c r="D344" s="131">
        <v>1.65</v>
      </c>
      <c r="E344" s="131">
        <v>6.56</v>
      </c>
      <c r="F344" s="131">
        <v>66.7</v>
      </c>
      <c r="G344" s="131">
        <v>0.46</v>
      </c>
      <c r="H344" s="131">
        <v>2.73</v>
      </c>
      <c r="I344" s="131">
        <v>0.43</v>
      </c>
      <c r="J344" s="132">
        <v>40785</v>
      </c>
      <c r="K344" s="133" t="s">
        <v>458</v>
      </c>
      <c r="L344" s="108">
        <f t="shared" si="5"/>
        <v>4.0929535232383803E-2</v>
      </c>
    </row>
    <row r="345" spans="1:12" ht="17" customHeight="1">
      <c r="A345" s="131" t="s">
        <v>897</v>
      </c>
      <c r="B345" s="131" t="s">
        <v>87</v>
      </c>
      <c r="C345" s="131">
        <v>8286.83</v>
      </c>
      <c r="D345" s="131">
        <v>1.95</v>
      </c>
      <c r="E345" s="131">
        <v>6.75</v>
      </c>
      <c r="F345" s="131">
        <v>67.180000000000007</v>
      </c>
      <c r="G345" s="131">
        <v>0.34</v>
      </c>
      <c r="H345" s="131">
        <v>2.68</v>
      </c>
      <c r="I345" s="131">
        <v>0.25</v>
      </c>
      <c r="J345" s="132">
        <v>41634</v>
      </c>
      <c r="K345" s="133" t="s">
        <v>458</v>
      </c>
      <c r="L345" s="108">
        <f t="shared" si="5"/>
        <v>3.9892825245608811E-2</v>
      </c>
    </row>
    <row r="346" spans="1:12" ht="17" customHeight="1">
      <c r="A346" s="131" t="s">
        <v>697</v>
      </c>
      <c r="B346" s="131" t="s">
        <v>698</v>
      </c>
      <c r="C346" s="131">
        <v>284.02</v>
      </c>
      <c r="D346" s="131">
        <v>0.31</v>
      </c>
      <c r="E346" s="131">
        <v>0.85</v>
      </c>
      <c r="F346" s="131">
        <v>24.67</v>
      </c>
      <c r="G346" s="131">
        <v>0.68</v>
      </c>
      <c r="H346" s="131">
        <v>0.9</v>
      </c>
      <c r="I346" s="131">
        <v>0</v>
      </c>
      <c r="J346" s="132">
        <v>36529</v>
      </c>
      <c r="K346" s="133" t="s">
        <v>458</v>
      </c>
      <c r="L346" s="108">
        <f t="shared" si="5"/>
        <v>3.6481556546412643E-2</v>
      </c>
    </row>
    <row r="347" spans="1:12" ht="17" customHeight="1">
      <c r="A347" s="131" t="s">
        <v>701</v>
      </c>
      <c r="B347" s="131" t="s">
        <v>702</v>
      </c>
      <c r="C347" s="131">
        <v>3116.74</v>
      </c>
      <c r="D347" s="131">
        <v>0.16</v>
      </c>
      <c r="E347" s="131">
        <v>0.72</v>
      </c>
      <c r="F347" s="131">
        <v>37.520000000000003</v>
      </c>
      <c r="G347" s="131">
        <v>0.64</v>
      </c>
      <c r="H347" s="131">
        <v>1.36</v>
      </c>
      <c r="I347" s="131">
        <v>0.06</v>
      </c>
      <c r="J347" s="132">
        <v>39624</v>
      </c>
      <c r="K347" s="133" t="s">
        <v>458</v>
      </c>
      <c r="L347" s="108">
        <f t="shared" si="5"/>
        <v>3.6247334754797439E-2</v>
      </c>
    </row>
    <row r="348" spans="1:12" ht="17" customHeight="1">
      <c r="A348" s="131" t="s">
        <v>550</v>
      </c>
      <c r="B348" s="131" t="s">
        <v>551</v>
      </c>
      <c r="C348" s="131">
        <v>2164.67</v>
      </c>
      <c r="D348" s="131">
        <v>-2.23</v>
      </c>
      <c r="E348" s="131">
        <v>-4.53</v>
      </c>
      <c r="F348" s="131">
        <v>30.49</v>
      </c>
      <c r="G348" s="131">
        <v>0.57999999999999996</v>
      </c>
      <c r="H348" s="131">
        <v>1.1000000000000001</v>
      </c>
      <c r="I348" s="131">
        <v>0.09</v>
      </c>
      <c r="J348" s="132">
        <v>36529</v>
      </c>
      <c r="K348" s="133" t="s">
        <v>458</v>
      </c>
      <c r="L348" s="108">
        <f t="shared" si="5"/>
        <v>3.6077402427025257E-2</v>
      </c>
    </row>
    <row r="349" spans="1:12" ht="17" customHeight="1">
      <c r="A349" s="131" t="s">
        <v>536</v>
      </c>
      <c r="B349" s="131" t="s">
        <v>537</v>
      </c>
      <c r="C349" s="131">
        <v>2580.0700000000002</v>
      </c>
      <c r="D349" s="131">
        <v>1.03</v>
      </c>
      <c r="E349" s="131">
        <v>3.72</v>
      </c>
      <c r="F349" s="131">
        <v>40.770000000000003</v>
      </c>
      <c r="G349" s="131">
        <v>0.52</v>
      </c>
      <c r="H349" s="131">
        <v>1.47</v>
      </c>
      <c r="I349" s="131">
        <v>0.34</v>
      </c>
      <c r="J349" s="132">
        <v>36529</v>
      </c>
      <c r="K349" s="133" t="s">
        <v>458</v>
      </c>
      <c r="L349" s="108">
        <f t="shared" si="5"/>
        <v>3.6055923473142015E-2</v>
      </c>
    </row>
    <row r="350" spans="1:12" ht="17" customHeight="1">
      <c r="A350" s="131" t="s">
        <v>604</v>
      </c>
      <c r="B350" s="131" t="s">
        <v>605</v>
      </c>
      <c r="C350" s="131">
        <v>1167.29</v>
      </c>
      <c r="D350" s="131">
        <v>1.87</v>
      </c>
      <c r="E350" s="131">
        <v>8.43</v>
      </c>
      <c r="F350" s="131">
        <v>46.51</v>
      </c>
      <c r="G350" s="131">
        <v>0.62</v>
      </c>
      <c r="H350" s="131">
        <v>1.55</v>
      </c>
      <c r="I350" s="131">
        <v>0.32</v>
      </c>
      <c r="J350" s="132">
        <v>36529</v>
      </c>
      <c r="K350" s="133" t="s">
        <v>458</v>
      </c>
      <c r="L350" s="108">
        <f t="shared" si="5"/>
        <v>3.332616641582456E-2</v>
      </c>
    </row>
    <row r="351" spans="1:12" ht="17" customHeight="1">
      <c r="A351" s="131" t="s">
        <v>1027</v>
      </c>
      <c r="B351" s="131" t="s">
        <v>1028</v>
      </c>
      <c r="C351" s="131">
        <v>1775.59</v>
      </c>
      <c r="D351" s="131">
        <v>-0.27</v>
      </c>
      <c r="E351" s="131">
        <v>17.05</v>
      </c>
      <c r="F351" s="131">
        <v>134.58000000000001</v>
      </c>
      <c r="G351" s="131">
        <v>0.96</v>
      </c>
      <c r="H351" s="131">
        <v>4.24</v>
      </c>
      <c r="I351" s="131">
        <v>0.52</v>
      </c>
      <c r="J351" s="132">
        <v>40410</v>
      </c>
      <c r="K351" s="133" t="s">
        <v>458</v>
      </c>
      <c r="L351" s="108">
        <f t="shared" si="5"/>
        <v>3.1505424282954372E-2</v>
      </c>
    </row>
    <row r="352" spans="1:12" ht="17" customHeight="1">
      <c r="A352" s="131" t="s">
        <v>975</v>
      </c>
      <c r="B352" s="131" t="s">
        <v>976</v>
      </c>
      <c r="C352" s="131">
        <v>3890.61</v>
      </c>
      <c r="D352" s="131">
        <v>-0.9</v>
      </c>
      <c r="E352" s="131">
        <v>6.37</v>
      </c>
      <c r="F352" s="131">
        <v>94.04</v>
      </c>
      <c r="G352" s="131">
        <v>0.86</v>
      </c>
      <c r="H352" s="131">
        <v>2.87</v>
      </c>
      <c r="I352" s="131">
        <v>0.34</v>
      </c>
      <c r="J352" s="132">
        <v>42160</v>
      </c>
      <c r="K352" s="133" t="s">
        <v>458</v>
      </c>
      <c r="L352" s="108">
        <f t="shared" si="5"/>
        <v>3.0518928115695447E-2</v>
      </c>
    </row>
    <row r="353" spans="1:12" ht="17" customHeight="1">
      <c r="A353" s="131" t="s">
        <v>699</v>
      </c>
      <c r="B353" s="131" t="s">
        <v>700</v>
      </c>
      <c r="C353" s="131">
        <v>4723.9799999999996</v>
      </c>
      <c r="D353" s="131">
        <v>-0.31</v>
      </c>
      <c r="E353" s="131">
        <v>3.2</v>
      </c>
      <c r="F353" s="131">
        <v>57.33</v>
      </c>
      <c r="G353" s="131">
        <v>0.86</v>
      </c>
      <c r="H353" s="131">
        <v>1.74</v>
      </c>
      <c r="I353" s="131">
        <v>0.09</v>
      </c>
      <c r="J353" s="132">
        <v>37313</v>
      </c>
      <c r="K353" s="133" t="s">
        <v>458</v>
      </c>
      <c r="L353" s="108">
        <f t="shared" si="5"/>
        <v>3.035060177917321E-2</v>
      </c>
    </row>
    <row r="354" spans="1:12" ht="17" customHeight="1">
      <c r="A354" s="131" t="s">
        <v>627</v>
      </c>
      <c r="B354" s="131" t="s">
        <v>628</v>
      </c>
      <c r="C354" s="131">
        <v>5833.32</v>
      </c>
      <c r="D354" s="131">
        <v>0.05</v>
      </c>
      <c r="E354" s="131">
        <v>5.74</v>
      </c>
      <c r="F354" s="131">
        <v>54</v>
      </c>
      <c r="G354" s="131">
        <v>0.61</v>
      </c>
      <c r="H354" s="131">
        <v>1.35</v>
      </c>
      <c r="I354" s="131">
        <v>0.03</v>
      </c>
      <c r="J354" s="132">
        <v>40147</v>
      </c>
      <c r="K354" s="133" t="s">
        <v>458</v>
      </c>
      <c r="L354" s="108">
        <f t="shared" si="5"/>
        <v>2.5000000000000001E-2</v>
      </c>
    </row>
    <row r="355" spans="1:12" ht="17" customHeight="1">
      <c r="A355" s="131" t="s">
        <v>566</v>
      </c>
      <c r="B355" s="131" t="s">
        <v>567</v>
      </c>
      <c r="C355" s="131">
        <v>2398.38</v>
      </c>
      <c r="D355" s="131">
        <v>0.48</v>
      </c>
      <c r="E355" s="131">
        <v>1.68</v>
      </c>
      <c r="F355" s="131">
        <v>110.33</v>
      </c>
      <c r="G355" s="131">
        <v>0.72</v>
      </c>
      <c r="H355" s="131">
        <v>1.7</v>
      </c>
      <c r="I355" s="131">
        <v>0.15</v>
      </c>
      <c r="J355" s="132">
        <v>39265</v>
      </c>
      <c r="K355" s="133" t="s">
        <v>458</v>
      </c>
      <c r="L355" s="108">
        <f t="shared" si="5"/>
        <v>1.5408320493066256E-2</v>
      </c>
    </row>
    <row r="356" spans="1:12" ht="17" customHeight="1">
      <c r="A356" s="131" t="s">
        <v>592</v>
      </c>
      <c r="B356" s="131" t="s">
        <v>593</v>
      </c>
      <c r="C356" s="131">
        <v>809.36</v>
      </c>
      <c r="D356" s="131">
        <v>0.1</v>
      </c>
      <c r="E356" s="131">
        <v>0.21</v>
      </c>
      <c r="F356" s="131">
        <v>114.6</v>
      </c>
      <c r="G356" s="131">
        <v>0.9</v>
      </c>
      <c r="H356" s="131">
        <v>1.44</v>
      </c>
      <c r="I356" s="131">
        <v>0.06</v>
      </c>
      <c r="J356" s="132">
        <v>36529</v>
      </c>
      <c r="K356" s="133" t="s">
        <v>458</v>
      </c>
      <c r="L356" s="108">
        <f t="shared" si="5"/>
        <v>1.2565445026178011E-2</v>
      </c>
    </row>
    <row r="357" spans="1:12" ht="17" customHeight="1">
      <c r="A357" s="131" t="s">
        <v>590</v>
      </c>
      <c r="B357" s="131" t="s">
        <v>591</v>
      </c>
      <c r="C357" s="131">
        <v>1155.95</v>
      </c>
      <c r="D357" s="131">
        <v>-0.5</v>
      </c>
      <c r="E357" s="131">
        <v>-0.88</v>
      </c>
      <c r="F357" s="131">
        <v>318.36</v>
      </c>
      <c r="G357" s="131">
        <v>0.89</v>
      </c>
      <c r="H357" s="131">
        <v>2.4</v>
      </c>
      <c r="I357" s="131">
        <v>0.25</v>
      </c>
      <c r="J357" s="132">
        <v>36529</v>
      </c>
      <c r="K357" s="133" t="s">
        <v>458</v>
      </c>
      <c r="L357" s="108">
        <f t="shared" si="5"/>
        <v>7.538635506973237E-3</v>
      </c>
    </row>
    <row r="358" spans="1:12" ht="17" customHeight="1">
      <c r="A358" s="131" t="s">
        <v>655</v>
      </c>
      <c r="B358" s="131" t="s">
        <v>656</v>
      </c>
      <c r="C358" s="131">
        <v>734.84</v>
      </c>
      <c r="D358" s="131">
        <v>0.73</v>
      </c>
      <c r="E358" s="131">
        <v>3.22</v>
      </c>
      <c r="F358" s="131">
        <v>969.88</v>
      </c>
      <c r="G358" s="131">
        <v>1</v>
      </c>
      <c r="H358" s="131">
        <v>3.8</v>
      </c>
      <c r="I358" s="131">
        <v>0.28000000000000003</v>
      </c>
      <c r="J358" s="132">
        <v>36529</v>
      </c>
      <c r="K358" s="133" t="s">
        <v>458</v>
      </c>
      <c r="L358" s="108">
        <f t="shared" si="5"/>
        <v>3.9180104755227449E-3</v>
      </c>
    </row>
  </sheetData>
  <autoFilter ref="A1:L358" xr:uid="{00000000-0009-0000-0000-00000D000000}">
    <sortState xmlns:xlrd2="http://schemas.microsoft.com/office/spreadsheetml/2017/richdata2" ref="A2:L358">
      <sortCondition descending="1" ref="L1:L358"/>
    </sortState>
  </autoFilter>
  <mergeCells count="3">
    <mergeCell ref="Y2:Y3"/>
    <mergeCell ref="M2:M3"/>
    <mergeCell ref="S2:S3"/>
  </mergeCells>
  <conditionalFormatting sqref="G1:G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I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L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K2" r:id="rId1" display="http://discuss.jiucaishuo.com/?/invest/showData/search_gu-sz399997" xr:uid="{00000000-0004-0000-0D00-000000000000}"/>
    <hyperlink ref="K3" r:id="rId2" display="http://discuss.jiucaishuo.com/?/invest/showData/search_gu-sz399987" xr:uid="{00000000-0004-0000-0D00-000001000000}"/>
    <hyperlink ref="K4" r:id="rId3" display="http://discuss.jiucaishuo.com/?/invest/showData/search_gu-gindx" xr:uid="{00000000-0004-0000-0D00-000002000000}"/>
    <hyperlink ref="K5" r:id="rId4" display="http://discuss.jiucaishuo.com/?/invest/showData/search_gu-sz399396" xr:uid="{00000000-0004-0000-0D00-000003000000}"/>
    <hyperlink ref="K6" r:id="rId5" display="http://discuss.jiucaishuo.com/?/invest/showData/search_gu-gidji" xr:uid="{00000000-0004-0000-0D00-000004000000}"/>
    <hyperlink ref="K7" r:id="rId6" display="http://discuss.jiucaishuo.com/?/invest/showData/search_gu-si801194" xr:uid="{00000000-0004-0000-0D00-000005000000}"/>
    <hyperlink ref="K8" r:id="rId7" display="http://discuss.jiucaishuo.com/?/invest/showData/search_gu-csi930720" xr:uid="{00000000-0004-0000-0D00-000006000000}"/>
    <hyperlink ref="K9" r:id="rId8" display="http://discuss.jiucaishuo.com/?/invest/showData/search_gu-si801123" xr:uid="{00000000-0004-0000-0D00-000007000000}"/>
    <hyperlink ref="K10" r:id="rId9" display="http://discuss.jiucaishuo.com/?/invest/showData/search_gu-si801111" xr:uid="{00000000-0004-0000-0D00-000008000000}"/>
    <hyperlink ref="K11" r:id="rId10" display="http://discuss.jiucaishuo.com/?/invest/showData/search_gu-sh000036" xr:uid="{00000000-0004-0000-0D00-000009000000}"/>
    <hyperlink ref="K12" r:id="rId11" display="http://discuss.jiucaishuo.com/?/invest/showData/search_gu-csih30021" xr:uid="{00000000-0004-0000-0D00-00000A000000}"/>
    <hyperlink ref="K13" r:id="rId12" display="http://discuss.jiucaishuo.com/?/invest/showData/search_gu-sh000958" xr:uid="{00000000-0004-0000-0D00-00000B000000}"/>
    <hyperlink ref="K14" r:id="rId13" display="http://discuss.jiucaishuo.com/?/invest/showData/search_gu-csi930653" xr:uid="{00000000-0004-0000-0D00-00000C000000}"/>
    <hyperlink ref="K15" r:id="rId14" display="http://discuss.jiucaishuo.com/?/invest/showData/search_gu-sh000918" xr:uid="{00000000-0004-0000-0D00-00000D000000}"/>
    <hyperlink ref="K16" r:id="rId15" display="http://discuss.jiucaishuo.com/?/invest/showData/search_gu-sh000932" xr:uid="{00000000-0004-0000-0D00-00000E000000}"/>
    <hyperlink ref="K17" r:id="rId16" display="http://discuss.jiucaishuo.com/?/invest/showData/search_gu-sz399983" xr:uid="{00000000-0004-0000-0D00-00000F000000}"/>
    <hyperlink ref="K18" r:id="rId17" display="http://discuss.jiucaishuo.com/?/invest/showData/search_gu-si801120" xr:uid="{00000000-0004-0000-0D00-000010000000}"/>
    <hyperlink ref="K19" r:id="rId18" display="http://discuss.jiucaishuo.com/?/invest/showData/search_gu-si801017" xr:uid="{00000000-0004-0000-0D00-000011000000}"/>
    <hyperlink ref="K20" r:id="rId19" display="http://discuss.jiucaishuo.com/?/invest/showData/search_gu-sh000952" xr:uid="{00000000-0004-0000-0D00-000012000000}"/>
    <hyperlink ref="K21" r:id="rId20" display="http://discuss.jiucaishuo.com/?/invest/showData/search_gu-csi930697" xr:uid="{00000000-0004-0000-0D00-000013000000}"/>
    <hyperlink ref="K22" r:id="rId21" display="http://discuss.jiucaishuo.com/?/invest/showData/search_gu-si801110" xr:uid="{00000000-0004-0000-0D00-000014000000}"/>
    <hyperlink ref="K23" r:id="rId22" display="http://discuss.jiucaishuo.com/?/invest/showData/search_gu-sh000028" xr:uid="{00000000-0004-0000-0D00-000015000000}"/>
    <hyperlink ref="K24" r:id="rId23" display="http://discuss.jiucaishuo.com/?/invest/showData/search_gu-csi931009" xr:uid="{00000000-0004-0000-0D00-000016000000}"/>
    <hyperlink ref="K25" r:id="rId24" display="http://discuss.jiucaishuo.com/?/invest/showData/search_gu-csi930734" xr:uid="{00000000-0004-0000-0D00-000017000000}"/>
    <hyperlink ref="K26" r:id="rId25" display="http://discuss.jiucaishuo.com/?/invest/showData/search_gu-sz399965" xr:uid="{00000000-0004-0000-0D00-000018000000}"/>
    <hyperlink ref="K27" r:id="rId26" display="http://discuss.jiucaishuo.com/?/invest/showData/search_gu-si801711" xr:uid="{00000000-0004-0000-0D00-000019000000}"/>
    <hyperlink ref="K28" r:id="rId27" display="http://discuss.jiucaishuo.com/?/invest/showData/search_gu-sh000816" xr:uid="{00000000-0004-0000-0D00-00001A000000}"/>
    <hyperlink ref="K29" r:id="rId28" display="http://discuss.jiucaishuo.com/?/invest/showData/search_gu-sh000990" xr:uid="{00000000-0004-0000-0D00-00001B000000}"/>
    <hyperlink ref="K30" r:id="rId29" display="http://discuss.jiucaishuo.com/?/invest/showData/search_gu-sz399637" xr:uid="{00000000-0004-0000-0D00-00001C000000}"/>
    <hyperlink ref="K31" r:id="rId30" display="http://discuss.jiucaishuo.com/?/invest/showData/search_gu-sz399812" xr:uid="{00000000-0004-0000-0D00-00001D000000}"/>
    <hyperlink ref="K32" r:id="rId31" display="http://discuss.jiucaishuo.com/?/invest/showData/search_gu-csi930836" xr:uid="{00000000-0004-0000-0D00-00001E000000}"/>
    <hyperlink ref="K33" r:id="rId32" display="http://discuss.jiucaishuo.com/?/invest/showData/search_gu-sz399393" xr:uid="{00000000-0004-0000-0D00-00001F000000}"/>
    <hyperlink ref="K34" r:id="rId33" display="http://discuss.jiucaishuo.com/?/invest/showData/search_gu-si801124" xr:uid="{00000000-0004-0000-0D00-000020000000}"/>
    <hyperlink ref="K35" r:id="rId34" display="http://discuss.jiucaishuo.com/?/invest/showData/search_gu-si801721" xr:uid="{00000000-0004-0000-0D00-000021000000}"/>
    <hyperlink ref="K36" r:id="rId35" display="http://discuss.jiucaishuo.com/?/invest/showData/search_gu-sz399803" xr:uid="{00000000-0004-0000-0D00-000022000000}"/>
    <hyperlink ref="K37" r:id="rId36" display="http://discuss.jiucaishuo.com/?/invest/showData/search_gu-sz399809" xr:uid="{00000000-0004-0000-0D00-000023000000}"/>
    <hyperlink ref="K38" r:id="rId37" display="http://discuss.jiucaishuo.com/?/invest/showData/search_gu-sz399989" xr:uid="{00000000-0004-0000-0D00-000024000000}"/>
    <hyperlink ref="K39" r:id="rId38" display="http://discuss.jiucaishuo.com/?/invest/showData/search_gu-sz399324" xr:uid="{00000000-0004-0000-0D00-000025000000}"/>
    <hyperlink ref="K40" r:id="rId39" display="http://discuss.jiucaishuo.com/?/invest/showData/search_gu-csih30165" xr:uid="{00000000-0004-0000-0D00-000026000000}"/>
    <hyperlink ref="K41" r:id="rId40" display="http://discuss.jiucaishuo.com/?/invest/showData/search_gu-sh000049" xr:uid="{00000000-0004-0000-0D00-000027000000}"/>
    <hyperlink ref="K42" r:id="rId41" display="http://discuss.jiucaishuo.com/?/invest/showData/search_gu-si801710" xr:uid="{00000000-0004-0000-0D00-000028000000}"/>
    <hyperlink ref="K43" r:id="rId42" display="http://discuss.jiucaishuo.com/?/invest/showData/search_gu-sz399326" xr:uid="{00000000-0004-0000-0D00-000029000000}"/>
    <hyperlink ref="K44" r:id="rId43" display="http://discuss.jiucaishuo.com/?/invest/showData/search_gu-sz399804" xr:uid="{00000000-0004-0000-0D00-00002A000000}"/>
    <hyperlink ref="K45" r:id="rId44" display="http://discuss.jiucaishuo.com/?/invest/showData/search_gu-gispx" xr:uid="{00000000-0004-0000-0D00-00002B000000}"/>
    <hyperlink ref="K46" r:id="rId45" display="http://discuss.jiucaishuo.com/?/invest/showData/search_gu-spisp500" xr:uid="{00000000-0004-0000-0D00-00002C000000}"/>
    <hyperlink ref="K47" r:id="rId46" display="http://discuss.jiucaishuo.com/?/invest/showData/search_gu-spispxewtr" xr:uid="{00000000-0004-0000-0D00-00002D000000}"/>
    <hyperlink ref="K48" r:id="rId47" display="http://discuss.jiucaishuo.com/?/invest/showData/search_gu-si801181" xr:uid="{00000000-0004-0000-0D00-00002E000000}"/>
    <hyperlink ref="K49" r:id="rId48" display="http://discuss.jiucaishuo.com/?/invest/showData/search_gu-csi930743" xr:uid="{00000000-0004-0000-0D00-00002F000000}"/>
    <hyperlink ref="K50" r:id="rId49" display="http://discuss.jiucaishuo.com/?/invest/showData/search_gu-sz399550" xr:uid="{00000000-0004-0000-0D00-000030000000}"/>
    <hyperlink ref="K51" r:id="rId50" display="http://discuss.jiucaishuo.com/?/invest/showData/search_gu-sz399805" xr:uid="{00000000-0004-0000-0D00-000031000000}"/>
    <hyperlink ref="K52" r:id="rId51" display="http://discuss.jiucaishuo.com/?/invest/showData/search_gu-si801180" xr:uid="{00000000-0004-0000-0D00-000032000000}"/>
    <hyperlink ref="K53" r:id="rId52" display="http://discuss.jiucaishuo.com/?/invest/showData/search_gu-sz399337" xr:uid="{00000000-0004-0000-0D00-000033000000}"/>
    <hyperlink ref="K54" r:id="rId53" display="http://discuss.jiucaishuo.com/?/invest/showData/search_gu-csi930719" xr:uid="{00000000-0004-0000-0D00-000034000000}"/>
    <hyperlink ref="K55" r:id="rId54" display="http://discuss.jiucaishuo.com/?/invest/showData/search_gu-giixic" xr:uid="{00000000-0004-0000-0D00-000035000000}"/>
    <hyperlink ref="K56" r:id="rId55" display="http://discuss.jiucaishuo.com/?/invest/showData/search_gu-csih11136" xr:uid="{00000000-0004-0000-0D00-000036000000}"/>
    <hyperlink ref="K57" r:id="rId56" display="http://discuss.jiucaishuo.com/?/invest/showData/search_gu-sh000069" xr:uid="{00000000-0004-0000-0D00-000037000000}"/>
    <hyperlink ref="K58" r:id="rId57" display="http://discuss.jiucaishuo.com/?/invest/showData/search_gu-csih30535" xr:uid="{00000000-0004-0000-0D00-000038000000}"/>
    <hyperlink ref="K59" r:id="rId58" display="http://discuss.jiucaishuo.com/?/invest/showData/search_gu-sz399612" xr:uid="{00000000-0004-0000-0D00-000039000000}"/>
    <hyperlink ref="K60" r:id="rId59" display="http://discuss.jiucaishuo.com/?/invest/showData/search_gu-sz399701" xr:uid="{00000000-0004-0000-0D00-00003A000000}"/>
    <hyperlink ref="K61" r:id="rId60" display="http://discuss.jiucaishuo.com/?/invest/showData/search_gu-csih20839" xr:uid="{00000000-0004-0000-0D00-00003B000000}"/>
    <hyperlink ref="K62" r:id="rId61" display="http://discuss.jiucaishuo.com/?/invest/showData/search_gu-sz399330" xr:uid="{00000000-0004-0000-0D00-00003C000000}"/>
    <hyperlink ref="K63" r:id="rId62" display="http://discuss.jiucaishuo.com/?/invest/showData/search_gu-sz399004" xr:uid="{00000000-0004-0000-0D00-00003D000000}"/>
    <hyperlink ref="K64" r:id="rId63" display="http://discuss.jiucaishuo.com/?/invest/showData/search_gu-sz399632" xr:uid="{00000000-0004-0000-0D00-00003E000000}"/>
    <hyperlink ref="K65" r:id="rId64" display="http://discuss.jiucaishuo.com/?/invest/showData/search_gu-si801085" xr:uid="{00000000-0004-0000-0D00-00003F000000}"/>
    <hyperlink ref="K66" r:id="rId65" display="http://discuss.jiucaishuo.com/?/invest/showData/search_gu-sh000048" xr:uid="{00000000-0004-0000-0D00-000040000000}"/>
    <hyperlink ref="K67" r:id="rId66" display="http://discuss.jiucaishuo.com/?/invest/showData/search_gu-sz399814" xr:uid="{00000000-0004-0000-0D00-000041000000}"/>
    <hyperlink ref="K68" r:id="rId67" display="http://discuss.jiucaishuo.com/?/invest/showData/search_gu-sh000969" xr:uid="{00000000-0004-0000-0D00-000042000000}"/>
    <hyperlink ref="K69" r:id="rId68" display="http://discuss.jiucaishuo.com/?/invest/showData/search_gu-csih30344" xr:uid="{00000000-0004-0000-0D00-000043000000}"/>
    <hyperlink ref="K70" r:id="rId69" display="http://discuss.jiucaishuo.com/?/invest/showData/search_gu-sz399970" xr:uid="{00000000-0004-0000-0D00-000044000000}"/>
    <hyperlink ref="K71" r:id="rId70" display="http://discuss.jiucaishuo.com/?/invest/showData/search_gu-sh000963" xr:uid="{00000000-0004-0000-0D00-000045000000}"/>
    <hyperlink ref="K72" r:id="rId71" display="http://discuss.jiucaishuo.com/?/invest/showData/search_gu-csi930729" xr:uid="{00000000-0004-0000-0D00-000046000000}"/>
    <hyperlink ref="K73" r:id="rId72" display="http://discuss.jiucaishuo.com/?/invest/showData/search_gu-sh000806" xr:uid="{00000000-0004-0000-0D00-000047000000}"/>
    <hyperlink ref="K74" r:id="rId73" display="http://discuss.jiucaishuo.com/?/invest/showData/search_gu-sh000828" xr:uid="{00000000-0004-0000-0D00-000048000000}"/>
    <hyperlink ref="K75" r:id="rId74" display="http://discuss.jiucaishuo.com/?/invest/showData/search_gu-sh000846" xr:uid="{00000000-0004-0000-0D00-000049000000}"/>
    <hyperlink ref="K76" r:id="rId75" display="http://discuss.jiucaishuo.com/?/invest/showData/search_gu-sz399005" xr:uid="{00000000-0004-0000-0D00-00004A000000}"/>
    <hyperlink ref="K77" r:id="rId76" display="http://discuss.jiucaishuo.com/?/invest/showData/search_gu-sz399634" xr:uid="{00000000-0004-0000-0D00-00004B000000}"/>
    <hyperlink ref="K78" r:id="rId77" display="http://discuss.jiucaishuo.com/?/invest/showData/search_gu-sh000913" xr:uid="{00000000-0004-0000-0D00-00004C000000}"/>
    <hyperlink ref="K79" r:id="rId78" display="http://discuss.jiucaishuo.com/?/invest/showData/search_gu-sh000038" xr:uid="{00000000-0004-0000-0D00-00004D000000}"/>
    <hyperlink ref="K80" r:id="rId79" display="http://discuss.jiucaishuo.com/?/invest/showData/search_gu-si801214" xr:uid="{00000000-0004-0000-0D00-00004E000000}"/>
    <hyperlink ref="K81" r:id="rId80" display="http://discuss.jiucaishuo.com/?/invest/showData/search_gu-sz399993" xr:uid="{00000000-0004-0000-0D00-00004F000000}"/>
    <hyperlink ref="K82" r:id="rId81" display="http://discuss.jiucaishuo.com/?/invest/showData/search_gu-sh000914" xr:uid="{00000000-0004-0000-0D00-000050000000}"/>
    <hyperlink ref="K83" r:id="rId82" display="http://discuss.jiucaishuo.com/?/invest/showData/search_gu-csih30263" xr:uid="{00000000-0004-0000-0D00-000051000000}"/>
    <hyperlink ref="K84" r:id="rId83" display="http://discuss.jiucaishuo.com/?/invest/showData/search_gu-csi000922" xr:uid="{00000000-0004-0000-0D00-000052000000}"/>
    <hyperlink ref="K85" r:id="rId84" display="http://discuss.jiucaishuo.com/?/invest/showData/search_gu-sz399415" xr:uid="{00000000-0004-0000-0D00-000053000000}"/>
    <hyperlink ref="K86" r:id="rId85" display="http://discuss.jiucaishuo.com/?/invest/showData/search_gu-sz399416" xr:uid="{00000000-0004-0000-0D00-000054000000}"/>
    <hyperlink ref="K87" r:id="rId86" display="http://discuss.jiucaishuo.com/?/invest/showData/search_gu-sz399974" xr:uid="{00000000-0004-0000-0D00-000055000000}"/>
    <hyperlink ref="K88" r:id="rId87" display="http://discuss.jiucaishuo.com/?/invest/showData/search_gu-sh000934" xr:uid="{00000000-0004-0000-0D00-000056000000}"/>
    <hyperlink ref="K89" r:id="rId88" display="http://discuss.jiucaishuo.com/?/invest/showData/search_gu-sh000925" xr:uid="{00000000-0004-0000-0D00-000057000000}"/>
    <hyperlink ref="K90" r:id="rId89" display="http://discuss.jiucaishuo.com/?/invest/showData/search_gu-sh000919" xr:uid="{00000000-0004-0000-0D00-000058000000}"/>
    <hyperlink ref="K91" r:id="rId90" display="http://discuss.jiucaishuo.com/?/invest/showData/search_gu-sz399441" xr:uid="{00000000-0004-0000-0D00-000059000000}"/>
    <hyperlink ref="K92" r:id="rId91" display="http://discuss.jiucaishuo.com/?/invest/showData/search_gu-sz399348" xr:uid="{00000000-0004-0000-0D00-00005A000000}"/>
    <hyperlink ref="K93" r:id="rId92" display="http://discuss.jiucaishuo.com/?/invest/showData/search_gu-sh000992" xr:uid="{00000000-0004-0000-0D00-00005B000000}"/>
    <hyperlink ref="K94" r:id="rId93" display="http://discuss.jiucaishuo.com/?/invest/showData/search_gu-sz399394" xr:uid="{00000000-0004-0000-0D00-00005C000000}"/>
    <hyperlink ref="K95" r:id="rId94" display="http://discuss.jiucaishuo.com/?/invest/showData/search_gu-sh000018" xr:uid="{00000000-0004-0000-0D00-00005D000000}"/>
    <hyperlink ref="K96" r:id="rId95" display="http://discuss.jiucaishuo.com/?/invest/showData/search_gu-sz399702" xr:uid="{00000000-0004-0000-0D00-00005E000000}"/>
    <hyperlink ref="K97" r:id="rId96" display="http://discuss.jiucaishuo.com/?/invest/showData/search_gu-sh000971" xr:uid="{00000000-0004-0000-0D00-00005F000000}"/>
    <hyperlink ref="K98" r:id="rId97" display="http://discuss.jiucaishuo.com/?/invest/showData/search_gu-sz399313" xr:uid="{00000000-0004-0000-0D00-000060000000}"/>
    <hyperlink ref="K99" r:id="rId98" display="http://discuss.jiucaishuo.com/?/invest/showData/search_gu-sz399996" xr:uid="{00000000-0004-0000-0D00-000061000000}"/>
    <hyperlink ref="K100" r:id="rId99" display="http://discuss.jiucaishuo.com/?/invest/showData/search_gu-sz399986" xr:uid="{00000000-0004-0000-0D00-000062000000}"/>
    <hyperlink ref="K101" r:id="rId100" display="http://discuss.jiucaishuo.com/?/invest/showData/search_gu-csi930648" xr:uid="{00000000-0004-0000-0D00-000063000000}"/>
    <hyperlink ref="K102" r:id="rId101" display="http://discuss.jiucaishuo.com/?/invest/showData/search_gu-sh000814" xr:uid="{00000000-0004-0000-0D00-000064000000}"/>
    <hyperlink ref="K103" r:id="rId102" display="http://discuss.jiucaishuo.com/?/invest/showData/search_gu-sh000043" xr:uid="{00000000-0004-0000-0D00-000065000000}"/>
    <hyperlink ref="K104" r:id="rId103" display="http://discuss.jiucaishuo.com/?/invest/showData/search_gu-csih30035" xr:uid="{00000000-0004-0000-0D00-000066000000}"/>
    <hyperlink ref="K105" r:id="rId104" display="http://discuss.jiucaishuo.com/?/invest/showData/search_gu-sh000903" xr:uid="{00000000-0004-0000-0D00-000067000000}"/>
    <hyperlink ref="K106" r:id="rId105" display="http://discuss.jiucaishuo.com/?/invest/showData/search_gu-sh000064" xr:uid="{00000000-0004-0000-0D00-000068000000}"/>
    <hyperlink ref="K107" r:id="rId106" display="http://discuss.jiucaishuo.com/?/invest/showData/search_gu-sh000940" xr:uid="{00000000-0004-0000-0D00-000069000000}"/>
    <hyperlink ref="K108" r:id="rId107" display="http://discuss.jiucaishuo.com/?/invest/showData/search_gu-cicspsadrp" xr:uid="{00000000-0004-0000-0D00-00006A000000}"/>
    <hyperlink ref="K109" r:id="rId108" display="http://discuss.jiucaishuo.com/?/invest/showData/search_gu-sh000974" xr:uid="{00000000-0004-0000-0D00-00006B000000}"/>
    <hyperlink ref="K110" r:id="rId109" display="http://discuss.jiucaishuo.com/?/invest/showData/search_gu-csi930721" xr:uid="{00000000-0004-0000-0D00-00006C000000}"/>
    <hyperlink ref="K111" r:id="rId110" display="http://discuss.jiucaishuo.com/?/invest/showData/search_gu-csi930629" xr:uid="{00000000-0004-0000-0D00-00006D000000}"/>
    <hyperlink ref="K112" r:id="rId111" display="http://discuss.jiucaishuo.com/?/invest/showData/search_gu-sh000016" xr:uid="{00000000-0004-0000-0D00-00006E000000}"/>
    <hyperlink ref="K113" r:id="rId112" display="http://discuss.jiucaishuo.com/?/invest/showData/search_gu-sh000050" xr:uid="{00000000-0004-0000-0D00-00006F000000}"/>
    <hyperlink ref="K114" r:id="rId113" display="http://discuss.jiucaishuo.com/?/invest/showData/search_gu-sh000065" xr:uid="{00000000-0004-0000-0D00-000070000000}"/>
    <hyperlink ref="K115" r:id="rId114" display="http://discuss.jiucaishuo.com/?/invest/showData/search_gu-sh000015" xr:uid="{00000000-0004-0000-0D00-000071000000}"/>
    <hyperlink ref="K116" r:id="rId115" display="http://discuss.jiucaishuo.com/?/invest/showData/search_gu-sh000029" xr:uid="{00000000-0004-0000-0D00-000072000000}"/>
    <hyperlink ref="K117" r:id="rId116" display="http://discuss.jiucaishuo.com/?/invest/showData/search_gu-si801790" xr:uid="{00000000-0004-0000-0D00-000073000000}"/>
    <hyperlink ref="K118" r:id="rId117" display="http://discuss.jiucaishuo.com/?/invest/showData/search_gu-sh000063" xr:uid="{00000000-0004-0000-0D00-000074000000}"/>
    <hyperlink ref="K119" r:id="rId118" display="http://discuss.jiucaishuo.com/?/invest/showData/search_gu-sh000964" xr:uid="{00000000-0004-0000-0D00-000075000000}"/>
    <hyperlink ref="K120" r:id="rId119" display="http://discuss.jiucaishuo.com/?/invest/showData/search_gu-sz399007" xr:uid="{00000000-0004-0000-0D00-000076000000}"/>
    <hyperlink ref="K121" r:id="rId120" display="http://discuss.jiucaishuo.com/?/invest/showData/search_gu-sh000300" xr:uid="{00000000-0004-0000-0D00-000077000000}"/>
    <hyperlink ref="K122" r:id="rId121" display="http://discuss.jiucaishuo.com/?/invest/showData/search_gu-csih30124" xr:uid="{00000000-0004-0000-0D00-000078000000}"/>
    <hyperlink ref="K123" r:id="rId122" display="http://discuss.jiucaishuo.com/?/invest/showData/search_gu-sh000984" xr:uid="{00000000-0004-0000-0D00-000079000000}"/>
    <hyperlink ref="K124" r:id="rId123" display="http://discuss.jiucaishuo.com/?/invest/showData/search_gu-sz399703" xr:uid="{00000000-0004-0000-0D00-00007A000000}"/>
    <hyperlink ref="K125" r:id="rId124" display="http://discuss.jiucaishuo.com/?/invest/showData/search_gu-csi000978" xr:uid="{00000000-0004-0000-0D00-00007B000000}"/>
    <hyperlink ref="K126" r:id="rId125" display="http://discuss.jiucaishuo.com/?/invest/showData/search_gu-csih30588" xr:uid="{00000000-0004-0000-0D00-00007C000000}"/>
    <hyperlink ref="K127" r:id="rId126" display="http://discuss.jiucaishuo.com/?/invest/showData/search_gu-sh000808" xr:uid="{00000000-0004-0000-0D00-00007D000000}"/>
    <hyperlink ref="K128" r:id="rId127" display="http://discuss.jiucaishuo.com/?/invest/showData/search_gu-sh000010" xr:uid="{00000000-0004-0000-0D00-00007E000000}"/>
    <hyperlink ref="K129" r:id="rId128" display="http://discuss.jiucaishuo.com/?/invest/showData/search_gu-sh000051" xr:uid="{00000000-0004-0000-0D00-00007F000000}"/>
    <hyperlink ref="K130" r:id="rId129" display="http://discuss.jiucaishuo.com/?/invest/showData/search_gu-sz399966" xr:uid="{00000000-0004-0000-0D00-000080000000}"/>
    <hyperlink ref="K131" r:id="rId130" display="http://discuss.jiucaishuo.com/?/invest/showData/search_gu-sh000901" xr:uid="{00000000-0004-0000-0D00-000081000000}"/>
    <hyperlink ref="K132" r:id="rId131" display="http://discuss.jiucaishuo.com/?/invest/showData/search_gu-si801153" xr:uid="{00000000-0004-0000-0D00-000082000000}"/>
    <hyperlink ref="K133" r:id="rId132" display="http://discuss.jiucaishuo.com/?/invest/showData/search_gu-sh000021" xr:uid="{00000000-0004-0000-0D00-000083000000}"/>
    <hyperlink ref="K134" r:id="rId133" display="http://discuss.jiucaishuo.com/?/invest/showData/search_gu-hihscei" xr:uid="{00000000-0004-0000-0D00-000084000000}"/>
    <hyperlink ref="K135" r:id="rId134" display="http://discuss.jiucaishuo.com/?/invest/showData/search_gu-si801780" xr:uid="{00000000-0004-0000-0D00-000085000000}"/>
    <hyperlink ref="K136" r:id="rId135" display="http://discuss.jiucaishuo.com/?/invest/showData/search_gu-si801192" xr:uid="{00000000-0004-0000-0D00-000086000000}"/>
    <hyperlink ref="K137" r:id="rId136" display="http://discuss.jiucaishuo.com/?/invest/showData/search_gu-sz399998" xr:uid="{00000000-0004-0000-0D00-000087000000}"/>
    <hyperlink ref="K138" r:id="rId137" display="http://discuss.jiucaishuo.com/?/invest/showData/search_gu-sz399990" xr:uid="{00000000-0004-0000-0D00-000088000000}"/>
    <hyperlink ref="K139" r:id="rId138" display="http://discuss.jiucaishuo.com/?/invest/showData/search_gu-sh950090" xr:uid="{00000000-0004-0000-0D00-000089000000}"/>
    <hyperlink ref="K140" r:id="rId139" display="http://discuss.jiucaishuo.com/?/invest/showData/search_gu-sh000977" xr:uid="{00000000-0004-0000-0D00-00008A000000}"/>
    <hyperlink ref="K141" r:id="rId140" display="http://discuss.jiucaishuo.com/?/invest/showData/search_gu-hihsml25" xr:uid="{00000000-0004-0000-0D00-00008B000000}"/>
    <hyperlink ref="K142" r:id="rId141" display="http://discuss.jiucaishuo.com/?/invest/showData/search_gu-csi930723" xr:uid="{00000000-0004-0000-0D00-00008C000000}"/>
    <hyperlink ref="K143" r:id="rId142" display="http://discuss.jiucaishuo.com/?/invest/showData/search_gu-sh000056" xr:uid="{00000000-0004-0000-0D00-00008D000000}"/>
    <hyperlink ref="K144" r:id="rId143" display="http://discuss.jiucaishuo.com/?/invest/showData/search_gu-sh000906" xr:uid="{00000000-0004-0000-0D00-00008E000000}"/>
    <hyperlink ref="K145" r:id="rId144" display="http://discuss.jiucaishuo.com/?/invest/showData/search_gu-sh000842" xr:uid="{00000000-0004-0000-0D00-00008F000000}"/>
    <hyperlink ref="K146" r:id="rId145" display="http://discuss.jiucaishuo.com/?/invest/showData/search_gu-sz399995" xr:uid="{00000000-0004-0000-0D00-000090000000}"/>
    <hyperlink ref="K147" r:id="rId146" display="http://discuss.jiucaishuo.com/?/invest/showData/search_gu-si801022" xr:uid="{00000000-0004-0000-0D00-000091000000}"/>
    <hyperlink ref="K148" r:id="rId147" display="http://discuss.jiucaishuo.com/?/invest/showData/search_gu-sh000033" xr:uid="{00000000-0004-0000-0D00-000092000000}"/>
    <hyperlink ref="K149" r:id="rId148" display="http://discuss.jiucaishuo.com/?/invest/showData/search_gu-sh000037" xr:uid="{00000000-0004-0000-0D00-000093000000}"/>
    <hyperlink ref="K150" r:id="rId149" display="http://discuss.jiucaishuo.com/?/invest/showData/search_gu-si801010" xr:uid="{00000000-0004-0000-0D00-000094000000}"/>
    <hyperlink ref="K151" r:id="rId150" display="http://discuss.jiucaishuo.com/?/invest/showData/search_gu-sh000042" xr:uid="{00000000-0004-0000-0D00-000095000000}"/>
    <hyperlink ref="K152" r:id="rId151" display="http://discuss.jiucaishuo.com/?/invest/showData/search_gu-si801174" xr:uid="{00000000-0004-0000-0D00-000096000000}"/>
    <hyperlink ref="K153" r:id="rId152" display="http://discuss.jiucaishuo.com/?/invest/showData/search_gu-csi950096" xr:uid="{00000000-0004-0000-0D00-000097000000}"/>
    <hyperlink ref="K154" r:id="rId153" display="http://discuss.jiucaishuo.com/?/invest/showData/search_gu-si801178" xr:uid="{00000000-0004-0000-0D00-000098000000}"/>
    <hyperlink ref="K155" r:id="rId154" display="http://discuss.jiucaishuo.com/?/invest/showData/search_gu-si801215" xr:uid="{00000000-0004-0000-0D00-000099000000}"/>
    <hyperlink ref="K156" r:id="rId155" display="http://discuss.jiucaishuo.com/?/invest/showData/search_gu-sz399001" xr:uid="{00000000-0004-0000-0D00-00009A000000}"/>
    <hyperlink ref="K157" r:id="rId156" display="http://discuss.jiucaishuo.com/?/invest/showData/search_gu-sz399610" xr:uid="{00000000-0004-0000-0D00-00009B000000}"/>
    <hyperlink ref="K158" r:id="rId157" display="http://discuss.jiucaishuo.com/?/invest/showData/search_gu-spisphcmshp" xr:uid="{00000000-0004-0000-0D00-00009C000000}"/>
    <hyperlink ref="K159" r:id="rId158" display="http://discuss.jiucaishuo.com/?/invest/showData/search_gu-sh000904" xr:uid="{00000000-0004-0000-0D00-00009D000000}"/>
    <hyperlink ref="K160" r:id="rId159" display="http://discuss.jiucaishuo.com/?/invest/showData/search_gu-sh000933" xr:uid="{00000000-0004-0000-0D00-00009E000000}"/>
    <hyperlink ref="K161" r:id="rId160" display="http://discuss.jiucaishuo.com/?/invest/showData/search_gu-sh000001" xr:uid="{00000000-0004-0000-0D00-00009F000000}"/>
    <hyperlink ref="K162" r:id="rId161" display="http://discuss.jiucaishuo.com/?/invest/showData/search_gu-si801210" xr:uid="{00000000-0004-0000-0D00-0000A0000000}"/>
    <hyperlink ref="K163" r:id="rId162" display="http://discuss.jiucaishuo.com/?/invest/showData/search_gu-sh000044" xr:uid="{00000000-0004-0000-0D00-0000A1000000}"/>
    <hyperlink ref="K164" r:id="rId163" display="http://discuss.jiucaishuo.com/?/invest/showData/search_gu-csi930793" xr:uid="{00000000-0004-0000-0D00-0000A2000000}"/>
    <hyperlink ref="K165" r:id="rId164" display="http://discuss.jiucaishuo.com/?/invest/showData/search_gu-sz399006" xr:uid="{00000000-0004-0000-0D00-0000A3000000}"/>
    <hyperlink ref="K166" r:id="rId165" display="http://discuss.jiucaishuo.com/?/invest/showData/search_gu-hihsi" xr:uid="{00000000-0004-0000-0D00-0000A4000000}"/>
    <hyperlink ref="K167" r:id="rId166" display="http://discuss.jiucaishuo.com/?/invest/showData/search_gu-sh000009" xr:uid="{00000000-0004-0000-0D00-0000A5000000}"/>
    <hyperlink ref="K168" r:id="rId167" display="http://discuss.jiucaishuo.com/?/invest/showData/search_gu-si801175" xr:uid="{00000000-0004-0000-0D00-0000A6000000}"/>
    <hyperlink ref="K169" r:id="rId168" display="http://discuss.jiucaishuo.com/?/invest/showData/search_gu-si801720" xr:uid="{00000000-0004-0000-0D00-0000A7000000}"/>
    <hyperlink ref="K170" r:id="rId169" display="http://discuss.jiucaishuo.com/?/invest/showData/search_gu-si801021" xr:uid="{00000000-0004-0000-0D00-0000A8000000}"/>
    <hyperlink ref="K171" r:id="rId170" display="http://discuss.jiucaishuo.com/?/invest/showData/search_gu-sh000841" xr:uid="{00000000-0004-0000-0D00-0000A9000000}"/>
    <hyperlink ref="K172" r:id="rId171" display="http://discuss.jiucaishuo.com/?/invest/showData/search_gu-sz399673" xr:uid="{00000000-0004-0000-0D00-0000AA000000}"/>
    <hyperlink ref="K173" r:id="rId172" display="http://discuss.jiucaishuo.com/?/invest/showData/search_gu-csi930641" xr:uid="{00000000-0004-0000-0D00-0000AB000000}"/>
    <hyperlink ref="K174" r:id="rId173" display="http://discuss.jiucaishuo.com/?/invest/showData/search_gu-sz399008" xr:uid="{00000000-0004-0000-0D00-0000AC000000}"/>
    <hyperlink ref="K175" r:id="rId174" display="http://discuss.jiucaishuo.com/?/invest/showData/search_gu-csi930791" xr:uid="{00000000-0004-0000-0D00-0000AD000000}"/>
    <hyperlink ref="K176" r:id="rId175" display="http://discuss.jiucaishuo.com/?/invest/showData/search_gu-si801083" xr:uid="{00000000-0004-0000-0D00-0000AE000000}"/>
    <hyperlink ref="K177" r:id="rId176" display="http://discuss.jiucaishuo.com/?/invest/showData/search_gu-sz399992" xr:uid="{00000000-0004-0000-0D00-0000AF000000}"/>
    <hyperlink ref="K178" r:id="rId177" display="http://discuss.jiucaishuo.com/?/invest/showData/search_gu-si801202" xr:uid="{00000000-0004-0000-0D00-0000B0000000}"/>
    <hyperlink ref="K179" r:id="rId178" display="http://discuss.jiucaishuo.com/?/invest/showData/search_gu-csi000985" xr:uid="{00000000-0004-0000-0D00-0000B1000000}"/>
    <hyperlink ref="K180" r:id="rId179" display="http://discuss.jiucaishuo.com/?/invest/showData/search_gu-si801177" xr:uid="{00000000-0004-0000-0D00-0000B2000000}"/>
    <hyperlink ref="K181" r:id="rId180" display="http://discuss.jiucaishuo.com/?/invest/showData/search_gu-si801723" xr:uid="{00000000-0004-0000-0D00-0000B3000000}"/>
    <hyperlink ref="K182" r:id="rId181" display="http://discuss.jiucaishuo.com/?/invest/showData/search_gu-sh000991" xr:uid="{00000000-0004-0000-0D00-0000B4000000}"/>
    <hyperlink ref="K183" r:id="rId182" display="http://discuss.jiucaishuo.com/?/invest/showData/search_gu-si801034" xr:uid="{00000000-0004-0000-0D00-0000B5000000}"/>
    <hyperlink ref="K184" r:id="rId183" display="http://discuss.jiucaishuo.com/?/invest/showData/search_gu-csi930777" xr:uid="{00000000-0004-0000-0D00-0000B6000000}"/>
    <hyperlink ref="K185" r:id="rId184" display="http://discuss.jiucaishuo.com/?/invest/showData/search_gu-si801212" xr:uid="{00000000-0004-0000-0D00-0000B7000000}"/>
    <hyperlink ref="K186" r:id="rId185" display="http://discuss.jiucaishuo.com/?/invest/showData/search_gu-csih30531" xr:uid="{00000000-0004-0000-0D00-0000B8000000}"/>
    <hyperlink ref="K187" r:id="rId186" display="http://discuss.jiucaishuo.com/?/invest/showData/search_gu-si801152" xr:uid="{00000000-0004-0000-0D00-0000B9000000}"/>
    <hyperlink ref="K188" r:id="rId187" display="http://discuss.jiucaishuo.com/?/invest/showData/search_gu-hihshkmi" xr:uid="{00000000-0004-0000-0D00-0000BA000000}"/>
    <hyperlink ref="K189" r:id="rId188" display="http://discuss.jiucaishuo.com/?/invest/showData/search_gu-si801032" xr:uid="{00000000-0004-0000-0D00-0000BB000000}"/>
    <hyperlink ref="K190" r:id="rId189" display="http://discuss.jiucaishuo.com/?/invest/showData/search_gu-si801200" xr:uid="{00000000-0004-0000-0D00-0000BC000000}"/>
    <hyperlink ref="K191" r:id="rId190" display="http://discuss.jiucaishuo.com/?/invest/showData/search_gu-sh000067" xr:uid="{00000000-0004-0000-0D00-0000BD000000}"/>
    <hyperlink ref="K192" r:id="rId191" display="http://discuss.jiucaishuo.com/?/invest/showData/search_gu-sz399807" xr:uid="{00000000-0004-0000-0D00-0000BE000000}"/>
    <hyperlink ref="K193" r:id="rId192" display="http://discuss.jiucaishuo.com/?/invest/showData/search_gu-wi881001" xr:uid="{00000000-0004-0000-0D00-0000BF000000}"/>
    <hyperlink ref="K194" r:id="rId193" display="http://discuss.jiucaishuo.com/?/invest/showData/search_gu-si801093" xr:uid="{00000000-0004-0000-0D00-0000C0000000}"/>
    <hyperlink ref="K195" r:id="rId194" display="http://discuss.jiucaishuo.com/?/invest/showData/search_gu-sz399976" xr:uid="{00000000-0004-0000-0D00-0000C1000000}"/>
    <hyperlink ref="K196" r:id="rId195" display="http://discuss.jiucaishuo.com/?/invest/showData/search_gu-si801040" xr:uid="{00000000-0004-0000-0D00-0000C2000000}"/>
    <hyperlink ref="K197" r:id="rId196" display="http://discuss.jiucaishuo.com/?/invest/showData/search_gu-si801041" xr:uid="{00000000-0004-0000-0D00-0000C3000000}"/>
    <hyperlink ref="K198" r:id="rId197" display="http://discuss.jiucaishuo.com/?/invest/showData/search_gu-hihsmsi" xr:uid="{00000000-0004-0000-0D00-0000C4000000}"/>
    <hyperlink ref="K199" r:id="rId198" display="http://discuss.jiucaishuo.com/?/invest/showData/search_gu-sh000998" xr:uid="{00000000-0004-0000-0D00-0000C5000000}"/>
    <hyperlink ref="K200" r:id="rId199" display="http://discuss.jiucaishuo.com/?/invest/showData/search_gu-sh000046" xr:uid="{00000000-0004-0000-0D00-0000C6000000}"/>
    <hyperlink ref="K201" r:id="rId200" display="http://discuss.jiucaishuo.com/?/invest/showData/search_gu-si801150" xr:uid="{00000000-0004-0000-0D00-0000C7000000}"/>
    <hyperlink ref="K202" r:id="rId201" display="http://discuss.jiucaishuo.com/?/invest/showData/search_gu-si801154" xr:uid="{00000000-0004-0000-0D00-0000C8000000}"/>
    <hyperlink ref="K203" r:id="rId202" display="http://discuss.jiucaishuo.com/?/invest/showData/search_gu-csi133333" xr:uid="{00000000-0004-0000-0D00-0000C9000000}"/>
    <hyperlink ref="K204" r:id="rId203" display="http://discuss.jiucaishuo.com/?/invest/showData/search_gu-si801713" xr:uid="{00000000-0004-0000-0D00-0000CA000000}"/>
    <hyperlink ref="K205" r:id="rId204" display="http://discuss.jiucaishuo.com/?/invest/showData/search_gu-si801014" xr:uid="{00000000-0004-0000-0D00-0000CB000000}"/>
    <hyperlink ref="K206" r:id="rId205" display="http://discuss.jiucaishuo.com/?/invest/showData/search_gu-sh000827" xr:uid="{00000000-0004-0000-0D00-0000CC000000}"/>
    <hyperlink ref="K207" r:id="rId206" display="http://discuss.jiucaishuo.com/?/invest/showData/search_gu-csi930713" xr:uid="{00000000-0004-0000-0D00-0000CD000000}"/>
    <hyperlink ref="K208" r:id="rId207" display="http://discuss.jiucaishuo.com/?/invest/showData/search_gu-si801182" xr:uid="{00000000-0004-0000-0D00-0000CE000000}"/>
    <hyperlink ref="K209" r:id="rId208" display="http://discuss.jiucaishuo.com/?/invest/showData/search_gu-si801151" xr:uid="{00000000-0004-0000-0D00-0000CF000000}"/>
    <hyperlink ref="K210" r:id="rId209" display="http://discuss.jiucaishuo.com/?/invest/showData/search_gu-si801074" xr:uid="{00000000-0004-0000-0D00-0000D0000000}"/>
    <hyperlink ref="K211" r:id="rId210" display="http://discuss.jiucaishuo.com/?/invest/showData/search_gu-csih30318" xr:uid="{00000000-0004-0000-0D00-0000D1000000}"/>
    <hyperlink ref="K212" r:id="rId211" display="http://discuss.jiucaishuo.com/?/invest/showData/search_gu-sh000987" xr:uid="{00000000-0004-0000-0D00-0000D2000000}"/>
    <hyperlink ref="K213" r:id="rId212" display="http://discuss.jiucaishuo.com/?/invest/showData/search_gu-sz399440" xr:uid="{00000000-0004-0000-0D00-0000D3000000}"/>
    <hyperlink ref="K214" r:id="rId213" display="http://discuss.jiucaishuo.com/?/invest/showData/search_gu-si801051" xr:uid="{00000000-0004-0000-0D00-0000D4000000}"/>
    <hyperlink ref="K215" r:id="rId214" display="http://discuss.jiucaishuo.com/?/invest/showData/search_gu-si801155" xr:uid="{00000000-0004-0000-0D00-0000D5000000}"/>
    <hyperlink ref="K216" r:id="rId215" display="http://discuss.jiucaishuo.com/?/invest/showData/search_gu-sh000854" xr:uid="{00000000-0004-0000-0D00-0000D6000000}"/>
    <hyperlink ref="K217" r:id="rId216" display="http://discuss.jiucaishuo.com/?/invest/showData/search_gu-si801724" xr:uid="{00000000-0004-0000-0D00-0000D7000000}"/>
    <hyperlink ref="K218" r:id="rId217" display="http://discuss.jiucaishuo.com/?/invest/showData/search_gu-sz399811" xr:uid="{00000000-0004-0000-0D00-0000D8000000}"/>
    <hyperlink ref="K219" r:id="rId218" display="http://discuss.jiucaishuo.com/?/invest/showData/search_gu-csih30171" xr:uid="{00000000-0004-0000-0D00-0000D9000000}"/>
    <hyperlink ref="K220" r:id="rId219" display="http://discuss.jiucaishuo.com/?/invest/showData/search_gu-si801030" xr:uid="{00000000-0004-0000-0D00-0000DA000000}"/>
    <hyperlink ref="K221" r:id="rId220" display="http://discuss.jiucaishuo.com/?/invest/showData/search_gu-si801013" xr:uid="{00000000-0004-0000-0D00-0000DB000000}"/>
    <hyperlink ref="K222" r:id="rId221" display="http://discuss.jiucaishuo.com/?/invest/showData/search_gu-sh000979" xr:uid="{00000000-0004-0000-0D00-0000DC000000}"/>
    <hyperlink ref="K223" r:id="rId222" display="http://discuss.jiucaishuo.com/?/invest/showData/search_gu-csi930599" xr:uid="{00000000-0004-0000-0D00-0000DD000000}"/>
    <hyperlink ref="K224" r:id="rId223" display="http://discuss.jiucaishuo.com/?/invest/showData/search_gu-si801037" xr:uid="{00000000-0004-0000-0D00-0000DE000000}"/>
    <hyperlink ref="K225" r:id="rId224" display="http://discuss.jiucaishuo.com/?/invest/showData/search_gu-si801020" xr:uid="{00000000-0004-0000-0D00-0000DF000000}"/>
    <hyperlink ref="K226" r:id="rId225" display="http://discuss.jiucaishuo.com/?/invest/showData/search_gu-csih30372" xr:uid="{00000000-0004-0000-0D00-0000E0000000}"/>
    <hyperlink ref="K227" r:id="rId226" display="http://discuss.jiucaishuo.com/?/invest/showData/search_gu-sh000966" xr:uid="{00000000-0004-0000-0D00-0000E1000000}"/>
    <hyperlink ref="K228" r:id="rId227" display="http://discuss.jiucaishuo.com/?/invest/showData/search_gu-csi930782" xr:uid="{00000000-0004-0000-0D00-0000E2000000}"/>
    <hyperlink ref="K229" r:id="rId228" display="http://discuss.jiucaishuo.com/?/invest/showData/search_gu-csi930620" xr:uid="{00000000-0004-0000-0D00-0000E3000000}"/>
    <hyperlink ref="K230" r:id="rId229" display="http://discuss.jiucaishuo.com/?/invest/showData/search_gu-si801170" xr:uid="{00000000-0004-0000-0D00-0000E4000000}"/>
    <hyperlink ref="K231" r:id="rId230" display="http://discuss.jiucaishuo.com/?/invest/showData/search_gu-si801880" xr:uid="{00000000-0004-0000-0D00-0000E5000000}"/>
    <hyperlink ref="K232" r:id="rId231" display="http://discuss.jiucaishuo.com/?/invest/showData/search_gu-si801076" xr:uid="{00000000-0004-0000-0D00-0000E6000000}"/>
    <hyperlink ref="K233" r:id="rId232" display="http://discuss.jiucaishuo.com/?/invest/showData/search_gu-sh000802" xr:uid="{00000000-0004-0000-0D00-0000E7000000}"/>
    <hyperlink ref="K234" r:id="rId233" display="http://discuss.jiucaishuo.com/?/invest/showData/search_gu-si801073" xr:uid="{00000000-0004-0000-0D00-0000E8000000}"/>
    <hyperlink ref="K235" r:id="rId234" display="http://discuss.jiucaishuo.com/?/invest/showData/search_gu-hihshksi" xr:uid="{00000000-0004-0000-0D00-0000E9000000}"/>
    <hyperlink ref="K236" r:id="rId235" display="http://discuss.jiucaishuo.com/?/invest/showData/search_gu-si801102" xr:uid="{00000000-0004-0000-0D00-0000EA000000}"/>
    <hyperlink ref="K237" r:id="rId236" display="http://discuss.jiucaishuo.com/?/invest/showData/search_gu-sz399412" xr:uid="{00000000-0004-0000-0D00-0000EB000000}"/>
    <hyperlink ref="K238" r:id="rId237" display="http://discuss.jiucaishuo.com/?/invest/showData/search_gu-sh000961" xr:uid="{00000000-0004-0000-0D00-0000EC000000}"/>
    <hyperlink ref="K239" r:id="rId238" display="http://discuss.jiucaishuo.com/?/invest/showData/search_gu-sz399991" xr:uid="{00000000-0004-0000-0D00-0000ED000000}"/>
    <hyperlink ref="K240" r:id="rId239" display="http://discuss.jiucaishuo.com/?/invest/showData/search_gu-si801722" xr:uid="{00000000-0004-0000-0D00-0000EE000000}"/>
    <hyperlink ref="K241" r:id="rId240" display="http://discuss.jiucaishuo.com/?/invest/showData/search_gu-si801161" xr:uid="{00000000-0004-0000-0D00-0000EF000000}"/>
    <hyperlink ref="K242" r:id="rId241" display="http://discuss.jiucaishuo.com/?/invest/showData/search_gu-si801080" xr:uid="{00000000-0004-0000-0D00-0000F0000000}"/>
    <hyperlink ref="K243" r:id="rId242" display="http://discuss.jiucaishuo.com/?/invest/showData/search_gu-csi930652" xr:uid="{00000000-0004-0000-0D00-0000F1000000}"/>
    <hyperlink ref="K244" r:id="rId243" display="http://discuss.jiucaishuo.com/?/invest/showData/search_gu-si801171" xr:uid="{00000000-0004-0000-0D00-0000F2000000}"/>
    <hyperlink ref="K245" r:id="rId244" display="http://discuss.jiucaishuo.com/?/invest/showData/search_gu-si801082" xr:uid="{00000000-0004-0000-0D00-0000F3000000}"/>
    <hyperlink ref="K246" r:id="rId245" display="http://discuss.jiucaishuo.com/?/invest/showData/search_gu-si801881" xr:uid="{00000000-0004-0000-0D00-0000F4000000}"/>
    <hyperlink ref="K247" r:id="rId246" display="http://discuss.jiucaishuo.com/?/invest/showData/search_gu-csi930820" xr:uid="{00000000-0004-0000-0D00-0000F5000000}"/>
    <hyperlink ref="K248" r:id="rId247" display="http://discuss.jiucaishuo.com/?/invest/showData/search_gu-sh000935" xr:uid="{00000000-0004-0000-0D00-0000F6000000}"/>
    <hyperlink ref="K249" r:id="rId248" display="http://discuss.jiucaishuo.com/?/invest/showData/search_gu-gidjsoep" xr:uid="{00000000-0004-0000-0D00-0000F7000000}"/>
    <hyperlink ref="K250" r:id="rId249" display="http://discuss.jiucaishuo.com/?/invest/showData/search_gu-si801191" xr:uid="{00000000-0004-0000-0D00-0000F8000000}"/>
    <hyperlink ref="K251" r:id="rId250" display="http://discuss.jiucaishuo.com/?/invest/showData/search_gu-si801890" xr:uid="{00000000-0004-0000-0D00-0000F9000000}"/>
    <hyperlink ref="K252" r:id="rId251" display="http://discuss.jiucaishuo.com/?/invest/showData/search_gu-sz399971" xr:uid="{00000000-0004-0000-0D00-0000FA000000}"/>
    <hyperlink ref="K253" r:id="rId252" display="http://discuss.jiucaishuo.com/?/invest/showData/search_gu-si801213" xr:uid="{00000000-0004-0000-0D00-0000FB000000}"/>
    <hyperlink ref="K254" r:id="rId253" display="http://discuss.jiucaishuo.com/?/invest/showData/search_gu-si801752" xr:uid="{00000000-0004-0000-0D00-0000FC000000}"/>
    <hyperlink ref="K255" r:id="rId254" display="http://discuss.jiucaishuo.com/?/invest/showData/search_gu-si801018" xr:uid="{00000000-0004-0000-0D00-0000FD000000}"/>
    <hyperlink ref="K256" r:id="rId255" display="http://discuss.jiucaishuo.com/?/invest/showData/search_gu-si801012" xr:uid="{00000000-0004-0000-0D00-0000FE000000}"/>
    <hyperlink ref="K257" r:id="rId256" display="http://discuss.jiucaishuo.com/?/invest/showData/search_gu-si801172" xr:uid="{00000000-0004-0000-0D00-0000FF000000}"/>
    <hyperlink ref="K258" r:id="rId257" display="http://discuss.jiucaishuo.com/?/invest/showData/search_gu-sz399808" xr:uid="{00000000-0004-0000-0D00-000000010000}"/>
    <hyperlink ref="K259" r:id="rId258" display="http://discuss.jiucaishuo.com/?/invest/showData/search_gu-si801156" xr:uid="{00000000-0004-0000-0D00-000001010000}"/>
    <hyperlink ref="K260" r:id="rId259" display="http://discuss.jiucaishuo.com/?/invest/showData/search_gu-si801033" xr:uid="{00000000-0004-0000-0D00-000002010000}"/>
    <hyperlink ref="K261" r:id="rId260" display="http://discuss.jiucaishuo.com/?/invest/showData/search_gu-sh000989" xr:uid="{00000000-0004-0000-0D00-000003010000}"/>
    <hyperlink ref="K262" r:id="rId261" display="http://discuss.jiucaishuo.com/?/invest/showData/search_gu-si801160" xr:uid="{00000000-0004-0000-0D00-000004010000}"/>
    <hyperlink ref="K263" r:id="rId262" display="http://discuss.jiucaishuo.com/?/invest/showData/search_gu-sh000905" xr:uid="{00000000-0004-0000-0D00-000005010000}"/>
    <hyperlink ref="K264" r:id="rId263" display="http://discuss.jiucaishuo.com/?/invest/showData/search_gu-sh000982" xr:uid="{00000000-0004-0000-0D00-000006010000}"/>
    <hyperlink ref="K265" r:id="rId264" display="http://discuss.jiucaishuo.com/?/invest/showData/search_gu-si801141" xr:uid="{00000000-0004-0000-0D00-000007010000}"/>
    <hyperlink ref="K266" r:id="rId265" display="http://discuss.jiucaishuo.com/?/invest/showData/search_gu-csi930659" xr:uid="{00000000-0004-0000-0D00-000008010000}"/>
    <hyperlink ref="K267" r:id="rId266" display="http://discuss.jiucaishuo.com/?/invest/showData/search_gu-si801142" xr:uid="{00000000-0004-0000-0D00-000009010000}"/>
    <hyperlink ref="K268" r:id="rId267" display="http://discuss.jiucaishuo.com/?/invest/showData/search_gu-si801140" xr:uid="{00000000-0004-0000-0D00-00000A010000}"/>
    <hyperlink ref="K269" r:id="rId268" display="http://discuss.jiucaishuo.com/?/invest/showData/search_gu-si801203" xr:uid="{00000000-0004-0000-0D00-00000B010000}"/>
    <hyperlink ref="K270" r:id="rId269" display="http://discuss.jiucaishuo.com/?/invest/showData/search_gu-si801132" xr:uid="{00000000-0004-0000-0D00-00000C010000}"/>
    <hyperlink ref="K271" r:id="rId270" display="http://discuss.jiucaishuo.com/?/invest/showData/search_gu-si801143" xr:uid="{00000000-0004-0000-0D00-00000D010000}"/>
    <hyperlink ref="K272" r:id="rId271" display="http://discuss.jiucaishuo.com/?/invest/showData/search_gu-si801130" xr:uid="{00000000-0004-0000-0D00-00000E010000}"/>
    <hyperlink ref="K273" r:id="rId272" display="http://discuss.jiucaishuo.com/?/invest/showData/search_gu-si801770" xr:uid="{00000000-0004-0000-0D00-00000F010000}"/>
    <hyperlink ref="K274" r:id="rId273" display="http://discuss.jiucaishuo.com/?/invest/showData/search_gu-sz399429" xr:uid="{00000000-0004-0000-0D00-000010010000}"/>
    <hyperlink ref="K275" r:id="rId274" display="http://discuss.jiucaishuo.com/?/invest/showData/search_gu-si801035" xr:uid="{00000000-0004-0000-0D00-000011010000}"/>
    <hyperlink ref="K276" r:id="rId275" display="http://discuss.jiucaishuo.com/?/invest/showData/search_gu-si801131" xr:uid="{00000000-0004-0000-0D00-000012010000}"/>
    <hyperlink ref="K277" r:id="rId276" display="http://discuss.jiucaishuo.com/?/invest/showData/search_gu-si801733" xr:uid="{00000000-0004-0000-0D00-000013010000}"/>
    <hyperlink ref="K278" r:id="rId277" display="http://discuss.jiucaishuo.com/?/invest/showData/search_gu-si801732" xr:uid="{00000000-0004-0000-0D00-000014010000}"/>
    <hyperlink ref="K279" r:id="rId278" display="http://discuss.jiucaishuo.com/?/invest/showData/search_gu-si801712" xr:uid="{00000000-0004-0000-0D00-000015010000}"/>
    <hyperlink ref="K280" r:id="rId279" display="http://discuss.jiucaishuo.com/?/invest/showData/search_gu-si801094" xr:uid="{00000000-0004-0000-0D00-000016010000}"/>
    <hyperlink ref="K281" r:id="rId280" display="http://discuss.jiucaishuo.com/?/invest/showData/search_gu-si801222" xr:uid="{00000000-0004-0000-0D00-000017010000}"/>
    <hyperlink ref="K282" r:id="rId281" display="http://discuss.jiucaishuo.com/?/invest/showData/search_gu-sz399417" xr:uid="{00000000-0004-0000-0D00-000018010000}"/>
    <hyperlink ref="K283" r:id="rId282" display="http://discuss.jiucaishuo.com/?/invest/showData/search_gu-sz399973" xr:uid="{00000000-0004-0000-0D00-000019010000}"/>
    <hyperlink ref="K284" r:id="rId283" display="http://discuss.jiucaishuo.com/?/invest/showData/search_gu-csi930875" xr:uid="{00000000-0004-0000-0D00-00001A010000}"/>
    <hyperlink ref="K285" r:id="rId284" display="http://discuss.jiucaishuo.com/?/invest/showData/search_gu-csi930651" xr:uid="{00000000-0004-0000-0D00-00001B010000}"/>
    <hyperlink ref="K286" r:id="rId285" display="http://discuss.jiucaishuo.com/?/invest/showData/search_gu-si801730" xr:uid="{00000000-0004-0000-0D00-00001C010000}"/>
    <hyperlink ref="K287" r:id="rId286" display="http://discuss.jiucaishuo.com/?/invest/showData/search_gu-sz399422" xr:uid="{00000000-0004-0000-0D00-00001D010000}"/>
    <hyperlink ref="K288" r:id="rId287" display="http://discuss.jiucaishuo.com/?/invest/showData/search_gu-csi931008" xr:uid="{00000000-0004-0000-0D00-00001E010000}"/>
    <hyperlink ref="K289" r:id="rId288" display="http://discuss.jiucaishuo.com/?/invest/showData/search_gu-sh000066" xr:uid="{00000000-0004-0000-0D00-00001F010000}"/>
    <hyperlink ref="K290" r:id="rId289" display="http://discuss.jiucaishuo.com/?/invest/showData/search_gu-gigdaxi" xr:uid="{00000000-0004-0000-0D00-000020010000}"/>
    <hyperlink ref="K291" r:id="rId290" display="http://discuss.jiucaishuo.com/?/invest/showData/search_gu-sh000986" xr:uid="{00000000-0004-0000-0D00-000021010000}"/>
    <hyperlink ref="K292" r:id="rId291" display="http://discuss.jiucaishuo.com/?/invest/showData/search_gu-si801092" xr:uid="{00000000-0004-0000-0D00-000022010000}"/>
    <hyperlink ref="K293" r:id="rId292" display="http://discuss.jiucaishuo.com/?/invest/showData/search_gu-si801164" xr:uid="{00000000-0004-0000-0D00-000023010000}"/>
    <hyperlink ref="K294" r:id="rId293" display="http://discuss.jiucaishuo.com/?/invest/showData/search_gu-si801750" xr:uid="{00000000-0004-0000-0D00-000024010000}"/>
    <hyperlink ref="K295" r:id="rId294" display="http://discuss.jiucaishuo.com/?/invest/showData/search_gu-sz399624" xr:uid="{00000000-0004-0000-0D00-000025010000}"/>
    <hyperlink ref="K296" r:id="rId295" display="http://discuss.jiucaishuo.com/?/invest/showData/search_gu-sz399802" xr:uid="{00000000-0004-0000-0D00-000026010000}"/>
    <hyperlink ref="K297" r:id="rId296" display="http://discuss.jiucaishuo.com/?/invest/showData/search_gu-sh000928" xr:uid="{00000000-0004-0000-0D00-000027010000}"/>
    <hyperlink ref="K298" r:id="rId297" display="http://discuss.jiucaishuo.com/?/invest/showData/search_gu-sh000032" xr:uid="{00000000-0004-0000-0D00-000028010000}"/>
    <hyperlink ref="K299" r:id="rId298" display="http://discuss.jiucaishuo.com/?/invest/showData/search_gu-sh000805" xr:uid="{00000000-0004-0000-0D00-000029010000}"/>
    <hyperlink ref="K300" r:id="rId299" display="http://discuss.jiucaishuo.com/?/invest/showData/search_gu-si801734" xr:uid="{00000000-0004-0000-0D00-00002A010000}"/>
    <hyperlink ref="K301" r:id="rId300" display="http://discuss.jiucaishuo.com/?/invest/showData/search_gu-sh000944" xr:uid="{00000000-0004-0000-0D00-00002B010000}"/>
    <hyperlink ref="K302" r:id="rId301" display="http://discuss.jiucaishuo.com/?/invest/showData/search_gu-sz399810" xr:uid="{00000000-0004-0000-0D00-00002C010000}"/>
    <hyperlink ref="K303" r:id="rId302" display="http://discuss.jiucaishuo.com/?/invest/showData/search_gu-sz399707" xr:uid="{00000000-0004-0000-0D00-00002D010000}"/>
    <hyperlink ref="K304" r:id="rId303" display="http://discuss.jiucaishuo.com/?/invest/showData/search_gu-si801162" xr:uid="{00000000-0004-0000-0D00-00002E010000}"/>
    <hyperlink ref="K305" r:id="rId304" display="http://discuss.jiucaishuo.com/?/invest/showData/search_gu-sz399975" xr:uid="{00000000-0004-0000-0D00-00002F010000}"/>
    <hyperlink ref="K306" r:id="rId305" display="http://discuss.jiucaishuo.com/?/invest/showData/search_gu-sz399101" xr:uid="{00000000-0004-0000-0D00-000030010000}"/>
    <hyperlink ref="K307" r:id="rId306" display="http://discuss.jiucaishuo.com/?/invest/showData/search_gu-si801205" xr:uid="{00000000-0004-0000-0D00-000031010000}"/>
    <hyperlink ref="K308" r:id="rId307" display="http://discuss.jiucaishuo.com/?/invest/showData/search_gu-sh000068" xr:uid="{00000000-0004-0000-0D00-000032010000}"/>
    <hyperlink ref="K309" r:id="rId308" display="http://discuss.jiucaishuo.com/?/invest/showData/search_gu-sz399806" xr:uid="{00000000-0004-0000-0D00-000033010000}"/>
    <hyperlink ref="K310" r:id="rId309" display="http://discuss.jiucaishuo.com/?/invest/showData/search_gu-sz399994" xr:uid="{00000000-0004-0000-0D00-000034010000}"/>
    <hyperlink ref="K311" r:id="rId310" display="http://discuss.jiucaishuo.com/?/invest/showData/search_gu-si801193" xr:uid="{00000000-0004-0000-0D00-000035010000}"/>
    <hyperlink ref="K312" r:id="rId311" display="http://discuss.jiucaishuo.com/?/invest/showData/search_gu-si801144" xr:uid="{00000000-0004-0000-0D00-000036010000}"/>
    <hyperlink ref="K313" r:id="rId312" display="http://discuss.jiucaishuo.com/?/invest/showData/search_gu-si801760" xr:uid="{00000000-0004-0000-0D00-000037010000}"/>
    <hyperlink ref="K314" r:id="rId313" display="http://discuss.jiucaishuo.com/?/invest/showData/search_gu-si801230" xr:uid="{00000000-0004-0000-0D00-000038010000}"/>
    <hyperlink ref="K315" r:id="rId314" display="http://discuss.jiucaishuo.com/?/invest/showData/search_gu-si801231" xr:uid="{00000000-0004-0000-0D00-000039010000}"/>
    <hyperlink ref="K316" r:id="rId315" display="http://discuss.jiucaishuo.com/?/invest/showData/search_gu-sh000852" xr:uid="{00000000-0004-0000-0D00-00003A010000}"/>
    <hyperlink ref="K317" r:id="rId316" display="http://discuss.jiucaishuo.com/?/invest/showData/search_gu-si801101" xr:uid="{00000000-0004-0000-0D00-00003B010000}"/>
    <hyperlink ref="K318" r:id="rId317" display="http://discuss.jiucaishuo.com/?/invest/showData/search_gu-sh000993" xr:uid="{00000000-0004-0000-0D00-00003C010000}"/>
    <hyperlink ref="K319" r:id="rId318" display="http://discuss.jiucaishuo.com/?/invest/showData/search_gu-si801053" xr:uid="{00000000-0004-0000-0D00-00003D010000}"/>
    <hyperlink ref="K320" r:id="rId319" display="http://discuss.jiucaishuo.com/?/invest/showData/search_gu-si801742" xr:uid="{00000000-0004-0000-0D00-00003E010000}"/>
    <hyperlink ref="K321" r:id="rId320" display="http://discuss.jiucaishuo.com/?/invest/showData/search_gu-si801751" xr:uid="{00000000-0004-0000-0D00-00003F010000}"/>
    <hyperlink ref="K322" r:id="rId321" display="http://discuss.jiucaishuo.com/?/invest/showData/search_gu-si801743" xr:uid="{00000000-0004-0000-0D00-000040010000}"/>
    <hyperlink ref="K323" r:id="rId322" display="http://discuss.jiucaishuo.com/?/invest/showData/search_gu-si801084" xr:uid="{00000000-0004-0000-0D00-000041010000}"/>
    <hyperlink ref="K324" r:id="rId323" display="http://discuss.jiucaishuo.com/?/invest/showData/search_gu-si801050" xr:uid="{00000000-0004-0000-0D00-000042010000}"/>
    <hyperlink ref="K325" r:id="rId324" display="http://discuss.jiucaishuo.com/?/invest/showData/search_gu-si801176" xr:uid="{00000000-0004-0000-0D00-000043010000}"/>
    <hyperlink ref="K326" r:id="rId325" display="http://discuss.jiucaishuo.com/?/invest/showData/search_gu-sz399813" xr:uid="{00000000-0004-0000-0D00-000044010000}"/>
    <hyperlink ref="K327" r:id="rId326" display="http://discuss.jiucaishuo.com/?/invest/showData/search_gu-si801731" xr:uid="{00000000-0004-0000-0D00-000045010000}"/>
    <hyperlink ref="K328" r:id="rId327" display="http://discuss.jiucaishuo.com/?/invest/showData/search_gu-si801163" xr:uid="{00000000-0004-0000-0D00-000046010000}"/>
    <hyperlink ref="K329" r:id="rId328" display="http://discuss.jiucaishuo.com/?/invest/showData/search_gu-sz399395" xr:uid="{00000000-0004-0000-0D00-000047010000}"/>
    <hyperlink ref="K330" r:id="rId329" display="http://discuss.jiucaishuo.com/?/invest/showData/search_gu-si801072" xr:uid="{00000000-0004-0000-0D00-000048010000}"/>
    <hyperlink ref="K331" r:id="rId330" display="http://discuss.jiucaishuo.com/?/invest/showData/search_gu-si801016" xr:uid="{00000000-0004-0000-0D00-000049010000}"/>
    <hyperlink ref="K332" r:id="rId331" display="http://discuss.jiucaishuo.com/?/invest/showData/search_gu-si801055" xr:uid="{00000000-0004-0000-0D00-00004A010000}"/>
    <hyperlink ref="K333" r:id="rId332" display="http://discuss.jiucaishuo.com/?/invest/showData/search_gu-sh000819" xr:uid="{00000000-0004-0000-0D00-00004B010000}"/>
    <hyperlink ref="K334" r:id="rId333" display="http://discuss.jiucaishuo.com/?/invest/showData/search_gu-sh000823" xr:uid="{00000000-0004-0000-0D00-00004C010000}"/>
    <hyperlink ref="K335" r:id="rId334" display="http://discuss.jiucaishuo.com/?/invest/showData/search_gu-sz399368" xr:uid="{00000000-0004-0000-0D00-00004D010000}"/>
    <hyperlink ref="K336" r:id="rId335" display="http://discuss.jiucaishuo.com/?/invest/showData/search_gu-si801761" xr:uid="{00000000-0004-0000-0D00-00004E010000}"/>
    <hyperlink ref="K337" r:id="rId336" display="http://discuss.jiucaishuo.com/?/invest/showData/search_gu-si801036" xr:uid="{00000000-0004-0000-0D00-00004F010000}"/>
    <hyperlink ref="K338" r:id="rId337" display="http://discuss.jiucaishuo.com/?/invest/showData/search_gu-si801741" xr:uid="{00000000-0004-0000-0D00-000050010000}"/>
    <hyperlink ref="K339" r:id="rId338" display="http://discuss.jiucaishuo.com/?/invest/showData/search_gu-si801204" xr:uid="{00000000-0004-0000-0D00-000051010000}"/>
    <hyperlink ref="K340" r:id="rId339" display="http://discuss.jiucaishuo.com/?/invest/showData/search_gu-si801054" xr:uid="{00000000-0004-0000-0D00-000052010000}"/>
    <hyperlink ref="K341" r:id="rId340" display="http://discuss.jiucaishuo.com/?/invest/showData/search_gu-si801081" xr:uid="{00000000-0004-0000-0D00-000053010000}"/>
    <hyperlink ref="K342" r:id="rId341" display="http://discuss.jiucaishuo.com/?/invest/showData/search_gu-csi930790" xr:uid="{00000000-0004-0000-0D00-000054010000}"/>
    <hyperlink ref="K343" r:id="rId342" display="http://discuss.jiucaishuo.com/?/invest/showData/search_gu-si801740" xr:uid="{00000000-0004-0000-0D00-000055010000}"/>
    <hyperlink ref="K344" r:id="rId343" display="http://discuss.jiucaishuo.com/?/invest/showData/search_gu-sz399959" xr:uid="{00000000-0004-0000-0D00-000056010000}"/>
    <hyperlink ref="K345" r:id="rId344" display="http://discuss.jiucaishuo.com/?/invest/showData/search_gu-sz399967" xr:uid="{00000000-0004-0000-0D00-000057010000}"/>
    <hyperlink ref="K346" r:id="rId345" display="http://discuss.jiucaishuo.com/?/invest/showData/search_gu-si801023" xr:uid="{00000000-0004-0000-0D00-000058010000}"/>
    <hyperlink ref="K347" r:id="rId346" display="http://discuss.jiucaishuo.com/?/invest/showData/search_gu-si801075" xr:uid="{00000000-0004-0000-0D00-000059010000}"/>
    <hyperlink ref="K348" r:id="rId347" display="http://discuss.jiucaishuo.com/?/invest/showData/search_gu-si801173" xr:uid="{00000000-0004-0000-0D00-00005A010000}"/>
    <hyperlink ref="K349" r:id="rId348" display="http://discuss.jiucaishuo.com/?/invest/showData/search_gu-si801223" xr:uid="{00000000-0004-0000-0D00-00005B010000}"/>
    <hyperlink ref="K350" r:id="rId349" display="http://discuss.jiucaishuo.com/?/invest/showData/search_gu-si801112" xr:uid="{00000000-0004-0000-0D00-00005C010000}"/>
    <hyperlink ref="K351" r:id="rId350" display="http://discuss.jiucaishuo.com/?/invest/showData/search_gu-sz399102" xr:uid="{00000000-0004-0000-0D00-00005D010000}"/>
    <hyperlink ref="K352" r:id="rId351" display="http://discuss.jiucaishuo.com/?/invest/showData/search_gu-csi930654" xr:uid="{00000000-0004-0000-0D00-00005E010000}"/>
    <hyperlink ref="K353" r:id="rId352" display="http://discuss.jiucaishuo.com/?/invest/showData/search_gu-si801024" xr:uid="{00000000-0004-0000-0D00-00005F010000}"/>
    <hyperlink ref="K354" r:id="rId353" display="http://discuss.jiucaishuo.com/?/invest/showData/search_gu-si801725" xr:uid="{00000000-0004-0000-0D00-000060010000}"/>
    <hyperlink ref="K355" r:id="rId354" display="http://discuss.jiucaishuo.com/?/invest/showData/search_gu-si801744" xr:uid="{00000000-0004-0000-0D00-000061010000}"/>
    <hyperlink ref="K356" r:id="rId355" display="http://discuss.jiucaishuo.com/?/invest/showData/search_gu-si801015" xr:uid="{00000000-0004-0000-0D00-000062010000}"/>
    <hyperlink ref="K357" r:id="rId356" display="http://discuss.jiucaishuo.com/?/invest/showData/search_gu-si801011" xr:uid="{00000000-0004-0000-0D00-000063010000}"/>
    <hyperlink ref="K358" r:id="rId357" display="http://discuss.jiucaishuo.com/?/invest/showData/search_gu-si801211" xr:uid="{00000000-0004-0000-0D00-00006401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5"/>
  <sheetViews>
    <sheetView workbookViewId="0">
      <selection activeCell="O29" sqref="O29"/>
    </sheetView>
  </sheetViews>
  <sheetFormatPr baseColWidth="10" defaultRowHeight="16"/>
  <cols>
    <col min="1" max="1" width="10.83203125" style="182" customWidth="1"/>
    <col min="2" max="2" width="15" style="182" customWidth="1"/>
    <col min="3" max="13" width="10.83203125" style="182" customWidth="1"/>
    <col min="14" max="14" width="22.6640625" style="182" customWidth="1"/>
    <col min="15" max="16" width="10.83203125" style="182" customWidth="1"/>
    <col min="17" max="16384" width="10.83203125" style="182"/>
  </cols>
  <sheetData>
    <row r="1" spans="1:18" ht="18" customHeight="1">
      <c r="A1" s="171" t="s">
        <v>2037</v>
      </c>
      <c r="B1" s="171" t="s">
        <v>2038</v>
      </c>
      <c r="C1" s="171" t="s">
        <v>2039</v>
      </c>
      <c r="D1" s="171" t="s">
        <v>2040</v>
      </c>
      <c r="E1" s="171" t="s">
        <v>2041</v>
      </c>
      <c r="F1" s="171" t="s">
        <v>2042</v>
      </c>
      <c r="G1" s="171" t="s">
        <v>2043</v>
      </c>
      <c r="H1" s="171" t="s">
        <v>2044</v>
      </c>
      <c r="I1" s="171" t="s">
        <v>2045</v>
      </c>
      <c r="J1" s="171" t="s">
        <v>2046</v>
      </c>
      <c r="K1" s="171" t="s">
        <v>2047</v>
      </c>
      <c r="L1" s="171" t="s">
        <v>2048</v>
      </c>
      <c r="M1" s="171" t="s">
        <v>2049</v>
      </c>
      <c r="N1" s="171" t="s">
        <v>2050</v>
      </c>
      <c r="O1" s="171" t="s">
        <v>2051</v>
      </c>
      <c r="P1" s="171" t="s">
        <v>2052</v>
      </c>
      <c r="Q1" s="171" t="s">
        <v>2053</v>
      </c>
      <c r="R1" s="171" t="s">
        <v>2054</v>
      </c>
    </row>
    <row r="2" spans="1:18" ht="18" customHeight="1">
      <c r="A2" s="170" t="s">
        <v>2055</v>
      </c>
      <c r="B2" s="206">
        <v>39594</v>
      </c>
      <c r="C2" s="204">
        <v>-0.1328</v>
      </c>
      <c r="D2" s="204">
        <v>-0.23569999999999999</v>
      </c>
      <c r="E2" s="203">
        <v>7.0599999999999996E-2</v>
      </c>
      <c r="F2" s="204">
        <v>-0.10150000000000001</v>
      </c>
      <c r="G2" s="203">
        <v>0.51680000000000004</v>
      </c>
      <c r="H2" s="203">
        <v>0.26860000000000001</v>
      </c>
      <c r="I2" s="204">
        <v>-7.6399999999999996E-2</v>
      </c>
      <c r="J2" s="203">
        <v>0.1757</v>
      </c>
      <c r="K2" s="204">
        <v>-0.19239999999999999</v>
      </c>
      <c r="L2" s="203">
        <v>0.1573</v>
      </c>
      <c r="M2" s="204">
        <v>-0.10780000000000001</v>
      </c>
      <c r="N2" s="169" t="s">
        <v>2056</v>
      </c>
      <c r="O2" s="205">
        <v>4.87E-2</v>
      </c>
      <c r="P2" s="203">
        <v>3.1099999999999999E-2</v>
      </c>
      <c r="Q2" s="203">
        <v>2.7199999999999998E-2</v>
      </c>
      <c r="R2" s="167" t="s">
        <v>2057</v>
      </c>
    </row>
    <row r="3" spans="1:18" ht="18" customHeight="1">
      <c r="A3" s="168" t="s">
        <v>2058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185">
        <v>43914</v>
      </c>
      <c r="O3" s="200"/>
      <c r="P3" s="200"/>
      <c r="Q3" s="200"/>
      <c r="R3" s="167">
        <v>6787</v>
      </c>
    </row>
    <row r="4" spans="1:18" ht="18" customHeight="1">
      <c r="A4" s="170" t="s">
        <v>2059</v>
      </c>
      <c r="B4" s="206">
        <v>40114</v>
      </c>
      <c r="C4" s="204">
        <v>-0.23780000000000001</v>
      </c>
      <c r="D4" s="204">
        <v>-0.1729</v>
      </c>
      <c r="E4" s="203">
        <v>0.37730000000000002</v>
      </c>
      <c r="F4" s="204">
        <v>-0.18529999999999999</v>
      </c>
      <c r="G4" s="203">
        <v>0.81259999999999999</v>
      </c>
      <c r="H4" s="203">
        <v>0.33100000000000002</v>
      </c>
      <c r="I4" s="204">
        <v>-0.1658</v>
      </c>
      <c r="J4" s="203">
        <v>0.2288</v>
      </c>
      <c r="K4" s="204">
        <v>-0.21579999999999999</v>
      </c>
      <c r="L4" s="203">
        <v>0.3271</v>
      </c>
      <c r="M4" s="204">
        <v>-0.19439999999999999</v>
      </c>
      <c r="N4" s="169" t="s">
        <v>2060</v>
      </c>
      <c r="O4" s="205">
        <v>4.1700000000000001E-2</v>
      </c>
      <c r="P4" s="203">
        <v>8.2299999999999998E-2</v>
      </c>
      <c r="Q4" s="203">
        <v>7.3499999999999996E-2</v>
      </c>
      <c r="R4" s="167" t="s">
        <v>2057</v>
      </c>
    </row>
    <row r="5" spans="1:18" ht="18" customHeight="1">
      <c r="A5" s="168" t="s">
        <v>2061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185">
        <v>43914</v>
      </c>
      <c r="O5" s="200"/>
      <c r="P5" s="200"/>
      <c r="Q5" s="200"/>
      <c r="R5" s="167">
        <v>334</v>
      </c>
    </row>
    <row r="6" spans="1:18" ht="18" customHeight="1">
      <c r="A6" s="170" t="s">
        <v>2062</v>
      </c>
      <c r="B6" s="206">
        <v>42348</v>
      </c>
      <c r="C6" s="207" t="s">
        <v>2063</v>
      </c>
      <c r="D6" s="207" t="s">
        <v>2063</v>
      </c>
      <c r="E6" s="207" t="s">
        <v>2063</v>
      </c>
      <c r="F6" s="207" t="s">
        <v>2063</v>
      </c>
      <c r="G6" s="207" t="s">
        <v>2063</v>
      </c>
      <c r="H6" s="207" t="s">
        <v>2063</v>
      </c>
      <c r="I6" s="203">
        <v>6.13E-2</v>
      </c>
      <c r="J6" s="203">
        <v>0.2072</v>
      </c>
      <c r="K6" s="204">
        <v>-0.152</v>
      </c>
      <c r="L6" s="203">
        <v>0.30680000000000002</v>
      </c>
      <c r="M6" s="204">
        <v>-0.151</v>
      </c>
      <c r="N6" s="169" t="s">
        <v>2064</v>
      </c>
      <c r="O6" s="205">
        <v>4.3799999999999999E-2</v>
      </c>
      <c r="P6" s="203">
        <v>5.4399999999999997E-2</v>
      </c>
      <c r="Q6" s="203">
        <v>5.2999999999999999E-2</v>
      </c>
      <c r="R6" s="167" t="s">
        <v>2057</v>
      </c>
    </row>
    <row r="7" spans="1:18" ht="18" customHeight="1">
      <c r="A7" s="168" t="s">
        <v>2065</v>
      </c>
      <c r="B7" s="200"/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185">
        <v>43914</v>
      </c>
      <c r="O7" s="200"/>
      <c r="P7" s="200"/>
      <c r="Q7" s="200"/>
      <c r="R7" s="167">
        <v>53</v>
      </c>
    </row>
    <row r="8" spans="1:18" ht="18" customHeight="1">
      <c r="A8" s="170" t="s">
        <v>2066</v>
      </c>
      <c r="B8" s="206">
        <v>42075</v>
      </c>
      <c r="C8" s="204">
        <v>-4.9099999999999998E-2</v>
      </c>
      <c r="D8" s="204">
        <v>-0.32529999999999998</v>
      </c>
      <c r="E8" s="203">
        <v>0.17230000000000001</v>
      </c>
      <c r="F8" s="204">
        <v>-0.13159999999999999</v>
      </c>
      <c r="G8" s="203">
        <v>0.94330000000000003</v>
      </c>
      <c r="H8" s="203">
        <v>9.8299999999999998E-2</v>
      </c>
      <c r="I8" s="204">
        <v>-4.9599999999999998E-2</v>
      </c>
      <c r="J8" s="204">
        <v>-6.2799999999999995E-2</v>
      </c>
      <c r="K8" s="204">
        <v>-0.31480000000000002</v>
      </c>
      <c r="L8" s="204">
        <v>-4.02E-2</v>
      </c>
      <c r="M8" s="204">
        <v>-7.3800000000000004E-2</v>
      </c>
      <c r="N8" s="169" t="s">
        <v>2067</v>
      </c>
      <c r="O8" s="205">
        <v>2.4299999999999999E-2</v>
      </c>
      <c r="P8" s="204">
        <v>-0.14810000000000001</v>
      </c>
      <c r="Q8" s="204">
        <v>-0.1956</v>
      </c>
      <c r="R8" s="167" t="s">
        <v>2057</v>
      </c>
    </row>
    <row r="9" spans="1:18" ht="18" customHeight="1">
      <c r="A9" s="168" t="s">
        <v>2068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185">
        <v>43914</v>
      </c>
      <c r="O9" s="200"/>
      <c r="P9" s="200"/>
      <c r="Q9" s="200"/>
      <c r="R9" s="167">
        <v>727</v>
      </c>
    </row>
    <row r="10" spans="1:18" ht="18" customHeight="1">
      <c r="A10" s="170" t="s">
        <v>2069</v>
      </c>
      <c r="B10" s="206">
        <v>42002</v>
      </c>
      <c r="C10" s="203">
        <v>0.18390000000000001</v>
      </c>
      <c r="D10" s="204">
        <v>-0.2056</v>
      </c>
      <c r="E10" s="203">
        <v>0.1391</v>
      </c>
      <c r="F10" s="203">
        <v>0.97309999999999997</v>
      </c>
      <c r="G10" s="203">
        <v>0.1009</v>
      </c>
      <c r="H10" s="203">
        <v>0.21440000000000001</v>
      </c>
      <c r="I10" s="203">
        <v>6.5199999999999994E-2</v>
      </c>
      <c r="J10" s="203">
        <v>0.6149</v>
      </c>
      <c r="K10" s="204">
        <v>-0.28539999999999999</v>
      </c>
      <c r="L10" s="203">
        <v>0.33900000000000002</v>
      </c>
      <c r="M10" s="204">
        <v>-5.9400000000000001E-2</v>
      </c>
      <c r="N10" s="186" t="s">
        <v>2070</v>
      </c>
      <c r="O10" s="205">
        <v>2.5000000000000001E-3</v>
      </c>
      <c r="P10" s="203">
        <v>0.18340000000000001</v>
      </c>
      <c r="Q10" s="203">
        <v>0.13270000000000001</v>
      </c>
      <c r="R10" s="167" t="s">
        <v>2057</v>
      </c>
    </row>
    <row r="11" spans="1:18" ht="18" customHeight="1">
      <c r="A11" s="168" t="s">
        <v>2071</v>
      </c>
      <c r="B11" s="200"/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185">
        <v>43914</v>
      </c>
      <c r="O11" s="200"/>
      <c r="P11" s="200"/>
      <c r="Q11" s="200"/>
      <c r="R11" s="167">
        <v>73</v>
      </c>
    </row>
    <row r="12" spans="1:18" ht="18" customHeight="1">
      <c r="A12" s="170" t="s">
        <v>2072</v>
      </c>
      <c r="B12" s="206">
        <v>42404</v>
      </c>
      <c r="C12" s="203">
        <v>0.1086</v>
      </c>
      <c r="D12" s="204">
        <v>-0.24160000000000001</v>
      </c>
      <c r="E12" s="204">
        <v>-5.8999999999999999E-3</v>
      </c>
      <c r="F12" s="203">
        <v>0.27629999999999999</v>
      </c>
      <c r="G12" s="203">
        <v>0.57369999999999999</v>
      </c>
      <c r="H12" s="203">
        <v>0.50109999999999999</v>
      </c>
      <c r="I12" s="204">
        <v>-0.13389999999999999</v>
      </c>
      <c r="J12" s="203">
        <v>3.6900000000000002E-2</v>
      </c>
      <c r="K12" s="204">
        <v>-0.28060000000000002</v>
      </c>
      <c r="L12" s="203">
        <v>0.2261</v>
      </c>
      <c r="M12" s="204">
        <v>-2.2499999999999999E-2</v>
      </c>
      <c r="N12" s="169" t="s">
        <v>2073</v>
      </c>
      <c r="O12" s="205">
        <v>2.1100000000000001E-2</v>
      </c>
      <c r="P12" s="203">
        <v>2.6700000000000002E-2</v>
      </c>
      <c r="Q12" s="203">
        <v>1.1599999999999999E-2</v>
      </c>
      <c r="R12" s="167" t="s">
        <v>2057</v>
      </c>
    </row>
    <row r="13" spans="1:18" ht="18" customHeight="1">
      <c r="A13" s="168" t="s">
        <v>2074</v>
      </c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185">
        <v>43915</v>
      </c>
      <c r="O13" s="200"/>
      <c r="P13" s="200"/>
      <c r="Q13" s="200"/>
      <c r="R13" s="167">
        <v>118</v>
      </c>
    </row>
    <row r="14" spans="1:18" ht="18" customHeight="1">
      <c r="A14" s="170" t="s">
        <v>2075</v>
      </c>
      <c r="B14" s="206">
        <v>39097</v>
      </c>
      <c r="C14" s="203">
        <v>0.1007</v>
      </c>
      <c r="D14" s="204">
        <v>-0.33829999999999999</v>
      </c>
      <c r="E14" s="203">
        <v>2.8E-3</v>
      </c>
      <c r="F14" s="203">
        <v>0.16889999999999999</v>
      </c>
      <c r="G14" s="203">
        <v>0.3901</v>
      </c>
      <c r="H14" s="203">
        <v>0.43120000000000003</v>
      </c>
      <c r="I14" s="204">
        <v>-0.17780000000000001</v>
      </c>
      <c r="J14" s="204">
        <v>-2E-3</v>
      </c>
      <c r="K14" s="204">
        <v>-0.3332</v>
      </c>
      <c r="L14" s="203">
        <v>0.26379999999999998</v>
      </c>
      <c r="M14" s="204">
        <v>-9.4999999999999998E-3</v>
      </c>
      <c r="N14" s="169" t="s">
        <v>2076</v>
      </c>
      <c r="O14" s="205">
        <v>1.3599999999999999E-2</v>
      </c>
      <c r="P14" s="203">
        <v>4.5100000000000001E-2</v>
      </c>
      <c r="Q14" s="203">
        <v>6.0000000000000001E-3</v>
      </c>
      <c r="R14" s="167" t="s">
        <v>2057</v>
      </c>
    </row>
    <row r="15" spans="1:18" ht="18" customHeight="1">
      <c r="A15" s="168" t="s">
        <v>2077</v>
      </c>
      <c r="B15" s="200"/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185">
        <v>43915</v>
      </c>
      <c r="O15" s="200"/>
      <c r="P15" s="200"/>
      <c r="Q15" s="200"/>
      <c r="R15" s="167">
        <v>14512</v>
      </c>
    </row>
  </sheetData>
  <mergeCells count="105">
    <mergeCell ref="B14:B15"/>
    <mergeCell ref="C14:C15"/>
    <mergeCell ref="D14:D15"/>
    <mergeCell ref="E14:E15"/>
    <mergeCell ref="F14:F15"/>
    <mergeCell ref="G14:G15"/>
    <mergeCell ref="H14:H15"/>
    <mergeCell ref="I14:I15"/>
    <mergeCell ref="Q14:Q15"/>
    <mergeCell ref="J14:J15"/>
    <mergeCell ref="K14:K15"/>
    <mergeCell ref="L14:L15"/>
    <mergeCell ref="M14:M15"/>
    <mergeCell ref="O14:O15"/>
    <mergeCell ref="P14:P15"/>
    <mergeCell ref="O10:O11"/>
    <mergeCell ref="P10:P11"/>
    <mergeCell ref="Q10:Q11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O12:O13"/>
    <mergeCell ref="P12:P13"/>
    <mergeCell ref="Q12:Q13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6:K7"/>
    <mergeCell ref="L6:L7"/>
    <mergeCell ref="M6:M7"/>
    <mergeCell ref="H6:H7"/>
    <mergeCell ref="I6:I7"/>
    <mergeCell ref="J6:J7"/>
    <mergeCell ref="K10:K11"/>
    <mergeCell ref="L10:L11"/>
    <mergeCell ref="M10:M11"/>
    <mergeCell ref="O6:O7"/>
    <mergeCell ref="P6:P7"/>
    <mergeCell ref="Q6:Q7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O8:O9"/>
    <mergeCell ref="P8:P9"/>
    <mergeCell ref="Q8:Q9"/>
    <mergeCell ref="B6:B7"/>
    <mergeCell ref="C6:C7"/>
    <mergeCell ref="D6:D7"/>
    <mergeCell ref="E6:E7"/>
    <mergeCell ref="F6:F7"/>
    <mergeCell ref="G6:G7"/>
    <mergeCell ref="O2:O3"/>
    <mergeCell ref="P2:P3"/>
    <mergeCell ref="Q2:Q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O4:O5"/>
    <mergeCell ref="P4:P5"/>
    <mergeCell ref="Q4:Q5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</mergeCells>
  <hyperlinks>
    <hyperlink ref="R2" r:id="rId1" display="https://www.lixinger.com/analytics/indice/" xr:uid="{00000000-0004-0000-0E00-000000000000}"/>
    <hyperlink ref="R3" r:id="rId2" display="https://www.lixinger.com/analytics/indice/sh/000922/922/detail/followed-users" xr:uid="{00000000-0004-0000-0E00-000001000000}"/>
    <hyperlink ref="R4" r:id="rId3" display="https://www.lixinger.com/analytics/indice/" xr:uid="{00000000-0004-0000-0E00-000002000000}"/>
    <hyperlink ref="R5" r:id="rId4" display="https://www.lixinger.com/analytics/indice/sh/000952/952/detail/followed-users" xr:uid="{00000000-0004-0000-0E00-000003000000}"/>
    <hyperlink ref="R6" r:id="rId5" display="https://www.lixinger.com/analytics/indice/" xr:uid="{00000000-0004-0000-0E00-000004000000}"/>
    <hyperlink ref="R7" r:id="rId6" display="https://www.lixinger.com/analytics/indice/csi/950090/950090/detail/followed-users" xr:uid="{00000000-0004-0000-0E00-000005000000}"/>
    <hyperlink ref="R8" r:id="rId7" display="https://www.lixinger.com/analytics/indice/" xr:uid="{00000000-0004-0000-0E00-000006000000}"/>
    <hyperlink ref="R9" r:id="rId8" display="https://www.lixinger.com/analytics/indice/sz/399995/399995/detail/followed-users" xr:uid="{00000000-0004-0000-0E00-000007000000}"/>
    <hyperlink ref="R10" r:id="rId9" display="https://www.lixinger.com/analytics/indice/" xr:uid="{00000000-0004-0000-0E00-000008000000}"/>
    <hyperlink ref="R11" r:id="rId10" display="https://www.lixinger.com/analytics/indice/csi/H30533/30533/detail/followed-users" xr:uid="{00000000-0004-0000-0E00-000009000000}"/>
    <hyperlink ref="R12" r:id="rId11" display="https://www.lixinger.com/analytics/indice/" xr:uid="{00000000-0004-0000-0E00-00000A000000}"/>
    <hyperlink ref="R13" r:id="rId12" display="https://www.lixinger.com/analytics/indice/csi/930782/930782/detail/followed-users" xr:uid="{00000000-0004-0000-0E00-00000B000000}"/>
    <hyperlink ref="R14" r:id="rId13" display="https://www.lixinger.com/analytics/indice/" xr:uid="{00000000-0004-0000-0E00-00000C000000}"/>
    <hyperlink ref="R15" r:id="rId14" display="https://www.lixinger.com/analytics/indice/sh/000905/905/detail/followed-users" xr:uid="{00000000-0004-0000-0E00-00000D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59"/>
  <sheetViews>
    <sheetView zoomScale="150" workbookViewId="0">
      <selection activeCell="I6" sqref="I6"/>
    </sheetView>
  </sheetViews>
  <sheetFormatPr baseColWidth="10" defaultRowHeight="16"/>
  <cols>
    <col min="1" max="1" width="23.33203125" style="182" customWidth="1"/>
  </cols>
  <sheetData>
    <row r="1" spans="1:7" ht="18" customHeight="1">
      <c r="A1" s="172" t="s">
        <v>2078</v>
      </c>
      <c r="B1" s="172" t="s">
        <v>2079</v>
      </c>
      <c r="C1" s="172" t="s">
        <v>2080</v>
      </c>
      <c r="D1" s="172" t="s">
        <v>2079</v>
      </c>
      <c r="E1" s="172" t="s">
        <v>2080</v>
      </c>
      <c r="F1" s="172" t="s">
        <v>2081</v>
      </c>
    </row>
    <row r="2" spans="1:7" ht="18" customHeight="1">
      <c r="A2" s="172" t="s">
        <v>2082</v>
      </c>
      <c r="B2" s="172" t="s">
        <v>2083</v>
      </c>
      <c r="C2" s="172" t="s">
        <v>2083</v>
      </c>
      <c r="D2" s="172" t="s">
        <v>2084</v>
      </c>
      <c r="E2" s="172" t="s">
        <v>2084</v>
      </c>
      <c r="F2" s="172" t="s">
        <v>2083</v>
      </c>
    </row>
    <row r="3" spans="1:7" ht="20" customHeight="1">
      <c r="A3" s="173" t="s">
        <v>2085</v>
      </c>
      <c r="B3" s="174">
        <v>46262</v>
      </c>
      <c r="C3" s="174">
        <v>7285</v>
      </c>
      <c r="D3" s="175">
        <v>606</v>
      </c>
      <c r="E3" s="176">
        <v>140</v>
      </c>
      <c r="F3" s="174">
        <v>43611</v>
      </c>
      <c r="G3" s="109">
        <f t="shared" ref="G3:G34" si="0">D3/B3</f>
        <v>1.3099303964376811E-2</v>
      </c>
    </row>
    <row r="4" spans="1:7" ht="20" customHeight="1">
      <c r="A4" s="173" t="s">
        <v>2086</v>
      </c>
      <c r="B4" s="174">
        <v>8825</v>
      </c>
      <c r="C4" s="174">
        <v>1949</v>
      </c>
      <c r="D4" s="175">
        <v>108</v>
      </c>
      <c r="E4" s="176">
        <v>27</v>
      </c>
      <c r="F4" s="174">
        <v>8717</v>
      </c>
      <c r="G4" s="109">
        <f t="shared" si="0"/>
        <v>1.2237960339943343E-2</v>
      </c>
    </row>
    <row r="5" spans="1:7" ht="20" customHeight="1">
      <c r="A5" s="173" t="s">
        <v>2087</v>
      </c>
      <c r="B5" s="174">
        <v>4791</v>
      </c>
      <c r="C5" s="175">
        <v>776</v>
      </c>
      <c r="D5" s="175">
        <v>94</v>
      </c>
      <c r="E5" s="176">
        <v>12</v>
      </c>
      <c r="F5" s="174">
        <v>4679</v>
      </c>
      <c r="G5" s="109">
        <f t="shared" si="0"/>
        <v>1.9620121060321436E-2</v>
      </c>
    </row>
    <row r="6" spans="1:7" ht="20" customHeight="1">
      <c r="A6" s="173" t="s">
        <v>2088</v>
      </c>
      <c r="B6" s="174">
        <v>3700</v>
      </c>
      <c r="C6" s="175">
        <v>493</v>
      </c>
      <c r="D6" s="175">
        <v>175</v>
      </c>
      <c r="E6" s="176">
        <v>28</v>
      </c>
      <c r="F6" s="174">
        <v>3401</v>
      </c>
      <c r="G6" s="109">
        <f t="shared" si="0"/>
        <v>4.72972972972973E-2</v>
      </c>
    </row>
    <row r="7" spans="1:7" ht="20" customHeight="1">
      <c r="A7" s="173" t="s">
        <v>2089</v>
      </c>
      <c r="B7" s="174">
        <v>3657</v>
      </c>
      <c r="C7" s="175">
        <v>801</v>
      </c>
      <c r="D7" s="175">
        <v>92</v>
      </c>
      <c r="E7" s="176">
        <v>32</v>
      </c>
      <c r="F7" s="174">
        <v>3560</v>
      </c>
      <c r="G7" s="109">
        <f t="shared" si="0"/>
        <v>2.5157232704402517E-2</v>
      </c>
    </row>
    <row r="8" spans="1:7" ht="20" customHeight="1">
      <c r="A8" s="173" t="s">
        <v>2090</v>
      </c>
      <c r="B8" s="174">
        <v>3240</v>
      </c>
      <c r="C8" s="175">
        <v>823</v>
      </c>
      <c r="D8" s="175">
        <v>35</v>
      </c>
      <c r="E8" s="176">
        <v>10</v>
      </c>
      <c r="F8" s="174">
        <v>3204</v>
      </c>
      <c r="G8" s="109">
        <f t="shared" si="0"/>
        <v>1.0802469135802469E-2</v>
      </c>
    </row>
    <row r="9" spans="1:7" ht="20" customHeight="1">
      <c r="A9" s="173" t="s">
        <v>2091</v>
      </c>
      <c r="B9" s="174">
        <v>3198</v>
      </c>
      <c r="C9" s="175">
        <v>714</v>
      </c>
      <c r="D9" s="175">
        <v>46</v>
      </c>
      <c r="E9" s="176">
        <v>17</v>
      </c>
      <c r="F9" s="174">
        <v>3152</v>
      </c>
      <c r="G9" s="109">
        <f t="shared" si="0"/>
        <v>1.4383989993746092E-2</v>
      </c>
    </row>
    <row r="10" spans="1:7" ht="20" customHeight="1">
      <c r="A10" s="173" t="s">
        <v>2092</v>
      </c>
      <c r="B10" s="174">
        <v>3026</v>
      </c>
      <c r="C10" s="175">
        <v>488</v>
      </c>
      <c r="D10" s="175">
        <v>34</v>
      </c>
      <c r="E10" s="176">
        <v>8</v>
      </c>
      <c r="F10" s="174">
        <v>2990</v>
      </c>
      <c r="G10" s="109">
        <f t="shared" si="0"/>
        <v>1.1235955056179775E-2</v>
      </c>
    </row>
    <row r="11" spans="1:7" ht="20" customHeight="1">
      <c r="A11" s="173" t="s">
        <v>2093</v>
      </c>
      <c r="B11" s="174">
        <v>2746</v>
      </c>
      <c r="C11" s="175">
        <v>441</v>
      </c>
      <c r="D11" s="175">
        <v>119</v>
      </c>
      <c r="E11" s="176">
        <v>36</v>
      </c>
      <c r="F11" s="174">
        <v>2627</v>
      </c>
      <c r="G11" s="109">
        <f t="shared" si="0"/>
        <v>4.3335761107064823E-2</v>
      </c>
    </row>
    <row r="12" spans="1:7" ht="20" customHeight="1">
      <c r="A12" s="173" t="s">
        <v>2094</v>
      </c>
      <c r="B12" s="174">
        <v>2218</v>
      </c>
      <c r="C12" s="175">
        <v>531</v>
      </c>
      <c r="D12" s="175">
        <v>22</v>
      </c>
      <c r="E12" s="176">
        <v>6</v>
      </c>
      <c r="F12" s="174">
        <v>2196</v>
      </c>
      <c r="G12" s="109">
        <f t="shared" si="0"/>
        <v>9.9188458070333628E-3</v>
      </c>
    </row>
    <row r="13" spans="1:7" ht="20" customHeight="1">
      <c r="A13" s="173" t="s">
        <v>2095</v>
      </c>
      <c r="B13" s="174">
        <v>2198</v>
      </c>
      <c r="C13" s="175">
        <v>555</v>
      </c>
      <c r="D13" s="175">
        <v>65</v>
      </c>
      <c r="E13" s="176">
        <v>9</v>
      </c>
      <c r="F13" s="174">
        <v>2133</v>
      </c>
      <c r="G13" s="109">
        <f t="shared" si="0"/>
        <v>2.9572338489535943E-2</v>
      </c>
    </row>
    <row r="14" spans="1:7" ht="20" customHeight="1">
      <c r="A14" s="173" t="s">
        <v>2096</v>
      </c>
      <c r="B14" s="174">
        <v>1950</v>
      </c>
      <c r="C14" s="175">
        <v>362</v>
      </c>
      <c r="D14" s="175">
        <v>26</v>
      </c>
      <c r="E14" s="176">
        <v>6</v>
      </c>
      <c r="F14" s="174">
        <v>1913</v>
      </c>
      <c r="G14" s="109">
        <f t="shared" si="0"/>
        <v>1.3333333333333334E-2</v>
      </c>
    </row>
    <row r="15" spans="1:7" ht="20" customHeight="1">
      <c r="A15" s="173" t="s">
        <v>2097</v>
      </c>
      <c r="B15" s="174">
        <v>1734</v>
      </c>
      <c r="C15" s="175">
        <v>304</v>
      </c>
      <c r="D15" s="175">
        <v>31</v>
      </c>
      <c r="E15" s="176">
        <v>7</v>
      </c>
      <c r="F15" s="174">
        <v>1703</v>
      </c>
      <c r="G15" s="109">
        <f t="shared" si="0"/>
        <v>1.7877739331026529E-2</v>
      </c>
    </row>
    <row r="16" spans="1:7" ht="20" customHeight="1">
      <c r="A16" s="173" t="s">
        <v>2098</v>
      </c>
      <c r="B16" s="174">
        <v>1291</v>
      </c>
      <c r="C16" s="175">
        <v>279</v>
      </c>
      <c r="D16" s="175">
        <v>27</v>
      </c>
      <c r="E16" s="176">
        <v>6</v>
      </c>
      <c r="F16" s="174">
        <v>1264</v>
      </c>
      <c r="G16" s="109">
        <f t="shared" si="0"/>
        <v>2.0914020139426802E-2</v>
      </c>
    </row>
    <row r="17" spans="1:7" ht="20" customHeight="1">
      <c r="A17" s="173" t="s">
        <v>2099</v>
      </c>
      <c r="B17" s="174">
        <v>1203</v>
      </c>
      <c r="C17" s="175">
        <v>105</v>
      </c>
      <c r="D17" s="175">
        <v>6</v>
      </c>
      <c r="E17" s="176">
        <v>3</v>
      </c>
      <c r="F17" s="174">
        <v>1197</v>
      </c>
      <c r="G17" s="109">
        <f t="shared" si="0"/>
        <v>4.9875311720698253E-3</v>
      </c>
    </row>
    <row r="18" spans="1:7" ht="20" customHeight="1">
      <c r="A18" s="173" t="s">
        <v>2100</v>
      </c>
      <c r="B18" s="174">
        <v>1137</v>
      </c>
      <c r="C18" s="175">
        <v>270</v>
      </c>
      <c r="D18" s="175">
        <v>19</v>
      </c>
      <c r="E18" s="176">
        <v>4</v>
      </c>
      <c r="F18" s="174">
        <v>1118</v>
      </c>
      <c r="G18" s="109">
        <f t="shared" si="0"/>
        <v>1.6710642040457344E-2</v>
      </c>
    </row>
    <row r="19" spans="1:7" ht="20" customHeight="1">
      <c r="A19" s="173" t="s">
        <v>2101</v>
      </c>
      <c r="B19" s="175">
        <v>981</v>
      </c>
      <c r="C19" s="175">
        <v>336</v>
      </c>
      <c r="D19" s="175">
        <v>24</v>
      </c>
      <c r="E19" s="176">
        <v>7</v>
      </c>
      <c r="F19" s="175">
        <v>957</v>
      </c>
      <c r="G19" s="109">
        <f t="shared" si="0"/>
        <v>2.4464831804281346E-2</v>
      </c>
    </row>
    <row r="20" spans="1:7" ht="20" customHeight="1">
      <c r="A20" s="173" t="s">
        <v>2102</v>
      </c>
      <c r="B20" s="175">
        <v>880</v>
      </c>
      <c r="C20" s="175">
        <v>51</v>
      </c>
      <c r="D20" s="175">
        <v>3</v>
      </c>
      <c r="E20" s="176">
        <v>1</v>
      </c>
      <c r="F20" s="175">
        <v>877</v>
      </c>
      <c r="G20" s="109">
        <f t="shared" si="0"/>
        <v>3.4090909090909089E-3</v>
      </c>
    </row>
    <row r="21" spans="1:7" ht="20" customHeight="1">
      <c r="A21" s="173" t="s">
        <v>2103</v>
      </c>
      <c r="B21" s="175">
        <v>842</v>
      </c>
      <c r="C21" s="175">
        <v>135</v>
      </c>
      <c r="D21" s="175">
        <v>14</v>
      </c>
      <c r="E21" s="176">
        <v>4</v>
      </c>
      <c r="F21" s="175">
        <v>826</v>
      </c>
      <c r="G21" s="109">
        <f t="shared" si="0"/>
        <v>1.66270783847981E-2</v>
      </c>
    </row>
    <row r="22" spans="1:7" ht="20" customHeight="1">
      <c r="A22" s="173" t="s">
        <v>2104</v>
      </c>
      <c r="B22" s="175">
        <v>774</v>
      </c>
      <c r="C22" s="175">
        <v>194</v>
      </c>
      <c r="D22" s="175">
        <v>5</v>
      </c>
      <c r="E22" s="176">
        <v>1</v>
      </c>
      <c r="F22" s="175">
        <v>744</v>
      </c>
      <c r="G22" s="109">
        <f t="shared" si="0"/>
        <v>6.4599483204134363E-3</v>
      </c>
    </row>
    <row r="23" spans="1:7" ht="20" customHeight="1">
      <c r="A23" s="173" t="s">
        <v>2105</v>
      </c>
      <c r="B23" s="175">
        <v>670</v>
      </c>
      <c r="C23" s="175">
        <v>168</v>
      </c>
      <c r="D23" s="175">
        <v>9</v>
      </c>
      <c r="E23" s="176">
        <v>1</v>
      </c>
      <c r="F23" s="175">
        <v>659</v>
      </c>
      <c r="G23" s="109">
        <f t="shared" si="0"/>
        <v>1.3432835820895522E-2</v>
      </c>
    </row>
    <row r="24" spans="1:7" ht="20" customHeight="1">
      <c r="A24" s="173" t="s">
        <v>2106</v>
      </c>
      <c r="B24" s="175">
        <v>665</v>
      </c>
      <c r="C24" s="175">
        <v>157</v>
      </c>
      <c r="D24" s="175">
        <v>13</v>
      </c>
      <c r="E24" s="176">
        <v>5</v>
      </c>
      <c r="F24" s="175">
        <v>649</v>
      </c>
      <c r="G24" s="109">
        <f t="shared" si="0"/>
        <v>1.9548872180451128E-2</v>
      </c>
    </row>
    <row r="25" spans="1:7" ht="20" customHeight="1">
      <c r="A25" s="173" t="s">
        <v>2107</v>
      </c>
      <c r="B25" s="175">
        <v>627</v>
      </c>
      <c r="C25" s="175">
        <v>96</v>
      </c>
      <c r="D25" s="175">
        <v>3</v>
      </c>
      <c r="E25" s="176">
        <v>2</v>
      </c>
      <c r="F25" s="175">
        <v>624</v>
      </c>
      <c r="G25" s="109">
        <f t="shared" si="0"/>
        <v>4.7846889952153108E-3</v>
      </c>
    </row>
    <row r="26" spans="1:7" ht="20" customHeight="1">
      <c r="A26" s="173" t="s">
        <v>2108</v>
      </c>
      <c r="B26" s="175">
        <v>604</v>
      </c>
      <c r="C26" s="175">
        <v>144</v>
      </c>
      <c r="D26" s="175">
        <v>14</v>
      </c>
      <c r="E26" s="176">
        <v>1</v>
      </c>
      <c r="F26" s="175">
        <v>588</v>
      </c>
      <c r="G26" s="109">
        <f t="shared" si="0"/>
        <v>2.3178807947019868E-2</v>
      </c>
    </row>
    <row r="27" spans="1:7" ht="20" customHeight="1">
      <c r="A27" s="173" t="s">
        <v>2109</v>
      </c>
      <c r="B27" s="175">
        <v>579</v>
      </c>
      <c r="C27" s="175">
        <v>94</v>
      </c>
      <c r="D27" s="175">
        <v>8</v>
      </c>
      <c r="E27" s="176">
        <v>3</v>
      </c>
      <c r="F27" s="175">
        <v>571</v>
      </c>
      <c r="G27" s="109">
        <f t="shared" si="0"/>
        <v>1.3816925734024179E-2</v>
      </c>
    </row>
    <row r="28" spans="1:7" ht="20" customHeight="1">
      <c r="A28" s="173" t="s">
        <v>2110</v>
      </c>
      <c r="B28" s="175">
        <v>539</v>
      </c>
      <c r="C28" s="175">
        <v>83</v>
      </c>
      <c r="D28" s="175">
        <v>13</v>
      </c>
      <c r="E28" s="176">
        <v>4</v>
      </c>
      <c r="F28" s="175">
        <v>526</v>
      </c>
      <c r="G28" s="109">
        <f t="shared" si="0"/>
        <v>2.4118738404452691E-2</v>
      </c>
    </row>
    <row r="29" spans="1:7" ht="20" customHeight="1">
      <c r="A29" s="173" t="s">
        <v>2111</v>
      </c>
      <c r="B29" s="175">
        <v>535</v>
      </c>
      <c r="C29" s="175">
        <v>115</v>
      </c>
      <c r="D29" s="175">
        <v>10</v>
      </c>
      <c r="E29" s="175"/>
      <c r="F29" s="175">
        <v>525</v>
      </c>
      <c r="G29" s="109">
        <f t="shared" si="0"/>
        <v>1.8691588785046728E-2</v>
      </c>
    </row>
    <row r="30" spans="1:7" ht="20" customHeight="1">
      <c r="A30" s="173" t="s">
        <v>2112</v>
      </c>
      <c r="B30" s="175">
        <v>480</v>
      </c>
      <c r="C30" s="175">
        <v>78</v>
      </c>
      <c r="D30" s="175">
        <v>2</v>
      </c>
      <c r="E30" s="176">
        <v>1</v>
      </c>
      <c r="F30" s="175">
        <v>478</v>
      </c>
      <c r="G30" s="109">
        <f t="shared" si="0"/>
        <v>4.1666666666666666E-3</v>
      </c>
    </row>
    <row r="31" spans="1:7" ht="20" customHeight="1">
      <c r="A31" s="173" t="s">
        <v>2113</v>
      </c>
      <c r="B31" s="175">
        <v>414</v>
      </c>
      <c r="C31" s="175">
        <v>98</v>
      </c>
      <c r="D31" s="175">
        <v>11</v>
      </c>
      <c r="E31" s="175"/>
      <c r="F31" s="175">
        <v>403</v>
      </c>
      <c r="G31" s="109">
        <f t="shared" si="0"/>
        <v>2.6570048309178744E-2</v>
      </c>
    </row>
    <row r="32" spans="1:7" ht="20" customHeight="1">
      <c r="A32" s="173" t="s">
        <v>2114</v>
      </c>
      <c r="B32" s="175">
        <v>398</v>
      </c>
      <c r="C32" s="175">
        <v>52</v>
      </c>
      <c r="D32" s="175">
        <v>4</v>
      </c>
      <c r="E32" s="176">
        <v>2</v>
      </c>
      <c r="F32" s="175">
        <v>260</v>
      </c>
      <c r="G32" s="109">
        <f t="shared" si="0"/>
        <v>1.0050251256281407E-2</v>
      </c>
    </row>
    <row r="33" spans="1:7" ht="20" customHeight="1">
      <c r="A33" s="173" t="s">
        <v>2115</v>
      </c>
      <c r="B33" s="175">
        <v>381</v>
      </c>
      <c r="C33" s="175">
        <v>46</v>
      </c>
      <c r="D33" s="175">
        <v>3</v>
      </c>
      <c r="E33" s="176">
        <v>1</v>
      </c>
      <c r="F33" s="175">
        <v>359</v>
      </c>
      <c r="G33" s="109">
        <f t="shared" si="0"/>
        <v>7.874015748031496E-3</v>
      </c>
    </row>
    <row r="34" spans="1:7" ht="20" customHeight="1">
      <c r="A34" s="173" t="s">
        <v>2116</v>
      </c>
      <c r="B34" s="175">
        <v>322</v>
      </c>
      <c r="C34" s="175">
        <v>72</v>
      </c>
      <c r="D34" s="175">
        <v>8</v>
      </c>
      <c r="E34" s="176">
        <v>1</v>
      </c>
      <c r="F34" s="175">
        <v>313</v>
      </c>
      <c r="G34" s="109">
        <f t="shared" si="0"/>
        <v>2.4844720496894408E-2</v>
      </c>
    </row>
    <row r="35" spans="1:7" ht="20" customHeight="1">
      <c r="A35" s="173" t="s">
        <v>2117</v>
      </c>
      <c r="B35" s="175">
        <v>304</v>
      </c>
      <c r="C35" s="175">
        <v>37</v>
      </c>
      <c r="D35" s="175">
        <v>4</v>
      </c>
      <c r="E35" s="176">
        <v>1</v>
      </c>
      <c r="F35" s="175">
        <v>249</v>
      </c>
      <c r="G35" s="109">
        <f t="shared" ref="G35:G59" si="1">D35/B35</f>
        <v>1.3157894736842105E-2</v>
      </c>
    </row>
    <row r="36" spans="1:7" ht="20" customHeight="1">
      <c r="A36" s="173" t="s">
        <v>2118</v>
      </c>
      <c r="B36" s="175">
        <v>302</v>
      </c>
      <c r="C36" s="175">
        <v>54</v>
      </c>
      <c r="D36" s="175">
        <v>8</v>
      </c>
      <c r="E36" s="176">
        <v>3</v>
      </c>
      <c r="F36" s="175">
        <v>292</v>
      </c>
      <c r="G36" s="109">
        <f t="shared" si="1"/>
        <v>2.6490066225165563E-2</v>
      </c>
    </row>
    <row r="37" spans="1:7" ht="20" customHeight="1">
      <c r="A37" s="173" t="s">
        <v>2119</v>
      </c>
      <c r="B37" s="175">
        <v>235</v>
      </c>
      <c r="C37" s="175">
        <v>55</v>
      </c>
      <c r="D37" s="175">
        <v>3</v>
      </c>
      <c r="E37" s="176">
        <v>2</v>
      </c>
      <c r="F37" s="175">
        <v>214</v>
      </c>
      <c r="G37" s="109">
        <f t="shared" si="1"/>
        <v>1.276595744680851E-2</v>
      </c>
    </row>
    <row r="38" spans="1:7" ht="20" customHeight="1">
      <c r="A38" s="173" t="s">
        <v>2120</v>
      </c>
      <c r="B38" s="175">
        <v>230</v>
      </c>
      <c r="C38" s="175">
        <v>41</v>
      </c>
      <c r="D38" s="175">
        <v>3</v>
      </c>
      <c r="E38" s="175"/>
      <c r="F38" s="175">
        <v>227</v>
      </c>
      <c r="G38" s="109">
        <f t="shared" si="1"/>
        <v>1.3043478260869565E-2</v>
      </c>
    </row>
    <row r="39" spans="1:7" ht="20" customHeight="1">
      <c r="A39" s="173" t="s">
        <v>2121</v>
      </c>
      <c r="B39" s="175">
        <v>203</v>
      </c>
      <c r="C39" s="175">
        <v>38</v>
      </c>
      <c r="D39" s="175"/>
      <c r="E39" s="175"/>
      <c r="F39" s="175">
        <v>203</v>
      </c>
      <c r="G39" s="109">
        <f t="shared" si="1"/>
        <v>0</v>
      </c>
    </row>
    <row r="40" spans="1:7" ht="20" customHeight="1">
      <c r="A40" s="173" t="s">
        <v>2122</v>
      </c>
      <c r="B40" s="175">
        <v>202</v>
      </c>
      <c r="C40" s="175">
        <v>34</v>
      </c>
      <c r="D40" s="175">
        <v>4</v>
      </c>
      <c r="E40" s="176">
        <v>1</v>
      </c>
      <c r="F40" s="175">
        <v>198</v>
      </c>
      <c r="G40" s="109">
        <f t="shared" si="1"/>
        <v>1.9801980198019802E-2</v>
      </c>
    </row>
    <row r="41" spans="1:7" ht="20" customHeight="1">
      <c r="A41" s="173" t="s">
        <v>2123</v>
      </c>
      <c r="B41" s="175">
        <v>191</v>
      </c>
      <c r="C41" s="175">
        <v>55</v>
      </c>
      <c r="D41" s="175">
        <v>1</v>
      </c>
      <c r="E41" s="175"/>
      <c r="F41" s="175">
        <v>190</v>
      </c>
      <c r="G41" s="109">
        <f t="shared" si="1"/>
        <v>5.235602094240838E-3</v>
      </c>
    </row>
    <row r="42" spans="1:7" ht="20" customHeight="1">
      <c r="A42" s="173" t="s">
        <v>2124</v>
      </c>
      <c r="B42" s="175">
        <v>187</v>
      </c>
      <c r="C42" s="175">
        <v>29</v>
      </c>
      <c r="D42" s="175">
        <v>2</v>
      </c>
      <c r="E42" s="176">
        <v>1</v>
      </c>
      <c r="F42" s="175">
        <v>185</v>
      </c>
      <c r="G42" s="109">
        <f t="shared" si="1"/>
        <v>1.06951871657754E-2</v>
      </c>
    </row>
    <row r="43" spans="1:7" ht="20" customHeight="1">
      <c r="A43" s="173" t="s">
        <v>2125</v>
      </c>
      <c r="B43" s="175">
        <v>184</v>
      </c>
      <c r="C43" s="175">
        <v>26</v>
      </c>
      <c r="D43" s="175">
        <v>10</v>
      </c>
      <c r="E43" s="176">
        <v>1</v>
      </c>
      <c r="F43" s="175">
        <v>174</v>
      </c>
      <c r="G43" s="109">
        <f t="shared" si="1"/>
        <v>5.434782608695652E-2</v>
      </c>
    </row>
    <row r="44" spans="1:7" ht="20" customHeight="1">
      <c r="A44" s="173" t="s">
        <v>2126</v>
      </c>
      <c r="B44" s="175">
        <v>168</v>
      </c>
      <c r="C44" s="175">
        <v>13</v>
      </c>
      <c r="D44" s="175">
        <v>1</v>
      </c>
      <c r="E44" s="176">
        <v>1</v>
      </c>
      <c r="F44" s="175">
        <v>151</v>
      </c>
      <c r="G44" s="109">
        <f t="shared" si="1"/>
        <v>5.9523809523809521E-3</v>
      </c>
    </row>
    <row r="45" spans="1:7" ht="20" customHeight="1">
      <c r="A45" s="173" t="s">
        <v>2127</v>
      </c>
      <c r="B45" s="175">
        <v>165</v>
      </c>
      <c r="C45" s="175">
        <v>35</v>
      </c>
      <c r="D45" s="175">
        <v>2</v>
      </c>
      <c r="E45" s="176">
        <v>1</v>
      </c>
      <c r="F45" s="175">
        <v>159</v>
      </c>
      <c r="G45" s="109">
        <f t="shared" si="1"/>
        <v>1.2121212121212121E-2</v>
      </c>
    </row>
    <row r="46" spans="1:7" ht="20" customHeight="1">
      <c r="A46" s="173" t="s">
        <v>2128</v>
      </c>
      <c r="B46" s="175">
        <v>121</v>
      </c>
      <c r="C46" s="175">
        <v>50</v>
      </c>
      <c r="D46" s="175">
        <v>1</v>
      </c>
      <c r="E46" s="176">
        <v>1</v>
      </c>
      <c r="F46" s="175">
        <v>120</v>
      </c>
      <c r="G46" s="109">
        <f t="shared" si="1"/>
        <v>8.2644628099173556E-3</v>
      </c>
    </row>
    <row r="47" spans="1:7" ht="20" customHeight="1">
      <c r="A47" s="173" t="s">
        <v>2129</v>
      </c>
      <c r="B47" s="175">
        <v>120</v>
      </c>
      <c r="C47" s="175">
        <v>14</v>
      </c>
      <c r="D47" s="175"/>
      <c r="E47" s="175"/>
      <c r="F47" s="175">
        <v>120</v>
      </c>
      <c r="G47" s="109">
        <f t="shared" si="1"/>
        <v>0</v>
      </c>
    </row>
    <row r="48" spans="1:7" ht="20" customHeight="1">
      <c r="A48" s="173" t="s">
        <v>2130</v>
      </c>
      <c r="B48" s="175">
        <v>96</v>
      </c>
      <c r="C48" s="175">
        <v>20</v>
      </c>
      <c r="D48" s="175">
        <v>1</v>
      </c>
      <c r="E48" s="176">
        <v>1</v>
      </c>
      <c r="F48" s="175">
        <v>95</v>
      </c>
      <c r="G48" s="109">
        <f t="shared" si="1"/>
        <v>1.0416666666666666E-2</v>
      </c>
    </row>
    <row r="49" spans="1:7" ht="20" customHeight="1">
      <c r="A49" s="173" t="s">
        <v>2131</v>
      </c>
      <c r="B49" s="175">
        <v>85</v>
      </c>
      <c r="C49" s="175">
        <v>17</v>
      </c>
      <c r="D49" s="175"/>
      <c r="E49" s="175"/>
      <c r="F49" s="175">
        <v>85</v>
      </c>
      <c r="G49" s="109">
        <f t="shared" si="1"/>
        <v>0</v>
      </c>
    </row>
    <row r="50" spans="1:7" ht="20" customHeight="1">
      <c r="A50" s="173" t="s">
        <v>2132</v>
      </c>
      <c r="B50" s="175">
        <v>73</v>
      </c>
      <c r="C50" s="175">
        <v>17</v>
      </c>
      <c r="D50" s="175"/>
      <c r="E50" s="175"/>
      <c r="F50" s="175">
        <v>73</v>
      </c>
      <c r="G50" s="109">
        <f t="shared" si="1"/>
        <v>0</v>
      </c>
    </row>
    <row r="51" spans="1:7" ht="20" customHeight="1">
      <c r="A51" s="173" t="s">
        <v>2133</v>
      </c>
      <c r="B51" s="175">
        <v>69</v>
      </c>
      <c r="C51" s="175">
        <v>10</v>
      </c>
      <c r="D51" s="175">
        <v>1</v>
      </c>
      <c r="E51" s="176">
        <v>1</v>
      </c>
      <c r="F51" s="175">
        <v>68</v>
      </c>
      <c r="G51" s="109">
        <f t="shared" si="1"/>
        <v>1.4492753623188406E-2</v>
      </c>
    </row>
    <row r="52" spans="1:7" ht="20" customHeight="1">
      <c r="A52" s="173" t="s">
        <v>2134</v>
      </c>
      <c r="B52" s="175">
        <v>68</v>
      </c>
      <c r="C52" s="175">
        <v>16</v>
      </c>
      <c r="D52" s="175">
        <v>1</v>
      </c>
      <c r="E52" s="176">
        <v>1</v>
      </c>
      <c r="F52" s="175">
        <v>52</v>
      </c>
      <c r="G52" s="109">
        <f t="shared" si="1"/>
        <v>1.4705882352941176E-2</v>
      </c>
    </row>
    <row r="53" spans="1:7" ht="20" customHeight="1">
      <c r="A53" s="173" t="s">
        <v>2135</v>
      </c>
      <c r="B53" s="175">
        <v>58</v>
      </c>
      <c r="C53" s="175">
        <v>12</v>
      </c>
      <c r="D53" s="175">
        <v>1</v>
      </c>
      <c r="E53" s="175"/>
      <c r="F53" s="175">
        <v>36</v>
      </c>
      <c r="G53" s="109">
        <f t="shared" si="1"/>
        <v>1.7241379310344827E-2</v>
      </c>
    </row>
    <row r="54" spans="1:7" ht="20" customHeight="1">
      <c r="A54" s="173" t="s">
        <v>2136</v>
      </c>
      <c r="B54" s="175">
        <v>51</v>
      </c>
      <c r="C54" s="175">
        <v>6</v>
      </c>
      <c r="D54" s="175">
        <v>1</v>
      </c>
      <c r="E54" s="175"/>
      <c r="F54" s="175">
        <v>50</v>
      </c>
      <c r="G54" s="109">
        <f t="shared" si="1"/>
        <v>1.9607843137254902E-2</v>
      </c>
    </row>
    <row r="55" spans="1:7" ht="20" customHeight="1">
      <c r="A55" s="173" t="s">
        <v>2137</v>
      </c>
      <c r="B55" s="175">
        <v>79</v>
      </c>
      <c r="C55" s="175">
        <v>15</v>
      </c>
      <c r="D55" s="175">
        <v>3</v>
      </c>
      <c r="E55" s="176">
        <v>1</v>
      </c>
      <c r="F55" s="175">
        <v>75</v>
      </c>
      <c r="G55" s="109">
        <f t="shared" si="1"/>
        <v>3.7974683544303799E-2</v>
      </c>
    </row>
    <row r="56" spans="1:7" ht="20" customHeight="1">
      <c r="A56" s="173" t="s">
        <v>2138</v>
      </c>
      <c r="B56" s="175">
        <v>19</v>
      </c>
      <c r="C56" s="175">
        <v>2</v>
      </c>
      <c r="D56" s="175"/>
      <c r="E56" s="175"/>
      <c r="F56" s="175">
        <v>19</v>
      </c>
      <c r="G56" s="109">
        <f t="shared" si="1"/>
        <v>0</v>
      </c>
    </row>
    <row r="57" spans="1:7" ht="20" customHeight="1">
      <c r="A57" s="177" t="s">
        <v>2139</v>
      </c>
      <c r="B57" s="175">
        <v>3</v>
      </c>
      <c r="C57" s="175"/>
      <c r="D57" s="175"/>
      <c r="E57" s="175"/>
      <c r="F57" s="175">
        <v>3</v>
      </c>
      <c r="G57" s="109">
        <f t="shared" si="1"/>
        <v>0</v>
      </c>
    </row>
    <row r="58" spans="1:7" ht="20" customHeight="1">
      <c r="A58" s="177" t="s">
        <v>2140</v>
      </c>
      <c r="B58" s="175">
        <v>46</v>
      </c>
      <c r="C58" s="175"/>
      <c r="D58" s="175"/>
      <c r="E58" s="175"/>
      <c r="F58" s="175">
        <v>46</v>
      </c>
      <c r="G58" s="109">
        <f t="shared" si="1"/>
        <v>0</v>
      </c>
    </row>
    <row r="59" spans="1:7" ht="20" customHeight="1">
      <c r="A59" s="175" t="s">
        <v>2141</v>
      </c>
      <c r="B59" s="174">
        <v>104256</v>
      </c>
      <c r="C59" s="178">
        <v>18691</v>
      </c>
      <c r="D59" s="174">
        <v>1704</v>
      </c>
      <c r="E59" s="176">
        <v>401</v>
      </c>
      <c r="F59" s="174">
        <v>100027</v>
      </c>
      <c r="G59" s="109">
        <f t="shared" si="1"/>
        <v>1.6344383057090239E-2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048576"/>
  <sheetViews>
    <sheetView zoomScale="131" workbookViewId="0">
      <selection activeCell="C53" sqref="C53"/>
    </sheetView>
  </sheetViews>
  <sheetFormatPr baseColWidth="10" defaultRowHeight="16"/>
  <cols>
    <col min="2" max="2" width="38" style="182" customWidth="1"/>
    <col min="3" max="3" width="15" style="182" customWidth="1"/>
    <col min="4" max="4" width="18.33203125" style="182" customWidth="1"/>
    <col min="6" max="6" width="19.6640625" style="182" customWidth="1"/>
  </cols>
  <sheetData>
    <row r="1" spans="1:8" ht="21" customHeight="1">
      <c r="A1" s="144" t="s">
        <v>2142</v>
      </c>
      <c r="B1" s="144" t="s">
        <v>2143</v>
      </c>
      <c r="C1" s="144" t="s">
        <v>2144</v>
      </c>
      <c r="D1" s="144" t="s">
        <v>2145</v>
      </c>
      <c r="E1" s="56"/>
      <c r="F1" s="57"/>
      <c r="G1" s="57"/>
      <c r="H1" s="57"/>
    </row>
    <row r="2" spans="1:8">
      <c r="A2" s="145">
        <v>43845</v>
      </c>
      <c r="B2" s="146">
        <v>515900</v>
      </c>
      <c r="C2" s="146" t="s">
        <v>2146</v>
      </c>
      <c r="D2" s="146">
        <v>1672264.65</v>
      </c>
      <c r="E2" s="58"/>
      <c r="F2" s="59"/>
      <c r="G2" s="133"/>
      <c r="H2" s="133"/>
    </row>
    <row r="3" spans="1:8">
      <c r="A3" s="145">
        <v>43845</v>
      </c>
      <c r="B3" s="146">
        <v>512880</v>
      </c>
      <c r="C3" s="146" t="s">
        <v>2147</v>
      </c>
      <c r="D3" s="146">
        <v>1490183.17</v>
      </c>
      <c r="E3" s="58"/>
      <c r="F3" s="59"/>
      <c r="G3" s="133"/>
      <c r="H3" s="133"/>
    </row>
    <row r="4" spans="1:8">
      <c r="A4" s="145">
        <v>43845</v>
      </c>
      <c r="B4" s="146">
        <v>510050</v>
      </c>
      <c r="C4" s="146" t="s">
        <v>2148</v>
      </c>
      <c r="D4" s="146">
        <v>1479036.68</v>
      </c>
      <c r="E4" s="58"/>
      <c r="F4" s="59"/>
      <c r="G4" s="133"/>
      <c r="H4" s="133"/>
    </row>
    <row r="5" spans="1:8">
      <c r="A5" s="145">
        <v>43845</v>
      </c>
      <c r="B5" s="146">
        <v>512960</v>
      </c>
      <c r="C5" s="146" t="s">
        <v>2149</v>
      </c>
      <c r="D5" s="146">
        <v>1331825.73</v>
      </c>
      <c r="E5" s="58"/>
      <c r="F5" s="59"/>
      <c r="G5" s="133"/>
      <c r="H5" s="133"/>
    </row>
    <row r="6" spans="1:8">
      <c r="A6" s="145">
        <v>43845</v>
      </c>
      <c r="B6" s="146">
        <v>515680</v>
      </c>
      <c r="C6" s="146" t="s">
        <v>2150</v>
      </c>
      <c r="D6" s="146">
        <v>1308426.47</v>
      </c>
      <c r="E6" s="58"/>
      <c r="F6" s="59"/>
      <c r="G6" s="133"/>
      <c r="H6" s="133"/>
    </row>
    <row r="7" spans="1:8">
      <c r="A7" s="145">
        <v>43845</v>
      </c>
      <c r="B7" s="146">
        <v>512950</v>
      </c>
      <c r="C7" s="146" t="s">
        <v>2151</v>
      </c>
      <c r="D7" s="146">
        <v>1306355.1000000001</v>
      </c>
      <c r="E7" s="58"/>
      <c r="F7" s="59"/>
      <c r="G7" s="133"/>
      <c r="H7" s="133"/>
    </row>
    <row r="8" spans="1:8">
      <c r="A8" s="145">
        <v>43845</v>
      </c>
      <c r="B8" s="146">
        <v>510810</v>
      </c>
      <c r="C8" s="146" t="s">
        <v>848</v>
      </c>
      <c r="D8" s="146">
        <v>1253709.3700000001</v>
      </c>
      <c r="E8" s="58"/>
      <c r="F8" s="59"/>
      <c r="G8" s="133"/>
      <c r="H8" s="133"/>
    </row>
    <row r="9" spans="1:8">
      <c r="A9" s="145">
        <v>43845</v>
      </c>
      <c r="B9" s="146">
        <v>510300</v>
      </c>
      <c r="C9" s="146" t="s">
        <v>2152</v>
      </c>
      <c r="D9" s="146">
        <v>1062318.77</v>
      </c>
      <c r="E9" s="58"/>
      <c r="F9" s="59"/>
      <c r="G9" s="133"/>
      <c r="H9" s="133"/>
    </row>
    <row r="10" spans="1:8">
      <c r="A10" s="145">
        <v>43845</v>
      </c>
      <c r="B10" s="146">
        <v>515600</v>
      </c>
      <c r="C10" s="146" t="s">
        <v>2153</v>
      </c>
      <c r="D10" s="146">
        <v>872479.74</v>
      </c>
      <c r="E10" s="58"/>
      <c r="F10" s="59"/>
      <c r="G10" s="133"/>
      <c r="H10" s="133"/>
    </row>
    <row r="11" spans="1:8">
      <c r="A11" s="145">
        <v>43845</v>
      </c>
      <c r="B11" s="146">
        <v>515110</v>
      </c>
      <c r="C11" s="146" t="s">
        <v>2154</v>
      </c>
      <c r="D11" s="146">
        <v>835829.5</v>
      </c>
      <c r="E11" s="58"/>
      <c r="F11" s="59"/>
      <c r="G11" s="133"/>
      <c r="H11" s="133"/>
    </row>
    <row r="12" spans="1:8">
      <c r="A12" s="145">
        <v>43845</v>
      </c>
      <c r="B12" s="146">
        <v>510500</v>
      </c>
      <c r="C12" s="146" t="s">
        <v>2155</v>
      </c>
      <c r="D12" s="146">
        <v>787746.72</v>
      </c>
      <c r="E12" s="58"/>
      <c r="F12" s="59"/>
      <c r="G12" s="133"/>
      <c r="H12" s="133"/>
    </row>
    <row r="13" spans="1:8">
      <c r="A13" s="145">
        <v>43845</v>
      </c>
      <c r="B13" s="146">
        <v>510330</v>
      </c>
      <c r="C13" s="146" t="s">
        <v>2156</v>
      </c>
      <c r="D13" s="146">
        <v>770244.98</v>
      </c>
      <c r="E13" s="58"/>
      <c r="F13" s="59"/>
      <c r="G13" s="133"/>
      <c r="H13" s="133"/>
    </row>
    <row r="14" spans="1:8">
      <c r="A14" s="145">
        <v>43845</v>
      </c>
      <c r="B14" s="146">
        <v>510900</v>
      </c>
      <c r="C14" s="146" t="s">
        <v>2157</v>
      </c>
      <c r="D14" s="146">
        <v>767202.19</v>
      </c>
      <c r="E14" s="58"/>
      <c r="F14" s="59"/>
      <c r="G14" s="133"/>
      <c r="H14" s="133"/>
    </row>
    <row r="15" spans="1:8">
      <c r="A15" s="145">
        <v>43845</v>
      </c>
      <c r="B15" s="146">
        <v>515150</v>
      </c>
      <c r="C15" s="146" t="s">
        <v>2158</v>
      </c>
      <c r="D15" s="146">
        <v>760870.32</v>
      </c>
      <c r="E15" s="58"/>
      <c r="F15" s="59"/>
      <c r="G15" s="133"/>
      <c r="H15" s="133"/>
    </row>
    <row r="16" spans="1:8">
      <c r="A16" s="145">
        <v>43845</v>
      </c>
      <c r="B16" s="146">
        <v>515050</v>
      </c>
      <c r="C16" s="146" t="s">
        <v>2159</v>
      </c>
      <c r="D16" s="146">
        <v>712097.42</v>
      </c>
      <c r="E16" s="58"/>
      <c r="F16" s="59"/>
      <c r="G16" s="133"/>
      <c r="H16" s="133"/>
    </row>
    <row r="17" spans="1:8">
      <c r="A17" s="145">
        <v>43845</v>
      </c>
      <c r="B17" s="146">
        <v>512000</v>
      </c>
      <c r="C17" s="146" t="s">
        <v>2160</v>
      </c>
      <c r="D17" s="146">
        <v>710641.77</v>
      </c>
      <c r="E17" s="58"/>
      <c r="F17" s="59"/>
      <c r="G17" s="133"/>
      <c r="H17" s="133"/>
    </row>
    <row r="18" spans="1:8">
      <c r="A18" s="145">
        <v>43845</v>
      </c>
      <c r="B18" s="146">
        <v>512710</v>
      </c>
      <c r="C18" s="146" t="s">
        <v>2161</v>
      </c>
      <c r="D18" s="146">
        <v>611232.92000000004</v>
      </c>
      <c r="E18" s="58"/>
      <c r="F18" s="59"/>
      <c r="G18" s="133"/>
      <c r="H18" s="133"/>
    </row>
    <row r="19" spans="1:8">
      <c r="A19" s="145">
        <v>43845</v>
      </c>
      <c r="B19" s="146">
        <v>515000</v>
      </c>
      <c r="C19" s="146" t="s">
        <v>2162</v>
      </c>
      <c r="D19" s="146">
        <v>593528.9</v>
      </c>
      <c r="E19" s="58"/>
      <c r="F19" s="59"/>
      <c r="G19" s="133"/>
      <c r="H19" s="133"/>
    </row>
    <row r="20" spans="1:8">
      <c r="A20" s="145">
        <v>43845</v>
      </c>
      <c r="B20" s="146">
        <v>510180</v>
      </c>
      <c r="C20" s="146" t="s">
        <v>2163</v>
      </c>
      <c r="D20" s="146">
        <v>562455.77</v>
      </c>
      <c r="E20" s="58"/>
      <c r="F20" s="59"/>
      <c r="G20" s="133"/>
      <c r="H20" s="133"/>
    </row>
    <row r="21" spans="1:8">
      <c r="A21" s="145">
        <v>43845</v>
      </c>
      <c r="B21" s="146">
        <v>510310</v>
      </c>
      <c r="C21" s="146" t="s">
        <v>2164</v>
      </c>
      <c r="D21" s="146">
        <v>485630.74</v>
      </c>
      <c r="E21" s="58"/>
      <c r="F21" s="59"/>
      <c r="G21" s="133"/>
      <c r="H21" s="133"/>
    </row>
    <row r="22" spans="1:8">
      <c r="A22" s="145">
        <v>43845</v>
      </c>
      <c r="B22" s="146">
        <v>510380</v>
      </c>
      <c r="C22" s="146" t="s">
        <v>2165</v>
      </c>
      <c r="D22" s="146">
        <v>472880.24</v>
      </c>
      <c r="E22" s="60"/>
      <c r="F22" s="59"/>
      <c r="G22" s="133"/>
      <c r="H22" s="133"/>
    </row>
    <row r="23" spans="1:8">
      <c r="A23" s="145">
        <v>43845</v>
      </c>
      <c r="B23" s="146">
        <v>512970</v>
      </c>
      <c r="C23" s="146" t="s">
        <v>2166</v>
      </c>
      <c r="D23" s="146">
        <v>469298.76</v>
      </c>
      <c r="E23" s="58"/>
      <c r="F23" s="59"/>
      <c r="G23" s="133"/>
      <c r="H23" s="133"/>
    </row>
    <row r="24" spans="1:8">
      <c r="A24" s="145">
        <v>43845</v>
      </c>
      <c r="B24" s="146">
        <v>515800</v>
      </c>
      <c r="C24" s="146" t="s">
        <v>2167</v>
      </c>
      <c r="D24" s="146">
        <v>448543.72</v>
      </c>
      <c r="E24" s="58"/>
      <c r="F24" s="59"/>
      <c r="G24" s="133"/>
      <c r="H24" s="133"/>
    </row>
    <row r="25" spans="1:8">
      <c r="A25" s="145">
        <v>43845</v>
      </c>
      <c r="B25" s="146">
        <v>515330</v>
      </c>
      <c r="C25" s="146" t="s">
        <v>2168</v>
      </c>
      <c r="D25" s="146">
        <v>431670.95</v>
      </c>
      <c r="E25" s="58"/>
      <c r="F25" s="59"/>
      <c r="G25" s="133"/>
      <c r="H25" s="133"/>
    </row>
    <row r="26" spans="1:8">
      <c r="A26" s="145">
        <v>43845</v>
      </c>
      <c r="B26" s="146">
        <v>512650</v>
      </c>
      <c r="C26" s="146" t="s">
        <v>2169</v>
      </c>
      <c r="D26" s="146">
        <v>423894.16</v>
      </c>
      <c r="E26" s="58"/>
      <c r="F26" s="59"/>
      <c r="G26" s="133"/>
      <c r="H26" s="133"/>
    </row>
    <row r="27" spans="1:8">
      <c r="A27" s="145">
        <v>43845</v>
      </c>
      <c r="B27" s="146">
        <v>515990</v>
      </c>
      <c r="C27" s="146" t="s">
        <v>2170</v>
      </c>
      <c r="D27" s="146">
        <v>362435.02</v>
      </c>
      <c r="E27" s="60"/>
      <c r="F27" s="59"/>
      <c r="G27" s="133"/>
      <c r="H27" s="133"/>
    </row>
    <row r="28" spans="1:8">
      <c r="A28" s="145">
        <v>43845</v>
      </c>
      <c r="B28" s="146">
        <v>512660</v>
      </c>
      <c r="C28" s="146" t="s">
        <v>2171</v>
      </c>
      <c r="D28" s="146">
        <v>333603.59999999998</v>
      </c>
      <c r="E28" s="58"/>
      <c r="F28" s="59"/>
      <c r="G28" s="133"/>
      <c r="H28" s="133"/>
    </row>
    <row r="29" spans="1:8">
      <c r="A29" s="145">
        <v>43845</v>
      </c>
      <c r="B29" s="146">
        <v>510510</v>
      </c>
      <c r="C29" s="146" t="s">
        <v>2172</v>
      </c>
      <c r="D29" s="146">
        <v>332088.40000000002</v>
      </c>
      <c r="E29" s="58"/>
      <c r="F29" s="59"/>
      <c r="G29" s="133"/>
      <c r="H29" s="133"/>
    </row>
    <row r="30" spans="1:8">
      <c r="A30" s="145">
        <v>43845</v>
      </c>
      <c r="B30" s="146">
        <v>510360</v>
      </c>
      <c r="C30" s="146" t="s">
        <v>2173</v>
      </c>
      <c r="D30" s="146">
        <v>279838.12</v>
      </c>
      <c r="E30" s="58"/>
      <c r="F30" s="59"/>
      <c r="G30" s="133"/>
      <c r="H30" s="133"/>
    </row>
    <row r="31" spans="1:8">
      <c r="A31" s="145">
        <v>43845</v>
      </c>
      <c r="B31" s="146">
        <v>512980</v>
      </c>
      <c r="C31" s="146" t="s">
        <v>2174</v>
      </c>
      <c r="D31" s="146">
        <v>261172.44</v>
      </c>
      <c r="E31" s="58"/>
      <c r="F31" s="59"/>
      <c r="G31" s="133"/>
      <c r="H31" s="133"/>
    </row>
    <row r="32" spans="1:8">
      <c r="A32" s="145">
        <v>43845</v>
      </c>
      <c r="B32" s="146">
        <v>512800</v>
      </c>
      <c r="C32" s="146" t="s">
        <v>2175</v>
      </c>
      <c r="D32" s="146">
        <v>239403.01</v>
      </c>
      <c r="E32" s="60"/>
      <c r="F32" s="59"/>
      <c r="G32" s="133"/>
      <c r="H32" s="133"/>
    </row>
    <row r="33" spans="1:8">
      <c r="A33" s="145">
        <v>43845</v>
      </c>
      <c r="B33" s="146">
        <v>512900</v>
      </c>
      <c r="C33" s="146" t="s">
        <v>2176</v>
      </c>
      <c r="D33" s="146">
        <v>234830.92</v>
      </c>
      <c r="E33" s="58"/>
      <c r="F33" s="59"/>
      <c r="G33" s="133"/>
      <c r="H33" s="133"/>
    </row>
    <row r="34" spans="1:8">
      <c r="A34" s="145">
        <v>43845</v>
      </c>
      <c r="B34" s="146">
        <v>512580</v>
      </c>
      <c r="C34" s="146" t="s">
        <v>2177</v>
      </c>
      <c r="D34" s="146">
        <v>229887.17</v>
      </c>
      <c r="E34" s="58"/>
      <c r="F34" s="59"/>
      <c r="G34" s="133"/>
      <c r="H34" s="133"/>
    </row>
    <row r="35" spans="1:8">
      <c r="A35" s="145">
        <v>43845</v>
      </c>
      <c r="B35" s="146">
        <v>512760</v>
      </c>
      <c r="C35" s="146" t="s">
        <v>2178</v>
      </c>
      <c r="D35" s="146">
        <v>216289.13</v>
      </c>
      <c r="E35" s="58"/>
      <c r="F35" s="59"/>
      <c r="G35" s="133"/>
      <c r="H35" s="133"/>
    </row>
    <row r="36" spans="1:8">
      <c r="A36" s="145">
        <v>43845</v>
      </c>
      <c r="B36" s="146">
        <v>518880</v>
      </c>
      <c r="C36" s="146" t="s">
        <v>2179</v>
      </c>
      <c r="D36" s="146">
        <v>209794.08</v>
      </c>
      <c r="E36" s="58"/>
      <c r="F36" s="59"/>
      <c r="G36" s="133"/>
      <c r="H36" s="133"/>
    </row>
    <row r="37" spans="1:8">
      <c r="A37" s="145">
        <v>43845</v>
      </c>
      <c r="B37" s="146">
        <v>512500</v>
      </c>
      <c r="C37" s="146" t="s">
        <v>42</v>
      </c>
      <c r="D37" s="146">
        <v>205115.28</v>
      </c>
      <c r="E37" s="58"/>
      <c r="F37" s="59"/>
      <c r="G37" s="133"/>
      <c r="H37" s="133"/>
    </row>
    <row r="38" spans="1:8">
      <c r="A38" s="145">
        <v>43845</v>
      </c>
      <c r="B38" s="146">
        <v>510850</v>
      </c>
      <c r="C38" s="146" t="s">
        <v>2180</v>
      </c>
      <c r="D38" s="146">
        <v>185029.89</v>
      </c>
      <c r="E38" s="58"/>
      <c r="F38" s="59"/>
      <c r="G38" s="133"/>
      <c r="H38" s="133"/>
    </row>
    <row r="39" spans="1:8">
      <c r="A39" s="145">
        <v>43845</v>
      </c>
      <c r="B39" s="146">
        <v>515750</v>
      </c>
      <c r="C39" s="146" t="s">
        <v>2181</v>
      </c>
      <c r="D39" s="146">
        <v>132307.22</v>
      </c>
      <c r="E39" s="58"/>
      <c r="F39" s="59"/>
      <c r="G39" s="133"/>
      <c r="H39" s="133"/>
    </row>
    <row r="40" spans="1:8">
      <c r="A40" s="145">
        <v>43845</v>
      </c>
      <c r="B40" s="146">
        <v>512380</v>
      </c>
      <c r="C40" s="146" t="s">
        <v>2182</v>
      </c>
      <c r="D40" s="146">
        <v>124880.56</v>
      </c>
      <c r="E40" s="58"/>
      <c r="F40" s="59"/>
      <c r="G40" s="133"/>
      <c r="H40" s="133"/>
    </row>
    <row r="41" spans="1:8">
      <c r="A41" s="145">
        <v>43845</v>
      </c>
      <c r="B41" s="146">
        <v>510390</v>
      </c>
      <c r="C41" s="146" t="s">
        <v>2183</v>
      </c>
      <c r="D41" s="146">
        <v>124085</v>
      </c>
      <c r="E41" s="58"/>
      <c r="F41" s="59"/>
      <c r="G41" s="133"/>
      <c r="H41" s="133"/>
    </row>
    <row r="42" spans="1:8">
      <c r="A42" s="145">
        <v>43845</v>
      </c>
      <c r="B42" s="146">
        <v>510880</v>
      </c>
      <c r="C42" s="146" t="s">
        <v>2184</v>
      </c>
      <c r="D42" s="146">
        <v>118917.57</v>
      </c>
      <c r="E42" s="60"/>
      <c r="F42" s="59"/>
      <c r="G42" s="133"/>
      <c r="H42" s="133"/>
    </row>
    <row r="43" spans="1:8">
      <c r="A43" s="145">
        <v>43845</v>
      </c>
      <c r="B43" s="146">
        <v>513050</v>
      </c>
      <c r="C43" s="146" t="s">
        <v>2185</v>
      </c>
      <c r="D43" s="146">
        <v>114543.27</v>
      </c>
      <c r="E43" s="60"/>
      <c r="F43" s="59"/>
      <c r="G43" s="133"/>
      <c r="H43" s="133"/>
    </row>
    <row r="44" spans="1:8">
      <c r="A44" s="145">
        <v>43845</v>
      </c>
      <c r="B44" s="146">
        <v>510890</v>
      </c>
      <c r="C44" s="146" t="s">
        <v>2186</v>
      </c>
      <c r="D44" s="146">
        <v>110556.17</v>
      </c>
      <c r="E44" s="58"/>
      <c r="F44" s="59"/>
      <c r="G44" s="133"/>
      <c r="H44" s="133"/>
    </row>
    <row r="45" spans="1:8">
      <c r="A45" s="145">
        <v>43845</v>
      </c>
      <c r="B45" s="146">
        <v>510350</v>
      </c>
      <c r="C45" s="146" t="s">
        <v>2187</v>
      </c>
      <c r="D45" s="146">
        <v>96131.47</v>
      </c>
      <c r="E45" s="58"/>
      <c r="F45" s="59"/>
      <c r="G45" s="133"/>
      <c r="H45" s="133"/>
    </row>
    <row r="46" spans="1:8">
      <c r="A46" s="145">
        <v>43845</v>
      </c>
      <c r="B46" s="146">
        <v>510160</v>
      </c>
      <c r="C46" s="146" t="s">
        <v>2188</v>
      </c>
      <c r="D46" s="146">
        <v>93005.74</v>
      </c>
      <c r="E46" s="58"/>
      <c r="F46" s="59"/>
      <c r="G46" s="133"/>
      <c r="H46" s="133"/>
    </row>
    <row r="47" spans="1:8">
      <c r="A47" s="145">
        <v>43845</v>
      </c>
      <c r="B47" s="146">
        <v>515880</v>
      </c>
      <c r="C47" s="146" t="s">
        <v>2189</v>
      </c>
      <c r="D47" s="146">
        <v>91746.23</v>
      </c>
      <c r="E47" s="58"/>
      <c r="F47" s="59"/>
      <c r="G47" s="133"/>
      <c r="H47" s="133"/>
    </row>
    <row r="48" spans="1:8">
      <c r="A48" s="145">
        <v>43845</v>
      </c>
      <c r="B48" s="146">
        <v>512330</v>
      </c>
      <c r="C48" s="146" t="s">
        <v>762</v>
      </c>
      <c r="D48" s="146">
        <v>86718.8</v>
      </c>
      <c r="E48" s="60"/>
      <c r="F48" s="59"/>
      <c r="G48" s="133"/>
      <c r="H48" s="133"/>
    </row>
    <row r="49" spans="1:8">
      <c r="A49" s="145">
        <v>43845</v>
      </c>
      <c r="B49" s="146">
        <v>512070</v>
      </c>
      <c r="C49" s="146" t="s">
        <v>2190</v>
      </c>
      <c r="D49" s="146">
        <v>85915.99</v>
      </c>
      <c r="E49" s="58"/>
      <c r="F49" s="59"/>
      <c r="G49" s="133"/>
      <c r="H49" s="133"/>
    </row>
    <row r="50" spans="1:8">
      <c r="A50" s="145">
        <v>43845</v>
      </c>
      <c r="B50" s="146">
        <v>510230</v>
      </c>
      <c r="C50" s="146" t="s">
        <v>2191</v>
      </c>
      <c r="D50" s="146">
        <v>84326.16</v>
      </c>
      <c r="E50" s="58"/>
      <c r="F50" s="59"/>
      <c r="G50" s="133"/>
      <c r="H50" s="133"/>
    </row>
    <row r="51" spans="1:8">
      <c r="A51" s="145">
        <v>43845</v>
      </c>
      <c r="B51" s="146">
        <v>512400</v>
      </c>
      <c r="C51" s="146" t="s">
        <v>2192</v>
      </c>
      <c r="D51" s="146">
        <v>80872.22</v>
      </c>
      <c r="E51" s="58"/>
      <c r="F51" s="59"/>
      <c r="G51" s="133"/>
      <c r="H51" s="133"/>
    </row>
    <row r="52" spans="1:8">
      <c r="A52" s="145">
        <v>43845</v>
      </c>
      <c r="B52" s="146">
        <v>515180</v>
      </c>
      <c r="C52" s="146" t="s">
        <v>2193</v>
      </c>
      <c r="D52" s="146">
        <v>79563.7</v>
      </c>
      <c r="E52" s="58"/>
      <c r="F52" s="59"/>
      <c r="G52" s="133"/>
      <c r="H52" s="133"/>
    </row>
    <row r="53" spans="1:8">
      <c r="A53" s="145">
        <v>43845</v>
      </c>
      <c r="B53" s="146">
        <v>513500</v>
      </c>
      <c r="C53" s="146" t="s">
        <v>204</v>
      </c>
      <c r="D53" s="146">
        <v>77181.929999999993</v>
      </c>
      <c r="E53" s="60"/>
      <c r="F53" s="59"/>
      <c r="G53" s="133"/>
      <c r="H53" s="133"/>
    </row>
    <row r="54" spans="1:8">
      <c r="A54" s="145">
        <v>43845</v>
      </c>
      <c r="B54" s="146">
        <v>515580</v>
      </c>
      <c r="C54" s="146" t="s">
        <v>2194</v>
      </c>
      <c r="D54" s="146">
        <v>71001.570000000007</v>
      </c>
      <c r="E54" s="58"/>
      <c r="F54" s="59"/>
      <c r="G54" s="133"/>
      <c r="H54" s="133"/>
    </row>
    <row r="55" spans="1:8">
      <c r="A55" s="145">
        <v>43845</v>
      </c>
      <c r="B55" s="146">
        <v>512010</v>
      </c>
      <c r="C55" s="146" t="s">
        <v>2195</v>
      </c>
      <c r="D55" s="146">
        <v>70717.37</v>
      </c>
      <c r="E55" s="58"/>
      <c r="F55" s="59"/>
      <c r="G55" s="133"/>
      <c r="H55" s="133"/>
    </row>
    <row r="56" spans="1:8">
      <c r="A56" s="145">
        <v>43845</v>
      </c>
      <c r="B56" s="146">
        <v>515860</v>
      </c>
      <c r="C56" s="146" t="s">
        <v>2196</v>
      </c>
      <c r="D56" s="146">
        <v>68987.89</v>
      </c>
      <c r="E56" s="58"/>
      <c r="F56" s="59"/>
      <c r="G56" s="133"/>
      <c r="H56" s="133"/>
    </row>
    <row r="57" spans="1:8">
      <c r="A57" s="145">
        <v>43845</v>
      </c>
      <c r="B57" s="146">
        <v>515200</v>
      </c>
      <c r="C57" s="146" t="s">
        <v>2197</v>
      </c>
      <c r="D57" s="146">
        <v>63694.32</v>
      </c>
      <c r="E57" s="58"/>
      <c r="F57" s="59"/>
      <c r="G57" s="133"/>
      <c r="H57" s="133"/>
    </row>
    <row r="58" spans="1:8">
      <c r="A58" s="145">
        <v>43845</v>
      </c>
      <c r="B58" s="146">
        <v>510560</v>
      </c>
      <c r="C58" s="146" t="s">
        <v>2198</v>
      </c>
      <c r="D58" s="146">
        <v>63631.87</v>
      </c>
      <c r="E58" s="60"/>
      <c r="F58" s="59"/>
      <c r="G58" s="133"/>
      <c r="H58" s="133"/>
    </row>
    <row r="59" spans="1:8">
      <c r="A59" s="145">
        <v>43845</v>
      </c>
      <c r="B59" s="146">
        <v>512480</v>
      </c>
      <c r="C59" s="146" t="s">
        <v>276</v>
      </c>
      <c r="D59" s="146">
        <v>63550.18</v>
      </c>
      <c r="E59" s="60"/>
      <c r="F59" s="59"/>
      <c r="G59" s="133"/>
      <c r="H59" s="133"/>
    </row>
    <row r="60" spans="1:8">
      <c r="A60" s="145">
        <v>43845</v>
      </c>
      <c r="B60" s="146">
        <v>515070</v>
      </c>
      <c r="C60" s="146" t="s">
        <v>2199</v>
      </c>
      <c r="D60" s="146">
        <v>63047.02</v>
      </c>
      <c r="E60" s="60"/>
      <c r="F60" s="59"/>
      <c r="G60" s="133"/>
      <c r="H60" s="133"/>
    </row>
    <row r="61" spans="1:8">
      <c r="A61" s="145">
        <v>43845</v>
      </c>
      <c r="B61" s="146">
        <v>512160</v>
      </c>
      <c r="C61" s="146" t="s">
        <v>2200</v>
      </c>
      <c r="D61" s="146">
        <v>60377.78</v>
      </c>
      <c r="E61" s="58"/>
      <c r="F61" s="59"/>
      <c r="G61" s="133"/>
      <c r="H61" s="133"/>
    </row>
    <row r="62" spans="1:8">
      <c r="A62" s="145">
        <v>43845</v>
      </c>
      <c r="B62" s="146">
        <v>512680</v>
      </c>
      <c r="C62" s="146" t="s">
        <v>2201</v>
      </c>
      <c r="D62" s="146">
        <v>58973.01</v>
      </c>
      <c r="E62" s="58"/>
      <c r="F62" s="59"/>
      <c r="G62" s="133"/>
      <c r="H62" s="133"/>
    </row>
    <row r="63" spans="1:8">
      <c r="A63" s="145">
        <v>43845</v>
      </c>
      <c r="B63" s="146">
        <v>512510</v>
      </c>
      <c r="C63" s="146" t="s">
        <v>2202</v>
      </c>
      <c r="D63" s="146">
        <v>56642.98</v>
      </c>
      <c r="E63" s="58"/>
      <c r="F63" s="59"/>
      <c r="G63" s="133"/>
      <c r="H63" s="133"/>
    </row>
    <row r="64" spans="1:8">
      <c r="A64" s="145">
        <v>43845</v>
      </c>
      <c r="B64" s="146">
        <v>512910</v>
      </c>
      <c r="C64" s="146" t="s">
        <v>2203</v>
      </c>
      <c r="D64" s="146">
        <v>51623.5</v>
      </c>
      <c r="E64" s="58"/>
      <c r="F64" s="59"/>
      <c r="G64" s="133"/>
      <c r="H64" s="133"/>
    </row>
    <row r="65" spans="1:8">
      <c r="A65" s="145">
        <v>43845</v>
      </c>
      <c r="B65" s="146">
        <v>512750</v>
      </c>
      <c r="C65" s="146" t="s">
        <v>877</v>
      </c>
      <c r="D65" s="146">
        <v>51185.49</v>
      </c>
      <c r="E65" s="58"/>
      <c r="F65" s="59"/>
      <c r="G65" s="133"/>
      <c r="H65" s="133"/>
    </row>
    <row r="66" spans="1:8">
      <c r="A66" s="145">
        <v>43845</v>
      </c>
      <c r="B66" s="146">
        <v>515660</v>
      </c>
      <c r="C66" s="146" t="s">
        <v>2204</v>
      </c>
      <c r="D66" s="146">
        <v>49299.42</v>
      </c>
      <c r="E66" s="60"/>
      <c r="F66" s="59"/>
      <c r="G66" s="133"/>
      <c r="H66" s="133"/>
    </row>
    <row r="67" spans="1:8">
      <c r="A67" s="145">
        <v>43845</v>
      </c>
      <c r="B67" s="146">
        <v>515650</v>
      </c>
      <c r="C67" s="146" t="s">
        <v>2205</v>
      </c>
      <c r="D67" s="146">
        <v>47318.400000000001</v>
      </c>
      <c r="E67" s="58"/>
      <c r="F67" s="59"/>
      <c r="G67" s="133"/>
      <c r="H67" s="133"/>
    </row>
    <row r="68" spans="1:8">
      <c r="A68" s="145">
        <v>43845</v>
      </c>
      <c r="B68" s="146">
        <v>510590</v>
      </c>
      <c r="C68" s="146" t="s">
        <v>2206</v>
      </c>
      <c r="D68" s="146">
        <v>44758.61</v>
      </c>
      <c r="E68" s="60"/>
      <c r="F68" s="59"/>
      <c r="G68" s="133"/>
      <c r="H68" s="133"/>
    </row>
    <row r="69" spans="1:8">
      <c r="A69" s="145">
        <v>43845</v>
      </c>
      <c r="B69" s="146">
        <v>512990</v>
      </c>
      <c r="C69" s="146" t="s">
        <v>2207</v>
      </c>
      <c r="D69" s="146">
        <v>43751.54</v>
      </c>
      <c r="E69" s="58"/>
      <c r="F69" s="59"/>
      <c r="G69" s="133"/>
      <c r="H69" s="133"/>
    </row>
    <row r="70" spans="1:8">
      <c r="A70" s="145">
        <v>43845</v>
      </c>
      <c r="B70" s="146">
        <v>512090</v>
      </c>
      <c r="C70" s="146" t="s">
        <v>2208</v>
      </c>
      <c r="D70" s="146">
        <v>43559.23</v>
      </c>
      <c r="E70" s="58"/>
      <c r="F70" s="59"/>
      <c r="G70" s="133"/>
      <c r="H70" s="133"/>
    </row>
    <row r="71" spans="1:8">
      <c r="A71" s="145">
        <v>43845</v>
      </c>
      <c r="B71" s="146">
        <v>512290</v>
      </c>
      <c r="C71" s="146" t="s">
        <v>1080</v>
      </c>
      <c r="D71" s="146">
        <v>42382.07</v>
      </c>
      <c r="E71" s="58"/>
      <c r="F71" s="59"/>
      <c r="G71" s="133"/>
      <c r="H71" s="133"/>
    </row>
    <row r="72" spans="1:8">
      <c r="A72" s="145">
        <v>43845</v>
      </c>
      <c r="B72" s="146">
        <v>513030</v>
      </c>
      <c r="C72" s="146" t="s">
        <v>2209</v>
      </c>
      <c r="D72" s="146">
        <v>41727.9</v>
      </c>
      <c r="E72" s="60"/>
      <c r="F72" s="59"/>
      <c r="G72" s="133"/>
      <c r="H72" s="133"/>
    </row>
    <row r="73" spans="1:8">
      <c r="A73" s="145">
        <v>43845</v>
      </c>
      <c r="B73" s="146">
        <v>515010</v>
      </c>
      <c r="C73" s="146" t="s">
        <v>2210</v>
      </c>
      <c r="D73" s="146">
        <v>39027.160000000003</v>
      </c>
      <c r="E73" s="60"/>
      <c r="F73" s="59"/>
      <c r="G73" s="133"/>
      <c r="H73" s="133"/>
    </row>
    <row r="74" spans="1:8">
      <c r="A74" s="145">
        <v>43845</v>
      </c>
      <c r="B74" s="146">
        <v>513660</v>
      </c>
      <c r="C74" s="146" t="s">
        <v>2211</v>
      </c>
      <c r="D74" s="146">
        <v>38600.01</v>
      </c>
      <c r="E74" s="60"/>
      <c r="F74" s="59"/>
      <c r="G74" s="133"/>
      <c r="H74" s="133"/>
    </row>
    <row r="75" spans="1:8">
      <c r="A75" s="145">
        <v>43845</v>
      </c>
      <c r="B75" s="146">
        <v>512040</v>
      </c>
      <c r="C75" s="146" t="s">
        <v>2212</v>
      </c>
      <c r="D75" s="146">
        <v>37685.79</v>
      </c>
      <c r="E75" s="58"/>
      <c r="F75" s="59"/>
      <c r="G75" s="133"/>
      <c r="H75" s="133"/>
    </row>
    <row r="76" spans="1:8">
      <c r="A76" s="145">
        <v>43845</v>
      </c>
      <c r="B76" s="146">
        <v>515520</v>
      </c>
      <c r="C76" s="146" t="s">
        <v>2213</v>
      </c>
      <c r="D76" s="146">
        <v>35886.68</v>
      </c>
      <c r="E76" s="58"/>
      <c r="F76" s="59"/>
      <c r="G76" s="133"/>
      <c r="H76" s="133"/>
    </row>
    <row r="77" spans="1:8">
      <c r="A77" s="145">
        <v>43845</v>
      </c>
      <c r="B77" s="146">
        <v>512180</v>
      </c>
      <c r="C77" s="146" t="s">
        <v>2214</v>
      </c>
      <c r="D77" s="146">
        <v>35243.81</v>
      </c>
      <c r="E77" s="58"/>
      <c r="F77" s="59"/>
      <c r="G77" s="133"/>
      <c r="H77" s="133"/>
    </row>
    <row r="78" spans="1:8">
      <c r="A78" s="145">
        <v>43845</v>
      </c>
      <c r="B78" s="146">
        <v>512720</v>
      </c>
      <c r="C78" s="146" t="s">
        <v>2215</v>
      </c>
      <c r="D78" s="146">
        <v>32345.34</v>
      </c>
      <c r="E78" s="58"/>
      <c r="F78" s="59"/>
      <c r="G78" s="133"/>
      <c r="H78" s="133"/>
    </row>
    <row r="79" spans="1:8">
      <c r="A79" s="145">
        <v>43845</v>
      </c>
      <c r="B79" s="146">
        <v>512170</v>
      </c>
      <c r="C79" s="146" t="s">
        <v>2216</v>
      </c>
      <c r="D79" s="146">
        <v>30994.02</v>
      </c>
      <c r="E79" s="58"/>
      <c r="F79" s="59"/>
      <c r="G79" s="133"/>
      <c r="H79" s="133"/>
    </row>
    <row r="80" spans="1:8">
      <c r="A80" s="145">
        <v>43845</v>
      </c>
      <c r="B80" s="146">
        <v>512520</v>
      </c>
      <c r="C80" s="146" t="s">
        <v>2217</v>
      </c>
      <c r="D80" s="146">
        <v>30305.64</v>
      </c>
      <c r="E80" s="58"/>
      <c r="F80" s="59"/>
      <c r="G80" s="133"/>
      <c r="H80" s="133"/>
    </row>
    <row r="81" spans="1:8">
      <c r="A81" s="145">
        <v>43845</v>
      </c>
      <c r="B81" s="146">
        <v>515390</v>
      </c>
      <c r="C81" s="146" t="s">
        <v>2218</v>
      </c>
      <c r="D81" s="146">
        <v>29268.3</v>
      </c>
      <c r="E81" s="58"/>
      <c r="F81" s="59"/>
      <c r="G81" s="133"/>
      <c r="H81" s="133"/>
    </row>
    <row r="82" spans="1:8">
      <c r="A82" s="145">
        <v>43845</v>
      </c>
      <c r="B82" s="146">
        <v>510010</v>
      </c>
      <c r="C82" s="146" t="s">
        <v>2219</v>
      </c>
      <c r="D82" s="146">
        <v>28852.44</v>
      </c>
      <c r="E82" s="60"/>
      <c r="F82" s="59"/>
      <c r="G82" s="133"/>
      <c r="H82" s="133"/>
    </row>
    <row r="83" spans="1:8">
      <c r="A83" s="145">
        <v>43845</v>
      </c>
      <c r="B83" s="146">
        <v>512700</v>
      </c>
      <c r="C83" s="146" t="s">
        <v>2220</v>
      </c>
      <c r="D83" s="146">
        <v>28578.1</v>
      </c>
      <c r="E83" s="60"/>
      <c r="F83" s="59"/>
      <c r="G83" s="133"/>
      <c r="H83" s="133"/>
    </row>
    <row r="84" spans="1:8">
      <c r="A84" s="145">
        <v>43845</v>
      </c>
      <c r="B84" s="146">
        <v>512530</v>
      </c>
      <c r="C84" s="146" t="s">
        <v>2221</v>
      </c>
      <c r="D84" s="146">
        <v>28050.2</v>
      </c>
      <c r="E84" s="60"/>
      <c r="F84" s="59"/>
      <c r="G84" s="133"/>
      <c r="H84" s="133"/>
    </row>
    <row r="85" spans="1:8">
      <c r="A85" s="145">
        <v>43845</v>
      </c>
      <c r="B85" s="146">
        <v>512280</v>
      </c>
      <c r="C85" s="146" t="s">
        <v>2222</v>
      </c>
      <c r="D85" s="146">
        <v>28000.57</v>
      </c>
      <c r="E85" s="60"/>
      <c r="F85" s="59"/>
      <c r="G85" s="133"/>
      <c r="H85" s="133"/>
    </row>
    <row r="86" spans="1:8">
      <c r="A86" s="145">
        <v>43845</v>
      </c>
      <c r="B86" s="146">
        <v>512100</v>
      </c>
      <c r="C86" s="146" t="s">
        <v>2223</v>
      </c>
      <c r="D86" s="146">
        <v>27558.880000000001</v>
      </c>
      <c r="E86" s="60"/>
      <c r="F86" s="59"/>
      <c r="G86" s="133"/>
      <c r="H86" s="133"/>
    </row>
    <row r="87" spans="1:8">
      <c r="A87" s="145">
        <v>43845</v>
      </c>
      <c r="B87" s="146">
        <v>513100</v>
      </c>
      <c r="C87" s="146" t="s">
        <v>2224</v>
      </c>
      <c r="D87" s="146">
        <v>27362.21</v>
      </c>
      <c r="E87" s="58"/>
      <c r="F87" s="59"/>
      <c r="G87" s="133"/>
      <c r="H87" s="133"/>
    </row>
    <row r="88" spans="1:8">
      <c r="A88" s="145">
        <v>43845</v>
      </c>
      <c r="B88" s="146">
        <v>515300</v>
      </c>
      <c r="C88" s="146" t="s">
        <v>2225</v>
      </c>
      <c r="D88" s="146">
        <v>26717.52</v>
      </c>
      <c r="E88" s="60"/>
      <c r="F88" s="59"/>
      <c r="G88" s="133"/>
      <c r="H88" s="133"/>
    </row>
    <row r="89" spans="1:8">
      <c r="A89" s="145">
        <v>43845</v>
      </c>
      <c r="B89" s="146">
        <v>515810</v>
      </c>
      <c r="C89" s="146" t="s">
        <v>2226</v>
      </c>
      <c r="D89" s="146">
        <v>24890.880000000001</v>
      </c>
      <c r="E89" s="58"/>
      <c r="F89" s="59"/>
      <c r="G89" s="133"/>
      <c r="H89" s="133"/>
    </row>
    <row r="90" spans="1:8">
      <c r="A90" s="145">
        <v>43845</v>
      </c>
      <c r="B90" s="146">
        <v>512930</v>
      </c>
      <c r="C90" s="146" t="s">
        <v>2227</v>
      </c>
      <c r="D90" s="146">
        <v>24713.03</v>
      </c>
      <c r="E90" s="60"/>
      <c r="F90" s="59"/>
      <c r="G90" s="133"/>
      <c r="H90" s="133"/>
    </row>
    <row r="91" spans="1:8">
      <c r="A91" s="145">
        <v>43845</v>
      </c>
      <c r="B91" s="146">
        <v>510800</v>
      </c>
      <c r="C91" s="146" t="s">
        <v>29</v>
      </c>
      <c r="D91" s="146">
        <v>24457.599999999999</v>
      </c>
      <c r="E91" s="60"/>
      <c r="F91" s="59"/>
      <c r="G91" s="133"/>
      <c r="H91" s="133"/>
    </row>
    <row r="92" spans="1:8">
      <c r="A92" s="145">
        <v>43845</v>
      </c>
      <c r="B92" s="146">
        <v>512200</v>
      </c>
      <c r="C92" s="146" t="s">
        <v>2228</v>
      </c>
      <c r="D92" s="146">
        <v>23337.599999999999</v>
      </c>
      <c r="E92" s="60"/>
      <c r="F92" s="59"/>
      <c r="G92" s="133"/>
      <c r="H92" s="133"/>
    </row>
    <row r="93" spans="1:8">
      <c r="A93" s="145">
        <v>43845</v>
      </c>
      <c r="B93" s="146">
        <v>512220</v>
      </c>
      <c r="C93" s="146" t="s">
        <v>2229</v>
      </c>
      <c r="D93" s="146">
        <v>22496.76</v>
      </c>
      <c r="E93" s="60"/>
      <c r="F93" s="59"/>
      <c r="G93" s="133"/>
      <c r="H93" s="133"/>
    </row>
    <row r="94" spans="1:8">
      <c r="A94" s="145">
        <v>43845</v>
      </c>
      <c r="B94" s="146">
        <v>510710</v>
      </c>
      <c r="C94" s="146" t="s">
        <v>2230</v>
      </c>
      <c r="D94" s="146">
        <v>21351.89</v>
      </c>
      <c r="E94" s="60"/>
      <c r="F94" s="59"/>
      <c r="G94" s="133"/>
      <c r="H94" s="133"/>
    </row>
    <row r="95" spans="1:8">
      <c r="A95" s="145">
        <v>43845</v>
      </c>
      <c r="B95" s="146">
        <v>512260</v>
      </c>
      <c r="C95" s="146" t="s">
        <v>2231</v>
      </c>
      <c r="D95" s="146">
        <v>20689.77</v>
      </c>
      <c r="E95" s="60"/>
      <c r="F95" s="59"/>
      <c r="G95" s="133"/>
      <c r="H95" s="133"/>
    </row>
    <row r="96" spans="1:8">
      <c r="A96" s="145">
        <v>43845</v>
      </c>
      <c r="B96" s="146">
        <v>512770</v>
      </c>
      <c r="C96" s="146" t="s">
        <v>2232</v>
      </c>
      <c r="D96" s="146">
        <v>20576.78</v>
      </c>
      <c r="E96" s="60"/>
      <c r="F96" s="59"/>
      <c r="G96" s="133"/>
      <c r="H96" s="133"/>
    </row>
    <row r="97" spans="1:8">
      <c r="A97" s="145">
        <v>43845</v>
      </c>
      <c r="B97" s="146">
        <v>512390</v>
      </c>
      <c r="C97" s="146" t="s">
        <v>2233</v>
      </c>
      <c r="D97" s="146">
        <v>20468.2</v>
      </c>
      <c r="E97" s="58"/>
      <c r="F97" s="59"/>
      <c r="G97" s="133"/>
      <c r="H97" s="133"/>
    </row>
    <row r="98" spans="1:8">
      <c r="A98" s="145">
        <v>43845</v>
      </c>
      <c r="B98" s="146">
        <v>512190</v>
      </c>
      <c r="C98" s="146" t="s">
        <v>2234</v>
      </c>
      <c r="D98" s="146">
        <v>19631.84</v>
      </c>
      <c r="E98" s="60"/>
      <c r="F98" s="59"/>
      <c r="G98" s="133"/>
      <c r="H98" s="133"/>
    </row>
    <row r="99" spans="1:8">
      <c r="A99" s="145">
        <v>43845</v>
      </c>
      <c r="B99" s="146">
        <v>510100</v>
      </c>
      <c r="C99" s="146" t="s">
        <v>2235</v>
      </c>
      <c r="D99" s="146">
        <v>19623.43</v>
      </c>
      <c r="E99" s="58"/>
      <c r="F99" s="59"/>
      <c r="G99" s="133"/>
      <c r="H99" s="133"/>
    </row>
    <row r="100" spans="1:8">
      <c r="A100" s="145">
        <v>43845</v>
      </c>
      <c r="B100" s="146">
        <v>510410</v>
      </c>
      <c r="C100" s="146" t="s">
        <v>2236</v>
      </c>
      <c r="D100" s="146">
        <v>18825.84</v>
      </c>
      <c r="E100" s="60"/>
      <c r="F100" s="59"/>
      <c r="G100" s="133"/>
      <c r="H100" s="133"/>
    </row>
    <row r="101" spans="1:8">
      <c r="A101" s="145">
        <v>43845</v>
      </c>
      <c r="B101" s="146">
        <v>515080</v>
      </c>
      <c r="C101" s="146" t="s">
        <v>56</v>
      </c>
      <c r="D101" s="146">
        <v>17214.89</v>
      </c>
      <c r="E101" s="60"/>
      <c r="F101" s="59"/>
      <c r="G101" s="133"/>
      <c r="H101" s="133"/>
    </row>
    <row r="102" spans="1:8">
      <c r="A102" s="145">
        <v>43845</v>
      </c>
      <c r="B102" s="146">
        <v>512690</v>
      </c>
      <c r="C102" s="146" t="s">
        <v>2237</v>
      </c>
      <c r="D102" s="146">
        <v>17101.79</v>
      </c>
      <c r="E102" s="60"/>
      <c r="F102" s="59"/>
      <c r="G102" s="133"/>
      <c r="H102" s="133"/>
    </row>
    <row r="103" spans="1:8">
      <c r="A103" s="145">
        <v>43845</v>
      </c>
      <c r="B103" s="146">
        <v>510580</v>
      </c>
      <c r="C103" s="146" t="s">
        <v>2238</v>
      </c>
      <c r="D103" s="146">
        <v>15649.65</v>
      </c>
      <c r="E103" s="60"/>
      <c r="F103" s="59"/>
      <c r="G103" s="133"/>
      <c r="H103" s="133"/>
    </row>
    <row r="104" spans="1:8">
      <c r="A104" s="145">
        <v>43845</v>
      </c>
      <c r="B104" s="146">
        <v>515020</v>
      </c>
      <c r="C104" s="146" t="s">
        <v>2239</v>
      </c>
      <c r="D104" s="146">
        <v>15184.53</v>
      </c>
      <c r="E104" s="58"/>
      <c r="F104" s="59"/>
      <c r="G104" s="133"/>
      <c r="H104" s="133"/>
    </row>
    <row r="105" spans="1:8">
      <c r="A105" s="145">
        <v>43845</v>
      </c>
      <c r="B105" s="146">
        <v>512360</v>
      </c>
      <c r="C105" s="146" t="s">
        <v>2240</v>
      </c>
      <c r="D105" s="146">
        <v>14633.77</v>
      </c>
      <c r="E105" s="60"/>
      <c r="F105" s="59"/>
      <c r="G105" s="133"/>
      <c r="H105" s="133"/>
    </row>
    <row r="106" spans="1:8">
      <c r="A106" s="145">
        <v>43845</v>
      </c>
      <c r="B106" s="146">
        <v>518800</v>
      </c>
      <c r="C106" s="146" t="s">
        <v>2241</v>
      </c>
      <c r="D106" s="146">
        <v>14621.99</v>
      </c>
      <c r="E106" s="58"/>
      <c r="F106" s="59"/>
      <c r="G106" s="133"/>
      <c r="H106" s="133"/>
    </row>
    <row r="107" spans="1:8">
      <c r="A107" s="145">
        <v>43845</v>
      </c>
      <c r="B107" s="146">
        <v>512890</v>
      </c>
      <c r="C107" s="146" t="s">
        <v>2242</v>
      </c>
      <c r="D107" s="146">
        <v>14155.54</v>
      </c>
      <c r="E107" s="60"/>
      <c r="F107" s="59"/>
      <c r="G107" s="133"/>
      <c r="H107" s="133"/>
    </row>
    <row r="108" spans="1:8">
      <c r="A108" s="145">
        <v>43845</v>
      </c>
      <c r="B108" s="146">
        <v>510290</v>
      </c>
      <c r="C108" s="146" t="s">
        <v>2243</v>
      </c>
      <c r="D108" s="146">
        <v>13244.89</v>
      </c>
      <c r="E108" s="58"/>
      <c r="F108" s="59"/>
      <c r="G108" s="133"/>
      <c r="H108" s="133"/>
    </row>
    <row r="109" spans="1:8">
      <c r="A109" s="145">
        <v>43845</v>
      </c>
      <c r="B109" s="146">
        <v>512820</v>
      </c>
      <c r="C109" s="146" t="s">
        <v>2244</v>
      </c>
      <c r="D109" s="146">
        <v>12430.19</v>
      </c>
      <c r="E109" s="60"/>
      <c r="F109" s="59"/>
      <c r="G109" s="133"/>
      <c r="H109" s="133"/>
    </row>
    <row r="110" spans="1:8">
      <c r="A110" s="145">
        <v>43845</v>
      </c>
      <c r="B110" s="146">
        <v>515060</v>
      </c>
      <c r="C110" s="146" t="s">
        <v>2245</v>
      </c>
      <c r="D110" s="146">
        <v>12347.81</v>
      </c>
      <c r="E110" s="60"/>
      <c r="F110" s="59"/>
      <c r="G110" s="133"/>
      <c r="H110" s="133"/>
    </row>
    <row r="111" spans="1:8">
      <c r="A111" s="145">
        <v>43845</v>
      </c>
      <c r="B111" s="146">
        <v>512150</v>
      </c>
      <c r="C111" s="146" t="s">
        <v>2246</v>
      </c>
      <c r="D111" s="146">
        <v>11907.34</v>
      </c>
      <c r="E111" s="58"/>
      <c r="F111" s="59"/>
      <c r="G111" s="133"/>
      <c r="H111" s="133"/>
    </row>
    <row r="112" spans="1:8">
      <c r="A112" s="145">
        <v>43845</v>
      </c>
      <c r="B112" s="146">
        <v>510530</v>
      </c>
      <c r="C112" s="146" t="s">
        <v>2247</v>
      </c>
      <c r="D112" s="146">
        <v>11847.94</v>
      </c>
      <c r="E112" s="60"/>
      <c r="F112" s="59"/>
      <c r="G112" s="133"/>
      <c r="H112" s="133"/>
    </row>
    <row r="113" spans="1:8">
      <c r="A113" s="145">
        <v>43845</v>
      </c>
      <c r="B113" s="146">
        <v>512550</v>
      </c>
      <c r="C113" s="146" t="s">
        <v>2248</v>
      </c>
      <c r="D113" s="146">
        <v>10790.6</v>
      </c>
      <c r="E113" s="60"/>
      <c r="F113" s="59"/>
      <c r="G113" s="133"/>
      <c r="H113" s="133"/>
    </row>
    <row r="114" spans="1:8">
      <c r="A114" s="145">
        <v>43845</v>
      </c>
      <c r="B114" s="146">
        <v>512670</v>
      </c>
      <c r="C114" s="146" t="s">
        <v>2249</v>
      </c>
      <c r="D114" s="146">
        <v>10032.629999999999</v>
      </c>
      <c r="E114" s="60"/>
      <c r="F114" s="59"/>
      <c r="G114" s="133"/>
      <c r="H114" s="133"/>
    </row>
    <row r="115" spans="1:8">
      <c r="A115" s="145">
        <v>43845</v>
      </c>
      <c r="B115" s="146">
        <v>513000</v>
      </c>
      <c r="C115" s="146" t="s">
        <v>2250</v>
      </c>
      <c r="D115" s="146">
        <v>9941.14</v>
      </c>
      <c r="E115" s="60"/>
      <c r="F115" s="59"/>
      <c r="G115" s="133"/>
      <c r="H115" s="133"/>
    </row>
    <row r="116" spans="1:8">
      <c r="A116" s="145">
        <v>43845</v>
      </c>
      <c r="B116" s="146">
        <v>512920</v>
      </c>
      <c r="C116" s="146" t="s">
        <v>2251</v>
      </c>
      <c r="D116" s="146">
        <v>9409.26</v>
      </c>
      <c r="E116" s="60"/>
      <c r="F116" s="59"/>
      <c r="G116" s="133"/>
      <c r="H116" s="133"/>
    </row>
    <row r="117" spans="1:8">
      <c r="A117" s="145">
        <v>43845</v>
      </c>
      <c r="B117" s="146">
        <v>512780</v>
      </c>
      <c r="C117" s="146" t="s">
        <v>2252</v>
      </c>
      <c r="D117" s="146">
        <v>8758.65</v>
      </c>
      <c r="E117" s="60"/>
      <c r="F117" s="59"/>
      <c r="G117" s="133"/>
      <c r="H117" s="133"/>
    </row>
    <row r="118" spans="1:8">
      <c r="A118" s="145">
        <v>43845</v>
      </c>
      <c r="B118" s="146">
        <v>512810</v>
      </c>
      <c r="C118" s="146" t="s">
        <v>2253</v>
      </c>
      <c r="D118" s="146">
        <v>7479.17</v>
      </c>
      <c r="E118" s="60"/>
      <c r="F118" s="59"/>
      <c r="G118" s="133"/>
      <c r="H118" s="133"/>
    </row>
    <row r="119" spans="1:8">
      <c r="A119" s="145">
        <v>43845</v>
      </c>
      <c r="B119" s="146">
        <v>510630</v>
      </c>
      <c r="C119" s="146" t="s">
        <v>2254</v>
      </c>
      <c r="D119" s="146">
        <v>7409.04</v>
      </c>
      <c r="E119" s="60"/>
      <c r="F119" s="59"/>
      <c r="G119" s="133"/>
      <c r="H119" s="133"/>
    </row>
    <row r="120" spans="1:8">
      <c r="A120" s="145">
        <v>43845</v>
      </c>
      <c r="B120" s="146">
        <v>512310</v>
      </c>
      <c r="C120" s="146" t="s">
        <v>2255</v>
      </c>
      <c r="D120" s="146">
        <v>7338.9</v>
      </c>
      <c r="E120" s="60"/>
      <c r="F120" s="59"/>
      <c r="G120" s="133"/>
      <c r="H120" s="133"/>
    </row>
    <row r="121" spans="1:8">
      <c r="A121" s="145">
        <v>43845</v>
      </c>
      <c r="B121" s="146">
        <v>515310</v>
      </c>
      <c r="C121" s="146" t="s">
        <v>2256</v>
      </c>
      <c r="D121" s="146">
        <v>7311.12</v>
      </c>
      <c r="E121" s="60"/>
      <c r="F121" s="59"/>
      <c r="G121" s="133"/>
      <c r="H121" s="133"/>
    </row>
    <row r="122" spans="1:8">
      <c r="A122" s="145">
        <v>43845</v>
      </c>
      <c r="B122" s="146">
        <v>510060</v>
      </c>
      <c r="C122" s="146" t="s">
        <v>2257</v>
      </c>
      <c r="D122" s="146">
        <v>7295.92</v>
      </c>
      <c r="E122" s="60"/>
      <c r="F122" s="59"/>
      <c r="G122" s="133"/>
      <c r="H122" s="133"/>
    </row>
    <row r="123" spans="1:8">
      <c r="A123" s="145">
        <v>43845</v>
      </c>
      <c r="B123" s="146">
        <v>510170</v>
      </c>
      <c r="C123" s="146" t="s">
        <v>2258</v>
      </c>
      <c r="D123" s="146">
        <v>6922.87</v>
      </c>
      <c r="E123" s="60"/>
      <c r="F123" s="59"/>
      <c r="G123" s="133"/>
      <c r="H123" s="133"/>
    </row>
    <row r="124" spans="1:8">
      <c r="A124" s="145">
        <v>43845</v>
      </c>
      <c r="B124" s="146">
        <v>510550</v>
      </c>
      <c r="C124" s="146" t="s">
        <v>2259</v>
      </c>
      <c r="D124" s="146">
        <v>6374.33</v>
      </c>
      <c r="E124" s="60"/>
      <c r="F124" s="59"/>
      <c r="G124" s="133"/>
      <c r="H124" s="133"/>
    </row>
    <row r="125" spans="1:8">
      <c r="A125" s="145">
        <v>43845</v>
      </c>
      <c r="B125" s="146">
        <v>510680</v>
      </c>
      <c r="C125" s="146" t="s">
        <v>2260</v>
      </c>
      <c r="D125" s="146">
        <v>6252.47</v>
      </c>
      <c r="E125" s="60"/>
      <c r="F125" s="59"/>
      <c r="G125" s="133"/>
      <c r="H125" s="133"/>
    </row>
    <row r="126" spans="1:8">
      <c r="A126" s="145">
        <v>43845</v>
      </c>
      <c r="B126" s="146">
        <v>511060</v>
      </c>
      <c r="C126" s="146" t="s">
        <v>2261</v>
      </c>
      <c r="D126" s="146">
        <v>6114.63</v>
      </c>
      <c r="E126" s="60"/>
      <c r="F126" s="59"/>
      <c r="G126" s="133"/>
      <c r="H126" s="133"/>
    </row>
    <row r="127" spans="1:8">
      <c r="A127" s="145">
        <v>43845</v>
      </c>
      <c r="B127" s="146">
        <v>515550</v>
      </c>
      <c r="C127" s="146" t="s">
        <v>2262</v>
      </c>
      <c r="D127" s="146">
        <v>5934.57</v>
      </c>
      <c r="E127" s="60"/>
      <c r="F127" s="59"/>
      <c r="G127" s="133"/>
      <c r="H127" s="133"/>
    </row>
    <row r="128" spans="1:8">
      <c r="A128" s="145">
        <v>43845</v>
      </c>
      <c r="B128" s="146">
        <v>510430</v>
      </c>
      <c r="C128" s="146" t="s">
        <v>923</v>
      </c>
      <c r="D128" s="146">
        <v>5792.45</v>
      </c>
      <c r="E128" s="60"/>
      <c r="F128" s="59"/>
      <c r="G128" s="133"/>
      <c r="H128" s="133"/>
    </row>
    <row r="129" spans="1:8">
      <c r="A129" s="145">
        <v>43845</v>
      </c>
      <c r="B129" s="146">
        <v>510130</v>
      </c>
      <c r="C129" s="146" t="s">
        <v>2263</v>
      </c>
      <c r="D129" s="146">
        <v>5788.51</v>
      </c>
      <c r="E129" s="60"/>
      <c r="F129" s="59"/>
      <c r="G129" s="133"/>
      <c r="H129" s="133"/>
    </row>
    <row r="130" spans="1:8">
      <c r="A130" s="145">
        <v>43845</v>
      </c>
      <c r="B130" s="146">
        <v>510020</v>
      </c>
      <c r="C130" s="146" t="s">
        <v>2264</v>
      </c>
      <c r="D130" s="146">
        <v>5784.8</v>
      </c>
      <c r="E130" s="60"/>
      <c r="F130" s="59"/>
      <c r="G130" s="133"/>
      <c r="H130" s="133"/>
    </row>
    <row r="131" spans="1:8">
      <c r="A131" s="145">
        <v>43845</v>
      </c>
      <c r="B131" s="146">
        <v>512120</v>
      </c>
      <c r="C131" s="146" t="s">
        <v>2265</v>
      </c>
      <c r="D131" s="146">
        <v>5424.73</v>
      </c>
      <c r="E131" s="60"/>
      <c r="F131" s="59"/>
      <c r="G131" s="133"/>
      <c r="H131" s="133"/>
    </row>
    <row r="132" spans="1:8">
      <c r="A132" s="145">
        <v>43845</v>
      </c>
      <c r="B132" s="146">
        <v>510660</v>
      </c>
      <c r="C132" s="146" t="s">
        <v>2266</v>
      </c>
      <c r="D132" s="146">
        <v>5237.97</v>
      </c>
      <c r="E132" s="60"/>
      <c r="F132" s="59"/>
      <c r="G132" s="133"/>
      <c r="H132" s="133"/>
    </row>
    <row r="133" spans="1:8">
      <c r="A133" s="145">
        <v>43845</v>
      </c>
      <c r="B133" s="146">
        <v>511030</v>
      </c>
      <c r="C133" s="146" t="s">
        <v>2267</v>
      </c>
      <c r="D133" s="146">
        <v>5109.07</v>
      </c>
      <c r="E133" s="60"/>
      <c r="F133" s="59"/>
      <c r="G133" s="133"/>
      <c r="H133" s="133"/>
    </row>
    <row r="134" spans="1:8">
      <c r="A134" s="145">
        <v>43845</v>
      </c>
      <c r="B134" s="146">
        <v>513800</v>
      </c>
      <c r="C134" s="146" t="s">
        <v>2268</v>
      </c>
      <c r="D134" s="146">
        <v>5060.4399999999996</v>
      </c>
      <c r="E134" s="60"/>
      <c r="F134" s="59"/>
      <c r="G134" s="133"/>
      <c r="H134" s="133"/>
    </row>
    <row r="135" spans="1:8">
      <c r="A135" s="145">
        <v>43845</v>
      </c>
      <c r="B135" s="146">
        <v>513520</v>
      </c>
      <c r="C135" s="146" t="s">
        <v>2269</v>
      </c>
      <c r="D135" s="146">
        <v>5008.72</v>
      </c>
      <c r="E135" s="60"/>
      <c r="F135" s="59"/>
      <c r="G135" s="133"/>
      <c r="H135" s="133"/>
    </row>
    <row r="136" spans="1:8">
      <c r="A136" s="145">
        <v>43845</v>
      </c>
      <c r="B136" s="146">
        <v>512270</v>
      </c>
      <c r="C136" s="146" t="s">
        <v>2270</v>
      </c>
      <c r="D136" s="146">
        <v>4917.68</v>
      </c>
      <c r="E136" s="60"/>
      <c r="F136" s="59"/>
      <c r="G136" s="133"/>
      <c r="H136" s="133"/>
    </row>
    <row r="137" spans="1:8">
      <c r="A137" s="145">
        <v>43845</v>
      </c>
      <c r="B137" s="146">
        <v>510090</v>
      </c>
      <c r="C137" s="146" t="s">
        <v>2271</v>
      </c>
      <c r="D137" s="146">
        <v>4808.1099999999997</v>
      </c>
      <c r="E137" s="60"/>
      <c r="F137" s="59"/>
      <c r="G137" s="133"/>
      <c r="H137" s="133"/>
    </row>
    <row r="138" spans="1:8">
      <c r="A138" s="145">
        <v>43845</v>
      </c>
      <c r="B138" s="146">
        <v>513880</v>
      </c>
      <c r="C138" s="146" t="s">
        <v>2272</v>
      </c>
      <c r="D138" s="146">
        <v>4747</v>
      </c>
      <c r="E138" s="60"/>
      <c r="F138" s="59"/>
      <c r="G138" s="133"/>
      <c r="H138" s="133"/>
    </row>
    <row r="139" spans="1:8">
      <c r="A139" s="145">
        <v>43845</v>
      </c>
      <c r="B139" s="146">
        <v>510070</v>
      </c>
      <c r="C139" s="146" t="s">
        <v>2273</v>
      </c>
      <c r="D139" s="146">
        <v>4462.41</v>
      </c>
      <c r="E139" s="60"/>
      <c r="F139" s="59"/>
      <c r="G139" s="133"/>
      <c r="H139" s="133"/>
    </row>
    <row r="140" spans="1:8">
      <c r="A140" s="145">
        <v>43845</v>
      </c>
      <c r="B140" s="146">
        <v>510210</v>
      </c>
      <c r="C140" s="146" t="s">
        <v>2274</v>
      </c>
      <c r="D140" s="146">
        <v>4263.8500000000004</v>
      </c>
      <c r="E140" s="60"/>
      <c r="F140" s="59"/>
      <c r="G140" s="133"/>
      <c r="H140" s="133"/>
    </row>
    <row r="141" spans="1:8">
      <c r="A141" s="145">
        <v>43845</v>
      </c>
      <c r="B141" s="146">
        <v>513600</v>
      </c>
      <c r="C141" s="146" t="s">
        <v>2275</v>
      </c>
      <c r="D141" s="146">
        <v>4082.95</v>
      </c>
      <c r="E141" s="60"/>
      <c r="F141" s="59"/>
      <c r="G141" s="133"/>
      <c r="H141" s="133"/>
    </row>
    <row r="142" spans="1:8">
      <c r="A142" s="145">
        <v>43845</v>
      </c>
      <c r="B142" s="146">
        <v>512870</v>
      </c>
      <c r="C142" s="146" t="s">
        <v>2276</v>
      </c>
      <c r="D142" s="146">
        <v>3841.06</v>
      </c>
      <c r="E142" s="60"/>
      <c r="F142" s="59"/>
      <c r="G142" s="133"/>
      <c r="H142" s="133"/>
    </row>
    <row r="143" spans="1:8">
      <c r="A143" s="145">
        <v>43845</v>
      </c>
      <c r="B143" s="146">
        <v>512340</v>
      </c>
      <c r="C143" s="146" t="s">
        <v>2277</v>
      </c>
      <c r="D143" s="146">
        <v>3723.4</v>
      </c>
      <c r="E143" s="60"/>
      <c r="F143" s="59"/>
      <c r="G143" s="133"/>
      <c r="H143" s="133"/>
    </row>
    <row r="144" spans="1:8">
      <c r="A144" s="145">
        <v>43845</v>
      </c>
      <c r="B144" s="146">
        <v>513900</v>
      </c>
      <c r="C144" s="146" t="s">
        <v>2278</v>
      </c>
      <c r="D144" s="146">
        <v>3497.8</v>
      </c>
    </row>
    <row r="145" spans="1:4">
      <c r="A145" s="145">
        <v>43845</v>
      </c>
      <c r="B145" s="146">
        <v>510600</v>
      </c>
      <c r="C145" s="146" t="s">
        <v>2279</v>
      </c>
      <c r="D145" s="146">
        <v>3431.51</v>
      </c>
    </row>
    <row r="146" spans="1:4">
      <c r="A146" s="145">
        <v>43845</v>
      </c>
      <c r="B146" s="146">
        <v>510150</v>
      </c>
      <c r="C146" s="146" t="s">
        <v>2280</v>
      </c>
      <c r="D146" s="146">
        <v>2993.16</v>
      </c>
    </row>
    <row r="147" spans="1:4">
      <c r="A147" s="145">
        <v>43845</v>
      </c>
      <c r="B147" s="146">
        <v>512570</v>
      </c>
      <c r="C147" s="146" t="s">
        <v>2281</v>
      </c>
      <c r="D147" s="146">
        <v>2980.61</v>
      </c>
    </row>
    <row r="148" spans="1:4">
      <c r="A148" s="145">
        <v>43845</v>
      </c>
      <c r="B148" s="146">
        <v>510030</v>
      </c>
      <c r="C148" s="146" t="s">
        <v>2282</v>
      </c>
      <c r="D148" s="146">
        <v>2752.87</v>
      </c>
    </row>
    <row r="149" spans="1:4">
      <c r="A149" s="145">
        <v>43845</v>
      </c>
      <c r="B149" s="146">
        <v>512640</v>
      </c>
      <c r="C149" s="146" t="s">
        <v>2283</v>
      </c>
      <c r="D149" s="146">
        <v>2674.09</v>
      </c>
    </row>
    <row r="150" spans="1:4">
      <c r="A150" s="145">
        <v>43845</v>
      </c>
      <c r="B150" s="146">
        <v>515360</v>
      </c>
      <c r="C150" s="146" t="s">
        <v>2284</v>
      </c>
      <c r="D150" s="146">
        <v>2577.9299999999998</v>
      </c>
    </row>
    <row r="151" spans="1:4">
      <c r="A151" s="145">
        <v>43845</v>
      </c>
      <c r="B151" s="146">
        <v>510190</v>
      </c>
      <c r="C151" s="146" t="s">
        <v>2285</v>
      </c>
      <c r="D151" s="146">
        <v>2565.08</v>
      </c>
    </row>
    <row r="152" spans="1:4">
      <c r="A152" s="145">
        <v>43845</v>
      </c>
      <c r="B152" s="146">
        <v>512560</v>
      </c>
      <c r="C152" s="146" t="s">
        <v>87</v>
      </c>
      <c r="D152" s="146">
        <v>2556.35</v>
      </c>
    </row>
    <row r="153" spans="1:4">
      <c r="A153" s="145">
        <v>43845</v>
      </c>
      <c r="B153" s="146">
        <v>512860</v>
      </c>
      <c r="C153" s="146" t="s">
        <v>2286</v>
      </c>
      <c r="D153" s="146">
        <v>2462.64</v>
      </c>
    </row>
    <row r="154" spans="1:4">
      <c r="A154" s="145">
        <v>43845</v>
      </c>
      <c r="B154" s="146">
        <v>512300</v>
      </c>
      <c r="C154" s="146" t="s">
        <v>2287</v>
      </c>
      <c r="D154" s="146">
        <v>2361.71</v>
      </c>
    </row>
    <row r="155" spans="1:4">
      <c r="A155" s="145">
        <v>43845</v>
      </c>
      <c r="B155" s="146">
        <v>512850</v>
      </c>
      <c r="C155" s="146" t="s">
        <v>2288</v>
      </c>
      <c r="D155" s="146">
        <v>2353.1999999999998</v>
      </c>
    </row>
    <row r="156" spans="1:4">
      <c r="A156" s="145">
        <v>43845</v>
      </c>
      <c r="B156" s="146">
        <v>510440</v>
      </c>
      <c r="C156" s="146" t="s">
        <v>865</v>
      </c>
      <c r="D156" s="146">
        <v>2205.83</v>
      </c>
    </row>
    <row r="157" spans="1:4">
      <c r="A157" s="145">
        <v>43845</v>
      </c>
      <c r="B157" s="146">
        <v>510220</v>
      </c>
      <c r="C157" s="146" t="s">
        <v>2289</v>
      </c>
      <c r="D157" s="146">
        <v>1872.92</v>
      </c>
    </row>
    <row r="158" spans="1:4">
      <c r="A158" s="145">
        <v>43845</v>
      </c>
      <c r="B158" s="146">
        <v>510650</v>
      </c>
      <c r="C158" s="146" t="s">
        <v>2290</v>
      </c>
      <c r="D158" s="146">
        <v>1845.25</v>
      </c>
    </row>
    <row r="159" spans="1:4">
      <c r="A159" s="145">
        <v>43845</v>
      </c>
      <c r="B159" s="146">
        <v>511220</v>
      </c>
      <c r="C159" s="146" t="s">
        <v>2291</v>
      </c>
      <c r="D159" s="146">
        <v>1839.81</v>
      </c>
    </row>
    <row r="160" spans="1:4">
      <c r="A160" s="145">
        <v>43845</v>
      </c>
      <c r="B160" s="146">
        <v>512590</v>
      </c>
      <c r="C160" s="146" t="s">
        <v>2292</v>
      </c>
      <c r="D160" s="146">
        <v>1450.34</v>
      </c>
    </row>
    <row r="161" spans="1:4">
      <c r="A161" s="145">
        <v>43845</v>
      </c>
      <c r="B161" s="146">
        <v>510270</v>
      </c>
      <c r="C161" s="146" t="s">
        <v>2293</v>
      </c>
      <c r="D161" s="146">
        <v>1383.21</v>
      </c>
    </row>
    <row r="162" spans="1:4">
      <c r="A162" s="145">
        <v>43845</v>
      </c>
      <c r="B162" s="146">
        <v>512790</v>
      </c>
      <c r="C162" s="146" t="s">
        <v>2294</v>
      </c>
      <c r="D162" s="146">
        <v>1198.46</v>
      </c>
    </row>
    <row r="163" spans="1:4">
      <c r="A163" s="145">
        <v>43845</v>
      </c>
      <c r="B163" s="146">
        <v>511020</v>
      </c>
      <c r="C163" s="146" t="s">
        <v>2295</v>
      </c>
      <c r="D163" s="146">
        <v>1090.17</v>
      </c>
    </row>
    <row r="164" spans="1:4">
      <c r="A164" s="145">
        <v>43845</v>
      </c>
      <c r="B164" s="146">
        <v>512610</v>
      </c>
      <c r="C164" s="146" t="s">
        <v>217</v>
      </c>
      <c r="D164" s="146">
        <v>964.06</v>
      </c>
    </row>
    <row r="165" spans="1:4">
      <c r="A165" s="145">
        <v>43845</v>
      </c>
      <c r="B165" s="146">
        <v>510110</v>
      </c>
      <c r="C165" s="146" t="s">
        <v>2296</v>
      </c>
      <c r="D165" s="146">
        <v>841.68</v>
      </c>
    </row>
    <row r="166" spans="1:4">
      <c r="A166" s="145">
        <v>43845</v>
      </c>
      <c r="B166" s="146">
        <v>511270</v>
      </c>
      <c r="C166" s="146" t="s">
        <v>2297</v>
      </c>
      <c r="D166" s="146">
        <v>716.75</v>
      </c>
    </row>
    <row r="167" spans="1:4">
      <c r="A167" s="145">
        <v>43845</v>
      </c>
      <c r="B167" s="146">
        <v>510120</v>
      </c>
      <c r="C167" s="146" t="s">
        <v>2298</v>
      </c>
      <c r="D167" s="146">
        <v>689.24</v>
      </c>
    </row>
    <row r="168" spans="1:4">
      <c r="A168" s="145">
        <v>43845</v>
      </c>
      <c r="B168" s="146">
        <v>513680</v>
      </c>
      <c r="C168" s="146" t="s">
        <v>2299</v>
      </c>
      <c r="D168" s="146">
        <v>674.67</v>
      </c>
    </row>
    <row r="169" spans="1:4">
      <c r="A169" s="145">
        <v>43845</v>
      </c>
      <c r="B169" s="146">
        <v>512600</v>
      </c>
      <c r="C169" s="146" t="s">
        <v>215</v>
      </c>
      <c r="D169" s="146">
        <v>545.12</v>
      </c>
    </row>
    <row r="170" spans="1:4">
      <c r="A170" s="145">
        <v>43845</v>
      </c>
      <c r="B170" s="146">
        <v>511010</v>
      </c>
      <c r="C170" s="146" t="s">
        <v>2300</v>
      </c>
      <c r="D170" s="146">
        <v>274.63</v>
      </c>
    </row>
    <row r="171" spans="1:4">
      <c r="A171" s="145">
        <v>43845</v>
      </c>
      <c r="B171" s="146">
        <v>511230</v>
      </c>
      <c r="C171" s="146" t="s">
        <v>2301</v>
      </c>
      <c r="D171" s="146">
        <v>186.76</v>
      </c>
    </row>
    <row r="172" spans="1:4">
      <c r="A172" s="145">
        <v>43845</v>
      </c>
      <c r="B172" s="146">
        <v>511260</v>
      </c>
      <c r="C172" s="146" t="s">
        <v>2302</v>
      </c>
      <c r="D172" s="146">
        <v>104.65</v>
      </c>
    </row>
    <row r="173" spans="1:4">
      <c r="A173" s="145">
        <v>43845</v>
      </c>
      <c r="B173" s="146">
        <v>511280</v>
      </c>
      <c r="C173" s="146" t="s">
        <v>2303</v>
      </c>
      <c r="D173" s="146">
        <v>40.729999999999997</v>
      </c>
    </row>
    <row r="174" spans="1:4">
      <c r="A174" s="145">
        <v>43845</v>
      </c>
      <c r="B174" s="146">
        <v>511310</v>
      </c>
      <c r="C174" s="146" t="s">
        <v>2304</v>
      </c>
      <c r="D174" s="146">
        <v>31.3</v>
      </c>
    </row>
    <row r="175" spans="1:4">
      <c r="A175" s="145">
        <v>43845</v>
      </c>
      <c r="B175" s="146">
        <v>511290</v>
      </c>
      <c r="C175" s="146" t="s">
        <v>2305</v>
      </c>
      <c r="D175" s="146">
        <v>27.58</v>
      </c>
    </row>
    <row r="176" spans="1:4">
      <c r="A176" s="147"/>
    </row>
    <row r="177" spans="1:1">
      <c r="A177" s="133"/>
    </row>
    <row r="1048576" spans="8:8">
      <c r="H1048576">
        <f>SUM(H2:H1048575)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1002"/>
  <sheetViews>
    <sheetView topLeftCell="A627" zoomScale="110" zoomScaleNormal="110" workbookViewId="0">
      <selection activeCell="A655" sqref="A655:XFD655"/>
    </sheetView>
  </sheetViews>
  <sheetFormatPr baseColWidth="10" defaultRowHeight="16"/>
  <cols>
    <col min="2" max="2" width="10.83203125" style="157" customWidth="1"/>
  </cols>
  <sheetData>
    <row r="1" spans="1:20">
      <c r="A1" s="154" t="s">
        <v>2306</v>
      </c>
      <c r="B1" s="156" t="s">
        <v>2307</v>
      </c>
      <c r="C1" s="154" t="s">
        <v>2308</v>
      </c>
      <c r="D1" s="154" t="s">
        <v>2309</v>
      </c>
      <c r="E1" s="133" t="s">
        <v>2310</v>
      </c>
      <c r="H1" s="154" t="s">
        <v>2311</v>
      </c>
    </row>
    <row r="2" spans="1:20">
      <c r="F2" s="133" t="s">
        <v>2312</v>
      </c>
      <c r="G2" s="133" t="s">
        <v>2313</v>
      </c>
      <c r="H2" s="133" t="s">
        <v>2314</v>
      </c>
      <c r="I2" s="133" t="s">
        <v>2315</v>
      </c>
      <c r="J2" s="133" t="s">
        <v>2316</v>
      </c>
      <c r="K2" s="133" t="s">
        <v>2317</v>
      </c>
      <c r="L2" s="133" t="s">
        <v>2318</v>
      </c>
      <c r="M2" s="133" t="s">
        <v>2319</v>
      </c>
      <c r="N2" s="133" t="s">
        <v>2320</v>
      </c>
      <c r="S2" t="s">
        <v>2321</v>
      </c>
      <c r="T2" t="s">
        <v>2322</v>
      </c>
    </row>
    <row r="3" spans="1:20">
      <c r="A3" s="154">
        <v>637</v>
      </c>
      <c r="B3" s="156">
        <v>603290</v>
      </c>
      <c r="C3" s="133" t="s">
        <v>2323</v>
      </c>
      <c r="D3" s="155" t="s">
        <v>2324</v>
      </c>
      <c r="E3" s="154">
        <v>7</v>
      </c>
      <c r="F3" s="154">
        <v>7</v>
      </c>
      <c r="G3" s="154">
        <v>0</v>
      </c>
      <c r="H3" s="154">
        <v>0</v>
      </c>
      <c r="I3" s="154">
        <v>0</v>
      </c>
      <c r="J3" s="154">
        <v>0</v>
      </c>
      <c r="K3" s="154">
        <v>0.60499999999999998</v>
      </c>
      <c r="L3" s="154"/>
      <c r="M3" s="154"/>
      <c r="N3" s="154"/>
      <c r="O3" s="108">
        <f t="shared" ref="O3:O66" si="0">L3/K3-1</f>
        <v>-1</v>
      </c>
      <c r="P3" s="108" t="e">
        <f t="shared" ref="P3:P66" si="1">M3/L3-1</f>
        <v>#DIV/0!</v>
      </c>
      <c r="Q3" s="108" t="e">
        <f t="shared" ref="Q3:Q66" si="2">N3/M3-1</f>
        <v>#DIV/0!</v>
      </c>
      <c r="S3" s="109">
        <f t="shared" ref="S3:S66" si="3">N3/K3-1</f>
        <v>-1</v>
      </c>
      <c r="T3" s="109" t="e">
        <f t="shared" ref="T3:T66" si="4">N3/L3-1</f>
        <v>#DIV/0!</v>
      </c>
    </row>
    <row r="4" spans="1:20">
      <c r="A4" s="154">
        <v>718</v>
      </c>
      <c r="B4" s="156">
        <v>603195</v>
      </c>
      <c r="C4" s="133" t="s">
        <v>2325</v>
      </c>
      <c r="D4" s="155" t="s">
        <v>2324</v>
      </c>
      <c r="E4" s="154">
        <v>6</v>
      </c>
      <c r="F4" s="154">
        <v>5</v>
      </c>
      <c r="G4" s="154">
        <v>1</v>
      </c>
      <c r="H4" s="154">
        <v>0</v>
      </c>
      <c r="I4" s="154">
        <v>0</v>
      </c>
      <c r="J4" s="154">
        <v>0</v>
      </c>
      <c r="K4" s="154">
        <v>2.7949999999999999</v>
      </c>
      <c r="L4" s="154"/>
      <c r="M4" s="154"/>
      <c r="N4" s="154"/>
      <c r="O4" s="108">
        <f t="shared" si="0"/>
        <v>-1</v>
      </c>
      <c r="P4" s="108" t="e">
        <f t="shared" si="1"/>
        <v>#DIV/0!</v>
      </c>
      <c r="Q4" s="108" t="e">
        <f t="shared" si="2"/>
        <v>#DIV/0!</v>
      </c>
      <c r="S4" s="109">
        <f t="shared" si="3"/>
        <v>-1</v>
      </c>
      <c r="T4" s="109" t="e">
        <f t="shared" si="4"/>
        <v>#DIV/0!</v>
      </c>
    </row>
    <row r="5" spans="1:20">
      <c r="A5" s="154">
        <v>788</v>
      </c>
      <c r="B5" s="156">
        <v>1914</v>
      </c>
      <c r="C5" s="133" t="s">
        <v>2326</v>
      </c>
      <c r="D5" s="155" t="s">
        <v>2324</v>
      </c>
      <c r="E5" s="154">
        <v>5</v>
      </c>
      <c r="F5" s="154">
        <v>5</v>
      </c>
      <c r="G5" s="154">
        <v>0</v>
      </c>
      <c r="H5" s="154">
        <v>0</v>
      </c>
      <c r="I5" s="154">
        <v>0</v>
      </c>
      <c r="J5" s="154">
        <v>0</v>
      </c>
      <c r="K5" s="154">
        <v>0.80800000000000005</v>
      </c>
      <c r="L5" s="154"/>
      <c r="M5" s="154"/>
      <c r="N5" s="154"/>
      <c r="O5" s="108">
        <f t="shared" si="0"/>
        <v>-1</v>
      </c>
      <c r="P5" s="108" t="e">
        <f t="shared" si="1"/>
        <v>#DIV/0!</v>
      </c>
      <c r="Q5" s="108" t="e">
        <f t="shared" si="2"/>
        <v>#DIV/0!</v>
      </c>
      <c r="S5" s="109">
        <f t="shared" si="3"/>
        <v>-1</v>
      </c>
      <c r="T5" s="109" t="e">
        <f t="shared" si="4"/>
        <v>#DIV/0!</v>
      </c>
    </row>
    <row r="6" spans="1:20">
      <c r="A6" s="154">
        <v>932</v>
      </c>
      <c r="B6" s="156">
        <v>300324</v>
      </c>
      <c r="C6" s="133" t="s">
        <v>2327</v>
      </c>
      <c r="D6" s="155" t="s">
        <v>2324</v>
      </c>
      <c r="E6" s="154">
        <v>4</v>
      </c>
      <c r="F6" s="154">
        <v>3</v>
      </c>
      <c r="G6" s="154">
        <v>1</v>
      </c>
      <c r="H6" s="154">
        <v>0</v>
      </c>
      <c r="I6" s="154">
        <v>0</v>
      </c>
      <c r="J6" s="154">
        <v>0</v>
      </c>
      <c r="K6" s="154">
        <v>2.5000000000000001E-2</v>
      </c>
      <c r="L6" s="154"/>
      <c r="M6" s="154"/>
      <c r="N6" s="154"/>
      <c r="O6" s="108">
        <f t="shared" si="0"/>
        <v>-1</v>
      </c>
      <c r="P6" s="108" t="e">
        <f t="shared" si="1"/>
        <v>#DIV/0!</v>
      </c>
      <c r="Q6" s="108" t="e">
        <f t="shared" si="2"/>
        <v>#DIV/0!</v>
      </c>
      <c r="S6" s="109">
        <f t="shared" si="3"/>
        <v>-1</v>
      </c>
      <c r="T6" s="109" t="e">
        <f t="shared" si="4"/>
        <v>#DIV/0!</v>
      </c>
    </row>
    <row r="7" spans="1:20">
      <c r="A7" s="154">
        <v>996</v>
      </c>
      <c r="B7" s="156">
        <v>600246</v>
      </c>
      <c r="C7" s="133" t="s">
        <v>2328</v>
      </c>
      <c r="D7" s="155" t="s">
        <v>2324</v>
      </c>
      <c r="E7" s="154">
        <v>3</v>
      </c>
      <c r="F7" s="154">
        <v>3</v>
      </c>
      <c r="G7" s="154">
        <v>0</v>
      </c>
      <c r="H7" s="154">
        <v>0</v>
      </c>
      <c r="I7" s="154">
        <v>0</v>
      </c>
      <c r="J7" s="154">
        <v>0</v>
      </c>
      <c r="K7" s="154">
        <v>0.159</v>
      </c>
      <c r="L7" s="154"/>
      <c r="M7" s="154"/>
      <c r="N7" s="154"/>
      <c r="O7" s="108">
        <f t="shared" si="0"/>
        <v>-1</v>
      </c>
      <c r="P7" s="108" t="e">
        <f t="shared" si="1"/>
        <v>#DIV/0!</v>
      </c>
      <c r="Q7" s="108" t="e">
        <f t="shared" si="2"/>
        <v>#DIV/0!</v>
      </c>
      <c r="S7" s="109">
        <f t="shared" si="3"/>
        <v>-1</v>
      </c>
      <c r="T7" s="109" t="e">
        <f t="shared" si="4"/>
        <v>#DIV/0!</v>
      </c>
    </row>
    <row r="8" spans="1:20">
      <c r="A8" s="154">
        <v>687</v>
      </c>
      <c r="B8" s="156">
        <v>2156</v>
      </c>
      <c r="C8" s="133" t="s">
        <v>2329</v>
      </c>
      <c r="D8" s="155" t="s">
        <v>2324</v>
      </c>
      <c r="E8" s="154">
        <v>7</v>
      </c>
      <c r="F8" s="154">
        <v>6</v>
      </c>
      <c r="G8" s="154">
        <v>1</v>
      </c>
      <c r="H8" s="154">
        <v>0</v>
      </c>
      <c r="I8" s="154">
        <v>0</v>
      </c>
      <c r="J8" s="154">
        <v>0</v>
      </c>
      <c r="K8" s="154">
        <v>0.11</v>
      </c>
      <c r="L8" s="154">
        <v>3.9E-2</v>
      </c>
      <c r="M8" s="154">
        <v>0.27</v>
      </c>
      <c r="N8" s="154">
        <v>0.47899999999999998</v>
      </c>
      <c r="O8" s="108">
        <f t="shared" si="0"/>
        <v>-0.6454545454545455</v>
      </c>
      <c r="P8" s="108">
        <f t="shared" si="1"/>
        <v>5.9230769230769234</v>
      </c>
      <c r="Q8" s="108">
        <f t="shared" si="2"/>
        <v>0.77407407407407391</v>
      </c>
      <c r="S8" s="109">
        <f t="shared" si="3"/>
        <v>3.3545454545454545</v>
      </c>
      <c r="T8" s="109">
        <f t="shared" si="4"/>
        <v>11.282051282051281</v>
      </c>
    </row>
    <row r="9" spans="1:20">
      <c r="A9" s="154">
        <v>525</v>
      </c>
      <c r="B9" s="156">
        <v>600882</v>
      </c>
      <c r="C9" s="133" t="s">
        <v>2330</v>
      </c>
      <c r="D9" s="155" t="s">
        <v>2324</v>
      </c>
      <c r="E9" s="154">
        <v>9</v>
      </c>
      <c r="F9" s="154">
        <v>9</v>
      </c>
      <c r="G9" s="154">
        <v>0</v>
      </c>
      <c r="H9" s="154">
        <v>0</v>
      </c>
      <c r="I9" s="154">
        <v>0</v>
      </c>
      <c r="J9" s="154">
        <v>0</v>
      </c>
      <c r="K9" s="154">
        <v>2.5999999999999999E-2</v>
      </c>
      <c r="L9" s="154">
        <v>8.3000000000000004E-2</v>
      </c>
      <c r="M9" s="154">
        <v>0.39100000000000001</v>
      </c>
      <c r="N9" s="154">
        <v>0.74299999999999999</v>
      </c>
      <c r="O9" s="108">
        <f t="shared" si="0"/>
        <v>2.1923076923076925</v>
      </c>
      <c r="P9" s="108">
        <f t="shared" si="1"/>
        <v>3.7108433734939759</v>
      </c>
      <c r="Q9" s="108">
        <f t="shared" si="2"/>
        <v>0.90025575447570327</v>
      </c>
      <c r="S9" s="109">
        <f t="shared" si="3"/>
        <v>27.576923076923077</v>
      </c>
      <c r="T9" s="109">
        <f t="shared" si="4"/>
        <v>7.9518072289156621</v>
      </c>
    </row>
    <row r="10" spans="1:20">
      <c r="A10" s="154">
        <v>838</v>
      </c>
      <c r="B10" s="156">
        <v>2659</v>
      </c>
      <c r="C10" s="133" t="s">
        <v>2331</v>
      </c>
      <c r="D10" s="155" t="s">
        <v>2324</v>
      </c>
      <c r="E10" s="154">
        <v>5</v>
      </c>
      <c r="F10" s="154">
        <v>5</v>
      </c>
      <c r="G10" s="154">
        <v>0</v>
      </c>
      <c r="H10" s="154">
        <v>0</v>
      </c>
      <c r="I10" s="154">
        <v>0</v>
      </c>
      <c r="J10" s="154">
        <v>0</v>
      </c>
      <c r="K10" s="154">
        <v>-0.19700000000000001</v>
      </c>
      <c r="L10" s="154">
        <v>5.1999999999999998E-2</v>
      </c>
      <c r="M10" s="154">
        <v>0.23899999999999999</v>
      </c>
      <c r="N10" s="154">
        <v>0.434</v>
      </c>
      <c r="O10" s="108">
        <f t="shared" si="0"/>
        <v>-1.2639593908629441</v>
      </c>
      <c r="P10" s="108">
        <f t="shared" si="1"/>
        <v>3.5961538461538458</v>
      </c>
      <c r="Q10" s="108">
        <f t="shared" si="2"/>
        <v>0.81589958158995812</v>
      </c>
      <c r="S10" s="109">
        <f t="shared" si="3"/>
        <v>-3.2030456852791875</v>
      </c>
      <c r="T10" s="109">
        <f t="shared" si="4"/>
        <v>7.3461538461538467</v>
      </c>
    </row>
    <row r="11" spans="1:20">
      <c r="A11" s="154">
        <v>160</v>
      </c>
      <c r="B11" s="156">
        <v>600584</v>
      </c>
      <c r="C11" s="133" t="s">
        <v>2332</v>
      </c>
      <c r="D11" s="155" t="s">
        <v>2324</v>
      </c>
      <c r="E11" s="154">
        <v>25</v>
      </c>
      <c r="F11" s="154">
        <v>19</v>
      </c>
      <c r="G11" s="154">
        <v>6</v>
      </c>
      <c r="H11" s="154">
        <v>0</v>
      </c>
      <c r="I11" s="154">
        <v>0</v>
      </c>
      <c r="J11" s="154">
        <v>0</v>
      </c>
      <c r="K11" s="154">
        <v>-0.58599999999999997</v>
      </c>
      <c r="L11" s="154">
        <v>9.0999999999999998E-2</v>
      </c>
      <c r="M11" s="154">
        <v>0.41299999999999998</v>
      </c>
      <c r="N11" s="154">
        <v>0.755</v>
      </c>
      <c r="O11" s="108">
        <f t="shared" si="0"/>
        <v>-1.1552901023890785</v>
      </c>
      <c r="P11" s="108">
        <f t="shared" si="1"/>
        <v>3.5384615384615383</v>
      </c>
      <c r="Q11" s="108">
        <f t="shared" si="2"/>
        <v>0.82808716707021812</v>
      </c>
      <c r="S11" s="109">
        <f t="shared" si="3"/>
        <v>-2.28839590443686</v>
      </c>
      <c r="T11" s="109">
        <f t="shared" si="4"/>
        <v>7.2967032967032974</v>
      </c>
    </row>
    <row r="12" spans="1:20">
      <c r="A12" s="154">
        <v>969</v>
      </c>
      <c r="B12" s="156">
        <v>2570</v>
      </c>
      <c r="C12" s="133" t="s">
        <v>2333</v>
      </c>
      <c r="D12" s="155" t="s">
        <v>2324</v>
      </c>
      <c r="E12" s="154">
        <v>3</v>
      </c>
      <c r="F12" s="154">
        <v>1</v>
      </c>
      <c r="G12" s="154">
        <v>2</v>
      </c>
      <c r="H12" s="154">
        <v>0</v>
      </c>
      <c r="I12" s="154">
        <v>0</v>
      </c>
      <c r="J12" s="154">
        <v>0</v>
      </c>
      <c r="K12" s="154">
        <v>0.04</v>
      </c>
      <c r="L12" s="154">
        <v>2.8000000000000001E-2</v>
      </c>
      <c r="M12" s="154">
        <v>0.13100000000000001</v>
      </c>
      <c r="N12" s="154">
        <v>0.20899999999999999</v>
      </c>
      <c r="O12" s="108">
        <f t="shared" si="0"/>
        <v>-0.30000000000000004</v>
      </c>
      <c r="P12" s="108">
        <f t="shared" si="1"/>
        <v>3.6785714285714288</v>
      </c>
      <c r="Q12" s="108">
        <f t="shared" si="2"/>
        <v>0.59541984732824416</v>
      </c>
      <c r="S12" s="109">
        <f t="shared" si="3"/>
        <v>4.2249999999999996</v>
      </c>
      <c r="T12" s="109">
        <f t="shared" si="4"/>
        <v>6.4642857142857135</v>
      </c>
    </row>
    <row r="13" spans="1:20">
      <c r="A13" s="154">
        <v>746</v>
      </c>
      <c r="B13" s="156">
        <v>300409</v>
      </c>
      <c r="C13" s="133" t="s">
        <v>1557</v>
      </c>
      <c r="D13" s="155" t="s">
        <v>2324</v>
      </c>
      <c r="E13" s="154">
        <v>6</v>
      </c>
      <c r="F13" s="154">
        <v>1</v>
      </c>
      <c r="G13" s="154">
        <v>5</v>
      </c>
      <c r="H13" s="154">
        <v>0</v>
      </c>
      <c r="I13" s="154">
        <v>0</v>
      </c>
      <c r="J13" s="154">
        <v>0</v>
      </c>
      <c r="K13" s="154">
        <v>0.47799999999999998</v>
      </c>
      <c r="L13" s="154">
        <v>9.4E-2</v>
      </c>
      <c r="M13" s="154">
        <v>0.45400000000000001</v>
      </c>
      <c r="N13" s="154">
        <v>0.58799999999999997</v>
      </c>
      <c r="O13" s="108">
        <f t="shared" si="0"/>
        <v>-0.80334728033472802</v>
      </c>
      <c r="P13" s="108">
        <f t="shared" si="1"/>
        <v>3.8297872340425529</v>
      </c>
      <c r="Q13" s="108">
        <f t="shared" si="2"/>
        <v>0.29515418502202628</v>
      </c>
      <c r="S13" s="109">
        <f t="shared" si="3"/>
        <v>0.23012552301255229</v>
      </c>
      <c r="T13" s="109">
        <f t="shared" si="4"/>
        <v>5.2553191489361701</v>
      </c>
    </row>
    <row r="14" spans="1:20">
      <c r="A14" s="154">
        <v>325</v>
      </c>
      <c r="B14" s="156">
        <v>300618</v>
      </c>
      <c r="C14" s="133" t="s">
        <v>2334</v>
      </c>
      <c r="D14" s="155" t="s">
        <v>2324</v>
      </c>
      <c r="E14" s="154">
        <v>15</v>
      </c>
      <c r="F14" s="154">
        <v>1</v>
      </c>
      <c r="G14" s="154">
        <v>14</v>
      </c>
      <c r="H14" s="154">
        <v>0</v>
      </c>
      <c r="I14" s="154">
        <v>0</v>
      </c>
      <c r="J14" s="154">
        <v>0</v>
      </c>
      <c r="K14" s="154">
        <v>2.6320000000000001</v>
      </c>
      <c r="L14" s="154">
        <v>0.35199999999999998</v>
      </c>
      <c r="M14" s="154">
        <v>1.3939999999999999</v>
      </c>
      <c r="N14" s="154">
        <v>2.085</v>
      </c>
      <c r="O14" s="108">
        <f t="shared" si="0"/>
        <v>-0.86626139817629177</v>
      </c>
      <c r="P14" s="108">
        <f t="shared" si="1"/>
        <v>2.9602272727272725</v>
      </c>
      <c r="Q14" s="108">
        <f t="shared" si="2"/>
        <v>0.49569583931133443</v>
      </c>
      <c r="S14" s="109">
        <f t="shared" si="3"/>
        <v>-0.2078267477203648</v>
      </c>
      <c r="T14" s="109">
        <f t="shared" si="4"/>
        <v>4.923295454545455</v>
      </c>
    </row>
    <row r="15" spans="1:20">
      <c r="A15" s="154">
        <v>204</v>
      </c>
      <c r="B15" s="156">
        <v>786</v>
      </c>
      <c r="C15" s="133" t="s">
        <v>2335</v>
      </c>
      <c r="D15" s="155" t="s">
        <v>2324</v>
      </c>
      <c r="E15" s="154">
        <v>22</v>
      </c>
      <c r="F15" s="154">
        <v>19</v>
      </c>
      <c r="G15" s="154">
        <v>3</v>
      </c>
      <c r="H15" s="154">
        <v>0</v>
      </c>
      <c r="I15" s="154">
        <v>0</v>
      </c>
      <c r="J15" s="154">
        <v>0</v>
      </c>
      <c r="K15" s="154">
        <v>1.46</v>
      </c>
      <c r="L15" s="154">
        <v>0.308</v>
      </c>
      <c r="M15" s="154">
        <v>1.599</v>
      </c>
      <c r="N15" s="154">
        <v>1.8240000000000001</v>
      </c>
      <c r="O15" s="108">
        <f t="shared" si="0"/>
        <v>-0.78904109589041094</v>
      </c>
      <c r="P15" s="108">
        <f t="shared" si="1"/>
        <v>4.1915584415584419</v>
      </c>
      <c r="Q15" s="108">
        <f t="shared" si="2"/>
        <v>0.14071294559099434</v>
      </c>
      <c r="S15" s="109">
        <f t="shared" si="3"/>
        <v>0.24931506849315066</v>
      </c>
      <c r="T15" s="109">
        <f t="shared" si="4"/>
        <v>4.9220779220779223</v>
      </c>
    </row>
    <row r="16" spans="1:20">
      <c r="A16" s="154">
        <v>917</v>
      </c>
      <c r="B16" s="156">
        <v>603727</v>
      </c>
      <c r="C16" s="133" t="s">
        <v>2336</v>
      </c>
      <c r="D16" s="155" t="s">
        <v>2324</v>
      </c>
      <c r="E16" s="154">
        <v>4</v>
      </c>
      <c r="F16" s="154">
        <v>3</v>
      </c>
      <c r="G16" s="154">
        <v>1</v>
      </c>
      <c r="H16" s="154">
        <v>0</v>
      </c>
      <c r="I16" s="154">
        <v>0</v>
      </c>
      <c r="J16" s="154">
        <v>0</v>
      </c>
      <c r="K16" s="154">
        <v>0.03</v>
      </c>
      <c r="L16" s="154">
        <v>0.218</v>
      </c>
      <c r="M16" s="154">
        <v>0.85</v>
      </c>
      <c r="N16" s="154">
        <v>1.2909999999999999</v>
      </c>
      <c r="O16" s="108">
        <f t="shared" si="0"/>
        <v>6.2666666666666666</v>
      </c>
      <c r="P16" s="108">
        <f t="shared" si="1"/>
        <v>2.8990825688073394</v>
      </c>
      <c r="Q16" s="108">
        <f t="shared" si="2"/>
        <v>0.51882352941176468</v>
      </c>
      <c r="S16" s="109">
        <f t="shared" si="3"/>
        <v>42.033333333333331</v>
      </c>
      <c r="T16" s="109">
        <f t="shared" si="4"/>
        <v>4.9220183486238529</v>
      </c>
    </row>
    <row r="17" spans="1:20">
      <c r="A17" s="154">
        <v>771</v>
      </c>
      <c r="B17" s="156">
        <v>2124</v>
      </c>
      <c r="C17" s="133" t="s">
        <v>2337</v>
      </c>
      <c r="D17" s="155" t="s">
        <v>2324</v>
      </c>
      <c r="E17" s="154">
        <v>6</v>
      </c>
      <c r="F17" s="154">
        <v>5</v>
      </c>
      <c r="G17" s="154">
        <v>1</v>
      </c>
      <c r="H17" s="154">
        <v>0</v>
      </c>
      <c r="I17" s="154">
        <v>0</v>
      </c>
      <c r="J17" s="154">
        <v>0</v>
      </c>
      <c r="K17" s="154">
        <v>-0.49299999999999999</v>
      </c>
      <c r="L17" s="154">
        <v>0.60099999999999998</v>
      </c>
      <c r="M17" s="154">
        <v>3.927</v>
      </c>
      <c r="N17" s="154">
        <v>3.5209999999999999</v>
      </c>
      <c r="O17" s="108">
        <f t="shared" si="0"/>
        <v>-2.2190669371196754</v>
      </c>
      <c r="P17" s="108">
        <f t="shared" si="1"/>
        <v>5.5341098169717142</v>
      </c>
      <c r="Q17" s="108">
        <f t="shared" si="2"/>
        <v>-0.10338680926916222</v>
      </c>
      <c r="S17" s="109">
        <f t="shared" si="3"/>
        <v>-8.1419878296146031</v>
      </c>
      <c r="T17" s="109">
        <f t="shared" si="4"/>
        <v>4.858569051580699</v>
      </c>
    </row>
    <row r="18" spans="1:20">
      <c r="A18" s="154">
        <v>759</v>
      </c>
      <c r="B18" s="156">
        <v>300142</v>
      </c>
      <c r="C18" s="133" t="s">
        <v>2338</v>
      </c>
      <c r="D18" s="155" t="s">
        <v>2324</v>
      </c>
      <c r="E18" s="154">
        <v>6</v>
      </c>
      <c r="F18" s="154">
        <v>4</v>
      </c>
      <c r="G18" s="154">
        <v>2</v>
      </c>
      <c r="H18" s="154">
        <v>0</v>
      </c>
      <c r="I18" s="154">
        <v>0</v>
      </c>
      <c r="J18" s="154">
        <v>0</v>
      </c>
      <c r="K18" s="154">
        <v>0.68</v>
      </c>
      <c r="L18" s="154">
        <v>0.13800000000000001</v>
      </c>
      <c r="M18" s="154">
        <v>0.52900000000000003</v>
      </c>
      <c r="N18" s="154">
        <v>0.76700000000000002</v>
      </c>
      <c r="O18" s="108">
        <f t="shared" si="0"/>
        <v>-0.79705882352941182</v>
      </c>
      <c r="P18" s="108">
        <f t="shared" si="1"/>
        <v>2.833333333333333</v>
      </c>
      <c r="Q18" s="108">
        <f t="shared" si="2"/>
        <v>0.44990548204158776</v>
      </c>
      <c r="S18" s="109">
        <f t="shared" si="3"/>
        <v>0.12794117647058822</v>
      </c>
      <c r="T18" s="109">
        <f t="shared" si="4"/>
        <v>4.557971014492753</v>
      </c>
    </row>
    <row r="19" spans="1:20">
      <c r="A19" s="154">
        <v>358</v>
      </c>
      <c r="B19" s="156">
        <v>2714</v>
      </c>
      <c r="C19" s="133" t="s">
        <v>2339</v>
      </c>
      <c r="D19" s="155" t="s">
        <v>2324</v>
      </c>
      <c r="E19" s="154">
        <v>14</v>
      </c>
      <c r="F19" s="154">
        <v>11</v>
      </c>
      <c r="G19" s="154">
        <v>3</v>
      </c>
      <c r="H19" s="154">
        <v>0</v>
      </c>
      <c r="I19" s="154">
        <v>0</v>
      </c>
      <c r="J19" s="154">
        <v>0</v>
      </c>
      <c r="K19" s="154">
        <v>0.23599999999999999</v>
      </c>
      <c r="L19" s="154">
        <v>2.274</v>
      </c>
      <c r="M19" s="154">
        <v>12.741</v>
      </c>
      <c r="N19" s="154">
        <v>11.52</v>
      </c>
      <c r="O19" s="108">
        <f t="shared" si="0"/>
        <v>8.6355932203389845</v>
      </c>
      <c r="P19" s="108">
        <f t="shared" si="1"/>
        <v>4.6029023746701849</v>
      </c>
      <c r="Q19" s="108">
        <f t="shared" si="2"/>
        <v>-9.5832352248646058E-2</v>
      </c>
      <c r="S19" s="109">
        <f t="shared" si="3"/>
        <v>47.813559322033896</v>
      </c>
      <c r="T19" s="109">
        <f t="shared" si="4"/>
        <v>4.0659630606860153</v>
      </c>
    </row>
    <row r="20" spans="1:20">
      <c r="A20" s="154">
        <v>240</v>
      </c>
      <c r="B20" s="156">
        <v>603799</v>
      </c>
      <c r="C20" s="133" t="s">
        <v>2340</v>
      </c>
      <c r="D20" s="155" t="s">
        <v>2324</v>
      </c>
      <c r="E20" s="154">
        <v>19</v>
      </c>
      <c r="F20" s="154">
        <v>8</v>
      </c>
      <c r="G20" s="154">
        <v>11</v>
      </c>
      <c r="H20" s="154">
        <v>0</v>
      </c>
      <c r="I20" s="154">
        <v>0</v>
      </c>
      <c r="J20" s="154">
        <v>0</v>
      </c>
      <c r="K20" s="154">
        <v>1.417</v>
      </c>
      <c r="L20" s="154">
        <v>0.26300000000000001</v>
      </c>
      <c r="M20" s="154">
        <v>0.92300000000000004</v>
      </c>
      <c r="N20" s="154">
        <v>1.3140000000000001</v>
      </c>
      <c r="O20" s="108">
        <f t="shared" si="0"/>
        <v>-0.81439661256175011</v>
      </c>
      <c r="P20" s="108">
        <f t="shared" si="1"/>
        <v>2.5095057034220534</v>
      </c>
      <c r="Q20" s="108">
        <f t="shared" si="2"/>
        <v>0.42361863488624052</v>
      </c>
      <c r="S20" s="109">
        <f t="shared" si="3"/>
        <v>-7.2688779110797408E-2</v>
      </c>
      <c r="T20" s="109">
        <f t="shared" si="4"/>
        <v>3.996197718631179</v>
      </c>
    </row>
    <row r="21" spans="1:20">
      <c r="A21" s="154">
        <v>720</v>
      </c>
      <c r="B21" s="156">
        <v>300772</v>
      </c>
      <c r="C21" s="133" t="s">
        <v>2341</v>
      </c>
      <c r="D21" s="155" t="s">
        <v>2324</v>
      </c>
      <c r="E21" s="154">
        <v>6</v>
      </c>
      <c r="F21" s="154">
        <v>6</v>
      </c>
      <c r="G21" s="154">
        <v>0</v>
      </c>
      <c r="H21" s="154">
        <v>0</v>
      </c>
      <c r="I21" s="154">
        <v>0</v>
      </c>
      <c r="J21" s="154">
        <v>0</v>
      </c>
      <c r="K21" s="154">
        <v>0.40899999999999997</v>
      </c>
      <c r="L21" s="154">
        <v>0.33600000000000002</v>
      </c>
      <c r="M21" s="154">
        <v>1.256</v>
      </c>
      <c r="N21" s="154">
        <v>1.5249999999999999</v>
      </c>
      <c r="O21" s="108">
        <f t="shared" si="0"/>
        <v>-0.17848410757946198</v>
      </c>
      <c r="P21" s="108">
        <f t="shared" si="1"/>
        <v>2.7380952380952377</v>
      </c>
      <c r="Q21" s="108">
        <f t="shared" si="2"/>
        <v>0.21417197452229297</v>
      </c>
      <c r="S21" s="109">
        <f t="shared" si="3"/>
        <v>2.7286063569682151</v>
      </c>
      <c r="T21" s="109">
        <f t="shared" si="4"/>
        <v>3.5386904761904754</v>
      </c>
    </row>
    <row r="22" spans="1:20">
      <c r="A22" s="154">
        <v>311</v>
      </c>
      <c r="B22" s="156">
        <v>2157</v>
      </c>
      <c r="C22" s="133" t="s">
        <v>2342</v>
      </c>
      <c r="D22" s="155" t="s">
        <v>2324</v>
      </c>
      <c r="E22" s="154">
        <v>16</v>
      </c>
      <c r="F22" s="154">
        <v>15</v>
      </c>
      <c r="G22" s="154">
        <v>1</v>
      </c>
      <c r="H22" s="154">
        <v>0</v>
      </c>
      <c r="I22" s="154">
        <v>0</v>
      </c>
      <c r="J22" s="154">
        <v>0</v>
      </c>
      <c r="K22" s="154">
        <v>7.9000000000000001E-2</v>
      </c>
      <c r="L22" s="154">
        <v>0.92800000000000005</v>
      </c>
      <c r="M22" s="154">
        <v>4.0389999999999997</v>
      </c>
      <c r="N22" s="154">
        <v>4.16</v>
      </c>
      <c r="O22" s="108">
        <f t="shared" si="0"/>
        <v>10.746835443037975</v>
      </c>
      <c r="P22" s="108">
        <f t="shared" si="1"/>
        <v>3.3523706896551717</v>
      </c>
      <c r="Q22" s="108">
        <f t="shared" si="2"/>
        <v>2.9957910373854979E-2</v>
      </c>
      <c r="S22" s="109">
        <f t="shared" si="3"/>
        <v>51.658227848101269</v>
      </c>
      <c r="T22" s="109">
        <f t="shared" si="4"/>
        <v>3.4827586206896548</v>
      </c>
    </row>
    <row r="23" spans="1:20">
      <c r="A23" s="154">
        <v>581</v>
      </c>
      <c r="B23" s="156">
        <v>2876</v>
      </c>
      <c r="C23" s="133" t="s">
        <v>2343</v>
      </c>
      <c r="D23" s="155" t="s">
        <v>2324</v>
      </c>
      <c r="E23" s="154">
        <v>8</v>
      </c>
      <c r="F23" s="154">
        <v>8</v>
      </c>
      <c r="G23" s="154">
        <v>0</v>
      </c>
      <c r="H23" s="154">
        <v>0</v>
      </c>
      <c r="I23" s="154">
        <v>0</v>
      </c>
      <c r="J23" s="154">
        <v>0</v>
      </c>
      <c r="K23" s="154">
        <v>0.26600000000000001</v>
      </c>
      <c r="L23" s="154">
        <v>0.58199999999999996</v>
      </c>
      <c r="M23" s="154">
        <v>1.7509999999999999</v>
      </c>
      <c r="N23" s="154">
        <v>2.4750000000000001</v>
      </c>
      <c r="O23" s="108">
        <f t="shared" si="0"/>
        <v>1.1879699248120299</v>
      </c>
      <c r="P23" s="108">
        <f t="shared" si="1"/>
        <v>2.0085910652920962</v>
      </c>
      <c r="Q23" s="108">
        <f t="shared" si="2"/>
        <v>0.41347801256424921</v>
      </c>
      <c r="S23" s="109">
        <f t="shared" si="3"/>
        <v>8.3045112781954877</v>
      </c>
      <c r="T23" s="109">
        <f t="shared" si="4"/>
        <v>3.2525773195876289</v>
      </c>
    </row>
    <row r="24" spans="1:20">
      <c r="A24" s="154">
        <v>832</v>
      </c>
      <c r="B24" s="156">
        <v>300338</v>
      </c>
      <c r="C24" s="133" t="s">
        <v>2344</v>
      </c>
      <c r="D24" s="155" t="s">
        <v>2324</v>
      </c>
      <c r="E24" s="154">
        <v>5</v>
      </c>
      <c r="F24" s="154">
        <v>5</v>
      </c>
      <c r="G24" s="154">
        <v>0</v>
      </c>
      <c r="H24" s="154">
        <v>0</v>
      </c>
      <c r="I24" s="154">
        <v>0</v>
      </c>
      <c r="J24" s="154">
        <v>0</v>
      </c>
      <c r="K24" s="154">
        <v>0.28699999999999998</v>
      </c>
      <c r="L24" s="154">
        <v>0.192</v>
      </c>
      <c r="M24" s="154">
        <v>0.58199999999999996</v>
      </c>
      <c r="N24" s="154">
        <v>0.79200000000000004</v>
      </c>
      <c r="O24" s="108">
        <f t="shared" si="0"/>
        <v>-0.33101045296167242</v>
      </c>
      <c r="P24" s="108">
        <f t="shared" si="1"/>
        <v>2.0312499999999996</v>
      </c>
      <c r="Q24" s="108">
        <f t="shared" si="2"/>
        <v>0.36082474226804129</v>
      </c>
      <c r="S24" s="109">
        <f t="shared" si="3"/>
        <v>1.7595818815331015</v>
      </c>
      <c r="T24" s="109">
        <f t="shared" si="4"/>
        <v>3.125</v>
      </c>
    </row>
    <row r="25" spans="1:20">
      <c r="A25" s="154">
        <v>332</v>
      </c>
      <c r="B25" s="156">
        <v>2466</v>
      </c>
      <c r="C25" s="133" t="s">
        <v>2345</v>
      </c>
      <c r="D25" s="155" t="s">
        <v>2324</v>
      </c>
      <c r="E25" s="154">
        <v>15</v>
      </c>
      <c r="F25" s="154">
        <v>11</v>
      </c>
      <c r="G25" s="154">
        <v>4</v>
      </c>
      <c r="H25" s="154">
        <v>0</v>
      </c>
      <c r="I25" s="154">
        <v>0</v>
      </c>
      <c r="J25" s="154">
        <v>0</v>
      </c>
      <c r="K25" s="154">
        <v>1.49</v>
      </c>
      <c r="L25" s="154">
        <v>0.36</v>
      </c>
      <c r="M25" s="154">
        <v>0.80900000000000005</v>
      </c>
      <c r="N25" s="154">
        <v>1.4219999999999999</v>
      </c>
      <c r="O25" s="108">
        <f t="shared" si="0"/>
        <v>-0.75838926174496646</v>
      </c>
      <c r="P25" s="108">
        <f t="shared" si="1"/>
        <v>1.2472222222222222</v>
      </c>
      <c r="Q25" s="108">
        <f t="shared" si="2"/>
        <v>0.75772558714462268</v>
      </c>
      <c r="S25" s="109">
        <f t="shared" si="3"/>
        <v>-4.5637583892617517E-2</v>
      </c>
      <c r="T25" s="109">
        <f t="shared" si="4"/>
        <v>2.9499999999999997</v>
      </c>
    </row>
    <row r="26" spans="1:20">
      <c r="A26" s="154">
        <v>371</v>
      </c>
      <c r="B26" s="156">
        <v>600536</v>
      </c>
      <c r="C26" s="133" t="s">
        <v>2346</v>
      </c>
      <c r="D26" s="155" t="s">
        <v>2324</v>
      </c>
      <c r="E26" s="154">
        <v>14</v>
      </c>
      <c r="F26" s="154">
        <v>10</v>
      </c>
      <c r="G26" s="154">
        <v>4</v>
      </c>
      <c r="H26" s="154">
        <v>0</v>
      </c>
      <c r="I26" s="154">
        <v>0</v>
      </c>
      <c r="J26" s="154">
        <v>0</v>
      </c>
      <c r="K26" s="154">
        <v>0.224</v>
      </c>
      <c r="L26" s="154">
        <v>0.42599999999999999</v>
      </c>
      <c r="M26" s="154">
        <v>1.0529999999999999</v>
      </c>
      <c r="N26" s="154">
        <v>1.6479999999999999</v>
      </c>
      <c r="O26" s="108">
        <f t="shared" si="0"/>
        <v>0.90178571428571419</v>
      </c>
      <c r="P26" s="108">
        <f t="shared" si="1"/>
        <v>1.471830985915493</v>
      </c>
      <c r="Q26" s="108">
        <f t="shared" si="2"/>
        <v>0.5650522317188984</v>
      </c>
      <c r="S26" s="109">
        <f t="shared" si="3"/>
        <v>6.3571428571428568</v>
      </c>
      <c r="T26" s="109">
        <f t="shared" si="4"/>
        <v>2.868544600938967</v>
      </c>
    </row>
    <row r="27" spans="1:20">
      <c r="A27" s="154">
        <v>205</v>
      </c>
      <c r="B27" s="156">
        <v>603501</v>
      </c>
      <c r="C27" s="133" t="s">
        <v>2347</v>
      </c>
      <c r="D27" s="155" t="s">
        <v>2324</v>
      </c>
      <c r="E27" s="154">
        <v>21</v>
      </c>
      <c r="F27" s="154">
        <v>16</v>
      </c>
      <c r="G27" s="154">
        <v>5</v>
      </c>
      <c r="H27" s="154">
        <v>0</v>
      </c>
      <c r="I27" s="154">
        <v>0</v>
      </c>
      <c r="J27" s="154">
        <v>0</v>
      </c>
      <c r="K27" s="154">
        <v>0.161</v>
      </c>
      <c r="L27" s="154">
        <v>0.66800000000000004</v>
      </c>
      <c r="M27" s="154">
        <v>1.889</v>
      </c>
      <c r="N27" s="154">
        <v>2.5329999999999999</v>
      </c>
      <c r="O27" s="108">
        <f t="shared" si="0"/>
        <v>3.1490683229813667</v>
      </c>
      <c r="P27" s="108">
        <f t="shared" si="1"/>
        <v>1.8278443113772456</v>
      </c>
      <c r="Q27" s="108">
        <f t="shared" si="2"/>
        <v>0.34092112228692417</v>
      </c>
      <c r="S27" s="109">
        <f t="shared" si="3"/>
        <v>14.732919254658384</v>
      </c>
      <c r="T27" s="109">
        <f t="shared" si="4"/>
        <v>2.7919161676646702</v>
      </c>
    </row>
    <row r="28" spans="1:20">
      <c r="A28" s="154">
        <v>464</v>
      </c>
      <c r="B28" s="156">
        <v>2456</v>
      </c>
      <c r="C28" s="133" t="s">
        <v>2348</v>
      </c>
      <c r="D28" s="155" t="s">
        <v>2324</v>
      </c>
      <c r="E28" s="154">
        <v>11</v>
      </c>
      <c r="F28" s="154">
        <v>11</v>
      </c>
      <c r="G28" s="154">
        <v>0</v>
      </c>
      <c r="H28" s="154">
        <v>0</v>
      </c>
      <c r="I28" s="154">
        <v>0</v>
      </c>
      <c r="J28" s="154">
        <v>0</v>
      </c>
      <c r="K28" s="154">
        <v>-0.191</v>
      </c>
      <c r="L28" s="154">
        <v>0.223</v>
      </c>
      <c r="M28" s="154">
        <v>0.60499999999999998</v>
      </c>
      <c r="N28" s="154">
        <v>0.83</v>
      </c>
      <c r="O28" s="108">
        <f t="shared" si="0"/>
        <v>-2.167539267015707</v>
      </c>
      <c r="P28" s="108">
        <f t="shared" si="1"/>
        <v>1.7130044843049328</v>
      </c>
      <c r="Q28" s="108">
        <f t="shared" si="2"/>
        <v>0.37190082644628086</v>
      </c>
      <c r="S28" s="109">
        <f t="shared" si="3"/>
        <v>-5.3455497382198951</v>
      </c>
      <c r="T28" s="109">
        <f t="shared" si="4"/>
        <v>2.7219730941704032</v>
      </c>
    </row>
    <row r="29" spans="1:20">
      <c r="A29" s="154">
        <v>448</v>
      </c>
      <c r="B29" s="156">
        <v>300598</v>
      </c>
      <c r="C29" s="133" t="s">
        <v>2349</v>
      </c>
      <c r="D29" s="155" t="s">
        <v>2324</v>
      </c>
      <c r="E29" s="154">
        <v>11</v>
      </c>
      <c r="F29" s="154">
        <v>11</v>
      </c>
      <c r="G29" s="154">
        <v>0</v>
      </c>
      <c r="H29" s="154">
        <v>0</v>
      </c>
      <c r="I29" s="154">
        <v>0</v>
      </c>
      <c r="J29" s="154">
        <v>0</v>
      </c>
      <c r="K29" s="154">
        <v>0.19900000000000001</v>
      </c>
      <c r="L29" s="154">
        <v>0.26900000000000002</v>
      </c>
      <c r="M29" s="154">
        <v>0.47699999999999998</v>
      </c>
      <c r="N29" s="154">
        <v>0.95599999999999996</v>
      </c>
      <c r="O29" s="108">
        <f t="shared" si="0"/>
        <v>0.35175879396984921</v>
      </c>
      <c r="P29" s="108">
        <f t="shared" si="1"/>
        <v>0.77323420074349425</v>
      </c>
      <c r="Q29" s="108">
        <f t="shared" si="2"/>
        <v>1.0041928721174003</v>
      </c>
      <c r="S29" s="109">
        <f t="shared" si="3"/>
        <v>3.8040201005025125</v>
      </c>
      <c r="T29" s="109">
        <f t="shared" si="4"/>
        <v>2.5539033457249065</v>
      </c>
    </row>
    <row r="30" spans="1:20">
      <c r="A30" s="154">
        <v>409</v>
      </c>
      <c r="B30" s="156">
        <v>300604</v>
      </c>
      <c r="C30" s="133" t="s">
        <v>2350</v>
      </c>
      <c r="D30" s="155" t="s">
        <v>2324</v>
      </c>
      <c r="E30" s="154">
        <v>12</v>
      </c>
      <c r="F30" s="154">
        <v>9</v>
      </c>
      <c r="G30" s="154">
        <v>3</v>
      </c>
      <c r="H30" s="154">
        <v>0</v>
      </c>
      <c r="I30" s="154">
        <v>0</v>
      </c>
      <c r="J30" s="154">
        <v>0</v>
      </c>
      <c r="K30" s="154">
        <v>0.11600000000000001</v>
      </c>
      <c r="L30" s="154">
        <v>0.16200000000000001</v>
      </c>
      <c r="M30" s="154">
        <v>0.36599999999999999</v>
      </c>
      <c r="N30" s="154">
        <v>0.56999999999999995</v>
      </c>
      <c r="O30" s="108">
        <f t="shared" si="0"/>
        <v>0.39655172413793105</v>
      </c>
      <c r="P30" s="108">
        <f t="shared" si="1"/>
        <v>1.2592592592592591</v>
      </c>
      <c r="Q30" s="108">
        <f t="shared" si="2"/>
        <v>0.55737704918032782</v>
      </c>
      <c r="S30" s="109">
        <f t="shared" si="3"/>
        <v>3.9137931034482749</v>
      </c>
      <c r="T30" s="109">
        <f t="shared" si="4"/>
        <v>2.5185185185185182</v>
      </c>
    </row>
    <row r="31" spans="1:20">
      <c r="A31" s="154">
        <v>488</v>
      </c>
      <c r="B31" s="156">
        <v>2792</v>
      </c>
      <c r="C31" s="133" t="s">
        <v>2351</v>
      </c>
      <c r="D31" s="155" t="s">
        <v>2324</v>
      </c>
      <c r="E31" s="154">
        <v>10</v>
      </c>
      <c r="F31" s="154">
        <v>1</v>
      </c>
      <c r="G31" s="154">
        <v>9</v>
      </c>
      <c r="H31" s="154">
        <v>0</v>
      </c>
      <c r="I31" s="154">
        <v>0</v>
      </c>
      <c r="J31" s="154">
        <v>0</v>
      </c>
      <c r="K31" s="154">
        <v>0.13200000000000001</v>
      </c>
      <c r="L31" s="154">
        <v>0.33800000000000002</v>
      </c>
      <c r="M31" s="154">
        <v>0.77100000000000002</v>
      </c>
      <c r="N31" s="154">
        <v>1.1879999999999999</v>
      </c>
      <c r="O31" s="108">
        <f t="shared" si="0"/>
        <v>1.5606060606060606</v>
      </c>
      <c r="P31" s="108">
        <f t="shared" si="1"/>
        <v>1.2810650887573964</v>
      </c>
      <c r="Q31" s="108">
        <f t="shared" si="2"/>
        <v>0.54085603112840452</v>
      </c>
      <c r="S31" s="109">
        <f t="shared" si="3"/>
        <v>8</v>
      </c>
      <c r="T31" s="109">
        <f t="shared" si="4"/>
        <v>2.5147928994082838</v>
      </c>
    </row>
    <row r="32" spans="1:20">
      <c r="A32" s="154">
        <v>471</v>
      </c>
      <c r="B32" s="156">
        <v>2100</v>
      </c>
      <c r="C32" s="133" t="s">
        <v>2352</v>
      </c>
      <c r="D32" s="155" t="s">
        <v>2324</v>
      </c>
      <c r="E32" s="154">
        <v>11</v>
      </c>
      <c r="F32" s="154">
        <v>11</v>
      </c>
      <c r="G32" s="154">
        <v>0</v>
      </c>
      <c r="H32" s="154">
        <v>0</v>
      </c>
      <c r="I32" s="154">
        <v>0</v>
      </c>
      <c r="J32" s="154">
        <v>0</v>
      </c>
      <c r="K32" s="154">
        <v>0.29399999999999998</v>
      </c>
      <c r="L32" s="154">
        <v>0.59399999999999997</v>
      </c>
      <c r="M32" s="154">
        <v>2.3570000000000002</v>
      </c>
      <c r="N32" s="154">
        <v>2.056</v>
      </c>
      <c r="O32" s="108">
        <f t="shared" si="0"/>
        <v>1.0204081632653059</v>
      </c>
      <c r="P32" s="108">
        <f t="shared" si="1"/>
        <v>2.9680134680134684</v>
      </c>
      <c r="Q32" s="108">
        <f t="shared" si="2"/>
        <v>-0.12770470937632594</v>
      </c>
      <c r="S32" s="109">
        <f t="shared" si="3"/>
        <v>5.9931972789115653</v>
      </c>
      <c r="T32" s="109">
        <f t="shared" si="4"/>
        <v>2.4612794612794615</v>
      </c>
    </row>
    <row r="33" spans="1:20">
      <c r="A33" s="154">
        <v>812</v>
      </c>
      <c r="B33" s="156">
        <v>603063</v>
      </c>
      <c r="C33" s="133" t="s">
        <v>2353</v>
      </c>
      <c r="D33" s="155" t="s">
        <v>2324</v>
      </c>
      <c r="E33" s="154">
        <v>5</v>
      </c>
      <c r="F33" s="154">
        <v>4</v>
      </c>
      <c r="G33" s="154">
        <v>1</v>
      </c>
      <c r="H33" s="154">
        <v>0</v>
      </c>
      <c r="I33" s="154">
        <v>0</v>
      </c>
      <c r="J33" s="154">
        <v>0</v>
      </c>
      <c r="K33" s="154">
        <v>0.125</v>
      </c>
      <c r="L33" s="154">
        <v>0.29199999999999998</v>
      </c>
      <c r="M33" s="154">
        <v>0.752</v>
      </c>
      <c r="N33" s="154">
        <v>0.97499999999999998</v>
      </c>
      <c r="O33" s="108">
        <f t="shared" si="0"/>
        <v>1.3359999999999999</v>
      </c>
      <c r="P33" s="108">
        <f t="shared" si="1"/>
        <v>1.5753424657534247</v>
      </c>
      <c r="Q33" s="108">
        <f t="shared" si="2"/>
        <v>0.29654255319148937</v>
      </c>
      <c r="S33" s="109">
        <f t="shared" si="3"/>
        <v>6.8</v>
      </c>
      <c r="T33" s="109">
        <f t="shared" si="4"/>
        <v>2.3390410958904111</v>
      </c>
    </row>
    <row r="34" spans="1:20">
      <c r="A34" s="154">
        <v>594</v>
      </c>
      <c r="B34" s="156">
        <v>2709</v>
      </c>
      <c r="C34" s="133" t="s">
        <v>2354</v>
      </c>
      <c r="D34" s="155" t="s">
        <v>2324</v>
      </c>
      <c r="E34" s="154">
        <v>8</v>
      </c>
      <c r="F34" s="154">
        <v>6</v>
      </c>
      <c r="G34" s="154">
        <v>2</v>
      </c>
      <c r="H34" s="154">
        <v>0</v>
      </c>
      <c r="I34" s="154">
        <v>0</v>
      </c>
      <c r="J34" s="154">
        <v>0</v>
      </c>
      <c r="K34" s="154">
        <v>0.83199999999999996</v>
      </c>
      <c r="L34" s="154">
        <v>0.28000000000000003</v>
      </c>
      <c r="M34" s="154">
        <v>0.65600000000000003</v>
      </c>
      <c r="N34" s="154">
        <v>0.93100000000000005</v>
      </c>
      <c r="O34" s="108">
        <f t="shared" si="0"/>
        <v>-0.66346153846153844</v>
      </c>
      <c r="P34" s="108">
        <f t="shared" si="1"/>
        <v>1.3428571428571425</v>
      </c>
      <c r="Q34" s="108">
        <f t="shared" si="2"/>
        <v>0.41920731707317072</v>
      </c>
      <c r="S34" s="109">
        <f t="shared" si="3"/>
        <v>0.1189903846153848</v>
      </c>
      <c r="T34" s="109">
        <f t="shared" si="4"/>
        <v>2.3249999999999997</v>
      </c>
    </row>
    <row r="35" spans="1:20">
      <c r="A35" s="154">
        <v>990</v>
      </c>
      <c r="B35" s="156">
        <v>600988</v>
      </c>
      <c r="C35" s="133" t="s">
        <v>2355</v>
      </c>
      <c r="D35" s="155" t="s">
        <v>2324</v>
      </c>
      <c r="E35" s="154">
        <v>3</v>
      </c>
      <c r="F35" s="154">
        <v>2</v>
      </c>
      <c r="G35" s="154">
        <v>1</v>
      </c>
      <c r="H35" s="154">
        <v>0</v>
      </c>
      <c r="I35" s="154">
        <v>0</v>
      </c>
      <c r="J35" s="154">
        <v>0</v>
      </c>
      <c r="K35" s="154">
        <v>-0.08</v>
      </c>
      <c r="L35" s="154">
        <v>0.16300000000000001</v>
      </c>
      <c r="M35" s="154">
        <v>0.30499999999999999</v>
      </c>
      <c r="N35" s="154">
        <v>0.504</v>
      </c>
      <c r="O35" s="108">
        <f t="shared" si="0"/>
        <v>-3.0375000000000001</v>
      </c>
      <c r="P35" s="108">
        <f t="shared" si="1"/>
        <v>0.871165644171779</v>
      </c>
      <c r="Q35" s="108">
        <f t="shared" si="2"/>
        <v>0.65245901639344273</v>
      </c>
      <c r="S35" s="109">
        <f t="shared" si="3"/>
        <v>-7.3</v>
      </c>
      <c r="T35" s="109">
        <f t="shared" si="4"/>
        <v>2.0920245398773005</v>
      </c>
    </row>
    <row r="36" spans="1:20">
      <c r="A36" s="154">
        <v>414</v>
      </c>
      <c r="B36" s="156">
        <v>300379</v>
      </c>
      <c r="C36" s="133" t="s">
        <v>2356</v>
      </c>
      <c r="D36" s="155" t="s">
        <v>2324</v>
      </c>
      <c r="E36" s="154">
        <v>12</v>
      </c>
      <c r="F36" s="154">
        <v>7</v>
      </c>
      <c r="G36" s="154">
        <v>5</v>
      </c>
      <c r="H36" s="154">
        <v>0</v>
      </c>
      <c r="I36" s="154">
        <v>0</v>
      </c>
      <c r="J36" s="154">
        <v>0</v>
      </c>
      <c r="K36" s="154">
        <v>0.435</v>
      </c>
      <c r="L36" s="154">
        <v>0.622</v>
      </c>
      <c r="M36" s="154">
        <v>1.21</v>
      </c>
      <c r="N36" s="154">
        <v>1.8120000000000001</v>
      </c>
      <c r="O36" s="108">
        <f t="shared" si="0"/>
        <v>0.42988505747126426</v>
      </c>
      <c r="P36" s="108">
        <f t="shared" si="1"/>
        <v>0.94533762057877802</v>
      </c>
      <c r="Q36" s="108">
        <f t="shared" si="2"/>
        <v>0.49752066115702487</v>
      </c>
      <c r="S36" s="109">
        <f t="shared" si="3"/>
        <v>3.1655172413793107</v>
      </c>
      <c r="T36" s="109">
        <f t="shared" si="4"/>
        <v>1.9131832797427655</v>
      </c>
    </row>
    <row r="37" spans="1:20">
      <c r="A37" s="154">
        <v>943</v>
      </c>
      <c r="B37" s="156">
        <v>300133</v>
      </c>
      <c r="C37" s="133" t="s">
        <v>2357</v>
      </c>
      <c r="D37" s="155" t="s">
        <v>2324</v>
      </c>
      <c r="E37" s="154">
        <v>4</v>
      </c>
      <c r="F37" s="154">
        <v>2</v>
      </c>
      <c r="G37" s="154">
        <v>2</v>
      </c>
      <c r="H37" s="154">
        <v>0</v>
      </c>
      <c r="I37" s="154">
        <v>0</v>
      </c>
      <c r="J37" s="154">
        <v>0</v>
      </c>
      <c r="K37" s="154">
        <v>0.12</v>
      </c>
      <c r="L37" s="154">
        <v>0.114</v>
      </c>
      <c r="M37" s="154">
        <v>0.26400000000000001</v>
      </c>
      <c r="N37" s="154">
        <v>0.32800000000000001</v>
      </c>
      <c r="O37" s="108">
        <f t="shared" si="0"/>
        <v>-4.9999999999999933E-2</v>
      </c>
      <c r="P37" s="108">
        <f t="shared" si="1"/>
        <v>1.3157894736842106</v>
      </c>
      <c r="Q37" s="108">
        <f t="shared" si="2"/>
        <v>0.24242424242424243</v>
      </c>
      <c r="S37" s="109">
        <f t="shared" si="3"/>
        <v>1.7333333333333334</v>
      </c>
      <c r="T37" s="109">
        <f t="shared" si="4"/>
        <v>1.8771929824561404</v>
      </c>
    </row>
    <row r="38" spans="1:20">
      <c r="A38" s="154">
        <v>949</v>
      </c>
      <c r="B38" s="156">
        <v>2385</v>
      </c>
      <c r="C38" s="133" t="s">
        <v>2358</v>
      </c>
      <c r="D38" s="155" t="s">
        <v>2324</v>
      </c>
      <c r="E38" s="154">
        <v>4</v>
      </c>
      <c r="F38" s="154">
        <v>0</v>
      </c>
      <c r="G38" s="154">
        <v>4</v>
      </c>
      <c r="H38" s="154">
        <v>0</v>
      </c>
      <c r="I38" s="154">
        <v>0</v>
      </c>
      <c r="J38" s="154">
        <v>0</v>
      </c>
      <c r="K38" s="154">
        <v>0.121</v>
      </c>
      <c r="L38" s="154">
        <v>0.221</v>
      </c>
      <c r="M38" s="154">
        <v>0.57199999999999995</v>
      </c>
      <c r="N38" s="154">
        <v>0.622</v>
      </c>
      <c r="O38" s="108">
        <f t="shared" si="0"/>
        <v>0.82644628099173567</v>
      </c>
      <c r="P38" s="108">
        <f t="shared" si="1"/>
        <v>1.5882352941176467</v>
      </c>
      <c r="Q38" s="108">
        <f t="shared" si="2"/>
        <v>8.7412587412587506E-2</v>
      </c>
      <c r="S38" s="109">
        <f t="shared" si="3"/>
        <v>4.1404958677685952</v>
      </c>
      <c r="T38" s="109">
        <f t="shared" si="4"/>
        <v>1.8144796380090495</v>
      </c>
    </row>
    <row r="39" spans="1:20">
      <c r="A39" s="154">
        <v>954</v>
      </c>
      <c r="B39" s="156">
        <v>2385</v>
      </c>
      <c r="C39" s="133" t="s">
        <v>2358</v>
      </c>
      <c r="D39" s="155" t="s">
        <v>2324</v>
      </c>
      <c r="E39" s="154">
        <v>4</v>
      </c>
      <c r="F39" s="154">
        <v>0</v>
      </c>
      <c r="G39" s="154">
        <v>4</v>
      </c>
      <c r="H39" s="154">
        <v>0</v>
      </c>
      <c r="I39" s="154">
        <v>0</v>
      </c>
      <c r="J39" s="154">
        <v>0</v>
      </c>
      <c r="K39" s="154">
        <v>0.121</v>
      </c>
      <c r="L39" s="154">
        <v>0.221</v>
      </c>
      <c r="M39" s="154">
        <v>0.57199999999999995</v>
      </c>
      <c r="N39" s="154">
        <v>0.622</v>
      </c>
      <c r="O39" s="108">
        <f t="shared" si="0"/>
        <v>0.82644628099173567</v>
      </c>
      <c r="P39" s="108">
        <f t="shared" si="1"/>
        <v>1.5882352941176467</v>
      </c>
      <c r="Q39" s="108">
        <f t="shared" si="2"/>
        <v>8.7412587412587506E-2</v>
      </c>
      <c r="S39" s="109">
        <f t="shared" si="3"/>
        <v>4.1404958677685952</v>
      </c>
      <c r="T39" s="109">
        <f t="shared" si="4"/>
        <v>1.8144796380090495</v>
      </c>
    </row>
    <row r="40" spans="1:20">
      <c r="A40" s="154">
        <v>676</v>
      </c>
      <c r="B40" s="156">
        <v>300001</v>
      </c>
      <c r="C40" s="133" t="s">
        <v>2359</v>
      </c>
      <c r="D40" s="155" t="s">
        <v>2324</v>
      </c>
      <c r="E40" s="154">
        <v>7</v>
      </c>
      <c r="F40" s="154">
        <v>5</v>
      </c>
      <c r="G40" s="154">
        <v>2</v>
      </c>
      <c r="H40" s="154">
        <v>0</v>
      </c>
      <c r="I40" s="154">
        <v>0</v>
      </c>
      <c r="J40" s="154">
        <v>0</v>
      </c>
      <c r="K40" s="154">
        <v>0.17899999999999999</v>
      </c>
      <c r="L40" s="154">
        <v>0.35899999999999999</v>
      </c>
      <c r="M40" s="154">
        <v>0.6</v>
      </c>
      <c r="N40" s="154">
        <v>1.0089999999999999</v>
      </c>
      <c r="O40" s="108">
        <f t="shared" si="0"/>
        <v>1.005586592178771</v>
      </c>
      <c r="P40" s="108">
        <f t="shared" si="1"/>
        <v>0.67130919220055718</v>
      </c>
      <c r="Q40" s="108">
        <f t="shared" si="2"/>
        <v>0.68166666666666664</v>
      </c>
      <c r="S40" s="109">
        <f t="shared" si="3"/>
        <v>4.6368715083798877</v>
      </c>
      <c r="T40" s="109">
        <f t="shared" si="4"/>
        <v>1.8105849582172699</v>
      </c>
    </row>
    <row r="41" spans="1:20">
      <c r="A41" s="154">
        <v>962</v>
      </c>
      <c r="B41" s="156">
        <v>2292</v>
      </c>
      <c r="C41" s="133" t="s">
        <v>2360</v>
      </c>
      <c r="D41" s="155" t="s">
        <v>2324</v>
      </c>
      <c r="E41" s="154">
        <v>3</v>
      </c>
      <c r="F41" s="154">
        <v>0</v>
      </c>
      <c r="G41" s="154">
        <v>3</v>
      </c>
      <c r="H41" s="154">
        <v>0</v>
      </c>
      <c r="I41" s="154">
        <v>0</v>
      </c>
      <c r="J41" s="154">
        <v>0</v>
      </c>
      <c r="K41" s="154">
        <v>-1.2010000000000001</v>
      </c>
      <c r="L41" s="154">
        <v>0.105</v>
      </c>
      <c r="M41" s="154">
        <v>0.20100000000000001</v>
      </c>
      <c r="N41" s="154">
        <v>0.28299999999999997</v>
      </c>
      <c r="O41" s="108">
        <f t="shared" si="0"/>
        <v>-1.0874271440466279</v>
      </c>
      <c r="P41" s="108">
        <f t="shared" si="1"/>
        <v>0.91428571428571437</v>
      </c>
      <c r="Q41" s="108">
        <f t="shared" si="2"/>
        <v>0.40796019900497482</v>
      </c>
      <c r="S41" s="109">
        <f t="shared" si="3"/>
        <v>-1.2356369691923397</v>
      </c>
      <c r="T41" s="109">
        <f t="shared" si="4"/>
        <v>1.695238095238095</v>
      </c>
    </row>
    <row r="42" spans="1:20">
      <c r="A42" s="154">
        <v>781</v>
      </c>
      <c r="B42" s="156">
        <v>600026</v>
      </c>
      <c r="C42" s="133" t="s">
        <v>2361</v>
      </c>
      <c r="D42" s="155" t="s">
        <v>2324</v>
      </c>
      <c r="E42" s="154">
        <v>5</v>
      </c>
      <c r="F42" s="154">
        <v>4</v>
      </c>
      <c r="G42" s="154">
        <v>1</v>
      </c>
      <c r="H42" s="154">
        <v>0</v>
      </c>
      <c r="I42" s="154">
        <v>0</v>
      </c>
      <c r="J42" s="154">
        <v>0</v>
      </c>
      <c r="K42" s="154">
        <v>2.5999999999999999E-2</v>
      </c>
      <c r="L42" s="154">
        <v>0.307</v>
      </c>
      <c r="M42" s="154">
        <v>0.66800000000000004</v>
      </c>
      <c r="N42" s="154">
        <v>0.82399999999999995</v>
      </c>
      <c r="O42" s="108">
        <f t="shared" si="0"/>
        <v>10.807692307692308</v>
      </c>
      <c r="P42" s="108">
        <f t="shared" si="1"/>
        <v>1.1758957654723128</v>
      </c>
      <c r="Q42" s="108">
        <f t="shared" si="2"/>
        <v>0.23353293413173648</v>
      </c>
      <c r="S42" s="109">
        <f t="shared" si="3"/>
        <v>30.692307692307693</v>
      </c>
      <c r="T42" s="109">
        <f t="shared" si="4"/>
        <v>1.6840390879478826</v>
      </c>
    </row>
    <row r="43" spans="1:20">
      <c r="A43" s="154">
        <v>782</v>
      </c>
      <c r="B43" s="156">
        <v>852</v>
      </c>
      <c r="C43" s="133" t="s">
        <v>2362</v>
      </c>
      <c r="D43" s="155" t="s">
        <v>2324</v>
      </c>
      <c r="E43" s="154">
        <v>5</v>
      </c>
      <c r="F43" s="154">
        <v>1</v>
      </c>
      <c r="G43" s="154">
        <v>4</v>
      </c>
      <c r="H43" s="154">
        <v>0</v>
      </c>
      <c r="I43" s="154">
        <v>0</v>
      </c>
      <c r="J43" s="154">
        <v>0</v>
      </c>
      <c r="K43" s="154">
        <v>1.7000000000000001E-2</v>
      </c>
      <c r="L43" s="154">
        <v>0.11600000000000001</v>
      </c>
      <c r="M43" s="154">
        <v>0.216</v>
      </c>
      <c r="N43" s="154">
        <v>0.311</v>
      </c>
      <c r="O43" s="108">
        <f t="shared" si="0"/>
        <v>5.8235294117647056</v>
      </c>
      <c r="P43" s="108">
        <f t="shared" si="1"/>
        <v>0.86206896551724133</v>
      </c>
      <c r="Q43" s="108">
        <f t="shared" si="2"/>
        <v>0.43981481481481488</v>
      </c>
      <c r="S43" s="109">
        <f t="shared" si="3"/>
        <v>17.294117647058822</v>
      </c>
      <c r="T43" s="109">
        <f t="shared" si="4"/>
        <v>1.6810344827586206</v>
      </c>
    </row>
    <row r="44" spans="1:20">
      <c r="A44" s="154">
        <v>963</v>
      </c>
      <c r="B44" s="156">
        <v>2159</v>
      </c>
      <c r="C44" s="133" t="s">
        <v>2363</v>
      </c>
      <c r="D44" s="155" t="s">
        <v>2324</v>
      </c>
      <c r="E44" s="154">
        <v>3</v>
      </c>
      <c r="F44" s="154">
        <v>3</v>
      </c>
      <c r="G44" s="154">
        <v>0</v>
      </c>
      <c r="H44" s="154">
        <v>0</v>
      </c>
      <c r="I44" s="154">
        <v>0</v>
      </c>
      <c r="J44" s="154">
        <v>0</v>
      </c>
      <c r="K44" s="154">
        <v>0.97199999999999998</v>
      </c>
      <c r="L44" s="154">
        <v>0.25800000000000001</v>
      </c>
      <c r="M44" s="154">
        <v>0.45100000000000001</v>
      </c>
      <c r="N44" s="154">
        <v>0.69</v>
      </c>
      <c r="O44" s="108">
        <f t="shared" si="0"/>
        <v>-0.73456790123456783</v>
      </c>
      <c r="P44" s="108">
        <f t="shared" si="1"/>
        <v>0.74806201550387597</v>
      </c>
      <c r="Q44" s="108">
        <f t="shared" si="2"/>
        <v>0.52993348115299321</v>
      </c>
      <c r="S44" s="109">
        <f t="shared" si="3"/>
        <v>-0.29012345679012352</v>
      </c>
      <c r="T44" s="109">
        <f t="shared" si="4"/>
        <v>1.6744186046511627</v>
      </c>
    </row>
    <row r="45" spans="1:20">
      <c r="A45" s="154">
        <v>260</v>
      </c>
      <c r="B45" s="156">
        <v>300659</v>
      </c>
      <c r="C45" s="133" t="s">
        <v>2364</v>
      </c>
      <c r="D45" s="155" t="s">
        <v>2324</v>
      </c>
      <c r="E45" s="154">
        <v>18</v>
      </c>
      <c r="F45" s="154">
        <v>17</v>
      </c>
      <c r="G45" s="154">
        <v>1</v>
      </c>
      <c r="H45" s="154">
        <v>0</v>
      </c>
      <c r="I45" s="154">
        <v>0</v>
      </c>
      <c r="J45" s="154">
        <v>0</v>
      </c>
      <c r="K45" s="154">
        <v>0.32</v>
      </c>
      <c r="L45" s="154">
        <v>0.72</v>
      </c>
      <c r="M45" s="154">
        <v>1.2869999999999999</v>
      </c>
      <c r="N45" s="154">
        <v>1.911</v>
      </c>
      <c r="O45" s="108">
        <f t="shared" si="0"/>
        <v>1.25</v>
      </c>
      <c r="P45" s="108">
        <f t="shared" si="1"/>
        <v>0.78749999999999987</v>
      </c>
      <c r="Q45" s="108">
        <f t="shared" si="2"/>
        <v>0.48484848484848486</v>
      </c>
      <c r="S45" s="109">
        <f t="shared" si="3"/>
        <v>4.9718749999999998</v>
      </c>
      <c r="T45" s="109">
        <f t="shared" si="4"/>
        <v>1.6541666666666668</v>
      </c>
    </row>
    <row r="46" spans="1:20">
      <c r="A46" s="154">
        <v>342</v>
      </c>
      <c r="B46" s="156">
        <v>807</v>
      </c>
      <c r="C46" s="133" t="s">
        <v>2365</v>
      </c>
      <c r="D46" s="155" t="s">
        <v>2324</v>
      </c>
      <c r="E46" s="154">
        <v>15</v>
      </c>
      <c r="F46" s="154">
        <v>9</v>
      </c>
      <c r="G46" s="154">
        <v>6</v>
      </c>
      <c r="H46" s="154">
        <v>0</v>
      </c>
      <c r="I46" s="154">
        <v>0</v>
      </c>
      <c r="J46" s="154">
        <v>0</v>
      </c>
      <c r="K46" s="154">
        <v>-0.46899999999999997</v>
      </c>
      <c r="L46" s="154">
        <v>0.17699999999999999</v>
      </c>
      <c r="M46" s="154">
        <v>0.28799999999999998</v>
      </c>
      <c r="N46" s="154">
        <v>0.45600000000000002</v>
      </c>
      <c r="O46" s="108">
        <f t="shared" si="0"/>
        <v>-1.3773987206823028</v>
      </c>
      <c r="P46" s="108">
        <f t="shared" si="1"/>
        <v>0.62711864406779649</v>
      </c>
      <c r="Q46" s="108">
        <f t="shared" si="2"/>
        <v>0.58333333333333348</v>
      </c>
      <c r="S46" s="109">
        <f t="shared" si="3"/>
        <v>-1.9722814498933903</v>
      </c>
      <c r="T46" s="109">
        <f t="shared" si="4"/>
        <v>1.5762711864406782</v>
      </c>
    </row>
    <row r="47" spans="1:20">
      <c r="A47" s="154">
        <v>651</v>
      </c>
      <c r="B47" s="156">
        <v>300630</v>
      </c>
      <c r="C47" s="133" t="s">
        <v>2366</v>
      </c>
      <c r="D47" s="155" t="s">
        <v>2324</v>
      </c>
      <c r="E47" s="154">
        <v>7</v>
      </c>
      <c r="F47" s="154">
        <v>7</v>
      </c>
      <c r="G47" s="154">
        <v>0</v>
      </c>
      <c r="H47" s="154">
        <v>0</v>
      </c>
      <c r="I47" s="154">
        <v>0</v>
      </c>
      <c r="J47" s="154">
        <v>0</v>
      </c>
      <c r="K47" s="154">
        <v>0.66</v>
      </c>
      <c r="L47" s="154">
        <v>1.1020000000000001</v>
      </c>
      <c r="M47" s="154">
        <v>1.839</v>
      </c>
      <c r="N47" s="154">
        <v>2.8359999999999999</v>
      </c>
      <c r="O47" s="108">
        <f t="shared" si="0"/>
        <v>0.66969696969696968</v>
      </c>
      <c r="P47" s="108">
        <f t="shared" si="1"/>
        <v>0.6687840290381124</v>
      </c>
      <c r="Q47" s="108">
        <f t="shared" si="2"/>
        <v>0.54214246873300698</v>
      </c>
      <c r="S47" s="109">
        <f t="shared" si="3"/>
        <v>3.2969696969696969</v>
      </c>
      <c r="T47" s="109">
        <f t="shared" si="4"/>
        <v>1.5735027223230484</v>
      </c>
    </row>
    <row r="48" spans="1:20">
      <c r="A48" s="154">
        <v>677</v>
      </c>
      <c r="B48" s="156">
        <v>2493</v>
      </c>
      <c r="C48" s="133" t="s">
        <v>2367</v>
      </c>
      <c r="D48" s="155" t="s">
        <v>2324</v>
      </c>
      <c r="E48" s="154">
        <v>7</v>
      </c>
      <c r="F48" s="154">
        <v>3</v>
      </c>
      <c r="G48" s="154">
        <v>4</v>
      </c>
      <c r="H48" s="154">
        <v>0</v>
      </c>
      <c r="I48" s="154">
        <v>0</v>
      </c>
      <c r="J48" s="154">
        <v>0</v>
      </c>
      <c r="K48" s="154">
        <v>0.25600000000000001</v>
      </c>
      <c r="L48" s="154">
        <v>0.45</v>
      </c>
      <c r="M48" s="154">
        <v>0.91700000000000004</v>
      </c>
      <c r="N48" s="154">
        <v>1.1519999999999999</v>
      </c>
      <c r="O48" s="108">
        <f t="shared" si="0"/>
        <v>0.7578125</v>
      </c>
      <c r="P48" s="108">
        <f t="shared" si="1"/>
        <v>1.0377777777777779</v>
      </c>
      <c r="Q48" s="108">
        <f t="shared" si="2"/>
        <v>0.25627044711014157</v>
      </c>
      <c r="S48" s="109">
        <f t="shared" si="3"/>
        <v>3.5</v>
      </c>
      <c r="T48" s="109">
        <f t="shared" si="4"/>
        <v>1.5599999999999996</v>
      </c>
    </row>
    <row r="49" spans="1:20">
      <c r="A49" s="154">
        <v>107</v>
      </c>
      <c r="B49" s="156">
        <v>600745</v>
      </c>
      <c r="C49" s="133" t="s">
        <v>2368</v>
      </c>
      <c r="D49" s="155" t="s">
        <v>2324</v>
      </c>
      <c r="E49" s="154">
        <v>30</v>
      </c>
      <c r="F49" s="154">
        <v>26</v>
      </c>
      <c r="G49" s="154">
        <v>4</v>
      </c>
      <c r="H49" s="154">
        <v>0</v>
      </c>
      <c r="I49" s="154">
        <v>0</v>
      </c>
      <c r="J49" s="154">
        <v>0</v>
      </c>
      <c r="K49" s="154">
        <v>5.3999999999999999E-2</v>
      </c>
      <c r="L49" s="154">
        <v>0.83599999999999997</v>
      </c>
      <c r="M49" s="154">
        <v>1.597</v>
      </c>
      <c r="N49" s="154">
        <v>2.1190000000000002</v>
      </c>
      <c r="O49" s="108">
        <f t="shared" si="0"/>
        <v>14.481481481481481</v>
      </c>
      <c r="P49" s="108">
        <f t="shared" si="1"/>
        <v>0.91028708133971303</v>
      </c>
      <c r="Q49" s="108">
        <f t="shared" si="2"/>
        <v>0.32686286787727004</v>
      </c>
      <c r="S49" s="109">
        <f t="shared" si="3"/>
        <v>38.240740740740748</v>
      </c>
      <c r="T49" s="109">
        <f t="shared" si="4"/>
        <v>1.5346889952153115</v>
      </c>
    </row>
    <row r="50" spans="1:20">
      <c r="A50" s="154">
        <v>117</v>
      </c>
      <c r="B50" s="156">
        <v>300601</v>
      </c>
      <c r="C50" s="133" t="s">
        <v>2369</v>
      </c>
      <c r="D50" s="155" t="s">
        <v>2324</v>
      </c>
      <c r="E50" s="154">
        <v>28</v>
      </c>
      <c r="F50" s="154">
        <v>22</v>
      </c>
      <c r="G50" s="154">
        <v>6</v>
      </c>
      <c r="H50" s="154">
        <v>0</v>
      </c>
      <c r="I50" s="154">
        <v>0</v>
      </c>
      <c r="J50" s="154">
        <v>0</v>
      </c>
      <c r="K50" s="154">
        <v>0.67500000000000004</v>
      </c>
      <c r="L50" s="154">
        <v>0.86399999999999999</v>
      </c>
      <c r="M50" s="154">
        <v>1.208</v>
      </c>
      <c r="N50" s="154">
        <v>2.1110000000000002</v>
      </c>
      <c r="O50" s="108">
        <f t="shared" si="0"/>
        <v>0.2799999999999998</v>
      </c>
      <c r="P50" s="108">
        <f t="shared" si="1"/>
        <v>0.39814814814814814</v>
      </c>
      <c r="Q50" s="108">
        <f t="shared" si="2"/>
        <v>0.74751655629139102</v>
      </c>
      <c r="S50" s="109">
        <f t="shared" si="3"/>
        <v>2.1274074074074076</v>
      </c>
      <c r="T50" s="109">
        <f t="shared" si="4"/>
        <v>1.4432870370370372</v>
      </c>
    </row>
    <row r="51" spans="1:20">
      <c r="A51" s="154">
        <v>312</v>
      </c>
      <c r="B51" s="156">
        <v>2123</v>
      </c>
      <c r="C51" s="133" t="s">
        <v>2370</v>
      </c>
      <c r="D51" s="155" t="s">
        <v>2324</v>
      </c>
      <c r="E51" s="154">
        <v>16</v>
      </c>
      <c r="F51" s="154">
        <v>12</v>
      </c>
      <c r="G51" s="154">
        <v>4</v>
      </c>
      <c r="H51" s="154">
        <v>0</v>
      </c>
      <c r="I51" s="154">
        <v>0</v>
      </c>
      <c r="J51" s="154">
        <v>0</v>
      </c>
      <c r="K51" s="154">
        <v>9.6000000000000002E-2</v>
      </c>
      <c r="L51" s="154">
        <v>0.48199999999999998</v>
      </c>
      <c r="M51" s="154">
        <v>0.78400000000000003</v>
      </c>
      <c r="N51" s="154">
        <v>1.177</v>
      </c>
      <c r="O51" s="108">
        <f t="shared" si="0"/>
        <v>4.020833333333333</v>
      </c>
      <c r="P51" s="108">
        <f t="shared" si="1"/>
        <v>0.62655601659751059</v>
      </c>
      <c r="Q51" s="108">
        <f t="shared" si="2"/>
        <v>0.50127551020408156</v>
      </c>
      <c r="S51" s="109">
        <f t="shared" si="3"/>
        <v>11.260416666666666</v>
      </c>
      <c r="T51" s="109">
        <f t="shared" si="4"/>
        <v>1.4419087136929463</v>
      </c>
    </row>
    <row r="52" spans="1:20">
      <c r="A52" s="154">
        <v>387</v>
      </c>
      <c r="B52" s="156">
        <v>300214</v>
      </c>
      <c r="C52" s="133" t="s">
        <v>2371</v>
      </c>
      <c r="D52" s="155" t="s">
        <v>2324</v>
      </c>
      <c r="E52" s="154">
        <v>13</v>
      </c>
      <c r="F52" s="154">
        <v>11</v>
      </c>
      <c r="G52" s="154">
        <v>2</v>
      </c>
      <c r="H52" s="154">
        <v>0</v>
      </c>
      <c r="I52" s="154">
        <v>0</v>
      </c>
      <c r="J52" s="154">
        <v>0</v>
      </c>
      <c r="K52" s="154">
        <v>0.24099999999999999</v>
      </c>
      <c r="L52" s="154">
        <v>0.42099999999999999</v>
      </c>
      <c r="M52" s="154">
        <v>0.81799999999999995</v>
      </c>
      <c r="N52" s="154">
        <v>1.022</v>
      </c>
      <c r="O52" s="108">
        <f t="shared" si="0"/>
        <v>0.74688796680497926</v>
      </c>
      <c r="P52" s="108">
        <f t="shared" si="1"/>
        <v>0.94299287410926369</v>
      </c>
      <c r="Q52" s="108">
        <f t="shared" si="2"/>
        <v>0.24938875305623487</v>
      </c>
      <c r="S52" s="109">
        <f t="shared" si="3"/>
        <v>3.2406639004149378</v>
      </c>
      <c r="T52" s="109">
        <f t="shared" si="4"/>
        <v>1.4275534441805227</v>
      </c>
    </row>
    <row r="53" spans="1:20">
      <c r="A53" s="154">
        <v>571</v>
      </c>
      <c r="B53" s="156">
        <v>2967</v>
      </c>
      <c r="C53" s="133" t="s">
        <v>2372</v>
      </c>
      <c r="D53" s="155" t="s">
        <v>2324</v>
      </c>
      <c r="E53" s="154">
        <v>8</v>
      </c>
      <c r="F53" s="154">
        <v>3</v>
      </c>
      <c r="G53" s="154">
        <v>5</v>
      </c>
      <c r="H53" s="154">
        <v>0</v>
      </c>
      <c r="I53" s="154">
        <v>0</v>
      </c>
      <c r="J53" s="154">
        <v>0</v>
      </c>
      <c r="K53" s="154">
        <v>0.36899999999999999</v>
      </c>
      <c r="L53" s="154">
        <v>0.442</v>
      </c>
      <c r="M53" s="154">
        <v>0.68600000000000005</v>
      </c>
      <c r="N53" s="154">
        <v>1.0620000000000001</v>
      </c>
      <c r="O53" s="108">
        <f t="shared" si="0"/>
        <v>0.19783197831978327</v>
      </c>
      <c r="P53" s="108">
        <f t="shared" si="1"/>
        <v>0.55203619909502266</v>
      </c>
      <c r="Q53" s="108">
        <f t="shared" si="2"/>
        <v>0.54810495626822142</v>
      </c>
      <c r="S53" s="109">
        <f t="shared" si="3"/>
        <v>1.8780487804878052</v>
      </c>
      <c r="T53" s="109">
        <f t="shared" si="4"/>
        <v>1.4027149321266967</v>
      </c>
    </row>
    <row r="54" spans="1:20">
      <c r="A54" s="154">
        <v>956</v>
      </c>
      <c r="B54" s="156">
        <v>2313</v>
      </c>
      <c r="C54" s="133" t="s">
        <v>2373</v>
      </c>
      <c r="D54" s="155" t="s">
        <v>2324</v>
      </c>
      <c r="E54" s="154">
        <v>4</v>
      </c>
      <c r="F54" s="154">
        <v>0</v>
      </c>
      <c r="G54" s="154">
        <v>4</v>
      </c>
      <c r="H54" s="154">
        <v>0</v>
      </c>
      <c r="I54" s="154">
        <v>0</v>
      </c>
      <c r="J54" s="154">
        <v>0</v>
      </c>
      <c r="K54" s="154">
        <v>0.23</v>
      </c>
      <c r="L54" s="154">
        <v>0.376</v>
      </c>
      <c r="M54" s="154">
        <v>0.63300000000000001</v>
      </c>
      <c r="N54" s="154">
        <v>0.89400000000000002</v>
      </c>
      <c r="O54" s="108">
        <f t="shared" si="0"/>
        <v>0.63478260869565206</v>
      </c>
      <c r="P54" s="108">
        <f t="shared" si="1"/>
        <v>0.6835106382978724</v>
      </c>
      <c r="Q54" s="108">
        <f t="shared" si="2"/>
        <v>0.41232227488151652</v>
      </c>
      <c r="S54" s="109">
        <f t="shared" si="3"/>
        <v>2.8869565217391302</v>
      </c>
      <c r="T54" s="109">
        <f t="shared" si="4"/>
        <v>1.3776595744680851</v>
      </c>
    </row>
    <row r="55" spans="1:20">
      <c r="A55" s="154">
        <v>322</v>
      </c>
      <c r="B55" s="156">
        <v>2891</v>
      </c>
      <c r="C55" s="133" t="s">
        <v>1350</v>
      </c>
      <c r="D55" s="155" t="s">
        <v>2324</v>
      </c>
      <c r="E55" s="154">
        <v>15</v>
      </c>
      <c r="F55" s="154">
        <v>7</v>
      </c>
      <c r="G55" s="154">
        <v>8</v>
      </c>
      <c r="H55" s="154">
        <v>0</v>
      </c>
      <c r="I55" s="154">
        <v>0</v>
      </c>
      <c r="J55" s="154">
        <v>0</v>
      </c>
      <c r="K55" s="154">
        <v>0.33200000000000002</v>
      </c>
      <c r="L55" s="154">
        <v>0.38200000000000001</v>
      </c>
      <c r="M55" s="154">
        <v>0.56599999999999995</v>
      </c>
      <c r="N55" s="154">
        <v>0.90400000000000003</v>
      </c>
      <c r="O55" s="108">
        <f t="shared" si="0"/>
        <v>0.15060240963855409</v>
      </c>
      <c r="P55" s="108">
        <f t="shared" si="1"/>
        <v>0.48167539267015691</v>
      </c>
      <c r="Q55" s="108">
        <f t="shared" si="2"/>
        <v>0.59717314487632533</v>
      </c>
      <c r="S55" s="109">
        <f t="shared" si="3"/>
        <v>1.7228915662650603</v>
      </c>
      <c r="T55" s="109">
        <f t="shared" si="4"/>
        <v>1.3664921465968587</v>
      </c>
    </row>
    <row r="56" spans="1:20">
      <c r="A56" s="154">
        <v>820</v>
      </c>
      <c r="B56" s="156">
        <v>300664</v>
      </c>
      <c r="C56" s="133" t="s">
        <v>2374</v>
      </c>
      <c r="D56" s="155" t="s">
        <v>2324</v>
      </c>
      <c r="E56" s="154">
        <v>5</v>
      </c>
      <c r="F56" s="154">
        <v>2</v>
      </c>
      <c r="G56" s="154">
        <v>3</v>
      </c>
      <c r="H56" s="154">
        <v>0</v>
      </c>
      <c r="I56" s="154">
        <v>0</v>
      </c>
      <c r="J56" s="154">
        <v>0</v>
      </c>
      <c r="K56" s="154">
        <v>0.35</v>
      </c>
      <c r="L56" s="154">
        <v>0.53700000000000003</v>
      </c>
      <c r="M56" s="154">
        <v>0.86</v>
      </c>
      <c r="N56" s="154">
        <v>1.268</v>
      </c>
      <c r="O56" s="108">
        <f t="shared" si="0"/>
        <v>0.53428571428571447</v>
      </c>
      <c r="P56" s="108">
        <f t="shared" si="1"/>
        <v>0.60148975791433879</v>
      </c>
      <c r="Q56" s="108">
        <f t="shared" si="2"/>
        <v>0.47441860465116292</v>
      </c>
      <c r="S56" s="109">
        <f t="shared" si="3"/>
        <v>2.6228571428571432</v>
      </c>
      <c r="T56" s="109">
        <f t="shared" si="4"/>
        <v>1.361266294227188</v>
      </c>
    </row>
    <row r="57" spans="1:20">
      <c r="A57" s="154">
        <v>461</v>
      </c>
      <c r="B57" s="156">
        <v>300226</v>
      </c>
      <c r="C57" s="133" t="s">
        <v>2375</v>
      </c>
      <c r="D57" s="155" t="s">
        <v>2324</v>
      </c>
      <c r="E57" s="154">
        <v>11</v>
      </c>
      <c r="F57" s="154">
        <v>6</v>
      </c>
      <c r="G57" s="154">
        <v>5</v>
      </c>
      <c r="H57" s="154">
        <v>0</v>
      </c>
      <c r="I57" s="154">
        <v>0</v>
      </c>
      <c r="J57" s="154">
        <v>0</v>
      </c>
      <c r="K57" s="154">
        <v>0.76</v>
      </c>
      <c r="L57" s="154">
        <v>1.244</v>
      </c>
      <c r="M57" s="154">
        <v>1.986</v>
      </c>
      <c r="N57" s="154">
        <v>2.923</v>
      </c>
      <c r="O57" s="108">
        <f t="shared" si="0"/>
        <v>0.63684210526315788</v>
      </c>
      <c r="P57" s="108">
        <f t="shared" si="1"/>
        <v>0.59646302250803851</v>
      </c>
      <c r="Q57" s="108">
        <f t="shared" si="2"/>
        <v>0.47180261832829817</v>
      </c>
      <c r="S57" s="109">
        <f t="shared" si="3"/>
        <v>2.8460526315789472</v>
      </c>
      <c r="T57" s="109">
        <f t="shared" si="4"/>
        <v>1.34967845659164</v>
      </c>
    </row>
    <row r="58" spans="1:20">
      <c r="A58" s="154">
        <v>921</v>
      </c>
      <c r="B58" s="156">
        <v>603005</v>
      </c>
      <c r="C58" s="133" t="s">
        <v>2376</v>
      </c>
      <c r="D58" s="155" t="s">
        <v>2324</v>
      </c>
      <c r="E58" s="154">
        <v>4</v>
      </c>
      <c r="F58" s="154">
        <v>2</v>
      </c>
      <c r="G58" s="154">
        <v>2</v>
      </c>
      <c r="H58" s="154">
        <v>0</v>
      </c>
      <c r="I58" s="154">
        <v>0</v>
      </c>
      <c r="J58" s="154">
        <v>0</v>
      </c>
      <c r="K58" s="154">
        <v>0.31</v>
      </c>
      <c r="L58" s="154">
        <v>0.38900000000000001</v>
      </c>
      <c r="M58" s="154">
        <v>0.65300000000000002</v>
      </c>
      <c r="N58" s="154">
        <v>0.90900000000000003</v>
      </c>
      <c r="O58" s="108">
        <f t="shared" si="0"/>
        <v>0.25483870967741939</v>
      </c>
      <c r="P58" s="108">
        <f t="shared" si="1"/>
        <v>0.67866323907455017</v>
      </c>
      <c r="Q58" s="108">
        <f t="shared" si="2"/>
        <v>0.39203675344563549</v>
      </c>
      <c r="S58" s="109">
        <f t="shared" si="3"/>
        <v>1.9322580645161294</v>
      </c>
      <c r="T58" s="109">
        <f t="shared" si="4"/>
        <v>1.3367609254498714</v>
      </c>
    </row>
    <row r="59" spans="1:20">
      <c r="A59" s="154">
        <v>636</v>
      </c>
      <c r="B59" s="156">
        <v>603429</v>
      </c>
      <c r="C59" s="133" t="s">
        <v>2377</v>
      </c>
      <c r="D59" s="155" t="s">
        <v>2324</v>
      </c>
      <c r="E59" s="154">
        <v>7</v>
      </c>
      <c r="F59" s="154">
        <v>5</v>
      </c>
      <c r="G59" s="154">
        <v>2</v>
      </c>
      <c r="H59" s="154">
        <v>0</v>
      </c>
      <c r="I59" s="154">
        <v>0</v>
      </c>
      <c r="J59" s="154">
        <v>0</v>
      </c>
      <c r="K59" s="154">
        <v>0.42499999999999999</v>
      </c>
      <c r="L59" s="154">
        <v>0.76900000000000002</v>
      </c>
      <c r="M59" s="154">
        <v>1.367</v>
      </c>
      <c r="N59" s="154">
        <v>1.7829999999999999</v>
      </c>
      <c r="O59" s="108">
        <f t="shared" si="0"/>
        <v>0.8094117647058825</v>
      </c>
      <c r="P59" s="108">
        <f t="shared" si="1"/>
        <v>0.77763328998699599</v>
      </c>
      <c r="Q59" s="108">
        <f t="shared" si="2"/>
        <v>0.30431602048280904</v>
      </c>
      <c r="S59" s="109">
        <f t="shared" si="3"/>
        <v>3.1952941176470588</v>
      </c>
      <c r="T59" s="109">
        <f t="shared" si="4"/>
        <v>1.3185955786736021</v>
      </c>
    </row>
    <row r="60" spans="1:20">
      <c r="A60" s="154">
        <v>747</v>
      </c>
      <c r="B60" s="156">
        <v>300387</v>
      </c>
      <c r="C60" s="133" t="s">
        <v>2378</v>
      </c>
      <c r="D60" s="155" t="s">
        <v>2324</v>
      </c>
      <c r="E60" s="154">
        <v>6</v>
      </c>
      <c r="F60" s="154">
        <v>6</v>
      </c>
      <c r="G60" s="154">
        <v>0</v>
      </c>
      <c r="H60" s="154">
        <v>0</v>
      </c>
      <c r="I60" s="154">
        <v>0</v>
      </c>
      <c r="J60" s="154">
        <v>0</v>
      </c>
      <c r="K60" s="154">
        <v>0.224</v>
      </c>
      <c r="L60" s="154">
        <v>0.34599999999999997</v>
      </c>
      <c r="M60" s="154">
        <v>0.51600000000000001</v>
      </c>
      <c r="N60" s="154">
        <v>0.78800000000000003</v>
      </c>
      <c r="O60" s="108">
        <f t="shared" si="0"/>
        <v>0.54464285714285698</v>
      </c>
      <c r="P60" s="108">
        <f t="shared" si="1"/>
        <v>0.49132947976878638</v>
      </c>
      <c r="Q60" s="108">
        <f t="shared" si="2"/>
        <v>0.52713178294573648</v>
      </c>
      <c r="S60" s="109">
        <f t="shared" si="3"/>
        <v>2.5178571428571428</v>
      </c>
      <c r="T60" s="109">
        <f t="shared" si="4"/>
        <v>1.2774566473988442</v>
      </c>
    </row>
    <row r="61" spans="1:20">
      <c r="A61" s="154">
        <v>758</v>
      </c>
      <c r="B61" s="156">
        <v>300261</v>
      </c>
      <c r="C61" s="133" t="s">
        <v>2379</v>
      </c>
      <c r="D61" s="155" t="s">
        <v>2324</v>
      </c>
      <c r="E61" s="154">
        <v>6</v>
      </c>
      <c r="F61" s="154">
        <v>6</v>
      </c>
      <c r="G61" s="154">
        <v>0</v>
      </c>
      <c r="H61" s="154">
        <v>0</v>
      </c>
      <c r="I61" s="154">
        <v>0</v>
      </c>
      <c r="J61" s="154">
        <v>0</v>
      </c>
      <c r="K61" s="154">
        <v>0.16700000000000001</v>
      </c>
      <c r="L61" s="154">
        <v>0.16700000000000001</v>
      </c>
      <c r="M61" s="154">
        <v>0.28599999999999998</v>
      </c>
      <c r="N61" s="154">
        <v>0.378</v>
      </c>
      <c r="O61" s="108">
        <f t="shared" si="0"/>
        <v>0</v>
      </c>
      <c r="P61" s="108">
        <f t="shared" si="1"/>
        <v>0.71257485029940093</v>
      </c>
      <c r="Q61" s="108">
        <f t="shared" si="2"/>
        <v>0.32167832167832189</v>
      </c>
      <c r="S61" s="109">
        <f t="shared" si="3"/>
        <v>1.2634730538922154</v>
      </c>
      <c r="T61" s="109">
        <f t="shared" si="4"/>
        <v>1.2634730538922154</v>
      </c>
    </row>
    <row r="62" spans="1:20">
      <c r="A62" s="154">
        <v>683</v>
      </c>
      <c r="B62" s="156">
        <v>601600</v>
      </c>
      <c r="C62" s="133" t="s">
        <v>2380</v>
      </c>
      <c r="D62" s="155" t="s">
        <v>2324</v>
      </c>
      <c r="E62" s="154">
        <v>7</v>
      </c>
      <c r="F62" s="154">
        <v>0</v>
      </c>
      <c r="G62" s="154">
        <v>7</v>
      </c>
      <c r="H62" s="154">
        <v>0</v>
      </c>
      <c r="I62" s="154">
        <v>0</v>
      </c>
      <c r="J62" s="154">
        <v>0</v>
      </c>
      <c r="K62" s="154">
        <v>5.0999999999999997E-2</v>
      </c>
      <c r="L62" s="154">
        <v>7.2999999999999995E-2</v>
      </c>
      <c r="M62" s="154">
        <v>0.11600000000000001</v>
      </c>
      <c r="N62" s="154">
        <v>0.16500000000000001</v>
      </c>
      <c r="O62" s="108">
        <f t="shared" si="0"/>
        <v>0.43137254901960786</v>
      </c>
      <c r="P62" s="108">
        <f t="shared" si="1"/>
        <v>0.58904109589041109</v>
      </c>
      <c r="Q62" s="108">
        <f t="shared" si="2"/>
        <v>0.42241379310344818</v>
      </c>
      <c r="S62" s="109">
        <f t="shared" si="3"/>
        <v>2.2352941176470593</v>
      </c>
      <c r="T62" s="109">
        <f t="shared" si="4"/>
        <v>1.2602739726027399</v>
      </c>
    </row>
    <row r="63" spans="1:20">
      <c r="A63" s="154">
        <v>377</v>
      </c>
      <c r="B63" s="156">
        <v>603236</v>
      </c>
      <c r="C63" s="133" t="s">
        <v>2381</v>
      </c>
      <c r="D63" s="155" t="s">
        <v>2324</v>
      </c>
      <c r="E63" s="154">
        <v>13</v>
      </c>
      <c r="F63" s="154">
        <v>7</v>
      </c>
      <c r="G63" s="154">
        <v>6</v>
      </c>
      <c r="H63" s="154">
        <v>0</v>
      </c>
      <c r="I63" s="154">
        <v>0</v>
      </c>
      <c r="J63" s="154">
        <v>0</v>
      </c>
      <c r="K63" s="154">
        <v>2.024</v>
      </c>
      <c r="L63" s="154">
        <v>2.5960000000000001</v>
      </c>
      <c r="M63" s="154">
        <v>4.024</v>
      </c>
      <c r="N63" s="154">
        <v>5.8559999999999999</v>
      </c>
      <c r="O63" s="108">
        <f t="shared" si="0"/>
        <v>0.28260869565217384</v>
      </c>
      <c r="P63" s="108">
        <f t="shared" si="1"/>
        <v>0.55007704160246518</v>
      </c>
      <c r="Q63" s="108">
        <f t="shared" si="2"/>
        <v>0.45526838966202776</v>
      </c>
      <c r="S63" s="109">
        <f t="shared" si="3"/>
        <v>1.8932806324110669</v>
      </c>
      <c r="T63" s="109">
        <f t="shared" si="4"/>
        <v>1.2557781201848996</v>
      </c>
    </row>
    <row r="64" spans="1:20">
      <c r="A64" s="154">
        <v>159</v>
      </c>
      <c r="B64" s="156">
        <v>725</v>
      </c>
      <c r="C64" s="133" t="s">
        <v>2382</v>
      </c>
      <c r="D64" s="155" t="s">
        <v>2324</v>
      </c>
      <c r="E64" s="154">
        <v>25</v>
      </c>
      <c r="F64" s="154">
        <v>21</v>
      </c>
      <c r="G64" s="154">
        <v>4</v>
      </c>
      <c r="H64" s="154">
        <v>0</v>
      </c>
      <c r="I64" s="154">
        <v>0</v>
      </c>
      <c r="J64" s="154">
        <v>0</v>
      </c>
      <c r="K64" s="154">
        <v>9.9000000000000005E-2</v>
      </c>
      <c r="L64" s="154">
        <v>0.10100000000000001</v>
      </c>
      <c r="M64" s="154">
        <v>0.14699999999999999</v>
      </c>
      <c r="N64" s="154">
        <v>0.22600000000000001</v>
      </c>
      <c r="O64" s="108">
        <f t="shared" si="0"/>
        <v>2.020202020202011E-2</v>
      </c>
      <c r="P64" s="108">
        <f t="shared" si="1"/>
        <v>0.45544554455445518</v>
      </c>
      <c r="Q64" s="108">
        <f t="shared" si="2"/>
        <v>0.53741496598639471</v>
      </c>
      <c r="S64" s="109">
        <f t="shared" si="3"/>
        <v>1.2828282828282829</v>
      </c>
      <c r="T64" s="109">
        <f t="shared" si="4"/>
        <v>1.2376237623762374</v>
      </c>
    </row>
    <row r="65" spans="1:20">
      <c r="A65" s="154">
        <v>913</v>
      </c>
      <c r="B65" s="156">
        <v>300593</v>
      </c>
      <c r="C65" s="133" t="s">
        <v>2383</v>
      </c>
      <c r="D65" s="155" t="s">
        <v>2324</v>
      </c>
      <c r="E65" s="154">
        <v>4</v>
      </c>
      <c r="F65" s="154">
        <v>3</v>
      </c>
      <c r="G65" s="154">
        <v>1</v>
      </c>
      <c r="H65" s="154">
        <v>0</v>
      </c>
      <c r="I65" s="154">
        <v>0</v>
      </c>
      <c r="J65" s="154">
        <v>0</v>
      </c>
      <c r="K65" s="154">
        <v>0.216</v>
      </c>
      <c r="L65" s="154">
        <v>0.40899999999999997</v>
      </c>
      <c r="M65" s="154">
        <v>0.63900000000000001</v>
      </c>
      <c r="N65" s="154">
        <v>0.91200000000000003</v>
      </c>
      <c r="O65" s="108">
        <f t="shared" si="0"/>
        <v>0.89351851851851838</v>
      </c>
      <c r="P65" s="108">
        <f t="shared" si="1"/>
        <v>0.56234718826405872</v>
      </c>
      <c r="Q65" s="108">
        <f t="shared" si="2"/>
        <v>0.42723004694835676</v>
      </c>
      <c r="S65" s="109">
        <f t="shared" si="3"/>
        <v>3.2222222222222223</v>
      </c>
      <c r="T65" s="109">
        <f t="shared" si="4"/>
        <v>1.2298288508557458</v>
      </c>
    </row>
    <row r="66" spans="1:20">
      <c r="A66" s="154">
        <v>404</v>
      </c>
      <c r="B66" s="156">
        <v>603613</v>
      </c>
      <c r="C66" s="133" t="s">
        <v>2384</v>
      </c>
      <c r="D66" s="155" t="s">
        <v>2324</v>
      </c>
      <c r="E66" s="154">
        <v>12</v>
      </c>
      <c r="F66" s="154">
        <v>7</v>
      </c>
      <c r="G66" s="154">
        <v>5</v>
      </c>
      <c r="H66" s="154">
        <v>0</v>
      </c>
      <c r="I66" s="154">
        <v>0</v>
      </c>
      <c r="J66" s="154">
        <v>0</v>
      </c>
      <c r="K66" s="154">
        <v>0.66700000000000004</v>
      </c>
      <c r="L66" s="154">
        <v>1.0900000000000001</v>
      </c>
      <c r="M66" s="154">
        <v>1.66</v>
      </c>
      <c r="N66" s="154">
        <v>2.4249999999999998</v>
      </c>
      <c r="O66" s="108">
        <f t="shared" si="0"/>
        <v>0.63418290854572712</v>
      </c>
      <c r="P66" s="108">
        <f t="shared" si="1"/>
        <v>0.52293577981651351</v>
      </c>
      <c r="Q66" s="108">
        <f t="shared" si="2"/>
        <v>0.46084337349397586</v>
      </c>
      <c r="S66" s="109">
        <f t="shared" si="3"/>
        <v>2.6356821589205395</v>
      </c>
      <c r="T66" s="109">
        <f t="shared" si="4"/>
        <v>1.2247706422018347</v>
      </c>
    </row>
    <row r="67" spans="1:20">
      <c r="A67" s="154">
        <v>901</v>
      </c>
      <c r="B67" s="156">
        <v>2897</v>
      </c>
      <c r="C67" s="133" t="s">
        <v>2385</v>
      </c>
      <c r="D67" s="155" t="s">
        <v>2324</v>
      </c>
      <c r="E67" s="154">
        <v>4</v>
      </c>
      <c r="F67" s="154">
        <v>2</v>
      </c>
      <c r="G67" s="154">
        <v>2</v>
      </c>
      <c r="H67" s="154">
        <v>0</v>
      </c>
      <c r="I67" s="154">
        <v>0</v>
      </c>
      <c r="J67" s="154">
        <v>0</v>
      </c>
      <c r="K67" s="154">
        <v>0.45600000000000002</v>
      </c>
      <c r="L67" s="154">
        <v>0.34399999999999997</v>
      </c>
      <c r="M67" s="154">
        <v>0.54300000000000004</v>
      </c>
      <c r="N67" s="154">
        <v>0.76300000000000001</v>
      </c>
      <c r="O67" s="108">
        <f t="shared" ref="O67:O130" si="5">L67/K67-1</f>
        <v>-0.2456140350877194</v>
      </c>
      <c r="P67" s="108">
        <f t="shared" ref="P67:P130" si="6">M67/L67-1</f>
        <v>0.5784883720930234</v>
      </c>
      <c r="Q67" s="108">
        <f t="shared" ref="Q67:Q130" si="7">N67/M67-1</f>
        <v>0.40515653775322269</v>
      </c>
      <c r="S67" s="109">
        <f t="shared" ref="S67:S130" si="8">N67/K67-1</f>
        <v>0.67324561403508776</v>
      </c>
      <c r="T67" s="109">
        <f t="shared" ref="T67:T130" si="9">N67/L67-1</f>
        <v>1.2180232558139537</v>
      </c>
    </row>
    <row r="68" spans="1:20">
      <c r="A68" s="154">
        <v>444</v>
      </c>
      <c r="B68" s="156">
        <v>603881</v>
      </c>
      <c r="C68" s="133" t="s">
        <v>2386</v>
      </c>
      <c r="D68" s="155" t="s">
        <v>2324</v>
      </c>
      <c r="E68" s="154">
        <v>11</v>
      </c>
      <c r="F68" s="154">
        <v>4</v>
      </c>
      <c r="G68" s="154">
        <v>7</v>
      </c>
      <c r="H68" s="154">
        <v>0</v>
      </c>
      <c r="I68" s="154">
        <v>0</v>
      </c>
      <c r="J68" s="154">
        <v>0</v>
      </c>
      <c r="K68" s="154">
        <v>0.67800000000000005</v>
      </c>
      <c r="L68" s="154">
        <v>0.72699999999999998</v>
      </c>
      <c r="M68" s="154">
        <v>0.95499999999999996</v>
      </c>
      <c r="N68" s="154">
        <v>1.6080000000000001</v>
      </c>
      <c r="O68" s="108">
        <f t="shared" si="5"/>
        <v>7.2271386430678319E-2</v>
      </c>
      <c r="P68" s="108">
        <f t="shared" si="6"/>
        <v>0.31361760660247584</v>
      </c>
      <c r="Q68" s="108">
        <f t="shared" si="7"/>
        <v>0.68376963350785358</v>
      </c>
      <c r="S68" s="109">
        <f t="shared" si="8"/>
        <v>1.3716814159292037</v>
      </c>
      <c r="T68" s="109">
        <f t="shared" si="9"/>
        <v>1.2118294360385145</v>
      </c>
    </row>
    <row r="69" spans="1:20">
      <c r="A69" s="154">
        <v>914</v>
      </c>
      <c r="B69" s="156">
        <v>300550</v>
      </c>
      <c r="C69" s="133" t="s">
        <v>2387</v>
      </c>
      <c r="D69" s="155" t="s">
        <v>2324</v>
      </c>
      <c r="E69" s="154">
        <v>4</v>
      </c>
      <c r="F69" s="154">
        <v>4</v>
      </c>
      <c r="G69" s="154">
        <v>0</v>
      </c>
      <c r="H69" s="154">
        <v>0</v>
      </c>
      <c r="I69" s="154">
        <v>0</v>
      </c>
      <c r="J69" s="154">
        <v>0</v>
      </c>
      <c r="K69" s="154">
        <v>0.34499999999999997</v>
      </c>
      <c r="L69" s="154">
        <v>0.58499999999999996</v>
      </c>
      <c r="M69" s="154">
        <v>0.91800000000000004</v>
      </c>
      <c r="N69" s="154">
        <v>1.2909999999999999</v>
      </c>
      <c r="O69" s="108">
        <f t="shared" si="5"/>
        <v>0.69565217391304346</v>
      </c>
      <c r="P69" s="108">
        <f t="shared" si="6"/>
        <v>0.56923076923076943</v>
      </c>
      <c r="Q69" s="108">
        <f t="shared" si="7"/>
        <v>0.40631808278867099</v>
      </c>
      <c r="S69" s="109">
        <f t="shared" si="8"/>
        <v>2.7420289855072464</v>
      </c>
      <c r="T69" s="109">
        <f t="shared" si="9"/>
        <v>1.206837606837607</v>
      </c>
    </row>
    <row r="70" spans="1:20">
      <c r="A70" s="154">
        <v>607</v>
      </c>
      <c r="B70" s="156">
        <v>2268</v>
      </c>
      <c r="C70" s="133" t="s">
        <v>2388</v>
      </c>
      <c r="D70" s="155" t="s">
        <v>2324</v>
      </c>
      <c r="E70" s="154">
        <v>8</v>
      </c>
      <c r="F70" s="154">
        <v>7</v>
      </c>
      <c r="G70" s="154">
        <v>1</v>
      </c>
      <c r="H70" s="154">
        <v>0</v>
      </c>
      <c r="I70" s="154">
        <v>0</v>
      </c>
      <c r="J70" s="154">
        <v>0</v>
      </c>
      <c r="K70" s="154">
        <v>0.14299999999999999</v>
      </c>
      <c r="L70" s="154">
        <v>0.254</v>
      </c>
      <c r="M70" s="154">
        <v>0.42</v>
      </c>
      <c r="N70" s="154">
        <v>0.55900000000000005</v>
      </c>
      <c r="O70" s="108">
        <f t="shared" si="5"/>
        <v>0.77622377622377647</v>
      </c>
      <c r="P70" s="108">
        <f t="shared" si="6"/>
        <v>0.65354330708661412</v>
      </c>
      <c r="Q70" s="108">
        <f t="shared" si="7"/>
        <v>0.33095238095238111</v>
      </c>
      <c r="S70" s="109">
        <f t="shared" si="8"/>
        <v>2.9090909090909096</v>
      </c>
      <c r="T70" s="109">
        <f t="shared" si="9"/>
        <v>1.2007874015748032</v>
      </c>
    </row>
    <row r="71" spans="1:20">
      <c r="A71" s="154">
        <v>65</v>
      </c>
      <c r="B71" s="156">
        <v>961</v>
      </c>
      <c r="C71" s="133" t="s">
        <v>2389</v>
      </c>
      <c r="D71" s="155" t="s">
        <v>2324</v>
      </c>
      <c r="E71" s="154">
        <v>35</v>
      </c>
      <c r="F71" s="154">
        <v>29</v>
      </c>
      <c r="G71" s="154">
        <v>6</v>
      </c>
      <c r="H71" s="154">
        <v>0</v>
      </c>
      <c r="I71" s="154">
        <v>0</v>
      </c>
      <c r="J71" s="154">
        <v>0</v>
      </c>
      <c r="K71" s="154">
        <v>0.58799999999999997</v>
      </c>
      <c r="L71" s="154">
        <v>1.085</v>
      </c>
      <c r="M71" s="154">
        <v>1.867</v>
      </c>
      <c r="N71" s="154">
        <v>2.3820000000000001</v>
      </c>
      <c r="O71" s="108">
        <f t="shared" si="5"/>
        <v>0.84523809523809534</v>
      </c>
      <c r="P71" s="108">
        <f t="shared" si="6"/>
        <v>0.72073732718894012</v>
      </c>
      <c r="Q71" s="108">
        <f t="shared" si="7"/>
        <v>0.27584359935725766</v>
      </c>
      <c r="S71" s="109">
        <f t="shared" si="8"/>
        <v>3.0510204081632661</v>
      </c>
      <c r="T71" s="109">
        <f t="shared" si="9"/>
        <v>1.1953917050691247</v>
      </c>
    </row>
    <row r="72" spans="1:20">
      <c r="A72" s="154">
        <v>491</v>
      </c>
      <c r="B72" s="156">
        <v>2008</v>
      </c>
      <c r="C72" s="133" t="s">
        <v>2390</v>
      </c>
      <c r="D72" s="155" t="s">
        <v>2324</v>
      </c>
      <c r="E72" s="154">
        <v>10</v>
      </c>
      <c r="F72" s="154">
        <v>7</v>
      </c>
      <c r="G72" s="154">
        <v>2</v>
      </c>
      <c r="H72" s="154">
        <v>1</v>
      </c>
      <c r="I72" s="154">
        <v>0</v>
      </c>
      <c r="J72" s="154">
        <v>0</v>
      </c>
      <c r="K72" s="154">
        <v>1.611</v>
      </c>
      <c r="L72" s="154">
        <v>0.80300000000000005</v>
      </c>
      <c r="M72" s="154">
        <v>1.4770000000000001</v>
      </c>
      <c r="N72" s="154">
        <v>1.748</v>
      </c>
      <c r="O72" s="108">
        <f t="shared" si="5"/>
        <v>-0.50155183116076962</v>
      </c>
      <c r="P72" s="108">
        <f t="shared" si="6"/>
        <v>0.83935242839352431</v>
      </c>
      <c r="Q72" s="108">
        <f t="shared" si="7"/>
        <v>0.18348002708192279</v>
      </c>
      <c r="S72" s="109">
        <f t="shared" si="8"/>
        <v>8.5040347610179978E-2</v>
      </c>
      <c r="T72" s="109">
        <f t="shared" si="9"/>
        <v>1.1768368617683684</v>
      </c>
    </row>
    <row r="73" spans="1:20">
      <c r="A73" s="154">
        <v>575</v>
      </c>
      <c r="B73" s="156">
        <v>603056</v>
      </c>
      <c r="C73" s="133" t="s">
        <v>2391</v>
      </c>
      <c r="D73" s="155" t="s">
        <v>2324</v>
      </c>
      <c r="E73" s="154">
        <v>8</v>
      </c>
      <c r="F73" s="154">
        <v>0</v>
      </c>
      <c r="G73" s="154">
        <v>7</v>
      </c>
      <c r="H73" s="154">
        <v>1</v>
      </c>
      <c r="I73" s="154">
        <v>0</v>
      </c>
      <c r="J73" s="154">
        <v>0</v>
      </c>
      <c r="K73" s="154">
        <v>0.73</v>
      </c>
      <c r="L73" s="154">
        <v>0.441</v>
      </c>
      <c r="M73" s="154">
        <v>0.65400000000000003</v>
      </c>
      <c r="N73" s="154">
        <v>0.95499999999999996</v>
      </c>
      <c r="O73" s="108">
        <f t="shared" si="5"/>
        <v>-0.39589041095890409</v>
      </c>
      <c r="P73" s="108">
        <f t="shared" si="6"/>
        <v>0.48299319727891166</v>
      </c>
      <c r="Q73" s="108">
        <f t="shared" si="7"/>
        <v>0.46024464831804268</v>
      </c>
      <c r="S73" s="109">
        <f t="shared" si="8"/>
        <v>0.30821917808219168</v>
      </c>
      <c r="T73" s="109">
        <f t="shared" si="9"/>
        <v>1.1655328798185942</v>
      </c>
    </row>
    <row r="74" spans="1:20">
      <c r="A74" s="154">
        <v>615</v>
      </c>
      <c r="B74" s="156">
        <v>2254</v>
      </c>
      <c r="C74" s="133" t="s">
        <v>2392</v>
      </c>
      <c r="D74" s="155" t="s">
        <v>2324</v>
      </c>
      <c r="E74" s="154">
        <v>8</v>
      </c>
      <c r="F74" s="154">
        <v>3</v>
      </c>
      <c r="G74" s="154">
        <v>5</v>
      </c>
      <c r="H74" s="154">
        <v>0</v>
      </c>
      <c r="I74" s="154">
        <v>0</v>
      </c>
      <c r="J74" s="154">
        <v>0</v>
      </c>
      <c r="K74" s="154">
        <v>0.25600000000000001</v>
      </c>
      <c r="L74" s="154">
        <v>0.32200000000000001</v>
      </c>
      <c r="M74" s="154">
        <v>0.48899999999999999</v>
      </c>
      <c r="N74" s="154">
        <v>0.69299999999999995</v>
      </c>
      <c r="O74" s="108">
        <f t="shared" si="5"/>
        <v>0.2578125</v>
      </c>
      <c r="P74" s="108">
        <f t="shared" si="6"/>
        <v>0.51863354037267073</v>
      </c>
      <c r="Q74" s="108">
        <f t="shared" si="7"/>
        <v>0.41717791411042948</v>
      </c>
      <c r="S74" s="109">
        <f t="shared" si="8"/>
        <v>1.7070312499999996</v>
      </c>
      <c r="T74" s="109">
        <f t="shared" si="9"/>
        <v>1.152173913043478</v>
      </c>
    </row>
    <row r="75" spans="1:20">
      <c r="A75" s="154">
        <v>469</v>
      </c>
      <c r="B75" s="156">
        <v>2185</v>
      </c>
      <c r="C75" s="133" t="s">
        <v>2393</v>
      </c>
      <c r="D75" s="155" t="s">
        <v>2324</v>
      </c>
      <c r="E75" s="154">
        <v>11</v>
      </c>
      <c r="F75" s="154">
        <v>8</v>
      </c>
      <c r="G75" s="154">
        <v>3</v>
      </c>
      <c r="H75" s="154">
        <v>0</v>
      </c>
      <c r="I75" s="154">
        <v>0</v>
      </c>
      <c r="J75" s="154">
        <v>0</v>
      </c>
      <c r="K75" s="154">
        <v>0.14199999999999999</v>
      </c>
      <c r="L75" s="154">
        <v>0.128</v>
      </c>
      <c r="M75" s="154">
        <v>0.221</v>
      </c>
      <c r="N75" s="154">
        <v>0.27400000000000002</v>
      </c>
      <c r="O75" s="108">
        <f t="shared" si="5"/>
        <v>-9.8591549295774517E-2</v>
      </c>
      <c r="P75" s="108">
        <f t="shared" si="6"/>
        <v>0.7265625</v>
      </c>
      <c r="Q75" s="108">
        <f t="shared" si="7"/>
        <v>0.23981900452488691</v>
      </c>
      <c r="S75" s="109">
        <f t="shared" si="8"/>
        <v>0.92957746478873271</v>
      </c>
      <c r="T75" s="109">
        <f t="shared" si="9"/>
        <v>1.140625</v>
      </c>
    </row>
    <row r="76" spans="1:20">
      <c r="A76" s="154">
        <v>640</v>
      </c>
      <c r="B76" s="156">
        <v>300679</v>
      </c>
      <c r="C76" s="133" t="s">
        <v>2394</v>
      </c>
      <c r="D76" s="155" t="s">
        <v>2324</v>
      </c>
      <c r="E76" s="154">
        <v>7</v>
      </c>
      <c r="F76" s="154">
        <v>3</v>
      </c>
      <c r="G76" s="154">
        <v>4</v>
      </c>
      <c r="H76" s="154">
        <v>0</v>
      </c>
      <c r="I76" s="154">
        <v>0</v>
      </c>
      <c r="J76" s="154">
        <v>0</v>
      </c>
      <c r="K76" s="154">
        <v>0.85399999999999998</v>
      </c>
      <c r="L76" s="154">
        <v>0.78900000000000003</v>
      </c>
      <c r="M76" s="154">
        <v>1.1399999999999999</v>
      </c>
      <c r="N76" s="154">
        <v>1.6850000000000001</v>
      </c>
      <c r="O76" s="108">
        <f t="shared" si="5"/>
        <v>-7.6112412177985922E-2</v>
      </c>
      <c r="P76" s="108">
        <f t="shared" si="6"/>
        <v>0.44486692015209117</v>
      </c>
      <c r="Q76" s="108">
        <f t="shared" si="7"/>
        <v>0.47807017543859676</v>
      </c>
      <c r="S76" s="109">
        <f t="shared" si="8"/>
        <v>0.97306791569086659</v>
      </c>
      <c r="T76" s="109">
        <f t="shared" si="9"/>
        <v>1.1356147021546259</v>
      </c>
    </row>
    <row r="77" spans="1:20">
      <c r="A77" s="154">
        <v>284</v>
      </c>
      <c r="B77" s="156">
        <v>300348</v>
      </c>
      <c r="C77" s="133" t="s">
        <v>2395</v>
      </c>
      <c r="D77" s="155" t="s">
        <v>2324</v>
      </c>
      <c r="E77" s="154">
        <v>17</v>
      </c>
      <c r="F77" s="154">
        <v>12</v>
      </c>
      <c r="G77" s="154">
        <v>5</v>
      </c>
      <c r="H77" s="154">
        <v>0</v>
      </c>
      <c r="I77" s="154">
        <v>0</v>
      </c>
      <c r="J77" s="154">
        <v>0</v>
      </c>
      <c r="K77" s="154">
        <v>0.11700000000000001</v>
      </c>
      <c r="L77" s="154">
        <v>0.27200000000000002</v>
      </c>
      <c r="M77" s="154">
        <v>0.432</v>
      </c>
      <c r="N77" s="154">
        <v>0.57999999999999996</v>
      </c>
      <c r="O77" s="108">
        <f t="shared" si="5"/>
        <v>1.324786324786325</v>
      </c>
      <c r="P77" s="108">
        <f t="shared" si="6"/>
        <v>0.58823529411764697</v>
      </c>
      <c r="Q77" s="108">
        <f t="shared" si="7"/>
        <v>0.34259259259259256</v>
      </c>
      <c r="S77" s="109">
        <f t="shared" si="8"/>
        <v>3.9572649572649565</v>
      </c>
      <c r="T77" s="109">
        <f t="shared" si="9"/>
        <v>1.1323529411764701</v>
      </c>
    </row>
    <row r="78" spans="1:20">
      <c r="A78" s="154">
        <v>898</v>
      </c>
      <c r="B78" s="156">
        <v>300709</v>
      </c>
      <c r="C78" s="133" t="s">
        <v>2396</v>
      </c>
      <c r="D78" s="155" t="s">
        <v>2324</v>
      </c>
      <c r="E78" s="154">
        <v>4</v>
      </c>
      <c r="F78" s="154">
        <v>4</v>
      </c>
      <c r="G78" s="154">
        <v>0</v>
      </c>
      <c r="H78" s="154">
        <v>0</v>
      </c>
      <c r="I78" s="154">
        <v>0</v>
      </c>
      <c r="J78" s="154">
        <v>0</v>
      </c>
      <c r="K78" s="154">
        <v>0.41899999999999998</v>
      </c>
      <c r="L78" s="154">
        <v>1.538</v>
      </c>
      <c r="M78" s="154">
        <v>2.3759999999999999</v>
      </c>
      <c r="N78" s="154">
        <v>3.2690000000000001</v>
      </c>
      <c r="O78" s="108">
        <f t="shared" si="5"/>
        <v>2.6706443914081146</v>
      </c>
      <c r="P78" s="108">
        <f t="shared" si="6"/>
        <v>0.54486345903771127</v>
      </c>
      <c r="Q78" s="108">
        <f t="shared" si="7"/>
        <v>0.37584175084175087</v>
      </c>
      <c r="S78" s="109">
        <f t="shared" si="8"/>
        <v>6.8019093078758956</v>
      </c>
      <c r="T78" s="109">
        <f t="shared" si="9"/>
        <v>1.1254876462938883</v>
      </c>
    </row>
    <row r="79" spans="1:20">
      <c r="A79" s="154">
        <v>187</v>
      </c>
      <c r="B79" s="156">
        <v>2371</v>
      </c>
      <c r="C79" s="133" t="s">
        <v>2397</v>
      </c>
      <c r="D79" s="155" t="s">
        <v>2324</v>
      </c>
      <c r="E79" s="154">
        <v>23</v>
      </c>
      <c r="F79" s="154">
        <v>15</v>
      </c>
      <c r="G79" s="154">
        <v>8</v>
      </c>
      <c r="H79" s="154">
        <v>0</v>
      </c>
      <c r="I79" s="154">
        <v>0</v>
      </c>
      <c r="J79" s="154">
        <v>0</v>
      </c>
      <c r="K79" s="154">
        <v>0.47599999999999998</v>
      </c>
      <c r="L79" s="154">
        <v>0.72</v>
      </c>
      <c r="M79" s="154">
        <v>1.0820000000000001</v>
      </c>
      <c r="N79" s="154">
        <v>1.53</v>
      </c>
      <c r="O79" s="108">
        <f t="shared" si="5"/>
        <v>0.51260504201680668</v>
      </c>
      <c r="P79" s="108">
        <f t="shared" si="6"/>
        <v>0.50277777777777799</v>
      </c>
      <c r="Q79" s="108">
        <f t="shared" si="7"/>
        <v>0.41404805914972265</v>
      </c>
      <c r="S79" s="109">
        <f t="shared" si="8"/>
        <v>2.2142857142857144</v>
      </c>
      <c r="T79" s="109">
        <f t="shared" si="9"/>
        <v>1.125</v>
      </c>
    </row>
    <row r="80" spans="1:20">
      <c r="A80" s="154">
        <v>592</v>
      </c>
      <c r="B80" s="156">
        <v>2796</v>
      </c>
      <c r="C80" s="133" t="s">
        <v>2398</v>
      </c>
      <c r="D80" s="155" t="s">
        <v>2324</v>
      </c>
      <c r="E80" s="154">
        <v>8</v>
      </c>
      <c r="F80" s="154">
        <v>5</v>
      </c>
      <c r="G80" s="154">
        <v>3</v>
      </c>
      <c r="H80" s="154">
        <v>0</v>
      </c>
      <c r="I80" s="154">
        <v>0</v>
      </c>
      <c r="J80" s="154">
        <v>0</v>
      </c>
      <c r="K80" s="154">
        <v>0.28899999999999998</v>
      </c>
      <c r="L80" s="154">
        <v>0.94</v>
      </c>
      <c r="M80" s="154">
        <v>1.522</v>
      </c>
      <c r="N80" s="154">
        <v>1.984</v>
      </c>
      <c r="O80" s="108">
        <f t="shared" si="5"/>
        <v>2.2525951557093427</v>
      </c>
      <c r="P80" s="108">
        <f t="shared" si="6"/>
        <v>0.61914893617021294</v>
      </c>
      <c r="Q80" s="108">
        <f t="shared" si="7"/>
        <v>0.30354796320630739</v>
      </c>
      <c r="S80" s="109">
        <f t="shared" si="8"/>
        <v>5.8650519031141872</v>
      </c>
      <c r="T80" s="109">
        <f t="shared" si="9"/>
        <v>1.1106382978723404</v>
      </c>
    </row>
    <row r="81" spans="1:20">
      <c r="A81" s="154">
        <v>719</v>
      </c>
      <c r="B81" s="156">
        <v>603129</v>
      </c>
      <c r="C81" s="133" t="s">
        <v>2399</v>
      </c>
      <c r="D81" s="155" t="s">
        <v>2324</v>
      </c>
      <c r="E81" s="154">
        <v>6</v>
      </c>
      <c r="F81" s="154">
        <v>6</v>
      </c>
      <c r="G81" s="154">
        <v>0</v>
      </c>
      <c r="H81" s="154">
        <v>0</v>
      </c>
      <c r="I81" s="154">
        <v>0</v>
      </c>
      <c r="J81" s="154">
        <v>0</v>
      </c>
      <c r="K81" s="154">
        <v>0.89500000000000002</v>
      </c>
      <c r="L81" s="154">
        <v>1.4339999999999999</v>
      </c>
      <c r="M81" s="154">
        <v>2.0910000000000002</v>
      </c>
      <c r="N81" s="154">
        <v>3.024</v>
      </c>
      <c r="O81" s="108">
        <f t="shared" si="5"/>
        <v>0.60223463687150836</v>
      </c>
      <c r="P81" s="108">
        <f t="shared" si="6"/>
        <v>0.45815899581589981</v>
      </c>
      <c r="Q81" s="108">
        <f t="shared" si="7"/>
        <v>0.44619799139167848</v>
      </c>
      <c r="S81" s="109">
        <f t="shared" si="8"/>
        <v>2.3787709497206704</v>
      </c>
      <c r="T81" s="109">
        <f t="shared" si="9"/>
        <v>1.1087866108786613</v>
      </c>
    </row>
    <row r="82" spans="1:20">
      <c r="A82" s="154">
        <v>218</v>
      </c>
      <c r="B82" s="156">
        <v>2027</v>
      </c>
      <c r="C82" s="133" t="s">
        <v>2400</v>
      </c>
      <c r="D82" s="155" t="s">
        <v>2324</v>
      </c>
      <c r="E82" s="154">
        <v>21</v>
      </c>
      <c r="F82" s="154">
        <v>7</v>
      </c>
      <c r="G82" s="154">
        <v>13</v>
      </c>
      <c r="H82" s="154">
        <v>1</v>
      </c>
      <c r="I82" s="154">
        <v>0</v>
      </c>
      <c r="J82" s="154">
        <v>0</v>
      </c>
      <c r="K82" s="154">
        <v>0.39700000000000002</v>
      </c>
      <c r="L82" s="154">
        <v>0.13</v>
      </c>
      <c r="M82" s="154">
        <v>0.20899999999999999</v>
      </c>
      <c r="N82" s="154">
        <v>0.27400000000000002</v>
      </c>
      <c r="O82" s="108">
        <f t="shared" si="5"/>
        <v>-0.67254408060453397</v>
      </c>
      <c r="P82" s="108">
        <f t="shared" si="6"/>
        <v>0.60769230769230753</v>
      </c>
      <c r="Q82" s="108">
        <f t="shared" si="7"/>
        <v>0.31100478468899539</v>
      </c>
      <c r="S82" s="109">
        <f t="shared" si="8"/>
        <v>-0.30982367758186391</v>
      </c>
      <c r="T82" s="109">
        <f t="shared" si="9"/>
        <v>1.1076923076923078</v>
      </c>
    </row>
    <row r="83" spans="1:20">
      <c r="A83" s="154">
        <v>483</v>
      </c>
      <c r="B83" s="156">
        <v>603308</v>
      </c>
      <c r="C83" s="133" t="s">
        <v>2401</v>
      </c>
      <c r="D83" s="155" t="s">
        <v>2324</v>
      </c>
      <c r="E83" s="154">
        <v>10</v>
      </c>
      <c r="F83" s="154">
        <v>8</v>
      </c>
      <c r="G83" s="154">
        <v>2</v>
      </c>
      <c r="H83" s="154">
        <v>0</v>
      </c>
      <c r="I83" s="154">
        <v>0</v>
      </c>
      <c r="J83" s="154">
        <v>0</v>
      </c>
      <c r="K83" s="154">
        <v>0.15</v>
      </c>
      <c r="L83" s="154">
        <v>0.27100000000000002</v>
      </c>
      <c r="M83" s="154">
        <v>0.41</v>
      </c>
      <c r="N83" s="154">
        <v>0.57099999999999995</v>
      </c>
      <c r="O83" s="108">
        <f t="shared" si="5"/>
        <v>0.80666666666666687</v>
      </c>
      <c r="P83" s="108">
        <f t="shared" si="6"/>
        <v>0.51291512915129123</v>
      </c>
      <c r="Q83" s="108">
        <f t="shared" si="7"/>
        <v>0.3926829268292682</v>
      </c>
      <c r="S83" s="109">
        <f t="shared" si="8"/>
        <v>2.8066666666666666</v>
      </c>
      <c r="T83" s="109">
        <f t="shared" si="9"/>
        <v>1.1070110701107008</v>
      </c>
    </row>
    <row r="84" spans="1:20">
      <c r="A84" s="154">
        <v>59</v>
      </c>
      <c r="B84" s="156">
        <v>2230</v>
      </c>
      <c r="C84" s="133" t="s">
        <v>2402</v>
      </c>
      <c r="D84" s="155" t="s">
        <v>2324</v>
      </c>
      <c r="E84" s="154">
        <v>37</v>
      </c>
      <c r="F84" s="154">
        <v>24</v>
      </c>
      <c r="G84" s="154">
        <v>13</v>
      </c>
      <c r="H84" s="154">
        <v>0</v>
      </c>
      <c r="I84" s="154">
        <v>0</v>
      </c>
      <c r="J84" s="154">
        <v>0</v>
      </c>
      <c r="K84" s="154">
        <v>0.247</v>
      </c>
      <c r="L84" s="154">
        <v>0.39300000000000002</v>
      </c>
      <c r="M84" s="154">
        <v>0.57699999999999996</v>
      </c>
      <c r="N84" s="154">
        <v>0.82799999999999996</v>
      </c>
      <c r="O84" s="108">
        <f t="shared" si="5"/>
        <v>0.59109311740890691</v>
      </c>
      <c r="P84" s="108">
        <f t="shared" si="6"/>
        <v>0.46819338422391832</v>
      </c>
      <c r="Q84" s="108">
        <f t="shared" si="7"/>
        <v>0.43500866551126527</v>
      </c>
      <c r="S84" s="109">
        <f t="shared" si="8"/>
        <v>2.3522267206477729</v>
      </c>
      <c r="T84" s="109">
        <f t="shared" si="9"/>
        <v>1.1068702290076335</v>
      </c>
    </row>
    <row r="85" spans="1:20">
      <c r="A85" s="154">
        <v>822</v>
      </c>
      <c r="B85" s="156">
        <v>300456</v>
      </c>
      <c r="C85" s="133" t="s">
        <v>2403</v>
      </c>
      <c r="D85" s="155" t="s">
        <v>2324</v>
      </c>
      <c r="E85" s="154">
        <v>5</v>
      </c>
      <c r="F85" s="154">
        <v>3</v>
      </c>
      <c r="G85" s="154">
        <v>2</v>
      </c>
      <c r="H85" s="154">
        <v>0</v>
      </c>
      <c r="I85" s="154">
        <v>0</v>
      </c>
      <c r="J85" s="154">
        <v>0</v>
      </c>
      <c r="K85" s="154">
        <v>0.14699999999999999</v>
      </c>
      <c r="L85" s="154">
        <v>0.13600000000000001</v>
      </c>
      <c r="M85" s="154">
        <v>0.20599999999999999</v>
      </c>
      <c r="N85" s="154">
        <v>0.28599999999999998</v>
      </c>
      <c r="O85" s="108">
        <f t="shared" si="5"/>
        <v>-7.4829931972788977E-2</v>
      </c>
      <c r="P85" s="108">
        <f t="shared" si="6"/>
        <v>0.5147058823529409</v>
      </c>
      <c r="Q85" s="108">
        <f t="shared" si="7"/>
        <v>0.38834951456310685</v>
      </c>
      <c r="S85" s="109">
        <f t="shared" si="8"/>
        <v>0.94557823129251695</v>
      </c>
      <c r="T85" s="109">
        <f t="shared" si="9"/>
        <v>1.1029411764705879</v>
      </c>
    </row>
    <row r="86" spans="1:20">
      <c r="A86" s="154">
        <v>977</v>
      </c>
      <c r="B86" s="156">
        <v>600737</v>
      </c>
      <c r="C86" s="133" t="s">
        <v>2404</v>
      </c>
      <c r="D86" s="155" t="s">
        <v>2324</v>
      </c>
      <c r="E86" s="154">
        <v>3</v>
      </c>
      <c r="F86" s="154">
        <v>0</v>
      </c>
      <c r="G86" s="154">
        <v>3</v>
      </c>
      <c r="H86" s="154">
        <v>0</v>
      </c>
      <c r="I86" s="154">
        <v>0</v>
      </c>
      <c r="J86" s="154">
        <v>0</v>
      </c>
      <c r="K86" s="154">
        <v>0.23499999999999999</v>
      </c>
      <c r="L86" s="154">
        <v>0.311</v>
      </c>
      <c r="M86" s="154">
        <v>0.48899999999999999</v>
      </c>
      <c r="N86" s="154">
        <v>0.65400000000000003</v>
      </c>
      <c r="O86" s="108">
        <f t="shared" si="5"/>
        <v>0.32340425531914896</v>
      </c>
      <c r="P86" s="108">
        <f t="shared" si="6"/>
        <v>0.57234726688102899</v>
      </c>
      <c r="Q86" s="108">
        <f t="shared" si="7"/>
        <v>0.33742331288343563</v>
      </c>
      <c r="S86" s="109">
        <f t="shared" si="8"/>
        <v>1.7829787234042556</v>
      </c>
      <c r="T86" s="109">
        <f t="shared" si="9"/>
        <v>1.1028938906752415</v>
      </c>
    </row>
    <row r="87" spans="1:20">
      <c r="A87" s="154">
        <v>903</v>
      </c>
      <c r="B87" s="156">
        <v>603679</v>
      </c>
      <c r="C87" s="133" t="s">
        <v>2405</v>
      </c>
      <c r="D87" s="155" t="s">
        <v>2324</v>
      </c>
      <c r="E87" s="154">
        <v>4</v>
      </c>
      <c r="F87" s="154">
        <v>2</v>
      </c>
      <c r="G87" s="154">
        <v>2</v>
      </c>
      <c r="H87" s="154">
        <v>0</v>
      </c>
      <c r="I87" s="154">
        <v>0</v>
      </c>
      <c r="J87" s="154">
        <v>0</v>
      </c>
      <c r="K87" s="154">
        <v>0.69099999999999995</v>
      </c>
      <c r="L87" s="154">
        <v>1.44</v>
      </c>
      <c r="M87" s="154">
        <v>2.2149999999999999</v>
      </c>
      <c r="N87" s="154">
        <v>3.0249999999999999</v>
      </c>
      <c r="O87" s="108">
        <f t="shared" si="5"/>
        <v>1.0839363241678726</v>
      </c>
      <c r="P87" s="108">
        <f t="shared" si="6"/>
        <v>0.53819444444444442</v>
      </c>
      <c r="Q87" s="108">
        <f t="shared" si="7"/>
        <v>0.36568848758465022</v>
      </c>
      <c r="S87" s="109">
        <f t="shared" si="8"/>
        <v>3.3777134587554274</v>
      </c>
      <c r="T87" s="109">
        <f t="shared" si="9"/>
        <v>1.1006944444444446</v>
      </c>
    </row>
    <row r="88" spans="1:20">
      <c r="A88" s="154">
        <v>458</v>
      </c>
      <c r="B88" s="156">
        <v>300352</v>
      </c>
      <c r="C88" s="133" t="s">
        <v>2406</v>
      </c>
      <c r="D88" s="155" t="s">
        <v>2324</v>
      </c>
      <c r="E88" s="154">
        <v>11</v>
      </c>
      <c r="F88" s="154">
        <v>7</v>
      </c>
      <c r="G88" s="154">
        <v>4</v>
      </c>
      <c r="H88" s="154">
        <v>0</v>
      </c>
      <c r="I88" s="154">
        <v>0</v>
      </c>
      <c r="J88" s="154">
        <v>0</v>
      </c>
      <c r="K88" s="154">
        <v>6.5000000000000002E-2</v>
      </c>
      <c r="L88" s="154">
        <v>0.11700000000000001</v>
      </c>
      <c r="M88" s="154">
        <v>0.17799999999999999</v>
      </c>
      <c r="N88" s="154">
        <v>0.24399999999999999</v>
      </c>
      <c r="O88" s="108">
        <f t="shared" si="5"/>
        <v>0.8</v>
      </c>
      <c r="P88" s="108">
        <f t="shared" si="6"/>
        <v>0.52136752136752129</v>
      </c>
      <c r="Q88" s="108">
        <f t="shared" si="7"/>
        <v>0.3707865168539326</v>
      </c>
      <c r="S88" s="109">
        <f t="shared" si="8"/>
        <v>2.7538461538461538</v>
      </c>
      <c r="T88" s="109">
        <f t="shared" si="9"/>
        <v>1.0854700854700852</v>
      </c>
    </row>
    <row r="89" spans="1:20">
      <c r="A89" s="154">
        <v>752</v>
      </c>
      <c r="B89" s="156">
        <v>600731</v>
      </c>
      <c r="C89" s="133" t="s">
        <v>2407</v>
      </c>
      <c r="D89" s="155" t="s">
        <v>2324</v>
      </c>
      <c r="E89" s="154">
        <v>6</v>
      </c>
      <c r="F89" s="154">
        <v>6</v>
      </c>
      <c r="G89" s="154">
        <v>0</v>
      </c>
      <c r="H89" s="154">
        <v>0</v>
      </c>
      <c r="I89" s="154">
        <v>0</v>
      </c>
      <c r="J89" s="154">
        <v>0</v>
      </c>
      <c r="K89" s="154">
        <v>0.14499999999999999</v>
      </c>
      <c r="L89" s="154">
        <v>0.39400000000000002</v>
      </c>
      <c r="M89" s="154">
        <v>0.69899999999999995</v>
      </c>
      <c r="N89" s="154">
        <v>0.81399999999999995</v>
      </c>
      <c r="O89" s="108">
        <f t="shared" si="5"/>
        <v>1.7172413793103449</v>
      </c>
      <c r="P89" s="108">
        <f t="shared" si="6"/>
        <v>0.77411167512690326</v>
      </c>
      <c r="Q89" s="108">
        <f t="shared" si="7"/>
        <v>0.16452074391988547</v>
      </c>
      <c r="S89" s="109">
        <f t="shared" si="8"/>
        <v>4.613793103448276</v>
      </c>
      <c r="T89" s="109">
        <f t="shared" si="9"/>
        <v>1.0659898477157359</v>
      </c>
    </row>
    <row r="90" spans="1:20">
      <c r="A90" s="154">
        <v>657</v>
      </c>
      <c r="B90" s="156">
        <v>603131</v>
      </c>
      <c r="C90" s="133" t="s">
        <v>2408</v>
      </c>
      <c r="D90" s="155" t="s">
        <v>2324</v>
      </c>
      <c r="E90" s="154">
        <v>7</v>
      </c>
      <c r="F90" s="154">
        <v>3</v>
      </c>
      <c r="G90" s="154">
        <v>4</v>
      </c>
      <c r="H90" s="154">
        <v>0</v>
      </c>
      <c r="I90" s="154">
        <v>0</v>
      </c>
      <c r="J90" s="154">
        <v>0</v>
      </c>
      <c r="K90" s="154">
        <v>0.23300000000000001</v>
      </c>
      <c r="L90" s="154">
        <v>0.379</v>
      </c>
      <c r="M90" s="154">
        <v>0.56000000000000005</v>
      </c>
      <c r="N90" s="154">
        <v>0.78200000000000003</v>
      </c>
      <c r="O90" s="108">
        <f t="shared" si="5"/>
        <v>0.62660944206008584</v>
      </c>
      <c r="P90" s="108">
        <f t="shared" si="6"/>
        <v>0.4775725593667548</v>
      </c>
      <c r="Q90" s="108">
        <f t="shared" si="7"/>
        <v>0.39642857142857135</v>
      </c>
      <c r="S90" s="109">
        <f t="shared" si="8"/>
        <v>2.3562231759656651</v>
      </c>
      <c r="T90" s="109">
        <f t="shared" si="9"/>
        <v>1.0633245382585752</v>
      </c>
    </row>
    <row r="91" spans="1:20">
      <c r="A91" s="154">
        <v>86</v>
      </c>
      <c r="B91" s="156">
        <v>601615</v>
      </c>
      <c r="C91" s="133" t="s">
        <v>2409</v>
      </c>
      <c r="D91" s="155" t="s">
        <v>2324</v>
      </c>
      <c r="E91" s="154">
        <v>32</v>
      </c>
      <c r="F91" s="154">
        <v>21</v>
      </c>
      <c r="G91" s="154">
        <v>11</v>
      </c>
      <c r="H91" s="154">
        <v>0</v>
      </c>
      <c r="I91" s="154">
        <v>0</v>
      </c>
      <c r="J91" s="154">
        <v>0</v>
      </c>
      <c r="K91" s="154">
        <v>0.309</v>
      </c>
      <c r="L91" s="154">
        <v>0.48</v>
      </c>
      <c r="M91" s="154">
        <v>0.77400000000000002</v>
      </c>
      <c r="N91" s="154">
        <v>0.98899999999999999</v>
      </c>
      <c r="O91" s="108">
        <f t="shared" si="5"/>
        <v>0.55339805825242716</v>
      </c>
      <c r="P91" s="108">
        <f t="shared" si="6"/>
        <v>0.61250000000000004</v>
      </c>
      <c r="Q91" s="108">
        <f t="shared" si="7"/>
        <v>0.27777777777777768</v>
      </c>
      <c r="S91" s="109">
        <f t="shared" si="8"/>
        <v>2.2006472491909386</v>
      </c>
      <c r="T91" s="109">
        <f t="shared" si="9"/>
        <v>1.0604166666666668</v>
      </c>
    </row>
    <row r="92" spans="1:20">
      <c r="A92" s="154">
        <v>513</v>
      </c>
      <c r="B92" s="156">
        <v>2859</v>
      </c>
      <c r="C92" s="133" t="s">
        <v>2410</v>
      </c>
      <c r="D92" s="155" t="s">
        <v>2324</v>
      </c>
      <c r="E92" s="154">
        <v>9</v>
      </c>
      <c r="F92" s="154">
        <v>5</v>
      </c>
      <c r="G92" s="154">
        <v>4</v>
      </c>
      <c r="H92" s="154">
        <v>0</v>
      </c>
      <c r="I92" s="154">
        <v>0</v>
      </c>
      <c r="J92" s="154">
        <v>0</v>
      </c>
      <c r="K92" s="154">
        <v>1.0649999999999999</v>
      </c>
      <c r="L92" s="154">
        <v>0.93</v>
      </c>
      <c r="M92" s="154">
        <v>1.4359999999999999</v>
      </c>
      <c r="N92" s="154">
        <v>1.9119999999999999</v>
      </c>
      <c r="O92" s="108">
        <f t="shared" si="5"/>
        <v>-0.12676056338028163</v>
      </c>
      <c r="P92" s="108">
        <f t="shared" si="6"/>
        <v>0.54408602150537622</v>
      </c>
      <c r="Q92" s="108">
        <f t="shared" si="7"/>
        <v>0.33147632311977726</v>
      </c>
      <c r="S92" s="109">
        <f t="shared" si="8"/>
        <v>0.7953051643192488</v>
      </c>
      <c r="T92" s="109">
        <f t="shared" si="9"/>
        <v>1.0559139784946234</v>
      </c>
    </row>
    <row r="93" spans="1:20">
      <c r="A93" s="154">
        <v>827</v>
      </c>
      <c r="B93" s="156">
        <v>603660</v>
      </c>
      <c r="C93" s="133" t="s">
        <v>2411</v>
      </c>
      <c r="D93" s="155" t="s">
        <v>2324</v>
      </c>
      <c r="E93" s="154">
        <v>5</v>
      </c>
      <c r="F93" s="154">
        <v>4</v>
      </c>
      <c r="G93" s="154">
        <v>1</v>
      </c>
      <c r="H93" s="154">
        <v>0</v>
      </c>
      <c r="I93" s="154">
        <v>0</v>
      </c>
      <c r="J93" s="154">
        <v>0</v>
      </c>
      <c r="K93" s="154">
        <v>0.63900000000000001</v>
      </c>
      <c r="L93" s="154">
        <v>0.58099999999999996</v>
      </c>
      <c r="M93" s="154">
        <v>0.871</v>
      </c>
      <c r="N93" s="154">
        <v>1.194</v>
      </c>
      <c r="O93" s="108">
        <f t="shared" si="5"/>
        <v>-9.0766823161189447E-2</v>
      </c>
      <c r="P93" s="108">
        <f t="shared" si="6"/>
        <v>0.49913941480206558</v>
      </c>
      <c r="Q93" s="108">
        <f t="shared" si="7"/>
        <v>0.37083811710677383</v>
      </c>
      <c r="S93" s="109">
        <f t="shared" si="8"/>
        <v>0.86854460093896702</v>
      </c>
      <c r="T93" s="109">
        <f t="shared" si="9"/>
        <v>1.0550774526678142</v>
      </c>
    </row>
    <row r="94" spans="1:20">
      <c r="A94" s="154">
        <v>111</v>
      </c>
      <c r="B94" s="156">
        <v>300782</v>
      </c>
      <c r="C94" s="133" t="s">
        <v>2412</v>
      </c>
      <c r="D94" s="155" t="s">
        <v>2324</v>
      </c>
      <c r="E94" s="154">
        <v>29</v>
      </c>
      <c r="F94" s="154">
        <v>21</v>
      </c>
      <c r="G94" s="154">
        <v>8</v>
      </c>
      <c r="H94" s="154">
        <v>0</v>
      </c>
      <c r="I94" s="154">
        <v>0</v>
      </c>
      <c r="J94" s="154">
        <v>0</v>
      </c>
      <c r="K94" s="154">
        <v>1.623</v>
      </c>
      <c r="L94" s="154">
        <v>4.218</v>
      </c>
      <c r="M94" s="154">
        <v>6.359</v>
      </c>
      <c r="N94" s="154">
        <v>8.58</v>
      </c>
      <c r="O94" s="108">
        <f t="shared" si="5"/>
        <v>1.5988909426987061</v>
      </c>
      <c r="P94" s="108">
        <f t="shared" si="6"/>
        <v>0.50758653390232333</v>
      </c>
      <c r="Q94" s="108">
        <f t="shared" si="7"/>
        <v>0.34926875294857673</v>
      </c>
      <c r="S94" s="109">
        <f t="shared" si="8"/>
        <v>4.2865064695009245</v>
      </c>
      <c r="T94" s="109">
        <f t="shared" si="9"/>
        <v>1.0341394025604553</v>
      </c>
    </row>
    <row r="95" spans="1:20">
      <c r="A95" s="154">
        <v>171</v>
      </c>
      <c r="B95" s="156">
        <v>300474</v>
      </c>
      <c r="C95" s="133" t="s">
        <v>2413</v>
      </c>
      <c r="D95" s="155" t="s">
        <v>2324</v>
      </c>
      <c r="E95" s="154">
        <v>24</v>
      </c>
      <c r="F95" s="154">
        <v>17</v>
      </c>
      <c r="G95" s="154">
        <v>7</v>
      </c>
      <c r="H95" s="154">
        <v>0</v>
      </c>
      <c r="I95" s="154">
        <v>0</v>
      </c>
      <c r="J95" s="154">
        <v>0</v>
      </c>
      <c r="K95" s="154">
        <v>0.47199999999999998</v>
      </c>
      <c r="L95" s="154">
        <v>0.59499999999999997</v>
      </c>
      <c r="M95" s="154">
        <v>0.871</v>
      </c>
      <c r="N95" s="154">
        <v>1.2090000000000001</v>
      </c>
      <c r="O95" s="108">
        <f t="shared" si="5"/>
        <v>0.26059322033898313</v>
      </c>
      <c r="P95" s="108">
        <f t="shared" si="6"/>
        <v>0.46386554621848752</v>
      </c>
      <c r="Q95" s="108">
        <f t="shared" si="7"/>
        <v>0.38805970149253732</v>
      </c>
      <c r="S95" s="109">
        <f t="shared" si="8"/>
        <v>1.5614406779661021</v>
      </c>
      <c r="T95" s="109">
        <f t="shared" si="9"/>
        <v>1.031932773109244</v>
      </c>
    </row>
    <row r="96" spans="1:20">
      <c r="A96" s="154">
        <v>134</v>
      </c>
      <c r="B96" s="156">
        <v>300212</v>
      </c>
      <c r="C96" s="133" t="s">
        <v>2414</v>
      </c>
      <c r="D96" s="155" t="s">
        <v>2324</v>
      </c>
      <c r="E96" s="154">
        <v>27</v>
      </c>
      <c r="F96" s="154">
        <v>23</v>
      </c>
      <c r="G96" s="154">
        <v>4</v>
      </c>
      <c r="H96" s="154">
        <v>0</v>
      </c>
      <c r="I96" s="154">
        <v>0</v>
      </c>
      <c r="J96" s="154">
        <v>0</v>
      </c>
      <c r="K96" s="154">
        <v>0.55800000000000005</v>
      </c>
      <c r="L96" s="154">
        <v>0.82899999999999996</v>
      </c>
      <c r="M96" s="154">
        <v>1.2210000000000001</v>
      </c>
      <c r="N96" s="154">
        <v>1.6819999999999999</v>
      </c>
      <c r="O96" s="108">
        <f t="shared" si="5"/>
        <v>0.48566308243727585</v>
      </c>
      <c r="P96" s="108">
        <f t="shared" si="6"/>
        <v>0.47285886610373962</v>
      </c>
      <c r="Q96" s="108">
        <f t="shared" si="7"/>
        <v>0.37755937755937752</v>
      </c>
      <c r="S96" s="109">
        <f t="shared" si="8"/>
        <v>2.0143369175627237</v>
      </c>
      <c r="T96" s="109">
        <f t="shared" si="9"/>
        <v>1.0289505428226779</v>
      </c>
    </row>
    <row r="97" spans="1:20">
      <c r="A97" s="154">
        <v>680</v>
      </c>
      <c r="B97" s="156">
        <v>601872</v>
      </c>
      <c r="C97" s="133" t="s">
        <v>2415</v>
      </c>
      <c r="D97" s="155" t="s">
        <v>2324</v>
      </c>
      <c r="E97" s="154">
        <v>7</v>
      </c>
      <c r="F97" s="154">
        <v>3</v>
      </c>
      <c r="G97" s="154">
        <v>4</v>
      </c>
      <c r="H97" s="154">
        <v>0</v>
      </c>
      <c r="I97" s="154">
        <v>0</v>
      </c>
      <c r="J97" s="154">
        <v>0</v>
      </c>
      <c r="K97" s="154">
        <v>0.17299999999999999</v>
      </c>
      <c r="L97" s="154">
        <v>0.313</v>
      </c>
      <c r="M97" s="154">
        <v>0.503</v>
      </c>
      <c r="N97" s="154">
        <v>0.63500000000000001</v>
      </c>
      <c r="O97" s="108">
        <f t="shared" si="5"/>
        <v>0.80924855491329484</v>
      </c>
      <c r="P97" s="108">
        <f t="shared" si="6"/>
        <v>0.60702875399361034</v>
      </c>
      <c r="Q97" s="108">
        <f t="shared" si="7"/>
        <v>0.2624254473161034</v>
      </c>
      <c r="S97" s="109">
        <f t="shared" si="8"/>
        <v>2.6705202312138732</v>
      </c>
      <c r="T97" s="109">
        <f t="shared" si="9"/>
        <v>1.0287539936102235</v>
      </c>
    </row>
    <row r="98" spans="1:20">
      <c r="A98" s="154">
        <v>101</v>
      </c>
      <c r="B98" s="156">
        <v>600201</v>
      </c>
      <c r="C98" s="133" t="s">
        <v>2416</v>
      </c>
      <c r="D98" s="155" t="s">
        <v>2324</v>
      </c>
      <c r="E98" s="154">
        <v>31</v>
      </c>
      <c r="F98" s="154">
        <v>22</v>
      </c>
      <c r="G98" s="154">
        <v>9</v>
      </c>
      <c r="H98" s="154">
        <v>0</v>
      </c>
      <c r="I98" s="154">
        <v>0</v>
      </c>
      <c r="J98" s="154">
        <v>0</v>
      </c>
      <c r="K98" s="154">
        <v>0.67</v>
      </c>
      <c r="L98" s="154">
        <v>0.373</v>
      </c>
      <c r="M98" s="154">
        <v>0.53400000000000003</v>
      </c>
      <c r="N98" s="154">
        <v>0.75600000000000001</v>
      </c>
      <c r="O98" s="108">
        <f t="shared" si="5"/>
        <v>-0.44328358208955232</v>
      </c>
      <c r="P98" s="108">
        <f t="shared" si="6"/>
        <v>0.43163538873994645</v>
      </c>
      <c r="Q98" s="108">
        <f t="shared" si="7"/>
        <v>0.41573033707865159</v>
      </c>
      <c r="S98" s="109">
        <f t="shared" si="8"/>
        <v>0.12835820895522376</v>
      </c>
      <c r="T98" s="109">
        <f t="shared" si="9"/>
        <v>1.0268096514745308</v>
      </c>
    </row>
    <row r="99" spans="1:20">
      <c r="A99" s="154">
        <v>81</v>
      </c>
      <c r="B99" s="156">
        <v>2410</v>
      </c>
      <c r="C99" s="133" t="s">
        <v>2417</v>
      </c>
      <c r="D99" s="155" t="s">
        <v>2324</v>
      </c>
      <c r="E99" s="154">
        <v>33</v>
      </c>
      <c r="F99" s="154">
        <v>20</v>
      </c>
      <c r="G99" s="154">
        <v>13</v>
      </c>
      <c r="H99" s="154">
        <v>0</v>
      </c>
      <c r="I99" s="154">
        <v>0</v>
      </c>
      <c r="J99" s="154">
        <v>0</v>
      </c>
      <c r="K99" s="154">
        <v>0.38900000000000001</v>
      </c>
      <c r="L99" s="154">
        <v>0.35399999999999998</v>
      </c>
      <c r="M99" s="154">
        <v>0.48799999999999999</v>
      </c>
      <c r="N99" s="154">
        <v>0.71699999999999997</v>
      </c>
      <c r="O99" s="108">
        <f t="shared" si="5"/>
        <v>-8.9974293059126076E-2</v>
      </c>
      <c r="P99" s="108">
        <f t="shared" si="6"/>
        <v>0.37853107344632764</v>
      </c>
      <c r="Q99" s="108">
        <f t="shared" si="7"/>
        <v>0.46926229508196715</v>
      </c>
      <c r="S99" s="109">
        <f t="shared" si="8"/>
        <v>0.84318766066838036</v>
      </c>
      <c r="T99" s="109">
        <f t="shared" si="9"/>
        <v>1.0254237288135593</v>
      </c>
    </row>
    <row r="100" spans="1:20">
      <c r="A100" s="154">
        <v>557</v>
      </c>
      <c r="B100" s="156">
        <v>600216</v>
      </c>
      <c r="C100" s="133" t="s">
        <v>2418</v>
      </c>
      <c r="D100" s="155" t="s">
        <v>2324</v>
      </c>
      <c r="E100" s="154">
        <v>8</v>
      </c>
      <c r="F100" s="154">
        <v>8</v>
      </c>
      <c r="G100" s="154">
        <v>0</v>
      </c>
      <c r="H100" s="154">
        <v>0</v>
      </c>
      <c r="I100" s="154">
        <v>0</v>
      </c>
      <c r="J100" s="154">
        <v>0</v>
      </c>
      <c r="K100" s="154">
        <v>0.378</v>
      </c>
      <c r="L100" s="154">
        <v>0.53100000000000003</v>
      </c>
      <c r="M100" s="154">
        <v>0.85899999999999999</v>
      </c>
      <c r="N100" s="154">
        <v>1.075</v>
      </c>
      <c r="O100" s="108">
        <f t="shared" si="5"/>
        <v>0.40476190476190488</v>
      </c>
      <c r="P100" s="108">
        <f t="shared" si="6"/>
        <v>0.61770244821092257</v>
      </c>
      <c r="Q100" s="108">
        <f t="shared" si="7"/>
        <v>0.2514551804423748</v>
      </c>
      <c r="S100" s="109">
        <f t="shared" si="8"/>
        <v>1.8439153439153437</v>
      </c>
      <c r="T100" s="109">
        <f t="shared" si="9"/>
        <v>1.024482109227872</v>
      </c>
    </row>
    <row r="101" spans="1:20">
      <c r="A101" s="154">
        <v>12</v>
      </c>
      <c r="B101" s="156">
        <v>977</v>
      </c>
      <c r="C101" s="133" t="s">
        <v>2419</v>
      </c>
      <c r="D101" s="155" t="s">
        <v>2324</v>
      </c>
      <c r="E101" s="154">
        <v>57</v>
      </c>
      <c r="F101" s="154">
        <v>49</v>
      </c>
      <c r="G101" s="154">
        <v>8</v>
      </c>
      <c r="H101" s="154">
        <v>0</v>
      </c>
      <c r="I101" s="154">
        <v>0</v>
      </c>
      <c r="J101" s="154">
        <v>0</v>
      </c>
      <c r="K101" s="154">
        <v>0.51100000000000001</v>
      </c>
      <c r="L101" s="154">
        <v>0.67500000000000004</v>
      </c>
      <c r="M101" s="154">
        <v>0.98699999999999999</v>
      </c>
      <c r="N101" s="154">
        <v>1.3640000000000001</v>
      </c>
      <c r="O101" s="108">
        <f t="shared" si="5"/>
        <v>0.32093933463796476</v>
      </c>
      <c r="P101" s="108">
        <f t="shared" si="6"/>
        <v>0.46222222222222209</v>
      </c>
      <c r="Q101" s="108">
        <f t="shared" si="7"/>
        <v>0.38196555217831829</v>
      </c>
      <c r="S101" s="109">
        <f t="shared" si="8"/>
        <v>1.6692759295499022</v>
      </c>
      <c r="T101" s="109">
        <f t="shared" si="9"/>
        <v>1.0207407407407407</v>
      </c>
    </row>
    <row r="102" spans="1:20">
      <c r="A102" s="154">
        <v>582</v>
      </c>
      <c r="B102" s="156">
        <v>603859</v>
      </c>
      <c r="C102" s="133" t="s">
        <v>2420</v>
      </c>
      <c r="D102" s="155" t="s">
        <v>2324</v>
      </c>
      <c r="E102" s="154">
        <v>8</v>
      </c>
      <c r="F102" s="154">
        <v>6</v>
      </c>
      <c r="G102" s="154">
        <v>2</v>
      </c>
      <c r="H102" s="154">
        <v>0</v>
      </c>
      <c r="I102" s="154">
        <v>0</v>
      </c>
      <c r="J102" s="154">
        <v>0</v>
      </c>
      <c r="K102" s="154">
        <v>0.36399999999999999</v>
      </c>
      <c r="L102" s="154">
        <v>0.78200000000000003</v>
      </c>
      <c r="M102" s="154">
        <v>1.1399999999999999</v>
      </c>
      <c r="N102" s="154">
        <v>1.579</v>
      </c>
      <c r="O102" s="108">
        <f t="shared" si="5"/>
        <v>1.1483516483516483</v>
      </c>
      <c r="P102" s="108">
        <f t="shared" si="6"/>
        <v>0.45780051150895118</v>
      </c>
      <c r="Q102" s="108">
        <f t="shared" si="7"/>
        <v>0.38508771929824559</v>
      </c>
      <c r="S102" s="109">
        <f t="shared" si="8"/>
        <v>3.3379120879120876</v>
      </c>
      <c r="T102" s="109">
        <f t="shared" si="9"/>
        <v>1.0191815856777491</v>
      </c>
    </row>
    <row r="103" spans="1:20">
      <c r="A103" s="154">
        <v>563</v>
      </c>
      <c r="B103" s="156">
        <v>688012</v>
      </c>
      <c r="C103" s="133" t="s">
        <v>2421</v>
      </c>
      <c r="D103" s="155" t="s">
        <v>2324</v>
      </c>
      <c r="E103" s="154">
        <v>8</v>
      </c>
      <c r="F103" s="154">
        <v>2</v>
      </c>
      <c r="G103" s="154">
        <v>6</v>
      </c>
      <c r="H103" s="154">
        <v>0</v>
      </c>
      <c r="I103" s="154">
        <v>0</v>
      </c>
      <c r="J103" s="154">
        <v>0</v>
      </c>
      <c r="K103" s="154">
        <v>0.17</v>
      </c>
      <c r="L103" s="154">
        <v>0.33400000000000002</v>
      </c>
      <c r="M103" s="154">
        <v>0.48299999999999998</v>
      </c>
      <c r="N103" s="154">
        <v>0.67400000000000004</v>
      </c>
      <c r="O103" s="108">
        <f t="shared" si="5"/>
        <v>0.96470588235294108</v>
      </c>
      <c r="P103" s="108">
        <f t="shared" si="6"/>
        <v>0.44610778443113763</v>
      </c>
      <c r="Q103" s="108">
        <f t="shared" si="7"/>
        <v>0.3954451345755694</v>
      </c>
      <c r="S103" s="109">
        <f t="shared" si="8"/>
        <v>2.9647058823529413</v>
      </c>
      <c r="T103" s="109">
        <f t="shared" si="9"/>
        <v>1.0179640718562872</v>
      </c>
    </row>
    <row r="104" spans="1:20">
      <c r="A104" s="154">
        <v>715</v>
      </c>
      <c r="B104" s="156">
        <v>925</v>
      </c>
      <c r="C104" s="133" t="s">
        <v>2422</v>
      </c>
      <c r="D104" s="155" t="s">
        <v>2324</v>
      </c>
      <c r="E104" s="154">
        <v>6</v>
      </c>
      <c r="F104" s="154">
        <v>2</v>
      </c>
      <c r="G104" s="154">
        <v>4</v>
      </c>
      <c r="H104" s="154">
        <v>0</v>
      </c>
      <c r="I104" s="154">
        <v>0</v>
      </c>
      <c r="J104" s="154">
        <v>0</v>
      </c>
      <c r="K104" s="154">
        <v>4.9000000000000002E-2</v>
      </c>
      <c r="L104" s="154">
        <v>0.26500000000000001</v>
      </c>
      <c r="M104" s="154">
        <v>0.38300000000000001</v>
      </c>
      <c r="N104" s="154">
        <v>0.53400000000000003</v>
      </c>
      <c r="O104" s="108">
        <f t="shared" si="5"/>
        <v>4.4081632653061229</v>
      </c>
      <c r="P104" s="108">
        <f t="shared" si="6"/>
        <v>0.44528301886792443</v>
      </c>
      <c r="Q104" s="108">
        <f t="shared" si="7"/>
        <v>0.39425587467362933</v>
      </c>
      <c r="S104" s="109">
        <f t="shared" si="8"/>
        <v>9.8979591836734695</v>
      </c>
      <c r="T104" s="109">
        <f t="shared" si="9"/>
        <v>1.0150943396226415</v>
      </c>
    </row>
    <row r="105" spans="1:20">
      <c r="A105" s="154">
        <v>379</v>
      </c>
      <c r="B105" s="156">
        <v>2847</v>
      </c>
      <c r="C105" s="133" t="s">
        <v>2423</v>
      </c>
      <c r="D105" s="155" t="s">
        <v>2324</v>
      </c>
      <c r="E105" s="154">
        <v>13</v>
      </c>
      <c r="F105" s="154">
        <v>13</v>
      </c>
      <c r="G105" s="154">
        <v>0</v>
      </c>
      <c r="H105" s="154">
        <v>0</v>
      </c>
      <c r="I105" s="154">
        <v>0</v>
      </c>
      <c r="J105" s="154">
        <v>0</v>
      </c>
      <c r="K105" s="154">
        <v>0.54900000000000004</v>
      </c>
      <c r="L105" s="154">
        <v>0.84299999999999997</v>
      </c>
      <c r="M105" s="154">
        <v>1.2310000000000001</v>
      </c>
      <c r="N105" s="154">
        <v>1.698</v>
      </c>
      <c r="O105" s="108">
        <f t="shared" si="5"/>
        <v>0.53551912568306004</v>
      </c>
      <c r="P105" s="108">
        <f t="shared" si="6"/>
        <v>0.4602609727164888</v>
      </c>
      <c r="Q105" s="108">
        <f t="shared" si="7"/>
        <v>0.37936636880584884</v>
      </c>
      <c r="S105" s="109">
        <f t="shared" si="8"/>
        <v>2.0928961748633879</v>
      </c>
      <c r="T105" s="109">
        <f t="shared" si="9"/>
        <v>1.0142348754448398</v>
      </c>
    </row>
    <row r="106" spans="1:20">
      <c r="A106" s="154">
        <v>721</v>
      </c>
      <c r="B106" s="156">
        <v>300738</v>
      </c>
      <c r="C106" s="133" t="s">
        <v>2424</v>
      </c>
      <c r="D106" s="155" t="s">
        <v>2324</v>
      </c>
      <c r="E106" s="154">
        <v>6</v>
      </c>
      <c r="F106" s="154">
        <v>6</v>
      </c>
      <c r="G106" s="154">
        <v>0</v>
      </c>
      <c r="H106" s="154">
        <v>0</v>
      </c>
      <c r="I106" s="154">
        <v>0</v>
      </c>
      <c r="J106" s="154">
        <v>0</v>
      </c>
      <c r="K106" s="154">
        <v>0.49299999999999999</v>
      </c>
      <c r="L106" s="154">
        <v>0.88900000000000001</v>
      </c>
      <c r="M106" s="154">
        <v>1.3029999999999999</v>
      </c>
      <c r="N106" s="154">
        <v>1.788</v>
      </c>
      <c r="O106" s="108">
        <f t="shared" si="5"/>
        <v>0.80324543610547683</v>
      </c>
      <c r="P106" s="108">
        <f t="shared" si="6"/>
        <v>0.465691788526434</v>
      </c>
      <c r="Q106" s="108">
        <f t="shared" si="7"/>
        <v>0.37221795855717588</v>
      </c>
      <c r="S106" s="109">
        <f t="shared" si="8"/>
        <v>2.6267748478701827</v>
      </c>
      <c r="T106" s="109">
        <f t="shared" si="9"/>
        <v>1.0112485939257594</v>
      </c>
    </row>
    <row r="107" spans="1:20">
      <c r="A107" s="154">
        <v>578</v>
      </c>
      <c r="B107" s="156">
        <v>300657</v>
      </c>
      <c r="C107" s="133" t="s">
        <v>2425</v>
      </c>
      <c r="D107" s="155" t="s">
        <v>2324</v>
      </c>
      <c r="E107" s="154">
        <v>8</v>
      </c>
      <c r="F107" s="154">
        <v>8</v>
      </c>
      <c r="G107" s="154">
        <v>0</v>
      </c>
      <c r="H107" s="154">
        <v>0</v>
      </c>
      <c r="I107" s="154">
        <v>0</v>
      </c>
      <c r="J107" s="154">
        <v>0</v>
      </c>
      <c r="K107" s="154">
        <v>0.56999999999999995</v>
      </c>
      <c r="L107" s="154">
        <v>1.012</v>
      </c>
      <c r="M107" s="154">
        <v>1.5309999999999999</v>
      </c>
      <c r="N107" s="154">
        <v>2.0259999999999998</v>
      </c>
      <c r="O107" s="108">
        <f t="shared" si="5"/>
        <v>0.77543859649122826</v>
      </c>
      <c r="P107" s="108">
        <f t="shared" si="6"/>
        <v>0.51284584980237136</v>
      </c>
      <c r="Q107" s="108">
        <f t="shared" si="7"/>
        <v>0.32331809274983669</v>
      </c>
      <c r="S107" s="109">
        <f t="shared" si="8"/>
        <v>2.5543859649122806</v>
      </c>
      <c r="T107" s="109">
        <f t="shared" si="9"/>
        <v>1.00197628458498</v>
      </c>
    </row>
    <row r="108" spans="1:20">
      <c r="A108" s="154">
        <v>699</v>
      </c>
      <c r="B108" s="156">
        <v>600489</v>
      </c>
      <c r="C108" s="133" t="s">
        <v>2426</v>
      </c>
      <c r="D108" s="155" t="s">
        <v>2324</v>
      </c>
      <c r="E108" s="154">
        <v>6</v>
      </c>
      <c r="F108" s="154">
        <v>3</v>
      </c>
      <c r="G108" s="154">
        <v>3</v>
      </c>
      <c r="H108" s="154">
        <v>0</v>
      </c>
      <c r="I108" s="154">
        <v>0</v>
      </c>
      <c r="J108" s="154">
        <v>0</v>
      </c>
      <c r="K108" s="154">
        <v>5.7000000000000002E-2</v>
      </c>
      <c r="L108" s="154">
        <v>0.1</v>
      </c>
      <c r="M108" s="154">
        <v>0.154</v>
      </c>
      <c r="N108" s="154">
        <v>0.2</v>
      </c>
      <c r="O108" s="108">
        <f t="shared" si="5"/>
        <v>0.75438596491228083</v>
      </c>
      <c r="P108" s="108">
        <f t="shared" si="6"/>
        <v>0.53999999999999981</v>
      </c>
      <c r="Q108" s="108">
        <f t="shared" si="7"/>
        <v>0.29870129870129869</v>
      </c>
      <c r="S108" s="109">
        <f t="shared" si="8"/>
        <v>2.5087719298245617</v>
      </c>
      <c r="T108" s="109">
        <f t="shared" si="9"/>
        <v>1</v>
      </c>
    </row>
    <row r="109" spans="1:20">
      <c r="A109" s="154">
        <v>897</v>
      </c>
      <c r="B109" s="156">
        <v>300793</v>
      </c>
      <c r="C109" s="133" t="s">
        <v>2427</v>
      </c>
      <c r="D109" s="155" t="s">
        <v>2324</v>
      </c>
      <c r="E109" s="154">
        <v>4</v>
      </c>
      <c r="F109" s="154">
        <v>3</v>
      </c>
      <c r="G109" s="154">
        <v>1</v>
      </c>
      <c r="H109" s="154">
        <v>0</v>
      </c>
      <c r="I109" s="154">
        <v>0</v>
      </c>
      <c r="J109" s="154">
        <v>0</v>
      </c>
      <c r="K109" s="154">
        <v>0.66200000000000003</v>
      </c>
      <c r="L109" s="154">
        <v>0.75800000000000001</v>
      </c>
      <c r="M109" s="154">
        <v>1.1000000000000001</v>
      </c>
      <c r="N109" s="154">
        <v>1.516</v>
      </c>
      <c r="O109" s="108">
        <f t="shared" si="5"/>
        <v>0.14501510574018117</v>
      </c>
      <c r="P109" s="108">
        <f t="shared" si="6"/>
        <v>0.45118733509234832</v>
      </c>
      <c r="Q109" s="108">
        <f t="shared" si="7"/>
        <v>0.37818181818181817</v>
      </c>
      <c r="S109" s="109">
        <f t="shared" si="8"/>
        <v>1.2900302114803623</v>
      </c>
      <c r="T109" s="109">
        <f t="shared" si="9"/>
        <v>1</v>
      </c>
    </row>
    <row r="110" spans="1:20">
      <c r="A110" s="154">
        <v>170</v>
      </c>
      <c r="B110" s="156">
        <v>300559</v>
      </c>
      <c r="C110" s="133" t="s">
        <v>2428</v>
      </c>
      <c r="D110" s="155" t="s">
        <v>2324</v>
      </c>
      <c r="E110" s="154">
        <v>24</v>
      </c>
      <c r="F110" s="154">
        <v>16</v>
      </c>
      <c r="G110" s="154">
        <v>8</v>
      </c>
      <c r="H110" s="154">
        <v>0</v>
      </c>
      <c r="I110" s="154">
        <v>0</v>
      </c>
      <c r="J110" s="154">
        <v>0</v>
      </c>
      <c r="K110" s="154">
        <v>0.46500000000000002</v>
      </c>
      <c r="L110" s="154">
        <v>0.77600000000000002</v>
      </c>
      <c r="M110" s="154">
        <v>1.157</v>
      </c>
      <c r="N110" s="154">
        <v>1.5509999999999999</v>
      </c>
      <c r="O110" s="108">
        <f t="shared" si="5"/>
        <v>0.66881720430107516</v>
      </c>
      <c r="P110" s="108">
        <f t="shared" si="6"/>
        <v>0.490979381443299</v>
      </c>
      <c r="Q110" s="108">
        <f t="shared" si="7"/>
        <v>0.34053586862575624</v>
      </c>
      <c r="S110" s="109">
        <f t="shared" si="8"/>
        <v>2.3354838709677415</v>
      </c>
      <c r="T110" s="109">
        <f t="shared" si="9"/>
        <v>0.99871134020618535</v>
      </c>
    </row>
    <row r="111" spans="1:20">
      <c r="A111" s="154">
        <v>417</v>
      </c>
      <c r="B111" s="156">
        <v>2460</v>
      </c>
      <c r="C111" s="133" t="s">
        <v>2429</v>
      </c>
      <c r="D111" s="155" t="s">
        <v>2324</v>
      </c>
      <c r="E111" s="154">
        <v>12</v>
      </c>
      <c r="F111" s="154">
        <v>2</v>
      </c>
      <c r="G111" s="154">
        <v>10</v>
      </c>
      <c r="H111" s="154">
        <v>0</v>
      </c>
      <c r="I111" s="154">
        <v>0</v>
      </c>
      <c r="J111" s="154">
        <v>0</v>
      </c>
      <c r="K111" s="154">
        <v>0.94599999999999995</v>
      </c>
      <c r="L111" s="154">
        <v>0.48799999999999999</v>
      </c>
      <c r="M111" s="154">
        <v>0.751</v>
      </c>
      <c r="N111" s="154">
        <v>0.97399999999999998</v>
      </c>
      <c r="O111" s="108">
        <f t="shared" si="5"/>
        <v>-0.48414376321353059</v>
      </c>
      <c r="P111" s="108">
        <f t="shared" si="6"/>
        <v>0.53893442622950816</v>
      </c>
      <c r="Q111" s="108">
        <f t="shared" si="7"/>
        <v>0.29693741677762975</v>
      </c>
      <c r="S111" s="109">
        <f t="shared" si="8"/>
        <v>2.9598308668076223E-2</v>
      </c>
      <c r="T111" s="109">
        <f t="shared" si="9"/>
        <v>0.99590163934426235</v>
      </c>
    </row>
    <row r="112" spans="1:20">
      <c r="A112" s="154">
        <v>826</v>
      </c>
      <c r="B112" s="156">
        <v>603818</v>
      </c>
      <c r="C112" s="133" t="s">
        <v>2430</v>
      </c>
      <c r="D112" s="155" t="s">
        <v>2324</v>
      </c>
      <c r="E112" s="154">
        <v>5</v>
      </c>
      <c r="F112" s="154">
        <v>4</v>
      </c>
      <c r="G112" s="154">
        <v>1</v>
      </c>
      <c r="H112" s="154">
        <v>0</v>
      </c>
      <c r="I112" s="154">
        <v>0</v>
      </c>
      <c r="J112" s="154">
        <v>0</v>
      </c>
      <c r="K112" s="154">
        <v>-0.121</v>
      </c>
      <c r="L112" s="154">
        <v>0.39300000000000002</v>
      </c>
      <c r="M112" s="154">
        <v>0.64800000000000002</v>
      </c>
      <c r="N112" s="154">
        <v>0.78400000000000003</v>
      </c>
      <c r="O112" s="108">
        <f t="shared" si="5"/>
        <v>-4.2479338842975203</v>
      </c>
      <c r="P112" s="108">
        <f t="shared" si="6"/>
        <v>0.64885496183206115</v>
      </c>
      <c r="Q112" s="108">
        <f t="shared" si="7"/>
        <v>0.20987654320987659</v>
      </c>
      <c r="S112" s="109">
        <f t="shared" si="8"/>
        <v>-7.4793388429752072</v>
      </c>
      <c r="T112" s="109">
        <f t="shared" si="9"/>
        <v>0.99491094147582704</v>
      </c>
    </row>
    <row r="113" spans="1:20">
      <c r="A113" s="154">
        <v>78</v>
      </c>
      <c r="B113" s="156">
        <v>2129</v>
      </c>
      <c r="C113" s="133" t="s">
        <v>2431</v>
      </c>
      <c r="D113" s="155" t="s">
        <v>2324</v>
      </c>
      <c r="E113" s="154">
        <v>33</v>
      </c>
      <c r="F113" s="154">
        <v>28</v>
      </c>
      <c r="G113" s="154">
        <v>5</v>
      </c>
      <c r="H113" s="154">
        <v>0</v>
      </c>
      <c r="I113" s="154">
        <v>0</v>
      </c>
      <c r="J113" s="154">
        <v>0</v>
      </c>
      <c r="K113" s="154">
        <v>0.22700000000000001</v>
      </c>
      <c r="L113" s="154">
        <v>0.41499999999999998</v>
      </c>
      <c r="M113" s="154">
        <v>0.6</v>
      </c>
      <c r="N113" s="154">
        <v>0.82499999999999996</v>
      </c>
      <c r="O113" s="108">
        <f t="shared" si="5"/>
        <v>0.82819383259911872</v>
      </c>
      <c r="P113" s="108">
        <f t="shared" si="6"/>
        <v>0.44578313253012047</v>
      </c>
      <c r="Q113" s="108">
        <f t="shared" si="7"/>
        <v>0.375</v>
      </c>
      <c r="S113" s="109">
        <f t="shared" si="8"/>
        <v>2.6343612334801758</v>
      </c>
      <c r="T113" s="109">
        <f t="shared" si="9"/>
        <v>0.98795180722891573</v>
      </c>
    </row>
    <row r="114" spans="1:20">
      <c r="A114" s="154">
        <v>468</v>
      </c>
      <c r="B114" s="156">
        <v>2216</v>
      </c>
      <c r="C114" s="133" t="s">
        <v>2432</v>
      </c>
      <c r="D114" s="155" t="s">
        <v>2324</v>
      </c>
      <c r="E114" s="154">
        <v>11</v>
      </c>
      <c r="F114" s="154">
        <v>9</v>
      </c>
      <c r="G114" s="154">
        <v>2</v>
      </c>
      <c r="H114" s="154">
        <v>0</v>
      </c>
      <c r="I114" s="154">
        <v>0</v>
      </c>
      <c r="J114" s="154">
        <v>0</v>
      </c>
      <c r="K114" s="154">
        <v>0.128</v>
      </c>
      <c r="L114" s="154">
        <v>0.17599999999999999</v>
      </c>
      <c r="M114" s="154">
        <v>0.252</v>
      </c>
      <c r="N114" s="154">
        <v>0.34899999999999998</v>
      </c>
      <c r="O114" s="108">
        <f t="shared" si="5"/>
        <v>0.375</v>
      </c>
      <c r="P114" s="108">
        <f t="shared" si="6"/>
        <v>0.43181818181818188</v>
      </c>
      <c r="Q114" s="108">
        <f t="shared" si="7"/>
        <v>0.38492063492063489</v>
      </c>
      <c r="S114" s="109">
        <f t="shared" si="8"/>
        <v>1.7265624999999996</v>
      </c>
      <c r="T114" s="109">
        <f t="shared" si="9"/>
        <v>0.98295454545454541</v>
      </c>
    </row>
    <row r="115" spans="1:20">
      <c r="A115" s="154">
        <v>828</v>
      </c>
      <c r="B115" s="156">
        <v>603520</v>
      </c>
      <c r="C115" s="133" t="s">
        <v>2433</v>
      </c>
      <c r="D115" s="155" t="s">
        <v>2324</v>
      </c>
      <c r="E115" s="154">
        <v>5</v>
      </c>
      <c r="F115" s="154">
        <v>3</v>
      </c>
      <c r="G115" s="154">
        <v>2</v>
      </c>
      <c r="H115" s="154">
        <v>0</v>
      </c>
      <c r="I115" s="154">
        <v>0</v>
      </c>
      <c r="J115" s="154">
        <v>0</v>
      </c>
      <c r="K115" s="154">
        <v>0.55800000000000005</v>
      </c>
      <c r="L115" s="154">
        <v>0.99399999999999999</v>
      </c>
      <c r="M115" s="154">
        <v>1.4710000000000001</v>
      </c>
      <c r="N115" s="154">
        <v>1.9670000000000001</v>
      </c>
      <c r="O115" s="108">
        <f t="shared" si="5"/>
        <v>0.78136200716845861</v>
      </c>
      <c r="P115" s="108">
        <f t="shared" si="6"/>
        <v>0.47987927565392363</v>
      </c>
      <c r="Q115" s="108">
        <f t="shared" si="7"/>
        <v>0.33718558803535004</v>
      </c>
      <c r="S115" s="109">
        <f t="shared" si="8"/>
        <v>2.5250896057347667</v>
      </c>
      <c r="T115" s="109">
        <f t="shared" si="9"/>
        <v>0.97887323943661975</v>
      </c>
    </row>
    <row r="116" spans="1:20">
      <c r="A116" s="154">
        <v>542</v>
      </c>
      <c r="B116" s="156">
        <v>876</v>
      </c>
      <c r="C116" s="133" t="s">
        <v>2434</v>
      </c>
      <c r="D116" s="155" t="s">
        <v>2324</v>
      </c>
      <c r="E116" s="154">
        <v>9</v>
      </c>
      <c r="F116" s="154">
        <v>7</v>
      </c>
      <c r="G116" s="154">
        <v>2</v>
      </c>
      <c r="H116" s="154">
        <v>0</v>
      </c>
      <c r="I116" s="154">
        <v>0</v>
      </c>
      <c r="J116" s="154">
        <v>0</v>
      </c>
      <c r="K116" s="154">
        <v>0.40400000000000003</v>
      </c>
      <c r="L116" s="154">
        <v>1.069</v>
      </c>
      <c r="M116" s="154">
        <v>2.149</v>
      </c>
      <c r="N116" s="154">
        <v>2.1150000000000002</v>
      </c>
      <c r="O116" s="108">
        <f t="shared" si="5"/>
        <v>1.6460396039603959</v>
      </c>
      <c r="P116" s="108">
        <f t="shared" si="6"/>
        <v>1.0102899906454632</v>
      </c>
      <c r="Q116" s="108">
        <f t="shared" si="7"/>
        <v>-1.5821312238250229E-2</v>
      </c>
      <c r="S116" s="109">
        <f t="shared" si="8"/>
        <v>4.2351485148514856</v>
      </c>
      <c r="T116" s="109">
        <f t="shared" si="9"/>
        <v>0.97848456501403214</v>
      </c>
    </row>
    <row r="117" spans="1:20">
      <c r="A117" s="154">
        <v>112</v>
      </c>
      <c r="B117" s="156">
        <v>300725</v>
      </c>
      <c r="C117" s="133" t="s">
        <v>2435</v>
      </c>
      <c r="D117" s="155" t="s">
        <v>2324</v>
      </c>
      <c r="E117" s="154">
        <v>29</v>
      </c>
      <c r="F117" s="154">
        <v>15</v>
      </c>
      <c r="G117" s="154">
        <v>14</v>
      </c>
      <c r="H117" s="154">
        <v>0</v>
      </c>
      <c r="I117" s="154">
        <v>0</v>
      </c>
      <c r="J117" s="154">
        <v>0</v>
      </c>
      <c r="K117" s="154">
        <v>0.92100000000000004</v>
      </c>
      <c r="L117" s="154">
        <v>1.258</v>
      </c>
      <c r="M117" s="154">
        <v>1.788</v>
      </c>
      <c r="N117" s="154">
        <v>2.4860000000000002</v>
      </c>
      <c r="O117" s="108">
        <f t="shared" si="5"/>
        <v>0.3659066232356134</v>
      </c>
      <c r="P117" s="108">
        <f t="shared" si="6"/>
        <v>0.42130365659777436</v>
      </c>
      <c r="Q117" s="108">
        <f t="shared" si="7"/>
        <v>0.39038031319910527</v>
      </c>
      <c r="S117" s="109">
        <f t="shared" si="8"/>
        <v>1.6992399565689471</v>
      </c>
      <c r="T117" s="109">
        <f t="shared" si="9"/>
        <v>0.9761526232114468</v>
      </c>
    </row>
    <row r="118" spans="1:20">
      <c r="A118" s="154">
        <v>726</v>
      </c>
      <c r="B118" s="156">
        <v>603920</v>
      </c>
      <c r="C118" s="133" t="s">
        <v>2436</v>
      </c>
      <c r="D118" s="155" t="s">
        <v>2324</v>
      </c>
      <c r="E118" s="154">
        <v>6</v>
      </c>
      <c r="F118" s="154">
        <v>6</v>
      </c>
      <c r="G118" s="154">
        <v>0</v>
      </c>
      <c r="H118" s="154">
        <v>0</v>
      </c>
      <c r="I118" s="154">
        <v>0</v>
      </c>
      <c r="J118" s="154">
        <v>0</v>
      </c>
      <c r="K118" s="154">
        <v>0.55100000000000005</v>
      </c>
      <c r="L118" s="154">
        <v>0.78</v>
      </c>
      <c r="M118" s="154">
        <v>1.0980000000000001</v>
      </c>
      <c r="N118" s="154">
        <v>1.54</v>
      </c>
      <c r="O118" s="108">
        <f t="shared" si="5"/>
        <v>0.41560798548094358</v>
      </c>
      <c r="P118" s="108">
        <f t="shared" si="6"/>
        <v>0.4076923076923078</v>
      </c>
      <c r="Q118" s="108">
        <f t="shared" si="7"/>
        <v>0.40255009107468109</v>
      </c>
      <c r="S118" s="109">
        <f t="shared" si="8"/>
        <v>1.7949183303085299</v>
      </c>
      <c r="T118" s="109">
        <f t="shared" si="9"/>
        <v>0.97435897435897423</v>
      </c>
    </row>
    <row r="119" spans="1:20">
      <c r="A119" s="154">
        <v>674</v>
      </c>
      <c r="B119" s="156">
        <v>2616</v>
      </c>
      <c r="C119" s="133" t="s">
        <v>2437</v>
      </c>
      <c r="D119" s="155" t="s">
        <v>2324</v>
      </c>
      <c r="E119" s="154">
        <v>7</v>
      </c>
      <c r="F119" s="154">
        <v>7</v>
      </c>
      <c r="G119" s="154">
        <v>0</v>
      </c>
      <c r="H119" s="154">
        <v>0</v>
      </c>
      <c r="I119" s="154">
        <v>0</v>
      </c>
      <c r="J119" s="154">
        <v>0</v>
      </c>
      <c r="K119" s="154">
        <v>0.22500000000000001</v>
      </c>
      <c r="L119" s="154">
        <v>0.42199999999999999</v>
      </c>
      <c r="M119" s="154">
        <v>0.63200000000000001</v>
      </c>
      <c r="N119" s="154">
        <v>0.83199999999999996</v>
      </c>
      <c r="O119" s="108">
        <f t="shared" si="5"/>
        <v>0.87555555555555542</v>
      </c>
      <c r="P119" s="108">
        <f t="shared" si="6"/>
        <v>0.49763033175355464</v>
      </c>
      <c r="Q119" s="108">
        <f t="shared" si="7"/>
        <v>0.31645569620253156</v>
      </c>
      <c r="S119" s="109">
        <f t="shared" si="8"/>
        <v>2.6977777777777776</v>
      </c>
      <c r="T119" s="109">
        <f t="shared" si="9"/>
        <v>0.97156398104265396</v>
      </c>
    </row>
    <row r="120" spans="1:20">
      <c r="A120" s="154">
        <v>286</v>
      </c>
      <c r="B120" s="156">
        <v>2648</v>
      </c>
      <c r="C120" s="133" t="s">
        <v>2438</v>
      </c>
      <c r="D120" s="155" t="s">
        <v>2324</v>
      </c>
      <c r="E120" s="154">
        <v>17</v>
      </c>
      <c r="F120" s="154">
        <v>13</v>
      </c>
      <c r="G120" s="154">
        <v>4</v>
      </c>
      <c r="H120" s="154">
        <v>0</v>
      </c>
      <c r="I120" s="154">
        <v>0</v>
      </c>
      <c r="J120" s="154">
        <v>0</v>
      </c>
      <c r="K120" s="154">
        <v>0.88300000000000001</v>
      </c>
      <c r="L120" s="154">
        <v>1.262</v>
      </c>
      <c r="M120" s="154">
        <v>1.548</v>
      </c>
      <c r="N120" s="154">
        <v>2.4670000000000001</v>
      </c>
      <c r="O120" s="108">
        <f t="shared" si="5"/>
        <v>0.42921857304643263</v>
      </c>
      <c r="P120" s="108">
        <f t="shared" si="6"/>
        <v>0.22662440570522979</v>
      </c>
      <c r="Q120" s="108">
        <f t="shared" si="7"/>
        <v>0.59366925064599485</v>
      </c>
      <c r="S120" s="109">
        <f t="shared" si="8"/>
        <v>1.7938844847112119</v>
      </c>
      <c r="T120" s="109">
        <f t="shared" si="9"/>
        <v>0.95483359746434227</v>
      </c>
    </row>
    <row r="121" spans="1:20">
      <c r="A121" s="154">
        <v>411</v>
      </c>
      <c r="B121" s="156">
        <v>300572</v>
      </c>
      <c r="C121" s="133" t="s">
        <v>2439</v>
      </c>
      <c r="D121" s="155" t="s">
        <v>2324</v>
      </c>
      <c r="E121" s="154">
        <v>12</v>
      </c>
      <c r="F121" s="154">
        <v>8</v>
      </c>
      <c r="G121" s="154">
        <v>4</v>
      </c>
      <c r="H121" s="154">
        <v>0</v>
      </c>
      <c r="I121" s="154">
        <v>0</v>
      </c>
      <c r="J121" s="154">
        <v>0</v>
      </c>
      <c r="K121" s="154">
        <v>0.64700000000000002</v>
      </c>
      <c r="L121" s="154">
        <v>1.1140000000000001</v>
      </c>
      <c r="M121" s="154">
        <v>1.6040000000000001</v>
      </c>
      <c r="N121" s="154">
        <v>2.173</v>
      </c>
      <c r="O121" s="108">
        <f t="shared" si="5"/>
        <v>0.72179289026275129</v>
      </c>
      <c r="P121" s="108">
        <f t="shared" si="6"/>
        <v>0.43985637342908435</v>
      </c>
      <c r="Q121" s="108">
        <f t="shared" si="7"/>
        <v>0.35473815461346625</v>
      </c>
      <c r="S121" s="109">
        <f t="shared" si="8"/>
        <v>2.3585780525502318</v>
      </c>
      <c r="T121" s="109">
        <f t="shared" si="9"/>
        <v>0.95062836624775571</v>
      </c>
    </row>
    <row r="122" spans="1:20">
      <c r="A122" s="154">
        <v>87</v>
      </c>
      <c r="B122" s="156">
        <v>300747</v>
      </c>
      <c r="C122" s="133" t="s">
        <v>2440</v>
      </c>
      <c r="D122" s="155" t="s">
        <v>2324</v>
      </c>
      <c r="E122" s="154">
        <v>32</v>
      </c>
      <c r="F122" s="154">
        <v>16</v>
      </c>
      <c r="G122" s="154">
        <v>16</v>
      </c>
      <c r="H122" s="154">
        <v>0</v>
      </c>
      <c r="I122" s="154">
        <v>0</v>
      </c>
      <c r="J122" s="154">
        <v>0</v>
      </c>
      <c r="K122" s="154">
        <v>2.2530000000000001</v>
      </c>
      <c r="L122" s="154">
        <v>2.141</v>
      </c>
      <c r="M122" s="154">
        <v>3.1030000000000002</v>
      </c>
      <c r="N122" s="154">
        <v>4.1760000000000002</v>
      </c>
      <c r="O122" s="108">
        <f t="shared" si="5"/>
        <v>-4.971149578339995E-2</v>
      </c>
      <c r="P122" s="108">
        <f t="shared" si="6"/>
        <v>0.44932274638019631</v>
      </c>
      <c r="Q122" s="108">
        <f t="shared" si="7"/>
        <v>0.34579439252336441</v>
      </c>
      <c r="S122" s="109">
        <f t="shared" si="8"/>
        <v>0.85352862849533961</v>
      </c>
      <c r="T122" s="109">
        <f t="shared" si="9"/>
        <v>0.95049042503503034</v>
      </c>
    </row>
    <row r="123" spans="1:20">
      <c r="A123" s="154">
        <v>873</v>
      </c>
      <c r="B123" s="156">
        <v>600732</v>
      </c>
      <c r="C123" s="133" t="s">
        <v>2441</v>
      </c>
      <c r="D123" s="155" t="s">
        <v>2324</v>
      </c>
      <c r="E123" s="154">
        <v>4</v>
      </c>
      <c r="F123" s="154">
        <v>4</v>
      </c>
      <c r="G123" s="154">
        <v>0</v>
      </c>
      <c r="H123" s="154">
        <v>0</v>
      </c>
      <c r="I123" s="154">
        <v>0</v>
      </c>
      <c r="J123" s="154">
        <v>0</v>
      </c>
      <c r="K123" s="154">
        <v>8.9999999999999993E-3</v>
      </c>
      <c r="L123" s="154">
        <v>0.36799999999999999</v>
      </c>
      <c r="M123" s="154">
        <v>0.54</v>
      </c>
      <c r="N123" s="154">
        <v>0.71699999999999997</v>
      </c>
      <c r="O123" s="108">
        <f t="shared" si="5"/>
        <v>39.888888888888893</v>
      </c>
      <c r="P123" s="108">
        <f t="shared" si="6"/>
        <v>0.46739130434782616</v>
      </c>
      <c r="Q123" s="108">
        <f t="shared" si="7"/>
        <v>0.32777777777777772</v>
      </c>
      <c r="S123" s="109">
        <f t="shared" si="8"/>
        <v>78.666666666666671</v>
      </c>
      <c r="T123" s="109">
        <f t="shared" si="9"/>
        <v>0.94836956521739135</v>
      </c>
    </row>
    <row r="124" spans="1:20">
      <c r="A124" s="154">
        <v>731</v>
      </c>
      <c r="B124" s="156">
        <v>300638</v>
      </c>
      <c r="C124" s="133" t="s">
        <v>2442</v>
      </c>
      <c r="D124" s="155" t="s">
        <v>2324</v>
      </c>
      <c r="E124" s="154">
        <v>6</v>
      </c>
      <c r="F124" s="154">
        <v>1</v>
      </c>
      <c r="G124" s="154">
        <v>5</v>
      </c>
      <c r="H124" s="154">
        <v>0</v>
      </c>
      <c r="I124" s="154">
        <v>0</v>
      </c>
      <c r="J124" s="154">
        <v>0</v>
      </c>
      <c r="K124" s="154">
        <v>0.64700000000000002</v>
      </c>
      <c r="L124" s="154">
        <v>1.3120000000000001</v>
      </c>
      <c r="M124" s="154">
        <v>1.929</v>
      </c>
      <c r="N124" s="154">
        <v>2.5539999999999998</v>
      </c>
      <c r="O124" s="108">
        <f t="shared" si="5"/>
        <v>1.027820710973725</v>
      </c>
      <c r="P124" s="108">
        <f t="shared" si="6"/>
        <v>0.47027439024390238</v>
      </c>
      <c r="Q124" s="108">
        <f t="shared" si="7"/>
        <v>0.32400207361327094</v>
      </c>
      <c r="S124" s="109">
        <f t="shared" si="8"/>
        <v>2.9474497681607414</v>
      </c>
      <c r="T124" s="109">
        <f t="shared" si="9"/>
        <v>0.94664634146341431</v>
      </c>
    </row>
    <row r="125" spans="1:20">
      <c r="A125" s="154">
        <v>223</v>
      </c>
      <c r="B125" s="156">
        <v>300502</v>
      </c>
      <c r="C125" s="133" t="s">
        <v>2443</v>
      </c>
      <c r="D125" s="155" t="s">
        <v>2324</v>
      </c>
      <c r="E125" s="154">
        <v>20</v>
      </c>
      <c r="F125" s="154">
        <v>13</v>
      </c>
      <c r="G125" s="154">
        <v>7</v>
      </c>
      <c r="H125" s="154">
        <v>0</v>
      </c>
      <c r="I125" s="154">
        <v>0</v>
      </c>
      <c r="J125" s="154">
        <v>0</v>
      </c>
      <c r="K125" s="154">
        <v>0.13500000000000001</v>
      </c>
      <c r="L125" s="154">
        <v>0.754</v>
      </c>
      <c r="M125" s="154">
        <v>1.1279999999999999</v>
      </c>
      <c r="N125" s="154">
        <v>1.464</v>
      </c>
      <c r="O125" s="108">
        <f t="shared" si="5"/>
        <v>4.5851851851851846</v>
      </c>
      <c r="P125" s="108">
        <f t="shared" si="6"/>
        <v>0.49602122015915096</v>
      </c>
      <c r="Q125" s="108">
        <f t="shared" si="7"/>
        <v>0.2978723404255319</v>
      </c>
      <c r="S125" s="109">
        <f t="shared" si="8"/>
        <v>9.8444444444444432</v>
      </c>
      <c r="T125" s="109">
        <f t="shared" si="9"/>
        <v>0.94164456233421756</v>
      </c>
    </row>
    <row r="126" spans="1:20">
      <c r="A126" s="154">
        <v>77</v>
      </c>
      <c r="B126" s="156">
        <v>300308</v>
      </c>
      <c r="C126" s="133" t="s">
        <v>2444</v>
      </c>
      <c r="D126" s="155" t="s">
        <v>2324</v>
      </c>
      <c r="E126" s="154">
        <v>33</v>
      </c>
      <c r="F126" s="154">
        <v>18</v>
      </c>
      <c r="G126" s="154">
        <v>15</v>
      </c>
      <c r="H126" s="154">
        <v>0</v>
      </c>
      <c r="I126" s="154">
        <v>0</v>
      </c>
      <c r="J126" s="154">
        <v>0</v>
      </c>
      <c r="K126" s="154">
        <v>0.874</v>
      </c>
      <c r="L126" s="154">
        <v>0.86199999999999999</v>
      </c>
      <c r="M126" s="154">
        <v>1.2869999999999999</v>
      </c>
      <c r="N126" s="154">
        <v>1.671</v>
      </c>
      <c r="O126" s="108">
        <f t="shared" si="5"/>
        <v>-1.3729977116704872E-2</v>
      </c>
      <c r="P126" s="108">
        <f t="shared" si="6"/>
        <v>0.49303944315545234</v>
      </c>
      <c r="Q126" s="108">
        <f t="shared" si="7"/>
        <v>0.29836829836829848</v>
      </c>
      <c r="S126" s="109">
        <f t="shared" si="8"/>
        <v>0.91189931350114417</v>
      </c>
      <c r="T126" s="109">
        <f t="shared" si="9"/>
        <v>0.93851508120649663</v>
      </c>
    </row>
    <row r="127" spans="1:20">
      <c r="A127" s="154">
        <v>213</v>
      </c>
      <c r="B127" s="156">
        <v>300207</v>
      </c>
      <c r="C127" s="133" t="s">
        <v>2445</v>
      </c>
      <c r="D127" s="155" t="s">
        <v>2324</v>
      </c>
      <c r="E127" s="154">
        <v>21</v>
      </c>
      <c r="F127" s="154">
        <v>14</v>
      </c>
      <c r="G127" s="154">
        <v>7</v>
      </c>
      <c r="H127" s="154">
        <v>0</v>
      </c>
      <c r="I127" s="154">
        <v>0</v>
      </c>
      <c r="J127" s="154">
        <v>0</v>
      </c>
      <c r="K127" s="154">
        <v>0.44700000000000001</v>
      </c>
      <c r="L127" s="154">
        <v>0.56000000000000005</v>
      </c>
      <c r="M127" s="154">
        <v>0.80500000000000005</v>
      </c>
      <c r="N127" s="154">
        <v>1.0840000000000001</v>
      </c>
      <c r="O127" s="108">
        <f t="shared" si="5"/>
        <v>0.25279642058165552</v>
      </c>
      <c r="P127" s="108">
        <f t="shared" si="6"/>
        <v>0.4375</v>
      </c>
      <c r="Q127" s="108">
        <f t="shared" si="7"/>
        <v>0.34658385093167698</v>
      </c>
      <c r="S127" s="109">
        <f t="shared" si="8"/>
        <v>1.4250559284116333</v>
      </c>
      <c r="T127" s="109">
        <f t="shared" si="9"/>
        <v>0.93571428571428572</v>
      </c>
    </row>
    <row r="128" spans="1:20">
      <c r="A128" s="154">
        <v>821</v>
      </c>
      <c r="B128" s="156">
        <v>300525</v>
      </c>
      <c r="C128" s="133" t="s">
        <v>2446</v>
      </c>
      <c r="D128" s="155" t="s">
        <v>2324</v>
      </c>
      <c r="E128" s="154">
        <v>5</v>
      </c>
      <c r="F128" s="154">
        <v>5</v>
      </c>
      <c r="G128" s="154">
        <v>0</v>
      </c>
      <c r="H128" s="154">
        <v>0</v>
      </c>
      <c r="I128" s="154">
        <v>0</v>
      </c>
      <c r="J128" s="154">
        <v>0</v>
      </c>
      <c r="K128" s="154">
        <v>0.40200000000000002</v>
      </c>
      <c r="L128" s="154">
        <v>0.60499999999999998</v>
      </c>
      <c r="M128" s="154">
        <v>0.86099999999999999</v>
      </c>
      <c r="N128" s="154">
        <v>1.169</v>
      </c>
      <c r="O128" s="108">
        <f t="shared" si="5"/>
        <v>0.50497512437810932</v>
      </c>
      <c r="P128" s="108">
        <f t="shared" si="6"/>
        <v>0.4231404958677687</v>
      </c>
      <c r="Q128" s="108">
        <f t="shared" si="7"/>
        <v>0.35772357723577253</v>
      </c>
      <c r="S128" s="109">
        <f t="shared" si="8"/>
        <v>1.9079601990049753</v>
      </c>
      <c r="T128" s="109">
        <f t="shared" si="9"/>
        <v>0.93223140495867773</v>
      </c>
    </row>
    <row r="129" spans="1:20">
      <c r="A129" s="154">
        <v>663</v>
      </c>
      <c r="B129" s="156">
        <v>300523</v>
      </c>
      <c r="C129" s="133" t="s">
        <v>2447</v>
      </c>
      <c r="D129" s="155" t="s">
        <v>2324</v>
      </c>
      <c r="E129" s="154">
        <v>7</v>
      </c>
      <c r="F129" s="154">
        <v>7</v>
      </c>
      <c r="G129" s="154">
        <v>0</v>
      </c>
      <c r="H129" s="154">
        <v>0</v>
      </c>
      <c r="I129" s="154">
        <v>0</v>
      </c>
      <c r="J129" s="154">
        <v>0</v>
      </c>
      <c r="K129" s="154">
        <v>0.58299999999999996</v>
      </c>
      <c r="L129" s="154">
        <v>0.92900000000000005</v>
      </c>
      <c r="M129" s="154">
        <v>1.321</v>
      </c>
      <c r="N129" s="154">
        <v>1.7929999999999999</v>
      </c>
      <c r="O129" s="108">
        <f t="shared" si="5"/>
        <v>0.59348198970840493</v>
      </c>
      <c r="P129" s="108">
        <f t="shared" si="6"/>
        <v>0.42195909580193747</v>
      </c>
      <c r="Q129" s="108">
        <f t="shared" si="7"/>
        <v>0.35730507191521577</v>
      </c>
      <c r="S129" s="109">
        <f t="shared" si="8"/>
        <v>2.0754716981132075</v>
      </c>
      <c r="T129" s="109">
        <f t="shared" si="9"/>
        <v>0.93003229278794386</v>
      </c>
    </row>
    <row r="130" spans="1:20">
      <c r="A130" s="154">
        <v>389</v>
      </c>
      <c r="B130" s="156">
        <v>2402</v>
      </c>
      <c r="C130" s="133" t="s">
        <v>2448</v>
      </c>
      <c r="D130" s="155" t="s">
        <v>2324</v>
      </c>
      <c r="E130" s="154">
        <v>13</v>
      </c>
      <c r="F130" s="154">
        <v>9</v>
      </c>
      <c r="G130" s="154">
        <v>4</v>
      </c>
      <c r="H130" s="154">
        <v>0</v>
      </c>
      <c r="I130" s="154">
        <v>0</v>
      </c>
      <c r="J130" s="154">
        <v>0</v>
      </c>
      <c r="K130" s="154">
        <v>0.24399999999999999</v>
      </c>
      <c r="L130" s="154">
        <v>0.373</v>
      </c>
      <c r="M130" s="154">
        <v>0.51300000000000001</v>
      </c>
      <c r="N130" s="154">
        <v>0.71599999999999997</v>
      </c>
      <c r="O130" s="108">
        <f t="shared" si="5"/>
        <v>0.52868852459016402</v>
      </c>
      <c r="P130" s="108">
        <f t="shared" si="6"/>
        <v>0.37533512064343166</v>
      </c>
      <c r="Q130" s="108">
        <f t="shared" si="7"/>
        <v>0.39571150097465879</v>
      </c>
      <c r="S130" s="109">
        <f t="shared" si="8"/>
        <v>1.9344262295081966</v>
      </c>
      <c r="T130" s="109">
        <f t="shared" si="9"/>
        <v>0.91957104557640745</v>
      </c>
    </row>
    <row r="131" spans="1:20">
      <c r="A131" s="154">
        <v>654</v>
      </c>
      <c r="B131" s="156">
        <v>2850</v>
      </c>
      <c r="C131" s="133" t="s">
        <v>2449</v>
      </c>
      <c r="D131" s="155" t="s">
        <v>2324</v>
      </c>
      <c r="E131" s="154">
        <v>7</v>
      </c>
      <c r="F131" s="154">
        <v>6</v>
      </c>
      <c r="G131" s="154">
        <v>1</v>
      </c>
      <c r="H131" s="154">
        <v>0</v>
      </c>
      <c r="I131" s="154">
        <v>0</v>
      </c>
      <c r="J131" s="154">
        <v>0</v>
      </c>
      <c r="K131" s="154">
        <v>0.39200000000000002</v>
      </c>
      <c r="L131" s="154">
        <v>1.073</v>
      </c>
      <c r="M131" s="154">
        <v>1.4950000000000001</v>
      </c>
      <c r="N131" s="154">
        <v>2.0590000000000002</v>
      </c>
      <c r="O131" s="108">
        <f t="shared" ref="O131:O194" si="10">L131/K131-1</f>
        <v>1.7372448979591835</v>
      </c>
      <c r="P131" s="108">
        <f t="shared" ref="P131:P194" si="11">M131/L131-1</f>
        <v>0.39328984156570379</v>
      </c>
      <c r="Q131" s="108">
        <f t="shared" ref="Q131:Q194" si="12">N131/M131-1</f>
        <v>0.3772575250836121</v>
      </c>
      <c r="S131" s="109">
        <f t="shared" ref="S131:S194" si="13">N131/K131-1</f>
        <v>4.2525510204081636</v>
      </c>
      <c r="T131" s="109">
        <f t="shared" ref="T131:T194" si="14">N131/L131-1</f>
        <v>0.91891891891891908</v>
      </c>
    </row>
    <row r="132" spans="1:20">
      <c r="A132" s="154">
        <v>185</v>
      </c>
      <c r="B132" s="156">
        <v>2241</v>
      </c>
      <c r="C132" s="133" t="s">
        <v>2450</v>
      </c>
      <c r="D132" s="155" t="s">
        <v>2324</v>
      </c>
      <c r="E132" s="154">
        <v>23</v>
      </c>
      <c r="F132" s="154">
        <v>19</v>
      </c>
      <c r="G132" s="154">
        <v>4</v>
      </c>
      <c r="H132" s="154">
        <v>0</v>
      </c>
      <c r="I132" s="154">
        <v>0</v>
      </c>
      <c r="J132" s="154">
        <v>0</v>
      </c>
      <c r="K132" s="154">
        <v>0.26700000000000002</v>
      </c>
      <c r="L132" s="154">
        <v>0.39100000000000001</v>
      </c>
      <c r="M132" s="154">
        <v>0.57899999999999996</v>
      </c>
      <c r="N132" s="154">
        <v>0.749</v>
      </c>
      <c r="O132" s="108">
        <f t="shared" si="10"/>
        <v>0.46441947565543074</v>
      </c>
      <c r="P132" s="108">
        <f t="shared" si="11"/>
        <v>0.48081841432225048</v>
      </c>
      <c r="Q132" s="108">
        <f t="shared" si="12"/>
        <v>0.2936096718480139</v>
      </c>
      <c r="S132" s="109">
        <f t="shared" si="13"/>
        <v>1.8052434456928839</v>
      </c>
      <c r="T132" s="109">
        <f t="shared" si="14"/>
        <v>0.9156010230179028</v>
      </c>
    </row>
    <row r="133" spans="1:20">
      <c r="A133" s="154">
        <v>236</v>
      </c>
      <c r="B133" s="156">
        <v>600703</v>
      </c>
      <c r="C133" s="133" t="s">
        <v>2451</v>
      </c>
      <c r="D133" s="155" t="s">
        <v>2324</v>
      </c>
      <c r="E133" s="154">
        <v>20</v>
      </c>
      <c r="F133" s="154">
        <v>6</v>
      </c>
      <c r="G133" s="154">
        <v>14</v>
      </c>
      <c r="H133" s="154">
        <v>0</v>
      </c>
      <c r="I133" s="154">
        <v>0</v>
      </c>
      <c r="J133" s="154">
        <v>0</v>
      </c>
      <c r="K133" s="154">
        <v>0.69399999999999995</v>
      </c>
      <c r="L133" s="154">
        <v>0.36599999999999999</v>
      </c>
      <c r="M133" s="154">
        <v>0.52</v>
      </c>
      <c r="N133" s="154">
        <v>0.70099999999999996</v>
      </c>
      <c r="O133" s="108">
        <f t="shared" si="10"/>
        <v>-0.47262247838616711</v>
      </c>
      <c r="P133" s="108">
        <f t="shared" si="11"/>
        <v>0.42076502732240439</v>
      </c>
      <c r="Q133" s="108">
        <f t="shared" si="12"/>
        <v>0.34807692307692295</v>
      </c>
      <c r="S133" s="109">
        <f t="shared" si="13"/>
        <v>1.008645533141217E-2</v>
      </c>
      <c r="T133" s="109">
        <f t="shared" si="14"/>
        <v>0.91530054644808745</v>
      </c>
    </row>
    <row r="134" spans="1:20">
      <c r="A134" s="154">
        <v>259</v>
      </c>
      <c r="B134" s="156">
        <v>2920</v>
      </c>
      <c r="C134" s="133" t="s">
        <v>2452</v>
      </c>
      <c r="D134" s="155" t="s">
        <v>2324</v>
      </c>
      <c r="E134" s="154">
        <v>18</v>
      </c>
      <c r="F134" s="154">
        <v>4</v>
      </c>
      <c r="G134" s="154">
        <v>14</v>
      </c>
      <c r="H134" s="154">
        <v>0</v>
      </c>
      <c r="I134" s="154">
        <v>0</v>
      </c>
      <c r="J134" s="154">
        <v>0</v>
      </c>
      <c r="K134" s="154">
        <v>0.75700000000000001</v>
      </c>
      <c r="L134" s="154">
        <v>0.436</v>
      </c>
      <c r="M134" s="154">
        <v>0.60599999999999998</v>
      </c>
      <c r="N134" s="154">
        <v>0.83499999999999996</v>
      </c>
      <c r="O134" s="108">
        <f t="shared" si="10"/>
        <v>-0.42404227212681633</v>
      </c>
      <c r="P134" s="108">
        <f t="shared" si="11"/>
        <v>0.38990825688073394</v>
      </c>
      <c r="Q134" s="108">
        <f t="shared" si="12"/>
        <v>0.37788778877887785</v>
      </c>
      <c r="S134" s="109">
        <f t="shared" si="13"/>
        <v>0.1030383091149274</v>
      </c>
      <c r="T134" s="109">
        <f t="shared" si="14"/>
        <v>0.91513761467889898</v>
      </c>
    </row>
    <row r="135" spans="1:20">
      <c r="A135" s="154">
        <v>902</v>
      </c>
      <c r="B135" s="156">
        <v>2892</v>
      </c>
      <c r="C135" s="133" t="s">
        <v>2453</v>
      </c>
      <c r="D135" s="155" t="s">
        <v>2324</v>
      </c>
      <c r="E135" s="154">
        <v>4</v>
      </c>
      <c r="F135" s="154">
        <v>2</v>
      </c>
      <c r="G135" s="154">
        <v>2</v>
      </c>
      <c r="H135" s="154">
        <v>0</v>
      </c>
      <c r="I135" s="154">
        <v>0</v>
      </c>
      <c r="J135" s="154">
        <v>0</v>
      </c>
      <c r="K135" s="154">
        <v>0.48899999999999999</v>
      </c>
      <c r="L135" s="154">
        <v>0.85499999999999998</v>
      </c>
      <c r="M135" s="154">
        <v>1.26</v>
      </c>
      <c r="N135" s="154">
        <v>1.629</v>
      </c>
      <c r="O135" s="108">
        <f t="shared" si="10"/>
        <v>0.74846625766871155</v>
      </c>
      <c r="P135" s="108">
        <f t="shared" si="11"/>
        <v>0.47368421052631593</v>
      </c>
      <c r="Q135" s="108">
        <f t="shared" si="12"/>
        <v>0.29285714285714293</v>
      </c>
      <c r="S135" s="109">
        <f t="shared" si="13"/>
        <v>2.3312883435582821</v>
      </c>
      <c r="T135" s="109">
        <f t="shared" si="14"/>
        <v>0.90526315789473699</v>
      </c>
    </row>
    <row r="136" spans="1:20">
      <c r="A136" s="154">
        <v>196</v>
      </c>
      <c r="B136" s="156">
        <v>600984</v>
      </c>
      <c r="C136" s="133" t="s">
        <v>2454</v>
      </c>
      <c r="D136" s="155" t="s">
        <v>2324</v>
      </c>
      <c r="E136" s="154">
        <v>22</v>
      </c>
      <c r="F136" s="154">
        <v>18</v>
      </c>
      <c r="G136" s="154">
        <v>4</v>
      </c>
      <c r="H136" s="154">
        <v>0</v>
      </c>
      <c r="I136" s="154">
        <v>0</v>
      </c>
      <c r="J136" s="154">
        <v>0</v>
      </c>
      <c r="K136" s="154">
        <v>0.185</v>
      </c>
      <c r="L136" s="154">
        <v>0.625</v>
      </c>
      <c r="M136" s="154">
        <v>0.92500000000000004</v>
      </c>
      <c r="N136" s="154">
        <v>1.1879999999999999</v>
      </c>
      <c r="O136" s="108">
        <f t="shared" si="10"/>
        <v>2.3783783783783785</v>
      </c>
      <c r="P136" s="108">
        <f t="shared" si="11"/>
        <v>0.48</v>
      </c>
      <c r="Q136" s="108">
        <f t="shared" si="12"/>
        <v>0.28432432432432431</v>
      </c>
      <c r="S136" s="109">
        <f t="shared" si="13"/>
        <v>5.4216216216216218</v>
      </c>
      <c r="T136" s="109">
        <f t="shared" si="14"/>
        <v>0.90079999999999982</v>
      </c>
    </row>
    <row r="137" spans="1:20">
      <c r="A137" s="154">
        <v>730</v>
      </c>
      <c r="B137" s="156">
        <v>603186</v>
      </c>
      <c r="C137" s="133" t="s">
        <v>2455</v>
      </c>
      <c r="D137" s="155" t="s">
        <v>2324</v>
      </c>
      <c r="E137" s="154">
        <v>6</v>
      </c>
      <c r="F137" s="154">
        <v>2</v>
      </c>
      <c r="G137" s="154">
        <v>4</v>
      </c>
      <c r="H137" s="154">
        <v>0</v>
      </c>
      <c r="I137" s="154">
        <v>0</v>
      </c>
      <c r="J137" s="154">
        <v>0</v>
      </c>
      <c r="K137" s="154">
        <v>0.57999999999999996</v>
      </c>
      <c r="L137" s="154">
        <v>0.91900000000000004</v>
      </c>
      <c r="M137" s="154">
        <v>1.325</v>
      </c>
      <c r="N137" s="154">
        <v>1.746</v>
      </c>
      <c r="O137" s="108">
        <f t="shared" si="10"/>
        <v>0.58448275862068977</v>
      </c>
      <c r="P137" s="108">
        <f t="shared" si="11"/>
        <v>0.44178454842219783</v>
      </c>
      <c r="Q137" s="108">
        <f t="shared" si="12"/>
        <v>0.31773584905660379</v>
      </c>
      <c r="S137" s="109">
        <f t="shared" si="13"/>
        <v>2.010344827586207</v>
      </c>
      <c r="T137" s="109">
        <f t="shared" si="14"/>
        <v>0.89989118607181706</v>
      </c>
    </row>
    <row r="138" spans="1:20">
      <c r="A138" s="154">
        <v>126</v>
      </c>
      <c r="B138" s="156">
        <v>600466</v>
      </c>
      <c r="C138" s="133" t="s">
        <v>2456</v>
      </c>
      <c r="D138" s="155" t="s">
        <v>2324</v>
      </c>
      <c r="E138" s="154">
        <v>28</v>
      </c>
      <c r="F138" s="154">
        <v>26</v>
      </c>
      <c r="G138" s="154">
        <v>2</v>
      </c>
      <c r="H138" s="154">
        <v>0</v>
      </c>
      <c r="I138" s="154">
        <v>0</v>
      </c>
      <c r="J138" s="154">
        <v>0</v>
      </c>
      <c r="K138" s="154">
        <v>0.73799999999999999</v>
      </c>
      <c r="L138" s="154">
        <v>1.1259999999999999</v>
      </c>
      <c r="M138" s="154">
        <v>1.6859999999999999</v>
      </c>
      <c r="N138" s="154">
        <v>2.1379999999999999</v>
      </c>
      <c r="O138" s="108">
        <f t="shared" si="10"/>
        <v>0.5257452574525745</v>
      </c>
      <c r="P138" s="108">
        <f t="shared" si="11"/>
        <v>0.49733570159857909</v>
      </c>
      <c r="Q138" s="108">
        <f t="shared" si="12"/>
        <v>0.26809015421115068</v>
      </c>
      <c r="S138" s="109">
        <f t="shared" si="13"/>
        <v>1.897018970189702</v>
      </c>
      <c r="T138" s="109">
        <f t="shared" si="14"/>
        <v>0.89875666074600358</v>
      </c>
    </row>
    <row r="139" spans="1:20">
      <c r="A139" s="154">
        <v>451</v>
      </c>
      <c r="B139" s="156">
        <v>603019</v>
      </c>
      <c r="C139" s="133" t="s">
        <v>2457</v>
      </c>
      <c r="D139" s="155" t="s">
        <v>2324</v>
      </c>
      <c r="E139" s="154">
        <v>11</v>
      </c>
      <c r="F139" s="154">
        <v>4</v>
      </c>
      <c r="G139" s="154">
        <v>7</v>
      </c>
      <c r="H139" s="154">
        <v>0</v>
      </c>
      <c r="I139" s="154">
        <v>0</v>
      </c>
      <c r="J139" s="154">
        <v>0</v>
      </c>
      <c r="K139" s="154">
        <v>0.47799999999999998</v>
      </c>
      <c r="L139" s="154">
        <v>0.61799999999999999</v>
      </c>
      <c r="M139" s="154">
        <v>0.85299999999999998</v>
      </c>
      <c r="N139" s="154">
        <v>1.173</v>
      </c>
      <c r="O139" s="108">
        <f t="shared" si="10"/>
        <v>0.29288702928870292</v>
      </c>
      <c r="P139" s="108">
        <f t="shared" si="11"/>
        <v>0.38025889967637538</v>
      </c>
      <c r="Q139" s="108">
        <f t="shared" si="12"/>
        <v>0.37514654161781946</v>
      </c>
      <c r="S139" s="109">
        <f t="shared" si="13"/>
        <v>1.4539748953974896</v>
      </c>
      <c r="T139" s="109">
        <f t="shared" si="14"/>
        <v>0.89805825242718451</v>
      </c>
    </row>
    <row r="140" spans="1:20">
      <c r="A140" s="154">
        <v>299</v>
      </c>
      <c r="B140" s="156">
        <v>603127</v>
      </c>
      <c r="C140" s="133" t="s">
        <v>2458</v>
      </c>
      <c r="D140" s="155" t="s">
        <v>2324</v>
      </c>
      <c r="E140" s="154">
        <v>16</v>
      </c>
      <c r="F140" s="154">
        <v>9</v>
      </c>
      <c r="G140" s="154">
        <v>7</v>
      </c>
      <c r="H140" s="154">
        <v>0</v>
      </c>
      <c r="I140" s="154">
        <v>0</v>
      </c>
      <c r="J140" s="154">
        <v>0</v>
      </c>
      <c r="K140" s="154">
        <v>0.67</v>
      </c>
      <c r="L140" s="154">
        <v>0.95599999999999996</v>
      </c>
      <c r="M140" s="154">
        <v>1.333</v>
      </c>
      <c r="N140" s="154">
        <v>1.8109999999999999</v>
      </c>
      <c r="O140" s="108">
        <f t="shared" si="10"/>
        <v>0.4268656716417909</v>
      </c>
      <c r="P140" s="108">
        <f t="shared" si="11"/>
        <v>0.39435146443514646</v>
      </c>
      <c r="Q140" s="108">
        <f t="shared" si="12"/>
        <v>0.35858964741185306</v>
      </c>
      <c r="S140" s="109">
        <f t="shared" si="13"/>
        <v>1.7029850746268655</v>
      </c>
      <c r="T140" s="109">
        <f t="shared" si="14"/>
        <v>0.89435146443514646</v>
      </c>
    </row>
    <row r="141" spans="1:20">
      <c r="A141" s="154">
        <v>649</v>
      </c>
      <c r="B141" s="156">
        <v>300685</v>
      </c>
      <c r="C141" s="133" t="s">
        <v>2459</v>
      </c>
      <c r="D141" s="155" t="s">
        <v>2324</v>
      </c>
      <c r="E141" s="154">
        <v>7</v>
      </c>
      <c r="F141" s="154">
        <v>6</v>
      </c>
      <c r="G141" s="154">
        <v>1</v>
      </c>
      <c r="H141" s="154">
        <v>0</v>
      </c>
      <c r="I141" s="154">
        <v>0</v>
      </c>
      <c r="J141" s="154">
        <v>0</v>
      </c>
      <c r="K141" s="154">
        <v>0.86099999999999999</v>
      </c>
      <c r="L141" s="154">
        <v>0.97599999999999998</v>
      </c>
      <c r="M141" s="154">
        <v>1.355</v>
      </c>
      <c r="N141" s="154">
        <v>1.8480000000000001</v>
      </c>
      <c r="O141" s="108">
        <f t="shared" si="10"/>
        <v>0.13356562137049943</v>
      </c>
      <c r="P141" s="108">
        <f t="shared" si="11"/>
        <v>0.38831967213114749</v>
      </c>
      <c r="Q141" s="108">
        <f t="shared" si="12"/>
        <v>0.36383763837638394</v>
      </c>
      <c r="S141" s="109">
        <f t="shared" si="13"/>
        <v>1.1463414634146343</v>
      </c>
      <c r="T141" s="109">
        <f t="shared" si="14"/>
        <v>0.89344262295081989</v>
      </c>
    </row>
    <row r="142" spans="1:20">
      <c r="A142" s="154">
        <v>815</v>
      </c>
      <c r="B142" s="156">
        <v>300578</v>
      </c>
      <c r="C142" s="133" t="s">
        <v>2460</v>
      </c>
      <c r="D142" s="155" t="s">
        <v>2324</v>
      </c>
      <c r="E142" s="154">
        <v>5</v>
      </c>
      <c r="F142" s="154">
        <v>3</v>
      </c>
      <c r="G142" s="154">
        <v>2</v>
      </c>
      <c r="H142" s="154">
        <v>0</v>
      </c>
      <c r="I142" s="154">
        <v>0</v>
      </c>
      <c r="J142" s="154">
        <v>0</v>
      </c>
      <c r="K142" s="154">
        <v>9.2999999999999999E-2</v>
      </c>
      <c r="L142" s="154">
        <v>0.85699999999999998</v>
      </c>
      <c r="M142" s="154">
        <v>1.2230000000000001</v>
      </c>
      <c r="N142" s="154">
        <v>1.621</v>
      </c>
      <c r="O142" s="108">
        <f t="shared" si="10"/>
        <v>8.21505376344086</v>
      </c>
      <c r="P142" s="108">
        <f t="shared" si="11"/>
        <v>0.42707117852975518</v>
      </c>
      <c r="Q142" s="108">
        <f t="shared" si="12"/>
        <v>0.32542927228127549</v>
      </c>
      <c r="S142" s="109">
        <f t="shared" si="13"/>
        <v>16.43010752688172</v>
      </c>
      <c r="T142" s="109">
        <f t="shared" si="14"/>
        <v>0.89148191365227536</v>
      </c>
    </row>
    <row r="143" spans="1:20">
      <c r="A143" s="154">
        <v>511</v>
      </c>
      <c r="B143" s="156">
        <v>300684</v>
      </c>
      <c r="C143" s="133" t="s">
        <v>2461</v>
      </c>
      <c r="D143" s="155" t="s">
        <v>2324</v>
      </c>
      <c r="E143" s="154">
        <v>9</v>
      </c>
      <c r="F143" s="154">
        <v>9</v>
      </c>
      <c r="G143" s="154">
        <v>0</v>
      </c>
      <c r="H143" s="154">
        <v>0</v>
      </c>
      <c r="I143" s="154">
        <v>0</v>
      </c>
      <c r="J143" s="154">
        <v>0</v>
      </c>
      <c r="K143" s="154">
        <v>0.55800000000000005</v>
      </c>
      <c r="L143" s="154">
        <v>0.63600000000000001</v>
      </c>
      <c r="M143" s="154">
        <v>0.90800000000000003</v>
      </c>
      <c r="N143" s="154">
        <v>1.2010000000000001</v>
      </c>
      <c r="O143" s="108">
        <f t="shared" si="10"/>
        <v>0.13978494623655902</v>
      </c>
      <c r="P143" s="108">
        <f t="shared" si="11"/>
        <v>0.42767295597484289</v>
      </c>
      <c r="Q143" s="108">
        <f t="shared" si="12"/>
        <v>0.32268722466960353</v>
      </c>
      <c r="S143" s="109">
        <f t="shared" si="13"/>
        <v>1.1523297491039424</v>
      </c>
      <c r="T143" s="109">
        <f t="shared" si="14"/>
        <v>0.88836477987421381</v>
      </c>
    </row>
    <row r="144" spans="1:20">
      <c r="A144" s="154">
        <v>652</v>
      </c>
      <c r="B144" s="156">
        <v>300609</v>
      </c>
      <c r="C144" s="133" t="s">
        <v>2462</v>
      </c>
      <c r="D144" s="155" t="s">
        <v>2324</v>
      </c>
      <c r="E144" s="154">
        <v>7</v>
      </c>
      <c r="F144" s="154">
        <v>6</v>
      </c>
      <c r="G144" s="154">
        <v>1</v>
      </c>
      <c r="H144" s="154">
        <v>0</v>
      </c>
      <c r="I144" s="154">
        <v>0</v>
      </c>
      <c r="J144" s="154">
        <v>0</v>
      </c>
      <c r="K144" s="154">
        <v>0.64800000000000002</v>
      </c>
      <c r="L144" s="154">
        <v>0.877</v>
      </c>
      <c r="M144" s="154">
        <v>1.2</v>
      </c>
      <c r="N144" s="154">
        <v>1.6559999999999999</v>
      </c>
      <c r="O144" s="108">
        <f t="shared" si="10"/>
        <v>0.35339506172839497</v>
      </c>
      <c r="P144" s="108">
        <f t="shared" si="11"/>
        <v>0.36830102622576955</v>
      </c>
      <c r="Q144" s="108">
        <f t="shared" si="12"/>
        <v>0.37999999999999989</v>
      </c>
      <c r="S144" s="109">
        <f t="shared" si="13"/>
        <v>1.5555555555555554</v>
      </c>
      <c r="T144" s="109">
        <f t="shared" si="14"/>
        <v>0.88825541619156212</v>
      </c>
    </row>
    <row r="145" spans="1:20">
      <c r="A145" s="154">
        <v>732</v>
      </c>
      <c r="B145" s="156">
        <v>300575</v>
      </c>
      <c r="C145" s="133" t="s">
        <v>2463</v>
      </c>
      <c r="D145" s="155" t="s">
        <v>2324</v>
      </c>
      <c r="E145" s="154">
        <v>6</v>
      </c>
      <c r="F145" s="154">
        <v>5</v>
      </c>
      <c r="G145" s="154">
        <v>1</v>
      </c>
      <c r="H145" s="154">
        <v>0</v>
      </c>
      <c r="I145" s="154">
        <v>0</v>
      </c>
      <c r="J145" s="154">
        <v>0</v>
      </c>
      <c r="K145" s="154">
        <v>1.5840000000000001</v>
      </c>
      <c r="L145" s="154">
        <v>1.738</v>
      </c>
      <c r="M145" s="154">
        <v>2.6230000000000002</v>
      </c>
      <c r="N145" s="154">
        <v>3.2669999999999999</v>
      </c>
      <c r="O145" s="108">
        <f t="shared" si="10"/>
        <v>9.7222222222222099E-2</v>
      </c>
      <c r="P145" s="108">
        <f t="shared" si="11"/>
        <v>0.50920598388952842</v>
      </c>
      <c r="Q145" s="108">
        <f t="shared" si="12"/>
        <v>0.24552039649256563</v>
      </c>
      <c r="S145" s="109">
        <f t="shared" si="13"/>
        <v>1.0625</v>
      </c>
      <c r="T145" s="109">
        <f t="shared" si="14"/>
        <v>0.879746835443038</v>
      </c>
    </row>
    <row r="146" spans="1:20">
      <c r="A146" s="154">
        <v>737</v>
      </c>
      <c r="B146" s="156">
        <v>300545</v>
      </c>
      <c r="C146" s="133" t="s">
        <v>2464</v>
      </c>
      <c r="D146" s="155" t="s">
        <v>2324</v>
      </c>
      <c r="E146" s="154">
        <v>6</v>
      </c>
      <c r="F146" s="154">
        <v>6</v>
      </c>
      <c r="G146" s="154">
        <v>0</v>
      </c>
      <c r="H146" s="154">
        <v>0</v>
      </c>
      <c r="I146" s="154">
        <v>0</v>
      </c>
      <c r="J146" s="154">
        <v>0</v>
      </c>
      <c r="K146" s="154">
        <v>0.59199999999999997</v>
      </c>
      <c r="L146" s="154">
        <v>0.72899999999999998</v>
      </c>
      <c r="M146" s="154">
        <v>0.96199999999999997</v>
      </c>
      <c r="N146" s="154">
        <v>1.37</v>
      </c>
      <c r="O146" s="108">
        <f t="shared" si="10"/>
        <v>0.23141891891891886</v>
      </c>
      <c r="P146" s="108">
        <f t="shared" si="11"/>
        <v>0.31961591220850472</v>
      </c>
      <c r="Q146" s="108">
        <f t="shared" si="12"/>
        <v>0.42411642411642436</v>
      </c>
      <c r="S146" s="109">
        <f t="shared" si="13"/>
        <v>1.3141891891891895</v>
      </c>
      <c r="T146" s="109">
        <f t="shared" si="14"/>
        <v>0.87928669410150917</v>
      </c>
    </row>
    <row r="147" spans="1:20">
      <c r="A147" s="154">
        <v>96</v>
      </c>
      <c r="B147" s="156">
        <v>300661</v>
      </c>
      <c r="C147" s="133" t="s">
        <v>2465</v>
      </c>
      <c r="D147" s="155" t="s">
        <v>2324</v>
      </c>
      <c r="E147" s="154">
        <v>31</v>
      </c>
      <c r="F147" s="154">
        <v>23</v>
      </c>
      <c r="G147" s="154">
        <v>8</v>
      </c>
      <c r="H147" s="154">
        <v>0</v>
      </c>
      <c r="I147" s="154">
        <v>0</v>
      </c>
      <c r="J147" s="154">
        <v>0</v>
      </c>
      <c r="K147" s="154">
        <v>1.0009999999999999</v>
      </c>
      <c r="L147" s="154">
        <v>1.5529999999999999</v>
      </c>
      <c r="M147" s="154">
        <v>2.1709999999999998</v>
      </c>
      <c r="N147" s="154">
        <v>2.9169999999999998</v>
      </c>
      <c r="O147" s="108">
        <f t="shared" si="10"/>
        <v>0.55144855144855165</v>
      </c>
      <c r="P147" s="108">
        <f t="shared" si="11"/>
        <v>0.39793947198969737</v>
      </c>
      <c r="Q147" s="108">
        <f t="shared" si="12"/>
        <v>0.34362045140488262</v>
      </c>
      <c r="S147" s="109">
        <f t="shared" si="13"/>
        <v>1.9140859140859141</v>
      </c>
      <c r="T147" s="109">
        <f t="shared" si="14"/>
        <v>0.87830006439150021</v>
      </c>
    </row>
    <row r="148" spans="1:20">
      <c r="A148" s="154">
        <v>280</v>
      </c>
      <c r="B148" s="156">
        <v>300751</v>
      </c>
      <c r="C148" s="133" t="s">
        <v>2466</v>
      </c>
      <c r="D148" s="155" t="s">
        <v>2324</v>
      </c>
      <c r="E148" s="154">
        <v>17</v>
      </c>
      <c r="F148" s="154">
        <v>9</v>
      </c>
      <c r="G148" s="154">
        <v>7</v>
      </c>
      <c r="H148" s="154">
        <v>1</v>
      </c>
      <c r="I148" s="154">
        <v>0</v>
      </c>
      <c r="J148" s="154">
        <v>0</v>
      </c>
      <c r="K148" s="154">
        <v>3.2869999999999999</v>
      </c>
      <c r="L148" s="154">
        <v>5.0449999999999999</v>
      </c>
      <c r="M148" s="154">
        <v>7.3609999999999998</v>
      </c>
      <c r="N148" s="154">
        <v>9.4749999999999996</v>
      </c>
      <c r="O148" s="108">
        <f t="shared" si="10"/>
        <v>0.53483419531487675</v>
      </c>
      <c r="P148" s="108">
        <f t="shared" si="11"/>
        <v>0.45906838453914767</v>
      </c>
      <c r="Q148" s="108">
        <f t="shared" si="12"/>
        <v>0.28718924059231088</v>
      </c>
      <c r="S148" s="109">
        <f t="shared" si="13"/>
        <v>1.8825676909035596</v>
      </c>
      <c r="T148" s="109">
        <f t="shared" si="14"/>
        <v>0.87809712586719524</v>
      </c>
    </row>
    <row r="149" spans="1:20">
      <c r="A149" s="154">
        <v>789</v>
      </c>
      <c r="B149" s="156">
        <v>688018</v>
      </c>
      <c r="C149" s="133" t="s">
        <v>2467</v>
      </c>
      <c r="D149" s="155" t="s">
        <v>2324</v>
      </c>
      <c r="E149" s="154">
        <v>5</v>
      </c>
      <c r="F149" s="154">
        <v>3</v>
      </c>
      <c r="G149" s="154">
        <v>2</v>
      </c>
      <c r="H149" s="154">
        <v>0</v>
      </c>
      <c r="I149" s="154">
        <v>0</v>
      </c>
      <c r="J149" s="154">
        <v>0</v>
      </c>
      <c r="K149" s="154">
        <v>1.173</v>
      </c>
      <c r="L149" s="154">
        <v>1.7430000000000001</v>
      </c>
      <c r="M149" s="154">
        <v>2.4620000000000002</v>
      </c>
      <c r="N149" s="154">
        <v>3.2650000000000001</v>
      </c>
      <c r="O149" s="108">
        <f t="shared" si="10"/>
        <v>0.48593350383631706</v>
      </c>
      <c r="P149" s="108">
        <f t="shared" si="11"/>
        <v>0.41250717154331618</v>
      </c>
      <c r="Q149" s="108">
        <f t="shared" si="12"/>
        <v>0.32615759545085288</v>
      </c>
      <c r="S149" s="109">
        <f t="shared" si="13"/>
        <v>1.7834612105711849</v>
      </c>
      <c r="T149" s="109">
        <f t="shared" si="14"/>
        <v>0.87320711417096963</v>
      </c>
    </row>
    <row r="150" spans="1:20">
      <c r="A150" s="154">
        <v>686</v>
      </c>
      <c r="B150" s="156">
        <v>2250</v>
      </c>
      <c r="C150" s="133" t="s">
        <v>2468</v>
      </c>
      <c r="D150" s="155" t="s">
        <v>2324</v>
      </c>
      <c r="E150" s="154">
        <v>7</v>
      </c>
      <c r="F150" s="154">
        <v>6</v>
      </c>
      <c r="G150" s="154">
        <v>1</v>
      </c>
      <c r="H150" s="154">
        <v>0</v>
      </c>
      <c r="I150" s="154">
        <v>0</v>
      </c>
      <c r="J150" s="154">
        <v>0</v>
      </c>
      <c r="K150" s="154">
        <v>4.1000000000000002E-2</v>
      </c>
      <c r="L150" s="154">
        <v>0.43099999999999999</v>
      </c>
      <c r="M150" s="154">
        <v>0.64100000000000001</v>
      </c>
      <c r="N150" s="154">
        <v>0.80700000000000005</v>
      </c>
      <c r="O150" s="108">
        <f t="shared" si="10"/>
        <v>9.5121951219512191</v>
      </c>
      <c r="P150" s="108">
        <f t="shared" si="11"/>
        <v>0.48723897911832958</v>
      </c>
      <c r="Q150" s="108">
        <f t="shared" si="12"/>
        <v>0.2589703588143526</v>
      </c>
      <c r="S150" s="109">
        <f t="shared" si="13"/>
        <v>18.682926829268293</v>
      </c>
      <c r="T150" s="109">
        <f t="shared" si="14"/>
        <v>0.87238979118329474</v>
      </c>
    </row>
    <row r="151" spans="1:20">
      <c r="A151" s="154">
        <v>482</v>
      </c>
      <c r="B151" s="156">
        <v>603688</v>
      </c>
      <c r="C151" s="133" t="s">
        <v>2469</v>
      </c>
      <c r="D151" s="155" t="s">
        <v>2324</v>
      </c>
      <c r="E151" s="154">
        <v>10</v>
      </c>
      <c r="F151" s="154">
        <v>9</v>
      </c>
      <c r="G151" s="154">
        <v>1</v>
      </c>
      <c r="H151" s="154">
        <v>0</v>
      </c>
      <c r="I151" s="154">
        <v>0</v>
      </c>
      <c r="J151" s="154">
        <v>0</v>
      </c>
      <c r="K151" s="154">
        <v>0.42199999999999999</v>
      </c>
      <c r="L151" s="154">
        <v>0.53400000000000003</v>
      </c>
      <c r="M151" s="154">
        <v>0.753</v>
      </c>
      <c r="N151" s="154">
        <v>0.998</v>
      </c>
      <c r="O151" s="108">
        <f t="shared" si="10"/>
        <v>0.26540284360189581</v>
      </c>
      <c r="P151" s="108">
        <f t="shared" si="11"/>
        <v>0.4101123595505618</v>
      </c>
      <c r="Q151" s="108">
        <f t="shared" si="12"/>
        <v>0.32536520584329343</v>
      </c>
      <c r="S151" s="109">
        <f t="shared" si="13"/>
        <v>1.3649289099526065</v>
      </c>
      <c r="T151" s="109">
        <f t="shared" si="14"/>
        <v>0.86891385767790252</v>
      </c>
    </row>
    <row r="152" spans="1:20">
      <c r="A152" s="154">
        <v>786</v>
      </c>
      <c r="B152" s="156">
        <v>2838</v>
      </c>
      <c r="C152" s="133" t="s">
        <v>2470</v>
      </c>
      <c r="D152" s="155" t="s">
        <v>2324</v>
      </c>
      <c r="E152" s="154">
        <v>5</v>
      </c>
      <c r="F152" s="154">
        <v>4</v>
      </c>
      <c r="G152" s="154">
        <v>1</v>
      </c>
      <c r="H152" s="154">
        <v>0</v>
      </c>
      <c r="I152" s="154">
        <v>0</v>
      </c>
      <c r="J152" s="154">
        <v>0</v>
      </c>
      <c r="K152" s="154">
        <v>0.30099999999999999</v>
      </c>
      <c r="L152" s="154">
        <v>0.44800000000000001</v>
      </c>
      <c r="M152" s="154">
        <v>0.63100000000000001</v>
      </c>
      <c r="N152" s="154">
        <v>0.83699999999999997</v>
      </c>
      <c r="O152" s="108">
        <f t="shared" si="10"/>
        <v>0.48837209302325579</v>
      </c>
      <c r="P152" s="108">
        <f t="shared" si="11"/>
        <v>0.40848214285714279</v>
      </c>
      <c r="Q152" s="108">
        <f t="shared" si="12"/>
        <v>0.32646592709984135</v>
      </c>
      <c r="S152" s="109">
        <f t="shared" si="13"/>
        <v>1.7807308970099669</v>
      </c>
      <c r="T152" s="109">
        <f t="shared" si="14"/>
        <v>0.8683035714285714</v>
      </c>
    </row>
    <row r="153" spans="1:20">
      <c r="A153" s="154">
        <v>644</v>
      </c>
      <c r="B153" s="156">
        <v>603538</v>
      </c>
      <c r="C153" s="133" t="s">
        <v>2471</v>
      </c>
      <c r="D153" s="155" t="s">
        <v>2324</v>
      </c>
      <c r="E153" s="154">
        <v>7</v>
      </c>
      <c r="F153" s="154">
        <v>3</v>
      </c>
      <c r="G153" s="154">
        <v>4</v>
      </c>
      <c r="H153" s="154">
        <v>0</v>
      </c>
      <c r="I153" s="154">
        <v>0</v>
      </c>
      <c r="J153" s="154">
        <v>0</v>
      </c>
      <c r="K153" s="154">
        <v>0.64400000000000002</v>
      </c>
      <c r="L153" s="154">
        <v>1.0649999999999999</v>
      </c>
      <c r="M153" s="154">
        <v>1.4630000000000001</v>
      </c>
      <c r="N153" s="154">
        <v>1.988</v>
      </c>
      <c r="O153" s="108">
        <f t="shared" si="10"/>
        <v>0.65372670807453415</v>
      </c>
      <c r="P153" s="108">
        <f t="shared" si="11"/>
        <v>0.37370892018779367</v>
      </c>
      <c r="Q153" s="108">
        <f t="shared" si="12"/>
        <v>0.35885167464114831</v>
      </c>
      <c r="S153" s="109">
        <f t="shared" si="13"/>
        <v>2.0869565217391304</v>
      </c>
      <c r="T153" s="109">
        <f t="shared" si="14"/>
        <v>0.8666666666666667</v>
      </c>
    </row>
    <row r="154" spans="1:20">
      <c r="A154" s="154">
        <v>907</v>
      </c>
      <c r="B154" s="156">
        <v>603225</v>
      </c>
      <c r="C154" s="133" t="s">
        <v>1610</v>
      </c>
      <c r="D154" s="155" t="s">
        <v>2324</v>
      </c>
      <c r="E154" s="154">
        <v>4</v>
      </c>
      <c r="F154" s="154">
        <v>0</v>
      </c>
      <c r="G154" s="154">
        <v>4</v>
      </c>
      <c r="H154" s="154">
        <v>0</v>
      </c>
      <c r="I154" s="154">
        <v>0</v>
      </c>
      <c r="J154" s="154">
        <v>0</v>
      </c>
      <c r="K154" s="154">
        <v>1.0169999999999999</v>
      </c>
      <c r="L154" s="154">
        <v>1.091</v>
      </c>
      <c r="M154" s="154">
        <v>1.649</v>
      </c>
      <c r="N154" s="154">
        <v>2.0310000000000001</v>
      </c>
      <c r="O154" s="108">
        <f t="shared" si="10"/>
        <v>7.2763028515240968E-2</v>
      </c>
      <c r="P154" s="108">
        <f t="shared" si="11"/>
        <v>0.51145737855178752</v>
      </c>
      <c r="Q154" s="108">
        <f t="shared" si="12"/>
        <v>0.2316555488174652</v>
      </c>
      <c r="S154" s="109">
        <f t="shared" si="13"/>
        <v>0.99705014749262566</v>
      </c>
      <c r="T154" s="109">
        <f t="shared" si="14"/>
        <v>0.86159486709440891</v>
      </c>
    </row>
    <row r="155" spans="1:20">
      <c r="A155" s="154">
        <v>105</v>
      </c>
      <c r="B155" s="156">
        <v>2747</v>
      </c>
      <c r="C155" s="133" t="s">
        <v>2472</v>
      </c>
      <c r="D155" s="155" t="s">
        <v>2324</v>
      </c>
      <c r="E155" s="154">
        <v>30</v>
      </c>
      <c r="F155" s="154">
        <v>14</v>
      </c>
      <c r="G155" s="154">
        <v>16</v>
      </c>
      <c r="H155" s="154">
        <v>0</v>
      </c>
      <c r="I155" s="154">
        <v>0</v>
      </c>
      <c r="J155" s="154">
        <v>0</v>
      </c>
      <c r="K155" s="154">
        <v>0.12</v>
      </c>
      <c r="L155" s="154">
        <v>0.13</v>
      </c>
      <c r="M155" s="154">
        <v>0.182</v>
      </c>
      <c r="N155" s="154">
        <v>0.24199999999999999</v>
      </c>
      <c r="O155" s="108">
        <f t="shared" si="10"/>
        <v>8.3333333333333481E-2</v>
      </c>
      <c r="P155" s="108">
        <f t="shared" si="11"/>
        <v>0.39999999999999991</v>
      </c>
      <c r="Q155" s="108">
        <f t="shared" si="12"/>
        <v>0.32967032967032961</v>
      </c>
      <c r="S155" s="109">
        <f t="shared" si="13"/>
        <v>1.0166666666666666</v>
      </c>
      <c r="T155" s="109">
        <f t="shared" si="14"/>
        <v>0.86153846153846136</v>
      </c>
    </row>
    <row r="156" spans="1:20">
      <c r="A156" s="154">
        <v>403</v>
      </c>
      <c r="B156" s="156">
        <v>603713</v>
      </c>
      <c r="C156" s="133" t="s">
        <v>2473</v>
      </c>
      <c r="D156" s="155" t="s">
        <v>2324</v>
      </c>
      <c r="E156" s="154">
        <v>12</v>
      </c>
      <c r="F156" s="154">
        <v>6</v>
      </c>
      <c r="G156" s="154">
        <v>6</v>
      </c>
      <c r="H156" s="154">
        <v>0</v>
      </c>
      <c r="I156" s="154">
        <v>0</v>
      </c>
      <c r="J156" s="154">
        <v>0</v>
      </c>
      <c r="K156" s="154">
        <v>0.85399999999999998</v>
      </c>
      <c r="L156" s="154">
        <v>1.2470000000000001</v>
      </c>
      <c r="M156" s="154">
        <v>1.7270000000000001</v>
      </c>
      <c r="N156" s="154">
        <v>2.3210000000000002</v>
      </c>
      <c r="O156" s="108">
        <f t="shared" si="10"/>
        <v>0.46018735362997676</v>
      </c>
      <c r="P156" s="108">
        <f t="shared" si="11"/>
        <v>0.38492381716118684</v>
      </c>
      <c r="Q156" s="108">
        <f t="shared" si="12"/>
        <v>0.34394904458598718</v>
      </c>
      <c r="S156" s="109">
        <f t="shared" si="13"/>
        <v>1.7177985948477756</v>
      </c>
      <c r="T156" s="109">
        <f t="shared" si="14"/>
        <v>0.86126704089815553</v>
      </c>
    </row>
    <row r="157" spans="1:20">
      <c r="A157" s="154">
        <v>70</v>
      </c>
      <c r="B157" s="156">
        <v>603986</v>
      </c>
      <c r="C157" s="133" t="s">
        <v>2474</v>
      </c>
      <c r="D157" s="155" t="s">
        <v>2324</v>
      </c>
      <c r="E157" s="154">
        <v>34</v>
      </c>
      <c r="F157" s="154">
        <v>26</v>
      </c>
      <c r="G157" s="154">
        <v>8</v>
      </c>
      <c r="H157" s="154">
        <v>0</v>
      </c>
      <c r="I157" s="154">
        <v>0</v>
      </c>
      <c r="J157" s="154">
        <v>0</v>
      </c>
      <c r="K157" s="154">
        <v>1.2609999999999999</v>
      </c>
      <c r="L157" s="154">
        <v>1.913</v>
      </c>
      <c r="M157" s="154">
        <v>2.7480000000000002</v>
      </c>
      <c r="N157" s="154">
        <v>3.5590000000000002</v>
      </c>
      <c r="O157" s="108">
        <f t="shared" si="10"/>
        <v>0.51704996034892958</v>
      </c>
      <c r="P157" s="108">
        <f t="shared" si="11"/>
        <v>0.43648719289074767</v>
      </c>
      <c r="Q157" s="108">
        <f t="shared" si="12"/>
        <v>0.29512372634643369</v>
      </c>
      <c r="S157" s="109">
        <f t="shared" si="13"/>
        <v>1.822363203806503</v>
      </c>
      <c r="T157" s="109">
        <f t="shared" si="14"/>
        <v>0.86042864610559344</v>
      </c>
    </row>
    <row r="158" spans="1:20">
      <c r="A158" s="154">
        <v>744</v>
      </c>
      <c r="B158" s="156">
        <v>300579</v>
      </c>
      <c r="C158" s="133" t="s">
        <v>2475</v>
      </c>
      <c r="D158" s="155" t="s">
        <v>2324</v>
      </c>
      <c r="E158" s="154">
        <v>6</v>
      </c>
      <c r="F158" s="154">
        <v>0</v>
      </c>
      <c r="G158" s="154">
        <v>6</v>
      </c>
      <c r="H158" s="154">
        <v>0</v>
      </c>
      <c r="I158" s="154">
        <v>0</v>
      </c>
      <c r="J158" s="154">
        <v>0</v>
      </c>
      <c r="K158" s="154">
        <v>0.48</v>
      </c>
      <c r="L158" s="154">
        <v>0.56899999999999995</v>
      </c>
      <c r="M158" s="154">
        <v>0.77500000000000002</v>
      </c>
      <c r="N158" s="154">
        <v>1.0580000000000001</v>
      </c>
      <c r="O158" s="108">
        <f t="shared" si="10"/>
        <v>0.18541666666666656</v>
      </c>
      <c r="P158" s="108">
        <f t="shared" si="11"/>
        <v>0.36203866432337439</v>
      </c>
      <c r="Q158" s="108">
        <f t="shared" si="12"/>
        <v>0.36516129032258071</v>
      </c>
      <c r="S158" s="109">
        <f t="shared" si="13"/>
        <v>1.2041666666666671</v>
      </c>
      <c r="T158" s="109">
        <f t="shared" si="14"/>
        <v>0.85940246045694235</v>
      </c>
    </row>
    <row r="159" spans="1:20">
      <c r="A159" s="154">
        <v>327</v>
      </c>
      <c r="B159" s="156">
        <v>2777</v>
      </c>
      <c r="C159" s="133" t="s">
        <v>2476</v>
      </c>
      <c r="D159" s="155" t="s">
        <v>2324</v>
      </c>
      <c r="E159" s="154">
        <v>15</v>
      </c>
      <c r="F159" s="154">
        <v>12</v>
      </c>
      <c r="G159" s="154">
        <v>3</v>
      </c>
      <c r="H159" s="154">
        <v>0</v>
      </c>
      <c r="I159" s="154">
        <v>0</v>
      </c>
      <c r="J159" s="154">
        <v>0</v>
      </c>
      <c r="K159" s="154">
        <v>0.52900000000000003</v>
      </c>
      <c r="L159" s="154">
        <v>0.70099999999999996</v>
      </c>
      <c r="M159" s="154">
        <v>0.97</v>
      </c>
      <c r="N159" s="154">
        <v>1.302</v>
      </c>
      <c r="O159" s="108">
        <f t="shared" si="10"/>
        <v>0.32514177693761792</v>
      </c>
      <c r="P159" s="108">
        <f t="shared" si="11"/>
        <v>0.38373751783166909</v>
      </c>
      <c r="Q159" s="108">
        <f t="shared" si="12"/>
        <v>0.34226804123711352</v>
      </c>
      <c r="S159" s="109">
        <f t="shared" si="13"/>
        <v>1.4612476370510397</v>
      </c>
      <c r="T159" s="109">
        <f t="shared" si="14"/>
        <v>0.85734664764621993</v>
      </c>
    </row>
    <row r="160" spans="1:20">
      <c r="A160" s="154">
        <v>408</v>
      </c>
      <c r="B160" s="156">
        <v>603960</v>
      </c>
      <c r="C160" s="133" t="s">
        <v>1346</v>
      </c>
      <c r="D160" s="155" t="s">
        <v>2324</v>
      </c>
      <c r="E160" s="154">
        <v>12</v>
      </c>
      <c r="F160" s="154">
        <v>9</v>
      </c>
      <c r="G160" s="154">
        <v>3</v>
      </c>
      <c r="H160" s="154">
        <v>0</v>
      </c>
      <c r="I160" s="154">
        <v>0</v>
      </c>
      <c r="J160" s="154">
        <v>0</v>
      </c>
      <c r="K160" s="154">
        <v>0.371</v>
      </c>
      <c r="L160" s="154">
        <v>0.63300000000000001</v>
      </c>
      <c r="M160" s="154">
        <v>0.88500000000000001</v>
      </c>
      <c r="N160" s="154">
        <v>1.1719999999999999</v>
      </c>
      <c r="O160" s="108">
        <f t="shared" si="10"/>
        <v>0.70619946091644215</v>
      </c>
      <c r="P160" s="108">
        <f t="shared" si="11"/>
        <v>0.39810426540284349</v>
      </c>
      <c r="Q160" s="108">
        <f t="shared" si="12"/>
        <v>0.32429378531073438</v>
      </c>
      <c r="S160" s="109">
        <f t="shared" si="13"/>
        <v>2.1590296495956873</v>
      </c>
      <c r="T160" s="109">
        <f t="shared" si="14"/>
        <v>0.85150078988941535</v>
      </c>
    </row>
    <row r="161" spans="1:20">
      <c r="A161" s="154">
        <v>642</v>
      </c>
      <c r="B161" s="156">
        <v>603826</v>
      </c>
      <c r="C161" s="133" t="s">
        <v>2477</v>
      </c>
      <c r="D161" s="155" t="s">
        <v>2324</v>
      </c>
      <c r="E161" s="154">
        <v>7</v>
      </c>
      <c r="F161" s="154">
        <v>3</v>
      </c>
      <c r="G161" s="154">
        <v>4</v>
      </c>
      <c r="H161" s="154">
        <v>0</v>
      </c>
      <c r="I161" s="154">
        <v>0</v>
      </c>
      <c r="J161" s="154">
        <v>0</v>
      </c>
      <c r="K161" s="154">
        <v>0.38500000000000001</v>
      </c>
      <c r="L161" s="154">
        <v>0.442</v>
      </c>
      <c r="M161" s="154">
        <v>0.60799999999999998</v>
      </c>
      <c r="N161" s="154">
        <v>0.81499999999999995</v>
      </c>
      <c r="O161" s="108">
        <f t="shared" si="10"/>
        <v>0.14805194805194799</v>
      </c>
      <c r="P161" s="108">
        <f t="shared" si="11"/>
        <v>0.3755656108597285</v>
      </c>
      <c r="Q161" s="108">
        <f t="shared" si="12"/>
        <v>0.34046052631578938</v>
      </c>
      <c r="S161" s="109">
        <f t="shared" si="13"/>
        <v>1.1168831168831166</v>
      </c>
      <c r="T161" s="109">
        <f t="shared" si="14"/>
        <v>0.84389140271493202</v>
      </c>
    </row>
    <row r="162" spans="1:20">
      <c r="A162" s="154">
        <v>500</v>
      </c>
      <c r="B162" s="156">
        <v>2036</v>
      </c>
      <c r="C162" s="133" t="s">
        <v>2478</v>
      </c>
      <c r="D162" s="155" t="s">
        <v>2324</v>
      </c>
      <c r="E162" s="154">
        <v>10</v>
      </c>
      <c r="F162" s="154">
        <v>9</v>
      </c>
      <c r="G162" s="154">
        <v>1</v>
      </c>
      <c r="H162" s="154">
        <v>0</v>
      </c>
      <c r="I162" s="154">
        <v>0</v>
      </c>
      <c r="J162" s="154">
        <v>0</v>
      </c>
      <c r="K162" s="154">
        <v>0.34399999999999997</v>
      </c>
      <c r="L162" s="154">
        <v>0.44600000000000001</v>
      </c>
      <c r="M162" s="154">
        <v>0.63600000000000001</v>
      </c>
      <c r="N162" s="154">
        <v>0.82199999999999995</v>
      </c>
      <c r="O162" s="108">
        <f t="shared" si="10"/>
        <v>0.29651162790697683</v>
      </c>
      <c r="P162" s="108">
        <f t="shared" si="11"/>
        <v>0.42600896860986537</v>
      </c>
      <c r="Q162" s="108">
        <f t="shared" si="12"/>
        <v>0.29245283018867907</v>
      </c>
      <c r="S162" s="109">
        <f t="shared" si="13"/>
        <v>1.3895348837209305</v>
      </c>
      <c r="T162" s="109">
        <f t="shared" si="14"/>
        <v>0.84304932735425986</v>
      </c>
    </row>
    <row r="163" spans="1:20">
      <c r="A163" s="154">
        <v>501</v>
      </c>
      <c r="B163" s="156">
        <v>2036</v>
      </c>
      <c r="C163" s="133" t="s">
        <v>2478</v>
      </c>
      <c r="D163" s="155" t="s">
        <v>2324</v>
      </c>
      <c r="E163" s="154">
        <v>10</v>
      </c>
      <c r="F163" s="154">
        <v>9</v>
      </c>
      <c r="G163" s="154">
        <v>1</v>
      </c>
      <c r="H163" s="154">
        <v>0</v>
      </c>
      <c r="I163" s="154">
        <v>0</v>
      </c>
      <c r="J163" s="154">
        <v>0</v>
      </c>
      <c r="K163" s="154">
        <v>0.34399999999999997</v>
      </c>
      <c r="L163" s="154">
        <v>0.44600000000000001</v>
      </c>
      <c r="M163" s="154">
        <v>0.63600000000000001</v>
      </c>
      <c r="N163" s="154">
        <v>0.82199999999999995</v>
      </c>
      <c r="O163" s="108">
        <f t="shared" si="10"/>
        <v>0.29651162790697683</v>
      </c>
      <c r="P163" s="108">
        <f t="shared" si="11"/>
        <v>0.42600896860986537</v>
      </c>
      <c r="Q163" s="108">
        <f t="shared" si="12"/>
        <v>0.29245283018867907</v>
      </c>
      <c r="S163" s="109">
        <f t="shared" si="13"/>
        <v>1.3895348837209305</v>
      </c>
      <c r="T163" s="109">
        <f t="shared" si="14"/>
        <v>0.84304932735425986</v>
      </c>
    </row>
    <row r="164" spans="1:20">
      <c r="A164" s="154">
        <v>193</v>
      </c>
      <c r="B164" s="156">
        <v>300595</v>
      </c>
      <c r="C164" s="133" t="s">
        <v>2479</v>
      </c>
      <c r="D164" s="155" t="s">
        <v>2324</v>
      </c>
      <c r="E164" s="154">
        <v>22</v>
      </c>
      <c r="F164" s="154">
        <v>9</v>
      </c>
      <c r="G164" s="154">
        <v>13</v>
      </c>
      <c r="H164" s="154">
        <v>0</v>
      </c>
      <c r="I164" s="154">
        <v>0</v>
      </c>
      <c r="J164" s="154">
        <v>0</v>
      </c>
      <c r="K164" s="154">
        <v>0.53400000000000003</v>
      </c>
      <c r="L164" s="154">
        <v>0.73699999999999999</v>
      </c>
      <c r="M164" s="154">
        <v>1.0089999999999999</v>
      </c>
      <c r="N164" s="154">
        <v>1.3580000000000001</v>
      </c>
      <c r="O164" s="108">
        <f t="shared" si="10"/>
        <v>0.38014981273408233</v>
      </c>
      <c r="P164" s="108">
        <f t="shared" si="11"/>
        <v>0.36906377204884655</v>
      </c>
      <c r="Q164" s="108">
        <f t="shared" si="12"/>
        <v>0.34588701684836498</v>
      </c>
      <c r="S164" s="109">
        <f t="shared" si="13"/>
        <v>1.5430711610486894</v>
      </c>
      <c r="T164" s="109">
        <f t="shared" si="14"/>
        <v>0.84260515603799191</v>
      </c>
    </row>
    <row r="165" spans="1:20">
      <c r="A165" s="154">
        <v>754</v>
      </c>
      <c r="B165" s="156">
        <v>2609</v>
      </c>
      <c r="C165" s="133" t="s">
        <v>2480</v>
      </c>
      <c r="D165" s="155" t="s">
        <v>2324</v>
      </c>
      <c r="E165" s="154">
        <v>6</v>
      </c>
      <c r="F165" s="154">
        <v>6</v>
      </c>
      <c r="G165" s="154">
        <v>0</v>
      </c>
      <c r="H165" s="154">
        <v>0</v>
      </c>
      <c r="I165" s="154">
        <v>0</v>
      </c>
      <c r="J165" s="154">
        <v>0</v>
      </c>
      <c r="K165" s="154">
        <v>0.14699999999999999</v>
      </c>
      <c r="L165" s="154">
        <v>0.245</v>
      </c>
      <c r="M165" s="154">
        <v>0.33500000000000002</v>
      </c>
      <c r="N165" s="154">
        <v>0.45100000000000001</v>
      </c>
      <c r="O165" s="108">
        <f t="shared" si="10"/>
        <v>0.66666666666666674</v>
      </c>
      <c r="P165" s="108">
        <f t="shared" si="11"/>
        <v>0.36734693877551039</v>
      </c>
      <c r="Q165" s="108">
        <f t="shared" si="12"/>
        <v>0.34626865671641793</v>
      </c>
      <c r="S165" s="109">
        <f t="shared" si="13"/>
        <v>2.0680272108843538</v>
      </c>
      <c r="T165" s="109">
        <f t="shared" si="14"/>
        <v>0.84081632653061233</v>
      </c>
    </row>
    <row r="166" spans="1:20">
      <c r="A166" s="154">
        <v>745</v>
      </c>
      <c r="B166" s="156">
        <v>300424</v>
      </c>
      <c r="C166" s="133" t="s">
        <v>2481</v>
      </c>
      <c r="D166" s="155" t="s">
        <v>2324</v>
      </c>
      <c r="E166" s="154">
        <v>6</v>
      </c>
      <c r="F166" s="154">
        <v>3</v>
      </c>
      <c r="G166" s="154">
        <v>3</v>
      </c>
      <c r="H166" s="154">
        <v>0</v>
      </c>
      <c r="I166" s="154">
        <v>0</v>
      </c>
      <c r="J166" s="154">
        <v>0</v>
      </c>
      <c r="K166" s="154">
        <v>0.21</v>
      </c>
      <c r="L166" s="154">
        <v>0.34499999999999997</v>
      </c>
      <c r="M166" s="154">
        <v>0.47799999999999998</v>
      </c>
      <c r="N166" s="154">
        <v>0.63500000000000001</v>
      </c>
      <c r="O166" s="108">
        <f t="shared" si="10"/>
        <v>0.64285714285714279</v>
      </c>
      <c r="P166" s="108">
        <f t="shared" si="11"/>
        <v>0.38550724637681166</v>
      </c>
      <c r="Q166" s="108">
        <f t="shared" si="12"/>
        <v>0.32845188284518834</v>
      </c>
      <c r="S166" s="109">
        <f t="shared" si="13"/>
        <v>2.0238095238095242</v>
      </c>
      <c r="T166" s="109">
        <f t="shared" si="14"/>
        <v>0.84057971014492772</v>
      </c>
    </row>
    <row r="167" spans="1:20">
      <c r="A167" s="154">
        <v>308</v>
      </c>
      <c r="B167" s="156">
        <v>2301</v>
      </c>
      <c r="C167" s="133" t="s">
        <v>2482</v>
      </c>
      <c r="D167" s="155" t="s">
        <v>2324</v>
      </c>
      <c r="E167" s="154">
        <v>16</v>
      </c>
      <c r="F167" s="154">
        <v>10</v>
      </c>
      <c r="G167" s="154">
        <v>6</v>
      </c>
      <c r="H167" s="154">
        <v>0</v>
      </c>
      <c r="I167" s="154">
        <v>0</v>
      </c>
      <c r="J167" s="154">
        <v>0</v>
      </c>
      <c r="K167" s="154">
        <v>0.26100000000000001</v>
      </c>
      <c r="L167" s="154">
        <v>0.36599999999999999</v>
      </c>
      <c r="M167" s="154">
        <v>0.498</v>
      </c>
      <c r="N167" s="154">
        <v>0.67200000000000004</v>
      </c>
      <c r="O167" s="108">
        <f t="shared" si="10"/>
        <v>0.40229885057471249</v>
      </c>
      <c r="P167" s="108">
        <f t="shared" si="11"/>
        <v>0.36065573770491799</v>
      </c>
      <c r="Q167" s="108">
        <f t="shared" si="12"/>
        <v>0.34939759036144591</v>
      </c>
      <c r="S167" s="109">
        <f t="shared" si="13"/>
        <v>1.5747126436781609</v>
      </c>
      <c r="T167" s="109">
        <f t="shared" si="14"/>
        <v>0.83606557377049207</v>
      </c>
    </row>
    <row r="168" spans="1:20">
      <c r="A168" s="154">
        <v>856</v>
      </c>
      <c r="B168" s="156">
        <v>2099</v>
      </c>
      <c r="C168" s="133" t="s">
        <v>2483</v>
      </c>
      <c r="D168" s="155" t="s">
        <v>2324</v>
      </c>
      <c r="E168" s="154">
        <v>5</v>
      </c>
      <c r="F168" s="154">
        <v>5</v>
      </c>
      <c r="G168" s="154">
        <v>0</v>
      </c>
      <c r="H168" s="154">
        <v>0</v>
      </c>
      <c r="I168" s="154">
        <v>0</v>
      </c>
      <c r="J168" s="154">
        <v>0</v>
      </c>
      <c r="K168" s="154">
        <v>0.374</v>
      </c>
      <c r="L168" s="154">
        <v>0.58199999999999996</v>
      </c>
      <c r="M168" s="154">
        <v>0.80500000000000005</v>
      </c>
      <c r="N168" s="154">
        <v>1.0680000000000001</v>
      </c>
      <c r="O168" s="108">
        <f t="shared" si="10"/>
        <v>0.55614973262032086</v>
      </c>
      <c r="P168" s="108">
        <f t="shared" si="11"/>
        <v>0.3831615120274916</v>
      </c>
      <c r="Q168" s="108">
        <f t="shared" si="12"/>
        <v>0.32670807453416151</v>
      </c>
      <c r="S168" s="109">
        <f t="shared" si="13"/>
        <v>1.8556149732620324</v>
      </c>
      <c r="T168" s="109">
        <f t="shared" si="14"/>
        <v>0.83505154639175272</v>
      </c>
    </row>
    <row r="169" spans="1:20">
      <c r="A169" s="154">
        <v>24</v>
      </c>
      <c r="B169" s="156">
        <v>300073</v>
      </c>
      <c r="C169" s="133" t="s">
        <v>2484</v>
      </c>
      <c r="D169" s="155" t="s">
        <v>2324</v>
      </c>
      <c r="E169" s="154">
        <v>48</v>
      </c>
      <c r="F169" s="154">
        <v>22</v>
      </c>
      <c r="G169" s="154">
        <v>26</v>
      </c>
      <c r="H169" s="154">
        <v>0</v>
      </c>
      <c r="I169" s="154">
        <v>0</v>
      </c>
      <c r="J169" s="154">
        <v>0</v>
      </c>
      <c r="K169" s="154">
        <v>0.72399999999999998</v>
      </c>
      <c r="L169" s="154">
        <v>0.78200000000000003</v>
      </c>
      <c r="M169" s="154">
        <v>1.08</v>
      </c>
      <c r="N169" s="154">
        <v>1.4350000000000001</v>
      </c>
      <c r="O169" s="108">
        <f t="shared" si="10"/>
        <v>8.0110497237569245E-2</v>
      </c>
      <c r="P169" s="108">
        <f t="shared" si="11"/>
        <v>0.38107416879795397</v>
      </c>
      <c r="Q169" s="108">
        <f t="shared" si="12"/>
        <v>0.32870370370370372</v>
      </c>
      <c r="S169" s="109">
        <f t="shared" si="13"/>
        <v>0.9820441988950277</v>
      </c>
      <c r="T169" s="109">
        <f t="shared" si="14"/>
        <v>0.8350383631713556</v>
      </c>
    </row>
    <row r="170" spans="1:20">
      <c r="A170" s="154">
        <v>103</v>
      </c>
      <c r="B170" s="156">
        <v>300496</v>
      </c>
      <c r="C170" s="133" t="s">
        <v>2485</v>
      </c>
      <c r="D170" s="155" t="s">
        <v>2324</v>
      </c>
      <c r="E170" s="154">
        <v>30</v>
      </c>
      <c r="F170" s="154">
        <v>25</v>
      </c>
      <c r="G170" s="154">
        <v>5</v>
      </c>
      <c r="H170" s="154">
        <v>0</v>
      </c>
      <c r="I170" s="154">
        <v>0</v>
      </c>
      <c r="J170" s="154">
        <v>0</v>
      </c>
      <c r="K170" s="154">
        <v>0.40799999999999997</v>
      </c>
      <c r="L170" s="154">
        <v>0.59399999999999997</v>
      </c>
      <c r="M170" s="154">
        <v>0.80600000000000005</v>
      </c>
      <c r="N170" s="154">
        <v>1.0880000000000001</v>
      </c>
      <c r="O170" s="108">
        <f t="shared" si="10"/>
        <v>0.45588235294117641</v>
      </c>
      <c r="P170" s="108">
        <f t="shared" si="11"/>
        <v>0.35690235690235705</v>
      </c>
      <c r="Q170" s="108">
        <f t="shared" si="12"/>
        <v>0.34987593052109189</v>
      </c>
      <c r="S170" s="109">
        <f t="shared" si="13"/>
        <v>1.666666666666667</v>
      </c>
      <c r="T170" s="109">
        <f t="shared" si="14"/>
        <v>0.83164983164983197</v>
      </c>
    </row>
    <row r="171" spans="1:20">
      <c r="A171" s="154">
        <v>297</v>
      </c>
      <c r="B171" s="156">
        <v>300759</v>
      </c>
      <c r="C171" s="133" t="s">
        <v>2486</v>
      </c>
      <c r="D171" s="155" t="s">
        <v>2324</v>
      </c>
      <c r="E171" s="154">
        <v>16</v>
      </c>
      <c r="F171" s="154">
        <v>3</v>
      </c>
      <c r="G171" s="154">
        <v>13</v>
      </c>
      <c r="H171" s="154">
        <v>0</v>
      </c>
      <c r="I171" s="154">
        <v>0</v>
      </c>
      <c r="J171" s="154">
        <v>0</v>
      </c>
      <c r="K171" s="154">
        <v>0.42699999999999999</v>
      </c>
      <c r="L171" s="154">
        <v>0.60399999999999998</v>
      </c>
      <c r="M171" s="154">
        <v>0.82699999999999996</v>
      </c>
      <c r="N171" s="154">
        <v>1.1060000000000001</v>
      </c>
      <c r="O171" s="108">
        <f t="shared" si="10"/>
        <v>0.41451990632318503</v>
      </c>
      <c r="P171" s="108">
        <f t="shared" si="11"/>
        <v>0.36920529801324498</v>
      </c>
      <c r="Q171" s="108">
        <f t="shared" si="12"/>
        <v>0.3373639661426846</v>
      </c>
      <c r="S171" s="109">
        <f t="shared" si="13"/>
        <v>1.5901639344262297</v>
      </c>
      <c r="T171" s="109">
        <f t="shared" si="14"/>
        <v>0.83112582781456967</v>
      </c>
    </row>
    <row r="172" spans="1:20">
      <c r="A172" s="154">
        <v>19</v>
      </c>
      <c r="B172" s="156">
        <v>300253</v>
      </c>
      <c r="C172" s="133" t="s">
        <v>2487</v>
      </c>
      <c r="D172" s="155" t="s">
        <v>2324</v>
      </c>
      <c r="E172" s="154">
        <v>51</v>
      </c>
      <c r="F172" s="154">
        <v>32</v>
      </c>
      <c r="G172" s="154">
        <v>19</v>
      </c>
      <c r="H172" s="154">
        <v>0</v>
      </c>
      <c r="I172" s="154">
        <v>0</v>
      </c>
      <c r="J172" s="154">
        <v>0</v>
      </c>
      <c r="K172" s="154">
        <v>0.185</v>
      </c>
      <c r="L172" s="154">
        <v>0.253</v>
      </c>
      <c r="M172" s="154">
        <v>0.33800000000000002</v>
      </c>
      <c r="N172" s="154">
        <v>0.46300000000000002</v>
      </c>
      <c r="O172" s="108">
        <f t="shared" si="10"/>
        <v>0.36756756756756759</v>
      </c>
      <c r="P172" s="108">
        <f t="shared" si="11"/>
        <v>0.33596837944664038</v>
      </c>
      <c r="Q172" s="108">
        <f t="shared" si="12"/>
        <v>0.36982248520710059</v>
      </c>
      <c r="S172" s="109">
        <f t="shared" si="13"/>
        <v>1.5027027027027029</v>
      </c>
      <c r="T172" s="109">
        <f t="shared" si="14"/>
        <v>0.8300395256916997</v>
      </c>
    </row>
    <row r="173" spans="1:20">
      <c r="A173" s="154">
        <v>48</v>
      </c>
      <c r="B173" s="156">
        <v>2912</v>
      </c>
      <c r="C173" s="133" t="s">
        <v>2488</v>
      </c>
      <c r="D173" s="155" t="s">
        <v>2324</v>
      </c>
      <c r="E173" s="154">
        <v>39</v>
      </c>
      <c r="F173" s="154">
        <v>26</v>
      </c>
      <c r="G173" s="154">
        <v>13</v>
      </c>
      <c r="H173" s="154">
        <v>0</v>
      </c>
      <c r="I173" s="154">
        <v>0</v>
      </c>
      <c r="J173" s="154">
        <v>0</v>
      </c>
      <c r="K173" s="154">
        <v>1.919</v>
      </c>
      <c r="L173" s="154">
        <v>2.6349999999999998</v>
      </c>
      <c r="M173" s="154">
        <v>3.5950000000000002</v>
      </c>
      <c r="N173" s="154">
        <v>4.8129999999999997</v>
      </c>
      <c r="O173" s="108">
        <f t="shared" si="10"/>
        <v>0.37311099531005709</v>
      </c>
      <c r="P173" s="108">
        <f t="shared" si="11"/>
        <v>0.36432637571157511</v>
      </c>
      <c r="Q173" s="108">
        <f t="shared" si="12"/>
        <v>0.33880389429763547</v>
      </c>
      <c r="S173" s="109">
        <f t="shared" si="13"/>
        <v>1.5080771235018235</v>
      </c>
      <c r="T173" s="109">
        <f t="shared" si="14"/>
        <v>0.82656546489563576</v>
      </c>
    </row>
    <row r="174" spans="1:20">
      <c r="A174" s="154">
        <v>317</v>
      </c>
      <c r="B174" s="156">
        <v>600115</v>
      </c>
      <c r="C174" s="133" t="s">
        <v>2489</v>
      </c>
      <c r="D174" s="155" t="s">
        <v>2324</v>
      </c>
      <c r="E174" s="154">
        <v>16</v>
      </c>
      <c r="F174" s="154">
        <v>9</v>
      </c>
      <c r="G174" s="154">
        <v>7</v>
      </c>
      <c r="H174" s="154">
        <v>0</v>
      </c>
      <c r="I174" s="154">
        <v>0</v>
      </c>
      <c r="J174" s="154">
        <v>0</v>
      </c>
      <c r="K174" s="154">
        <v>0.16500000000000001</v>
      </c>
      <c r="L174" s="154">
        <v>0.30199999999999999</v>
      </c>
      <c r="M174" s="154">
        <v>0.45</v>
      </c>
      <c r="N174" s="154">
        <v>0.55100000000000005</v>
      </c>
      <c r="O174" s="108">
        <f t="shared" si="10"/>
        <v>0.8303030303030301</v>
      </c>
      <c r="P174" s="108">
        <f t="shared" si="11"/>
        <v>0.49006622516556297</v>
      </c>
      <c r="Q174" s="108">
        <f t="shared" si="12"/>
        <v>0.22444444444444445</v>
      </c>
      <c r="S174" s="109">
        <f t="shared" si="13"/>
        <v>2.3393939393939394</v>
      </c>
      <c r="T174" s="109">
        <f t="shared" si="14"/>
        <v>0.82450331125827825</v>
      </c>
    </row>
    <row r="175" spans="1:20">
      <c r="A175" s="154">
        <v>256</v>
      </c>
      <c r="B175" s="156">
        <v>600547</v>
      </c>
      <c r="C175" s="133" t="s">
        <v>2490</v>
      </c>
      <c r="D175" s="155" t="s">
        <v>2324</v>
      </c>
      <c r="E175" s="154">
        <v>19</v>
      </c>
      <c r="F175" s="154">
        <v>12</v>
      </c>
      <c r="G175" s="154">
        <v>7</v>
      </c>
      <c r="H175" s="154">
        <v>0</v>
      </c>
      <c r="I175" s="154">
        <v>0</v>
      </c>
      <c r="J175" s="154">
        <v>0</v>
      </c>
      <c r="K175" s="154">
        <v>0.28199999999999997</v>
      </c>
      <c r="L175" s="154">
        <v>0.55300000000000005</v>
      </c>
      <c r="M175" s="154">
        <v>0.81599999999999995</v>
      </c>
      <c r="N175" s="154">
        <v>1.0069999999999999</v>
      </c>
      <c r="O175" s="108">
        <f t="shared" si="10"/>
        <v>0.96099290780141877</v>
      </c>
      <c r="P175" s="108">
        <f t="shared" si="11"/>
        <v>0.47558770343580448</v>
      </c>
      <c r="Q175" s="108">
        <f t="shared" si="12"/>
        <v>0.23406862745098045</v>
      </c>
      <c r="S175" s="109">
        <f t="shared" si="13"/>
        <v>2.5709219858156027</v>
      </c>
      <c r="T175" s="109">
        <f t="shared" si="14"/>
        <v>0.82097649186256749</v>
      </c>
    </row>
    <row r="176" spans="1:20">
      <c r="A176" s="154">
        <v>8</v>
      </c>
      <c r="B176" s="156">
        <v>2607</v>
      </c>
      <c r="C176" s="133" t="s">
        <v>2491</v>
      </c>
      <c r="D176" s="155" t="s">
        <v>2324</v>
      </c>
      <c r="E176" s="154">
        <v>60</v>
      </c>
      <c r="F176" s="154">
        <v>49</v>
      </c>
      <c r="G176" s="154">
        <v>11</v>
      </c>
      <c r="H176" s="154">
        <v>0</v>
      </c>
      <c r="I176" s="154">
        <v>0</v>
      </c>
      <c r="J176" s="154">
        <v>0</v>
      </c>
      <c r="K176" s="154">
        <v>0.187</v>
      </c>
      <c r="L176" s="154">
        <v>0.26900000000000002</v>
      </c>
      <c r="M176" s="154">
        <v>0.372</v>
      </c>
      <c r="N176" s="154">
        <v>0.48899999999999999</v>
      </c>
      <c r="O176" s="108">
        <f t="shared" si="10"/>
        <v>0.43850267379679164</v>
      </c>
      <c r="P176" s="108">
        <f t="shared" si="11"/>
        <v>0.38289962825278812</v>
      </c>
      <c r="Q176" s="108">
        <f t="shared" si="12"/>
        <v>0.31451612903225801</v>
      </c>
      <c r="S176" s="109">
        <f t="shared" si="13"/>
        <v>1.6149732620320854</v>
      </c>
      <c r="T176" s="109">
        <f t="shared" si="14"/>
        <v>0.81784386617100346</v>
      </c>
    </row>
    <row r="177" spans="1:20">
      <c r="A177" s="154">
        <v>341</v>
      </c>
      <c r="B177" s="156">
        <v>600029</v>
      </c>
      <c r="C177" s="133" t="s">
        <v>2492</v>
      </c>
      <c r="D177" s="155" t="s">
        <v>2324</v>
      </c>
      <c r="E177" s="154">
        <v>15</v>
      </c>
      <c r="F177" s="154">
        <v>8</v>
      </c>
      <c r="G177" s="154">
        <v>7</v>
      </c>
      <c r="H177" s="154">
        <v>0</v>
      </c>
      <c r="I177" s="154">
        <v>0</v>
      </c>
      <c r="J177" s="154">
        <v>0</v>
      </c>
      <c r="K177" s="154">
        <v>0.24299999999999999</v>
      </c>
      <c r="L177" s="154">
        <v>0.39400000000000002</v>
      </c>
      <c r="M177" s="154">
        <v>0.58799999999999997</v>
      </c>
      <c r="N177" s="154">
        <v>0.71599999999999997</v>
      </c>
      <c r="O177" s="108">
        <f t="shared" si="10"/>
        <v>0.62139917695473268</v>
      </c>
      <c r="P177" s="108">
        <f t="shared" si="11"/>
        <v>0.49238578680203027</v>
      </c>
      <c r="Q177" s="108">
        <f t="shared" si="12"/>
        <v>0.21768707482993199</v>
      </c>
      <c r="S177" s="109">
        <f t="shared" si="13"/>
        <v>1.9465020576131686</v>
      </c>
      <c r="T177" s="109">
        <f t="shared" si="14"/>
        <v>0.81725888324873086</v>
      </c>
    </row>
    <row r="178" spans="1:20">
      <c r="A178" s="154">
        <v>454</v>
      </c>
      <c r="B178" s="156">
        <v>300395</v>
      </c>
      <c r="C178" s="133" t="s">
        <v>2493</v>
      </c>
      <c r="D178" s="155" t="s">
        <v>2324</v>
      </c>
      <c r="E178" s="154">
        <v>11</v>
      </c>
      <c r="F178" s="154">
        <v>6</v>
      </c>
      <c r="G178" s="154">
        <v>5</v>
      </c>
      <c r="H178" s="154">
        <v>0</v>
      </c>
      <c r="I178" s="154">
        <v>0</v>
      </c>
      <c r="J178" s="154">
        <v>0</v>
      </c>
      <c r="K178" s="154">
        <v>0.47699999999999998</v>
      </c>
      <c r="L178" s="154">
        <v>0.58899999999999997</v>
      </c>
      <c r="M178" s="154">
        <v>0.80900000000000005</v>
      </c>
      <c r="N178" s="154">
        <v>1.07</v>
      </c>
      <c r="O178" s="108">
        <f t="shared" si="10"/>
        <v>0.23480083857442358</v>
      </c>
      <c r="P178" s="108">
        <f t="shared" si="11"/>
        <v>0.37351443123938899</v>
      </c>
      <c r="Q178" s="108">
        <f t="shared" si="12"/>
        <v>0.32262051915945622</v>
      </c>
      <c r="S178" s="109">
        <f t="shared" si="13"/>
        <v>1.2431865828092246</v>
      </c>
      <c r="T178" s="109">
        <f t="shared" si="14"/>
        <v>0.81663837011884577</v>
      </c>
    </row>
    <row r="179" spans="1:20">
      <c r="A179" s="154">
        <v>329</v>
      </c>
      <c r="B179" s="156">
        <v>2434</v>
      </c>
      <c r="C179" s="133" t="s">
        <v>2494</v>
      </c>
      <c r="D179" s="155" t="s">
        <v>2324</v>
      </c>
      <c r="E179" s="154">
        <v>15</v>
      </c>
      <c r="F179" s="154">
        <v>8</v>
      </c>
      <c r="G179" s="154">
        <v>7</v>
      </c>
      <c r="H179" s="154">
        <v>0</v>
      </c>
      <c r="I179" s="154">
        <v>0</v>
      </c>
      <c r="J179" s="154">
        <v>0</v>
      </c>
      <c r="K179" s="154">
        <v>0.26200000000000001</v>
      </c>
      <c r="L179" s="154">
        <v>0.36099999999999999</v>
      </c>
      <c r="M179" s="154">
        <v>0.50700000000000001</v>
      </c>
      <c r="N179" s="154">
        <v>0.65500000000000003</v>
      </c>
      <c r="O179" s="108">
        <f t="shared" si="10"/>
        <v>0.37786259541984712</v>
      </c>
      <c r="P179" s="108">
        <f t="shared" si="11"/>
        <v>0.40443213296398905</v>
      </c>
      <c r="Q179" s="108">
        <f t="shared" si="12"/>
        <v>0.291913214990138</v>
      </c>
      <c r="S179" s="109">
        <f t="shared" si="13"/>
        <v>1.5</v>
      </c>
      <c r="T179" s="109">
        <f t="shared" si="14"/>
        <v>0.81440443213296421</v>
      </c>
    </row>
    <row r="180" spans="1:20">
      <c r="A180" s="154">
        <v>679</v>
      </c>
      <c r="B180" s="156">
        <v>2364</v>
      </c>
      <c r="C180" s="133" t="s">
        <v>2495</v>
      </c>
      <c r="D180" s="155" t="s">
        <v>2324</v>
      </c>
      <c r="E180" s="154">
        <v>7</v>
      </c>
      <c r="F180" s="154">
        <v>0</v>
      </c>
      <c r="G180" s="154">
        <v>7</v>
      </c>
      <c r="H180" s="154">
        <v>0</v>
      </c>
      <c r="I180" s="154">
        <v>0</v>
      </c>
      <c r="J180" s="154">
        <v>0</v>
      </c>
      <c r="K180" s="154">
        <v>0.13600000000000001</v>
      </c>
      <c r="L180" s="154">
        <v>0.23699999999999999</v>
      </c>
      <c r="M180" s="154">
        <v>0.35</v>
      </c>
      <c r="N180" s="154">
        <v>0.43</v>
      </c>
      <c r="O180" s="108">
        <f t="shared" si="10"/>
        <v>0.74264705882352922</v>
      </c>
      <c r="P180" s="108">
        <f t="shared" si="11"/>
        <v>0.47679324894514763</v>
      </c>
      <c r="Q180" s="108">
        <f t="shared" si="12"/>
        <v>0.22857142857142865</v>
      </c>
      <c r="S180" s="109">
        <f t="shared" si="13"/>
        <v>2.1617647058823528</v>
      </c>
      <c r="T180" s="109">
        <f t="shared" si="14"/>
        <v>0.81434599156118148</v>
      </c>
    </row>
    <row r="181" spans="1:20">
      <c r="A181" s="154">
        <v>463</v>
      </c>
      <c r="B181" s="156">
        <v>2683</v>
      </c>
      <c r="C181" s="133" t="s">
        <v>2496</v>
      </c>
      <c r="D181" s="155" t="s">
        <v>2324</v>
      </c>
      <c r="E181" s="154">
        <v>11</v>
      </c>
      <c r="F181" s="154">
        <v>11</v>
      </c>
      <c r="G181" s="154">
        <v>0</v>
      </c>
      <c r="H181" s="154">
        <v>0</v>
      </c>
      <c r="I181" s="154">
        <v>0</v>
      </c>
      <c r="J181" s="154">
        <v>0</v>
      </c>
      <c r="K181" s="154">
        <v>0.30299999999999999</v>
      </c>
      <c r="L181" s="154">
        <v>0.438</v>
      </c>
      <c r="M181" s="154">
        <v>0.57699999999999996</v>
      </c>
      <c r="N181" s="154">
        <v>0.79400000000000004</v>
      </c>
      <c r="O181" s="108">
        <f t="shared" si="10"/>
        <v>0.4455445544554455</v>
      </c>
      <c r="P181" s="108">
        <f t="shared" si="11"/>
        <v>0.31735159817351599</v>
      </c>
      <c r="Q181" s="108">
        <f t="shared" si="12"/>
        <v>0.37608318890814574</v>
      </c>
      <c r="S181" s="109">
        <f t="shared" si="13"/>
        <v>1.6204620462046209</v>
      </c>
      <c r="T181" s="109">
        <f t="shared" si="14"/>
        <v>0.81278538812785395</v>
      </c>
    </row>
    <row r="182" spans="1:20">
      <c r="A182" s="154">
        <v>304</v>
      </c>
      <c r="B182" s="156">
        <v>2414</v>
      </c>
      <c r="C182" s="133" t="s">
        <v>2497</v>
      </c>
      <c r="D182" s="155" t="s">
        <v>2324</v>
      </c>
      <c r="E182" s="154">
        <v>16</v>
      </c>
      <c r="F182" s="154">
        <v>5</v>
      </c>
      <c r="G182" s="154">
        <v>11</v>
      </c>
      <c r="H182" s="154">
        <v>0</v>
      </c>
      <c r="I182" s="154">
        <v>0</v>
      </c>
      <c r="J182" s="154">
        <v>0</v>
      </c>
      <c r="K182" s="154">
        <v>0.14099999999999999</v>
      </c>
      <c r="L182" s="154">
        <v>0.27900000000000003</v>
      </c>
      <c r="M182" s="154">
        <v>0.39400000000000002</v>
      </c>
      <c r="N182" s="154">
        <v>0.505</v>
      </c>
      <c r="O182" s="108">
        <f t="shared" si="10"/>
        <v>0.97872340425531945</v>
      </c>
      <c r="P182" s="108">
        <f t="shared" si="11"/>
        <v>0.41218637992831542</v>
      </c>
      <c r="Q182" s="108">
        <f t="shared" si="12"/>
        <v>0.281725888324873</v>
      </c>
      <c r="S182" s="109">
        <f t="shared" si="13"/>
        <v>2.5815602836879434</v>
      </c>
      <c r="T182" s="109">
        <f t="shared" si="14"/>
        <v>0.81003584229390668</v>
      </c>
    </row>
    <row r="183" spans="1:20">
      <c r="A183" s="154">
        <v>790</v>
      </c>
      <c r="B183" s="156">
        <v>688005</v>
      </c>
      <c r="C183" s="133" t="s">
        <v>2498</v>
      </c>
      <c r="D183" s="155" t="s">
        <v>2324</v>
      </c>
      <c r="E183" s="154">
        <v>5</v>
      </c>
      <c r="F183" s="154">
        <v>1</v>
      </c>
      <c r="G183" s="154">
        <v>3</v>
      </c>
      <c r="H183" s="154">
        <v>1</v>
      </c>
      <c r="I183" s="154">
        <v>0</v>
      </c>
      <c r="J183" s="154">
        <v>0</v>
      </c>
      <c r="K183" s="154">
        <v>0.48</v>
      </c>
      <c r="L183" s="154">
        <v>0.76400000000000001</v>
      </c>
      <c r="M183" s="154">
        <v>1.0620000000000001</v>
      </c>
      <c r="N183" s="154">
        <v>1.3819999999999999</v>
      </c>
      <c r="O183" s="108">
        <f t="shared" si="10"/>
        <v>0.59166666666666679</v>
      </c>
      <c r="P183" s="108">
        <f t="shared" si="11"/>
        <v>0.39005235602094235</v>
      </c>
      <c r="Q183" s="108">
        <f t="shared" si="12"/>
        <v>0.30131826741996215</v>
      </c>
      <c r="S183" s="109">
        <f t="shared" si="13"/>
        <v>1.8791666666666664</v>
      </c>
      <c r="T183" s="109">
        <f t="shared" si="14"/>
        <v>0.80890052356020936</v>
      </c>
    </row>
    <row r="184" spans="1:20">
      <c r="A184" s="154">
        <v>281</v>
      </c>
      <c r="B184" s="156">
        <v>603218</v>
      </c>
      <c r="C184" s="133" t="s">
        <v>2499</v>
      </c>
      <c r="D184" s="155" t="s">
        <v>2324</v>
      </c>
      <c r="E184" s="154">
        <v>17</v>
      </c>
      <c r="F184" s="154">
        <v>12</v>
      </c>
      <c r="G184" s="154">
        <v>5</v>
      </c>
      <c r="H184" s="154">
        <v>0</v>
      </c>
      <c r="I184" s="154">
        <v>0</v>
      </c>
      <c r="J184" s="154">
        <v>0</v>
      </c>
      <c r="K184" s="154">
        <v>0.52800000000000002</v>
      </c>
      <c r="L184" s="154">
        <v>0.92800000000000005</v>
      </c>
      <c r="M184" s="154">
        <v>1.37</v>
      </c>
      <c r="N184" s="154">
        <v>1.677</v>
      </c>
      <c r="O184" s="108">
        <f t="shared" si="10"/>
        <v>0.75757575757575757</v>
      </c>
      <c r="P184" s="108">
        <f t="shared" si="11"/>
        <v>0.4762931034482758</v>
      </c>
      <c r="Q184" s="108">
        <f t="shared" si="12"/>
        <v>0.22408759124087596</v>
      </c>
      <c r="S184" s="109">
        <f t="shared" si="13"/>
        <v>2.1761363636363638</v>
      </c>
      <c r="T184" s="109">
        <f t="shared" si="14"/>
        <v>0.80711206896551713</v>
      </c>
    </row>
    <row r="185" spans="1:20">
      <c r="A185" s="154">
        <v>678</v>
      </c>
      <c r="B185" s="156">
        <v>2384</v>
      </c>
      <c r="C185" s="133" t="s">
        <v>2500</v>
      </c>
      <c r="D185" s="155" t="s">
        <v>2324</v>
      </c>
      <c r="E185" s="154">
        <v>7</v>
      </c>
      <c r="F185" s="154">
        <v>7</v>
      </c>
      <c r="G185" s="154">
        <v>0</v>
      </c>
      <c r="H185" s="154">
        <v>0</v>
      </c>
      <c r="I185" s="154">
        <v>0</v>
      </c>
      <c r="J185" s="154">
        <v>0</v>
      </c>
      <c r="K185" s="154">
        <v>0.505</v>
      </c>
      <c r="L185" s="154">
        <v>0.76100000000000001</v>
      </c>
      <c r="M185" s="154">
        <v>1.073</v>
      </c>
      <c r="N185" s="154">
        <v>1.375</v>
      </c>
      <c r="O185" s="108">
        <f t="shared" si="10"/>
        <v>0.50693069306930694</v>
      </c>
      <c r="P185" s="108">
        <f t="shared" si="11"/>
        <v>0.40998685939553203</v>
      </c>
      <c r="Q185" s="108">
        <f t="shared" si="12"/>
        <v>0.2814538676607643</v>
      </c>
      <c r="S185" s="109">
        <f t="shared" si="13"/>
        <v>1.722772277227723</v>
      </c>
      <c r="T185" s="109">
        <f t="shared" si="14"/>
        <v>0.80683311432325877</v>
      </c>
    </row>
    <row r="186" spans="1:20">
      <c r="A186" s="154">
        <v>524</v>
      </c>
      <c r="B186" s="156">
        <v>2695</v>
      </c>
      <c r="C186" s="133" t="s">
        <v>2501</v>
      </c>
      <c r="D186" s="155" t="s">
        <v>2324</v>
      </c>
      <c r="E186" s="154">
        <v>9</v>
      </c>
      <c r="F186" s="154">
        <v>7</v>
      </c>
      <c r="G186" s="154">
        <v>2</v>
      </c>
      <c r="H186" s="154">
        <v>0</v>
      </c>
      <c r="I186" s="154">
        <v>0</v>
      </c>
      <c r="J186" s="154">
        <v>0</v>
      </c>
      <c r="K186" s="154">
        <v>0.33700000000000002</v>
      </c>
      <c r="L186" s="154">
        <v>0.46899999999999997</v>
      </c>
      <c r="M186" s="154">
        <v>0.64900000000000002</v>
      </c>
      <c r="N186" s="154">
        <v>0.84699999999999998</v>
      </c>
      <c r="O186" s="108">
        <f t="shared" si="10"/>
        <v>0.39169139465875347</v>
      </c>
      <c r="P186" s="108">
        <f t="shared" si="11"/>
        <v>0.38379530916844362</v>
      </c>
      <c r="Q186" s="108">
        <f t="shared" si="12"/>
        <v>0.30508474576271172</v>
      </c>
      <c r="S186" s="109">
        <f t="shared" si="13"/>
        <v>1.5133531157270026</v>
      </c>
      <c r="T186" s="109">
        <f t="shared" si="14"/>
        <v>0.80597014925373145</v>
      </c>
    </row>
    <row r="187" spans="1:20">
      <c r="A187" s="154">
        <v>131</v>
      </c>
      <c r="B187" s="156">
        <v>300347</v>
      </c>
      <c r="C187" s="133" t="s">
        <v>2502</v>
      </c>
      <c r="D187" s="155" t="s">
        <v>2324</v>
      </c>
      <c r="E187" s="154">
        <v>27</v>
      </c>
      <c r="F187" s="154">
        <v>19</v>
      </c>
      <c r="G187" s="154">
        <v>8</v>
      </c>
      <c r="H187" s="154">
        <v>0</v>
      </c>
      <c r="I187" s="154">
        <v>0</v>
      </c>
      <c r="J187" s="154">
        <v>0</v>
      </c>
      <c r="K187" s="154">
        <v>0.63</v>
      </c>
      <c r="L187" s="154">
        <v>0.92700000000000005</v>
      </c>
      <c r="M187" s="154">
        <v>1.26</v>
      </c>
      <c r="N187" s="154">
        <v>1.6739999999999999</v>
      </c>
      <c r="O187" s="108">
        <f t="shared" si="10"/>
        <v>0.47142857142857153</v>
      </c>
      <c r="P187" s="108">
        <f t="shared" si="11"/>
        <v>0.35922330097087363</v>
      </c>
      <c r="Q187" s="108">
        <f t="shared" si="12"/>
        <v>0.32857142857142851</v>
      </c>
      <c r="S187" s="109">
        <f t="shared" si="13"/>
        <v>1.657142857142857</v>
      </c>
      <c r="T187" s="109">
        <f t="shared" si="14"/>
        <v>0.80582524271844647</v>
      </c>
    </row>
    <row r="188" spans="1:20">
      <c r="A188" s="154">
        <v>350</v>
      </c>
      <c r="B188" s="156">
        <v>300602</v>
      </c>
      <c r="C188" s="133" t="s">
        <v>2503</v>
      </c>
      <c r="D188" s="155" t="s">
        <v>2324</v>
      </c>
      <c r="E188" s="154">
        <v>14</v>
      </c>
      <c r="F188" s="154">
        <v>9</v>
      </c>
      <c r="G188" s="154">
        <v>5</v>
      </c>
      <c r="H188" s="154">
        <v>0</v>
      </c>
      <c r="I188" s="154">
        <v>0</v>
      </c>
      <c r="J188" s="154">
        <v>0</v>
      </c>
      <c r="K188" s="154">
        <v>0.53</v>
      </c>
      <c r="L188" s="154">
        <v>1.054</v>
      </c>
      <c r="M188" s="154">
        <v>1.456</v>
      </c>
      <c r="N188" s="154">
        <v>1.9019999999999999</v>
      </c>
      <c r="O188" s="108">
        <f t="shared" si="10"/>
        <v>0.98867924528301887</v>
      </c>
      <c r="P188" s="108">
        <f t="shared" si="11"/>
        <v>0.38140417457305498</v>
      </c>
      <c r="Q188" s="108">
        <f t="shared" si="12"/>
        <v>0.30631868131868134</v>
      </c>
      <c r="S188" s="109">
        <f t="shared" si="13"/>
        <v>2.5886792452830187</v>
      </c>
      <c r="T188" s="109">
        <f t="shared" si="14"/>
        <v>0.80455407969639459</v>
      </c>
    </row>
    <row r="189" spans="1:20">
      <c r="A189" s="154">
        <v>168</v>
      </c>
      <c r="B189" s="156">
        <v>300498</v>
      </c>
      <c r="C189" s="133" t="s">
        <v>2504</v>
      </c>
      <c r="D189" s="155" t="s">
        <v>2324</v>
      </c>
      <c r="E189" s="154">
        <v>24</v>
      </c>
      <c r="F189" s="154">
        <v>20</v>
      </c>
      <c r="G189" s="154">
        <v>4</v>
      </c>
      <c r="H189" s="154">
        <v>0</v>
      </c>
      <c r="I189" s="154">
        <v>0</v>
      </c>
      <c r="J189" s="154">
        <v>0</v>
      </c>
      <c r="K189" s="154">
        <v>0.745</v>
      </c>
      <c r="L189" s="154">
        <v>2.444</v>
      </c>
      <c r="M189" s="154">
        <v>5.7130000000000001</v>
      </c>
      <c r="N189" s="154">
        <v>4.407</v>
      </c>
      <c r="O189" s="108">
        <f t="shared" si="10"/>
        <v>2.2805369127516779</v>
      </c>
      <c r="P189" s="108">
        <f t="shared" si="11"/>
        <v>1.3375613747954174</v>
      </c>
      <c r="Q189" s="108">
        <f t="shared" si="12"/>
        <v>-0.22860143532294763</v>
      </c>
      <c r="S189" s="109">
        <f t="shared" si="13"/>
        <v>4.9154362416107382</v>
      </c>
      <c r="T189" s="109">
        <f t="shared" si="14"/>
        <v>0.80319148936170226</v>
      </c>
    </row>
    <row r="190" spans="1:20">
      <c r="A190" s="154">
        <v>242</v>
      </c>
      <c r="B190" s="156">
        <v>300369</v>
      </c>
      <c r="C190" s="133" t="s">
        <v>2505</v>
      </c>
      <c r="D190" s="155" t="s">
        <v>2324</v>
      </c>
      <c r="E190" s="154">
        <v>19</v>
      </c>
      <c r="F190" s="154">
        <v>11</v>
      </c>
      <c r="G190" s="154">
        <v>8</v>
      </c>
      <c r="H190" s="154">
        <v>0</v>
      </c>
      <c r="I190" s="154">
        <v>0</v>
      </c>
      <c r="J190" s="154">
        <v>0</v>
      </c>
      <c r="K190" s="154">
        <v>0.21099999999999999</v>
      </c>
      <c r="L190" s="154">
        <v>0.315</v>
      </c>
      <c r="M190" s="154">
        <v>0.42099999999999999</v>
      </c>
      <c r="N190" s="154">
        <v>0.56799999999999995</v>
      </c>
      <c r="O190" s="108">
        <f t="shared" si="10"/>
        <v>0.49289099526066349</v>
      </c>
      <c r="P190" s="108">
        <f t="shared" si="11"/>
        <v>0.33650793650793642</v>
      </c>
      <c r="Q190" s="108">
        <f t="shared" si="12"/>
        <v>0.34916864608075993</v>
      </c>
      <c r="S190" s="109">
        <f t="shared" si="13"/>
        <v>1.6919431279620851</v>
      </c>
      <c r="T190" s="109">
        <f t="shared" si="14"/>
        <v>0.80317460317460299</v>
      </c>
    </row>
    <row r="191" spans="1:20">
      <c r="A191" s="154">
        <v>635</v>
      </c>
      <c r="B191" s="156">
        <v>603489</v>
      </c>
      <c r="C191" s="133" t="s">
        <v>2506</v>
      </c>
      <c r="D191" s="155" t="s">
        <v>2324</v>
      </c>
      <c r="E191" s="154">
        <v>7</v>
      </c>
      <c r="F191" s="154">
        <v>7</v>
      </c>
      <c r="G191" s="154">
        <v>0</v>
      </c>
      <c r="H191" s="154">
        <v>0</v>
      </c>
      <c r="I191" s="154">
        <v>0</v>
      </c>
      <c r="J191" s="154">
        <v>0</v>
      </c>
      <c r="K191" s="154">
        <v>1.9359999999999999</v>
      </c>
      <c r="L191" s="154">
        <v>2.758</v>
      </c>
      <c r="M191" s="154">
        <v>3.7669999999999999</v>
      </c>
      <c r="N191" s="154">
        <v>4.9710000000000001</v>
      </c>
      <c r="O191" s="108">
        <f t="shared" si="10"/>
        <v>0.42458677685950419</v>
      </c>
      <c r="P191" s="108">
        <f t="shared" si="11"/>
        <v>0.36584481508339373</v>
      </c>
      <c r="Q191" s="108">
        <f t="shared" si="12"/>
        <v>0.31961773294398732</v>
      </c>
      <c r="S191" s="109">
        <f t="shared" si="13"/>
        <v>1.5676652892561984</v>
      </c>
      <c r="T191" s="109">
        <f t="shared" si="14"/>
        <v>0.80239303843364751</v>
      </c>
    </row>
    <row r="192" spans="1:20">
      <c r="A192" s="154">
        <v>407</v>
      </c>
      <c r="B192" s="156">
        <v>300737</v>
      </c>
      <c r="C192" s="133" t="s">
        <v>2507</v>
      </c>
      <c r="D192" s="155" t="s">
        <v>2324</v>
      </c>
      <c r="E192" s="154">
        <v>12</v>
      </c>
      <c r="F192" s="154">
        <v>8</v>
      </c>
      <c r="G192" s="154">
        <v>4</v>
      </c>
      <c r="H192" s="154">
        <v>0</v>
      </c>
      <c r="I192" s="154">
        <v>0</v>
      </c>
      <c r="J192" s="154">
        <v>0</v>
      </c>
      <c r="K192" s="154">
        <v>0.30499999999999999</v>
      </c>
      <c r="L192" s="154">
        <v>0.59099999999999997</v>
      </c>
      <c r="M192" s="154">
        <v>0.81499999999999995</v>
      </c>
      <c r="N192" s="154">
        <v>1.0649999999999999</v>
      </c>
      <c r="O192" s="108">
        <f t="shared" si="10"/>
        <v>0.93770491803278677</v>
      </c>
      <c r="P192" s="108">
        <f t="shared" si="11"/>
        <v>0.37901861252115054</v>
      </c>
      <c r="Q192" s="108">
        <f t="shared" si="12"/>
        <v>0.30674846625766872</v>
      </c>
      <c r="S192" s="109">
        <f t="shared" si="13"/>
        <v>2.4918032786885247</v>
      </c>
      <c r="T192" s="109">
        <f t="shared" si="14"/>
        <v>0.80203045685279184</v>
      </c>
    </row>
    <row r="193" spans="1:20">
      <c r="A193" s="154">
        <v>899</v>
      </c>
      <c r="B193" s="156">
        <v>300677</v>
      </c>
      <c r="C193" s="133" t="s">
        <v>1459</v>
      </c>
      <c r="D193" s="155" t="s">
        <v>2324</v>
      </c>
      <c r="E193" s="154">
        <v>4</v>
      </c>
      <c r="F193" s="154">
        <v>4</v>
      </c>
      <c r="G193" s="154">
        <v>0</v>
      </c>
      <c r="H193" s="154">
        <v>0</v>
      </c>
      <c r="I193" s="154">
        <v>0</v>
      </c>
      <c r="J193" s="154">
        <v>0</v>
      </c>
      <c r="K193" s="154">
        <v>0.90400000000000003</v>
      </c>
      <c r="L193" s="154">
        <v>0.92200000000000004</v>
      </c>
      <c r="M193" s="154">
        <v>1.298</v>
      </c>
      <c r="N193" s="154">
        <v>1.661</v>
      </c>
      <c r="O193" s="108">
        <f t="shared" si="10"/>
        <v>1.9911504424778848E-2</v>
      </c>
      <c r="P193" s="108">
        <f t="shared" si="11"/>
        <v>0.40780911062906733</v>
      </c>
      <c r="Q193" s="108">
        <f t="shared" si="12"/>
        <v>0.27966101694915246</v>
      </c>
      <c r="S193" s="109">
        <f t="shared" si="13"/>
        <v>0.83738938053097334</v>
      </c>
      <c r="T193" s="109">
        <f t="shared" si="14"/>
        <v>0.80151843817787416</v>
      </c>
    </row>
    <row r="194" spans="1:20">
      <c r="A194" s="154">
        <v>653</v>
      </c>
      <c r="B194" s="156">
        <v>2878</v>
      </c>
      <c r="C194" s="133" t="s">
        <v>2508</v>
      </c>
      <c r="D194" s="155" t="s">
        <v>2324</v>
      </c>
      <c r="E194" s="154">
        <v>7</v>
      </c>
      <c r="F194" s="154">
        <v>2</v>
      </c>
      <c r="G194" s="154">
        <v>5</v>
      </c>
      <c r="H194" s="154">
        <v>0</v>
      </c>
      <c r="I194" s="154">
        <v>0</v>
      </c>
      <c r="J194" s="154">
        <v>0</v>
      </c>
      <c r="K194" s="154">
        <v>0.71799999999999997</v>
      </c>
      <c r="L194" s="154">
        <v>1.03</v>
      </c>
      <c r="M194" s="154">
        <v>1.387</v>
      </c>
      <c r="N194" s="154">
        <v>1.8540000000000001</v>
      </c>
      <c r="O194" s="108">
        <f t="shared" si="10"/>
        <v>0.43454038997214495</v>
      </c>
      <c r="P194" s="108">
        <f t="shared" si="11"/>
        <v>0.34660194174757275</v>
      </c>
      <c r="Q194" s="108">
        <f t="shared" si="12"/>
        <v>0.33669790915645281</v>
      </c>
      <c r="S194" s="109">
        <f t="shared" si="13"/>
        <v>1.5821727019498608</v>
      </c>
      <c r="T194" s="109">
        <f t="shared" si="14"/>
        <v>0.8</v>
      </c>
    </row>
    <row r="195" spans="1:20">
      <c r="A195" s="154">
        <v>230</v>
      </c>
      <c r="B195" s="156">
        <v>300078</v>
      </c>
      <c r="C195" s="133" t="s">
        <v>2509</v>
      </c>
      <c r="D195" s="155" t="s">
        <v>2324</v>
      </c>
      <c r="E195" s="154">
        <v>20</v>
      </c>
      <c r="F195" s="154">
        <v>16</v>
      </c>
      <c r="G195" s="154">
        <v>4</v>
      </c>
      <c r="H195" s="154">
        <v>0</v>
      </c>
      <c r="I195" s="154">
        <v>0</v>
      </c>
      <c r="J195" s="154">
        <v>0</v>
      </c>
      <c r="K195" s="154">
        <v>0.16700000000000001</v>
      </c>
      <c r="L195" s="154">
        <v>0.23899999999999999</v>
      </c>
      <c r="M195" s="154">
        <v>0.30199999999999999</v>
      </c>
      <c r="N195" s="154">
        <v>0.43</v>
      </c>
      <c r="O195" s="108">
        <f t="shared" ref="O195:O258" si="15">L195/K195-1</f>
        <v>0.43113772455089805</v>
      </c>
      <c r="P195" s="108">
        <f t="shared" ref="P195:P258" si="16">M195/L195-1</f>
        <v>0.26359832635983271</v>
      </c>
      <c r="Q195" s="108">
        <f t="shared" ref="Q195:Q258" si="17">N195/M195-1</f>
        <v>0.42384105960264895</v>
      </c>
      <c r="S195" s="109">
        <f t="shared" ref="S195:S258" si="18">N195/K195-1</f>
        <v>1.5748502994011973</v>
      </c>
      <c r="T195" s="109">
        <f t="shared" ref="T195:T258" si="19">N195/L195-1</f>
        <v>0.79916317991631813</v>
      </c>
    </row>
    <row r="196" spans="1:20">
      <c r="A196" s="154">
        <v>947</v>
      </c>
      <c r="B196" s="156">
        <v>300115</v>
      </c>
      <c r="C196" s="133" t="s">
        <v>2510</v>
      </c>
      <c r="D196" s="155" t="s">
        <v>2324</v>
      </c>
      <c r="E196" s="154">
        <v>4</v>
      </c>
      <c r="F196" s="154">
        <v>2</v>
      </c>
      <c r="G196" s="154">
        <v>2</v>
      </c>
      <c r="H196" s="154">
        <v>0</v>
      </c>
      <c r="I196" s="154">
        <v>0</v>
      </c>
      <c r="J196" s="154">
        <v>0</v>
      </c>
      <c r="K196" s="154">
        <v>4.2000000000000003E-2</v>
      </c>
      <c r="L196" s="154">
        <v>0.46300000000000002</v>
      </c>
      <c r="M196" s="154">
        <v>0.67800000000000005</v>
      </c>
      <c r="N196" s="154">
        <v>0.83299999999999996</v>
      </c>
      <c r="O196" s="108">
        <f t="shared" si="15"/>
        <v>10.023809523809524</v>
      </c>
      <c r="P196" s="108">
        <f t="shared" si="16"/>
        <v>0.4643628509719222</v>
      </c>
      <c r="Q196" s="108">
        <f t="shared" si="17"/>
        <v>0.22861356932153387</v>
      </c>
      <c r="S196" s="109">
        <f t="shared" si="18"/>
        <v>18.833333333333332</v>
      </c>
      <c r="T196" s="109">
        <f t="shared" si="19"/>
        <v>0.79913606911447066</v>
      </c>
    </row>
    <row r="197" spans="1:20">
      <c r="A197" s="154">
        <v>672</v>
      </c>
      <c r="B197" s="156">
        <v>300248</v>
      </c>
      <c r="C197" s="133" t="s">
        <v>2511</v>
      </c>
      <c r="D197" s="155" t="s">
        <v>2324</v>
      </c>
      <c r="E197" s="154">
        <v>7</v>
      </c>
      <c r="F197" s="154">
        <v>7</v>
      </c>
      <c r="G197" s="154">
        <v>0</v>
      </c>
      <c r="H197" s="154">
        <v>0</v>
      </c>
      <c r="I197" s="154">
        <v>0</v>
      </c>
      <c r="J197" s="154">
        <v>0</v>
      </c>
      <c r="K197" s="154">
        <v>0.2</v>
      </c>
      <c r="L197" s="154">
        <v>0.28799999999999998</v>
      </c>
      <c r="M197" s="154">
        <v>0.39500000000000002</v>
      </c>
      <c r="N197" s="154">
        <v>0.51800000000000002</v>
      </c>
      <c r="O197" s="108">
        <f t="shared" si="15"/>
        <v>0.43999999999999972</v>
      </c>
      <c r="P197" s="108">
        <f t="shared" si="16"/>
        <v>0.3715277777777779</v>
      </c>
      <c r="Q197" s="108">
        <f t="shared" si="17"/>
        <v>0.31139240506329102</v>
      </c>
      <c r="S197" s="109">
        <f t="shared" si="18"/>
        <v>1.5899999999999999</v>
      </c>
      <c r="T197" s="109">
        <f t="shared" si="19"/>
        <v>0.79861111111111138</v>
      </c>
    </row>
    <row r="198" spans="1:20">
      <c r="A198" s="154">
        <v>831</v>
      </c>
      <c r="B198" s="156">
        <v>300363</v>
      </c>
      <c r="C198" s="133" t="s">
        <v>2512</v>
      </c>
      <c r="D198" s="155" t="s">
        <v>2324</v>
      </c>
      <c r="E198" s="154">
        <v>5</v>
      </c>
      <c r="F198" s="154">
        <v>1</v>
      </c>
      <c r="G198" s="154">
        <v>4</v>
      </c>
      <c r="H198" s="154">
        <v>0</v>
      </c>
      <c r="I198" s="154">
        <v>0</v>
      </c>
      <c r="J198" s="154">
        <v>0</v>
      </c>
      <c r="K198" s="154">
        <v>0.22900000000000001</v>
      </c>
      <c r="L198" s="154">
        <v>0.32500000000000001</v>
      </c>
      <c r="M198" s="154">
        <v>0.433</v>
      </c>
      <c r="N198" s="154">
        <v>0.58399999999999996</v>
      </c>
      <c r="O198" s="108">
        <f t="shared" si="15"/>
        <v>0.41921397379912673</v>
      </c>
      <c r="P198" s="108">
        <f t="shared" si="16"/>
        <v>0.33230769230769219</v>
      </c>
      <c r="Q198" s="108">
        <f t="shared" si="17"/>
        <v>0.34872979214780586</v>
      </c>
      <c r="S198" s="109">
        <f t="shared" si="18"/>
        <v>1.5502183406113534</v>
      </c>
      <c r="T198" s="109">
        <f t="shared" si="19"/>
        <v>0.79692307692307685</v>
      </c>
    </row>
    <row r="199" spans="1:20">
      <c r="A199" s="154">
        <v>724</v>
      </c>
      <c r="B199" s="156">
        <v>603978</v>
      </c>
      <c r="C199" s="133" t="s">
        <v>2513</v>
      </c>
      <c r="D199" s="155" t="s">
        <v>2324</v>
      </c>
      <c r="E199" s="154">
        <v>6</v>
      </c>
      <c r="F199" s="154">
        <v>2</v>
      </c>
      <c r="G199" s="154">
        <v>4</v>
      </c>
      <c r="H199" s="154">
        <v>0</v>
      </c>
      <c r="I199" s="154">
        <v>0</v>
      </c>
      <c r="J199" s="154">
        <v>0</v>
      </c>
      <c r="K199" s="154">
        <v>0.78200000000000003</v>
      </c>
      <c r="L199" s="154">
        <v>1.048</v>
      </c>
      <c r="M199" s="154">
        <v>1.4710000000000001</v>
      </c>
      <c r="N199" s="154">
        <v>1.8819999999999999</v>
      </c>
      <c r="O199" s="108">
        <f t="shared" si="15"/>
        <v>0.34015345268542196</v>
      </c>
      <c r="P199" s="108">
        <f t="shared" si="16"/>
        <v>0.40362595419847325</v>
      </c>
      <c r="Q199" s="108">
        <f t="shared" si="17"/>
        <v>0.27940176750509838</v>
      </c>
      <c r="S199" s="109">
        <f t="shared" si="18"/>
        <v>1.406649616368286</v>
      </c>
      <c r="T199" s="109">
        <f t="shared" si="19"/>
        <v>0.79580152671755711</v>
      </c>
    </row>
    <row r="200" spans="1:20">
      <c r="A200" s="154">
        <v>326</v>
      </c>
      <c r="B200" s="156">
        <v>603737</v>
      </c>
      <c r="C200" s="133" t="s">
        <v>2514</v>
      </c>
      <c r="D200" s="155" t="s">
        <v>2324</v>
      </c>
      <c r="E200" s="154">
        <v>15</v>
      </c>
      <c r="F200" s="154">
        <v>10</v>
      </c>
      <c r="G200" s="154">
        <v>5</v>
      </c>
      <c r="H200" s="154">
        <v>0</v>
      </c>
      <c r="I200" s="154">
        <v>0</v>
      </c>
      <c r="J200" s="154">
        <v>0</v>
      </c>
      <c r="K200" s="154">
        <v>1.1950000000000001</v>
      </c>
      <c r="L200" s="154">
        <v>2.1379999999999999</v>
      </c>
      <c r="M200" s="154">
        <v>2.8809999999999998</v>
      </c>
      <c r="N200" s="154">
        <v>3.8380000000000001</v>
      </c>
      <c r="O200" s="108">
        <f t="shared" si="15"/>
        <v>0.78912133891213365</v>
      </c>
      <c r="P200" s="108">
        <f t="shared" si="16"/>
        <v>0.3475210477081383</v>
      </c>
      <c r="Q200" s="108">
        <f t="shared" si="17"/>
        <v>0.33217632766400573</v>
      </c>
      <c r="S200" s="109">
        <f t="shared" si="18"/>
        <v>2.2117154811715478</v>
      </c>
      <c r="T200" s="109">
        <f t="shared" si="19"/>
        <v>0.79513564078578125</v>
      </c>
    </row>
    <row r="201" spans="1:20">
      <c r="A201" s="154">
        <v>462</v>
      </c>
      <c r="B201" s="156">
        <v>300129</v>
      </c>
      <c r="C201" s="133" t="s">
        <v>2515</v>
      </c>
      <c r="D201" s="155" t="s">
        <v>2324</v>
      </c>
      <c r="E201" s="154">
        <v>11</v>
      </c>
      <c r="F201" s="154">
        <v>9</v>
      </c>
      <c r="G201" s="154">
        <v>2</v>
      </c>
      <c r="H201" s="154">
        <v>0</v>
      </c>
      <c r="I201" s="154">
        <v>0</v>
      </c>
      <c r="J201" s="154">
        <v>0</v>
      </c>
      <c r="K201" s="154">
        <v>1.4999999999999999E-2</v>
      </c>
      <c r="L201" s="154">
        <v>0.24199999999999999</v>
      </c>
      <c r="M201" s="154">
        <v>0.34599999999999997</v>
      </c>
      <c r="N201" s="154">
        <v>0.434</v>
      </c>
      <c r="O201" s="108">
        <f t="shared" si="15"/>
        <v>15.133333333333333</v>
      </c>
      <c r="P201" s="108">
        <f t="shared" si="16"/>
        <v>0.42975206611570238</v>
      </c>
      <c r="Q201" s="108">
        <f t="shared" si="17"/>
        <v>0.25433526011560703</v>
      </c>
      <c r="S201" s="109">
        <f t="shared" si="18"/>
        <v>27.933333333333334</v>
      </c>
      <c r="T201" s="109">
        <f t="shared" si="19"/>
        <v>0.79338842975206614</v>
      </c>
    </row>
    <row r="202" spans="1:20">
      <c r="A202" s="154">
        <v>441</v>
      </c>
      <c r="B202" s="156">
        <v>603566</v>
      </c>
      <c r="C202" s="133" t="s">
        <v>2516</v>
      </c>
      <c r="D202" s="155" t="s">
        <v>2324</v>
      </c>
      <c r="E202" s="154">
        <v>12</v>
      </c>
      <c r="F202" s="154">
        <v>10</v>
      </c>
      <c r="G202" s="154">
        <v>2</v>
      </c>
      <c r="H202" s="154">
        <v>0</v>
      </c>
      <c r="I202" s="154">
        <v>0</v>
      </c>
      <c r="J202" s="154">
        <v>0</v>
      </c>
      <c r="K202" s="154">
        <v>0.42199999999999999</v>
      </c>
      <c r="L202" s="154">
        <v>0.40500000000000003</v>
      </c>
      <c r="M202" s="154">
        <v>0.52300000000000002</v>
      </c>
      <c r="N202" s="154">
        <v>0.72599999999999998</v>
      </c>
      <c r="O202" s="108">
        <f t="shared" si="15"/>
        <v>-4.0284360189573376E-2</v>
      </c>
      <c r="P202" s="108">
        <f t="shared" si="16"/>
        <v>0.29135802469135808</v>
      </c>
      <c r="Q202" s="108">
        <f t="shared" si="17"/>
        <v>0.38814531548757158</v>
      </c>
      <c r="S202" s="109">
        <f t="shared" si="18"/>
        <v>0.72037914691943139</v>
      </c>
      <c r="T202" s="109">
        <f t="shared" si="19"/>
        <v>0.79259259259259252</v>
      </c>
    </row>
    <row r="203" spans="1:20">
      <c r="A203" s="154">
        <v>576</v>
      </c>
      <c r="B203" s="156">
        <v>601155</v>
      </c>
      <c r="C203" s="133" t="s">
        <v>2517</v>
      </c>
      <c r="D203" s="155" t="s">
        <v>2324</v>
      </c>
      <c r="E203" s="154">
        <v>8</v>
      </c>
      <c r="F203" s="154">
        <v>7</v>
      </c>
      <c r="G203" s="154">
        <v>1</v>
      </c>
      <c r="H203" s="154">
        <v>0</v>
      </c>
      <c r="I203" s="154">
        <v>0</v>
      </c>
      <c r="J203" s="154">
        <v>0</v>
      </c>
      <c r="K203" s="154">
        <v>4.649</v>
      </c>
      <c r="L203" s="154">
        <v>5.76</v>
      </c>
      <c r="M203" s="154">
        <v>7.9130000000000003</v>
      </c>
      <c r="N203" s="154">
        <v>10.317</v>
      </c>
      <c r="O203" s="108">
        <f t="shared" si="15"/>
        <v>0.23897612389761225</v>
      </c>
      <c r="P203" s="108">
        <f t="shared" si="16"/>
        <v>0.37378472222222237</v>
      </c>
      <c r="Q203" s="108">
        <f t="shared" si="17"/>
        <v>0.30380386705421447</v>
      </c>
      <c r="S203" s="109">
        <f t="shared" si="18"/>
        <v>1.2191869219186922</v>
      </c>
      <c r="T203" s="109">
        <f t="shared" si="19"/>
        <v>0.79114583333333344</v>
      </c>
    </row>
    <row r="204" spans="1:20">
      <c r="A204" s="154">
        <v>233</v>
      </c>
      <c r="B204" s="156">
        <v>601808</v>
      </c>
      <c r="C204" s="133" t="s">
        <v>2518</v>
      </c>
      <c r="D204" s="155" t="s">
        <v>2324</v>
      </c>
      <c r="E204" s="154">
        <v>20</v>
      </c>
      <c r="F204" s="154">
        <v>14</v>
      </c>
      <c r="G204" s="154">
        <v>6</v>
      </c>
      <c r="H204" s="154">
        <v>0</v>
      </c>
      <c r="I204" s="154">
        <v>0</v>
      </c>
      <c r="J204" s="154">
        <v>0</v>
      </c>
      <c r="K204" s="154">
        <v>1.4999999999999999E-2</v>
      </c>
      <c r="L204" s="154">
        <v>0.53200000000000003</v>
      </c>
      <c r="M204" s="154">
        <v>0.73799999999999999</v>
      </c>
      <c r="N204" s="154">
        <v>0.95199999999999996</v>
      </c>
      <c r="O204" s="108">
        <f t="shared" si="15"/>
        <v>34.466666666666669</v>
      </c>
      <c r="P204" s="108">
        <f t="shared" si="16"/>
        <v>0.38721804511278179</v>
      </c>
      <c r="Q204" s="108">
        <f t="shared" si="17"/>
        <v>0.2899728997289972</v>
      </c>
      <c r="S204" s="109">
        <f t="shared" si="18"/>
        <v>62.466666666666669</v>
      </c>
      <c r="T204" s="109">
        <f t="shared" si="19"/>
        <v>0.78947368421052611</v>
      </c>
    </row>
    <row r="205" spans="1:20">
      <c r="A205" s="154">
        <v>574</v>
      </c>
      <c r="B205" s="156">
        <v>603260</v>
      </c>
      <c r="C205" s="133" t="s">
        <v>2519</v>
      </c>
      <c r="D205" s="155" t="s">
        <v>2324</v>
      </c>
      <c r="E205" s="154">
        <v>8</v>
      </c>
      <c r="F205" s="154">
        <v>1</v>
      </c>
      <c r="G205" s="154">
        <v>7</v>
      </c>
      <c r="H205" s="154">
        <v>0</v>
      </c>
      <c r="I205" s="154">
        <v>0</v>
      </c>
      <c r="J205" s="154">
        <v>0</v>
      </c>
      <c r="K205" s="154">
        <v>2.9910000000000001</v>
      </c>
      <c r="L205" s="154">
        <v>1.643</v>
      </c>
      <c r="M205" s="154">
        <v>2.306</v>
      </c>
      <c r="N205" s="154">
        <v>2.9369999999999998</v>
      </c>
      <c r="O205" s="108">
        <f t="shared" si="15"/>
        <v>-0.4506853895018389</v>
      </c>
      <c r="P205" s="108">
        <f t="shared" si="16"/>
        <v>0.40353012781497255</v>
      </c>
      <c r="Q205" s="108">
        <f t="shared" si="17"/>
        <v>0.27363399826539458</v>
      </c>
      <c r="S205" s="109">
        <f t="shared" si="18"/>
        <v>-1.80541624874625E-2</v>
      </c>
      <c r="T205" s="109">
        <f t="shared" si="19"/>
        <v>0.78758368837492387</v>
      </c>
    </row>
    <row r="206" spans="1:20">
      <c r="A206" s="154">
        <v>54</v>
      </c>
      <c r="B206" s="156">
        <v>2202</v>
      </c>
      <c r="C206" s="133" t="s">
        <v>2520</v>
      </c>
      <c r="D206" s="155" t="s">
        <v>2324</v>
      </c>
      <c r="E206" s="154">
        <v>38</v>
      </c>
      <c r="F206" s="154">
        <v>33</v>
      </c>
      <c r="G206" s="154">
        <v>5</v>
      </c>
      <c r="H206" s="154">
        <v>0</v>
      </c>
      <c r="I206" s="154">
        <v>0</v>
      </c>
      <c r="J206" s="154">
        <v>0</v>
      </c>
      <c r="K206" s="154">
        <v>0.76100000000000001</v>
      </c>
      <c r="L206" s="154">
        <v>0.71</v>
      </c>
      <c r="M206" s="154">
        <v>1.04</v>
      </c>
      <c r="N206" s="154">
        <v>1.2689999999999999</v>
      </c>
      <c r="O206" s="108">
        <f t="shared" si="15"/>
        <v>-6.7017082785808202E-2</v>
      </c>
      <c r="P206" s="108">
        <f t="shared" si="16"/>
        <v>0.46478873239436624</v>
      </c>
      <c r="Q206" s="108">
        <f t="shared" si="17"/>
        <v>0.22019230769230758</v>
      </c>
      <c r="S206" s="109">
        <f t="shared" si="18"/>
        <v>0.66754270696452012</v>
      </c>
      <c r="T206" s="109">
        <f t="shared" si="19"/>
        <v>0.78732394366197189</v>
      </c>
    </row>
    <row r="207" spans="1:20">
      <c r="A207" s="154">
        <v>303</v>
      </c>
      <c r="B207" s="156">
        <v>300529</v>
      </c>
      <c r="C207" s="133" t="s">
        <v>2521</v>
      </c>
      <c r="D207" s="155" t="s">
        <v>2324</v>
      </c>
      <c r="E207" s="154">
        <v>16</v>
      </c>
      <c r="F207" s="154">
        <v>16</v>
      </c>
      <c r="G207" s="154">
        <v>0</v>
      </c>
      <c r="H207" s="154">
        <v>0</v>
      </c>
      <c r="I207" s="154">
        <v>0</v>
      </c>
      <c r="J207" s="154">
        <v>0</v>
      </c>
      <c r="K207" s="154">
        <v>0.96</v>
      </c>
      <c r="L207" s="154">
        <v>1.3320000000000001</v>
      </c>
      <c r="M207" s="154">
        <v>1.798</v>
      </c>
      <c r="N207" s="154">
        <v>2.38</v>
      </c>
      <c r="O207" s="108">
        <f t="shared" si="15"/>
        <v>0.38750000000000018</v>
      </c>
      <c r="P207" s="108">
        <f t="shared" si="16"/>
        <v>0.3498498498498499</v>
      </c>
      <c r="Q207" s="108">
        <f t="shared" si="17"/>
        <v>0.32369299221357051</v>
      </c>
      <c r="S207" s="109">
        <f t="shared" si="18"/>
        <v>1.4791666666666665</v>
      </c>
      <c r="T207" s="109">
        <f t="shared" si="19"/>
        <v>0.7867867867867866</v>
      </c>
    </row>
    <row r="208" spans="1:20">
      <c r="A208" s="154">
        <v>113</v>
      </c>
      <c r="B208" s="156">
        <v>603338</v>
      </c>
      <c r="C208" s="133" t="s">
        <v>2522</v>
      </c>
      <c r="D208" s="155" t="s">
        <v>2324</v>
      </c>
      <c r="E208" s="154">
        <v>29</v>
      </c>
      <c r="F208" s="154">
        <v>19</v>
      </c>
      <c r="G208" s="154">
        <v>8</v>
      </c>
      <c r="H208" s="154">
        <v>2</v>
      </c>
      <c r="I208" s="154">
        <v>0</v>
      </c>
      <c r="J208" s="154">
        <v>0</v>
      </c>
      <c r="K208" s="154">
        <v>1.385</v>
      </c>
      <c r="L208" s="154">
        <v>1.6930000000000001</v>
      </c>
      <c r="M208" s="154">
        <v>2.2909999999999999</v>
      </c>
      <c r="N208" s="154">
        <v>3.024</v>
      </c>
      <c r="O208" s="108">
        <f t="shared" si="15"/>
        <v>0.22238267148014446</v>
      </c>
      <c r="P208" s="108">
        <f t="shared" si="16"/>
        <v>0.35321913762551671</v>
      </c>
      <c r="Q208" s="108">
        <f t="shared" si="17"/>
        <v>0.31994762112614583</v>
      </c>
      <c r="S208" s="109">
        <f t="shared" si="18"/>
        <v>1.1833935018050541</v>
      </c>
      <c r="T208" s="109">
        <f t="shared" si="19"/>
        <v>0.78617838157117537</v>
      </c>
    </row>
    <row r="209" spans="1:20">
      <c r="A209" s="154">
        <v>231</v>
      </c>
      <c r="B209" s="156">
        <v>2583</v>
      </c>
      <c r="C209" s="133" t="s">
        <v>2523</v>
      </c>
      <c r="D209" s="155" t="s">
        <v>2324</v>
      </c>
      <c r="E209" s="154">
        <v>20</v>
      </c>
      <c r="F209" s="154">
        <v>15</v>
      </c>
      <c r="G209" s="154">
        <v>5</v>
      </c>
      <c r="H209" s="154">
        <v>0</v>
      </c>
      <c r="I209" s="154">
        <v>0</v>
      </c>
      <c r="J209" s="154">
        <v>0</v>
      </c>
      <c r="K209" s="154">
        <v>0.25900000000000001</v>
      </c>
      <c r="L209" s="154">
        <v>0.35399999999999998</v>
      </c>
      <c r="M209" s="154">
        <v>0.48699999999999999</v>
      </c>
      <c r="N209" s="154">
        <v>0.63200000000000001</v>
      </c>
      <c r="O209" s="108">
        <f t="shared" si="15"/>
        <v>0.36679536679536673</v>
      </c>
      <c r="P209" s="108">
        <f t="shared" si="16"/>
        <v>0.37570621468926557</v>
      </c>
      <c r="Q209" s="108">
        <f t="shared" si="17"/>
        <v>0.29774127310061616</v>
      </c>
      <c r="S209" s="109">
        <f t="shared" si="18"/>
        <v>1.4401544401544402</v>
      </c>
      <c r="T209" s="109">
        <f t="shared" si="19"/>
        <v>0.78531073446327704</v>
      </c>
    </row>
    <row r="210" spans="1:20">
      <c r="A210" s="154">
        <v>239</v>
      </c>
      <c r="B210" s="156">
        <v>603707</v>
      </c>
      <c r="C210" s="133" t="s">
        <v>2524</v>
      </c>
      <c r="D210" s="155" t="s">
        <v>2324</v>
      </c>
      <c r="E210" s="154">
        <v>19</v>
      </c>
      <c r="F210" s="154">
        <v>13</v>
      </c>
      <c r="G210" s="154">
        <v>6</v>
      </c>
      <c r="H210" s="154">
        <v>0</v>
      </c>
      <c r="I210" s="154">
        <v>0</v>
      </c>
      <c r="J210" s="154">
        <v>0</v>
      </c>
      <c r="K210" s="154">
        <v>0.59099999999999997</v>
      </c>
      <c r="L210" s="154">
        <v>0.82699999999999996</v>
      </c>
      <c r="M210" s="154">
        <v>1.1279999999999999</v>
      </c>
      <c r="N210" s="154">
        <v>1.476</v>
      </c>
      <c r="O210" s="108">
        <f t="shared" si="15"/>
        <v>0.39932318104906939</v>
      </c>
      <c r="P210" s="108">
        <f t="shared" si="16"/>
        <v>0.36396614268440142</v>
      </c>
      <c r="Q210" s="108">
        <f t="shared" si="17"/>
        <v>0.3085106382978724</v>
      </c>
      <c r="S210" s="109">
        <f t="shared" si="18"/>
        <v>1.4974619289340101</v>
      </c>
      <c r="T210" s="109">
        <f t="shared" si="19"/>
        <v>0.78476420798065294</v>
      </c>
    </row>
    <row r="211" spans="1:20">
      <c r="A211" s="154">
        <v>729</v>
      </c>
      <c r="B211" s="156">
        <v>603496</v>
      </c>
      <c r="C211" s="133" t="s">
        <v>2525</v>
      </c>
      <c r="D211" s="155" t="s">
        <v>2324</v>
      </c>
      <c r="E211" s="154">
        <v>6</v>
      </c>
      <c r="F211" s="154">
        <v>3</v>
      </c>
      <c r="G211" s="154">
        <v>3</v>
      </c>
      <c r="H211" s="154">
        <v>0</v>
      </c>
      <c r="I211" s="154">
        <v>0</v>
      </c>
      <c r="J211" s="154">
        <v>0</v>
      </c>
      <c r="K211" s="154">
        <v>0.51900000000000002</v>
      </c>
      <c r="L211" s="154">
        <v>0.58399999999999996</v>
      </c>
      <c r="M211" s="154">
        <v>0.80200000000000005</v>
      </c>
      <c r="N211" s="154">
        <v>1.042</v>
      </c>
      <c r="O211" s="108">
        <f t="shared" si="15"/>
        <v>0.12524084778420019</v>
      </c>
      <c r="P211" s="108">
        <f t="shared" si="16"/>
        <v>0.37328767123287698</v>
      </c>
      <c r="Q211" s="108">
        <f t="shared" si="17"/>
        <v>0.29925187032418954</v>
      </c>
      <c r="S211" s="109">
        <f t="shared" si="18"/>
        <v>1.0077071290944124</v>
      </c>
      <c r="T211" s="109">
        <f t="shared" si="19"/>
        <v>0.78424657534246589</v>
      </c>
    </row>
    <row r="212" spans="1:20">
      <c r="A212" s="154">
        <v>232</v>
      </c>
      <c r="B212" s="156">
        <v>2258</v>
      </c>
      <c r="C212" s="133" t="s">
        <v>2526</v>
      </c>
      <c r="D212" s="155" t="s">
        <v>2324</v>
      </c>
      <c r="E212" s="154">
        <v>20</v>
      </c>
      <c r="F212" s="154">
        <v>8</v>
      </c>
      <c r="G212" s="154">
        <v>12</v>
      </c>
      <c r="H212" s="154">
        <v>0</v>
      </c>
      <c r="I212" s="154">
        <v>0</v>
      </c>
      <c r="J212" s="154">
        <v>0</v>
      </c>
      <c r="K212" s="154">
        <v>1.1020000000000001</v>
      </c>
      <c r="L212" s="154">
        <v>0.69</v>
      </c>
      <c r="M212" s="154">
        <v>0.95099999999999996</v>
      </c>
      <c r="N212" s="154">
        <v>1.23</v>
      </c>
      <c r="O212" s="108">
        <f t="shared" si="15"/>
        <v>-0.37386569872958264</v>
      </c>
      <c r="P212" s="108">
        <f t="shared" si="16"/>
        <v>0.37826086956521743</v>
      </c>
      <c r="Q212" s="108">
        <f t="shared" si="17"/>
        <v>0.29337539432176651</v>
      </c>
      <c r="S212" s="109">
        <f t="shared" si="18"/>
        <v>0.11615245009074404</v>
      </c>
      <c r="T212" s="109">
        <f t="shared" si="19"/>
        <v>0.78260869565217406</v>
      </c>
    </row>
    <row r="213" spans="1:20">
      <c r="A213" s="154">
        <v>723</v>
      </c>
      <c r="B213" s="156">
        <v>300673</v>
      </c>
      <c r="C213" s="133" t="s">
        <v>2527</v>
      </c>
      <c r="D213" s="155" t="s">
        <v>2324</v>
      </c>
      <c r="E213" s="154">
        <v>6</v>
      </c>
      <c r="F213" s="154">
        <v>3</v>
      </c>
      <c r="G213" s="154">
        <v>3</v>
      </c>
      <c r="H213" s="154">
        <v>0</v>
      </c>
      <c r="I213" s="154">
        <v>0</v>
      </c>
      <c r="J213" s="154">
        <v>0</v>
      </c>
      <c r="K213" s="154">
        <v>0.95699999999999996</v>
      </c>
      <c r="L213" s="154">
        <v>0.77900000000000003</v>
      </c>
      <c r="M213" s="154">
        <v>1.0589999999999999</v>
      </c>
      <c r="N213" s="154">
        <v>1.3879999999999999</v>
      </c>
      <c r="O213" s="108">
        <f t="shared" si="15"/>
        <v>-0.1859979101358411</v>
      </c>
      <c r="P213" s="108">
        <f t="shared" si="16"/>
        <v>0.35943517329910124</v>
      </c>
      <c r="Q213" s="108">
        <f t="shared" si="17"/>
        <v>0.31067044381491971</v>
      </c>
      <c r="S213" s="109">
        <f t="shared" si="18"/>
        <v>0.45036572622779514</v>
      </c>
      <c r="T213" s="109">
        <f t="shared" si="19"/>
        <v>0.78177150192554534</v>
      </c>
    </row>
    <row r="214" spans="1:20">
      <c r="A214" s="154">
        <v>793</v>
      </c>
      <c r="B214" s="156">
        <v>300735</v>
      </c>
      <c r="C214" s="133" t="s">
        <v>2528</v>
      </c>
      <c r="D214" s="155" t="s">
        <v>2324</v>
      </c>
      <c r="E214" s="154">
        <v>5</v>
      </c>
      <c r="F214" s="154">
        <v>5</v>
      </c>
      <c r="G214" s="154">
        <v>0</v>
      </c>
      <c r="H214" s="154">
        <v>0</v>
      </c>
      <c r="I214" s="154">
        <v>0</v>
      </c>
      <c r="J214" s="154">
        <v>0</v>
      </c>
      <c r="K214" s="154">
        <v>0.59299999999999997</v>
      </c>
      <c r="L214" s="154">
        <v>0.91300000000000003</v>
      </c>
      <c r="M214" s="154">
        <v>1.2130000000000001</v>
      </c>
      <c r="N214" s="154">
        <v>1.6240000000000001</v>
      </c>
      <c r="O214" s="108">
        <f t="shared" si="15"/>
        <v>0.539629005059022</v>
      </c>
      <c r="P214" s="108">
        <f t="shared" si="16"/>
        <v>0.32858707557502731</v>
      </c>
      <c r="Q214" s="108">
        <f t="shared" si="17"/>
        <v>0.33882934872217652</v>
      </c>
      <c r="S214" s="109">
        <f t="shared" si="18"/>
        <v>1.7386172006745366</v>
      </c>
      <c r="T214" s="109">
        <f t="shared" si="19"/>
        <v>0.77875136911281495</v>
      </c>
    </row>
    <row r="215" spans="1:20">
      <c r="A215" s="154">
        <v>801</v>
      </c>
      <c r="B215" s="156">
        <v>300735</v>
      </c>
      <c r="C215" s="133" t="s">
        <v>2528</v>
      </c>
      <c r="D215" s="155" t="s">
        <v>2324</v>
      </c>
      <c r="E215" s="154">
        <v>5</v>
      </c>
      <c r="F215" s="154">
        <v>5</v>
      </c>
      <c r="G215" s="154">
        <v>0</v>
      </c>
      <c r="H215" s="154">
        <v>0</v>
      </c>
      <c r="I215" s="154">
        <v>0</v>
      </c>
      <c r="J215" s="154">
        <v>0</v>
      </c>
      <c r="K215" s="154">
        <v>0.59299999999999997</v>
      </c>
      <c r="L215" s="154">
        <v>0.91300000000000003</v>
      </c>
      <c r="M215" s="154">
        <v>1.2130000000000001</v>
      </c>
      <c r="N215" s="154">
        <v>1.6240000000000001</v>
      </c>
      <c r="O215" s="108">
        <f t="shared" si="15"/>
        <v>0.539629005059022</v>
      </c>
      <c r="P215" s="108">
        <f t="shared" si="16"/>
        <v>0.32858707557502731</v>
      </c>
      <c r="Q215" s="108">
        <f t="shared" si="17"/>
        <v>0.33882934872217652</v>
      </c>
      <c r="S215" s="109">
        <f t="shared" si="18"/>
        <v>1.7386172006745366</v>
      </c>
      <c r="T215" s="109">
        <f t="shared" si="19"/>
        <v>0.77875136911281495</v>
      </c>
    </row>
    <row r="216" spans="1:20">
      <c r="A216" s="154">
        <v>477</v>
      </c>
      <c r="B216" s="156">
        <v>603179</v>
      </c>
      <c r="C216" s="133" t="s">
        <v>1506</v>
      </c>
      <c r="D216" s="155" t="s">
        <v>2324</v>
      </c>
      <c r="E216" s="154">
        <v>10</v>
      </c>
      <c r="F216" s="154">
        <v>8</v>
      </c>
      <c r="G216" s="154">
        <v>2</v>
      </c>
      <c r="H216" s="154">
        <v>0</v>
      </c>
      <c r="I216" s="154">
        <v>0</v>
      </c>
      <c r="J216" s="154">
        <v>0</v>
      </c>
      <c r="K216" s="154">
        <v>1.2390000000000001</v>
      </c>
      <c r="L216" s="154">
        <v>0.88500000000000001</v>
      </c>
      <c r="M216" s="154">
        <v>1.2170000000000001</v>
      </c>
      <c r="N216" s="154">
        <v>1.5740000000000001</v>
      </c>
      <c r="O216" s="108">
        <f t="shared" si="15"/>
        <v>-0.28571428571428581</v>
      </c>
      <c r="P216" s="108">
        <f t="shared" si="16"/>
        <v>0.37514124293785311</v>
      </c>
      <c r="Q216" s="108">
        <f t="shared" si="17"/>
        <v>0.29334428923582578</v>
      </c>
      <c r="S216" s="109">
        <f t="shared" si="18"/>
        <v>0.27037933817594828</v>
      </c>
      <c r="T216" s="109">
        <f t="shared" si="19"/>
        <v>0.77853107344632777</v>
      </c>
    </row>
    <row r="217" spans="1:20">
      <c r="A217" s="154">
        <v>937</v>
      </c>
      <c r="B217" s="156">
        <v>2539</v>
      </c>
      <c r="C217" s="133" t="s">
        <v>2529</v>
      </c>
      <c r="D217" s="155" t="s">
        <v>2324</v>
      </c>
      <c r="E217" s="154">
        <v>4</v>
      </c>
      <c r="F217" s="154">
        <v>2</v>
      </c>
      <c r="G217" s="154">
        <v>2</v>
      </c>
      <c r="H217" s="154">
        <v>0</v>
      </c>
      <c r="I217" s="154">
        <v>0</v>
      </c>
      <c r="J217" s="154">
        <v>0</v>
      </c>
      <c r="K217" s="154">
        <v>0.17399999999999999</v>
      </c>
      <c r="L217" s="154">
        <v>0.252</v>
      </c>
      <c r="M217" s="154">
        <v>0.35399999999999998</v>
      </c>
      <c r="N217" s="154">
        <v>0.44800000000000001</v>
      </c>
      <c r="O217" s="108">
        <f t="shared" si="15"/>
        <v>0.44827586206896552</v>
      </c>
      <c r="P217" s="108">
        <f t="shared" si="16"/>
        <v>0.40476190476190466</v>
      </c>
      <c r="Q217" s="108">
        <f t="shared" si="17"/>
        <v>0.26553672316384191</v>
      </c>
      <c r="S217" s="109">
        <f t="shared" si="18"/>
        <v>1.5747126436781613</v>
      </c>
      <c r="T217" s="109">
        <f t="shared" si="19"/>
        <v>0.7777777777777779</v>
      </c>
    </row>
    <row r="218" spans="1:20">
      <c r="A218" s="154">
        <v>705</v>
      </c>
      <c r="B218" s="156">
        <v>403</v>
      </c>
      <c r="C218" s="133" t="s">
        <v>2530</v>
      </c>
      <c r="D218" s="155" t="s">
        <v>2324</v>
      </c>
      <c r="E218" s="154">
        <v>6</v>
      </c>
      <c r="F218" s="154">
        <v>3</v>
      </c>
      <c r="G218" s="154">
        <v>3</v>
      </c>
      <c r="H218" s="154">
        <v>0</v>
      </c>
      <c r="I218" s="154">
        <v>0</v>
      </c>
      <c r="J218" s="154">
        <v>0</v>
      </c>
      <c r="K218" s="154">
        <v>0.29299999999999998</v>
      </c>
      <c r="L218" s="154">
        <v>0.70599999999999996</v>
      </c>
      <c r="M218" s="154">
        <v>0.97599999999999998</v>
      </c>
      <c r="N218" s="154">
        <v>1.2549999999999999</v>
      </c>
      <c r="O218" s="108">
        <f t="shared" si="15"/>
        <v>1.4095563139931739</v>
      </c>
      <c r="P218" s="108">
        <f t="shared" si="16"/>
        <v>0.38243626062322944</v>
      </c>
      <c r="Q218" s="108">
        <f t="shared" si="17"/>
        <v>0.28586065573770481</v>
      </c>
      <c r="S218" s="109">
        <f t="shared" si="18"/>
        <v>3.2832764505119449</v>
      </c>
      <c r="T218" s="109">
        <f t="shared" si="19"/>
        <v>0.77762039660056659</v>
      </c>
    </row>
    <row r="219" spans="1:20">
      <c r="A219" s="154">
        <v>120</v>
      </c>
      <c r="B219" s="156">
        <v>2368</v>
      </c>
      <c r="C219" s="133" t="s">
        <v>2531</v>
      </c>
      <c r="D219" s="155" t="s">
        <v>2324</v>
      </c>
      <c r="E219" s="154">
        <v>28</v>
      </c>
      <c r="F219" s="154">
        <v>22</v>
      </c>
      <c r="G219" s="154">
        <v>6</v>
      </c>
      <c r="H219" s="154">
        <v>0</v>
      </c>
      <c r="I219" s="154">
        <v>0</v>
      </c>
      <c r="J219" s="154">
        <v>0</v>
      </c>
      <c r="K219" s="154">
        <v>0.76600000000000001</v>
      </c>
      <c r="L219" s="154">
        <v>0.93200000000000005</v>
      </c>
      <c r="M219" s="154">
        <v>1.224</v>
      </c>
      <c r="N219" s="154">
        <v>1.6559999999999999</v>
      </c>
      <c r="O219" s="108">
        <f t="shared" si="15"/>
        <v>0.2167101827676241</v>
      </c>
      <c r="P219" s="108">
        <f t="shared" si="16"/>
        <v>0.31330472103004281</v>
      </c>
      <c r="Q219" s="108">
        <f t="shared" si="17"/>
        <v>0.35294117647058809</v>
      </c>
      <c r="S219" s="109">
        <f t="shared" si="18"/>
        <v>1.1618798955613574</v>
      </c>
      <c r="T219" s="109">
        <f t="shared" si="19"/>
        <v>0.77682403433476366</v>
      </c>
    </row>
    <row r="220" spans="1:20">
      <c r="A220" s="154">
        <v>534</v>
      </c>
      <c r="B220" s="156">
        <v>2324</v>
      </c>
      <c r="C220" s="133" t="s">
        <v>2532</v>
      </c>
      <c r="D220" s="155" t="s">
        <v>2324</v>
      </c>
      <c r="E220" s="154">
        <v>9</v>
      </c>
      <c r="F220" s="154">
        <v>2</v>
      </c>
      <c r="G220" s="154">
        <v>7</v>
      </c>
      <c r="H220" s="154">
        <v>0</v>
      </c>
      <c r="I220" s="154">
        <v>0</v>
      </c>
      <c r="J220" s="154">
        <v>0</v>
      </c>
      <c r="K220" s="154">
        <v>0.13700000000000001</v>
      </c>
      <c r="L220" s="154">
        <v>0.28199999999999997</v>
      </c>
      <c r="M220" s="154">
        <v>0.376</v>
      </c>
      <c r="N220" s="154">
        <v>0.501</v>
      </c>
      <c r="O220" s="108">
        <f t="shared" si="15"/>
        <v>1.0583941605839411</v>
      </c>
      <c r="P220" s="108">
        <f t="shared" si="16"/>
        <v>0.33333333333333348</v>
      </c>
      <c r="Q220" s="108">
        <f t="shared" si="17"/>
        <v>0.33244680851063824</v>
      </c>
      <c r="S220" s="109">
        <f t="shared" si="18"/>
        <v>2.6569343065693429</v>
      </c>
      <c r="T220" s="109">
        <f t="shared" si="19"/>
        <v>0.77659574468085113</v>
      </c>
    </row>
    <row r="221" spans="1:20">
      <c r="A221" s="154">
        <v>258</v>
      </c>
      <c r="B221" s="156">
        <v>601865</v>
      </c>
      <c r="C221" s="133" t="s">
        <v>2533</v>
      </c>
      <c r="D221" s="155" t="s">
        <v>2324</v>
      </c>
      <c r="E221" s="154">
        <v>19</v>
      </c>
      <c r="F221" s="154">
        <v>12</v>
      </c>
      <c r="G221" s="154">
        <v>7</v>
      </c>
      <c r="H221" s="154">
        <v>0</v>
      </c>
      <c r="I221" s="154">
        <v>0</v>
      </c>
      <c r="J221" s="154">
        <v>0</v>
      </c>
      <c r="K221" s="154">
        <v>0.20899999999999999</v>
      </c>
      <c r="L221" s="154">
        <v>9.4E-2</v>
      </c>
      <c r="M221" s="154">
        <v>0.13700000000000001</v>
      </c>
      <c r="N221" s="154">
        <v>0.16700000000000001</v>
      </c>
      <c r="O221" s="108">
        <f t="shared" si="15"/>
        <v>-0.55023923444976075</v>
      </c>
      <c r="P221" s="108">
        <f t="shared" si="16"/>
        <v>0.45744680851063846</v>
      </c>
      <c r="Q221" s="108">
        <f t="shared" si="17"/>
        <v>0.21897810218978098</v>
      </c>
      <c r="S221" s="109">
        <f t="shared" si="18"/>
        <v>-0.200956937799043</v>
      </c>
      <c r="T221" s="109">
        <f t="shared" si="19"/>
        <v>0.77659574468085113</v>
      </c>
    </row>
    <row r="222" spans="1:20">
      <c r="A222" s="154">
        <v>194</v>
      </c>
      <c r="B222" s="156">
        <v>300567</v>
      </c>
      <c r="C222" s="133" t="s">
        <v>2534</v>
      </c>
      <c r="D222" s="155" t="s">
        <v>2324</v>
      </c>
      <c r="E222" s="154">
        <v>22</v>
      </c>
      <c r="F222" s="154">
        <v>16</v>
      </c>
      <c r="G222" s="154">
        <v>6</v>
      </c>
      <c r="H222" s="154">
        <v>0</v>
      </c>
      <c r="I222" s="154">
        <v>0</v>
      </c>
      <c r="J222" s="154">
        <v>0</v>
      </c>
      <c r="K222" s="154">
        <v>1.177</v>
      </c>
      <c r="L222" s="154">
        <v>1.421</v>
      </c>
      <c r="M222" s="154">
        <v>1.885</v>
      </c>
      <c r="N222" s="154">
        <v>2.5230000000000001</v>
      </c>
      <c r="O222" s="108">
        <f t="shared" si="15"/>
        <v>0.20730671197960926</v>
      </c>
      <c r="P222" s="108">
        <f t="shared" si="16"/>
        <v>0.32653061224489788</v>
      </c>
      <c r="Q222" s="108">
        <f t="shared" si="17"/>
        <v>0.33846153846153859</v>
      </c>
      <c r="S222" s="109">
        <f t="shared" si="18"/>
        <v>1.1435853865760408</v>
      </c>
      <c r="T222" s="109">
        <f t="shared" si="19"/>
        <v>0.77551020408163263</v>
      </c>
    </row>
    <row r="223" spans="1:20">
      <c r="A223" s="154">
        <v>555</v>
      </c>
      <c r="B223" s="156">
        <v>600496</v>
      </c>
      <c r="C223" s="133" t="s">
        <v>2535</v>
      </c>
      <c r="D223" s="155" t="s">
        <v>2324</v>
      </c>
      <c r="E223" s="154">
        <v>8</v>
      </c>
      <c r="F223" s="154">
        <v>5</v>
      </c>
      <c r="G223" s="154">
        <v>3</v>
      </c>
      <c r="H223" s="154">
        <v>0</v>
      </c>
      <c r="I223" s="154">
        <v>0</v>
      </c>
      <c r="J223" s="154">
        <v>0</v>
      </c>
      <c r="K223" s="154">
        <v>0.1</v>
      </c>
      <c r="L223" s="154">
        <v>0.20899999999999999</v>
      </c>
      <c r="M223" s="154">
        <v>0.27800000000000002</v>
      </c>
      <c r="N223" s="154">
        <v>0.371</v>
      </c>
      <c r="O223" s="108">
        <f t="shared" si="15"/>
        <v>1.0899999999999999</v>
      </c>
      <c r="P223" s="108">
        <f t="shared" si="16"/>
        <v>0.33014354066985674</v>
      </c>
      <c r="Q223" s="108">
        <f t="shared" si="17"/>
        <v>0.33453237410071934</v>
      </c>
      <c r="S223" s="109">
        <f t="shared" si="18"/>
        <v>2.71</v>
      </c>
      <c r="T223" s="109">
        <f t="shared" si="19"/>
        <v>0.77511961722488043</v>
      </c>
    </row>
    <row r="224" spans="1:20">
      <c r="A224" s="154">
        <v>926</v>
      </c>
      <c r="B224" s="156">
        <v>300384</v>
      </c>
      <c r="C224" s="133" t="s">
        <v>2536</v>
      </c>
      <c r="D224" s="155" t="s">
        <v>2324</v>
      </c>
      <c r="E224" s="154">
        <v>4</v>
      </c>
      <c r="F224" s="154">
        <v>1</v>
      </c>
      <c r="G224" s="154">
        <v>3</v>
      </c>
      <c r="H224" s="154">
        <v>0</v>
      </c>
      <c r="I224" s="154">
        <v>0</v>
      </c>
      <c r="J224" s="154">
        <v>0</v>
      </c>
      <c r="K224" s="154">
        <v>0.35399999999999998</v>
      </c>
      <c r="L224" s="154">
        <v>0.65600000000000003</v>
      </c>
      <c r="M224" s="154">
        <v>0.88200000000000001</v>
      </c>
      <c r="N224" s="154">
        <v>1.1639999999999999</v>
      </c>
      <c r="O224" s="108">
        <f t="shared" si="15"/>
        <v>0.8531073446327686</v>
      </c>
      <c r="P224" s="108">
        <f t="shared" si="16"/>
        <v>0.34451219512195119</v>
      </c>
      <c r="Q224" s="108">
        <f t="shared" si="17"/>
        <v>0.3197278911564625</v>
      </c>
      <c r="S224" s="109">
        <f t="shared" si="18"/>
        <v>2.2881355932203391</v>
      </c>
      <c r="T224" s="109">
        <f t="shared" si="19"/>
        <v>0.77439024390243882</v>
      </c>
    </row>
    <row r="225" spans="1:20">
      <c r="A225" s="154">
        <v>632</v>
      </c>
      <c r="B225" s="156">
        <v>688088</v>
      </c>
      <c r="C225" s="133" t="s">
        <v>2537</v>
      </c>
      <c r="D225" s="155" t="s">
        <v>2324</v>
      </c>
      <c r="E225" s="154">
        <v>7</v>
      </c>
      <c r="F225" s="154">
        <v>4</v>
      </c>
      <c r="G225" s="154">
        <v>3</v>
      </c>
      <c r="H225" s="154">
        <v>0</v>
      </c>
      <c r="I225" s="154">
        <v>0</v>
      </c>
      <c r="J225" s="154">
        <v>0</v>
      </c>
      <c r="K225" s="154">
        <v>0.432</v>
      </c>
      <c r="L225" s="154">
        <v>0.53</v>
      </c>
      <c r="M225" s="154">
        <v>0.71</v>
      </c>
      <c r="N225" s="154">
        <v>0.94</v>
      </c>
      <c r="O225" s="108">
        <f t="shared" si="15"/>
        <v>0.22685185185185186</v>
      </c>
      <c r="P225" s="108">
        <f t="shared" si="16"/>
        <v>0.33962264150943389</v>
      </c>
      <c r="Q225" s="108">
        <f t="shared" si="17"/>
        <v>0.323943661971831</v>
      </c>
      <c r="S225" s="109">
        <f t="shared" si="18"/>
        <v>1.175925925925926</v>
      </c>
      <c r="T225" s="109">
        <f t="shared" si="19"/>
        <v>0.77358490566037719</v>
      </c>
    </row>
    <row r="226" spans="1:20">
      <c r="A226" s="154">
        <v>174</v>
      </c>
      <c r="B226" s="156">
        <v>300188</v>
      </c>
      <c r="C226" s="133" t="s">
        <v>2538</v>
      </c>
      <c r="D226" s="155" t="s">
        <v>2324</v>
      </c>
      <c r="E226" s="154">
        <v>24</v>
      </c>
      <c r="F226" s="154">
        <v>21</v>
      </c>
      <c r="G226" s="154">
        <v>3</v>
      </c>
      <c r="H226" s="154">
        <v>0</v>
      </c>
      <c r="I226" s="154">
        <v>0</v>
      </c>
      <c r="J226" s="154">
        <v>0</v>
      </c>
      <c r="K226" s="154">
        <v>0.377</v>
      </c>
      <c r="L226" s="154">
        <v>0.436</v>
      </c>
      <c r="M226" s="154">
        <v>0.57999999999999996</v>
      </c>
      <c r="N226" s="154">
        <v>0.77300000000000002</v>
      </c>
      <c r="O226" s="108">
        <f t="shared" si="15"/>
        <v>0.15649867374005311</v>
      </c>
      <c r="P226" s="108">
        <f t="shared" si="16"/>
        <v>0.33027522935779818</v>
      </c>
      <c r="Q226" s="108">
        <f t="shared" si="17"/>
        <v>0.33275862068965534</v>
      </c>
      <c r="S226" s="109">
        <f t="shared" si="18"/>
        <v>1.0503978779840848</v>
      </c>
      <c r="T226" s="109">
        <f t="shared" si="19"/>
        <v>0.77293577981651373</v>
      </c>
    </row>
    <row r="227" spans="1:20">
      <c r="A227" s="154">
        <v>522</v>
      </c>
      <c r="B227" s="156">
        <v>2791</v>
      </c>
      <c r="C227" s="133" t="s">
        <v>2539</v>
      </c>
      <c r="D227" s="155" t="s">
        <v>2324</v>
      </c>
      <c r="E227" s="154">
        <v>9</v>
      </c>
      <c r="F227" s="154">
        <v>9</v>
      </c>
      <c r="G227" s="154">
        <v>0</v>
      </c>
      <c r="H227" s="154">
        <v>0</v>
      </c>
      <c r="I227" s="154">
        <v>0</v>
      </c>
      <c r="J227" s="154">
        <v>0</v>
      </c>
      <c r="K227" s="154">
        <v>0.53500000000000003</v>
      </c>
      <c r="L227" s="154">
        <v>1.002</v>
      </c>
      <c r="M227" s="154">
        <v>1.3580000000000001</v>
      </c>
      <c r="N227" s="154">
        <v>1.776</v>
      </c>
      <c r="O227" s="108">
        <f t="shared" si="15"/>
        <v>0.87289719626168205</v>
      </c>
      <c r="P227" s="108">
        <f t="shared" si="16"/>
        <v>0.35528942115768469</v>
      </c>
      <c r="Q227" s="108">
        <f t="shared" si="17"/>
        <v>0.3078055964653903</v>
      </c>
      <c r="S227" s="109">
        <f t="shared" si="18"/>
        <v>2.3196261682242989</v>
      </c>
      <c r="T227" s="109">
        <f t="shared" si="19"/>
        <v>0.77245508982035926</v>
      </c>
    </row>
    <row r="228" spans="1:20">
      <c r="A228" s="154">
        <v>641</v>
      </c>
      <c r="B228" s="156">
        <v>2946</v>
      </c>
      <c r="C228" s="133" t="s">
        <v>2540</v>
      </c>
      <c r="D228" s="155" t="s">
        <v>2324</v>
      </c>
      <c r="E228" s="154">
        <v>7</v>
      </c>
      <c r="F228" s="154">
        <v>3</v>
      </c>
      <c r="G228" s="154">
        <v>4</v>
      </c>
      <c r="H228" s="154">
        <v>0</v>
      </c>
      <c r="I228" s="154">
        <v>0</v>
      </c>
      <c r="J228" s="154">
        <v>0</v>
      </c>
      <c r="K228" s="154">
        <v>0.28399999999999997</v>
      </c>
      <c r="L228" s="154">
        <v>0.32</v>
      </c>
      <c r="M228" s="154">
        <v>0.432</v>
      </c>
      <c r="N228" s="154">
        <v>0.56699999999999995</v>
      </c>
      <c r="O228" s="108">
        <f t="shared" si="15"/>
        <v>0.12676056338028174</v>
      </c>
      <c r="P228" s="108">
        <f t="shared" si="16"/>
        <v>0.34999999999999987</v>
      </c>
      <c r="Q228" s="108">
        <f t="shared" si="17"/>
        <v>0.3125</v>
      </c>
      <c r="S228" s="109">
        <f t="shared" si="18"/>
        <v>0.99647887323943651</v>
      </c>
      <c r="T228" s="109">
        <f t="shared" si="19"/>
        <v>0.77187499999999987</v>
      </c>
    </row>
    <row r="229" spans="1:20">
      <c r="A229" s="154">
        <v>565</v>
      </c>
      <c r="B229" s="156">
        <v>603712</v>
      </c>
      <c r="C229" s="133" t="s">
        <v>2541</v>
      </c>
      <c r="D229" s="155" t="s">
        <v>2324</v>
      </c>
      <c r="E229" s="154">
        <v>8</v>
      </c>
      <c r="F229" s="154">
        <v>4</v>
      </c>
      <c r="G229" s="154">
        <v>4</v>
      </c>
      <c r="H229" s="154">
        <v>0</v>
      </c>
      <c r="I229" s="154">
        <v>0</v>
      </c>
      <c r="J229" s="154">
        <v>0</v>
      </c>
      <c r="K229" s="154">
        <v>0.29099999999999998</v>
      </c>
      <c r="L229" s="154">
        <v>0.36599999999999999</v>
      </c>
      <c r="M229" s="154">
        <v>0.48399999999999999</v>
      </c>
      <c r="N229" s="154">
        <v>0.64800000000000002</v>
      </c>
      <c r="O229" s="108">
        <f t="shared" si="15"/>
        <v>0.25773195876288657</v>
      </c>
      <c r="P229" s="108">
        <f t="shared" si="16"/>
        <v>0.32240437158469937</v>
      </c>
      <c r="Q229" s="108">
        <f t="shared" si="17"/>
        <v>0.33884297520661155</v>
      </c>
      <c r="S229" s="109">
        <f t="shared" si="18"/>
        <v>1.2268041237113403</v>
      </c>
      <c r="T229" s="109">
        <f t="shared" si="19"/>
        <v>0.77049180327868871</v>
      </c>
    </row>
    <row r="230" spans="1:20">
      <c r="A230" s="154">
        <v>369</v>
      </c>
      <c r="B230" s="156">
        <v>600004</v>
      </c>
      <c r="C230" s="133" t="s">
        <v>2542</v>
      </c>
      <c r="D230" s="155" t="s">
        <v>2324</v>
      </c>
      <c r="E230" s="154">
        <v>14</v>
      </c>
      <c r="F230" s="154">
        <v>3</v>
      </c>
      <c r="G230" s="154">
        <v>9</v>
      </c>
      <c r="H230" s="154">
        <v>2</v>
      </c>
      <c r="I230" s="154">
        <v>0</v>
      </c>
      <c r="J230" s="154">
        <v>0</v>
      </c>
      <c r="K230" s="154">
        <v>0.54600000000000004</v>
      </c>
      <c r="L230" s="154">
        <v>0.41599999999999998</v>
      </c>
      <c r="M230" s="154">
        <v>0.57899999999999996</v>
      </c>
      <c r="N230" s="154">
        <v>0.73599999999999999</v>
      </c>
      <c r="O230" s="108">
        <f t="shared" si="15"/>
        <v>-0.23809523809523814</v>
      </c>
      <c r="P230" s="108">
        <f t="shared" si="16"/>
        <v>0.39182692307692313</v>
      </c>
      <c r="Q230" s="108">
        <f t="shared" si="17"/>
        <v>0.27115716753022467</v>
      </c>
      <c r="S230" s="109">
        <f t="shared" si="18"/>
        <v>0.34798534798534786</v>
      </c>
      <c r="T230" s="109">
        <f t="shared" si="19"/>
        <v>0.76923076923076938</v>
      </c>
    </row>
    <row r="231" spans="1:20">
      <c r="A231" s="154">
        <v>811</v>
      </c>
      <c r="B231" s="156">
        <v>603078</v>
      </c>
      <c r="C231" s="133" t="s">
        <v>2543</v>
      </c>
      <c r="D231" s="155" t="s">
        <v>2324</v>
      </c>
      <c r="E231" s="154">
        <v>5</v>
      </c>
      <c r="F231" s="154">
        <v>1</v>
      </c>
      <c r="G231" s="154">
        <v>4</v>
      </c>
      <c r="H231" s="154">
        <v>0</v>
      </c>
      <c r="I231" s="154">
        <v>0</v>
      </c>
      <c r="J231" s="154">
        <v>0</v>
      </c>
      <c r="K231" s="154">
        <v>0.36599999999999999</v>
      </c>
      <c r="L231" s="154">
        <v>0.497</v>
      </c>
      <c r="M231" s="154">
        <v>0.69799999999999995</v>
      </c>
      <c r="N231" s="154">
        <v>0.879</v>
      </c>
      <c r="O231" s="108">
        <f t="shared" si="15"/>
        <v>0.35792349726775963</v>
      </c>
      <c r="P231" s="108">
        <f t="shared" si="16"/>
        <v>0.40442655935613669</v>
      </c>
      <c r="Q231" s="108">
        <f t="shared" si="17"/>
        <v>0.25931232091690548</v>
      </c>
      <c r="S231" s="109">
        <f t="shared" si="18"/>
        <v>1.401639344262295</v>
      </c>
      <c r="T231" s="109">
        <f t="shared" si="19"/>
        <v>0.76861167002012065</v>
      </c>
    </row>
    <row r="232" spans="1:20">
      <c r="A232" s="154">
        <v>684</v>
      </c>
      <c r="B232" s="156">
        <v>600871</v>
      </c>
      <c r="C232" s="133" t="s">
        <v>2544</v>
      </c>
      <c r="D232" s="155" t="s">
        <v>2324</v>
      </c>
      <c r="E232" s="154">
        <v>7</v>
      </c>
      <c r="F232" s="154">
        <v>0</v>
      </c>
      <c r="G232" s="154">
        <v>7</v>
      </c>
      <c r="H232" s="154">
        <v>0</v>
      </c>
      <c r="I232" s="154">
        <v>0</v>
      </c>
      <c r="J232" s="154">
        <v>0</v>
      </c>
      <c r="K232" s="154">
        <v>7.0000000000000001E-3</v>
      </c>
      <c r="L232" s="154">
        <v>0.06</v>
      </c>
      <c r="M232" s="154">
        <v>9.0999999999999998E-2</v>
      </c>
      <c r="N232" s="154">
        <v>0.106</v>
      </c>
      <c r="O232" s="108">
        <f t="shared" si="15"/>
        <v>7.5714285714285712</v>
      </c>
      <c r="P232" s="108">
        <f t="shared" si="16"/>
        <v>0.51666666666666661</v>
      </c>
      <c r="Q232" s="108">
        <f t="shared" si="17"/>
        <v>0.16483516483516492</v>
      </c>
      <c r="S232" s="109">
        <f t="shared" si="18"/>
        <v>14.142857142857142</v>
      </c>
      <c r="T232" s="109">
        <f t="shared" si="19"/>
        <v>0.76666666666666661</v>
      </c>
    </row>
    <row r="233" spans="1:20">
      <c r="A233" s="154">
        <v>337</v>
      </c>
      <c r="B233" s="156">
        <v>671</v>
      </c>
      <c r="C233" s="133" t="s">
        <v>2545</v>
      </c>
      <c r="D233" s="155" t="s">
        <v>2324</v>
      </c>
      <c r="E233" s="154">
        <v>15</v>
      </c>
      <c r="F233" s="154">
        <v>9</v>
      </c>
      <c r="G233" s="154">
        <v>6</v>
      </c>
      <c r="H233" s="154">
        <v>0</v>
      </c>
      <c r="I233" s="154">
        <v>0</v>
      </c>
      <c r="J233" s="154">
        <v>0</v>
      </c>
      <c r="K233" s="154">
        <v>0.73899999999999999</v>
      </c>
      <c r="L233" s="154">
        <v>1.026</v>
      </c>
      <c r="M233" s="154">
        <v>1.39</v>
      </c>
      <c r="N233" s="154">
        <v>1.8109999999999999</v>
      </c>
      <c r="O233" s="108">
        <f t="shared" si="15"/>
        <v>0.38836265223274702</v>
      </c>
      <c r="P233" s="108">
        <f t="shared" si="16"/>
        <v>0.35477582846003886</v>
      </c>
      <c r="Q233" s="108">
        <f t="shared" si="17"/>
        <v>0.30287769784172669</v>
      </c>
      <c r="S233" s="109">
        <f t="shared" si="18"/>
        <v>1.4506089309878214</v>
      </c>
      <c r="T233" s="109">
        <f t="shared" si="19"/>
        <v>0.76510721247563351</v>
      </c>
    </row>
    <row r="234" spans="1:20">
      <c r="A234" s="154">
        <v>40</v>
      </c>
      <c r="B234" s="156">
        <v>300383</v>
      </c>
      <c r="C234" s="133" t="s">
        <v>2546</v>
      </c>
      <c r="D234" s="155" t="s">
        <v>2324</v>
      </c>
      <c r="E234" s="154">
        <v>42</v>
      </c>
      <c r="F234" s="154">
        <v>30</v>
      </c>
      <c r="G234" s="154">
        <v>12</v>
      </c>
      <c r="H234" s="154">
        <v>0</v>
      </c>
      <c r="I234" s="154">
        <v>0</v>
      </c>
      <c r="J234" s="154">
        <v>0</v>
      </c>
      <c r="K234" s="154">
        <v>0.433</v>
      </c>
      <c r="L234" s="154">
        <v>0.57299999999999995</v>
      </c>
      <c r="M234" s="154">
        <v>0.76200000000000001</v>
      </c>
      <c r="N234" s="154">
        <v>1.01</v>
      </c>
      <c r="O234" s="108">
        <f t="shared" si="15"/>
        <v>0.32332563510392598</v>
      </c>
      <c r="P234" s="108">
        <f t="shared" si="16"/>
        <v>0.32984293193717296</v>
      </c>
      <c r="Q234" s="108">
        <f t="shared" si="17"/>
        <v>0.32545931758530178</v>
      </c>
      <c r="S234" s="109">
        <f t="shared" si="18"/>
        <v>1.3325635103926099</v>
      </c>
      <c r="T234" s="109">
        <f t="shared" si="19"/>
        <v>0.76265270506108229</v>
      </c>
    </row>
    <row r="235" spans="1:20">
      <c r="A235" s="154">
        <v>118</v>
      </c>
      <c r="B235" s="156">
        <v>300596</v>
      </c>
      <c r="C235" s="133" t="s">
        <v>2547</v>
      </c>
      <c r="D235" s="155" t="s">
        <v>2324</v>
      </c>
      <c r="E235" s="154">
        <v>28</v>
      </c>
      <c r="F235" s="154">
        <v>20</v>
      </c>
      <c r="G235" s="154">
        <v>8</v>
      </c>
      <c r="H235" s="154">
        <v>0</v>
      </c>
      <c r="I235" s="154">
        <v>0</v>
      </c>
      <c r="J235" s="154">
        <v>0</v>
      </c>
      <c r="K235" s="154">
        <v>0.94199999999999995</v>
      </c>
      <c r="L235" s="154">
        <v>1.5169999999999999</v>
      </c>
      <c r="M235" s="154">
        <v>2.1</v>
      </c>
      <c r="N235" s="154">
        <v>2.673</v>
      </c>
      <c r="O235" s="108">
        <f t="shared" si="15"/>
        <v>0.61040339702760082</v>
      </c>
      <c r="P235" s="108">
        <f t="shared" si="16"/>
        <v>0.38431114040870162</v>
      </c>
      <c r="Q235" s="108">
        <f t="shared" si="17"/>
        <v>0.27285714285714291</v>
      </c>
      <c r="S235" s="109">
        <f t="shared" si="18"/>
        <v>1.8375796178343951</v>
      </c>
      <c r="T235" s="109">
        <f t="shared" si="19"/>
        <v>0.76203032300593287</v>
      </c>
    </row>
    <row r="236" spans="1:20">
      <c r="A236" s="154">
        <v>857</v>
      </c>
      <c r="B236" s="156">
        <v>2090</v>
      </c>
      <c r="C236" s="133" t="s">
        <v>2548</v>
      </c>
      <c r="D236" s="155" t="s">
        <v>2324</v>
      </c>
      <c r="E236" s="154">
        <v>5</v>
      </c>
      <c r="F236" s="154">
        <v>3</v>
      </c>
      <c r="G236" s="154">
        <v>2</v>
      </c>
      <c r="H236" s="154">
        <v>0</v>
      </c>
      <c r="I236" s="154">
        <v>0</v>
      </c>
      <c r="J236" s="154">
        <v>0</v>
      </c>
      <c r="K236" s="154">
        <v>0.22800000000000001</v>
      </c>
      <c r="L236" s="154">
        <v>0.38700000000000001</v>
      </c>
      <c r="M236" s="154">
        <v>0.53200000000000003</v>
      </c>
      <c r="N236" s="154">
        <v>0.68100000000000005</v>
      </c>
      <c r="O236" s="108">
        <f t="shared" si="15"/>
        <v>0.69736842105263164</v>
      </c>
      <c r="P236" s="108">
        <f t="shared" si="16"/>
        <v>0.3746770025839794</v>
      </c>
      <c r="Q236" s="108">
        <f t="shared" si="17"/>
        <v>0.28007518796992481</v>
      </c>
      <c r="S236" s="109">
        <f t="shared" si="18"/>
        <v>1.986842105263158</v>
      </c>
      <c r="T236" s="109">
        <f t="shared" si="19"/>
        <v>0.75968992248062017</v>
      </c>
    </row>
    <row r="237" spans="1:20">
      <c r="A237" s="154">
        <v>376</v>
      </c>
      <c r="B237" s="156">
        <v>603516</v>
      </c>
      <c r="C237" s="133" t="s">
        <v>2549</v>
      </c>
      <c r="D237" s="155" t="s">
        <v>2324</v>
      </c>
      <c r="E237" s="154">
        <v>13</v>
      </c>
      <c r="F237" s="154">
        <v>12</v>
      </c>
      <c r="G237" s="154">
        <v>1</v>
      </c>
      <c r="H237" s="154">
        <v>0</v>
      </c>
      <c r="I237" s="154">
        <v>0</v>
      </c>
      <c r="J237" s="154">
        <v>0</v>
      </c>
      <c r="K237" s="154">
        <v>0.64900000000000002</v>
      </c>
      <c r="L237" s="154">
        <v>0.92700000000000005</v>
      </c>
      <c r="M237" s="154">
        <v>1.256</v>
      </c>
      <c r="N237" s="154">
        <v>1.631</v>
      </c>
      <c r="O237" s="108">
        <f t="shared" si="15"/>
        <v>0.428351309707242</v>
      </c>
      <c r="P237" s="108">
        <f t="shared" si="16"/>
        <v>0.35490830636461701</v>
      </c>
      <c r="Q237" s="108">
        <f t="shared" si="17"/>
        <v>0.29856687898089174</v>
      </c>
      <c r="S237" s="109">
        <f t="shared" si="18"/>
        <v>1.5130970724191064</v>
      </c>
      <c r="T237" s="109">
        <f t="shared" si="19"/>
        <v>0.75943905070118656</v>
      </c>
    </row>
    <row r="238" spans="1:20">
      <c r="A238" s="154">
        <v>506</v>
      </c>
      <c r="B238" s="156">
        <v>688029</v>
      </c>
      <c r="C238" s="133" t="s">
        <v>2550</v>
      </c>
      <c r="D238" s="155" t="s">
        <v>2324</v>
      </c>
      <c r="E238" s="154">
        <v>9</v>
      </c>
      <c r="F238" s="154">
        <v>7</v>
      </c>
      <c r="G238" s="154">
        <v>1</v>
      </c>
      <c r="H238" s="154">
        <v>1</v>
      </c>
      <c r="I238" s="154">
        <v>0</v>
      </c>
      <c r="J238" s="154">
        <v>0</v>
      </c>
      <c r="K238" s="154">
        <v>1.4450000000000001</v>
      </c>
      <c r="L238" s="154">
        <v>2.077</v>
      </c>
      <c r="M238" s="154">
        <v>2.802</v>
      </c>
      <c r="N238" s="154">
        <v>3.6539999999999999</v>
      </c>
      <c r="O238" s="108">
        <f t="shared" si="15"/>
        <v>0.43737024221453269</v>
      </c>
      <c r="P238" s="108">
        <f t="shared" si="16"/>
        <v>0.3490611458834858</v>
      </c>
      <c r="Q238" s="108">
        <f t="shared" si="17"/>
        <v>0.3040685224839399</v>
      </c>
      <c r="S238" s="109">
        <f t="shared" si="18"/>
        <v>1.5287197231833907</v>
      </c>
      <c r="T238" s="109">
        <f t="shared" si="19"/>
        <v>0.75926817525276835</v>
      </c>
    </row>
    <row r="239" spans="1:20">
      <c r="A239" s="154">
        <v>498</v>
      </c>
      <c r="B239" s="156">
        <v>600409</v>
      </c>
      <c r="C239" s="133" t="s">
        <v>2551</v>
      </c>
      <c r="D239" s="155" t="s">
        <v>2324</v>
      </c>
      <c r="E239" s="154">
        <v>10</v>
      </c>
      <c r="F239" s="154">
        <v>4</v>
      </c>
      <c r="G239" s="154">
        <v>6</v>
      </c>
      <c r="H239" s="154">
        <v>0</v>
      </c>
      <c r="I239" s="154">
        <v>0</v>
      </c>
      <c r="J239" s="154">
        <v>0</v>
      </c>
      <c r="K239" s="154">
        <v>0.76800000000000002</v>
      </c>
      <c r="L239" s="154">
        <v>0.372</v>
      </c>
      <c r="M239" s="154">
        <v>0.504</v>
      </c>
      <c r="N239" s="154">
        <v>0.65300000000000002</v>
      </c>
      <c r="O239" s="108">
        <f t="shared" si="15"/>
        <v>-0.515625</v>
      </c>
      <c r="P239" s="108">
        <f t="shared" si="16"/>
        <v>0.35483870967741948</v>
      </c>
      <c r="Q239" s="108">
        <f t="shared" si="17"/>
        <v>0.29563492063492069</v>
      </c>
      <c r="S239" s="109">
        <f t="shared" si="18"/>
        <v>-0.14973958333333337</v>
      </c>
      <c r="T239" s="109">
        <f t="shared" si="19"/>
        <v>0.7553763440860215</v>
      </c>
    </row>
    <row r="240" spans="1:20">
      <c r="A240" s="154">
        <v>847</v>
      </c>
      <c r="B240" s="156">
        <v>2436</v>
      </c>
      <c r="C240" s="133" t="s">
        <v>2552</v>
      </c>
      <c r="D240" s="155" t="s">
        <v>2324</v>
      </c>
      <c r="E240" s="154">
        <v>5</v>
      </c>
      <c r="F240" s="154">
        <v>5</v>
      </c>
      <c r="G240" s="154">
        <v>0</v>
      </c>
      <c r="H240" s="154">
        <v>0</v>
      </c>
      <c r="I240" s="154">
        <v>0</v>
      </c>
      <c r="J240" s="154">
        <v>0</v>
      </c>
      <c r="K240" s="154">
        <v>0.14399999999999999</v>
      </c>
      <c r="L240" s="154">
        <v>0.19900000000000001</v>
      </c>
      <c r="M240" s="154">
        <v>0.26500000000000001</v>
      </c>
      <c r="N240" s="154">
        <v>0.34899999999999998</v>
      </c>
      <c r="O240" s="108">
        <f t="shared" si="15"/>
        <v>0.38194444444444464</v>
      </c>
      <c r="P240" s="108">
        <f t="shared" si="16"/>
        <v>0.33165829145728654</v>
      </c>
      <c r="Q240" s="108">
        <f t="shared" si="17"/>
        <v>0.31698113207547163</v>
      </c>
      <c r="S240" s="109">
        <f t="shared" si="18"/>
        <v>1.4236111111111112</v>
      </c>
      <c r="T240" s="109">
        <f t="shared" si="19"/>
        <v>0.75376884422110524</v>
      </c>
    </row>
    <row r="241" spans="1:20">
      <c r="A241" s="154">
        <v>851</v>
      </c>
      <c r="B241" s="156">
        <v>2436</v>
      </c>
      <c r="C241" s="133" t="s">
        <v>2552</v>
      </c>
      <c r="D241" s="155" t="s">
        <v>2324</v>
      </c>
      <c r="E241" s="154">
        <v>5</v>
      </c>
      <c r="F241" s="154">
        <v>5</v>
      </c>
      <c r="G241" s="154">
        <v>0</v>
      </c>
      <c r="H241" s="154">
        <v>0</v>
      </c>
      <c r="I241" s="154">
        <v>0</v>
      </c>
      <c r="J241" s="154">
        <v>0</v>
      </c>
      <c r="K241" s="154">
        <v>0.14399999999999999</v>
      </c>
      <c r="L241" s="154">
        <v>0.19900000000000001</v>
      </c>
      <c r="M241" s="154">
        <v>0.26500000000000001</v>
      </c>
      <c r="N241" s="154">
        <v>0.34899999999999998</v>
      </c>
      <c r="O241" s="108">
        <f t="shared" si="15"/>
        <v>0.38194444444444464</v>
      </c>
      <c r="P241" s="108">
        <f t="shared" si="16"/>
        <v>0.33165829145728654</v>
      </c>
      <c r="Q241" s="108">
        <f t="shared" si="17"/>
        <v>0.31698113207547163</v>
      </c>
      <c r="S241" s="109">
        <f t="shared" si="18"/>
        <v>1.4236111111111112</v>
      </c>
      <c r="T241" s="109">
        <f t="shared" si="19"/>
        <v>0.75376884422110524</v>
      </c>
    </row>
    <row r="242" spans="1:20">
      <c r="A242" s="154">
        <v>480</v>
      </c>
      <c r="B242" s="156">
        <v>300416</v>
      </c>
      <c r="C242" s="133" t="s">
        <v>2553</v>
      </c>
      <c r="D242" s="155" t="s">
        <v>2324</v>
      </c>
      <c r="E242" s="154">
        <v>10</v>
      </c>
      <c r="F242" s="154">
        <v>10</v>
      </c>
      <c r="G242" s="154">
        <v>0</v>
      </c>
      <c r="H242" s="154">
        <v>0</v>
      </c>
      <c r="I242" s="154">
        <v>0</v>
      </c>
      <c r="J242" s="154">
        <v>0</v>
      </c>
      <c r="K242" s="154">
        <v>0.53100000000000003</v>
      </c>
      <c r="L242" s="154">
        <v>0.67100000000000004</v>
      </c>
      <c r="M242" s="154">
        <v>0.89800000000000002</v>
      </c>
      <c r="N242" s="154">
        <v>1.1759999999999999</v>
      </c>
      <c r="O242" s="108">
        <f t="shared" si="15"/>
        <v>0.26365348399246713</v>
      </c>
      <c r="P242" s="108">
        <f t="shared" si="16"/>
        <v>0.33830104321907606</v>
      </c>
      <c r="Q242" s="108">
        <f t="shared" si="17"/>
        <v>0.3095768374164809</v>
      </c>
      <c r="S242" s="109">
        <f t="shared" si="18"/>
        <v>1.2146892655367227</v>
      </c>
      <c r="T242" s="109">
        <f t="shared" si="19"/>
        <v>0.75260804769001477</v>
      </c>
    </row>
    <row r="243" spans="1:20">
      <c r="A243" s="154">
        <v>813</v>
      </c>
      <c r="B243" s="156">
        <v>603040</v>
      </c>
      <c r="C243" s="133" t="s">
        <v>2554</v>
      </c>
      <c r="D243" s="155" t="s">
        <v>2324</v>
      </c>
      <c r="E243" s="154">
        <v>5</v>
      </c>
      <c r="F243" s="154">
        <v>2</v>
      </c>
      <c r="G243" s="154">
        <v>3</v>
      </c>
      <c r="H243" s="154">
        <v>0</v>
      </c>
      <c r="I243" s="154">
        <v>0</v>
      </c>
      <c r="J243" s="154">
        <v>0</v>
      </c>
      <c r="K243" s="154">
        <v>1.29</v>
      </c>
      <c r="L243" s="154">
        <v>1.5680000000000001</v>
      </c>
      <c r="M243" s="154">
        <v>2.056</v>
      </c>
      <c r="N243" s="154">
        <v>2.7440000000000002</v>
      </c>
      <c r="O243" s="108">
        <f t="shared" si="15"/>
        <v>0.21550387596899223</v>
      </c>
      <c r="P243" s="108">
        <f t="shared" si="16"/>
        <v>0.31122448979591844</v>
      </c>
      <c r="Q243" s="108">
        <f t="shared" si="17"/>
        <v>0.33463035019455267</v>
      </c>
      <c r="S243" s="109">
        <f t="shared" si="18"/>
        <v>1.1271317829457366</v>
      </c>
      <c r="T243" s="109">
        <f t="shared" si="19"/>
        <v>0.75</v>
      </c>
    </row>
    <row r="244" spans="1:20">
      <c r="A244" s="154">
        <v>787</v>
      </c>
      <c r="B244" s="156">
        <v>688363</v>
      </c>
      <c r="C244" s="133" t="s">
        <v>2555</v>
      </c>
      <c r="D244" s="155" t="s">
        <v>2324</v>
      </c>
      <c r="E244" s="154">
        <v>5</v>
      </c>
      <c r="F244" s="154">
        <v>4</v>
      </c>
      <c r="G244" s="154">
        <v>1</v>
      </c>
      <c r="H244" s="154">
        <v>0</v>
      </c>
      <c r="I244" s="154">
        <v>0</v>
      </c>
      <c r="J244" s="154">
        <v>0</v>
      </c>
      <c r="K244" s="154">
        <v>0.88300000000000001</v>
      </c>
      <c r="L244" s="154">
        <v>1.214</v>
      </c>
      <c r="M244" s="154">
        <v>1.62</v>
      </c>
      <c r="N244" s="154">
        <v>2.121</v>
      </c>
      <c r="O244" s="108">
        <f t="shared" si="15"/>
        <v>0.37485843714609279</v>
      </c>
      <c r="P244" s="108">
        <f t="shared" si="16"/>
        <v>0.33443163097199347</v>
      </c>
      <c r="Q244" s="108">
        <f t="shared" si="17"/>
        <v>0.30925925925925912</v>
      </c>
      <c r="S244" s="109">
        <f t="shared" si="18"/>
        <v>1.4020385050962627</v>
      </c>
      <c r="T244" s="109">
        <f t="shared" si="19"/>
        <v>0.74711696869851729</v>
      </c>
    </row>
    <row r="245" spans="1:20">
      <c r="A245" s="154">
        <v>143</v>
      </c>
      <c r="B245" s="156">
        <v>2138</v>
      </c>
      <c r="C245" s="133" t="s">
        <v>2556</v>
      </c>
      <c r="D245" s="155" t="s">
        <v>2324</v>
      </c>
      <c r="E245" s="154">
        <v>26</v>
      </c>
      <c r="F245" s="154">
        <v>19</v>
      </c>
      <c r="G245" s="154">
        <v>7</v>
      </c>
      <c r="H245" s="154">
        <v>0</v>
      </c>
      <c r="I245" s="154">
        <v>0</v>
      </c>
      <c r="J245" s="154">
        <v>0</v>
      </c>
      <c r="K245" s="154">
        <v>0.59399999999999997</v>
      </c>
      <c r="L245" s="154">
        <v>0.58499999999999996</v>
      </c>
      <c r="M245" s="154">
        <v>0.79600000000000004</v>
      </c>
      <c r="N245" s="154">
        <v>1.0209999999999999</v>
      </c>
      <c r="O245" s="108">
        <f t="shared" si="15"/>
        <v>-1.5151515151515138E-2</v>
      </c>
      <c r="P245" s="108">
        <f t="shared" si="16"/>
        <v>0.36068376068376073</v>
      </c>
      <c r="Q245" s="108">
        <f t="shared" si="17"/>
        <v>0.28266331658291444</v>
      </c>
      <c r="S245" s="109">
        <f t="shared" si="18"/>
        <v>0.71885521885521886</v>
      </c>
      <c r="T245" s="109">
        <f t="shared" si="19"/>
        <v>0.74529914529914532</v>
      </c>
    </row>
    <row r="246" spans="1:20">
      <c r="A246" s="154">
        <v>156</v>
      </c>
      <c r="B246" s="156">
        <v>300009</v>
      </c>
      <c r="C246" s="133" t="s">
        <v>2557</v>
      </c>
      <c r="D246" s="155" t="s">
        <v>2324</v>
      </c>
      <c r="E246" s="154">
        <v>25</v>
      </c>
      <c r="F246" s="154">
        <v>16</v>
      </c>
      <c r="G246" s="154">
        <v>9</v>
      </c>
      <c r="H246" s="154">
        <v>0</v>
      </c>
      <c r="I246" s="154">
        <v>0</v>
      </c>
      <c r="J246" s="154">
        <v>0</v>
      </c>
      <c r="K246" s="154">
        <v>0.251</v>
      </c>
      <c r="L246" s="154">
        <v>0.33700000000000002</v>
      </c>
      <c r="M246" s="154">
        <v>0.45200000000000001</v>
      </c>
      <c r="N246" s="154">
        <v>0.58699999999999997</v>
      </c>
      <c r="O246" s="108">
        <f t="shared" si="15"/>
        <v>0.34262948207171329</v>
      </c>
      <c r="P246" s="108">
        <f t="shared" si="16"/>
        <v>0.34124629080118685</v>
      </c>
      <c r="Q246" s="108">
        <f t="shared" si="17"/>
        <v>0.29867256637168138</v>
      </c>
      <c r="S246" s="109">
        <f t="shared" si="18"/>
        <v>1.3386454183266929</v>
      </c>
      <c r="T246" s="109">
        <f t="shared" si="19"/>
        <v>0.74183976261127582</v>
      </c>
    </row>
    <row r="247" spans="1:20">
      <c r="A247" s="154">
        <v>10</v>
      </c>
      <c r="B247" s="156">
        <v>300316</v>
      </c>
      <c r="C247" s="133" t="s">
        <v>2558</v>
      </c>
      <c r="D247" s="155" t="s">
        <v>2324</v>
      </c>
      <c r="E247" s="154">
        <v>58</v>
      </c>
      <c r="F247" s="154">
        <v>47</v>
      </c>
      <c r="G247" s="154">
        <v>11</v>
      </c>
      <c r="H247" s="154">
        <v>0</v>
      </c>
      <c r="I247" s="154">
        <v>0</v>
      </c>
      <c r="J247" s="154">
        <v>0</v>
      </c>
      <c r="K247" s="154">
        <v>0.45300000000000001</v>
      </c>
      <c r="L247" s="154">
        <v>0.52500000000000002</v>
      </c>
      <c r="M247" s="154">
        <v>0.73599999999999999</v>
      </c>
      <c r="N247" s="154">
        <v>0.91400000000000003</v>
      </c>
      <c r="O247" s="108">
        <f t="shared" si="15"/>
        <v>0.1589403973509933</v>
      </c>
      <c r="P247" s="108">
        <f t="shared" si="16"/>
        <v>0.40190476190476176</v>
      </c>
      <c r="Q247" s="108">
        <f t="shared" si="17"/>
        <v>0.24184782608695654</v>
      </c>
      <c r="S247" s="109">
        <f t="shared" si="18"/>
        <v>1.0176600441501105</v>
      </c>
      <c r="T247" s="109">
        <f t="shared" si="19"/>
        <v>0.74095238095238103</v>
      </c>
    </row>
    <row r="248" spans="1:20">
      <c r="A248" s="154">
        <v>401</v>
      </c>
      <c r="B248" s="156">
        <v>2049</v>
      </c>
      <c r="C248" s="133" t="s">
        <v>2559</v>
      </c>
      <c r="D248" s="155" t="s">
        <v>2324</v>
      </c>
      <c r="E248" s="154">
        <v>13</v>
      </c>
      <c r="F248" s="154">
        <v>10</v>
      </c>
      <c r="G248" s="154">
        <v>3</v>
      </c>
      <c r="H248" s="154">
        <v>0</v>
      </c>
      <c r="I248" s="154">
        <v>0</v>
      </c>
      <c r="J248" s="154">
        <v>0</v>
      </c>
      <c r="K248" s="154">
        <v>0.57299999999999995</v>
      </c>
      <c r="L248" s="154">
        <v>0.70399999999999996</v>
      </c>
      <c r="M248" s="154">
        <v>0.95799999999999996</v>
      </c>
      <c r="N248" s="154">
        <v>1.2250000000000001</v>
      </c>
      <c r="O248" s="108">
        <f t="shared" si="15"/>
        <v>0.22862129144851662</v>
      </c>
      <c r="P248" s="108">
        <f t="shared" si="16"/>
        <v>0.36079545454545459</v>
      </c>
      <c r="Q248" s="108">
        <f t="shared" si="17"/>
        <v>0.27870563674321525</v>
      </c>
      <c r="S248" s="109">
        <f t="shared" si="18"/>
        <v>1.1378708551483423</v>
      </c>
      <c r="T248" s="109">
        <f t="shared" si="19"/>
        <v>0.74005681818181834</v>
      </c>
    </row>
    <row r="249" spans="1:20">
      <c r="A249" s="154">
        <v>573</v>
      </c>
      <c r="B249" s="156">
        <v>603638</v>
      </c>
      <c r="C249" s="133" t="s">
        <v>2560</v>
      </c>
      <c r="D249" s="155" t="s">
        <v>2324</v>
      </c>
      <c r="E249" s="154">
        <v>8</v>
      </c>
      <c r="F249" s="154">
        <v>7</v>
      </c>
      <c r="G249" s="154">
        <v>0</v>
      </c>
      <c r="H249" s="154">
        <v>1</v>
      </c>
      <c r="I249" s="154">
        <v>0</v>
      </c>
      <c r="J249" s="154">
        <v>0</v>
      </c>
      <c r="K249" s="154">
        <v>0.54500000000000004</v>
      </c>
      <c r="L249" s="154">
        <v>0.85699999999999998</v>
      </c>
      <c r="M249" s="154">
        <v>1.1419999999999999</v>
      </c>
      <c r="N249" s="154">
        <v>1.4910000000000001</v>
      </c>
      <c r="O249" s="108">
        <f t="shared" si="15"/>
        <v>0.5724770642201833</v>
      </c>
      <c r="P249" s="108">
        <f t="shared" si="16"/>
        <v>0.3325554259043173</v>
      </c>
      <c r="Q249" s="108">
        <f t="shared" si="17"/>
        <v>0.30560420315236447</v>
      </c>
      <c r="S249" s="109">
        <f t="shared" si="18"/>
        <v>1.7357798165137615</v>
      </c>
      <c r="T249" s="109">
        <f t="shared" si="19"/>
        <v>0.73978996499416594</v>
      </c>
    </row>
    <row r="250" spans="1:20">
      <c r="A250" s="154">
        <v>63</v>
      </c>
      <c r="B250" s="156">
        <v>300136</v>
      </c>
      <c r="C250" s="133" t="s">
        <v>2561</v>
      </c>
      <c r="D250" s="155" t="s">
        <v>2324</v>
      </c>
      <c r="E250" s="154">
        <v>35</v>
      </c>
      <c r="F250" s="154">
        <v>22</v>
      </c>
      <c r="G250" s="154">
        <v>13</v>
      </c>
      <c r="H250" s="154">
        <v>0</v>
      </c>
      <c r="I250" s="154">
        <v>0</v>
      </c>
      <c r="J250" s="154">
        <v>0</v>
      </c>
      <c r="K250" s="154">
        <v>1.02</v>
      </c>
      <c r="L250" s="154">
        <v>1.109</v>
      </c>
      <c r="M250" s="154">
        <v>1.4830000000000001</v>
      </c>
      <c r="N250" s="154">
        <v>1.927</v>
      </c>
      <c r="O250" s="108">
        <f t="shared" si="15"/>
        <v>8.7254901960784226E-2</v>
      </c>
      <c r="P250" s="108">
        <f t="shared" si="16"/>
        <v>0.33724075743913451</v>
      </c>
      <c r="Q250" s="108">
        <f t="shared" si="17"/>
        <v>0.29939312204989887</v>
      </c>
      <c r="S250" s="109">
        <f t="shared" si="18"/>
        <v>0.88921568627450975</v>
      </c>
      <c r="T250" s="109">
        <f t="shared" si="19"/>
        <v>0.73760144274120831</v>
      </c>
    </row>
    <row r="251" spans="1:20" s="184" customFormat="1">
      <c r="A251" s="158">
        <v>50</v>
      </c>
      <c r="B251" s="159">
        <v>300122</v>
      </c>
      <c r="C251" s="160" t="s">
        <v>2562</v>
      </c>
      <c r="D251" s="161" t="s">
        <v>2324</v>
      </c>
      <c r="E251" s="158">
        <v>39</v>
      </c>
      <c r="F251" s="158">
        <v>34</v>
      </c>
      <c r="G251" s="158">
        <v>5</v>
      </c>
      <c r="H251" s="158">
        <v>0</v>
      </c>
      <c r="I251" s="158">
        <v>0</v>
      </c>
      <c r="J251" s="158">
        <v>0</v>
      </c>
      <c r="K251" s="158">
        <v>0.90700000000000003</v>
      </c>
      <c r="L251" s="158">
        <v>1.532</v>
      </c>
      <c r="M251" s="158">
        <v>2.129</v>
      </c>
      <c r="N251" s="158">
        <v>2.6619999999999999</v>
      </c>
      <c r="O251" s="27">
        <f t="shared" si="15"/>
        <v>0.689084895259096</v>
      </c>
      <c r="P251" s="27">
        <f t="shared" si="16"/>
        <v>0.38968668407310703</v>
      </c>
      <c r="Q251" s="27">
        <f t="shared" si="17"/>
        <v>0.25035227806481908</v>
      </c>
      <c r="S251" s="28">
        <f t="shared" si="18"/>
        <v>1.9349503858875412</v>
      </c>
      <c r="T251" s="28">
        <f t="shared" si="19"/>
        <v>0.73759791122715401</v>
      </c>
    </row>
    <row r="252" spans="1:20">
      <c r="A252" s="154">
        <v>36</v>
      </c>
      <c r="B252" s="156">
        <v>300015</v>
      </c>
      <c r="C252" s="133" t="s">
        <v>746</v>
      </c>
      <c r="D252" s="155" t="s">
        <v>2324</v>
      </c>
      <c r="E252" s="154">
        <v>43</v>
      </c>
      <c r="F252" s="154">
        <v>32</v>
      </c>
      <c r="G252" s="154">
        <v>11</v>
      </c>
      <c r="H252" s="154">
        <v>0</v>
      </c>
      <c r="I252" s="154">
        <v>0</v>
      </c>
      <c r="J252" s="154">
        <v>0</v>
      </c>
      <c r="K252" s="154">
        <v>0.32600000000000001</v>
      </c>
      <c r="L252" s="154">
        <v>0.443</v>
      </c>
      <c r="M252" s="154">
        <v>0.58699999999999997</v>
      </c>
      <c r="N252" s="154">
        <v>0.76900000000000002</v>
      </c>
      <c r="O252" s="108">
        <f t="shared" si="15"/>
        <v>0.35889570552147232</v>
      </c>
      <c r="P252" s="108">
        <f t="shared" si="16"/>
        <v>0.32505643340857771</v>
      </c>
      <c r="Q252" s="108">
        <f t="shared" si="17"/>
        <v>0.31005110732538332</v>
      </c>
      <c r="S252" s="109">
        <f t="shared" si="18"/>
        <v>1.3588957055214723</v>
      </c>
      <c r="T252" s="109">
        <f t="shared" si="19"/>
        <v>0.73589164785553041</v>
      </c>
    </row>
    <row r="253" spans="1:20">
      <c r="A253" s="154">
        <v>452</v>
      </c>
      <c r="B253" s="156">
        <v>300569</v>
      </c>
      <c r="C253" s="133" t="s">
        <v>2563</v>
      </c>
      <c r="D253" s="155" t="s">
        <v>2324</v>
      </c>
      <c r="E253" s="154">
        <v>11</v>
      </c>
      <c r="F253" s="154">
        <v>10</v>
      </c>
      <c r="G253" s="154">
        <v>1</v>
      </c>
      <c r="H253" s="154">
        <v>0</v>
      </c>
      <c r="I253" s="154">
        <v>0</v>
      </c>
      <c r="J253" s="154">
        <v>0</v>
      </c>
      <c r="K253" s="154">
        <v>0.45500000000000002</v>
      </c>
      <c r="L253" s="154">
        <v>1.1499999999999999</v>
      </c>
      <c r="M253" s="154">
        <v>1.702</v>
      </c>
      <c r="N253" s="154">
        <v>1.996</v>
      </c>
      <c r="O253" s="108">
        <f t="shared" si="15"/>
        <v>1.5274725274725274</v>
      </c>
      <c r="P253" s="108">
        <f t="shared" si="16"/>
        <v>0.48</v>
      </c>
      <c r="Q253" s="108">
        <f t="shared" si="17"/>
        <v>0.17273795534665104</v>
      </c>
      <c r="S253" s="109">
        <f t="shared" si="18"/>
        <v>3.3868131868131863</v>
      </c>
      <c r="T253" s="109">
        <f t="shared" si="19"/>
        <v>0.73565217391304372</v>
      </c>
    </row>
    <row r="254" spans="1:20">
      <c r="A254" s="154">
        <v>959</v>
      </c>
      <c r="B254" s="156">
        <v>2438</v>
      </c>
      <c r="C254" s="133" t="s">
        <v>2564</v>
      </c>
      <c r="D254" s="155" t="s">
        <v>2324</v>
      </c>
      <c r="E254" s="154">
        <v>3</v>
      </c>
      <c r="F254" s="154">
        <v>3</v>
      </c>
      <c r="G254" s="154">
        <v>0</v>
      </c>
      <c r="H254" s="154">
        <v>0</v>
      </c>
      <c r="I254" s="154">
        <v>0</v>
      </c>
      <c r="J254" s="154">
        <v>0</v>
      </c>
      <c r="K254" s="154">
        <v>0.21299999999999999</v>
      </c>
      <c r="L254" s="154">
        <v>0.373</v>
      </c>
      <c r="M254" s="154">
        <v>0.49399999999999999</v>
      </c>
      <c r="N254" s="154">
        <v>0.64700000000000002</v>
      </c>
      <c r="O254" s="108">
        <f t="shared" si="15"/>
        <v>0.75117370892018775</v>
      </c>
      <c r="P254" s="108">
        <f t="shared" si="16"/>
        <v>0.32439678284182305</v>
      </c>
      <c r="Q254" s="108">
        <f t="shared" si="17"/>
        <v>0.30971659919028349</v>
      </c>
      <c r="S254" s="109">
        <f t="shared" si="18"/>
        <v>2.0375586854460095</v>
      </c>
      <c r="T254" s="109">
        <f t="shared" si="19"/>
        <v>0.73458445040214482</v>
      </c>
    </row>
    <row r="255" spans="1:20">
      <c r="A255" s="154">
        <v>432</v>
      </c>
      <c r="B255" s="156">
        <v>600050</v>
      </c>
      <c r="C255" s="133" t="s">
        <v>2565</v>
      </c>
      <c r="D255" s="155" t="s">
        <v>2324</v>
      </c>
      <c r="E255" s="154">
        <v>12</v>
      </c>
      <c r="F255" s="154">
        <v>4</v>
      </c>
      <c r="G255" s="154">
        <v>6</v>
      </c>
      <c r="H255" s="154">
        <v>2</v>
      </c>
      <c r="I255" s="154">
        <v>0</v>
      </c>
      <c r="J255" s="154">
        <v>0</v>
      </c>
      <c r="K255" s="154">
        <v>0.13200000000000001</v>
      </c>
      <c r="L255" s="154">
        <v>0.188</v>
      </c>
      <c r="M255" s="154">
        <v>0.253</v>
      </c>
      <c r="N255" s="154">
        <v>0.32600000000000001</v>
      </c>
      <c r="O255" s="108">
        <f t="shared" si="15"/>
        <v>0.42424242424242409</v>
      </c>
      <c r="P255" s="108">
        <f t="shared" si="16"/>
        <v>0.3457446808510638</v>
      </c>
      <c r="Q255" s="108">
        <f t="shared" si="17"/>
        <v>0.28853754940711474</v>
      </c>
      <c r="S255" s="109">
        <f t="shared" si="18"/>
        <v>1.4696969696969697</v>
      </c>
      <c r="T255" s="109">
        <f t="shared" si="19"/>
        <v>0.73404255319148937</v>
      </c>
    </row>
    <row r="256" spans="1:20">
      <c r="A256" s="154">
        <v>47</v>
      </c>
      <c r="B256" s="156">
        <v>300454</v>
      </c>
      <c r="C256" s="133" t="s">
        <v>2566</v>
      </c>
      <c r="D256" s="155" t="s">
        <v>2324</v>
      </c>
      <c r="E256" s="154">
        <v>39</v>
      </c>
      <c r="F256" s="154">
        <v>25</v>
      </c>
      <c r="G256" s="154">
        <v>12</v>
      </c>
      <c r="H256" s="154">
        <v>2</v>
      </c>
      <c r="I256" s="154">
        <v>0</v>
      </c>
      <c r="J256" s="154">
        <v>0</v>
      </c>
      <c r="K256" s="154">
        <v>1.4750000000000001</v>
      </c>
      <c r="L256" s="154">
        <v>1.631</v>
      </c>
      <c r="M256" s="154">
        <v>2.0920000000000001</v>
      </c>
      <c r="N256" s="154">
        <v>2.8250000000000002</v>
      </c>
      <c r="O256" s="108">
        <f t="shared" si="15"/>
        <v>0.10576271186440667</v>
      </c>
      <c r="P256" s="108">
        <f t="shared" si="16"/>
        <v>0.28264868179031266</v>
      </c>
      <c r="Q256" s="108">
        <f t="shared" si="17"/>
        <v>0.35038240917782026</v>
      </c>
      <c r="S256" s="109">
        <f t="shared" si="18"/>
        <v>0.9152542372881356</v>
      </c>
      <c r="T256" s="109">
        <f t="shared" si="19"/>
        <v>0.73206621704475783</v>
      </c>
    </row>
    <row r="257" spans="1:20">
      <c r="A257" s="154">
        <v>894</v>
      </c>
      <c r="B257" s="156">
        <v>35</v>
      </c>
      <c r="C257" s="133" t="s">
        <v>2567</v>
      </c>
      <c r="D257" s="155" t="s">
        <v>2324</v>
      </c>
      <c r="E257" s="154">
        <v>4</v>
      </c>
      <c r="F257" s="154">
        <v>1</v>
      </c>
      <c r="G257" s="154">
        <v>3</v>
      </c>
      <c r="H257" s="154">
        <v>0</v>
      </c>
      <c r="I257" s="154">
        <v>0</v>
      </c>
      <c r="J257" s="154">
        <v>0</v>
      </c>
      <c r="K257" s="154">
        <v>8.5999999999999993E-2</v>
      </c>
      <c r="L257" s="154">
        <v>0.28299999999999997</v>
      </c>
      <c r="M257" s="154">
        <v>0.39700000000000002</v>
      </c>
      <c r="N257" s="154">
        <v>0.49</v>
      </c>
      <c r="O257" s="108">
        <f t="shared" si="15"/>
        <v>2.2906976744186047</v>
      </c>
      <c r="P257" s="108">
        <f t="shared" si="16"/>
        <v>0.40282685512367511</v>
      </c>
      <c r="Q257" s="108">
        <f t="shared" si="17"/>
        <v>0.23425692695214106</v>
      </c>
      <c r="S257" s="109">
        <f t="shared" si="18"/>
        <v>4.6976744186046515</v>
      </c>
      <c r="T257" s="109">
        <f t="shared" si="19"/>
        <v>0.73144876325088348</v>
      </c>
    </row>
    <row r="258" spans="1:20">
      <c r="A258" s="154">
        <v>933</v>
      </c>
      <c r="B258" s="156">
        <v>300223</v>
      </c>
      <c r="C258" s="133" t="s">
        <v>2568</v>
      </c>
      <c r="D258" s="155" t="s">
        <v>2324</v>
      </c>
      <c r="E258" s="154">
        <v>4</v>
      </c>
      <c r="F258" s="154">
        <v>4</v>
      </c>
      <c r="G258" s="154">
        <v>0</v>
      </c>
      <c r="H258" s="154">
        <v>0</v>
      </c>
      <c r="I258" s="154">
        <v>0</v>
      </c>
      <c r="J258" s="154">
        <v>0</v>
      </c>
      <c r="K258" s="154">
        <v>6.7000000000000004E-2</v>
      </c>
      <c r="L258" s="154">
        <v>0.38600000000000001</v>
      </c>
      <c r="M258" s="154">
        <v>0.51900000000000002</v>
      </c>
      <c r="N258" s="154">
        <v>0.66800000000000004</v>
      </c>
      <c r="O258" s="108">
        <f t="shared" si="15"/>
        <v>4.7611940298507465</v>
      </c>
      <c r="P258" s="108">
        <f t="shared" si="16"/>
        <v>0.34455958549222809</v>
      </c>
      <c r="Q258" s="108">
        <f t="shared" si="17"/>
        <v>0.28709055876685929</v>
      </c>
      <c r="S258" s="109">
        <f t="shared" si="18"/>
        <v>8.9701492537313428</v>
      </c>
      <c r="T258" s="109">
        <f t="shared" si="19"/>
        <v>0.73056994818652865</v>
      </c>
    </row>
    <row r="259" spans="1:20">
      <c r="A259" s="154">
        <v>69</v>
      </c>
      <c r="B259" s="156">
        <v>300450</v>
      </c>
      <c r="C259" s="133" t="s">
        <v>2569</v>
      </c>
      <c r="D259" s="155" t="s">
        <v>2324</v>
      </c>
      <c r="E259" s="154">
        <v>34</v>
      </c>
      <c r="F259" s="154">
        <v>26</v>
      </c>
      <c r="G259" s="154">
        <v>8</v>
      </c>
      <c r="H259" s="154">
        <v>0</v>
      </c>
      <c r="I259" s="154">
        <v>0</v>
      </c>
      <c r="J259" s="154">
        <v>0</v>
      </c>
      <c r="K259" s="154">
        <v>0.84199999999999997</v>
      </c>
      <c r="L259" s="154">
        <v>1.107</v>
      </c>
      <c r="M259" s="154">
        <v>1.494</v>
      </c>
      <c r="N259" s="154">
        <v>1.915</v>
      </c>
      <c r="O259" s="108">
        <f t="shared" ref="O259:O322" si="20">L259/K259-1</f>
        <v>0.31472684085510694</v>
      </c>
      <c r="P259" s="108">
        <f t="shared" ref="P259:P322" si="21">M259/L259-1</f>
        <v>0.34959349593495936</v>
      </c>
      <c r="Q259" s="108">
        <f t="shared" ref="Q259:Q322" si="22">N259/M259-1</f>
        <v>0.28179384203480584</v>
      </c>
      <c r="S259" s="109">
        <f t="shared" ref="S259:S322" si="23">N259/K259-1</f>
        <v>1.2743467933491686</v>
      </c>
      <c r="T259" s="109">
        <f t="shared" ref="T259:T322" si="24">N259/L259-1</f>
        <v>0.72990063233965685</v>
      </c>
    </row>
    <row r="260" spans="1:20">
      <c r="A260" s="154">
        <v>224</v>
      </c>
      <c r="B260" s="156">
        <v>300357</v>
      </c>
      <c r="C260" s="133" t="s">
        <v>2570</v>
      </c>
      <c r="D260" s="155" t="s">
        <v>2324</v>
      </c>
      <c r="E260" s="154">
        <v>20</v>
      </c>
      <c r="F260" s="154">
        <v>9</v>
      </c>
      <c r="G260" s="154">
        <v>11</v>
      </c>
      <c r="H260" s="154">
        <v>0</v>
      </c>
      <c r="I260" s="154">
        <v>0</v>
      </c>
      <c r="J260" s="154">
        <v>0</v>
      </c>
      <c r="K260" s="154">
        <v>0.44500000000000001</v>
      </c>
      <c r="L260" s="154">
        <v>0.57199999999999995</v>
      </c>
      <c r="M260" s="154">
        <v>0.749</v>
      </c>
      <c r="N260" s="154">
        <v>0.98899999999999999</v>
      </c>
      <c r="O260" s="108">
        <f t="shared" si="20"/>
        <v>0.28539325842696606</v>
      </c>
      <c r="P260" s="108">
        <f t="shared" si="21"/>
        <v>0.30944055944055959</v>
      </c>
      <c r="Q260" s="108">
        <f t="shared" si="22"/>
        <v>0.32042723631508685</v>
      </c>
      <c r="S260" s="109">
        <f t="shared" si="23"/>
        <v>1.2224719101123593</v>
      </c>
      <c r="T260" s="109">
        <f t="shared" si="24"/>
        <v>0.72902097902097918</v>
      </c>
    </row>
    <row r="261" spans="1:20">
      <c r="A261" s="154">
        <v>139</v>
      </c>
      <c r="B261" s="156">
        <v>300770</v>
      </c>
      <c r="C261" s="133" t="s">
        <v>2571</v>
      </c>
      <c r="D261" s="155" t="s">
        <v>2324</v>
      </c>
      <c r="E261" s="154">
        <v>26</v>
      </c>
      <c r="F261" s="154">
        <v>17</v>
      </c>
      <c r="G261" s="154">
        <v>9</v>
      </c>
      <c r="H261" s="154">
        <v>0</v>
      </c>
      <c r="I261" s="154">
        <v>0</v>
      </c>
      <c r="J261" s="154">
        <v>0</v>
      </c>
      <c r="K261" s="154">
        <v>1.599</v>
      </c>
      <c r="L261" s="154">
        <v>2.7429999999999999</v>
      </c>
      <c r="M261" s="154">
        <v>3.7509999999999999</v>
      </c>
      <c r="N261" s="154">
        <v>4.742</v>
      </c>
      <c r="O261" s="108">
        <f t="shared" si="20"/>
        <v>0.71544715447154461</v>
      </c>
      <c r="P261" s="108">
        <f t="shared" si="21"/>
        <v>0.36748086037185557</v>
      </c>
      <c r="Q261" s="108">
        <f t="shared" si="22"/>
        <v>0.26419621434284202</v>
      </c>
      <c r="S261" s="109">
        <f t="shared" si="23"/>
        <v>1.965603502188868</v>
      </c>
      <c r="T261" s="109">
        <f t="shared" si="24"/>
        <v>0.72876412686839243</v>
      </c>
    </row>
    <row r="262" spans="1:20">
      <c r="A262" s="154">
        <v>486</v>
      </c>
      <c r="B262" s="156">
        <v>300438</v>
      </c>
      <c r="C262" s="133" t="s">
        <v>2572</v>
      </c>
      <c r="D262" s="155" t="s">
        <v>2324</v>
      </c>
      <c r="E262" s="154">
        <v>10</v>
      </c>
      <c r="F262" s="154">
        <v>9</v>
      </c>
      <c r="G262" s="154">
        <v>1</v>
      </c>
      <c r="H262" s="154">
        <v>0</v>
      </c>
      <c r="I262" s="154">
        <v>0</v>
      </c>
      <c r="J262" s="154">
        <v>0</v>
      </c>
      <c r="K262" s="154">
        <v>0.94199999999999995</v>
      </c>
      <c r="L262" s="154">
        <v>1.2649999999999999</v>
      </c>
      <c r="M262" s="154">
        <v>1.71</v>
      </c>
      <c r="N262" s="154">
        <v>2.1789999999999998</v>
      </c>
      <c r="O262" s="108">
        <f t="shared" si="20"/>
        <v>0.3428874734607219</v>
      </c>
      <c r="P262" s="108">
        <f t="shared" si="21"/>
        <v>0.35177865612648218</v>
      </c>
      <c r="Q262" s="108">
        <f t="shared" si="22"/>
        <v>0.27426900584795311</v>
      </c>
      <c r="S262" s="109">
        <f t="shared" si="23"/>
        <v>1.3131634819532909</v>
      </c>
      <c r="T262" s="109">
        <f t="shared" si="24"/>
        <v>0.72252964426877475</v>
      </c>
    </row>
    <row r="263" spans="1:20">
      <c r="A263" s="154">
        <v>214</v>
      </c>
      <c r="B263" s="156">
        <v>300036</v>
      </c>
      <c r="C263" s="133" t="s">
        <v>2573</v>
      </c>
      <c r="D263" s="155" t="s">
        <v>2324</v>
      </c>
      <c r="E263" s="154">
        <v>21</v>
      </c>
      <c r="F263" s="154">
        <v>17</v>
      </c>
      <c r="G263" s="154">
        <v>4</v>
      </c>
      <c r="H263" s="154">
        <v>0</v>
      </c>
      <c r="I263" s="154">
        <v>0</v>
      </c>
      <c r="J263" s="154">
        <v>0</v>
      </c>
      <c r="K263" s="154">
        <v>0.373</v>
      </c>
      <c r="L263" s="154">
        <v>0.46700000000000003</v>
      </c>
      <c r="M263" s="154">
        <v>0.61399999999999999</v>
      </c>
      <c r="N263" s="154">
        <v>0.80400000000000005</v>
      </c>
      <c r="O263" s="108">
        <f t="shared" si="20"/>
        <v>0.25201072386058998</v>
      </c>
      <c r="P263" s="108">
        <f t="shared" si="21"/>
        <v>0.31477516059957167</v>
      </c>
      <c r="Q263" s="108">
        <f t="shared" si="22"/>
        <v>0.30944625407166138</v>
      </c>
      <c r="S263" s="109">
        <f t="shared" si="23"/>
        <v>1.1554959785522789</v>
      </c>
      <c r="T263" s="109">
        <f t="shared" si="24"/>
        <v>0.72162740899357591</v>
      </c>
    </row>
    <row r="264" spans="1:20">
      <c r="A264" s="154">
        <v>182</v>
      </c>
      <c r="B264" s="156">
        <v>603939</v>
      </c>
      <c r="C264" s="133" t="s">
        <v>2574</v>
      </c>
      <c r="D264" s="155" t="s">
        <v>2324</v>
      </c>
      <c r="E264" s="154">
        <v>23</v>
      </c>
      <c r="F264" s="154">
        <v>10</v>
      </c>
      <c r="G264" s="154">
        <v>13</v>
      </c>
      <c r="H264" s="154">
        <v>0</v>
      </c>
      <c r="I264" s="154">
        <v>0</v>
      </c>
      <c r="J264" s="154">
        <v>0</v>
      </c>
      <c r="K264" s="154">
        <v>1.099</v>
      </c>
      <c r="L264" s="154">
        <v>1.5109999999999999</v>
      </c>
      <c r="M264" s="154">
        <v>2.0009999999999999</v>
      </c>
      <c r="N264" s="154">
        <v>2.6</v>
      </c>
      <c r="O264" s="108">
        <f t="shared" si="20"/>
        <v>0.37488626023657856</v>
      </c>
      <c r="P264" s="108">
        <f t="shared" si="21"/>
        <v>0.32428855062872275</v>
      </c>
      <c r="Q264" s="108">
        <f t="shared" si="22"/>
        <v>0.29935032483758128</v>
      </c>
      <c r="S264" s="109">
        <f t="shared" si="23"/>
        <v>1.3657870791628755</v>
      </c>
      <c r="T264" s="109">
        <f t="shared" si="24"/>
        <v>0.72071475843812061</v>
      </c>
    </row>
    <row r="265" spans="1:20">
      <c r="A265" s="154">
        <v>460</v>
      </c>
      <c r="B265" s="156">
        <v>2698</v>
      </c>
      <c r="C265" s="133" t="s">
        <v>2575</v>
      </c>
      <c r="D265" s="155" t="s">
        <v>2324</v>
      </c>
      <c r="E265" s="154">
        <v>11</v>
      </c>
      <c r="F265" s="154">
        <v>3</v>
      </c>
      <c r="G265" s="154">
        <v>8</v>
      </c>
      <c r="H265" s="154">
        <v>0</v>
      </c>
      <c r="I265" s="154">
        <v>0</v>
      </c>
      <c r="J265" s="154">
        <v>0</v>
      </c>
      <c r="K265" s="154">
        <v>0.17799999999999999</v>
      </c>
      <c r="L265" s="154">
        <v>0.32200000000000001</v>
      </c>
      <c r="M265" s="154">
        <v>0.435</v>
      </c>
      <c r="N265" s="154">
        <v>0.55400000000000005</v>
      </c>
      <c r="O265" s="108">
        <f t="shared" si="20"/>
        <v>0.80898876404494402</v>
      </c>
      <c r="P265" s="108">
        <f t="shared" si="21"/>
        <v>0.35093167701863348</v>
      </c>
      <c r="Q265" s="108">
        <f t="shared" si="22"/>
        <v>0.27356321839080477</v>
      </c>
      <c r="S265" s="109">
        <f t="shared" si="23"/>
        <v>2.112359550561798</v>
      </c>
      <c r="T265" s="109">
        <f t="shared" si="24"/>
        <v>0.72049689440993792</v>
      </c>
    </row>
    <row r="266" spans="1:20">
      <c r="A266" s="154">
        <v>352</v>
      </c>
      <c r="B266" s="156">
        <v>2821</v>
      </c>
      <c r="C266" s="133" t="s">
        <v>2576</v>
      </c>
      <c r="D266" s="155" t="s">
        <v>2324</v>
      </c>
      <c r="E266" s="154">
        <v>14</v>
      </c>
      <c r="F266" s="154">
        <v>9</v>
      </c>
      <c r="G266" s="154">
        <v>5</v>
      </c>
      <c r="H266" s="154">
        <v>0</v>
      </c>
      <c r="I266" s="154">
        <v>0</v>
      </c>
      <c r="J266" s="154">
        <v>0</v>
      </c>
      <c r="K266" s="154">
        <v>1.851</v>
      </c>
      <c r="L266" s="154">
        <v>2.4729999999999999</v>
      </c>
      <c r="M266" s="154">
        <v>3.26</v>
      </c>
      <c r="N266" s="154">
        <v>4.2510000000000003</v>
      </c>
      <c r="O266" s="108">
        <f t="shared" si="20"/>
        <v>0.33603457590491614</v>
      </c>
      <c r="P266" s="108">
        <f t="shared" si="21"/>
        <v>0.31823695915891625</v>
      </c>
      <c r="Q266" s="108">
        <f t="shared" si="22"/>
        <v>0.30398773006134983</v>
      </c>
      <c r="S266" s="109">
        <f t="shared" si="23"/>
        <v>1.2965964343598055</v>
      </c>
      <c r="T266" s="109">
        <f t="shared" si="24"/>
        <v>0.71896482005661166</v>
      </c>
    </row>
    <row r="267" spans="1:20">
      <c r="A267" s="154">
        <v>123</v>
      </c>
      <c r="B267" s="156">
        <v>2281</v>
      </c>
      <c r="C267" s="133" t="s">
        <v>2577</v>
      </c>
      <c r="D267" s="155" t="s">
        <v>2324</v>
      </c>
      <c r="E267" s="154">
        <v>28</v>
      </c>
      <c r="F267" s="154">
        <v>10</v>
      </c>
      <c r="G267" s="154">
        <v>18</v>
      </c>
      <c r="H267" s="154">
        <v>0</v>
      </c>
      <c r="I267" s="154">
        <v>0</v>
      </c>
      <c r="J267" s="154">
        <v>0</v>
      </c>
      <c r="K267" s="154">
        <v>0.49099999999999999</v>
      </c>
      <c r="L267" s="154">
        <v>0.56000000000000005</v>
      </c>
      <c r="M267" s="154">
        <v>0.752</v>
      </c>
      <c r="N267" s="154">
        <v>0.96199999999999997</v>
      </c>
      <c r="O267" s="108">
        <f t="shared" si="20"/>
        <v>0.14052953156822823</v>
      </c>
      <c r="P267" s="108">
        <f t="shared" si="21"/>
        <v>0.34285714285714275</v>
      </c>
      <c r="Q267" s="108">
        <f t="shared" si="22"/>
        <v>0.2792553191489362</v>
      </c>
      <c r="S267" s="109">
        <f t="shared" si="23"/>
        <v>0.95926680244399187</v>
      </c>
      <c r="T267" s="109">
        <f t="shared" si="24"/>
        <v>0.71785714285714253</v>
      </c>
    </row>
    <row r="268" spans="1:20">
      <c r="A268" s="154">
        <v>94</v>
      </c>
      <c r="B268" s="156">
        <v>2916</v>
      </c>
      <c r="C268" s="133" t="s">
        <v>2578</v>
      </c>
      <c r="D268" s="155" t="s">
        <v>2324</v>
      </c>
      <c r="E268" s="154">
        <v>31</v>
      </c>
      <c r="F268" s="154">
        <v>27</v>
      </c>
      <c r="G268" s="154">
        <v>4</v>
      </c>
      <c r="H268" s="154">
        <v>0</v>
      </c>
      <c r="I268" s="154">
        <v>0</v>
      </c>
      <c r="J268" s="154">
        <v>0</v>
      </c>
      <c r="K268" s="154">
        <v>2.0550000000000002</v>
      </c>
      <c r="L268" s="154">
        <v>3.3519999999999999</v>
      </c>
      <c r="M268" s="154">
        <v>4.5419999999999998</v>
      </c>
      <c r="N268" s="154">
        <v>5.7569999999999997</v>
      </c>
      <c r="O268" s="108">
        <f t="shared" si="20"/>
        <v>0.63114355231143526</v>
      </c>
      <c r="P268" s="108">
        <f t="shared" si="21"/>
        <v>0.3550119331742243</v>
      </c>
      <c r="Q268" s="108">
        <f t="shared" si="22"/>
        <v>0.26750330250990761</v>
      </c>
      <c r="S268" s="109">
        <f t="shared" si="23"/>
        <v>1.8014598540145981</v>
      </c>
      <c r="T268" s="109">
        <f t="shared" si="24"/>
        <v>0.71748210023866354</v>
      </c>
    </row>
    <row r="269" spans="1:20">
      <c r="A269" s="154">
        <v>150</v>
      </c>
      <c r="B269" s="156">
        <v>300433</v>
      </c>
      <c r="C269" s="133" t="s">
        <v>2579</v>
      </c>
      <c r="D269" s="155" t="s">
        <v>2324</v>
      </c>
      <c r="E269" s="154">
        <v>25</v>
      </c>
      <c r="F269" s="154">
        <v>20</v>
      </c>
      <c r="G269" s="154">
        <v>5</v>
      </c>
      <c r="H269" s="154">
        <v>0</v>
      </c>
      <c r="I269" s="154">
        <v>0</v>
      </c>
      <c r="J269" s="154">
        <v>0</v>
      </c>
      <c r="K269" s="154">
        <v>0.15</v>
      </c>
      <c r="L269" s="154">
        <v>0.40300000000000002</v>
      </c>
      <c r="M269" s="154">
        <v>0.56000000000000005</v>
      </c>
      <c r="N269" s="154">
        <v>0.69199999999999995</v>
      </c>
      <c r="O269" s="108">
        <f t="shared" si="20"/>
        <v>1.686666666666667</v>
      </c>
      <c r="P269" s="108">
        <f t="shared" si="21"/>
        <v>0.38957816377171217</v>
      </c>
      <c r="Q269" s="108">
        <f t="shared" si="22"/>
        <v>0.23571428571428554</v>
      </c>
      <c r="S269" s="109">
        <f t="shared" si="23"/>
        <v>3.6133333333333333</v>
      </c>
      <c r="T269" s="109">
        <f t="shared" si="24"/>
        <v>0.7171215880893298</v>
      </c>
    </row>
    <row r="270" spans="1:20">
      <c r="A270" s="154">
        <v>927</v>
      </c>
      <c r="B270" s="156">
        <v>2768</v>
      </c>
      <c r="C270" s="133" t="s">
        <v>2580</v>
      </c>
      <c r="D270" s="155" t="s">
        <v>2324</v>
      </c>
      <c r="E270" s="154">
        <v>4</v>
      </c>
      <c r="F270" s="154">
        <v>4</v>
      </c>
      <c r="G270" s="154">
        <v>0</v>
      </c>
      <c r="H270" s="154">
        <v>0</v>
      </c>
      <c r="I270" s="154">
        <v>0</v>
      </c>
      <c r="J270" s="154">
        <v>0</v>
      </c>
      <c r="K270" s="154">
        <v>1.137</v>
      </c>
      <c r="L270" s="154">
        <v>1.522</v>
      </c>
      <c r="M270" s="154">
        <v>1.982</v>
      </c>
      <c r="N270" s="154">
        <v>2.6120000000000001</v>
      </c>
      <c r="O270" s="108">
        <f t="shared" si="20"/>
        <v>0.3386103781882146</v>
      </c>
      <c r="P270" s="108">
        <f t="shared" si="21"/>
        <v>0.30223390275952688</v>
      </c>
      <c r="Q270" s="108">
        <f t="shared" si="22"/>
        <v>0.31786074672048437</v>
      </c>
      <c r="S270" s="109">
        <f t="shared" si="23"/>
        <v>1.297273526824978</v>
      </c>
      <c r="T270" s="109">
        <f t="shared" si="24"/>
        <v>0.71616294349540088</v>
      </c>
    </row>
    <row r="271" spans="1:20">
      <c r="A271" s="154">
        <v>602</v>
      </c>
      <c r="B271" s="156">
        <v>2465</v>
      </c>
      <c r="C271" s="133" t="s">
        <v>2581</v>
      </c>
      <c r="D271" s="155" t="s">
        <v>2324</v>
      </c>
      <c r="E271" s="154">
        <v>8</v>
      </c>
      <c r="F271" s="154">
        <v>5</v>
      </c>
      <c r="G271" s="154">
        <v>3</v>
      </c>
      <c r="H271" s="154">
        <v>0</v>
      </c>
      <c r="I271" s="154">
        <v>0</v>
      </c>
      <c r="J271" s="154">
        <v>0</v>
      </c>
      <c r="K271" s="154">
        <v>0.187</v>
      </c>
      <c r="L271" s="154">
        <v>0.23899999999999999</v>
      </c>
      <c r="M271" s="154">
        <v>0.32100000000000001</v>
      </c>
      <c r="N271" s="154">
        <v>0.41</v>
      </c>
      <c r="O271" s="108">
        <f t="shared" si="20"/>
        <v>0.27807486631016043</v>
      </c>
      <c r="P271" s="108">
        <f t="shared" si="21"/>
        <v>0.34309623430962355</v>
      </c>
      <c r="Q271" s="108">
        <f t="shared" si="22"/>
        <v>0.27725856697819307</v>
      </c>
      <c r="S271" s="109">
        <f t="shared" si="23"/>
        <v>1.1925133689839571</v>
      </c>
      <c r="T271" s="109">
        <f t="shared" si="24"/>
        <v>0.71548117154811708</v>
      </c>
    </row>
    <row r="272" spans="1:20">
      <c r="A272" s="154">
        <v>90</v>
      </c>
      <c r="B272" s="156">
        <v>2475</v>
      </c>
      <c r="C272" s="133" t="s">
        <v>2582</v>
      </c>
      <c r="D272" s="155" t="s">
        <v>2324</v>
      </c>
      <c r="E272" s="154">
        <v>32</v>
      </c>
      <c r="F272" s="154">
        <v>26</v>
      </c>
      <c r="G272" s="154">
        <v>6</v>
      </c>
      <c r="H272" s="154">
        <v>0</v>
      </c>
      <c r="I272" s="154">
        <v>0</v>
      </c>
      <c r="J272" s="154">
        <v>0</v>
      </c>
      <c r="K272" s="154">
        <v>0.50900000000000001</v>
      </c>
      <c r="L272" s="154">
        <v>0.76400000000000001</v>
      </c>
      <c r="M272" s="154">
        <v>1.028</v>
      </c>
      <c r="N272" s="154">
        <v>1.3089999999999999</v>
      </c>
      <c r="O272" s="108">
        <f t="shared" si="20"/>
        <v>0.50098231827111994</v>
      </c>
      <c r="P272" s="108">
        <f t="shared" si="21"/>
        <v>0.34554973821989532</v>
      </c>
      <c r="Q272" s="108">
        <f t="shared" si="22"/>
        <v>0.27334630350194544</v>
      </c>
      <c r="S272" s="109">
        <f t="shared" si="23"/>
        <v>1.5717092337917484</v>
      </c>
      <c r="T272" s="109">
        <f t="shared" si="24"/>
        <v>0.71335078534031404</v>
      </c>
    </row>
    <row r="273" spans="1:20">
      <c r="A273" s="154">
        <v>650</v>
      </c>
      <c r="B273" s="156">
        <v>300639</v>
      </c>
      <c r="C273" s="133" t="s">
        <v>2583</v>
      </c>
      <c r="D273" s="155" t="s">
        <v>2324</v>
      </c>
      <c r="E273" s="154">
        <v>7</v>
      </c>
      <c r="F273" s="154">
        <v>5</v>
      </c>
      <c r="G273" s="154">
        <v>2</v>
      </c>
      <c r="H273" s="154">
        <v>0</v>
      </c>
      <c r="I273" s="154">
        <v>0</v>
      </c>
      <c r="J273" s="154">
        <v>0</v>
      </c>
      <c r="K273" s="154">
        <v>0.53700000000000003</v>
      </c>
      <c r="L273" s="154">
        <v>0.69299999999999995</v>
      </c>
      <c r="M273" s="154">
        <v>0.90800000000000003</v>
      </c>
      <c r="N273" s="154">
        <v>1.1870000000000001</v>
      </c>
      <c r="O273" s="108">
        <f t="shared" si="20"/>
        <v>0.2905027932960893</v>
      </c>
      <c r="P273" s="108">
        <f t="shared" si="21"/>
        <v>0.31024531024531043</v>
      </c>
      <c r="Q273" s="108">
        <f t="shared" si="22"/>
        <v>0.30726872246696035</v>
      </c>
      <c r="S273" s="109">
        <f t="shared" si="23"/>
        <v>1.2104283054003724</v>
      </c>
      <c r="T273" s="109">
        <f t="shared" si="24"/>
        <v>0.71284271284271306</v>
      </c>
    </row>
    <row r="274" spans="1:20">
      <c r="A274" s="154">
        <v>518</v>
      </c>
      <c r="B274" s="156">
        <v>300482</v>
      </c>
      <c r="C274" s="133" t="s">
        <v>2584</v>
      </c>
      <c r="D274" s="155" t="s">
        <v>2324</v>
      </c>
      <c r="E274" s="154">
        <v>9</v>
      </c>
      <c r="F274" s="154">
        <v>8</v>
      </c>
      <c r="G274" s="154">
        <v>1</v>
      </c>
      <c r="H274" s="154">
        <v>0</v>
      </c>
      <c r="I274" s="154">
        <v>0</v>
      </c>
      <c r="J274" s="154">
        <v>0</v>
      </c>
      <c r="K274" s="154">
        <v>0.89800000000000002</v>
      </c>
      <c r="L274" s="154">
        <v>1.198</v>
      </c>
      <c r="M274" s="154">
        <v>1.5720000000000001</v>
      </c>
      <c r="N274" s="154">
        <v>2.0459999999999998</v>
      </c>
      <c r="O274" s="108">
        <f t="shared" si="20"/>
        <v>0.33407572383073481</v>
      </c>
      <c r="P274" s="108">
        <f t="shared" si="21"/>
        <v>0.31218697829716202</v>
      </c>
      <c r="Q274" s="108">
        <f t="shared" si="22"/>
        <v>0.3015267175572518</v>
      </c>
      <c r="S274" s="109">
        <f t="shared" si="23"/>
        <v>1.2783964365256124</v>
      </c>
      <c r="T274" s="109">
        <f t="shared" si="24"/>
        <v>0.70784641068447396</v>
      </c>
    </row>
    <row r="275" spans="1:20">
      <c r="A275" s="154">
        <v>300</v>
      </c>
      <c r="B275" s="156">
        <v>300558</v>
      </c>
      <c r="C275" s="133" t="s">
        <v>2585</v>
      </c>
      <c r="D275" s="155" t="s">
        <v>2324</v>
      </c>
      <c r="E275" s="154">
        <v>16</v>
      </c>
      <c r="F275" s="154">
        <v>6</v>
      </c>
      <c r="G275" s="154">
        <v>10</v>
      </c>
      <c r="H275" s="154">
        <v>0</v>
      </c>
      <c r="I275" s="154">
        <v>0</v>
      </c>
      <c r="J275" s="154">
        <v>0</v>
      </c>
      <c r="K275" s="154">
        <v>0.41599999999999998</v>
      </c>
      <c r="L275" s="154">
        <v>0.54800000000000004</v>
      </c>
      <c r="M275" s="154">
        <v>0.69599999999999995</v>
      </c>
      <c r="N275" s="154">
        <v>0.93500000000000005</v>
      </c>
      <c r="O275" s="108">
        <f t="shared" si="20"/>
        <v>0.31730769230769251</v>
      </c>
      <c r="P275" s="108">
        <f t="shared" si="21"/>
        <v>0.27007299270072971</v>
      </c>
      <c r="Q275" s="108">
        <f t="shared" si="22"/>
        <v>0.34339080459770122</v>
      </c>
      <c r="S275" s="109">
        <f t="shared" si="23"/>
        <v>1.2475961538461542</v>
      </c>
      <c r="T275" s="109">
        <f t="shared" si="24"/>
        <v>0.70620437956204385</v>
      </c>
    </row>
    <row r="276" spans="1:20">
      <c r="A276" s="154">
        <v>918</v>
      </c>
      <c r="B276" s="156">
        <v>603600</v>
      </c>
      <c r="C276" s="133" t="s">
        <v>2586</v>
      </c>
      <c r="D276" s="155" t="s">
        <v>2324</v>
      </c>
      <c r="E276" s="154">
        <v>4</v>
      </c>
      <c r="F276" s="154">
        <v>1</v>
      </c>
      <c r="G276" s="154">
        <v>3</v>
      </c>
      <c r="H276" s="154">
        <v>0</v>
      </c>
      <c r="I276" s="154">
        <v>0</v>
      </c>
      <c r="J276" s="154">
        <v>0</v>
      </c>
      <c r="K276" s="154">
        <v>0.34399999999999997</v>
      </c>
      <c r="L276" s="154">
        <v>0.58199999999999996</v>
      </c>
      <c r="M276" s="154">
        <v>0.77</v>
      </c>
      <c r="N276" s="154">
        <v>0.99299999999999999</v>
      </c>
      <c r="O276" s="108">
        <f t="shared" si="20"/>
        <v>0.69186046511627919</v>
      </c>
      <c r="P276" s="108">
        <f t="shared" si="21"/>
        <v>0.32302405498281805</v>
      </c>
      <c r="Q276" s="108">
        <f t="shared" si="22"/>
        <v>0.28961038961038965</v>
      </c>
      <c r="S276" s="109">
        <f t="shared" si="23"/>
        <v>1.8866279069767442</v>
      </c>
      <c r="T276" s="109">
        <f t="shared" si="24"/>
        <v>0.70618556701030943</v>
      </c>
    </row>
    <row r="277" spans="1:20">
      <c r="A277" s="154">
        <v>167</v>
      </c>
      <c r="B277" s="156">
        <v>300577</v>
      </c>
      <c r="C277" s="133" t="s">
        <v>2587</v>
      </c>
      <c r="D277" s="155" t="s">
        <v>2324</v>
      </c>
      <c r="E277" s="154">
        <v>24</v>
      </c>
      <c r="F277" s="154">
        <v>20</v>
      </c>
      <c r="G277" s="154">
        <v>4</v>
      </c>
      <c r="H277" s="154">
        <v>0</v>
      </c>
      <c r="I277" s="154">
        <v>0</v>
      </c>
      <c r="J277" s="154">
        <v>0</v>
      </c>
      <c r="K277" s="154">
        <v>0.79900000000000004</v>
      </c>
      <c r="L277" s="154">
        <v>1.07</v>
      </c>
      <c r="M277" s="154">
        <v>1.419</v>
      </c>
      <c r="N277" s="154">
        <v>1.825</v>
      </c>
      <c r="O277" s="108">
        <f t="shared" si="20"/>
        <v>0.33917396745932415</v>
      </c>
      <c r="P277" s="108">
        <f t="shared" si="21"/>
        <v>0.32616822429906533</v>
      </c>
      <c r="Q277" s="108">
        <f t="shared" si="22"/>
        <v>0.28611698379140238</v>
      </c>
      <c r="S277" s="109">
        <f t="shared" si="23"/>
        <v>1.2841051314142677</v>
      </c>
      <c r="T277" s="109">
        <f t="shared" si="24"/>
        <v>0.70560747663551382</v>
      </c>
    </row>
    <row r="278" spans="1:20">
      <c r="A278" s="154">
        <v>840</v>
      </c>
      <c r="B278" s="156">
        <v>603333</v>
      </c>
      <c r="C278" s="133" t="s">
        <v>2588</v>
      </c>
      <c r="D278" s="155" t="s">
        <v>2324</v>
      </c>
      <c r="E278" s="154">
        <v>5</v>
      </c>
      <c r="F278" s="154">
        <v>0</v>
      </c>
      <c r="G278" s="154">
        <v>5</v>
      </c>
      <c r="H278" s="154">
        <v>0</v>
      </c>
      <c r="I278" s="154">
        <v>0</v>
      </c>
      <c r="J278" s="154">
        <v>0</v>
      </c>
      <c r="K278" s="154">
        <v>0.112</v>
      </c>
      <c r="L278" s="154">
        <v>0.22500000000000001</v>
      </c>
      <c r="M278" s="154">
        <v>0.309</v>
      </c>
      <c r="N278" s="154">
        <v>0.38300000000000001</v>
      </c>
      <c r="O278" s="108">
        <f t="shared" si="20"/>
        <v>1.0089285714285716</v>
      </c>
      <c r="P278" s="108">
        <f t="shared" si="21"/>
        <v>0.37333333333333329</v>
      </c>
      <c r="Q278" s="108">
        <f t="shared" si="22"/>
        <v>0.23948220064724923</v>
      </c>
      <c r="S278" s="109">
        <f t="shared" si="23"/>
        <v>2.4196428571428572</v>
      </c>
      <c r="T278" s="109">
        <f t="shared" si="24"/>
        <v>0.7022222222222223</v>
      </c>
    </row>
    <row r="279" spans="1:20">
      <c r="A279" s="154">
        <v>855</v>
      </c>
      <c r="B279" s="156">
        <v>2214</v>
      </c>
      <c r="C279" s="133" t="s">
        <v>2589</v>
      </c>
      <c r="D279" s="155" t="s">
        <v>2324</v>
      </c>
      <c r="E279" s="154">
        <v>5</v>
      </c>
      <c r="F279" s="154">
        <v>4</v>
      </c>
      <c r="G279" s="154">
        <v>1</v>
      </c>
      <c r="H279" s="154">
        <v>0</v>
      </c>
      <c r="I279" s="154">
        <v>0</v>
      </c>
      <c r="J279" s="154">
        <v>0</v>
      </c>
      <c r="K279" s="154">
        <v>0.12</v>
      </c>
      <c r="L279" s="154">
        <v>0.29199999999999998</v>
      </c>
      <c r="M279" s="154">
        <v>0.38600000000000001</v>
      </c>
      <c r="N279" s="154">
        <v>0.497</v>
      </c>
      <c r="O279" s="108">
        <f t="shared" si="20"/>
        <v>1.4333333333333331</v>
      </c>
      <c r="P279" s="108">
        <f t="shared" si="21"/>
        <v>0.32191780821917826</v>
      </c>
      <c r="Q279" s="108">
        <f t="shared" si="22"/>
        <v>0.28756476683937815</v>
      </c>
      <c r="S279" s="109">
        <f t="shared" si="23"/>
        <v>3.1416666666666666</v>
      </c>
      <c r="T279" s="109">
        <f t="shared" si="24"/>
        <v>0.70205479452054798</v>
      </c>
    </row>
    <row r="280" spans="1:20">
      <c r="A280" s="154">
        <v>429</v>
      </c>
      <c r="B280" s="156">
        <v>600763</v>
      </c>
      <c r="C280" s="133" t="s">
        <v>2590</v>
      </c>
      <c r="D280" s="155" t="s">
        <v>2324</v>
      </c>
      <c r="E280" s="154">
        <v>12</v>
      </c>
      <c r="F280" s="154">
        <v>8</v>
      </c>
      <c r="G280" s="154">
        <v>4</v>
      </c>
      <c r="H280" s="154">
        <v>0</v>
      </c>
      <c r="I280" s="154">
        <v>0</v>
      </c>
      <c r="J280" s="154">
        <v>0</v>
      </c>
      <c r="K280" s="154">
        <v>1.036</v>
      </c>
      <c r="L280" s="154">
        <v>1.4039999999999999</v>
      </c>
      <c r="M280" s="154">
        <v>1.839</v>
      </c>
      <c r="N280" s="154">
        <v>2.3849999999999998</v>
      </c>
      <c r="O280" s="108">
        <f t="shared" si="20"/>
        <v>0.35521235521235517</v>
      </c>
      <c r="P280" s="108">
        <f t="shared" si="21"/>
        <v>0.30982905982905984</v>
      </c>
      <c r="Q280" s="108">
        <f t="shared" si="22"/>
        <v>0.29690048939641089</v>
      </c>
      <c r="S280" s="109">
        <f t="shared" si="23"/>
        <v>1.3021235521235517</v>
      </c>
      <c r="T280" s="109">
        <f t="shared" si="24"/>
        <v>0.69871794871794868</v>
      </c>
    </row>
    <row r="281" spans="1:20">
      <c r="A281" s="154">
        <v>76</v>
      </c>
      <c r="B281" s="156">
        <v>661</v>
      </c>
      <c r="C281" s="133" t="s">
        <v>2591</v>
      </c>
      <c r="D281" s="155" t="s">
        <v>2324</v>
      </c>
      <c r="E281" s="154">
        <v>34</v>
      </c>
      <c r="F281" s="154">
        <v>32</v>
      </c>
      <c r="G281" s="154">
        <v>2</v>
      </c>
      <c r="H281" s="154">
        <v>0</v>
      </c>
      <c r="I281" s="154">
        <v>0</v>
      </c>
      <c r="J281" s="154">
        <v>0</v>
      </c>
      <c r="K281" s="154">
        <v>4.9740000000000002</v>
      </c>
      <c r="L281" s="154">
        <v>8.3030000000000008</v>
      </c>
      <c r="M281" s="154">
        <v>11.031000000000001</v>
      </c>
      <c r="N281" s="154">
        <v>14.099</v>
      </c>
      <c r="O281" s="108">
        <f t="shared" si="20"/>
        <v>0.66928025733815844</v>
      </c>
      <c r="P281" s="108">
        <f t="shared" si="21"/>
        <v>0.32855594363483065</v>
      </c>
      <c r="Q281" s="108">
        <f t="shared" si="22"/>
        <v>0.27812528329253916</v>
      </c>
      <c r="S281" s="109">
        <f t="shared" si="23"/>
        <v>1.8345396059509449</v>
      </c>
      <c r="T281" s="109">
        <f t="shared" si="24"/>
        <v>0.69806094182825462</v>
      </c>
    </row>
    <row r="282" spans="1:20">
      <c r="A282" s="154">
        <v>91</v>
      </c>
      <c r="B282" s="156">
        <v>703</v>
      </c>
      <c r="C282" s="133" t="s">
        <v>2592</v>
      </c>
      <c r="D282" s="155" t="s">
        <v>2324</v>
      </c>
      <c r="E282" s="154">
        <v>32</v>
      </c>
      <c r="F282" s="154">
        <v>22</v>
      </c>
      <c r="G282" s="154">
        <v>10</v>
      </c>
      <c r="H282" s="154">
        <v>0</v>
      </c>
      <c r="I282" s="154">
        <v>0</v>
      </c>
      <c r="J282" s="154">
        <v>0</v>
      </c>
      <c r="K282" s="154">
        <v>0.69</v>
      </c>
      <c r="L282" s="154">
        <v>1.117</v>
      </c>
      <c r="M282" s="154">
        <v>1.696</v>
      </c>
      <c r="N282" s="154">
        <v>1.893</v>
      </c>
      <c r="O282" s="108">
        <f t="shared" si="20"/>
        <v>0.61884057971014506</v>
      </c>
      <c r="P282" s="108">
        <f t="shared" si="21"/>
        <v>0.51835273052820052</v>
      </c>
      <c r="Q282" s="108">
        <f t="shared" si="22"/>
        <v>0.11615566037735858</v>
      </c>
      <c r="S282" s="109">
        <f t="shared" si="23"/>
        <v>1.7434782608695656</v>
      </c>
      <c r="T282" s="109">
        <f t="shared" si="24"/>
        <v>0.69471799462846917</v>
      </c>
    </row>
    <row r="283" spans="1:20">
      <c r="A283" s="154">
        <v>73</v>
      </c>
      <c r="B283" s="156">
        <v>300003</v>
      </c>
      <c r="C283" s="133" t="s">
        <v>2593</v>
      </c>
      <c r="D283" s="155" t="s">
        <v>2324</v>
      </c>
      <c r="E283" s="154">
        <v>34</v>
      </c>
      <c r="F283" s="154">
        <v>30</v>
      </c>
      <c r="G283" s="154">
        <v>4</v>
      </c>
      <c r="H283" s="154">
        <v>0</v>
      </c>
      <c r="I283" s="154">
        <v>0</v>
      </c>
      <c r="J283" s="154">
        <v>0</v>
      </c>
      <c r="K283" s="154">
        <v>0.68400000000000005</v>
      </c>
      <c r="L283" s="154">
        <v>0.95499999999999996</v>
      </c>
      <c r="M283" s="154">
        <v>1.2430000000000001</v>
      </c>
      <c r="N283" s="154">
        <v>1.6180000000000001</v>
      </c>
      <c r="O283" s="108">
        <f t="shared" si="20"/>
        <v>0.39619883040935666</v>
      </c>
      <c r="P283" s="108">
        <f t="shared" si="21"/>
        <v>0.30157068062827252</v>
      </c>
      <c r="Q283" s="108">
        <f t="shared" si="22"/>
        <v>0.3016894609814964</v>
      </c>
      <c r="S283" s="109">
        <f t="shared" si="23"/>
        <v>1.365497076023392</v>
      </c>
      <c r="T283" s="109">
        <f t="shared" si="24"/>
        <v>0.69424083769633516</v>
      </c>
    </row>
    <row r="284" spans="1:20">
      <c r="A284" s="154">
        <v>165</v>
      </c>
      <c r="B284" s="156">
        <v>300607</v>
      </c>
      <c r="C284" s="133" t="s">
        <v>2594</v>
      </c>
      <c r="D284" s="155" t="s">
        <v>2324</v>
      </c>
      <c r="E284" s="154">
        <v>24</v>
      </c>
      <c r="F284" s="154">
        <v>11</v>
      </c>
      <c r="G284" s="154">
        <v>13</v>
      </c>
      <c r="H284" s="154">
        <v>0</v>
      </c>
      <c r="I284" s="154">
        <v>0</v>
      </c>
      <c r="J284" s="154">
        <v>0</v>
      </c>
      <c r="K284" s="154">
        <v>1.161</v>
      </c>
      <c r="L284" s="154">
        <v>1.399</v>
      </c>
      <c r="M284" s="154">
        <v>1.839</v>
      </c>
      <c r="N284" s="154">
        <v>2.37</v>
      </c>
      <c r="O284" s="108">
        <f t="shared" si="20"/>
        <v>0.20499569336778634</v>
      </c>
      <c r="P284" s="108">
        <f t="shared" si="21"/>
        <v>0.31451036454610426</v>
      </c>
      <c r="Q284" s="108">
        <f t="shared" si="22"/>
        <v>0.28874388254486139</v>
      </c>
      <c r="S284" s="109">
        <f t="shared" si="23"/>
        <v>1.0413436692506459</v>
      </c>
      <c r="T284" s="109">
        <f t="shared" si="24"/>
        <v>0.69406719085060753</v>
      </c>
    </row>
    <row r="285" spans="1:20">
      <c r="A285" s="154">
        <v>382</v>
      </c>
      <c r="B285" s="156">
        <v>600141</v>
      </c>
      <c r="C285" s="133" t="s">
        <v>2595</v>
      </c>
      <c r="D285" s="155" t="s">
        <v>2324</v>
      </c>
      <c r="E285" s="154">
        <v>13</v>
      </c>
      <c r="F285" s="154">
        <v>6</v>
      </c>
      <c r="G285" s="154">
        <v>7</v>
      </c>
      <c r="H285" s="154">
        <v>0</v>
      </c>
      <c r="I285" s="154">
        <v>0</v>
      </c>
      <c r="J285" s="154">
        <v>0</v>
      </c>
      <c r="K285" s="154">
        <v>0.39100000000000001</v>
      </c>
      <c r="L285" s="154">
        <v>0.434</v>
      </c>
      <c r="M285" s="154">
        <v>0.57899999999999996</v>
      </c>
      <c r="N285" s="154">
        <v>0.73499999999999999</v>
      </c>
      <c r="O285" s="108">
        <f t="shared" si="20"/>
        <v>0.10997442455242967</v>
      </c>
      <c r="P285" s="108">
        <f t="shared" si="21"/>
        <v>0.33410138248847909</v>
      </c>
      <c r="Q285" s="108">
        <f t="shared" si="22"/>
        <v>0.26943005181347157</v>
      </c>
      <c r="S285" s="109">
        <f t="shared" si="23"/>
        <v>0.87979539641943716</v>
      </c>
      <c r="T285" s="109">
        <f t="shared" si="24"/>
        <v>0.69354838709677424</v>
      </c>
    </row>
    <row r="286" spans="1:20">
      <c r="A286" s="154">
        <v>515</v>
      </c>
      <c r="B286" s="156">
        <v>603658</v>
      </c>
      <c r="C286" s="133" t="s">
        <v>2596</v>
      </c>
      <c r="D286" s="155" t="s">
        <v>2324</v>
      </c>
      <c r="E286" s="154">
        <v>9</v>
      </c>
      <c r="F286" s="154">
        <v>6</v>
      </c>
      <c r="G286" s="154">
        <v>3</v>
      </c>
      <c r="H286" s="154">
        <v>0</v>
      </c>
      <c r="I286" s="154">
        <v>0</v>
      </c>
      <c r="J286" s="154">
        <v>0</v>
      </c>
      <c r="K286" s="154">
        <v>1.339</v>
      </c>
      <c r="L286" s="154">
        <v>1.758</v>
      </c>
      <c r="M286" s="154">
        <v>2.2959999999999998</v>
      </c>
      <c r="N286" s="154">
        <v>2.9769999999999999</v>
      </c>
      <c r="O286" s="108">
        <f t="shared" si="20"/>
        <v>0.31292008961911888</v>
      </c>
      <c r="P286" s="108">
        <f t="shared" si="21"/>
        <v>0.30602957906712169</v>
      </c>
      <c r="Q286" s="108">
        <f t="shared" si="22"/>
        <v>0.29660278745644608</v>
      </c>
      <c r="S286" s="109">
        <f t="shared" si="23"/>
        <v>1.2233009708737863</v>
      </c>
      <c r="T286" s="109">
        <f t="shared" si="24"/>
        <v>0.6934015927189987</v>
      </c>
    </row>
    <row r="287" spans="1:20">
      <c r="A287" s="154">
        <v>279</v>
      </c>
      <c r="B287" s="156">
        <v>43</v>
      </c>
      <c r="C287" s="133" t="s">
        <v>2597</v>
      </c>
      <c r="D287" s="155" t="s">
        <v>2324</v>
      </c>
      <c r="E287" s="154">
        <v>18</v>
      </c>
      <c r="F287" s="154">
        <v>16</v>
      </c>
      <c r="G287" s="154">
        <v>2</v>
      </c>
      <c r="H287" s="154">
        <v>0</v>
      </c>
      <c r="I287" s="154">
        <v>0</v>
      </c>
      <c r="J287" s="154">
        <v>0</v>
      </c>
      <c r="K287" s="154">
        <v>0.80800000000000005</v>
      </c>
      <c r="L287" s="154">
        <v>0.45400000000000001</v>
      </c>
      <c r="M287" s="154">
        <v>0.61399999999999999</v>
      </c>
      <c r="N287" s="154">
        <v>0.76700000000000002</v>
      </c>
      <c r="O287" s="108">
        <f t="shared" si="20"/>
        <v>-0.43811881188118817</v>
      </c>
      <c r="P287" s="108">
        <f t="shared" si="21"/>
        <v>0.35242290748898664</v>
      </c>
      <c r="Q287" s="108">
        <f t="shared" si="22"/>
        <v>0.24918566775244311</v>
      </c>
      <c r="S287" s="109">
        <f t="shared" si="23"/>
        <v>-5.0742574257425788E-2</v>
      </c>
      <c r="T287" s="109">
        <f t="shared" si="24"/>
        <v>0.68942731277533031</v>
      </c>
    </row>
    <row r="288" spans="1:20">
      <c r="A288" s="154">
        <v>823</v>
      </c>
      <c r="B288" s="156">
        <v>2810</v>
      </c>
      <c r="C288" s="133" t="s">
        <v>2598</v>
      </c>
      <c r="D288" s="155" t="s">
        <v>2324</v>
      </c>
      <c r="E288" s="154">
        <v>5</v>
      </c>
      <c r="F288" s="154">
        <v>4</v>
      </c>
      <c r="G288" s="154">
        <v>1</v>
      </c>
      <c r="H288" s="154">
        <v>0</v>
      </c>
      <c r="I288" s="154">
        <v>0</v>
      </c>
      <c r="J288" s="154">
        <v>0</v>
      </c>
      <c r="K288" s="154">
        <v>0.38600000000000001</v>
      </c>
      <c r="L288" s="154">
        <v>0.81</v>
      </c>
      <c r="M288" s="154">
        <v>1.0740000000000001</v>
      </c>
      <c r="N288" s="154">
        <v>1.3660000000000001</v>
      </c>
      <c r="O288" s="108">
        <f t="shared" si="20"/>
        <v>1.0984455958549222</v>
      </c>
      <c r="P288" s="108">
        <f t="shared" si="21"/>
        <v>0.32592592592592595</v>
      </c>
      <c r="Q288" s="108">
        <f t="shared" si="22"/>
        <v>0.27188081936685293</v>
      </c>
      <c r="S288" s="109">
        <f t="shared" si="23"/>
        <v>2.5388601036269431</v>
      </c>
      <c r="T288" s="109">
        <f t="shared" si="24"/>
        <v>0.68641975308641978</v>
      </c>
    </row>
    <row r="289" spans="1:20">
      <c r="A289" s="154">
        <v>633</v>
      </c>
      <c r="B289" s="156">
        <v>603666</v>
      </c>
      <c r="C289" s="133" t="s">
        <v>2599</v>
      </c>
      <c r="D289" s="155" t="s">
        <v>2324</v>
      </c>
      <c r="E289" s="154">
        <v>7</v>
      </c>
      <c r="F289" s="154">
        <v>7</v>
      </c>
      <c r="G289" s="154">
        <v>0</v>
      </c>
      <c r="H289" s="154">
        <v>0</v>
      </c>
      <c r="I289" s="154">
        <v>0</v>
      </c>
      <c r="J289" s="154">
        <v>0</v>
      </c>
      <c r="K289" s="154">
        <v>1.8580000000000001</v>
      </c>
      <c r="L289" s="154">
        <v>2.4830000000000001</v>
      </c>
      <c r="M289" s="154">
        <v>3.2480000000000002</v>
      </c>
      <c r="N289" s="154">
        <v>4.1849999999999996</v>
      </c>
      <c r="O289" s="108">
        <f t="shared" si="20"/>
        <v>0.33638320775026909</v>
      </c>
      <c r="P289" s="108">
        <f t="shared" si="21"/>
        <v>0.30809504631494167</v>
      </c>
      <c r="Q289" s="108">
        <f t="shared" si="22"/>
        <v>0.28848522167487656</v>
      </c>
      <c r="S289" s="109">
        <f t="shared" si="23"/>
        <v>1.2524219590958015</v>
      </c>
      <c r="T289" s="109">
        <f t="shared" si="24"/>
        <v>0.68546113572291567</v>
      </c>
    </row>
    <row r="290" spans="1:20">
      <c r="A290" s="154">
        <v>617</v>
      </c>
      <c r="B290" s="156">
        <v>739</v>
      </c>
      <c r="C290" s="133" t="s">
        <v>2600</v>
      </c>
      <c r="D290" s="155" t="s">
        <v>2324</v>
      </c>
      <c r="E290" s="154">
        <v>8</v>
      </c>
      <c r="F290" s="154">
        <v>6</v>
      </c>
      <c r="G290" s="154">
        <v>2</v>
      </c>
      <c r="H290" s="154">
        <v>0</v>
      </c>
      <c r="I290" s="154">
        <v>0</v>
      </c>
      <c r="J290" s="154">
        <v>0</v>
      </c>
      <c r="K290" s="154">
        <v>0.314</v>
      </c>
      <c r="L290" s="154">
        <v>0.45400000000000001</v>
      </c>
      <c r="M290" s="154">
        <v>0.60099999999999998</v>
      </c>
      <c r="N290" s="154">
        <v>0.76500000000000001</v>
      </c>
      <c r="O290" s="108">
        <f t="shared" si="20"/>
        <v>0.44585987261146509</v>
      </c>
      <c r="P290" s="108">
        <f t="shared" si="21"/>
        <v>0.32378854625550657</v>
      </c>
      <c r="Q290" s="108">
        <f t="shared" si="22"/>
        <v>0.27287853577371046</v>
      </c>
      <c r="S290" s="109">
        <f t="shared" si="23"/>
        <v>1.4363057324840764</v>
      </c>
      <c r="T290" s="109">
        <f t="shared" si="24"/>
        <v>0.68502202643171795</v>
      </c>
    </row>
    <row r="291" spans="1:20">
      <c r="A291" s="154">
        <v>761</v>
      </c>
      <c r="B291" s="156">
        <v>300047</v>
      </c>
      <c r="C291" s="133" t="s">
        <v>2601</v>
      </c>
      <c r="D291" s="155" t="s">
        <v>2324</v>
      </c>
      <c r="E291" s="154">
        <v>6</v>
      </c>
      <c r="F291" s="154">
        <v>5</v>
      </c>
      <c r="G291" s="154">
        <v>1</v>
      </c>
      <c r="H291" s="154">
        <v>0</v>
      </c>
      <c r="I291" s="154">
        <v>0</v>
      </c>
      <c r="J291" s="154">
        <v>0</v>
      </c>
      <c r="K291" s="154">
        <v>0.33800000000000002</v>
      </c>
      <c r="L291" s="154">
        <v>0.42399999999999999</v>
      </c>
      <c r="M291" s="154">
        <v>0.54400000000000004</v>
      </c>
      <c r="N291" s="154">
        <v>0.71399999999999997</v>
      </c>
      <c r="O291" s="108">
        <f t="shared" si="20"/>
        <v>0.25443786982248517</v>
      </c>
      <c r="P291" s="108">
        <f t="shared" si="21"/>
        <v>0.28301886792452846</v>
      </c>
      <c r="Q291" s="108">
        <f t="shared" si="22"/>
        <v>0.31249999999999978</v>
      </c>
      <c r="S291" s="109">
        <f t="shared" si="23"/>
        <v>1.1124260355029585</v>
      </c>
      <c r="T291" s="109">
        <f t="shared" si="24"/>
        <v>0.6839622641509433</v>
      </c>
    </row>
    <row r="292" spans="1:20">
      <c r="A292" s="154">
        <v>567</v>
      </c>
      <c r="B292" s="156">
        <v>603486</v>
      </c>
      <c r="C292" s="133" t="s">
        <v>2602</v>
      </c>
      <c r="D292" s="155" t="s">
        <v>2324</v>
      </c>
      <c r="E292" s="154">
        <v>8</v>
      </c>
      <c r="F292" s="154">
        <v>5</v>
      </c>
      <c r="G292" s="154">
        <v>3</v>
      </c>
      <c r="H292" s="154">
        <v>0</v>
      </c>
      <c r="I292" s="154">
        <v>0</v>
      </c>
      <c r="J292" s="154">
        <v>0</v>
      </c>
      <c r="K292" s="154">
        <v>0.85899999999999999</v>
      </c>
      <c r="L292" s="154">
        <v>0.70199999999999996</v>
      </c>
      <c r="M292" s="154">
        <v>0.88900000000000001</v>
      </c>
      <c r="N292" s="154">
        <v>1.1819999999999999</v>
      </c>
      <c r="O292" s="108">
        <f t="shared" si="20"/>
        <v>-0.18277066356228178</v>
      </c>
      <c r="P292" s="108">
        <f t="shared" si="21"/>
        <v>0.26638176638176647</v>
      </c>
      <c r="Q292" s="108">
        <f t="shared" si="22"/>
        <v>0.3295838020247468</v>
      </c>
      <c r="S292" s="109">
        <f t="shared" si="23"/>
        <v>0.37601862630966232</v>
      </c>
      <c r="T292" s="109">
        <f t="shared" si="24"/>
        <v>0.68376068376068377</v>
      </c>
    </row>
    <row r="293" spans="1:20">
      <c r="A293" s="154">
        <v>166</v>
      </c>
      <c r="B293" s="156">
        <v>300590</v>
      </c>
      <c r="C293" s="133" t="s">
        <v>2603</v>
      </c>
      <c r="D293" s="155" t="s">
        <v>2324</v>
      </c>
      <c r="E293" s="154">
        <v>24</v>
      </c>
      <c r="F293" s="154">
        <v>16</v>
      </c>
      <c r="G293" s="154">
        <v>8</v>
      </c>
      <c r="H293" s="154">
        <v>0</v>
      </c>
      <c r="I293" s="154">
        <v>0</v>
      </c>
      <c r="J293" s="154">
        <v>0</v>
      </c>
      <c r="K293" s="154">
        <v>0.77200000000000002</v>
      </c>
      <c r="L293" s="154">
        <v>1.0029999999999999</v>
      </c>
      <c r="M293" s="154">
        <v>1.3129999999999999</v>
      </c>
      <c r="N293" s="154">
        <v>1.6879999999999999</v>
      </c>
      <c r="O293" s="108">
        <f t="shared" si="20"/>
        <v>0.29922279792746087</v>
      </c>
      <c r="P293" s="108">
        <f t="shared" si="21"/>
        <v>0.30907278165503493</v>
      </c>
      <c r="Q293" s="108">
        <f t="shared" si="22"/>
        <v>0.28560548362528571</v>
      </c>
      <c r="S293" s="109">
        <f t="shared" si="23"/>
        <v>1.1865284974093262</v>
      </c>
      <c r="T293" s="109">
        <f t="shared" si="24"/>
        <v>0.68295114656031908</v>
      </c>
    </row>
    <row r="294" spans="1:20">
      <c r="A294" s="154">
        <v>440</v>
      </c>
      <c r="B294" s="156">
        <v>799</v>
      </c>
      <c r="C294" s="133" t="s">
        <v>2604</v>
      </c>
      <c r="D294" s="155" t="s">
        <v>2324</v>
      </c>
      <c r="E294" s="154">
        <v>12</v>
      </c>
      <c r="F294" s="154">
        <v>11</v>
      </c>
      <c r="G294" s="154">
        <v>1</v>
      </c>
      <c r="H294" s="154">
        <v>0</v>
      </c>
      <c r="I294" s="154">
        <v>0</v>
      </c>
      <c r="J294" s="154">
        <v>0</v>
      </c>
      <c r="K294" s="154">
        <v>0.68500000000000005</v>
      </c>
      <c r="L294" s="154">
        <v>0.879</v>
      </c>
      <c r="M294" s="154">
        <v>1.1599999999999999</v>
      </c>
      <c r="N294" s="154">
        <v>1.4770000000000001</v>
      </c>
      <c r="O294" s="108">
        <f t="shared" si="20"/>
        <v>0.28321167883211662</v>
      </c>
      <c r="P294" s="108">
        <f t="shared" si="21"/>
        <v>0.31968145620022748</v>
      </c>
      <c r="Q294" s="108">
        <f t="shared" si="22"/>
        <v>0.2732758620689657</v>
      </c>
      <c r="S294" s="109">
        <f t="shared" si="23"/>
        <v>1.1562043795620438</v>
      </c>
      <c r="T294" s="109">
        <f t="shared" si="24"/>
        <v>0.68031854379977252</v>
      </c>
    </row>
    <row r="295" spans="1:20">
      <c r="A295" s="154">
        <v>360</v>
      </c>
      <c r="B295" s="156">
        <v>300190</v>
      </c>
      <c r="C295" s="133" t="s">
        <v>2605</v>
      </c>
      <c r="D295" s="155" t="s">
        <v>2324</v>
      </c>
      <c r="E295" s="154">
        <v>14</v>
      </c>
      <c r="F295" s="154">
        <v>13</v>
      </c>
      <c r="G295" s="154">
        <v>1</v>
      </c>
      <c r="H295" s="154">
        <v>0</v>
      </c>
      <c r="I295" s="154">
        <v>0</v>
      </c>
      <c r="J295" s="154">
        <v>0</v>
      </c>
      <c r="K295" s="154">
        <v>0.29599999999999999</v>
      </c>
      <c r="L295" s="154">
        <v>0.437</v>
      </c>
      <c r="M295" s="154">
        <v>0.58099999999999996</v>
      </c>
      <c r="N295" s="154">
        <v>0.73399999999999999</v>
      </c>
      <c r="O295" s="108">
        <f t="shared" si="20"/>
        <v>0.47635135135135132</v>
      </c>
      <c r="P295" s="108">
        <f t="shared" si="21"/>
        <v>0.32951945080091516</v>
      </c>
      <c r="Q295" s="108">
        <f t="shared" si="22"/>
        <v>0.26333907056798633</v>
      </c>
      <c r="S295" s="109">
        <f t="shared" si="23"/>
        <v>1.4797297297297298</v>
      </c>
      <c r="T295" s="109">
        <f t="shared" si="24"/>
        <v>0.67963386727688779</v>
      </c>
    </row>
    <row r="296" spans="1:20">
      <c r="A296" s="154">
        <v>346</v>
      </c>
      <c r="B296" s="156">
        <v>2918</v>
      </c>
      <c r="C296" s="133" t="s">
        <v>2606</v>
      </c>
      <c r="D296" s="155" t="s">
        <v>2324</v>
      </c>
      <c r="E296" s="154">
        <v>14</v>
      </c>
      <c r="F296" s="154">
        <v>12</v>
      </c>
      <c r="G296" s="154">
        <v>2</v>
      </c>
      <c r="H296" s="154">
        <v>0</v>
      </c>
      <c r="I296" s="154">
        <v>0</v>
      </c>
      <c r="J296" s="154">
        <v>0</v>
      </c>
      <c r="K296" s="154">
        <v>0.90100000000000002</v>
      </c>
      <c r="L296" s="154">
        <v>1.0129999999999999</v>
      </c>
      <c r="M296" s="154">
        <v>1.3089999999999999</v>
      </c>
      <c r="N296" s="154">
        <v>1.7</v>
      </c>
      <c r="O296" s="108">
        <f t="shared" si="20"/>
        <v>0.12430632630410643</v>
      </c>
      <c r="P296" s="108">
        <f t="shared" si="21"/>
        <v>0.29220138203356383</v>
      </c>
      <c r="Q296" s="108">
        <f t="shared" si="22"/>
        <v>0.29870129870129869</v>
      </c>
      <c r="S296" s="109">
        <f t="shared" si="23"/>
        <v>0.88679245283018848</v>
      </c>
      <c r="T296" s="109">
        <f t="shared" si="24"/>
        <v>0.67818361303060226</v>
      </c>
    </row>
    <row r="297" spans="1:20">
      <c r="A297" s="154">
        <v>148</v>
      </c>
      <c r="B297" s="156">
        <v>2044</v>
      </c>
      <c r="C297" s="133" t="s">
        <v>2607</v>
      </c>
      <c r="D297" s="155" t="s">
        <v>2324</v>
      </c>
      <c r="E297" s="154">
        <v>26</v>
      </c>
      <c r="F297" s="154">
        <v>22</v>
      </c>
      <c r="G297" s="154">
        <v>4</v>
      </c>
      <c r="H297" s="154">
        <v>0</v>
      </c>
      <c r="I297" s="154">
        <v>0</v>
      </c>
      <c r="J297" s="154">
        <v>0</v>
      </c>
      <c r="K297" s="154">
        <v>0.20899999999999999</v>
      </c>
      <c r="L297" s="154">
        <v>0.254</v>
      </c>
      <c r="M297" s="154">
        <v>0.32800000000000001</v>
      </c>
      <c r="N297" s="154">
        <v>0.42599999999999999</v>
      </c>
      <c r="O297" s="108">
        <f t="shared" si="20"/>
        <v>0.21531100478468912</v>
      </c>
      <c r="P297" s="108">
        <f t="shared" si="21"/>
        <v>0.29133858267716528</v>
      </c>
      <c r="Q297" s="108">
        <f t="shared" si="22"/>
        <v>0.29878048780487787</v>
      </c>
      <c r="S297" s="109">
        <f t="shared" si="23"/>
        <v>1.0382775119617227</v>
      </c>
      <c r="T297" s="109">
        <f t="shared" si="24"/>
        <v>0.67716535433070857</v>
      </c>
    </row>
    <row r="298" spans="1:20">
      <c r="A298" s="154">
        <v>936</v>
      </c>
      <c r="B298" s="156">
        <v>2587</v>
      </c>
      <c r="C298" s="133" t="s">
        <v>2608</v>
      </c>
      <c r="D298" s="155" t="s">
        <v>2324</v>
      </c>
      <c r="E298" s="154">
        <v>4</v>
      </c>
      <c r="F298" s="154">
        <v>2</v>
      </c>
      <c r="G298" s="154">
        <v>2</v>
      </c>
      <c r="H298" s="154">
        <v>0</v>
      </c>
      <c r="I298" s="154">
        <v>0</v>
      </c>
      <c r="J298" s="154">
        <v>0</v>
      </c>
      <c r="K298" s="154">
        <v>0.28999999999999998</v>
      </c>
      <c r="L298" s="154">
        <v>0.35599999999999998</v>
      </c>
      <c r="M298" s="154">
        <v>0.46400000000000002</v>
      </c>
      <c r="N298" s="154">
        <v>0.59699999999999998</v>
      </c>
      <c r="O298" s="108">
        <f t="shared" si="20"/>
        <v>0.22758620689655173</v>
      </c>
      <c r="P298" s="108">
        <f t="shared" si="21"/>
        <v>0.30337078651685401</v>
      </c>
      <c r="Q298" s="108">
        <f t="shared" si="22"/>
        <v>0.28663793103448265</v>
      </c>
      <c r="S298" s="109">
        <f t="shared" si="23"/>
        <v>1.0586206896551724</v>
      </c>
      <c r="T298" s="109">
        <f t="shared" si="24"/>
        <v>0.67696629213483139</v>
      </c>
    </row>
    <row r="299" spans="1:20">
      <c r="A299" s="154">
        <v>57</v>
      </c>
      <c r="B299" s="156">
        <v>300724</v>
      </c>
      <c r="C299" s="133" t="s">
        <v>2609</v>
      </c>
      <c r="D299" s="155" t="s">
        <v>2324</v>
      </c>
      <c r="E299" s="154">
        <v>37</v>
      </c>
      <c r="F299" s="154">
        <v>23</v>
      </c>
      <c r="G299" s="154">
        <v>14</v>
      </c>
      <c r="H299" s="154">
        <v>0</v>
      </c>
      <c r="I299" s="154">
        <v>0</v>
      </c>
      <c r="J299" s="154">
        <v>0</v>
      </c>
      <c r="K299" s="154">
        <v>0.95299999999999996</v>
      </c>
      <c r="L299" s="154">
        <v>1.339</v>
      </c>
      <c r="M299" s="154">
        <v>1.7869999999999999</v>
      </c>
      <c r="N299" s="154">
        <v>2.2450000000000001</v>
      </c>
      <c r="O299" s="108">
        <f t="shared" si="20"/>
        <v>0.40503672612801678</v>
      </c>
      <c r="P299" s="108">
        <f t="shared" si="21"/>
        <v>0.33457804331590735</v>
      </c>
      <c r="Q299" s="108">
        <f t="shared" si="22"/>
        <v>0.25629546726357044</v>
      </c>
      <c r="S299" s="109">
        <f t="shared" si="23"/>
        <v>1.3557187827911861</v>
      </c>
      <c r="T299" s="109">
        <f t="shared" si="24"/>
        <v>0.67662434652725922</v>
      </c>
    </row>
    <row r="300" spans="1:20">
      <c r="A300" s="154">
        <v>459</v>
      </c>
      <c r="B300" s="156">
        <v>2851</v>
      </c>
      <c r="C300" s="133" t="s">
        <v>2610</v>
      </c>
      <c r="D300" s="155" t="s">
        <v>2324</v>
      </c>
      <c r="E300" s="154">
        <v>11</v>
      </c>
      <c r="F300" s="154">
        <v>8</v>
      </c>
      <c r="G300" s="154">
        <v>3</v>
      </c>
      <c r="H300" s="154">
        <v>0</v>
      </c>
      <c r="I300" s="154">
        <v>0</v>
      </c>
      <c r="J300" s="154">
        <v>0</v>
      </c>
      <c r="K300" s="154">
        <v>0.43</v>
      </c>
      <c r="L300" s="154">
        <v>0.76400000000000001</v>
      </c>
      <c r="M300" s="154">
        <v>0.99399999999999999</v>
      </c>
      <c r="N300" s="154">
        <v>1.28</v>
      </c>
      <c r="O300" s="108">
        <f t="shared" si="20"/>
        <v>0.77674418604651163</v>
      </c>
      <c r="P300" s="108">
        <f t="shared" si="21"/>
        <v>0.30104712041884807</v>
      </c>
      <c r="Q300" s="108">
        <f t="shared" si="22"/>
        <v>0.28772635814889336</v>
      </c>
      <c r="S300" s="109">
        <f t="shared" si="23"/>
        <v>1.9767441860465116</v>
      </c>
      <c r="T300" s="109">
        <f t="shared" si="24"/>
        <v>0.67539267015706805</v>
      </c>
    </row>
    <row r="301" spans="1:20">
      <c r="A301" s="154">
        <v>55</v>
      </c>
      <c r="B301" s="156">
        <v>600588</v>
      </c>
      <c r="C301" s="133" t="s">
        <v>2611</v>
      </c>
      <c r="D301" s="155" t="s">
        <v>2324</v>
      </c>
      <c r="E301" s="154">
        <v>38</v>
      </c>
      <c r="F301" s="154">
        <v>28</v>
      </c>
      <c r="G301" s="154">
        <v>9</v>
      </c>
      <c r="H301" s="154">
        <v>1</v>
      </c>
      <c r="I301" s="154">
        <v>0</v>
      </c>
      <c r="J301" s="154">
        <v>0</v>
      </c>
      <c r="K301" s="154">
        <v>0.24399999999999999</v>
      </c>
      <c r="L301" s="154">
        <v>0.34499999999999997</v>
      </c>
      <c r="M301" s="154">
        <v>0.441</v>
      </c>
      <c r="N301" s="154">
        <v>0.57799999999999996</v>
      </c>
      <c r="O301" s="108">
        <f t="shared" si="20"/>
        <v>0.41393442622950816</v>
      </c>
      <c r="P301" s="108">
        <f t="shared" si="21"/>
        <v>0.27826086956521756</v>
      </c>
      <c r="Q301" s="108">
        <f t="shared" si="22"/>
        <v>0.31065759637188206</v>
      </c>
      <c r="S301" s="109">
        <f t="shared" si="23"/>
        <v>1.3688524590163933</v>
      </c>
      <c r="T301" s="109">
        <f t="shared" si="24"/>
        <v>0.67536231884057973</v>
      </c>
    </row>
    <row r="302" spans="1:20">
      <c r="A302" s="154">
        <v>442</v>
      </c>
      <c r="B302" s="156">
        <v>603882</v>
      </c>
      <c r="C302" s="133" t="s">
        <v>2612</v>
      </c>
      <c r="D302" s="155" t="s">
        <v>2324</v>
      </c>
      <c r="E302" s="154">
        <v>11</v>
      </c>
      <c r="F302" s="154">
        <v>8</v>
      </c>
      <c r="G302" s="154">
        <v>3</v>
      </c>
      <c r="H302" s="154">
        <v>0</v>
      </c>
      <c r="I302" s="154">
        <v>0</v>
      </c>
      <c r="J302" s="154">
        <v>0</v>
      </c>
      <c r="K302" s="154">
        <v>0.51</v>
      </c>
      <c r="L302" s="154">
        <v>0.873</v>
      </c>
      <c r="M302" s="154">
        <v>1.123</v>
      </c>
      <c r="N302" s="154">
        <v>1.4610000000000001</v>
      </c>
      <c r="O302" s="108">
        <f t="shared" si="20"/>
        <v>0.71176470588235285</v>
      </c>
      <c r="P302" s="108">
        <f t="shared" si="21"/>
        <v>0.28636884306987409</v>
      </c>
      <c r="Q302" s="108">
        <f t="shared" si="22"/>
        <v>0.30097951914514698</v>
      </c>
      <c r="S302" s="109">
        <f t="shared" si="23"/>
        <v>1.8647058823529412</v>
      </c>
      <c r="T302" s="109">
        <f t="shared" si="24"/>
        <v>0.67353951890034369</v>
      </c>
    </row>
    <row r="303" spans="1:20">
      <c r="A303" s="154">
        <v>46</v>
      </c>
      <c r="B303" s="156">
        <v>603605</v>
      </c>
      <c r="C303" s="133" t="s">
        <v>2613</v>
      </c>
      <c r="D303" s="155" t="s">
        <v>2324</v>
      </c>
      <c r="E303" s="154">
        <v>39</v>
      </c>
      <c r="F303" s="154">
        <v>29</v>
      </c>
      <c r="G303" s="154">
        <v>10</v>
      </c>
      <c r="H303" s="154">
        <v>0</v>
      </c>
      <c r="I303" s="154">
        <v>0</v>
      </c>
      <c r="J303" s="154">
        <v>0</v>
      </c>
      <c r="K303" s="154">
        <v>1.427</v>
      </c>
      <c r="L303" s="154">
        <v>1.9119999999999999</v>
      </c>
      <c r="M303" s="154">
        <v>2.5129999999999999</v>
      </c>
      <c r="N303" s="154">
        <v>3.198</v>
      </c>
      <c r="O303" s="108">
        <f t="shared" si="20"/>
        <v>0.33987386124737196</v>
      </c>
      <c r="P303" s="108">
        <f t="shared" si="21"/>
        <v>0.31433054393305437</v>
      </c>
      <c r="Q303" s="108">
        <f t="shared" si="22"/>
        <v>0.27258257063270985</v>
      </c>
      <c r="S303" s="109">
        <f t="shared" si="23"/>
        <v>1.2410651716888577</v>
      </c>
      <c r="T303" s="109">
        <f t="shared" si="24"/>
        <v>0.67259414225941416</v>
      </c>
    </row>
    <row r="304" spans="1:20">
      <c r="A304" s="154">
        <v>104</v>
      </c>
      <c r="B304" s="156">
        <v>603588</v>
      </c>
      <c r="C304" s="133" t="s">
        <v>2614</v>
      </c>
      <c r="D304" s="155" t="s">
        <v>2324</v>
      </c>
      <c r="E304" s="154">
        <v>30</v>
      </c>
      <c r="F304" s="154">
        <v>17</v>
      </c>
      <c r="G304" s="154">
        <v>13</v>
      </c>
      <c r="H304" s="154">
        <v>0</v>
      </c>
      <c r="I304" s="154">
        <v>0</v>
      </c>
      <c r="J304" s="154">
        <v>0</v>
      </c>
      <c r="K304" s="154">
        <v>0.48099999999999998</v>
      </c>
      <c r="L304" s="154">
        <v>0.64300000000000002</v>
      </c>
      <c r="M304" s="154">
        <v>0.84099999999999997</v>
      </c>
      <c r="N304" s="154">
        <v>1.0740000000000001</v>
      </c>
      <c r="O304" s="108">
        <f t="shared" si="20"/>
        <v>0.33679833679833693</v>
      </c>
      <c r="P304" s="108">
        <f t="shared" si="21"/>
        <v>0.30793157076205291</v>
      </c>
      <c r="Q304" s="108">
        <f t="shared" si="22"/>
        <v>0.27705112960761014</v>
      </c>
      <c r="S304" s="109">
        <f t="shared" si="23"/>
        <v>1.2328482328482329</v>
      </c>
      <c r="T304" s="109">
        <f t="shared" si="24"/>
        <v>0.6702954898911353</v>
      </c>
    </row>
    <row r="305" spans="1:20">
      <c r="A305" s="154">
        <v>222</v>
      </c>
      <c r="B305" s="156">
        <v>300792</v>
      </c>
      <c r="C305" s="133" t="s">
        <v>2615</v>
      </c>
      <c r="D305" s="155" t="s">
        <v>2324</v>
      </c>
      <c r="E305" s="154">
        <v>20</v>
      </c>
      <c r="F305" s="154">
        <v>12</v>
      </c>
      <c r="G305" s="154">
        <v>8</v>
      </c>
      <c r="H305" s="154">
        <v>0</v>
      </c>
      <c r="I305" s="154">
        <v>0</v>
      </c>
      <c r="J305" s="154">
        <v>0</v>
      </c>
      <c r="K305" s="154">
        <v>2.0329999999999999</v>
      </c>
      <c r="L305" s="154">
        <v>2.6709999999999998</v>
      </c>
      <c r="M305" s="154">
        <v>3.4660000000000002</v>
      </c>
      <c r="N305" s="154">
        <v>4.4550000000000001</v>
      </c>
      <c r="O305" s="108">
        <f t="shared" si="20"/>
        <v>0.31382193802262659</v>
      </c>
      <c r="P305" s="108">
        <f t="shared" si="21"/>
        <v>0.29764133283414473</v>
      </c>
      <c r="Q305" s="108">
        <f t="shared" si="22"/>
        <v>0.28534333525678002</v>
      </c>
      <c r="S305" s="109">
        <f t="shared" si="23"/>
        <v>1.1913428430890312</v>
      </c>
      <c r="T305" s="109">
        <f t="shared" si="24"/>
        <v>0.66791463871209289</v>
      </c>
    </row>
    <row r="306" spans="1:20">
      <c r="A306" s="154">
        <v>261</v>
      </c>
      <c r="B306" s="156">
        <v>603313</v>
      </c>
      <c r="C306" s="133" t="s">
        <v>1590</v>
      </c>
      <c r="D306" s="155" t="s">
        <v>2324</v>
      </c>
      <c r="E306" s="154">
        <v>18</v>
      </c>
      <c r="F306" s="154">
        <v>14</v>
      </c>
      <c r="G306" s="154">
        <v>4</v>
      </c>
      <c r="H306" s="154">
        <v>0</v>
      </c>
      <c r="I306" s="154">
        <v>0</v>
      </c>
      <c r="J306" s="154">
        <v>0</v>
      </c>
      <c r="K306" s="154">
        <v>0.54800000000000004</v>
      </c>
      <c r="L306" s="154">
        <v>1.107</v>
      </c>
      <c r="M306" s="154">
        <v>1.464</v>
      </c>
      <c r="N306" s="154">
        <v>1.8440000000000001</v>
      </c>
      <c r="O306" s="108">
        <f t="shared" si="20"/>
        <v>1.0200729927007299</v>
      </c>
      <c r="P306" s="108">
        <f t="shared" si="21"/>
        <v>0.32249322493224941</v>
      </c>
      <c r="Q306" s="108">
        <f t="shared" si="22"/>
        <v>0.25956284153005482</v>
      </c>
      <c r="S306" s="109">
        <f t="shared" si="23"/>
        <v>2.3649635036496348</v>
      </c>
      <c r="T306" s="109">
        <f t="shared" si="24"/>
        <v>0.6657633242999097</v>
      </c>
    </row>
    <row r="307" spans="1:20">
      <c r="A307" s="154">
        <v>144</v>
      </c>
      <c r="B307" s="156">
        <v>2127</v>
      </c>
      <c r="C307" s="133" t="s">
        <v>2616</v>
      </c>
      <c r="D307" s="155" t="s">
        <v>2324</v>
      </c>
      <c r="E307" s="154">
        <v>26</v>
      </c>
      <c r="F307" s="154">
        <v>21</v>
      </c>
      <c r="G307" s="154">
        <v>5</v>
      </c>
      <c r="H307" s="154">
        <v>0</v>
      </c>
      <c r="I307" s="154">
        <v>0</v>
      </c>
      <c r="J307" s="154">
        <v>0</v>
      </c>
      <c r="K307" s="154">
        <v>0.36099999999999999</v>
      </c>
      <c r="L307" s="154">
        <v>0.49299999999999999</v>
      </c>
      <c r="M307" s="154">
        <v>0.64100000000000001</v>
      </c>
      <c r="N307" s="154">
        <v>0.82099999999999995</v>
      </c>
      <c r="O307" s="108">
        <f t="shared" si="20"/>
        <v>0.36565096952908593</v>
      </c>
      <c r="P307" s="108">
        <f t="shared" si="21"/>
        <v>0.30020283975659234</v>
      </c>
      <c r="Q307" s="108">
        <f t="shared" si="22"/>
        <v>0.28081123244929795</v>
      </c>
      <c r="S307" s="109">
        <f t="shared" si="23"/>
        <v>1.2742382271468142</v>
      </c>
      <c r="T307" s="109">
        <f t="shared" si="24"/>
        <v>0.66531440162271793</v>
      </c>
    </row>
    <row r="308" spans="1:20">
      <c r="A308" s="154">
        <v>920</v>
      </c>
      <c r="B308" s="156">
        <v>603030</v>
      </c>
      <c r="C308" s="133" t="s">
        <v>2617</v>
      </c>
      <c r="D308" s="155" t="s">
        <v>2324</v>
      </c>
      <c r="E308" s="154">
        <v>4</v>
      </c>
      <c r="F308" s="154">
        <v>2</v>
      </c>
      <c r="G308" s="154">
        <v>2</v>
      </c>
      <c r="H308" s="154">
        <v>0</v>
      </c>
      <c r="I308" s="154">
        <v>0</v>
      </c>
      <c r="J308" s="154">
        <v>0</v>
      </c>
      <c r="K308" s="154">
        <v>0.48399999999999999</v>
      </c>
      <c r="L308" s="154">
        <v>0.64200000000000002</v>
      </c>
      <c r="M308" s="154">
        <v>0.83599999999999997</v>
      </c>
      <c r="N308" s="154">
        <v>1.069</v>
      </c>
      <c r="O308" s="108">
        <f t="shared" si="20"/>
        <v>0.32644628099173567</v>
      </c>
      <c r="P308" s="108">
        <f t="shared" si="21"/>
        <v>0.30218068535825537</v>
      </c>
      <c r="Q308" s="108">
        <f t="shared" si="22"/>
        <v>0.27870813397129179</v>
      </c>
      <c r="S308" s="109">
        <f t="shared" si="23"/>
        <v>1.2086776859504131</v>
      </c>
      <c r="T308" s="109">
        <f t="shared" si="24"/>
        <v>0.66510903426791268</v>
      </c>
    </row>
    <row r="309" spans="1:20">
      <c r="A309" s="154">
        <v>285</v>
      </c>
      <c r="B309" s="156">
        <v>600456</v>
      </c>
      <c r="C309" s="133" t="s">
        <v>2618</v>
      </c>
      <c r="D309" s="155" t="s">
        <v>2324</v>
      </c>
      <c r="E309" s="154">
        <v>17</v>
      </c>
      <c r="F309" s="154">
        <v>12</v>
      </c>
      <c r="G309" s="154">
        <v>5</v>
      </c>
      <c r="H309" s="154">
        <v>0</v>
      </c>
      <c r="I309" s="154">
        <v>0</v>
      </c>
      <c r="J309" s="154">
        <v>0</v>
      </c>
      <c r="K309" s="154">
        <v>0.32800000000000001</v>
      </c>
      <c r="L309" s="154">
        <v>0.56899999999999995</v>
      </c>
      <c r="M309" s="154">
        <v>0.73899999999999999</v>
      </c>
      <c r="N309" s="154">
        <v>0.94699999999999995</v>
      </c>
      <c r="O309" s="108">
        <f t="shared" si="20"/>
        <v>0.73475609756097549</v>
      </c>
      <c r="P309" s="108">
        <f t="shared" si="21"/>
        <v>0.29876977152899831</v>
      </c>
      <c r="Q309" s="108">
        <f t="shared" si="22"/>
        <v>0.28146143437077131</v>
      </c>
      <c r="S309" s="109">
        <f t="shared" si="23"/>
        <v>1.8871951219512191</v>
      </c>
      <c r="T309" s="109">
        <f t="shared" si="24"/>
        <v>0.66432337434094912</v>
      </c>
    </row>
    <row r="310" spans="1:20">
      <c r="A310" s="154">
        <v>688</v>
      </c>
      <c r="B310" s="156">
        <v>2064</v>
      </c>
      <c r="C310" s="133" t="s">
        <v>2619</v>
      </c>
      <c r="D310" s="155" t="s">
        <v>2324</v>
      </c>
      <c r="E310" s="154">
        <v>7</v>
      </c>
      <c r="F310" s="154">
        <v>6</v>
      </c>
      <c r="G310" s="154">
        <v>1</v>
      </c>
      <c r="H310" s="154">
        <v>0</v>
      </c>
      <c r="I310" s="154">
        <v>0</v>
      </c>
      <c r="J310" s="154">
        <v>0</v>
      </c>
      <c r="K310" s="154">
        <v>9.6000000000000002E-2</v>
      </c>
      <c r="L310" s="154">
        <v>0.30099999999999999</v>
      </c>
      <c r="M310" s="154">
        <v>0.40799999999999997</v>
      </c>
      <c r="N310" s="154">
        <v>0.5</v>
      </c>
      <c r="O310" s="108">
        <f t="shared" si="20"/>
        <v>2.1354166666666665</v>
      </c>
      <c r="P310" s="108">
        <f t="shared" si="21"/>
        <v>0.35548172757475083</v>
      </c>
      <c r="Q310" s="108">
        <f t="shared" si="22"/>
        <v>0.22549019607843146</v>
      </c>
      <c r="S310" s="109">
        <f t="shared" si="23"/>
        <v>4.208333333333333</v>
      </c>
      <c r="T310" s="109">
        <f t="shared" si="24"/>
        <v>0.66112956810631229</v>
      </c>
    </row>
    <row r="311" spans="1:20">
      <c r="A311" s="154">
        <v>579</v>
      </c>
      <c r="B311" s="156">
        <v>300624</v>
      </c>
      <c r="C311" s="133" t="s">
        <v>2620</v>
      </c>
      <c r="D311" s="155" t="s">
        <v>2324</v>
      </c>
      <c r="E311" s="154">
        <v>8</v>
      </c>
      <c r="F311" s="154">
        <v>4</v>
      </c>
      <c r="G311" s="154">
        <v>4</v>
      </c>
      <c r="H311" s="154">
        <v>0</v>
      </c>
      <c r="I311" s="154">
        <v>0</v>
      </c>
      <c r="J311" s="154">
        <v>0</v>
      </c>
      <c r="K311" s="154">
        <v>1.0149999999999999</v>
      </c>
      <c r="L311" s="154">
        <v>1.27</v>
      </c>
      <c r="M311" s="154">
        <v>1.6519999999999999</v>
      </c>
      <c r="N311" s="154">
        <v>2.109</v>
      </c>
      <c r="O311" s="108">
        <f t="shared" si="20"/>
        <v>0.25123152709359631</v>
      </c>
      <c r="P311" s="108">
        <f t="shared" si="21"/>
        <v>0.3007874015748031</v>
      </c>
      <c r="Q311" s="108">
        <f t="shared" si="22"/>
        <v>0.27663438256658601</v>
      </c>
      <c r="S311" s="109">
        <f t="shared" si="23"/>
        <v>1.077832512315271</v>
      </c>
      <c r="T311" s="109">
        <f t="shared" si="24"/>
        <v>0.66062992125984255</v>
      </c>
    </row>
    <row r="312" spans="1:20">
      <c r="A312" s="154">
        <v>535</v>
      </c>
      <c r="B312" s="156">
        <v>2311</v>
      </c>
      <c r="C312" s="133" t="s">
        <v>2621</v>
      </c>
      <c r="D312" s="155" t="s">
        <v>2324</v>
      </c>
      <c r="E312" s="154">
        <v>9</v>
      </c>
      <c r="F312" s="154">
        <v>9</v>
      </c>
      <c r="G312" s="154">
        <v>0</v>
      </c>
      <c r="H312" s="154">
        <v>0</v>
      </c>
      <c r="I312" s="154">
        <v>0</v>
      </c>
      <c r="J312" s="154">
        <v>0</v>
      </c>
      <c r="K312" s="154">
        <v>0.90900000000000003</v>
      </c>
      <c r="L312" s="154">
        <v>1.1120000000000001</v>
      </c>
      <c r="M312" s="154">
        <v>1.504</v>
      </c>
      <c r="N312" s="154">
        <v>1.845</v>
      </c>
      <c r="O312" s="108">
        <f t="shared" si="20"/>
        <v>0.2233223322332234</v>
      </c>
      <c r="P312" s="108">
        <f t="shared" si="21"/>
        <v>0.3525179856115106</v>
      </c>
      <c r="Q312" s="108">
        <f t="shared" si="22"/>
        <v>0.22672872340425521</v>
      </c>
      <c r="S312" s="109">
        <f t="shared" si="23"/>
        <v>1.0297029702970297</v>
      </c>
      <c r="T312" s="109">
        <f t="shared" si="24"/>
        <v>0.65917266187050338</v>
      </c>
    </row>
    <row r="313" spans="1:20">
      <c r="A313" s="154">
        <v>133</v>
      </c>
      <c r="B313" s="156">
        <v>300059</v>
      </c>
      <c r="C313" s="133" t="s">
        <v>2622</v>
      </c>
      <c r="D313" s="155" t="s">
        <v>2324</v>
      </c>
      <c r="E313" s="154">
        <v>27</v>
      </c>
      <c r="F313" s="154">
        <v>19</v>
      </c>
      <c r="G313" s="154">
        <v>8</v>
      </c>
      <c r="H313" s="154">
        <v>0</v>
      </c>
      <c r="I313" s="154">
        <v>0</v>
      </c>
      <c r="J313" s="154">
        <v>0</v>
      </c>
      <c r="K313" s="154">
        <v>0.14299999999999999</v>
      </c>
      <c r="L313" s="154">
        <v>0.26100000000000001</v>
      </c>
      <c r="M313" s="154">
        <v>0.33900000000000002</v>
      </c>
      <c r="N313" s="154">
        <v>0.433</v>
      </c>
      <c r="O313" s="108">
        <f t="shared" si="20"/>
        <v>0.82517482517482543</v>
      </c>
      <c r="P313" s="108">
        <f t="shared" si="21"/>
        <v>0.29885057471264376</v>
      </c>
      <c r="Q313" s="108">
        <f t="shared" si="22"/>
        <v>0.27728613569321525</v>
      </c>
      <c r="S313" s="109">
        <f t="shared" si="23"/>
        <v>2.0279720279720284</v>
      </c>
      <c r="T313" s="109">
        <f t="shared" si="24"/>
        <v>0.65900383141762453</v>
      </c>
    </row>
    <row r="314" spans="1:20">
      <c r="A314" s="154">
        <v>353</v>
      </c>
      <c r="B314" s="156">
        <v>603606</v>
      </c>
      <c r="C314" s="133" t="s">
        <v>2623</v>
      </c>
      <c r="D314" s="155" t="s">
        <v>2324</v>
      </c>
      <c r="E314" s="154">
        <v>14</v>
      </c>
      <c r="F314" s="154">
        <v>9</v>
      </c>
      <c r="G314" s="154">
        <v>5</v>
      </c>
      <c r="H314" s="154">
        <v>0</v>
      </c>
      <c r="I314" s="154">
        <v>0</v>
      </c>
      <c r="J314" s="154">
        <v>0</v>
      </c>
      <c r="K314" s="154">
        <v>0.26200000000000001</v>
      </c>
      <c r="L314" s="154">
        <v>0.60099999999999998</v>
      </c>
      <c r="M314" s="154">
        <v>0.78700000000000003</v>
      </c>
      <c r="N314" s="154">
        <v>0.997</v>
      </c>
      <c r="O314" s="108">
        <f t="shared" si="20"/>
        <v>1.2938931297709924</v>
      </c>
      <c r="P314" s="108">
        <f t="shared" si="21"/>
        <v>0.30948419301164742</v>
      </c>
      <c r="Q314" s="108">
        <f t="shared" si="22"/>
        <v>0.26683608640406598</v>
      </c>
      <c r="S314" s="109">
        <f t="shared" si="23"/>
        <v>2.8053435114503813</v>
      </c>
      <c r="T314" s="109">
        <f t="shared" si="24"/>
        <v>0.65890183028286198</v>
      </c>
    </row>
    <row r="315" spans="1:20">
      <c r="A315" s="154">
        <v>776</v>
      </c>
      <c r="B315" s="156">
        <v>759</v>
      </c>
      <c r="C315" s="133" t="s">
        <v>2624</v>
      </c>
      <c r="D315" s="155" t="s">
        <v>2324</v>
      </c>
      <c r="E315" s="154">
        <v>6</v>
      </c>
      <c r="F315" s="154">
        <v>1</v>
      </c>
      <c r="G315" s="154">
        <v>5</v>
      </c>
      <c r="H315" s="154">
        <v>0</v>
      </c>
      <c r="I315" s="154">
        <v>0</v>
      </c>
      <c r="J315" s="154">
        <v>0</v>
      </c>
      <c r="K315" s="154">
        <v>0.63300000000000001</v>
      </c>
      <c r="L315" s="154">
        <v>0.123</v>
      </c>
      <c r="M315" s="154">
        <v>0.17399999999999999</v>
      </c>
      <c r="N315" s="154">
        <v>0.20399999999999999</v>
      </c>
      <c r="O315" s="108">
        <f t="shared" si="20"/>
        <v>-0.80568720379146919</v>
      </c>
      <c r="P315" s="108">
        <f t="shared" si="21"/>
        <v>0.41463414634146334</v>
      </c>
      <c r="Q315" s="108">
        <f t="shared" si="22"/>
        <v>0.17241379310344818</v>
      </c>
      <c r="S315" s="109">
        <f t="shared" si="23"/>
        <v>-0.67772511848341233</v>
      </c>
      <c r="T315" s="109">
        <f t="shared" si="24"/>
        <v>0.65853658536585358</v>
      </c>
    </row>
    <row r="316" spans="1:20">
      <c r="A316" s="154">
        <v>100</v>
      </c>
      <c r="B316" s="156">
        <v>860</v>
      </c>
      <c r="C316" s="133" t="s">
        <v>2625</v>
      </c>
      <c r="D316" s="155" t="s">
        <v>2324</v>
      </c>
      <c r="E316" s="154">
        <v>31</v>
      </c>
      <c r="F316" s="154">
        <v>26</v>
      </c>
      <c r="G316" s="154">
        <v>5</v>
      </c>
      <c r="H316" s="154">
        <v>0</v>
      </c>
      <c r="I316" s="154">
        <v>0</v>
      </c>
      <c r="J316" s="154">
        <v>0</v>
      </c>
      <c r="K316" s="154">
        <v>1.0029999999999999</v>
      </c>
      <c r="L316" s="154">
        <v>1.4339999999999999</v>
      </c>
      <c r="M316" s="154">
        <v>1.8859999999999999</v>
      </c>
      <c r="N316" s="154">
        <v>2.375</v>
      </c>
      <c r="O316" s="108">
        <f t="shared" si="20"/>
        <v>0.42971086739780673</v>
      </c>
      <c r="P316" s="108">
        <f t="shared" si="21"/>
        <v>0.3152022315202232</v>
      </c>
      <c r="Q316" s="108">
        <f t="shared" si="22"/>
        <v>0.25927889713679741</v>
      </c>
      <c r="S316" s="109">
        <f t="shared" si="23"/>
        <v>1.3678963110667999</v>
      </c>
      <c r="T316" s="109">
        <f t="shared" si="24"/>
        <v>0.65620641562064153</v>
      </c>
    </row>
    <row r="317" spans="1:20">
      <c r="A317" s="154">
        <v>760</v>
      </c>
      <c r="B317" s="156">
        <v>300057</v>
      </c>
      <c r="C317" s="133" t="s">
        <v>1354</v>
      </c>
      <c r="D317" s="155" t="s">
        <v>2324</v>
      </c>
      <c r="E317" s="154">
        <v>6</v>
      </c>
      <c r="F317" s="154">
        <v>6</v>
      </c>
      <c r="G317" s="154">
        <v>0</v>
      </c>
      <c r="H317" s="154">
        <v>0</v>
      </c>
      <c r="I317" s="154">
        <v>0</v>
      </c>
      <c r="J317" s="154">
        <v>0</v>
      </c>
      <c r="K317" s="154">
        <v>0.18099999999999999</v>
      </c>
      <c r="L317" s="154">
        <v>0.25</v>
      </c>
      <c r="M317" s="154">
        <v>0.33200000000000002</v>
      </c>
      <c r="N317" s="154">
        <v>0.41399999999999998</v>
      </c>
      <c r="O317" s="108">
        <f t="shared" si="20"/>
        <v>0.38121546961325969</v>
      </c>
      <c r="P317" s="108">
        <f t="shared" si="21"/>
        <v>0.32800000000000007</v>
      </c>
      <c r="Q317" s="108">
        <f t="shared" si="22"/>
        <v>0.24698795180722888</v>
      </c>
      <c r="S317" s="109">
        <f t="shared" si="23"/>
        <v>1.2872928176795582</v>
      </c>
      <c r="T317" s="109">
        <f t="shared" si="24"/>
        <v>0.65599999999999992</v>
      </c>
    </row>
    <row r="318" spans="1:20">
      <c r="A318" s="154">
        <v>29</v>
      </c>
      <c r="B318" s="156">
        <v>2594</v>
      </c>
      <c r="C318" s="133" t="s">
        <v>2626</v>
      </c>
      <c r="D318" s="155" t="s">
        <v>2324</v>
      </c>
      <c r="E318" s="154">
        <v>46</v>
      </c>
      <c r="F318" s="154">
        <v>10</v>
      </c>
      <c r="G318" s="154">
        <v>35</v>
      </c>
      <c r="H318" s="154">
        <v>1</v>
      </c>
      <c r="I318" s="154">
        <v>0</v>
      </c>
      <c r="J318" s="154">
        <v>0</v>
      </c>
      <c r="K318" s="154">
        <v>1.0189999999999999</v>
      </c>
      <c r="L318" s="154">
        <v>0.81899999999999995</v>
      </c>
      <c r="M318" s="154">
        <v>1.05</v>
      </c>
      <c r="N318" s="154">
        <v>1.3560000000000001</v>
      </c>
      <c r="O318" s="108">
        <f t="shared" si="20"/>
        <v>-0.19627085377821396</v>
      </c>
      <c r="P318" s="108">
        <f t="shared" si="21"/>
        <v>0.28205128205128216</v>
      </c>
      <c r="Q318" s="108">
        <f t="shared" si="22"/>
        <v>0.29142857142857137</v>
      </c>
      <c r="S318" s="109">
        <f t="shared" si="23"/>
        <v>0.33071638861629071</v>
      </c>
      <c r="T318" s="109">
        <f t="shared" si="24"/>
        <v>0.65567765567765579</v>
      </c>
    </row>
    <row r="319" spans="1:20">
      <c r="A319" s="154">
        <v>79</v>
      </c>
      <c r="B319" s="156">
        <v>601933</v>
      </c>
      <c r="C319" s="133" t="s">
        <v>2627</v>
      </c>
      <c r="D319" s="155" t="s">
        <v>2324</v>
      </c>
      <c r="E319" s="154">
        <v>33</v>
      </c>
      <c r="F319" s="154">
        <v>22</v>
      </c>
      <c r="G319" s="154">
        <v>11</v>
      </c>
      <c r="H319" s="154">
        <v>0</v>
      </c>
      <c r="I319" s="154">
        <v>0</v>
      </c>
      <c r="J319" s="154">
        <v>0</v>
      </c>
      <c r="K319" s="154">
        <v>0.155</v>
      </c>
      <c r="L319" s="154">
        <v>0.23499999999999999</v>
      </c>
      <c r="M319" s="154">
        <v>0.30199999999999999</v>
      </c>
      <c r="N319" s="154">
        <v>0.38900000000000001</v>
      </c>
      <c r="O319" s="108">
        <f t="shared" si="20"/>
        <v>0.5161290322580645</v>
      </c>
      <c r="P319" s="108">
        <f t="shared" si="21"/>
        <v>0.28510638297872348</v>
      </c>
      <c r="Q319" s="108">
        <f t="shared" si="22"/>
        <v>0.28807947019867552</v>
      </c>
      <c r="S319" s="109">
        <f t="shared" si="23"/>
        <v>1.5096774193548388</v>
      </c>
      <c r="T319" s="109">
        <f t="shared" si="24"/>
        <v>0.65531914893617027</v>
      </c>
    </row>
    <row r="320" spans="1:20">
      <c r="A320" s="154">
        <v>378</v>
      </c>
      <c r="B320" s="156">
        <v>300653</v>
      </c>
      <c r="C320" s="133" t="s">
        <v>2628</v>
      </c>
      <c r="D320" s="155" t="s">
        <v>2324</v>
      </c>
      <c r="E320" s="154">
        <v>13</v>
      </c>
      <c r="F320" s="154">
        <v>0</v>
      </c>
      <c r="G320" s="154">
        <v>13</v>
      </c>
      <c r="H320" s="154">
        <v>0</v>
      </c>
      <c r="I320" s="154">
        <v>0</v>
      </c>
      <c r="J320" s="154">
        <v>0</v>
      </c>
      <c r="K320" s="154">
        <v>1.073</v>
      </c>
      <c r="L320" s="154">
        <v>1.37</v>
      </c>
      <c r="M320" s="154">
        <v>1.762</v>
      </c>
      <c r="N320" s="154">
        <v>2.2639999999999998</v>
      </c>
      <c r="O320" s="108">
        <f t="shared" si="20"/>
        <v>0.27679403541472514</v>
      </c>
      <c r="P320" s="108">
        <f t="shared" si="21"/>
        <v>0.28613138686131379</v>
      </c>
      <c r="Q320" s="108">
        <f t="shared" si="22"/>
        <v>0.28490351872871722</v>
      </c>
      <c r="S320" s="109">
        <f t="shared" si="23"/>
        <v>1.1099720410065235</v>
      </c>
      <c r="T320" s="109">
        <f t="shared" si="24"/>
        <v>0.65255474452554707</v>
      </c>
    </row>
    <row r="321" spans="1:20">
      <c r="A321" s="154">
        <v>739</v>
      </c>
      <c r="B321" s="156">
        <v>300420</v>
      </c>
      <c r="C321" s="133" t="s">
        <v>2629</v>
      </c>
      <c r="D321" s="155" t="s">
        <v>2324</v>
      </c>
      <c r="E321" s="154">
        <v>6</v>
      </c>
      <c r="F321" s="154">
        <v>2</v>
      </c>
      <c r="G321" s="154">
        <v>4</v>
      </c>
      <c r="H321" s="154">
        <v>0</v>
      </c>
      <c r="I321" s="154">
        <v>0</v>
      </c>
      <c r="J321" s="154">
        <v>0</v>
      </c>
      <c r="K321" s="154">
        <v>0.183</v>
      </c>
      <c r="L321" s="154">
        <v>0.28399999999999997</v>
      </c>
      <c r="M321" s="154">
        <v>0.36</v>
      </c>
      <c r="N321" s="154">
        <v>0.46899999999999997</v>
      </c>
      <c r="O321" s="108">
        <f t="shared" si="20"/>
        <v>0.55191256830601088</v>
      </c>
      <c r="P321" s="108">
        <f t="shared" si="21"/>
        <v>0.26760563380281699</v>
      </c>
      <c r="Q321" s="108">
        <f t="shared" si="22"/>
        <v>0.30277777777777781</v>
      </c>
      <c r="S321" s="109">
        <f t="shared" si="23"/>
        <v>1.5628415300546448</v>
      </c>
      <c r="T321" s="109">
        <f t="shared" si="24"/>
        <v>0.65140845070422548</v>
      </c>
    </row>
    <row r="322" spans="1:20">
      <c r="A322" s="154">
        <v>697</v>
      </c>
      <c r="B322" s="156">
        <v>997</v>
      </c>
      <c r="C322" s="133" t="s">
        <v>2630</v>
      </c>
      <c r="D322" s="155" t="s">
        <v>2324</v>
      </c>
      <c r="E322" s="154">
        <v>7</v>
      </c>
      <c r="F322" s="154">
        <v>6</v>
      </c>
      <c r="G322" s="154">
        <v>1</v>
      </c>
      <c r="H322" s="154">
        <v>0</v>
      </c>
      <c r="I322" s="154">
        <v>0</v>
      </c>
      <c r="J322" s="154">
        <v>0</v>
      </c>
      <c r="K322" s="154">
        <v>0.55700000000000005</v>
      </c>
      <c r="L322" s="154">
        <v>0.74</v>
      </c>
      <c r="M322" s="154">
        <v>0.96499999999999997</v>
      </c>
      <c r="N322" s="154">
        <v>1.222</v>
      </c>
      <c r="O322" s="108">
        <f t="shared" si="20"/>
        <v>0.32854578096947917</v>
      </c>
      <c r="P322" s="108">
        <f t="shared" si="21"/>
        <v>0.30405405405405395</v>
      </c>
      <c r="Q322" s="108">
        <f t="shared" si="22"/>
        <v>0.26632124352331599</v>
      </c>
      <c r="S322" s="109">
        <f t="shared" si="23"/>
        <v>1.1938958707360858</v>
      </c>
      <c r="T322" s="109">
        <f t="shared" si="24"/>
        <v>0.65135135135135136</v>
      </c>
    </row>
    <row r="323" spans="1:20">
      <c r="A323" s="154">
        <v>740</v>
      </c>
      <c r="B323" s="156">
        <v>2822</v>
      </c>
      <c r="C323" s="133" t="s">
        <v>1606</v>
      </c>
      <c r="D323" s="155" t="s">
        <v>2324</v>
      </c>
      <c r="E323" s="154">
        <v>6</v>
      </c>
      <c r="F323" s="154">
        <v>6</v>
      </c>
      <c r="G323" s="154">
        <v>0</v>
      </c>
      <c r="H323" s="154">
        <v>0</v>
      </c>
      <c r="I323" s="154">
        <v>0</v>
      </c>
      <c r="J323" s="154">
        <v>0</v>
      </c>
      <c r="K323" s="154">
        <v>0.24399999999999999</v>
      </c>
      <c r="L323" s="154">
        <v>0.36699999999999999</v>
      </c>
      <c r="M323" s="154">
        <v>0.48099999999999998</v>
      </c>
      <c r="N323" s="154">
        <v>0.60599999999999998</v>
      </c>
      <c r="O323" s="108">
        <f t="shared" ref="O323:O386" si="25">L323/K323-1</f>
        <v>0.50409836065573765</v>
      </c>
      <c r="P323" s="108">
        <f t="shared" ref="P323:P386" si="26">M323/L323-1</f>
        <v>0.31062670299727513</v>
      </c>
      <c r="Q323" s="108">
        <f t="shared" ref="Q323:Q386" si="27">N323/M323-1</f>
        <v>0.25987525987525983</v>
      </c>
      <c r="S323" s="109">
        <f t="shared" ref="S323:S386" si="28">N323/K323-1</f>
        <v>1.4836065573770494</v>
      </c>
      <c r="T323" s="109">
        <f t="shared" ref="T323:T386" si="29">N323/L323-1</f>
        <v>0.6512261580381471</v>
      </c>
    </row>
    <row r="324" spans="1:20">
      <c r="A324" s="154">
        <v>931</v>
      </c>
      <c r="B324" s="156">
        <v>300326</v>
      </c>
      <c r="C324" s="133" t="s">
        <v>2631</v>
      </c>
      <c r="D324" s="155" t="s">
        <v>2324</v>
      </c>
      <c r="E324" s="154">
        <v>4</v>
      </c>
      <c r="F324" s="154">
        <v>4</v>
      </c>
      <c r="G324" s="154">
        <v>0</v>
      </c>
      <c r="H324" s="154">
        <v>0</v>
      </c>
      <c r="I324" s="154">
        <v>0</v>
      </c>
      <c r="J324" s="154">
        <v>0</v>
      </c>
      <c r="K324" s="154">
        <v>0.64</v>
      </c>
      <c r="L324" s="154">
        <v>0.42599999999999999</v>
      </c>
      <c r="M324" s="154">
        <v>0.55200000000000005</v>
      </c>
      <c r="N324" s="154">
        <v>0.70299999999999996</v>
      </c>
      <c r="O324" s="108">
        <f t="shared" si="25"/>
        <v>-0.33437499999999998</v>
      </c>
      <c r="P324" s="108">
        <f t="shared" si="26"/>
        <v>0.29577464788732399</v>
      </c>
      <c r="Q324" s="108">
        <f t="shared" si="27"/>
        <v>0.27355072463768093</v>
      </c>
      <c r="S324" s="109">
        <f t="shared" si="28"/>
        <v>9.8437499999999956E-2</v>
      </c>
      <c r="T324" s="109">
        <f t="shared" si="29"/>
        <v>0.65023474178403751</v>
      </c>
    </row>
    <row r="325" spans="1:20">
      <c r="A325" s="154">
        <v>989</v>
      </c>
      <c r="B325" s="156">
        <v>2010</v>
      </c>
      <c r="C325" s="133" t="s">
        <v>2632</v>
      </c>
      <c r="D325" s="155" t="s">
        <v>2324</v>
      </c>
      <c r="E325" s="154">
        <v>3</v>
      </c>
      <c r="F325" s="154">
        <v>2</v>
      </c>
      <c r="G325" s="154">
        <v>1</v>
      </c>
      <c r="H325" s="154">
        <v>0</v>
      </c>
      <c r="I325" s="154">
        <v>0</v>
      </c>
      <c r="J325" s="154">
        <v>0</v>
      </c>
      <c r="K325" s="154">
        <v>0.251</v>
      </c>
      <c r="L325" s="154">
        <v>0.39300000000000002</v>
      </c>
      <c r="M325" s="154">
        <v>0.57399999999999995</v>
      </c>
      <c r="N325" s="154">
        <v>0.64800000000000002</v>
      </c>
      <c r="O325" s="108">
        <f t="shared" si="25"/>
        <v>0.56573705179282885</v>
      </c>
      <c r="P325" s="108">
        <f t="shared" si="26"/>
        <v>0.46055979643765887</v>
      </c>
      <c r="Q325" s="108">
        <f t="shared" si="27"/>
        <v>0.12891986062717775</v>
      </c>
      <c r="S325" s="109">
        <f t="shared" si="28"/>
        <v>1.5816733067729083</v>
      </c>
      <c r="T325" s="109">
        <f t="shared" si="29"/>
        <v>0.64885496183206115</v>
      </c>
    </row>
    <row r="326" spans="1:20">
      <c r="A326" s="154">
        <v>619</v>
      </c>
      <c r="B326" s="156">
        <v>600339</v>
      </c>
      <c r="C326" s="133" t="s">
        <v>2633</v>
      </c>
      <c r="D326" s="155" t="s">
        <v>2324</v>
      </c>
      <c r="E326" s="154">
        <v>8</v>
      </c>
      <c r="F326" s="154">
        <v>1</v>
      </c>
      <c r="G326" s="154">
        <v>7</v>
      </c>
      <c r="H326" s="154">
        <v>0</v>
      </c>
      <c r="I326" s="154">
        <v>0</v>
      </c>
      <c r="J326" s="154">
        <v>0</v>
      </c>
      <c r="K326" s="154">
        <v>0.17100000000000001</v>
      </c>
      <c r="L326" s="154">
        <v>0.18099999999999999</v>
      </c>
      <c r="M326" s="154">
        <v>0.247</v>
      </c>
      <c r="N326" s="154">
        <v>0.29799999999999999</v>
      </c>
      <c r="O326" s="108">
        <f t="shared" si="25"/>
        <v>5.8479532163742576E-2</v>
      </c>
      <c r="P326" s="108">
        <f t="shared" si="26"/>
        <v>0.36464088397790051</v>
      </c>
      <c r="Q326" s="108">
        <f t="shared" si="27"/>
        <v>0.20647773279352233</v>
      </c>
      <c r="S326" s="109">
        <f t="shared" si="28"/>
        <v>0.74269005847953196</v>
      </c>
      <c r="T326" s="109">
        <f t="shared" si="29"/>
        <v>0.64640883977900554</v>
      </c>
    </row>
    <row r="327" spans="1:20">
      <c r="A327" s="154">
        <v>14</v>
      </c>
      <c r="B327" s="156">
        <v>2353</v>
      </c>
      <c r="C327" s="133" t="s">
        <v>2634</v>
      </c>
      <c r="D327" s="155" t="s">
        <v>2324</v>
      </c>
      <c r="E327" s="154">
        <v>56</v>
      </c>
      <c r="F327" s="154">
        <v>52</v>
      </c>
      <c r="G327" s="154">
        <v>4</v>
      </c>
      <c r="H327" s="154">
        <v>0</v>
      </c>
      <c r="I327" s="154">
        <v>0</v>
      </c>
      <c r="J327" s="154">
        <v>0</v>
      </c>
      <c r="K327" s="154">
        <v>0.64200000000000002</v>
      </c>
      <c r="L327" s="154">
        <v>1.3109999999999999</v>
      </c>
      <c r="M327" s="154">
        <v>1.758</v>
      </c>
      <c r="N327" s="154">
        <v>2.1579999999999999</v>
      </c>
      <c r="O327" s="108">
        <f t="shared" si="25"/>
        <v>1.042056074766355</v>
      </c>
      <c r="P327" s="108">
        <f t="shared" si="26"/>
        <v>0.34096109839816946</v>
      </c>
      <c r="Q327" s="108">
        <f t="shared" si="27"/>
        <v>0.22753128555176327</v>
      </c>
      <c r="S327" s="109">
        <f t="shared" si="28"/>
        <v>2.361370716510903</v>
      </c>
      <c r="T327" s="109">
        <f t="shared" si="29"/>
        <v>0.64607170099160949</v>
      </c>
    </row>
    <row r="328" spans="1:20">
      <c r="A328" s="154">
        <v>355</v>
      </c>
      <c r="B328" s="156">
        <v>300365</v>
      </c>
      <c r="C328" s="133" t="s">
        <v>2635</v>
      </c>
      <c r="D328" s="155" t="s">
        <v>2324</v>
      </c>
      <c r="E328" s="154">
        <v>14</v>
      </c>
      <c r="F328" s="154">
        <v>12</v>
      </c>
      <c r="G328" s="154">
        <v>2</v>
      </c>
      <c r="H328" s="154">
        <v>0</v>
      </c>
      <c r="I328" s="154">
        <v>0</v>
      </c>
      <c r="J328" s="154">
        <v>0</v>
      </c>
      <c r="K328" s="154">
        <v>0.44800000000000001</v>
      </c>
      <c r="L328" s="154">
        <v>0.59499999999999997</v>
      </c>
      <c r="M328" s="154">
        <v>0.77100000000000002</v>
      </c>
      <c r="N328" s="154">
        <v>0.97899999999999998</v>
      </c>
      <c r="O328" s="108">
        <f t="shared" si="25"/>
        <v>0.328125</v>
      </c>
      <c r="P328" s="108">
        <f t="shared" si="26"/>
        <v>0.29579831932773115</v>
      </c>
      <c r="Q328" s="108">
        <f t="shared" si="27"/>
        <v>0.26977950713359267</v>
      </c>
      <c r="S328" s="109">
        <f t="shared" si="28"/>
        <v>1.1852678571428572</v>
      </c>
      <c r="T328" s="109">
        <f t="shared" si="29"/>
        <v>0.64537815126050435</v>
      </c>
    </row>
    <row r="329" spans="1:20">
      <c r="A329" s="154">
        <v>119</v>
      </c>
      <c r="B329" s="156">
        <v>300033</v>
      </c>
      <c r="C329" s="133" t="s">
        <v>2636</v>
      </c>
      <c r="D329" s="155" t="s">
        <v>2324</v>
      </c>
      <c r="E329" s="154">
        <v>28</v>
      </c>
      <c r="F329" s="154">
        <v>12</v>
      </c>
      <c r="G329" s="154">
        <v>16</v>
      </c>
      <c r="H329" s="154">
        <v>0</v>
      </c>
      <c r="I329" s="154">
        <v>0</v>
      </c>
      <c r="J329" s="154">
        <v>0</v>
      </c>
      <c r="K329" s="154">
        <v>1.179</v>
      </c>
      <c r="L329" s="154">
        <v>1.6679999999999999</v>
      </c>
      <c r="M329" s="154">
        <v>2.2040000000000002</v>
      </c>
      <c r="N329" s="154">
        <v>2.7440000000000002</v>
      </c>
      <c r="O329" s="108">
        <f t="shared" si="25"/>
        <v>0.41475826972010177</v>
      </c>
      <c r="P329" s="108">
        <f t="shared" si="26"/>
        <v>0.32134292565947264</v>
      </c>
      <c r="Q329" s="108">
        <f t="shared" si="27"/>
        <v>0.2450090744101634</v>
      </c>
      <c r="S329" s="109">
        <f t="shared" si="28"/>
        <v>1.3273960983884647</v>
      </c>
      <c r="T329" s="109">
        <f t="shared" si="29"/>
        <v>0.64508393285371723</v>
      </c>
    </row>
    <row r="330" spans="1:20">
      <c r="A330" s="154">
        <v>116</v>
      </c>
      <c r="B330" s="156">
        <v>603659</v>
      </c>
      <c r="C330" s="133" t="s">
        <v>2637</v>
      </c>
      <c r="D330" s="155" t="s">
        <v>2324</v>
      </c>
      <c r="E330" s="154">
        <v>28</v>
      </c>
      <c r="F330" s="154">
        <v>18</v>
      </c>
      <c r="G330" s="154">
        <v>10</v>
      </c>
      <c r="H330" s="154">
        <v>0</v>
      </c>
      <c r="I330" s="154">
        <v>0</v>
      </c>
      <c r="J330" s="154">
        <v>0</v>
      </c>
      <c r="K330" s="154">
        <v>1.365</v>
      </c>
      <c r="L330" s="154">
        <v>1.6839999999999999</v>
      </c>
      <c r="M330" s="154">
        <v>2.2490000000000001</v>
      </c>
      <c r="N330" s="154">
        <v>2.77</v>
      </c>
      <c r="O330" s="108">
        <f t="shared" si="25"/>
        <v>0.23369963369963376</v>
      </c>
      <c r="P330" s="108">
        <f t="shared" si="26"/>
        <v>0.33551068883610458</v>
      </c>
      <c r="Q330" s="108">
        <f t="shared" si="27"/>
        <v>0.23165851489550904</v>
      </c>
      <c r="S330" s="109">
        <f t="shared" si="28"/>
        <v>1.0293040293040292</v>
      </c>
      <c r="T330" s="109">
        <f t="shared" si="29"/>
        <v>0.64489311163895491</v>
      </c>
    </row>
    <row r="331" spans="1:20">
      <c r="A331" s="154">
        <v>490</v>
      </c>
      <c r="B331" s="156">
        <v>2063</v>
      </c>
      <c r="C331" s="133" t="s">
        <v>2638</v>
      </c>
      <c r="D331" s="155" t="s">
        <v>2324</v>
      </c>
      <c r="E331" s="154">
        <v>10</v>
      </c>
      <c r="F331" s="154">
        <v>10</v>
      </c>
      <c r="G331" s="154">
        <v>0</v>
      </c>
      <c r="H331" s="154">
        <v>0</v>
      </c>
      <c r="I331" s="154">
        <v>0</v>
      </c>
      <c r="J331" s="154">
        <v>0</v>
      </c>
      <c r="K331" s="154">
        <v>0.23</v>
      </c>
      <c r="L331" s="154">
        <v>0.26600000000000001</v>
      </c>
      <c r="M331" s="154">
        <v>0.34100000000000003</v>
      </c>
      <c r="N331" s="154">
        <v>0.437</v>
      </c>
      <c r="O331" s="108">
        <f t="shared" si="25"/>
        <v>0.15652173913043477</v>
      </c>
      <c r="P331" s="108">
        <f t="shared" si="26"/>
        <v>0.28195488721804507</v>
      </c>
      <c r="Q331" s="108">
        <f t="shared" si="27"/>
        <v>0.28152492668621698</v>
      </c>
      <c r="S331" s="109">
        <f t="shared" si="28"/>
        <v>0.89999999999999991</v>
      </c>
      <c r="T331" s="109">
        <f t="shared" si="29"/>
        <v>0.64285714285714279</v>
      </c>
    </row>
    <row r="332" spans="1:20">
      <c r="A332" s="154">
        <v>929</v>
      </c>
      <c r="B332" s="156">
        <v>2669</v>
      </c>
      <c r="C332" s="133" t="s">
        <v>2639</v>
      </c>
      <c r="D332" s="155" t="s">
        <v>2324</v>
      </c>
      <c r="E332" s="154">
        <v>4</v>
      </c>
      <c r="F332" s="154">
        <v>2</v>
      </c>
      <c r="G332" s="154">
        <v>2</v>
      </c>
      <c r="H332" s="154">
        <v>0</v>
      </c>
      <c r="I332" s="154">
        <v>0</v>
      </c>
      <c r="J332" s="154">
        <v>0</v>
      </c>
      <c r="K332" s="154">
        <v>0.31900000000000001</v>
      </c>
      <c r="L332" s="154">
        <v>0.54300000000000004</v>
      </c>
      <c r="M332" s="154">
        <v>0.73</v>
      </c>
      <c r="N332" s="154">
        <v>0.89100000000000001</v>
      </c>
      <c r="O332" s="108">
        <f t="shared" si="25"/>
        <v>0.70219435736677127</v>
      </c>
      <c r="P332" s="108">
        <f t="shared" si="26"/>
        <v>0.34438305709023931</v>
      </c>
      <c r="Q332" s="108">
        <f t="shared" si="27"/>
        <v>0.22054794520547949</v>
      </c>
      <c r="S332" s="109">
        <f t="shared" si="28"/>
        <v>1.7931034482758621</v>
      </c>
      <c r="T332" s="109">
        <f t="shared" si="29"/>
        <v>0.6408839779005524</v>
      </c>
    </row>
    <row r="333" spans="1:20">
      <c r="A333" s="154">
        <v>521</v>
      </c>
      <c r="B333" s="156">
        <v>603359</v>
      </c>
      <c r="C333" s="133" t="s">
        <v>2640</v>
      </c>
      <c r="D333" s="155" t="s">
        <v>2324</v>
      </c>
      <c r="E333" s="154">
        <v>9</v>
      </c>
      <c r="F333" s="154">
        <v>7</v>
      </c>
      <c r="G333" s="154">
        <v>2</v>
      </c>
      <c r="H333" s="154">
        <v>0</v>
      </c>
      <c r="I333" s="154">
        <v>0</v>
      </c>
      <c r="J333" s="154">
        <v>0</v>
      </c>
      <c r="K333" s="154">
        <v>1.022</v>
      </c>
      <c r="L333" s="154">
        <v>1.292</v>
      </c>
      <c r="M333" s="154">
        <v>1.677</v>
      </c>
      <c r="N333" s="154">
        <v>2.1190000000000002</v>
      </c>
      <c r="O333" s="108">
        <f t="shared" si="25"/>
        <v>0.264187866927593</v>
      </c>
      <c r="P333" s="108">
        <f t="shared" si="26"/>
        <v>0.2979876160990711</v>
      </c>
      <c r="Q333" s="108">
        <f t="shared" si="27"/>
        <v>0.26356589147286824</v>
      </c>
      <c r="S333" s="109">
        <f t="shared" si="28"/>
        <v>1.0733855185909982</v>
      </c>
      <c r="T333" s="109">
        <f t="shared" si="29"/>
        <v>0.64009287925696601</v>
      </c>
    </row>
    <row r="334" spans="1:20">
      <c r="A334" s="154">
        <v>473</v>
      </c>
      <c r="B334" s="156">
        <v>970</v>
      </c>
      <c r="C334" s="133" t="s">
        <v>2641</v>
      </c>
      <c r="D334" s="155" t="s">
        <v>2324</v>
      </c>
      <c r="E334" s="154">
        <v>11</v>
      </c>
      <c r="F334" s="154">
        <v>3</v>
      </c>
      <c r="G334" s="154">
        <v>8</v>
      </c>
      <c r="H334" s="154">
        <v>0</v>
      </c>
      <c r="I334" s="154">
        <v>0</v>
      </c>
      <c r="J334" s="154">
        <v>0</v>
      </c>
      <c r="K334" s="154">
        <v>0.23300000000000001</v>
      </c>
      <c r="L334" s="154">
        <v>0.249</v>
      </c>
      <c r="M334" s="154">
        <v>0.308</v>
      </c>
      <c r="N334" s="154">
        <v>0.40799999999999997</v>
      </c>
      <c r="O334" s="108">
        <f t="shared" si="25"/>
        <v>6.8669527896995541E-2</v>
      </c>
      <c r="P334" s="108">
        <f t="shared" si="26"/>
        <v>0.23694779116465869</v>
      </c>
      <c r="Q334" s="108">
        <f t="shared" si="27"/>
        <v>0.32467532467532467</v>
      </c>
      <c r="S334" s="109">
        <f t="shared" si="28"/>
        <v>0.75107296137339041</v>
      </c>
      <c r="T334" s="109">
        <f t="shared" si="29"/>
        <v>0.63855421686746983</v>
      </c>
    </row>
    <row r="335" spans="1:20">
      <c r="A335" s="154">
        <v>294</v>
      </c>
      <c r="B335" s="156">
        <v>603305</v>
      </c>
      <c r="C335" s="133" t="s">
        <v>1426</v>
      </c>
      <c r="D335" s="155" t="s">
        <v>2324</v>
      </c>
      <c r="E335" s="154">
        <v>16</v>
      </c>
      <c r="F335" s="154">
        <v>1</v>
      </c>
      <c r="G335" s="154">
        <v>15</v>
      </c>
      <c r="H335" s="154">
        <v>0</v>
      </c>
      <c r="I335" s="154">
        <v>0</v>
      </c>
      <c r="J335" s="154">
        <v>0</v>
      </c>
      <c r="K335" s="154">
        <v>0.73299999999999998</v>
      </c>
      <c r="L335" s="154">
        <v>0.59199999999999997</v>
      </c>
      <c r="M335" s="154">
        <v>0.753</v>
      </c>
      <c r="N335" s="154">
        <v>0.97</v>
      </c>
      <c r="O335" s="108">
        <f t="shared" si="25"/>
        <v>-0.19236016371077769</v>
      </c>
      <c r="P335" s="108">
        <f t="shared" si="26"/>
        <v>0.27195945945945943</v>
      </c>
      <c r="Q335" s="108">
        <f t="shared" si="27"/>
        <v>0.2881806108897742</v>
      </c>
      <c r="S335" s="109">
        <f t="shared" si="28"/>
        <v>0.32332878581173263</v>
      </c>
      <c r="T335" s="109">
        <f t="shared" si="29"/>
        <v>0.6385135135135136</v>
      </c>
    </row>
    <row r="336" spans="1:20">
      <c r="A336" s="154">
        <v>690</v>
      </c>
      <c r="B336" s="156">
        <v>600</v>
      </c>
      <c r="C336" s="133" t="s">
        <v>2642</v>
      </c>
      <c r="D336" s="155" t="s">
        <v>2324</v>
      </c>
      <c r="E336" s="154">
        <v>7</v>
      </c>
      <c r="F336" s="154">
        <v>5</v>
      </c>
      <c r="G336" s="154">
        <v>2</v>
      </c>
      <c r="H336" s="154">
        <v>0</v>
      </c>
      <c r="I336" s="154">
        <v>0</v>
      </c>
      <c r="J336" s="154">
        <v>0</v>
      </c>
      <c r="K336" s="154">
        <v>0.24099999999999999</v>
      </c>
      <c r="L336" s="154">
        <v>0.41499999999999998</v>
      </c>
      <c r="M336" s="154">
        <v>0.59</v>
      </c>
      <c r="N336" s="154">
        <v>0.67900000000000005</v>
      </c>
      <c r="O336" s="108">
        <f t="shared" si="25"/>
        <v>0.72199170124481316</v>
      </c>
      <c r="P336" s="108">
        <f t="shared" si="26"/>
        <v>0.42168674698795172</v>
      </c>
      <c r="Q336" s="108">
        <f t="shared" si="27"/>
        <v>0.15084745762711882</v>
      </c>
      <c r="S336" s="109">
        <f t="shared" si="28"/>
        <v>1.8174273858921164</v>
      </c>
      <c r="T336" s="109">
        <f t="shared" si="29"/>
        <v>0.63614457831325311</v>
      </c>
    </row>
    <row r="337" spans="1:20">
      <c r="A337" s="154">
        <v>17</v>
      </c>
      <c r="B337" s="156">
        <v>300451</v>
      </c>
      <c r="C337" s="133" t="s">
        <v>2643</v>
      </c>
      <c r="D337" s="155" t="s">
        <v>2324</v>
      </c>
      <c r="E337" s="154">
        <v>51</v>
      </c>
      <c r="F337" s="154">
        <v>43</v>
      </c>
      <c r="G337" s="154">
        <v>8</v>
      </c>
      <c r="H337" s="154">
        <v>0</v>
      </c>
      <c r="I337" s="154">
        <v>0</v>
      </c>
      <c r="J337" s="154">
        <v>0</v>
      </c>
      <c r="K337" s="154">
        <v>0.28699999999999998</v>
      </c>
      <c r="L337" s="154">
        <v>0.39200000000000002</v>
      </c>
      <c r="M337" s="154">
        <v>0.503</v>
      </c>
      <c r="N337" s="154">
        <v>0.64100000000000001</v>
      </c>
      <c r="O337" s="108">
        <f t="shared" si="25"/>
        <v>0.36585365853658547</v>
      </c>
      <c r="P337" s="108">
        <f t="shared" si="26"/>
        <v>0.28316326530612246</v>
      </c>
      <c r="Q337" s="108">
        <f t="shared" si="27"/>
        <v>0.27435387673956257</v>
      </c>
      <c r="S337" s="109">
        <f t="shared" si="28"/>
        <v>1.2334494773519165</v>
      </c>
      <c r="T337" s="109">
        <f t="shared" si="29"/>
        <v>0.63520408163265296</v>
      </c>
    </row>
    <row r="338" spans="1:20">
      <c r="A338" s="154">
        <v>453</v>
      </c>
      <c r="B338" s="156">
        <v>300422</v>
      </c>
      <c r="C338" s="133" t="s">
        <v>1360</v>
      </c>
      <c r="D338" s="155" t="s">
        <v>2324</v>
      </c>
      <c r="E338" s="154">
        <v>11</v>
      </c>
      <c r="F338" s="154">
        <v>4</v>
      </c>
      <c r="G338" s="154">
        <v>7</v>
      </c>
      <c r="H338" s="154">
        <v>0</v>
      </c>
      <c r="I338" s="154">
        <v>0</v>
      </c>
      <c r="J338" s="154">
        <v>0</v>
      </c>
      <c r="K338" s="154">
        <v>0.66100000000000003</v>
      </c>
      <c r="L338" s="154">
        <v>0.90700000000000003</v>
      </c>
      <c r="M338" s="154">
        <v>1.198</v>
      </c>
      <c r="N338" s="154">
        <v>1.4830000000000001</v>
      </c>
      <c r="O338" s="108">
        <f t="shared" si="25"/>
        <v>0.37216338880484123</v>
      </c>
      <c r="P338" s="108">
        <f t="shared" si="26"/>
        <v>0.32083792723263493</v>
      </c>
      <c r="Q338" s="108">
        <f t="shared" si="27"/>
        <v>0.23789649415692837</v>
      </c>
      <c r="S338" s="109">
        <f t="shared" si="28"/>
        <v>1.2435703479576401</v>
      </c>
      <c r="T338" s="109">
        <f t="shared" si="29"/>
        <v>0.63506063947078295</v>
      </c>
    </row>
    <row r="339" spans="1:20">
      <c r="A339" s="154">
        <v>49</v>
      </c>
      <c r="B339" s="156">
        <v>2812</v>
      </c>
      <c r="C339" s="133" t="s">
        <v>2644</v>
      </c>
      <c r="D339" s="155" t="s">
        <v>2324</v>
      </c>
      <c r="E339" s="154">
        <v>39</v>
      </c>
      <c r="F339" s="154">
        <v>21</v>
      </c>
      <c r="G339" s="154">
        <v>18</v>
      </c>
      <c r="H339" s="154">
        <v>0</v>
      </c>
      <c r="I339" s="154">
        <v>0</v>
      </c>
      <c r="J339" s="154">
        <v>0</v>
      </c>
      <c r="K339" s="154">
        <v>0.64400000000000002</v>
      </c>
      <c r="L339" s="154">
        <v>1.0549999999999999</v>
      </c>
      <c r="M339" s="154">
        <v>1.385</v>
      </c>
      <c r="N339" s="154">
        <v>1.724</v>
      </c>
      <c r="O339" s="108">
        <f t="shared" si="25"/>
        <v>0.63819875776397494</v>
      </c>
      <c r="P339" s="108">
        <f t="shared" si="26"/>
        <v>0.31279620853080581</v>
      </c>
      <c r="Q339" s="108">
        <f t="shared" si="27"/>
        <v>0.24476534296028873</v>
      </c>
      <c r="S339" s="109">
        <f t="shared" si="28"/>
        <v>1.6770186335403725</v>
      </c>
      <c r="T339" s="109">
        <f t="shared" si="29"/>
        <v>0.63412322274881516</v>
      </c>
    </row>
    <row r="340" spans="1:20">
      <c r="A340" s="154">
        <v>197</v>
      </c>
      <c r="B340" s="156">
        <v>600340</v>
      </c>
      <c r="C340" s="133" t="s">
        <v>2645</v>
      </c>
      <c r="D340" s="155" t="s">
        <v>2324</v>
      </c>
      <c r="E340" s="154">
        <v>22</v>
      </c>
      <c r="F340" s="154">
        <v>21</v>
      </c>
      <c r="G340" s="154">
        <v>1</v>
      </c>
      <c r="H340" s="154">
        <v>0</v>
      </c>
      <c r="I340" s="154">
        <v>0</v>
      </c>
      <c r="J340" s="154">
        <v>0</v>
      </c>
      <c r="K340" s="154">
        <v>3.8980000000000001</v>
      </c>
      <c r="L340" s="154">
        <v>4.9640000000000004</v>
      </c>
      <c r="M340" s="154">
        <v>6.2949999999999999</v>
      </c>
      <c r="N340" s="154">
        <v>8.1080000000000005</v>
      </c>
      <c r="O340" s="108">
        <f t="shared" si="25"/>
        <v>0.27347357619291945</v>
      </c>
      <c r="P340" s="108">
        <f t="shared" si="26"/>
        <v>0.2681305398871876</v>
      </c>
      <c r="Q340" s="108">
        <f t="shared" si="27"/>
        <v>0.28800635424940446</v>
      </c>
      <c r="S340" s="109">
        <f t="shared" si="28"/>
        <v>1.0800410466906105</v>
      </c>
      <c r="T340" s="109">
        <f t="shared" si="29"/>
        <v>0.63336019339242533</v>
      </c>
    </row>
    <row r="341" spans="1:20">
      <c r="A341" s="154">
        <v>768</v>
      </c>
      <c r="B341" s="156">
        <v>600884</v>
      </c>
      <c r="C341" s="133" t="s">
        <v>2646</v>
      </c>
      <c r="D341" s="155" t="s">
        <v>2324</v>
      </c>
      <c r="E341" s="154">
        <v>6</v>
      </c>
      <c r="F341" s="154">
        <v>3</v>
      </c>
      <c r="G341" s="154">
        <v>3</v>
      </c>
      <c r="H341" s="154">
        <v>0</v>
      </c>
      <c r="I341" s="154">
        <v>0</v>
      </c>
      <c r="J341" s="154">
        <v>0</v>
      </c>
      <c r="K341" s="154">
        <v>0.99299999999999999</v>
      </c>
      <c r="L341" s="154">
        <v>0.42</v>
      </c>
      <c r="M341" s="154">
        <v>0.55900000000000005</v>
      </c>
      <c r="N341" s="154">
        <v>0.68600000000000005</v>
      </c>
      <c r="O341" s="108">
        <f t="shared" si="25"/>
        <v>-0.57703927492447127</v>
      </c>
      <c r="P341" s="108">
        <f t="shared" si="26"/>
        <v>0.33095238095238111</v>
      </c>
      <c r="Q341" s="108">
        <f t="shared" si="27"/>
        <v>0.22719141323792491</v>
      </c>
      <c r="S341" s="109">
        <f t="shared" si="28"/>
        <v>-0.30916414904330303</v>
      </c>
      <c r="T341" s="109">
        <f t="shared" si="29"/>
        <v>0.63333333333333353</v>
      </c>
    </row>
    <row r="342" spans="1:20">
      <c r="A342" s="154">
        <v>273</v>
      </c>
      <c r="B342" s="156">
        <v>2463</v>
      </c>
      <c r="C342" s="133" t="s">
        <v>2647</v>
      </c>
      <c r="D342" s="155" t="s">
        <v>2324</v>
      </c>
      <c r="E342" s="154">
        <v>18</v>
      </c>
      <c r="F342" s="154">
        <v>13</v>
      </c>
      <c r="G342" s="154">
        <v>5</v>
      </c>
      <c r="H342" s="154">
        <v>0</v>
      </c>
      <c r="I342" s="154">
        <v>0</v>
      </c>
      <c r="J342" s="154">
        <v>0</v>
      </c>
      <c r="K342" s="154">
        <v>0.33100000000000002</v>
      </c>
      <c r="L342" s="154">
        <v>0.64900000000000002</v>
      </c>
      <c r="M342" s="154">
        <v>0.85</v>
      </c>
      <c r="N342" s="154">
        <v>1.06</v>
      </c>
      <c r="O342" s="108">
        <f t="shared" si="25"/>
        <v>0.9607250755287009</v>
      </c>
      <c r="P342" s="108">
        <f t="shared" si="26"/>
        <v>0.3097072419106317</v>
      </c>
      <c r="Q342" s="108">
        <f t="shared" si="27"/>
        <v>0.24705882352941178</v>
      </c>
      <c r="S342" s="109">
        <f t="shared" si="28"/>
        <v>2.202416918429003</v>
      </c>
      <c r="T342" s="109">
        <f t="shared" si="29"/>
        <v>0.63328197226502314</v>
      </c>
    </row>
    <row r="343" spans="1:20">
      <c r="A343" s="154">
        <v>33</v>
      </c>
      <c r="B343" s="156">
        <v>600276</v>
      </c>
      <c r="C343" s="133" t="s">
        <v>2648</v>
      </c>
      <c r="D343" s="155" t="s">
        <v>2324</v>
      </c>
      <c r="E343" s="154">
        <v>44</v>
      </c>
      <c r="F343" s="154">
        <v>36</v>
      </c>
      <c r="G343" s="154">
        <v>8</v>
      </c>
      <c r="H343" s="154">
        <v>0</v>
      </c>
      <c r="I343" s="154">
        <v>0</v>
      </c>
      <c r="J343" s="154">
        <v>0</v>
      </c>
      <c r="K343" s="154">
        <v>0.91900000000000004</v>
      </c>
      <c r="L343" s="154">
        <v>1.194</v>
      </c>
      <c r="M343" s="154">
        <v>1.538</v>
      </c>
      <c r="N343" s="154">
        <v>1.95</v>
      </c>
      <c r="O343" s="108">
        <f t="shared" si="25"/>
        <v>0.29923830250272032</v>
      </c>
      <c r="P343" s="108">
        <f t="shared" si="26"/>
        <v>0.28810720268006706</v>
      </c>
      <c r="Q343" s="108">
        <f t="shared" si="27"/>
        <v>0.26788036410923266</v>
      </c>
      <c r="S343" s="109">
        <f t="shared" si="28"/>
        <v>1.1218715995647441</v>
      </c>
      <c r="T343" s="109">
        <f t="shared" si="29"/>
        <v>0.63316582914572872</v>
      </c>
    </row>
    <row r="344" spans="1:20">
      <c r="A344" s="154">
        <v>394</v>
      </c>
      <c r="B344" s="156">
        <v>547</v>
      </c>
      <c r="C344" s="133" t="s">
        <v>2649</v>
      </c>
      <c r="D344" s="155" t="s">
        <v>2324</v>
      </c>
      <c r="E344" s="154">
        <v>13</v>
      </c>
      <c r="F344" s="154">
        <v>12</v>
      </c>
      <c r="G344" s="154">
        <v>1</v>
      </c>
      <c r="H344" s="154">
        <v>0</v>
      </c>
      <c r="I344" s="154">
        <v>0</v>
      </c>
      <c r="J344" s="154">
        <v>0</v>
      </c>
      <c r="K344" s="154">
        <v>0.27900000000000003</v>
      </c>
      <c r="L344" s="154">
        <v>0.38100000000000001</v>
      </c>
      <c r="M344" s="154">
        <v>0.48899999999999999</v>
      </c>
      <c r="N344" s="154">
        <v>0.622</v>
      </c>
      <c r="O344" s="108">
        <f t="shared" si="25"/>
        <v>0.36559139784946226</v>
      </c>
      <c r="P344" s="108">
        <f t="shared" si="26"/>
        <v>0.2834645669291338</v>
      </c>
      <c r="Q344" s="108">
        <f t="shared" si="27"/>
        <v>0.27198364008179965</v>
      </c>
      <c r="S344" s="109">
        <f t="shared" si="28"/>
        <v>1.2293906810035842</v>
      </c>
      <c r="T344" s="109">
        <f t="shared" si="29"/>
        <v>0.63254593175853024</v>
      </c>
    </row>
    <row r="345" spans="1:20">
      <c r="A345" s="154">
        <v>529</v>
      </c>
      <c r="B345" s="156">
        <v>300130</v>
      </c>
      <c r="C345" s="133" t="s">
        <v>2650</v>
      </c>
      <c r="D345" s="155" t="s">
        <v>2324</v>
      </c>
      <c r="E345" s="154">
        <v>9</v>
      </c>
      <c r="F345" s="154">
        <v>9</v>
      </c>
      <c r="G345" s="154">
        <v>0</v>
      </c>
      <c r="H345" s="154">
        <v>0</v>
      </c>
      <c r="I345" s="154">
        <v>0</v>
      </c>
      <c r="J345" s="154">
        <v>0</v>
      </c>
      <c r="K345" s="154">
        <v>0.51100000000000001</v>
      </c>
      <c r="L345" s="154">
        <v>0.876</v>
      </c>
      <c r="M345" s="154">
        <v>1.133</v>
      </c>
      <c r="N345" s="154">
        <v>1.43</v>
      </c>
      <c r="O345" s="108">
        <f t="shared" si="25"/>
        <v>0.71428571428571419</v>
      </c>
      <c r="P345" s="108">
        <f t="shared" si="26"/>
        <v>0.29337899543378998</v>
      </c>
      <c r="Q345" s="108">
        <f t="shared" si="27"/>
        <v>0.26213592233009697</v>
      </c>
      <c r="S345" s="109">
        <f t="shared" si="28"/>
        <v>1.7984344422700587</v>
      </c>
      <c r="T345" s="109">
        <f t="shared" si="29"/>
        <v>0.63242009132420085</v>
      </c>
    </row>
    <row r="346" spans="1:20">
      <c r="A346" s="154">
        <v>155</v>
      </c>
      <c r="B346" s="156">
        <v>300012</v>
      </c>
      <c r="C346" s="133" t="s">
        <v>2651</v>
      </c>
      <c r="D346" s="155" t="s">
        <v>2324</v>
      </c>
      <c r="E346" s="154">
        <v>25</v>
      </c>
      <c r="F346" s="154">
        <v>16</v>
      </c>
      <c r="G346" s="154">
        <v>9</v>
      </c>
      <c r="H346" s="154">
        <v>0</v>
      </c>
      <c r="I346" s="154">
        <v>0</v>
      </c>
      <c r="J346" s="154">
        <v>0</v>
      </c>
      <c r="K346" s="154">
        <v>0.16300000000000001</v>
      </c>
      <c r="L346" s="154">
        <v>0.27200000000000002</v>
      </c>
      <c r="M346" s="154">
        <v>0.34899999999999998</v>
      </c>
      <c r="N346" s="154">
        <v>0.44400000000000001</v>
      </c>
      <c r="O346" s="108">
        <f t="shared" si="25"/>
        <v>0.66871165644171793</v>
      </c>
      <c r="P346" s="108">
        <f t="shared" si="26"/>
        <v>0.28308823529411753</v>
      </c>
      <c r="Q346" s="108">
        <f t="shared" si="27"/>
        <v>0.27220630372492849</v>
      </c>
      <c r="S346" s="109">
        <f t="shared" si="28"/>
        <v>1.723926380368098</v>
      </c>
      <c r="T346" s="109">
        <f t="shared" si="29"/>
        <v>0.63235294117647056</v>
      </c>
    </row>
    <row r="347" spans="1:20">
      <c r="A347" s="154">
        <v>190</v>
      </c>
      <c r="B347" s="156">
        <v>300783</v>
      </c>
      <c r="C347" s="133" t="s">
        <v>2652</v>
      </c>
      <c r="D347" s="155" t="s">
        <v>2324</v>
      </c>
      <c r="E347" s="154">
        <v>22</v>
      </c>
      <c r="F347" s="154">
        <v>13</v>
      </c>
      <c r="G347" s="154">
        <v>9</v>
      </c>
      <c r="H347" s="154">
        <v>0</v>
      </c>
      <c r="I347" s="154">
        <v>0</v>
      </c>
      <c r="J347" s="154">
        <v>0</v>
      </c>
      <c r="K347" s="154">
        <v>0.75800000000000001</v>
      </c>
      <c r="L347" s="154">
        <v>0.94899999999999995</v>
      </c>
      <c r="M347" s="154">
        <v>1.222</v>
      </c>
      <c r="N347" s="154">
        <v>1.548</v>
      </c>
      <c r="O347" s="108">
        <f t="shared" si="25"/>
        <v>0.25197889182058031</v>
      </c>
      <c r="P347" s="108">
        <f t="shared" si="26"/>
        <v>0.28767123287671237</v>
      </c>
      <c r="Q347" s="108">
        <f t="shared" si="27"/>
        <v>0.26677577741407532</v>
      </c>
      <c r="S347" s="109">
        <f t="shared" si="28"/>
        <v>1.0422163588390503</v>
      </c>
      <c r="T347" s="109">
        <f t="shared" si="29"/>
        <v>0.6311907270811381</v>
      </c>
    </row>
    <row r="348" spans="1:20">
      <c r="A348" s="154">
        <v>348</v>
      </c>
      <c r="B348" s="156">
        <v>603711</v>
      </c>
      <c r="C348" s="133" t="s">
        <v>2653</v>
      </c>
      <c r="D348" s="155" t="s">
        <v>2324</v>
      </c>
      <c r="E348" s="154">
        <v>14</v>
      </c>
      <c r="F348" s="154">
        <v>13</v>
      </c>
      <c r="G348" s="154">
        <v>1</v>
      </c>
      <c r="H348" s="154">
        <v>0</v>
      </c>
      <c r="I348" s="154">
        <v>0</v>
      </c>
      <c r="J348" s="154">
        <v>0</v>
      </c>
      <c r="K348" s="154">
        <v>0.753</v>
      </c>
      <c r="L348" s="154">
        <v>0.92300000000000004</v>
      </c>
      <c r="M348" s="154">
        <v>1.1759999999999999</v>
      </c>
      <c r="N348" s="154">
        <v>1.5049999999999999</v>
      </c>
      <c r="O348" s="108">
        <f t="shared" si="25"/>
        <v>0.22576361221779551</v>
      </c>
      <c r="P348" s="108">
        <f t="shared" si="26"/>
        <v>0.27410617551462613</v>
      </c>
      <c r="Q348" s="108">
        <f t="shared" si="27"/>
        <v>0.27976190476190466</v>
      </c>
      <c r="S348" s="109">
        <f t="shared" si="28"/>
        <v>0.99867197875165981</v>
      </c>
      <c r="T348" s="109">
        <f t="shared" si="29"/>
        <v>0.6305525460455037</v>
      </c>
    </row>
    <row r="349" spans="1:20">
      <c r="A349" s="154">
        <v>658</v>
      </c>
      <c r="B349" s="156">
        <v>603699</v>
      </c>
      <c r="C349" s="133" t="s">
        <v>2654</v>
      </c>
      <c r="D349" s="155" t="s">
        <v>2324</v>
      </c>
      <c r="E349" s="154">
        <v>7</v>
      </c>
      <c r="F349" s="154">
        <v>6</v>
      </c>
      <c r="G349" s="154">
        <v>1</v>
      </c>
      <c r="H349" s="154">
        <v>0</v>
      </c>
      <c r="I349" s="154">
        <v>0</v>
      </c>
      <c r="J349" s="154">
        <v>0</v>
      </c>
      <c r="K349" s="154">
        <v>0.36499999999999999</v>
      </c>
      <c r="L349" s="154">
        <v>0.61599999999999999</v>
      </c>
      <c r="M349" s="154">
        <v>0.80600000000000005</v>
      </c>
      <c r="N349" s="154">
        <v>1.004</v>
      </c>
      <c r="O349" s="108">
        <f t="shared" si="25"/>
        <v>0.68767123287671228</v>
      </c>
      <c r="P349" s="108">
        <f t="shared" si="26"/>
        <v>0.30844155844155852</v>
      </c>
      <c r="Q349" s="108">
        <f t="shared" si="27"/>
        <v>0.24565756823821339</v>
      </c>
      <c r="S349" s="109">
        <f t="shared" si="28"/>
        <v>1.7506849315068496</v>
      </c>
      <c r="T349" s="109">
        <f t="shared" si="29"/>
        <v>0.62987012987012991</v>
      </c>
    </row>
    <row r="350" spans="1:20">
      <c r="A350" s="154">
        <v>66</v>
      </c>
      <c r="B350" s="156">
        <v>63</v>
      </c>
      <c r="C350" s="133" t="s">
        <v>2655</v>
      </c>
      <c r="D350" s="155" t="s">
        <v>2324</v>
      </c>
      <c r="E350" s="154">
        <v>35</v>
      </c>
      <c r="F350" s="154">
        <v>23</v>
      </c>
      <c r="G350" s="154">
        <v>10</v>
      </c>
      <c r="H350" s="154">
        <v>2</v>
      </c>
      <c r="I350" s="154">
        <v>0</v>
      </c>
      <c r="J350" s="154">
        <v>0</v>
      </c>
      <c r="K350" s="154">
        <v>-1.5149999999999999</v>
      </c>
      <c r="L350" s="154">
        <v>1.1970000000000001</v>
      </c>
      <c r="M350" s="154">
        <v>1.532</v>
      </c>
      <c r="N350" s="154">
        <v>1.95</v>
      </c>
      <c r="O350" s="108">
        <f t="shared" si="25"/>
        <v>-1.7900990099009904</v>
      </c>
      <c r="P350" s="108">
        <f t="shared" si="26"/>
        <v>0.27986633249791137</v>
      </c>
      <c r="Q350" s="108">
        <f t="shared" si="27"/>
        <v>0.27284595300261083</v>
      </c>
      <c r="S350" s="109">
        <f t="shared" si="28"/>
        <v>-2.2871287128712874</v>
      </c>
      <c r="T350" s="109">
        <f t="shared" si="29"/>
        <v>0.62907268170426045</v>
      </c>
    </row>
    <row r="351" spans="1:20">
      <c r="A351" s="154">
        <v>941</v>
      </c>
      <c r="B351" s="156">
        <v>34</v>
      </c>
      <c r="C351" s="133" t="s">
        <v>2656</v>
      </c>
      <c r="D351" s="155" t="s">
        <v>2324</v>
      </c>
      <c r="E351" s="154">
        <v>4</v>
      </c>
      <c r="F351" s="154">
        <v>4</v>
      </c>
      <c r="G351" s="154">
        <v>0</v>
      </c>
      <c r="H351" s="154">
        <v>0</v>
      </c>
      <c r="I351" s="154">
        <v>0</v>
      </c>
      <c r="J351" s="154">
        <v>0</v>
      </c>
      <c r="K351" s="154">
        <v>0.78300000000000003</v>
      </c>
      <c r="L351" s="154">
        <v>1.028</v>
      </c>
      <c r="M351" s="154">
        <v>1.27</v>
      </c>
      <c r="N351" s="154">
        <v>1.6739999999999999</v>
      </c>
      <c r="O351" s="108">
        <f t="shared" si="25"/>
        <v>0.31289910600255433</v>
      </c>
      <c r="P351" s="108">
        <f t="shared" si="26"/>
        <v>0.2354085603112841</v>
      </c>
      <c r="Q351" s="108">
        <f t="shared" si="27"/>
        <v>0.31811023622047241</v>
      </c>
      <c r="S351" s="109">
        <f t="shared" si="28"/>
        <v>1.1379310344827585</v>
      </c>
      <c r="T351" s="109">
        <f t="shared" si="29"/>
        <v>0.62840466926070038</v>
      </c>
    </row>
    <row r="352" spans="1:20">
      <c r="A352" s="154">
        <v>507</v>
      </c>
      <c r="B352" s="156">
        <v>603181</v>
      </c>
      <c r="C352" s="133" t="s">
        <v>2657</v>
      </c>
      <c r="D352" s="155" t="s">
        <v>2324</v>
      </c>
      <c r="E352" s="154">
        <v>9</v>
      </c>
      <c r="F352" s="154">
        <v>5</v>
      </c>
      <c r="G352" s="154">
        <v>4</v>
      </c>
      <c r="H352" s="154">
        <v>0</v>
      </c>
      <c r="I352" s="154">
        <v>0</v>
      </c>
      <c r="J352" s="154">
        <v>0</v>
      </c>
      <c r="K352" s="154">
        <v>0.70399999999999996</v>
      </c>
      <c r="L352" s="154">
        <v>0.92200000000000004</v>
      </c>
      <c r="M352" s="154">
        <v>1.181</v>
      </c>
      <c r="N352" s="154">
        <v>1.4990000000000001</v>
      </c>
      <c r="O352" s="108">
        <f t="shared" si="25"/>
        <v>0.30965909090909105</v>
      </c>
      <c r="P352" s="108">
        <f t="shared" si="26"/>
        <v>0.28091106290672441</v>
      </c>
      <c r="Q352" s="108">
        <f t="shared" si="27"/>
        <v>0.26926333615580011</v>
      </c>
      <c r="S352" s="109">
        <f t="shared" si="28"/>
        <v>1.1292613636363638</v>
      </c>
      <c r="T352" s="109">
        <f t="shared" si="29"/>
        <v>0.62581344902386116</v>
      </c>
    </row>
    <row r="353" spans="1:20">
      <c r="A353" s="154">
        <v>445</v>
      </c>
      <c r="B353" s="156">
        <v>603228</v>
      </c>
      <c r="C353" s="133" t="s">
        <v>2658</v>
      </c>
      <c r="D353" s="155" t="s">
        <v>2324</v>
      </c>
      <c r="E353" s="154">
        <v>11</v>
      </c>
      <c r="F353" s="154">
        <v>11</v>
      </c>
      <c r="G353" s="154">
        <v>0</v>
      </c>
      <c r="H353" s="154">
        <v>0</v>
      </c>
      <c r="I353" s="154">
        <v>0</v>
      </c>
      <c r="J353" s="154">
        <v>0</v>
      </c>
      <c r="K353" s="154">
        <v>1.333</v>
      </c>
      <c r="L353" s="154">
        <v>1.546</v>
      </c>
      <c r="M353" s="154">
        <v>1.99</v>
      </c>
      <c r="N353" s="154">
        <v>2.5089999999999999</v>
      </c>
      <c r="O353" s="108">
        <f t="shared" si="25"/>
        <v>0.15978994748687181</v>
      </c>
      <c r="P353" s="108">
        <f t="shared" si="26"/>
        <v>0.28719275549805956</v>
      </c>
      <c r="Q353" s="108">
        <f t="shared" si="27"/>
        <v>0.26080402010050241</v>
      </c>
      <c r="S353" s="109">
        <f t="shared" si="28"/>
        <v>0.88222055513878472</v>
      </c>
      <c r="T353" s="109">
        <f t="shared" si="29"/>
        <v>0.6228978007761965</v>
      </c>
    </row>
    <row r="354" spans="1:20">
      <c r="A354" s="154">
        <v>347</v>
      </c>
      <c r="B354" s="156">
        <v>603916</v>
      </c>
      <c r="C354" s="133" t="s">
        <v>2659</v>
      </c>
      <c r="D354" s="155" t="s">
        <v>2324</v>
      </c>
      <c r="E354" s="154">
        <v>14</v>
      </c>
      <c r="F354" s="154">
        <v>14</v>
      </c>
      <c r="G354" s="154">
        <v>0</v>
      </c>
      <c r="H354" s="154">
        <v>0</v>
      </c>
      <c r="I354" s="154">
        <v>0</v>
      </c>
      <c r="J354" s="154">
        <v>0</v>
      </c>
      <c r="K354" s="154">
        <v>0.86399999999999999</v>
      </c>
      <c r="L354" s="154">
        <v>1.026</v>
      </c>
      <c r="M354" s="154">
        <v>1.3340000000000001</v>
      </c>
      <c r="N354" s="154">
        <v>1.665</v>
      </c>
      <c r="O354" s="108">
        <f t="shared" si="25"/>
        <v>0.1875</v>
      </c>
      <c r="P354" s="108">
        <f t="shared" si="26"/>
        <v>0.30019493177387924</v>
      </c>
      <c r="Q354" s="108">
        <f t="shared" si="27"/>
        <v>0.24812593703148411</v>
      </c>
      <c r="S354" s="109">
        <f t="shared" si="28"/>
        <v>0.92708333333333348</v>
      </c>
      <c r="T354" s="109">
        <f t="shared" si="29"/>
        <v>0.62280701754385959</v>
      </c>
    </row>
    <row r="355" spans="1:20">
      <c r="A355" s="154">
        <v>192</v>
      </c>
      <c r="B355" s="156">
        <v>300628</v>
      </c>
      <c r="C355" s="133" t="s">
        <v>2660</v>
      </c>
      <c r="D355" s="155" t="s">
        <v>2324</v>
      </c>
      <c r="E355" s="154">
        <v>22</v>
      </c>
      <c r="F355" s="154">
        <v>14</v>
      </c>
      <c r="G355" s="154">
        <v>8</v>
      </c>
      <c r="H355" s="154">
        <v>0</v>
      </c>
      <c r="I355" s="154">
        <v>0</v>
      </c>
      <c r="J355" s="154">
        <v>0</v>
      </c>
      <c r="K355" s="154">
        <v>1.42</v>
      </c>
      <c r="L355" s="154">
        <v>1.9950000000000001</v>
      </c>
      <c r="M355" s="154">
        <v>2.54</v>
      </c>
      <c r="N355" s="154">
        <v>3.2370000000000001</v>
      </c>
      <c r="O355" s="108">
        <f t="shared" si="25"/>
        <v>0.40492957746478897</v>
      </c>
      <c r="P355" s="108">
        <f t="shared" si="26"/>
        <v>0.27318295739348364</v>
      </c>
      <c r="Q355" s="108">
        <f t="shared" si="27"/>
        <v>0.27440944881889773</v>
      </c>
      <c r="S355" s="109">
        <f t="shared" si="28"/>
        <v>1.2795774647887326</v>
      </c>
      <c r="T355" s="109">
        <f t="shared" si="29"/>
        <v>0.62255639097744364</v>
      </c>
    </row>
    <row r="356" spans="1:20">
      <c r="A356" s="154">
        <v>106</v>
      </c>
      <c r="B356" s="156">
        <v>300124</v>
      </c>
      <c r="C356" s="133" t="s">
        <v>2661</v>
      </c>
      <c r="D356" s="155" t="s">
        <v>2324</v>
      </c>
      <c r="E356" s="154">
        <v>30</v>
      </c>
      <c r="F356" s="154">
        <v>21</v>
      </c>
      <c r="G356" s="154">
        <v>9</v>
      </c>
      <c r="H356" s="154">
        <v>0</v>
      </c>
      <c r="I356" s="154">
        <v>0</v>
      </c>
      <c r="J356" s="154">
        <v>0</v>
      </c>
      <c r="K356" s="154">
        <v>0.67400000000000004</v>
      </c>
      <c r="L356" s="154">
        <v>0.64600000000000002</v>
      </c>
      <c r="M356" s="154">
        <v>0.83799999999999997</v>
      </c>
      <c r="N356" s="154">
        <v>1.048</v>
      </c>
      <c r="O356" s="108">
        <f t="shared" si="25"/>
        <v>-4.1543026706231445E-2</v>
      </c>
      <c r="P356" s="108">
        <f t="shared" si="26"/>
        <v>0.29721362229102155</v>
      </c>
      <c r="Q356" s="108">
        <f t="shared" si="27"/>
        <v>0.25059665871121739</v>
      </c>
      <c r="S356" s="109">
        <f t="shared" si="28"/>
        <v>0.55489614243323437</v>
      </c>
      <c r="T356" s="109">
        <f t="shared" si="29"/>
        <v>0.62229102167182671</v>
      </c>
    </row>
    <row r="357" spans="1:20">
      <c r="A357" s="154">
        <v>151</v>
      </c>
      <c r="B357" s="156">
        <v>2832</v>
      </c>
      <c r="C357" s="133" t="s">
        <v>2662</v>
      </c>
      <c r="D357" s="155" t="s">
        <v>2324</v>
      </c>
      <c r="E357" s="154">
        <v>25</v>
      </c>
      <c r="F357" s="154">
        <v>20</v>
      </c>
      <c r="G357" s="154">
        <v>5</v>
      </c>
      <c r="H357" s="154">
        <v>0</v>
      </c>
      <c r="I357" s="154">
        <v>0</v>
      </c>
      <c r="J357" s="154">
        <v>0</v>
      </c>
      <c r="K357" s="154">
        <v>0.94799999999999995</v>
      </c>
      <c r="L357" s="154">
        <v>1.3080000000000001</v>
      </c>
      <c r="M357" s="154">
        <v>1.712</v>
      </c>
      <c r="N357" s="154">
        <v>2.121</v>
      </c>
      <c r="O357" s="108">
        <f t="shared" si="25"/>
        <v>0.379746835443038</v>
      </c>
      <c r="P357" s="108">
        <f t="shared" si="26"/>
        <v>0.30886850152905199</v>
      </c>
      <c r="Q357" s="108">
        <f t="shared" si="27"/>
        <v>0.23890186915887845</v>
      </c>
      <c r="S357" s="109">
        <f t="shared" si="28"/>
        <v>1.2373417721518987</v>
      </c>
      <c r="T357" s="109">
        <f t="shared" si="29"/>
        <v>0.62155963302752282</v>
      </c>
    </row>
    <row r="358" spans="1:20">
      <c r="A358" s="154">
        <v>447</v>
      </c>
      <c r="B358" s="156">
        <v>300633</v>
      </c>
      <c r="C358" s="133" t="s">
        <v>2663</v>
      </c>
      <c r="D358" s="155" t="s">
        <v>2324</v>
      </c>
      <c r="E358" s="154">
        <v>11</v>
      </c>
      <c r="F358" s="154">
        <v>9</v>
      </c>
      <c r="G358" s="154">
        <v>2</v>
      </c>
      <c r="H358" s="154">
        <v>0</v>
      </c>
      <c r="I358" s="154">
        <v>0</v>
      </c>
      <c r="J358" s="154">
        <v>0</v>
      </c>
      <c r="K358" s="154">
        <v>0.623</v>
      </c>
      <c r="L358" s="154">
        <v>0.65</v>
      </c>
      <c r="M358" s="154">
        <v>0.83399999999999996</v>
      </c>
      <c r="N358" s="154">
        <v>1.0529999999999999</v>
      </c>
      <c r="O358" s="108">
        <f t="shared" si="25"/>
        <v>4.3338683788122001E-2</v>
      </c>
      <c r="P358" s="108">
        <f t="shared" si="26"/>
        <v>0.283076923076923</v>
      </c>
      <c r="Q358" s="108">
        <f t="shared" si="27"/>
        <v>0.26258992805755388</v>
      </c>
      <c r="S358" s="109">
        <f t="shared" si="28"/>
        <v>0.6902086677367576</v>
      </c>
      <c r="T358" s="109">
        <f t="shared" si="29"/>
        <v>0.61999999999999988</v>
      </c>
    </row>
    <row r="359" spans="1:20">
      <c r="A359" s="154">
        <v>885</v>
      </c>
      <c r="B359" s="156">
        <v>826</v>
      </c>
      <c r="C359" s="133" t="s">
        <v>2664</v>
      </c>
      <c r="D359" s="155" t="s">
        <v>2324</v>
      </c>
      <c r="E359" s="154">
        <v>4</v>
      </c>
      <c r="F359" s="154">
        <v>2</v>
      </c>
      <c r="G359" s="154">
        <v>1</v>
      </c>
      <c r="H359" s="154">
        <v>1</v>
      </c>
      <c r="I359" s="154">
        <v>0</v>
      </c>
      <c r="J359" s="154">
        <v>0</v>
      </c>
      <c r="K359" s="154">
        <v>0.45</v>
      </c>
      <c r="L359" s="154">
        <v>0.47099999999999997</v>
      </c>
      <c r="M359" s="154">
        <v>0.56599999999999995</v>
      </c>
      <c r="N359" s="154">
        <v>0.76300000000000001</v>
      </c>
      <c r="O359" s="108">
        <f t="shared" si="25"/>
        <v>4.6666666666666634E-2</v>
      </c>
      <c r="P359" s="108">
        <f t="shared" si="26"/>
        <v>0.20169851380042458</v>
      </c>
      <c r="Q359" s="108">
        <f t="shared" si="27"/>
        <v>0.34805653710247375</v>
      </c>
      <c r="S359" s="109">
        <f t="shared" si="28"/>
        <v>0.69555555555555548</v>
      </c>
      <c r="T359" s="109">
        <f t="shared" si="29"/>
        <v>0.61995753715498947</v>
      </c>
    </row>
    <row r="360" spans="1:20">
      <c r="A360" s="154">
        <v>655</v>
      </c>
      <c r="B360" s="156">
        <v>603601</v>
      </c>
      <c r="C360" s="133" t="s">
        <v>2665</v>
      </c>
      <c r="D360" s="155" t="s">
        <v>2324</v>
      </c>
      <c r="E360" s="154">
        <v>7</v>
      </c>
      <c r="F360" s="154">
        <v>5</v>
      </c>
      <c r="G360" s="154">
        <v>2</v>
      </c>
      <c r="H360" s="154">
        <v>0</v>
      </c>
      <c r="I360" s="154">
        <v>0</v>
      </c>
      <c r="J360" s="154">
        <v>0</v>
      </c>
      <c r="K360" s="154">
        <v>0.22600000000000001</v>
      </c>
      <c r="L360" s="154">
        <v>0.28599999999999998</v>
      </c>
      <c r="M360" s="154">
        <v>0.37</v>
      </c>
      <c r="N360" s="154">
        <v>0.46300000000000002</v>
      </c>
      <c r="O360" s="108">
        <f t="shared" si="25"/>
        <v>0.26548672566371678</v>
      </c>
      <c r="P360" s="108">
        <f t="shared" si="26"/>
        <v>0.29370629370629375</v>
      </c>
      <c r="Q360" s="108">
        <f t="shared" si="27"/>
        <v>0.25135135135135145</v>
      </c>
      <c r="S360" s="109">
        <f t="shared" si="28"/>
        <v>1.0486725663716814</v>
      </c>
      <c r="T360" s="109">
        <f t="shared" si="29"/>
        <v>0.61888111888111919</v>
      </c>
    </row>
    <row r="361" spans="1:20">
      <c r="A361" s="154">
        <v>82</v>
      </c>
      <c r="B361" s="156">
        <v>2405</v>
      </c>
      <c r="C361" s="133" t="s">
        <v>2666</v>
      </c>
      <c r="D361" s="155" t="s">
        <v>2324</v>
      </c>
      <c r="E361" s="154">
        <v>33</v>
      </c>
      <c r="F361" s="154">
        <v>22</v>
      </c>
      <c r="G361" s="154">
        <v>11</v>
      </c>
      <c r="H361" s="154">
        <v>0</v>
      </c>
      <c r="I361" s="154">
        <v>0</v>
      </c>
      <c r="J361" s="154">
        <v>0</v>
      </c>
      <c r="K361" s="154">
        <v>0.24399999999999999</v>
      </c>
      <c r="L361" s="154">
        <v>0.19400000000000001</v>
      </c>
      <c r="M361" s="154">
        <v>0.24299999999999999</v>
      </c>
      <c r="N361" s="154">
        <v>0.314</v>
      </c>
      <c r="O361" s="108">
        <f t="shared" si="25"/>
        <v>-0.20491803278688525</v>
      </c>
      <c r="P361" s="108">
        <f t="shared" si="26"/>
        <v>0.25257731958762886</v>
      </c>
      <c r="Q361" s="108">
        <f t="shared" si="27"/>
        <v>0.29218106995884785</v>
      </c>
      <c r="S361" s="109">
        <f t="shared" si="28"/>
        <v>0.28688524590163933</v>
      </c>
      <c r="T361" s="109">
        <f t="shared" si="29"/>
        <v>0.61855670103092786</v>
      </c>
    </row>
    <row r="362" spans="1:20">
      <c r="A362" s="154">
        <v>412</v>
      </c>
      <c r="B362" s="156">
        <v>300394</v>
      </c>
      <c r="C362" s="133" t="s">
        <v>2667</v>
      </c>
      <c r="D362" s="155" t="s">
        <v>2324</v>
      </c>
      <c r="E362" s="154">
        <v>12</v>
      </c>
      <c r="F362" s="154">
        <v>7</v>
      </c>
      <c r="G362" s="154">
        <v>5</v>
      </c>
      <c r="H362" s="154">
        <v>0</v>
      </c>
      <c r="I362" s="154">
        <v>0</v>
      </c>
      <c r="J362" s="154">
        <v>0</v>
      </c>
      <c r="K362" s="154">
        <v>0.68100000000000005</v>
      </c>
      <c r="L362" s="154">
        <v>0.9</v>
      </c>
      <c r="M362" s="154">
        <v>1.1559999999999999</v>
      </c>
      <c r="N362" s="154">
        <v>1.456</v>
      </c>
      <c r="O362" s="108">
        <f t="shared" si="25"/>
        <v>0.32158590308370028</v>
      </c>
      <c r="P362" s="108">
        <f t="shared" si="26"/>
        <v>0.28444444444444428</v>
      </c>
      <c r="Q362" s="108">
        <f t="shared" si="27"/>
        <v>0.25951557093425603</v>
      </c>
      <c r="S362" s="109">
        <f t="shared" si="28"/>
        <v>1.1380323054331862</v>
      </c>
      <c r="T362" s="109">
        <f t="shared" si="29"/>
        <v>0.61777777777777776</v>
      </c>
    </row>
    <row r="363" spans="1:20">
      <c r="A363" s="154">
        <v>527</v>
      </c>
      <c r="B363" s="156">
        <v>2675</v>
      </c>
      <c r="C363" s="133" t="s">
        <v>2668</v>
      </c>
      <c r="D363" s="155" t="s">
        <v>2324</v>
      </c>
      <c r="E363" s="154">
        <v>9</v>
      </c>
      <c r="F363" s="154">
        <v>8</v>
      </c>
      <c r="G363" s="154">
        <v>1</v>
      </c>
      <c r="H363" s="154">
        <v>0</v>
      </c>
      <c r="I363" s="154">
        <v>0</v>
      </c>
      <c r="J363" s="154">
        <v>0</v>
      </c>
      <c r="K363" s="154">
        <v>0.35</v>
      </c>
      <c r="L363" s="154">
        <v>0.46899999999999997</v>
      </c>
      <c r="M363" s="154">
        <v>0.6</v>
      </c>
      <c r="N363" s="154">
        <v>0.75800000000000001</v>
      </c>
      <c r="O363" s="108">
        <f t="shared" si="25"/>
        <v>0.34000000000000008</v>
      </c>
      <c r="P363" s="108">
        <f t="shared" si="26"/>
        <v>0.27931769722814503</v>
      </c>
      <c r="Q363" s="108">
        <f t="shared" si="27"/>
        <v>0.26333333333333342</v>
      </c>
      <c r="S363" s="109">
        <f t="shared" si="28"/>
        <v>1.1657142857142859</v>
      </c>
      <c r="T363" s="109">
        <f t="shared" si="29"/>
        <v>0.6162046908315566</v>
      </c>
    </row>
    <row r="364" spans="1:20">
      <c r="A364" s="154">
        <v>735</v>
      </c>
      <c r="B364" s="156">
        <v>603678</v>
      </c>
      <c r="C364" s="133" t="s">
        <v>2669</v>
      </c>
      <c r="D364" s="155" t="s">
        <v>2324</v>
      </c>
      <c r="E364" s="154">
        <v>6</v>
      </c>
      <c r="F364" s="154">
        <v>6</v>
      </c>
      <c r="G364" s="154">
        <v>0</v>
      </c>
      <c r="H364" s="154">
        <v>0</v>
      </c>
      <c r="I364" s="154">
        <v>0</v>
      </c>
      <c r="J364" s="154">
        <v>0</v>
      </c>
      <c r="K364" s="154">
        <v>0.73599999999999999</v>
      </c>
      <c r="L364" s="154">
        <v>0.92200000000000004</v>
      </c>
      <c r="M364" s="154">
        <v>1.1819999999999999</v>
      </c>
      <c r="N364" s="154">
        <v>1.49</v>
      </c>
      <c r="O364" s="108">
        <f t="shared" si="25"/>
        <v>0.25271739130434789</v>
      </c>
      <c r="P364" s="108">
        <f t="shared" si="26"/>
        <v>0.28199566160520595</v>
      </c>
      <c r="Q364" s="108">
        <f t="shared" si="27"/>
        <v>0.260575296108291</v>
      </c>
      <c r="S364" s="109">
        <f t="shared" si="28"/>
        <v>1.0244565217391304</v>
      </c>
      <c r="T364" s="109">
        <f t="shared" si="29"/>
        <v>0.61605206073752705</v>
      </c>
    </row>
    <row r="365" spans="1:20">
      <c r="A365" s="154">
        <v>825</v>
      </c>
      <c r="B365" s="156">
        <v>603887</v>
      </c>
      <c r="C365" s="133" t="s">
        <v>2670</v>
      </c>
      <c r="D365" s="155" t="s">
        <v>2324</v>
      </c>
      <c r="E365" s="154">
        <v>5</v>
      </c>
      <c r="F365" s="154">
        <v>2</v>
      </c>
      <c r="G365" s="154">
        <v>3</v>
      </c>
      <c r="H365" s="154">
        <v>0</v>
      </c>
      <c r="I365" s="154">
        <v>0</v>
      </c>
      <c r="J365" s="154">
        <v>0</v>
      </c>
      <c r="K365" s="154">
        <v>0.26900000000000002</v>
      </c>
      <c r="L365" s="154">
        <v>0.94399999999999995</v>
      </c>
      <c r="M365" s="154">
        <v>1.298</v>
      </c>
      <c r="N365" s="154">
        <v>1.524</v>
      </c>
      <c r="O365" s="108">
        <f t="shared" si="25"/>
        <v>2.5092936802973975</v>
      </c>
      <c r="P365" s="108">
        <f t="shared" si="26"/>
        <v>0.37500000000000022</v>
      </c>
      <c r="Q365" s="108">
        <f t="shared" si="27"/>
        <v>0.17411402157164857</v>
      </c>
      <c r="S365" s="109">
        <f t="shared" si="28"/>
        <v>4.6654275092936803</v>
      </c>
      <c r="T365" s="109">
        <f t="shared" si="29"/>
        <v>0.61440677966101709</v>
      </c>
    </row>
    <row r="366" spans="1:20">
      <c r="A366" s="154">
        <v>562</v>
      </c>
      <c r="B366" s="156">
        <v>8</v>
      </c>
      <c r="C366" s="133" t="s">
        <v>2671</v>
      </c>
      <c r="D366" s="155" t="s">
        <v>2324</v>
      </c>
      <c r="E366" s="154">
        <v>8</v>
      </c>
      <c r="F366" s="154">
        <v>3</v>
      </c>
      <c r="G366" s="154">
        <v>5</v>
      </c>
      <c r="H366" s="154">
        <v>0</v>
      </c>
      <c r="I366" s="154">
        <v>0</v>
      </c>
      <c r="J366" s="154">
        <v>0</v>
      </c>
      <c r="K366" s="154">
        <v>0.11700000000000001</v>
      </c>
      <c r="L366" s="154">
        <v>0.16300000000000001</v>
      </c>
      <c r="M366" s="154">
        <v>0.20799999999999999</v>
      </c>
      <c r="N366" s="154">
        <v>0.26300000000000001</v>
      </c>
      <c r="O366" s="108">
        <f t="shared" si="25"/>
        <v>0.3931623931623931</v>
      </c>
      <c r="P366" s="108">
        <f t="shared" si="26"/>
        <v>0.2760736196319018</v>
      </c>
      <c r="Q366" s="108">
        <f t="shared" si="27"/>
        <v>0.26442307692307709</v>
      </c>
      <c r="S366" s="109">
        <f t="shared" si="28"/>
        <v>1.2478632478632479</v>
      </c>
      <c r="T366" s="109">
        <f t="shared" si="29"/>
        <v>0.61349693251533743</v>
      </c>
    </row>
    <row r="367" spans="1:20">
      <c r="A367" s="154">
        <v>354</v>
      </c>
      <c r="B367" s="156">
        <v>300755</v>
      </c>
      <c r="C367" s="133" t="s">
        <v>2672</v>
      </c>
      <c r="D367" s="155" t="s">
        <v>2324</v>
      </c>
      <c r="E367" s="154">
        <v>14</v>
      </c>
      <c r="F367" s="154">
        <v>13</v>
      </c>
      <c r="G367" s="154">
        <v>1</v>
      </c>
      <c r="H367" s="154">
        <v>0</v>
      </c>
      <c r="I367" s="154">
        <v>0</v>
      </c>
      <c r="J367" s="154">
        <v>0</v>
      </c>
      <c r="K367" s="154">
        <v>0.53900000000000003</v>
      </c>
      <c r="L367" s="154">
        <v>0.76</v>
      </c>
      <c r="M367" s="154">
        <v>0.98</v>
      </c>
      <c r="N367" s="154">
        <v>1.226</v>
      </c>
      <c r="O367" s="108">
        <f t="shared" si="25"/>
        <v>0.41001855287569566</v>
      </c>
      <c r="P367" s="108">
        <f t="shared" si="26"/>
        <v>0.28947368421052633</v>
      </c>
      <c r="Q367" s="108">
        <f t="shared" si="27"/>
        <v>0.25102040816326521</v>
      </c>
      <c r="S367" s="109">
        <f t="shared" si="28"/>
        <v>1.2745825602968459</v>
      </c>
      <c r="T367" s="109">
        <f t="shared" si="29"/>
        <v>0.61315789473684212</v>
      </c>
    </row>
    <row r="368" spans="1:20">
      <c r="A368" s="154">
        <v>816</v>
      </c>
      <c r="B368" s="156">
        <v>300568</v>
      </c>
      <c r="C368" s="133" t="s">
        <v>1455</v>
      </c>
      <c r="D368" s="155" t="s">
        <v>2324</v>
      </c>
      <c r="E368" s="154">
        <v>5</v>
      </c>
      <c r="F368" s="154">
        <v>3</v>
      </c>
      <c r="G368" s="154">
        <v>2</v>
      </c>
      <c r="H368" s="154">
        <v>0</v>
      </c>
      <c r="I368" s="154">
        <v>0</v>
      </c>
      <c r="J368" s="154">
        <v>0</v>
      </c>
      <c r="K368" s="154">
        <v>0.96</v>
      </c>
      <c r="L368" s="154">
        <v>1.085</v>
      </c>
      <c r="M368" s="154">
        <v>1.3919999999999999</v>
      </c>
      <c r="N368" s="154">
        <v>1.75</v>
      </c>
      <c r="O368" s="108">
        <f t="shared" si="25"/>
        <v>0.13020833333333326</v>
      </c>
      <c r="P368" s="108">
        <f t="shared" si="26"/>
        <v>0.28294930875576041</v>
      </c>
      <c r="Q368" s="108">
        <f t="shared" si="27"/>
        <v>0.25718390804597702</v>
      </c>
      <c r="S368" s="109">
        <f t="shared" si="28"/>
        <v>0.82291666666666674</v>
      </c>
      <c r="T368" s="109">
        <f t="shared" si="29"/>
        <v>0.61290322580645173</v>
      </c>
    </row>
    <row r="369" spans="1:20">
      <c r="A369" s="154">
        <v>209</v>
      </c>
      <c r="B369" s="156">
        <v>603197</v>
      </c>
      <c r="C369" s="133" t="s">
        <v>2673</v>
      </c>
      <c r="D369" s="155" t="s">
        <v>2324</v>
      </c>
      <c r="E369" s="154">
        <v>21</v>
      </c>
      <c r="F369" s="154">
        <v>13</v>
      </c>
      <c r="G369" s="154">
        <v>8</v>
      </c>
      <c r="H369" s="154">
        <v>0</v>
      </c>
      <c r="I369" s="154">
        <v>0</v>
      </c>
      <c r="J369" s="154">
        <v>0</v>
      </c>
      <c r="K369" s="154">
        <v>0.93200000000000005</v>
      </c>
      <c r="L369" s="154">
        <v>1.0580000000000001</v>
      </c>
      <c r="M369" s="154">
        <v>1.4</v>
      </c>
      <c r="N369" s="154">
        <v>1.7050000000000001</v>
      </c>
      <c r="O369" s="108">
        <f t="shared" si="25"/>
        <v>0.13519313304721026</v>
      </c>
      <c r="P369" s="108">
        <f t="shared" si="26"/>
        <v>0.32325141776937594</v>
      </c>
      <c r="Q369" s="108">
        <f t="shared" si="27"/>
        <v>0.21785714285714297</v>
      </c>
      <c r="S369" s="109">
        <f t="shared" si="28"/>
        <v>0.82939914163090123</v>
      </c>
      <c r="T369" s="109">
        <f t="shared" si="29"/>
        <v>0.61153119092627595</v>
      </c>
    </row>
    <row r="370" spans="1:20">
      <c r="A370" s="154">
        <v>532</v>
      </c>
      <c r="B370" s="156">
        <v>2409</v>
      </c>
      <c r="C370" s="133" t="s">
        <v>2674</v>
      </c>
      <c r="D370" s="155" t="s">
        <v>2324</v>
      </c>
      <c r="E370" s="154">
        <v>9</v>
      </c>
      <c r="F370" s="154">
        <v>7</v>
      </c>
      <c r="G370" s="154">
        <v>2</v>
      </c>
      <c r="H370" s="154">
        <v>0</v>
      </c>
      <c r="I370" s="154">
        <v>0</v>
      </c>
      <c r="J370" s="154">
        <v>0</v>
      </c>
      <c r="K370" s="154">
        <v>0.28699999999999998</v>
      </c>
      <c r="L370" s="154">
        <v>0.55300000000000005</v>
      </c>
      <c r="M370" s="154">
        <v>0.71799999999999997</v>
      </c>
      <c r="N370" s="154">
        <v>0.89100000000000001</v>
      </c>
      <c r="O370" s="108">
        <f t="shared" si="25"/>
        <v>0.92682926829268331</v>
      </c>
      <c r="P370" s="108">
        <f t="shared" si="26"/>
        <v>0.29837251356238692</v>
      </c>
      <c r="Q370" s="108">
        <f t="shared" si="27"/>
        <v>0.24094707520891379</v>
      </c>
      <c r="S370" s="109">
        <f t="shared" si="28"/>
        <v>2.1045296167247391</v>
      </c>
      <c r="T370" s="109">
        <f t="shared" si="29"/>
        <v>0.61121157323688968</v>
      </c>
    </row>
    <row r="371" spans="1:20">
      <c r="A371" s="154">
        <v>915</v>
      </c>
      <c r="B371" s="156">
        <v>300481</v>
      </c>
      <c r="C371" s="133" t="s">
        <v>2675</v>
      </c>
      <c r="D371" s="155" t="s">
        <v>2324</v>
      </c>
      <c r="E371" s="154">
        <v>4</v>
      </c>
      <c r="F371" s="154">
        <v>4</v>
      </c>
      <c r="G371" s="154">
        <v>0</v>
      </c>
      <c r="H371" s="154">
        <v>0</v>
      </c>
      <c r="I371" s="154">
        <v>0</v>
      </c>
      <c r="J371" s="154">
        <v>0</v>
      </c>
      <c r="K371" s="154">
        <v>0.41099999999999998</v>
      </c>
      <c r="L371" s="154">
        <v>0.59499999999999997</v>
      </c>
      <c r="M371" s="154">
        <v>0.76</v>
      </c>
      <c r="N371" s="154">
        <v>0.95799999999999996</v>
      </c>
      <c r="O371" s="108">
        <f t="shared" si="25"/>
        <v>0.44768856447688576</v>
      </c>
      <c r="P371" s="108">
        <f t="shared" si="26"/>
        <v>0.27731092436974802</v>
      </c>
      <c r="Q371" s="108">
        <f t="shared" si="27"/>
        <v>0.26052631578947372</v>
      </c>
      <c r="S371" s="109">
        <f t="shared" si="28"/>
        <v>1.3309002433090025</v>
      </c>
      <c r="T371" s="109">
        <f t="shared" si="29"/>
        <v>0.61008403361344543</v>
      </c>
    </row>
    <row r="372" spans="1:20">
      <c r="A372" s="154">
        <v>336</v>
      </c>
      <c r="B372" s="156">
        <v>733</v>
      </c>
      <c r="C372" s="133" t="s">
        <v>2676</v>
      </c>
      <c r="D372" s="155" t="s">
        <v>2324</v>
      </c>
      <c r="E372" s="154">
        <v>15</v>
      </c>
      <c r="F372" s="154">
        <v>11</v>
      </c>
      <c r="G372" s="154">
        <v>4</v>
      </c>
      <c r="H372" s="154">
        <v>0</v>
      </c>
      <c r="I372" s="154">
        <v>0</v>
      </c>
      <c r="J372" s="154">
        <v>0</v>
      </c>
      <c r="K372" s="154">
        <v>0.503</v>
      </c>
      <c r="L372" s="154">
        <v>0.58199999999999996</v>
      </c>
      <c r="M372" s="154">
        <v>0.76300000000000001</v>
      </c>
      <c r="N372" s="154">
        <v>0.93700000000000006</v>
      </c>
      <c r="O372" s="108">
        <f t="shared" si="25"/>
        <v>0.15705765407554662</v>
      </c>
      <c r="P372" s="108">
        <f t="shared" si="26"/>
        <v>0.31099656357388317</v>
      </c>
      <c r="Q372" s="108">
        <f t="shared" si="27"/>
        <v>0.2280471821756227</v>
      </c>
      <c r="S372" s="109">
        <f t="shared" si="28"/>
        <v>0.86282306163021882</v>
      </c>
      <c r="T372" s="109">
        <f t="shared" si="29"/>
        <v>0.60996563573883189</v>
      </c>
    </row>
    <row r="373" spans="1:20">
      <c r="A373" s="154">
        <v>794</v>
      </c>
      <c r="B373" s="156">
        <v>2968</v>
      </c>
      <c r="C373" s="133" t="s">
        <v>2677</v>
      </c>
      <c r="D373" s="155" t="s">
        <v>2324</v>
      </c>
      <c r="E373" s="154">
        <v>5</v>
      </c>
      <c r="F373" s="154">
        <v>5</v>
      </c>
      <c r="G373" s="154">
        <v>0</v>
      </c>
      <c r="H373" s="154">
        <v>0</v>
      </c>
      <c r="I373" s="154">
        <v>0</v>
      </c>
      <c r="J373" s="154">
        <v>0</v>
      </c>
      <c r="K373" s="154">
        <v>1.2290000000000001</v>
      </c>
      <c r="L373" s="154">
        <v>1.504</v>
      </c>
      <c r="M373" s="154">
        <v>1.9</v>
      </c>
      <c r="N373" s="154">
        <v>2.4209999999999998</v>
      </c>
      <c r="O373" s="108">
        <f t="shared" si="25"/>
        <v>0.2237591537835637</v>
      </c>
      <c r="P373" s="108">
        <f t="shared" si="26"/>
        <v>0.26329787234042556</v>
      </c>
      <c r="Q373" s="108">
        <f t="shared" si="27"/>
        <v>0.27421052631578946</v>
      </c>
      <c r="S373" s="109">
        <f t="shared" si="28"/>
        <v>0.96989422294548389</v>
      </c>
      <c r="T373" s="109">
        <f t="shared" si="29"/>
        <v>0.60970744680851041</v>
      </c>
    </row>
    <row r="374" spans="1:20">
      <c r="A374" s="154">
        <v>802</v>
      </c>
      <c r="B374" s="156">
        <v>2968</v>
      </c>
      <c r="C374" s="133" t="s">
        <v>2677</v>
      </c>
      <c r="D374" s="155" t="s">
        <v>2324</v>
      </c>
      <c r="E374" s="154">
        <v>5</v>
      </c>
      <c r="F374" s="154">
        <v>5</v>
      </c>
      <c r="G374" s="154">
        <v>0</v>
      </c>
      <c r="H374" s="154">
        <v>0</v>
      </c>
      <c r="I374" s="154">
        <v>0</v>
      </c>
      <c r="J374" s="154">
        <v>0</v>
      </c>
      <c r="K374" s="154">
        <v>1.2290000000000001</v>
      </c>
      <c r="L374" s="154">
        <v>1.504</v>
      </c>
      <c r="M374" s="154">
        <v>1.9</v>
      </c>
      <c r="N374" s="154">
        <v>2.4209999999999998</v>
      </c>
      <c r="O374" s="108">
        <f t="shared" si="25"/>
        <v>0.2237591537835637</v>
      </c>
      <c r="P374" s="108">
        <f t="shared" si="26"/>
        <v>0.26329787234042556</v>
      </c>
      <c r="Q374" s="108">
        <f t="shared" si="27"/>
        <v>0.27421052631578946</v>
      </c>
      <c r="S374" s="109">
        <f t="shared" si="28"/>
        <v>0.96989422294548389</v>
      </c>
      <c r="T374" s="109">
        <f t="shared" si="29"/>
        <v>0.60970744680851041</v>
      </c>
    </row>
    <row r="375" spans="1:20">
      <c r="A375" s="154">
        <v>791</v>
      </c>
      <c r="B375" s="156">
        <v>603267</v>
      </c>
      <c r="C375" s="133" t="s">
        <v>2678</v>
      </c>
      <c r="D375" s="155" t="s">
        <v>2324</v>
      </c>
      <c r="E375" s="154">
        <v>5</v>
      </c>
      <c r="F375" s="154">
        <v>5</v>
      </c>
      <c r="G375" s="154">
        <v>0</v>
      </c>
      <c r="H375" s="154">
        <v>0</v>
      </c>
      <c r="I375" s="154">
        <v>0</v>
      </c>
      <c r="J375" s="154">
        <v>0</v>
      </c>
      <c r="K375" s="154">
        <v>1.321</v>
      </c>
      <c r="L375" s="154">
        <v>1.72</v>
      </c>
      <c r="M375" s="154">
        <v>2.2040000000000002</v>
      </c>
      <c r="N375" s="154">
        <v>2.766</v>
      </c>
      <c r="O375" s="108">
        <f t="shared" si="25"/>
        <v>0.30204390613171839</v>
      </c>
      <c r="P375" s="108">
        <f t="shared" si="26"/>
        <v>0.2813953488372094</v>
      </c>
      <c r="Q375" s="108">
        <f t="shared" si="27"/>
        <v>0.2549909255898366</v>
      </c>
      <c r="S375" s="109">
        <f t="shared" si="28"/>
        <v>1.0938682816048448</v>
      </c>
      <c r="T375" s="109">
        <f t="shared" si="29"/>
        <v>0.60813953488372086</v>
      </c>
    </row>
    <row r="376" spans="1:20">
      <c r="A376" s="154">
        <v>492</v>
      </c>
      <c r="B376" s="156">
        <v>300232</v>
      </c>
      <c r="C376" s="133" t="s">
        <v>2679</v>
      </c>
      <c r="D376" s="155" t="s">
        <v>2324</v>
      </c>
      <c r="E376" s="154">
        <v>10</v>
      </c>
      <c r="F376" s="154">
        <v>9</v>
      </c>
      <c r="G376" s="154">
        <v>1</v>
      </c>
      <c r="H376" s="154">
        <v>0</v>
      </c>
      <c r="I376" s="154">
        <v>0</v>
      </c>
      <c r="J376" s="154">
        <v>0</v>
      </c>
      <c r="K376" s="154">
        <v>0.44600000000000001</v>
      </c>
      <c r="L376" s="154">
        <v>0.6</v>
      </c>
      <c r="M376" s="154">
        <v>0.78300000000000003</v>
      </c>
      <c r="N376" s="154">
        <v>0.96299999999999997</v>
      </c>
      <c r="O376" s="108">
        <f t="shared" si="25"/>
        <v>0.34529147982062769</v>
      </c>
      <c r="P376" s="108">
        <f t="shared" si="26"/>
        <v>0.30500000000000016</v>
      </c>
      <c r="Q376" s="108">
        <f t="shared" si="27"/>
        <v>0.22988505747126431</v>
      </c>
      <c r="S376" s="109">
        <f t="shared" si="28"/>
        <v>1.1591928251121075</v>
      </c>
      <c r="T376" s="109">
        <f t="shared" si="29"/>
        <v>0.60499999999999998</v>
      </c>
    </row>
    <row r="377" spans="1:20">
      <c r="A377" s="154">
        <v>18</v>
      </c>
      <c r="B377" s="156">
        <v>600438</v>
      </c>
      <c r="C377" s="133" t="s">
        <v>2680</v>
      </c>
      <c r="D377" s="155" t="s">
        <v>2324</v>
      </c>
      <c r="E377" s="154">
        <v>51</v>
      </c>
      <c r="F377" s="154">
        <v>41</v>
      </c>
      <c r="G377" s="154">
        <v>10</v>
      </c>
      <c r="H377" s="154">
        <v>0</v>
      </c>
      <c r="I377" s="154">
        <v>0</v>
      </c>
      <c r="J377" s="154">
        <v>0</v>
      </c>
      <c r="K377" s="154">
        <v>0.52</v>
      </c>
      <c r="L377" s="154">
        <v>0.752</v>
      </c>
      <c r="M377" s="154">
        <v>0.97799999999999998</v>
      </c>
      <c r="N377" s="154">
        <v>1.206</v>
      </c>
      <c r="O377" s="108">
        <f t="shared" si="25"/>
        <v>0.44615384615384612</v>
      </c>
      <c r="P377" s="108">
        <f t="shared" si="26"/>
        <v>0.30053191489361697</v>
      </c>
      <c r="Q377" s="108">
        <f t="shared" si="27"/>
        <v>0.23312883435582821</v>
      </c>
      <c r="S377" s="109">
        <f t="shared" si="28"/>
        <v>1.319230769230769</v>
      </c>
      <c r="T377" s="109">
        <f t="shared" si="29"/>
        <v>0.60372340425531901</v>
      </c>
    </row>
    <row r="378" spans="1:20">
      <c r="A378" s="154">
        <v>110</v>
      </c>
      <c r="B378" s="156">
        <v>603259</v>
      </c>
      <c r="C378" s="133" t="s">
        <v>738</v>
      </c>
      <c r="D378" s="155" t="s">
        <v>2324</v>
      </c>
      <c r="E378" s="154">
        <v>29</v>
      </c>
      <c r="F378" s="154">
        <v>25</v>
      </c>
      <c r="G378" s="154">
        <v>4</v>
      </c>
      <c r="H378" s="154">
        <v>0</v>
      </c>
      <c r="I378" s="154">
        <v>0</v>
      </c>
      <c r="J378" s="154">
        <v>0</v>
      </c>
      <c r="K378" s="154">
        <v>1.369</v>
      </c>
      <c r="L378" s="154">
        <v>1.367</v>
      </c>
      <c r="M378" s="154">
        <v>1.7350000000000001</v>
      </c>
      <c r="N378" s="154">
        <v>2.1909999999999998</v>
      </c>
      <c r="O378" s="108">
        <f t="shared" si="25"/>
        <v>-1.4609203798392478E-3</v>
      </c>
      <c r="P378" s="108">
        <f t="shared" si="26"/>
        <v>0.2692026335040234</v>
      </c>
      <c r="Q378" s="108">
        <f t="shared" si="27"/>
        <v>0.26282420749279511</v>
      </c>
      <c r="S378" s="109">
        <f t="shared" si="28"/>
        <v>0.60043827611395173</v>
      </c>
      <c r="T378" s="109">
        <f t="shared" si="29"/>
        <v>0.60277980980248702</v>
      </c>
    </row>
    <row r="379" spans="1:20">
      <c r="A379" s="154">
        <v>455</v>
      </c>
      <c r="B379" s="156">
        <v>2803</v>
      </c>
      <c r="C379" s="133" t="s">
        <v>2681</v>
      </c>
      <c r="D379" s="155" t="s">
        <v>2324</v>
      </c>
      <c r="E379" s="154">
        <v>11</v>
      </c>
      <c r="F379" s="154">
        <v>10</v>
      </c>
      <c r="G379" s="154">
        <v>1</v>
      </c>
      <c r="H379" s="154">
        <v>0</v>
      </c>
      <c r="I379" s="154">
        <v>0</v>
      </c>
      <c r="J379" s="154">
        <v>0</v>
      </c>
      <c r="K379" s="154">
        <v>0.95799999999999996</v>
      </c>
      <c r="L379" s="154">
        <v>1.4590000000000001</v>
      </c>
      <c r="M379" s="154">
        <v>1.9470000000000001</v>
      </c>
      <c r="N379" s="154">
        <v>2.3380000000000001</v>
      </c>
      <c r="O379" s="108">
        <f t="shared" si="25"/>
        <v>0.52296450939457206</v>
      </c>
      <c r="P379" s="108">
        <f t="shared" si="26"/>
        <v>0.33447566826593556</v>
      </c>
      <c r="Q379" s="108">
        <f t="shared" si="27"/>
        <v>0.20082177709296345</v>
      </c>
      <c r="S379" s="109">
        <f t="shared" si="28"/>
        <v>1.4405010438413361</v>
      </c>
      <c r="T379" s="109">
        <f t="shared" si="29"/>
        <v>0.60246744345442083</v>
      </c>
    </row>
    <row r="380" spans="1:20">
      <c r="A380" s="154">
        <v>600</v>
      </c>
      <c r="B380" s="156">
        <v>300119</v>
      </c>
      <c r="C380" s="133" t="s">
        <v>2682</v>
      </c>
      <c r="D380" s="155" t="s">
        <v>2324</v>
      </c>
      <c r="E380" s="154">
        <v>8</v>
      </c>
      <c r="F380" s="154">
        <v>5</v>
      </c>
      <c r="G380" s="154">
        <v>3</v>
      </c>
      <c r="H380" s="154">
        <v>0</v>
      </c>
      <c r="I380" s="154">
        <v>0</v>
      </c>
      <c r="J380" s="154">
        <v>0</v>
      </c>
      <c r="K380" s="154">
        <v>0.29399999999999998</v>
      </c>
      <c r="L380" s="154">
        <v>0.47499999999999998</v>
      </c>
      <c r="M380" s="154">
        <v>0.61299999999999999</v>
      </c>
      <c r="N380" s="154">
        <v>0.75900000000000001</v>
      </c>
      <c r="O380" s="108">
        <f t="shared" si="25"/>
        <v>0.61564625850340127</v>
      </c>
      <c r="P380" s="108">
        <f t="shared" si="26"/>
        <v>0.29052631578947374</v>
      </c>
      <c r="Q380" s="108">
        <f t="shared" si="27"/>
        <v>0.23817292006525292</v>
      </c>
      <c r="S380" s="109">
        <f t="shared" si="28"/>
        <v>1.5816326530612246</v>
      </c>
      <c r="T380" s="109">
        <f t="shared" si="29"/>
        <v>0.59789473684210526</v>
      </c>
    </row>
    <row r="381" spans="1:20">
      <c r="A381" s="154">
        <v>446</v>
      </c>
      <c r="B381" s="156">
        <v>603039</v>
      </c>
      <c r="C381" s="133" t="s">
        <v>2683</v>
      </c>
      <c r="D381" s="155" t="s">
        <v>2324</v>
      </c>
      <c r="E381" s="154">
        <v>11</v>
      </c>
      <c r="F381" s="154">
        <v>6</v>
      </c>
      <c r="G381" s="154">
        <v>5</v>
      </c>
      <c r="H381" s="154">
        <v>0</v>
      </c>
      <c r="I381" s="154">
        <v>0</v>
      </c>
      <c r="J381" s="154">
        <v>0</v>
      </c>
      <c r="K381" s="154">
        <v>0.755</v>
      </c>
      <c r="L381" s="154">
        <v>0.98599999999999999</v>
      </c>
      <c r="M381" s="154">
        <v>1.2529999999999999</v>
      </c>
      <c r="N381" s="154">
        <v>1.575</v>
      </c>
      <c r="O381" s="108">
        <f t="shared" si="25"/>
        <v>0.3059602649006623</v>
      </c>
      <c r="P381" s="108">
        <f t="shared" si="26"/>
        <v>0.27079107505070987</v>
      </c>
      <c r="Q381" s="108">
        <f t="shared" si="27"/>
        <v>0.25698324022346375</v>
      </c>
      <c r="S381" s="109">
        <f t="shared" si="28"/>
        <v>1.0860927152317879</v>
      </c>
      <c r="T381" s="109">
        <f t="shared" si="29"/>
        <v>0.5973630831643002</v>
      </c>
    </row>
    <row r="382" spans="1:20">
      <c r="A382" s="154">
        <v>95</v>
      </c>
      <c r="B382" s="156">
        <v>300662</v>
      </c>
      <c r="C382" s="133" t="s">
        <v>2684</v>
      </c>
      <c r="D382" s="155" t="s">
        <v>2324</v>
      </c>
      <c r="E382" s="154">
        <v>31</v>
      </c>
      <c r="F382" s="154">
        <v>25</v>
      </c>
      <c r="G382" s="154">
        <v>6</v>
      </c>
      <c r="H382" s="154">
        <v>0</v>
      </c>
      <c r="I382" s="154">
        <v>0</v>
      </c>
      <c r="J382" s="154">
        <v>0</v>
      </c>
      <c r="K382" s="154">
        <v>0.64500000000000002</v>
      </c>
      <c r="L382" s="154">
        <v>0.81799999999999995</v>
      </c>
      <c r="M382" s="154">
        <v>1.038</v>
      </c>
      <c r="N382" s="154">
        <v>1.3049999999999999</v>
      </c>
      <c r="O382" s="108">
        <f t="shared" si="25"/>
        <v>0.26821705426356579</v>
      </c>
      <c r="P382" s="108">
        <f t="shared" si="26"/>
        <v>0.26894865525672373</v>
      </c>
      <c r="Q382" s="108">
        <f t="shared" si="27"/>
        <v>0.25722543352601157</v>
      </c>
      <c r="S382" s="109">
        <f t="shared" si="28"/>
        <v>1.0232558139534884</v>
      </c>
      <c r="T382" s="109">
        <f t="shared" si="29"/>
        <v>0.5953545232273838</v>
      </c>
    </row>
    <row r="383" spans="1:20">
      <c r="A383" s="154">
        <v>701</v>
      </c>
      <c r="B383" s="156">
        <v>600325</v>
      </c>
      <c r="C383" s="133" t="s">
        <v>2685</v>
      </c>
      <c r="D383" s="155" t="s">
        <v>2324</v>
      </c>
      <c r="E383" s="154">
        <v>6</v>
      </c>
      <c r="F383" s="154">
        <v>6</v>
      </c>
      <c r="G383" s="154">
        <v>0</v>
      </c>
      <c r="H383" s="154">
        <v>0</v>
      </c>
      <c r="I383" s="154">
        <v>0</v>
      </c>
      <c r="J383" s="154">
        <v>0</v>
      </c>
      <c r="K383" s="154">
        <v>1.079</v>
      </c>
      <c r="L383" s="154">
        <v>1.401</v>
      </c>
      <c r="M383" s="154">
        <v>1.796</v>
      </c>
      <c r="N383" s="154">
        <v>2.2349999999999999</v>
      </c>
      <c r="O383" s="108">
        <f t="shared" si="25"/>
        <v>0.29842446709916604</v>
      </c>
      <c r="P383" s="108">
        <f t="shared" si="26"/>
        <v>0.2819414703783012</v>
      </c>
      <c r="Q383" s="108">
        <f t="shared" si="27"/>
        <v>0.24443207126948763</v>
      </c>
      <c r="S383" s="109">
        <f t="shared" si="28"/>
        <v>1.0713623725671919</v>
      </c>
      <c r="T383" s="109">
        <f t="shared" si="29"/>
        <v>0.59528907922912189</v>
      </c>
    </row>
    <row r="384" spans="1:20">
      <c r="A384" s="154">
        <v>685</v>
      </c>
      <c r="B384" s="156">
        <v>2332</v>
      </c>
      <c r="C384" s="133" t="s">
        <v>2686</v>
      </c>
      <c r="D384" s="155" t="s">
        <v>2324</v>
      </c>
      <c r="E384" s="154">
        <v>7</v>
      </c>
      <c r="F384" s="154">
        <v>5</v>
      </c>
      <c r="G384" s="154">
        <v>2</v>
      </c>
      <c r="H384" s="154">
        <v>0</v>
      </c>
      <c r="I384" s="154">
        <v>0</v>
      </c>
      <c r="J384" s="154">
        <v>0</v>
      </c>
      <c r="K384" s="154">
        <v>0.32900000000000001</v>
      </c>
      <c r="L384" s="154">
        <v>0.442</v>
      </c>
      <c r="M384" s="154">
        <v>0.55800000000000005</v>
      </c>
      <c r="N384" s="154">
        <v>0.70499999999999996</v>
      </c>
      <c r="O384" s="108">
        <f t="shared" si="25"/>
        <v>0.34346504559270508</v>
      </c>
      <c r="P384" s="108">
        <f t="shared" si="26"/>
        <v>0.26244343891402733</v>
      </c>
      <c r="Q384" s="108">
        <f t="shared" si="27"/>
        <v>0.26344086021505353</v>
      </c>
      <c r="S384" s="109">
        <f t="shared" si="28"/>
        <v>1.1428571428571428</v>
      </c>
      <c r="T384" s="109">
        <f t="shared" si="29"/>
        <v>0.59502262443438902</v>
      </c>
    </row>
    <row r="385" spans="1:20">
      <c r="A385" s="154">
        <v>263</v>
      </c>
      <c r="B385" s="156">
        <v>2798</v>
      </c>
      <c r="C385" s="133" t="s">
        <v>2687</v>
      </c>
      <c r="D385" s="155" t="s">
        <v>2324</v>
      </c>
      <c r="E385" s="154">
        <v>18</v>
      </c>
      <c r="F385" s="154">
        <v>18</v>
      </c>
      <c r="G385" s="154">
        <v>0</v>
      </c>
      <c r="H385" s="154">
        <v>0</v>
      </c>
      <c r="I385" s="154">
        <v>0</v>
      </c>
      <c r="J385" s="154">
        <v>0</v>
      </c>
      <c r="K385" s="154">
        <v>0.98899999999999999</v>
      </c>
      <c r="L385" s="154">
        <v>1.4239999999999999</v>
      </c>
      <c r="M385" s="154">
        <v>1.8140000000000001</v>
      </c>
      <c r="N385" s="154">
        <v>2.2709999999999999</v>
      </c>
      <c r="O385" s="108">
        <f t="shared" si="25"/>
        <v>0.43983822042467136</v>
      </c>
      <c r="P385" s="108">
        <f t="shared" si="26"/>
        <v>0.27387640449438222</v>
      </c>
      <c r="Q385" s="108">
        <f t="shared" si="27"/>
        <v>0.25192943770672538</v>
      </c>
      <c r="S385" s="109">
        <f t="shared" si="28"/>
        <v>1.2962588473205257</v>
      </c>
      <c r="T385" s="109">
        <f t="shared" si="29"/>
        <v>0.59480337078651679</v>
      </c>
    </row>
    <row r="386" spans="1:20">
      <c r="A386" s="154">
        <v>586</v>
      </c>
      <c r="B386" s="156">
        <v>300537</v>
      </c>
      <c r="C386" s="133" t="s">
        <v>2688</v>
      </c>
      <c r="D386" s="155" t="s">
        <v>2324</v>
      </c>
      <c r="E386" s="154">
        <v>8</v>
      </c>
      <c r="F386" s="154">
        <v>5</v>
      </c>
      <c r="G386" s="154">
        <v>3</v>
      </c>
      <c r="H386" s="154">
        <v>0</v>
      </c>
      <c r="I386" s="154">
        <v>0</v>
      </c>
      <c r="J386" s="154">
        <v>0</v>
      </c>
      <c r="K386" s="154">
        <v>0.28499999999999998</v>
      </c>
      <c r="L386" s="154">
        <v>0.53900000000000003</v>
      </c>
      <c r="M386" s="154">
        <v>0.68200000000000005</v>
      </c>
      <c r="N386" s="154">
        <v>0.85899999999999999</v>
      </c>
      <c r="O386" s="108">
        <f t="shared" si="25"/>
        <v>0.89122807017543892</v>
      </c>
      <c r="P386" s="108">
        <f t="shared" si="26"/>
        <v>0.26530612244897966</v>
      </c>
      <c r="Q386" s="108">
        <f t="shared" si="27"/>
        <v>0.2595307917888563</v>
      </c>
      <c r="S386" s="109">
        <f t="shared" si="28"/>
        <v>2.0140350877192983</v>
      </c>
      <c r="T386" s="109">
        <f t="shared" si="29"/>
        <v>0.59369202226345075</v>
      </c>
    </row>
    <row r="387" spans="1:20">
      <c r="A387" s="154">
        <v>247</v>
      </c>
      <c r="B387" s="156">
        <v>2340</v>
      </c>
      <c r="C387" s="133" t="s">
        <v>2689</v>
      </c>
      <c r="D387" s="155" t="s">
        <v>2324</v>
      </c>
      <c r="E387" s="154">
        <v>19</v>
      </c>
      <c r="F387" s="154">
        <v>14</v>
      </c>
      <c r="G387" s="154">
        <v>5</v>
      </c>
      <c r="H387" s="154">
        <v>0</v>
      </c>
      <c r="I387" s="154">
        <v>0</v>
      </c>
      <c r="J387" s="154">
        <v>0</v>
      </c>
      <c r="K387" s="154">
        <v>0.17599999999999999</v>
      </c>
      <c r="L387" s="154">
        <v>0.216</v>
      </c>
      <c r="M387" s="154">
        <v>0.27700000000000002</v>
      </c>
      <c r="N387" s="154">
        <v>0.34399999999999997</v>
      </c>
      <c r="O387" s="108">
        <f t="shared" ref="O387:O450" si="30">L387/K387-1</f>
        <v>0.22727272727272729</v>
      </c>
      <c r="P387" s="108">
        <f t="shared" ref="P387:P450" si="31">M387/L387-1</f>
        <v>0.28240740740740744</v>
      </c>
      <c r="Q387" s="108">
        <f t="shared" ref="Q387:Q450" si="32">N387/M387-1</f>
        <v>0.24187725631768942</v>
      </c>
      <c r="S387" s="109">
        <f t="shared" ref="S387:S450" si="33">N387/K387-1</f>
        <v>0.95454545454545459</v>
      </c>
      <c r="T387" s="109">
        <f t="shared" ref="T387:T450" si="34">N387/L387-1</f>
        <v>0.59259259259259256</v>
      </c>
    </row>
    <row r="388" spans="1:20">
      <c r="A388" s="154">
        <v>845</v>
      </c>
      <c r="B388" s="156">
        <v>2599</v>
      </c>
      <c r="C388" s="133" t="s">
        <v>2690</v>
      </c>
      <c r="D388" s="155" t="s">
        <v>2324</v>
      </c>
      <c r="E388" s="154">
        <v>5</v>
      </c>
      <c r="F388" s="154">
        <v>3</v>
      </c>
      <c r="G388" s="154">
        <v>2</v>
      </c>
      <c r="H388" s="154">
        <v>0</v>
      </c>
      <c r="I388" s="154">
        <v>0</v>
      </c>
      <c r="J388" s="154">
        <v>0</v>
      </c>
      <c r="K388" s="154">
        <v>0.22600000000000001</v>
      </c>
      <c r="L388" s="154">
        <v>0.27</v>
      </c>
      <c r="M388" s="154">
        <v>0.35</v>
      </c>
      <c r="N388" s="154">
        <v>0.43</v>
      </c>
      <c r="O388" s="108">
        <f t="shared" si="30"/>
        <v>0.19469026548672574</v>
      </c>
      <c r="P388" s="108">
        <f t="shared" si="31"/>
        <v>0.29629629629629606</v>
      </c>
      <c r="Q388" s="108">
        <f t="shared" si="32"/>
        <v>0.22857142857142865</v>
      </c>
      <c r="S388" s="109">
        <f t="shared" si="33"/>
        <v>0.90265486725663702</v>
      </c>
      <c r="T388" s="109">
        <f t="shared" si="34"/>
        <v>0.59259259259259256</v>
      </c>
    </row>
    <row r="389" spans="1:20">
      <c r="A389" s="154">
        <v>780</v>
      </c>
      <c r="B389" s="156">
        <v>600060</v>
      </c>
      <c r="C389" s="133" t="s">
        <v>2691</v>
      </c>
      <c r="D389" s="155" t="s">
        <v>2324</v>
      </c>
      <c r="E389" s="154">
        <v>5</v>
      </c>
      <c r="F389" s="154">
        <v>1</v>
      </c>
      <c r="G389" s="154">
        <v>4</v>
      </c>
      <c r="H389" s="154">
        <v>0</v>
      </c>
      <c r="I389" s="154">
        <v>0</v>
      </c>
      <c r="J389" s="154">
        <v>0</v>
      </c>
      <c r="K389" s="154">
        <v>0.3</v>
      </c>
      <c r="L389" s="154">
        <v>0.27700000000000002</v>
      </c>
      <c r="M389" s="154">
        <v>0.35699999999999998</v>
      </c>
      <c r="N389" s="154">
        <v>0.441</v>
      </c>
      <c r="O389" s="108">
        <f t="shared" si="30"/>
        <v>-7.666666666666655E-2</v>
      </c>
      <c r="P389" s="108">
        <f t="shared" si="31"/>
        <v>0.28880866425992768</v>
      </c>
      <c r="Q389" s="108">
        <f t="shared" si="32"/>
        <v>0.23529411764705888</v>
      </c>
      <c r="S389" s="109">
        <f t="shared" si="33"/>
        <v>0.47</v>
      </c>
      <c r="T389" s="109">
        <f t="shared" si="34"/>
        <v>0.59205776173285196</v>
      </c>
    </row>
    <row r="390" spans="1:20">
      <c r="A390" s="154">
        <v>476</v>
      </c>
      <c r="B390" s="156">
        <v>603208</v>
      </c>
      <c r="C390" s="133" t="s">
        <v>2692</v>
      </c>
      <c r="D390" s="155" t="s">
        <v>2324</v>
      </c>
      <c r="E390" s="154">
        <v>10</v>
      </c>
      <c r="F390" s="154">
        <v>9</v>
      </c>
      <c r="G390" s="154">
        <v>1</v>
      </c>
      <c r="H390" s="154">
        <v>0</v>
      </c>
      <c r="I390" s="154">
        <v>0</v>
      </c>
      <c r="J390" s="154">
        <v>0</v>
      </c>
      <c r="K390" s="154">
        <v>1.889</v>
      </c>
      <c r="L390" s="154">
        <v>2.661</v>
      </c>
      <c r="M390" s="154">
        <v>3.3650000000000002</v>
      </c>
      <c r="N390" s="154">
        <v>4.2350000000000003</v>
      </c>
      <c r="O390" s="108">
        <f t="shared" si="30"/>
        <v>0.40868184224457393</v>
      </c>
      <c r="P390" s="108">
        <f t="shared" si="31"/>
        <v>0.26456219466366027</v>
      </c>
      <c r="Q390" s="108">
        <f t="shared" si="32"/>
        <v>0.25854383358098065</v>
      </c>
      <c r="S390" s="109">
        <f t="shared" si="33"/>
        <v>1.241926945473796</v>
      </c>
      <c r="T390" s="109">
        <f t="shared" si="34"/>
        <v>0.59150695227358141</v>
      </c>
    </row>
    <row r="391" spans="1:20">
      <c r="A391" s="154">
        <v>958</v>
      </c>
      <c r="B391" s="156">
        <v>2443</v>
      </c>
      <c r="C391" s="133" t="s">
        <v>2693</v>
      </c>
      <c r="D391" s="155" t="s">
        <v>2324</v>
      </c>
      <c r="E391" s="154">
        <v>3</v>
      </c>
      <c r="F391" s="154">
        <v>2</v>
      </c>
      <c r="G391" s="154">
        <v>1</v>
      </c>
      <c r="H391" s="154">
        <v>0</v>
      </c>
      <c r="I391" s="154">
        <v>0</v>
      </c>
      <c r="J391" s="154">
        <v>0</v>
      </c>
      <c r="K391" s="154">
        <v>0.36699999999999999</v>
      </c>
      <c r="L391" s="154">
        <v>0.47</v>
      </c>
      <c r="M391" s="154">
        <v>0.60899999999999999</v>
      </c>
      <c r="N391" s="154">
        <v>0.748</v>
      </c>
      <c r="O391" s="108">
        <f t="shared" si="30"/>
        <v>0.28065395095367851</v>
      </c>
      <c r="P391" s="108">
        <f t="shared" si="31"/>
        <v>0.29574468085106398</v>
      </c>
      <c r="Q391" s="108">
        <f t="shared" si="32"/>
        <v>0.22824302134646968</v>
      </c>
      <c r="S391" s="109">
        <f t="shared" si="33"/>
        <v>1.0381471389645776</v>
      </c>
      <c r="T391" s="109">
        <f t="shared" si="34"/>
        <v>0.59148936170212774</v>
      </c>
    </row>
    <row r="392" spans="1:20">
      <c r="A392" s="154">
        <v>964</v>
      </c>
      <c r="B392" s="156">
        <v>2115</v>
      </c>
      <c r="C392" s="133" t="s">
        <v>2694</v>
      </c>
      <c r="D392" s="155" t="s">
        <v>2324</v>
      </c>
      <c r="E392" s="154">
        <v>3</v>
      </c>
      <c r="F392" s="154">
        <v>1</v>
      </c>
      <c r="G392" s="154">
        <v>2</v>
      </c>
      <c r="H392" s="154">
        <v>0</v>
      </c>
      <c r="I392" s="154">
        <v>0</v>
      </c>
      <c r="J392" s="154">
        <v>0</v>
      </c>
      <c r="K392" s="154">
        <v>0.29799999999999999</v>
      </c>
      <c r="L392" s="154">
        <v>0.35599999999999998</v>
      </c>
      <c r="M392" s="154">
        <v>0.44700000000000001</v>
      </c>
      <c r="N392" s="154">
        <v>0.56499999999999995</v>
      </c>
      <c r="O392" s="108">
        <f t="shared" si="30"/>
        <v>0.19463087248322153</v>
      </c>
      <c r="P392" s="108">
        <f t="shared" si="31"/>
        <v>0.25561797752809001</v>
      </c>
      <c r="Q392" s="108">
        <f t="shared" si="32"/>
        <v>0.26398210290827717</v>
      </c>
      <c r="S392" s="109">
        <f t="shared" si="33"/>
        <v>0.89597315436241609</v>
      </c>
      <c r="T392" s="109">
        <f t="shared" si="34"/>
        <v>0.58707865168539319</v>
      </c>
    </row>
    <row r="393" spans="1:20">
      <c r="A393" s="154">
        <v>502</v>
      </c>
      <c r="B393" s="156">
        <v>938</v>
      </c>
      <c r="C393" s="133" t="s">
        <v>2695</v>
      </c>
      <c r="D393" s="155" t="s">
        <v>2324</v>
      </c>
      <c r="E393" s="154">
        <v>10</v>
      </c>
      <c r="F393" s="154">
        <v>5</v>
      </c>
      <c r="G393" s="154">
        <v>5</v>
      </c>
      <c r="H393" s="154">
        <v>0</v>
      </c>
      <c r="I393" s="154">
        <v>0</v>
      </c>
      <c r="J393" s="154">
        <v>0</v>
      </c>
      <c r="K393" s="154">
        <v>0.83399999999999996</v>
      </c>
      <c r="L393" s="154">
        <v>0.94699999999999995</v>
      </c>
      <c r="M393" s="154">
        <v>1.173</v>
      </c>
      <c r="N393" s="154">
        <v>1.5009999999999999</v>
      </c>
      <c r="O393" s="108">
        <f t="shared" si="30"/>
        <v>0.13549160671462834</v>
      </c>
      <c r="P393" s="108">
        <f t="shared" si="31"/>
        <v>0.23864836325237593</v>
      </c>
      <c r="Q393" s="108">
        <f t="shared" si="32"/>
        <v>0.2796248934356349</v>
      </c>
      <c r="S393" s="109">
        <f t="shared" si="33"/>
        <v>0.79976019184652269</v>
      </c>
      <c r="T393" s="109">
        <f t="shared" si="34"/>
        <v>0.58500527983104544</v>
      </c>
    </row>
    <row r="394" spans="1:20">
      <c r="A394" s="154">
        <v>583</v>
      </c>
      <c r="B394" s="156">
        <v>603825</v>
      </c>
      <c r="C394" s="133" t="s">
        <v>2696</v>
      </c>
      <c r="D394" s="155" t="s">
        <v>2324</v>
      </c>
      <c r="E394" s="154">
        <v>8</v>
      </c>
      <c r="F394" s="154">
        <v>8</v>
      </c>
      <c r="G394" s="154">
        <v>0</v>
      </c>
      <c r="H394" s="154">
        <v>0</v>
      </c>
      <c r="I394" s="154">
        <v>0</v>
      </c>
      <c r="J394" s="154">
        <v>0</v>
      </c>
      <c r="K394" s="154">
        <v>0.55600000000000005</v>
      </c>
      <c r="L394" s="154">
        <v>0.74299999999999999</v>
      </c>
      <c r="M394" s="154">
        <v>0.95499999999999996</v>
      </c>
      <c r="N394" s="154">
        <v>1.177</v>
      </c>
      <c r="O394" s="108">
        <f t="shared" si="30"/>
        <v>0.33633093525179847</v>
      </c>
      <c r="P394" s="108">
        <f t="shared" si="31"/>
        <v>0.28532974427994606</v>
      </c>
      <c r="Q394" s="108">
        <f t="shared" si="32"/>
        <v>0.23246073298429337</v>
      </c>
      <c r="S394" s="109">
        <f t="shared" si="33"/>
        <v>1.1169064748201438</v>
      </c>
      <c r="T394" s="109">
        <f t="shared" si="34"/>
        <v>0.5841184387617766</v>
      </c>
    </row>
    <row r="395" spans="1:20">
      <c r="A395" s="154">
        <v>306</v>
      </c>
      <c r="B395" s="156">
        <v>300088</v>
      </c>
      <c r="C395" s="133" t="s">
        <v>2697</v>
      </c>
      <c r="D395" s="155" t="s">
        <v>2324</v>
      </c>
      <c r="E395" s="154">
        <v>16</v>
      </c>
      <c r="F395" s="154">
        <v>16</v>
      </c>
      <c r="G395" s="154">
        <v>0</v>
      </c>
      <c r="H395" s="154">
        <v>0</v>
      </c>
      <c r="I395" s="154">
        <v>0</v>
      </c>
      <c r="J395" s="154">
        <v>0</v>
      </c>
      <c r="K395" s="154">
        <v>0.29299999999999998</v>
      </c>
      <c r="L395" s="154">
        <v>0.39900000000000002</v>
      </c>
      <c r="M395" s="154">
        <v>0.51400000000000001</v>
      </c>
      <c r="N395" s="154">
        <v>0.63200000000000001</v>
      </c>
      <c r="O395" s="108">
        <f t="shared" si="30"/>
        <v>0.36177474402730381</v>
      </c>
      <c r="P395" s="108">
        <f t="shared" si="31"/>
        <v>0.28822055137844615</v>
      </c>
      <c r="Q395" s="108">
        <f t="shared" si="32"/>
        <v>0.22957198443579774</v>
      </c>
      <c r="S395" s="109">
        <f t="shared" si="33"/>
        <v>1.1569965870307168</v>
      </c>
      <c r="T395" s="109">
        <f t="shared" si="34"/>
        <v>0.58395989974937335</v>
      </c>
    </row>
    <row r="396" spans="1:20">
      <c r="A396" s="154">
        <v>991</v>
      </c>
      <c r="B396" s="156">
        <v>600636</v>
      </c>
      <c r="C396" s="133" t="s">
        <v>2698</v>
      </c>
      <c r="D396" s="155" t="s">
        <v>2324</v>
      </c>
      <c r="E396" s="154">
        <v>3</v>
      </c>
      <c r="F396" s="154">
        <v>1</v>
      </c>
      <c r="G396" s="154">
        <v>2</v>
      </c>
      <c r="H396" s="154">
        <v>0</v>
      </c>
      <c r="I396" s="154">
        <v>0</v>
      </c>
      <c r="J396" s="154">
        <v>0</v>
      </c>
      <c r="K396" s="154">
        <v>1.2150000000000001</v>
      </c>
      <c r="L396" s="154">
        <v>0.45600000000000002</v>
      </c>
      <c r="M396" s="154">
        <v>0.59</v>
      </c>
      <c r="N396" s="154">
        <v>0.72199999999999998</v>
      </c>
      <c r="O396" s="108">
        <f t="shared" si="30"/>
        <v>-0.62469135802469133</v>
      </c>
      <c r="P396" s="108">
        <f t="shared" si="31"/>
        <v>0.29385964912280693</v>
      </c>
      <c r="Q396" s="108">
        <f t="shared" si="32"/>
        <v>0.22372881355932206</v>
      </c>
      <c r="S396" s="109">
        <f t="shared" si="33"/>
        <v>-0.405761316872428</v>
      </c>
      <c r="T396" s="109">
        <f t="shared" si="34"/>
        <v>0.58333333333333326</v>
      </c>
    </row>
    <row r="397" spans="1:20">
      <c r="A397" s="154">
        <v>797</v>
      </c>
      <c r="B397" s="156">
        <v>603990</v>
      </c>
      <c r="C397" s="133" t="s">
        <v>2699</v>
      </c>
      <c r="D397" s="155" t="s">
        <v>2324</v>
      </c>
      <c r="E397" s="154">
        <v>5</v>
      </c>
      <c r="F397" s="154">
        <v>2</v>
      </c>
      <c r="G397" s="154">
        <v>3</v>
      </c>
      <c r="H397" s="154">
        <v>0</v>
      </c>
      <c r="I397" s="154">
        <v>0</v>
      </c>
      <c r="J397" s="154">
        <v>0</v>
      </c>
      <c r="K397" s="154">
        <v>0.49299999999999999</v>
      </c>
      <c r="L397" s="154">
        <v>0.59599999999999997</v>
      </c>
      <c r="M397" s="154">
        <v>0.751</v>
      </c>
      <c r="N397" s="154">
        <v>0.94299999999999995</v>
      </c>
      <c r="O397" s="108">
        <f t="shared" si="30"/>
        <v>0.20892494929006089</v>
      </c>
      <c r="P397" s="108">
        <f t="shared" si="31"/>
        <v>0.26006711409395988</v>
      </c>
      <c r="Q397" s="108">
        <f t="shared" si="32"/>
        <v>0.25565912117177092</v>
      </c>
      <c r="S397" s="109">
        <f t="shared" si="33"/>
        <v>0.91277890466531431</v>
      </c>
      <c r="T397" s="109">
        <f t="shared" si="34"/>
        <v>0.58221476510067105</v>
      </c>
    </row>
    <row r="398" spans="1:20">
      <c r="A398" s="154">
        <v>805</v>
      </c>
      <c r="B398" s="156">
        <v>603990</v>
      </c>
      <c r="C398" s="133" t="s">
        <v>2699</v>
      </c>
      <c r="D398" s="155" t="s">
        <v>2324</v>
      </c>
      <c r="E398" s="154">
        <v>5</v>
      </c>
      <c r="F398" s="154">
        <v>2</v>
      </c>
      <c r="G398" s="154">
        <v>3</v>
      </c>
      <c r="H398" s="154">
        <v>0</v>
      </c>
      <c r="I398" s="154">
        <v>0</v>
      </c>
      <c r="J398" s="154">
        <v>0</v>
      </c>
      <c r="K398" s="154">
        <v>0.49299999999999999</v>
      </c>
      <c r="L398" s="154">
        <v>0.59599999999999997</v>
      </c>
      <c r="M398" s="154">
        <v>0.751</v>
      </c>
      <c r="N398" s="154">
        <v>0.94299999999999995</v>
      </c>
      <c r="O398" s="108">
        <f t="shared" si="30"/>
        <v>0.20892494929006089</v>
      </c>
      <c r="P398" s="108">
        <f t="shared" si="31"/>
        <v>0.26006711409395988</v>
      </c>
      <c r="Q398" s="108">
        <f t="shared" si="32"/>
        <v>0.25565912117177092</v>
      </c>
      <c r="S398" s="109">
        <f t="shared" si="33"/>
        <v>0.91277890466531431</v>
      </c>
      <c r="T398" s="109">
        <f t="shared" si="34"/>
        <v>0.58221476510067105</v>
      </c>
    </row>
    <row r="399" spans="1:20">
      <c r="A399" s="154">
        <v>882</v>
      </c>
      <c r="B399" s="156">
        <v>600055</v>
      </c>
      <c r="C399" s="133" t="s">
        <v>2700</v>
      </c>
      <c r="D399" s="155" t="s">
        <v>2324</v>
      </c>
      <c r="E399" s="154">
        <v>4</v>
      </c>
      <c r="F399" s="154">
        <v>3</v>
      </c>
      <c r="G399" s="154">
        <v>1</v>
      </c>
      <c r="H399" s="154">
        <v>0</v>
      </c>
      <c r="I399" s="154">
        <v>0</v>
      </c>
      <c r="J399" s="154">
        <v>0</v>
      </c>
      <c r="K399" s="154">
        <v>0.28299999999999997</v>
      </c>
      <c r="L399" s="154">
        <v>0.35899999999999999</v>
      </c>
      <c r="M399" s="154">
        <v>0.45600000000000002</v>
      </c>
      <c r="N399" s="154">
        <v>0.56799999999999995</v>
      </c>
      <c r="O399" s="108">
        <f t="shared" si="30"/>
        <v>0.26855123674911674</v>
      </c>
      <c r="P399" s="108">
        <f t="shared" si="31"/>
        <v>0.27019498607242354</v>
      </c>
      <c r="Q399" s="108">
        <f t="shared" si="32"/>
        <v>0.24561403508771917</v>
      </c>
      <c r="S399" s="109">
        <f t="shared" si="33"/>
        <v>1.0070671378091873</v>
      </c>
      <c r="T399" s="109">
        <f t="shared" si="34"/>
        <v>0.58217270194986059</v>
      </c>
    </row>
    <row r="400" spans="1:20">
      <c r="A400" s="154">
        <v>6</v>
      </c>
      <c r="B400" s="156">
        <v>601012</v>
      </c>
      <c r="C400" s="133" t="s">
        <v>2701</v>
      </c>
      <c r="D400" s="155" t="s">
        <v>2324</v>
      </c>
      <c r="E400" s="154">
        <v>64</v>
      </c>
      <c r="F400" s="154">
        <v>49</v>
      </c>
      <c r="G400" s="154">
        <v>15</v>
      </c>
      <c r="H400" s="154">
        <v>0</v>
      </c>
      <c r="I400" s="154">
        <v>0</v>
      </c>
      <c r="J400" s="154">
        <v>0</v>
      </c>
      <c r="K400" s="154">
        <v>0.67800000000000005</v>
      </c>
      <c r="L400" s="154">
        <v>1.298</v>
      </c>
      <c r="M400" s="154">
        <v>1.6850000000000001</v>
      </c>
      <c r="N400" s="154">
        <v>2.0529999999999999</v>
      </c>
      <c r="O400" s="108">
        <f t="shared" si="30"/>
        <v>0.91445427728613571</v>
      </c>
      <c r="P400" s="108">
        <f t="shared" si="31"/>
        <v>0.29815100154083196</v>
      </c>
      <c r="Q400" s="108">
        <f t="shared" si="32"/>
        <v>0.21839762611275959</v>
      </c>
      <c r="S400" s="109">
        <f t="shared" si="33"/>
        <v>2.0280235988200586</v>
      </c>
      <c r="T400" s="109">
        <f t="shared" si="34"/>
        <v>0.58166409861325108</v>
      </c>
    </row>
    <row r="401" spans="1:20">
      <c r="A401" s="154">
        <v>717</v>
      </c>
      <c r="B401" s="156">
        <v>603700</v>
      </c>
      <c r="C401" s="133" t="s">
        <v>2702</v>
      </c>
      <c r="D401" s="155" t="s">
        <v>2324</v>
      </c>
      <c r="E401" s="154">
        <v>6</v>
      </c>
      <c r="F401" s="154">
        <v>4</v>
      </c>
      <c r="G401" s="154">
        <v>2</v>
      </c>
      <c r="H401" s="154">
        <v>0</v>
      </c>
      <c r="I401" s="154">
        <v>0</v>
      </c>
      <c r="J401" s="154">
        <v>0</v>
      </c>
      <c r="K401" s="154">
        <v>0.878</v>
      </c>
      <c r="L401" s="154">
        <v>1.0940000000000001</v>
      </c>
      <c r="M401" s="154">
        <v>1.4259999999999999</v>
      </c>
      <c r="N401" s="154">
        <v>1.7270000000000001</v>
      </c>
      <c r="O401" s="108">
        <f t="shared" si="30"/>
        <v>0.24601366742596831</v>
      </c>
      <c r="P401" s="108">
        <f t="shared" si="31"/>
        <v>0.30347349177330885</v>
      </c>
      <c r="Q401" s="108">
        <f t="shared" si="32"/>
        <v>0.2110799438990183</v>
      </c>
      <c r="S401" s="109">
        <f t="shared" si="33"/>
        <v>0.96697038724373585</v>
      </c>
      <c r="T401" s="109">
        <f t="shared" si="34"/>
        <v>0.57861060329067637</v>
      </c>
    </row>
    <row r="402" spans="1:20">
      <c r="A402" s="154">
        <v>950</v>
      </c>
      <c r="B402" s="156">
        <v>2367</v>
      </c>
      <c r="C402" s="133" t="s">
        <v>2703</v>
      </c>
      <c r="D402" s="155" t="s">
        <v>2324</v>
      </c>
      <c r="E402" s="154">
        <v>4</v>
      </c>
      <c r="F402" s="154">
        <v>0</v>
      </c>
      <c r="G402" s="154">
        <v>4</v>
      </c>
      <c r="H402" s="154">
        <v>0</v>
      </c>
      <c r="I402" s="154">
        <v>0</v>
      </c>
      <c r="J402" s="154">
        <v>0</v>
      </c>
      <c r="K402" s="154">
        <v>1.9E-2</v>
      </c>
      <c r="L402" s="154">
        <v>0.317</v>
      </c>
      <c r="M402" s="154">
        <v>0.42299999999999999</v>
      </c>
      <c r="N402" s="154">
        <v>0.5</v>
      </c>
      <c r="O402" s="108">
        <f t="shared" si="30"/>
        <v>15.684210526315791</v>
      </c>
      <c r="P402" s="108">
        <f t="shared" si="31"/>
        <v>0.33438485804416396</v>
      </c>
      <c r="Q402" s="108">
        <f t="shared" si="32"/>
        <v>0.18203309692671388</v>
      </c>
      <c r="S402" s="109">
        <f t="shared" si="33"/>
        <v>25.315789473684212</v>
      </c>
      <c r="T402" s="109">
        <f t="shared" si="34"/>
        <v>0.57728706624605675</v>
      </c>
    </row>
    <row r="403" spans="1:20">
      <c r="A403" s="154">
        <v>955</v>
      </c>
      <c r="B403" s="156">
        <v>2367</v>
      </c>
      <c r="C403" s="133" t="s">
        <v>2703</v>
      </c>
      <c r="D403" s="155" t="s">
        <v>2324</v>
      </c>
      <c r="E403" s="154">
        <v>4</v>
      </c>
      <c r="F403" s="154">
        <v>0</v>
      </c>
      <c r="G403" s="154">
        <v>4</v>
      </c>
      <c r="H403" s="154">
        <v>0</v>
      </c>
      <c r="I403" s="154">
        <v>0</v>
      </c>
      <c r="J403" s="154">
        <v>0</v>
      </c>
      <c r="K403" s="154">
        <v>1.9E-2</v>
      </c>
      <c r="L403" s="154">
        <v>0.317</v>
      </c>
      <c r="M403" s="154">
        <v>0.42299999999999999</v>
      </c>
      <c r="N403" s="154">
        <v>0.5</v>
      </c>
      <c r="O403" s="108">
        <f t="shared" si="30"/>
        <v>15.684210526315791</v>
      </c>
      <c r="P403" s="108">
        <f t="shared" si="31"/>
        <v>0.33438485804416396</v>
      </c>
      <c r="Q403" s="108">
        <f t="shared" si="32"/>
        <v>0.18203309692671388</v>
      </c>
      <c r="S403" s="109">
        <f t="shared" si="33"/>
        <v>25.315789473684212</v>
      </c>
      <c r="T403" s="109">
        <f t="shared" si="34"/>
        <v>0.57728706624605675</v>
      </c>
    </row>
    <row r="404" spans="1:20">
      <c r="A404" s="154">
        <v>748</v>
      </c>
      <c r="B404" s="156">
        <v>300339</v>
      </c>
      <c r="C404" s="133" t="s">
        <v>2704</v>
      </c>
      <c r="D404" s="155" t="s">
        <v>2324</v>
      </c>
      <c r="E404" s="154">
        <v>6</v>
      </c>
      <c r="F404" s="154">
        <v>1</v>
      </c>
      <c r="G404" s="154">
        <v>5</v>
      </c>
      <c r="H404" s="154">
        <v>0</v>
      </c>
      <c r="I404" s="154">
        <v>0</v>
      </c>
      <c r="J404" s="154">
        <v>0</v>
      </c>
      <c r="K404" s="154">
        <v>0.39500000000000002</v>
      </c>
      <c r="L404" s="154">
        <v>0.47</v>
      </c>
      <c r="M404" s="154">
        <v>0.59199999999999997</v>
      </c>
      <c r="N404" s="154">
        <v>0.74099999999999999</v>
      </c>
      <c r="O404" s="108">
        <f t="shared" si="30"/>
        <v>0.18987341772151889</v>
      </c>
      <c r="P404" s="108">
        <f t="shared" si="31"/>
        <v>0.25957446808510642</v>
      </c>
      <c r="Q404" s="108">
        <f t="shared" si="32"/>
        <v>0.25168918918918926</v>
      </c>
      <c r="S404" s="109">
        <f t="shared" si="33"/>
        <v>0.8759493670886076</v>
      </c>
      <c r="T404" s="109">
        <f t="shared" si="34"/>
        <v>0.57659574468085117</v>
      </c>
    </row>
    <row r="405" spans="1:20">
      <c r="A405" s="154">
        <v>172</v>
      </c>
      <c r="B405" s="156">
        <v>300470</v>
      </c>
      <c r="C405" s="133" t="s">
        <v>2705</v>
      </c>
      <c r="D405" s="155" t="s">
        <v>2324</v>
      </c>
      <c r="E405" s="154">
        <v>24</v>
      </c>
      <c r="F405" s="154">
        <v>15</v>
      </c>
      <c r="G405" s="154">
        <v>9</v>
      </c>
      <c r="H405" s="154">
        <v>0</v>
      </c>
      <c r="I405" s="154">
        <v>0</v>
      </c>
      <c r="J405" s="154">
        <v>0</v>
      </c>
      <c r="K405" s="154">
        <v>0.86599999999999999</v>
      </c>
      <c r="L405" s="154">
        <v>1.133</v>
      </c>
      <c r="M405" s="154">
        <v>1.452</v>
      </c>
      <c r="N405" s="154">
        <v>1.786</v>
      </c>
      <c r="O405" s="108">
        <f t="shared" si="30"/>
        <v>0.30831408775981517</v>
      </c>
      <c r="P405" s="108">
        <f t="shared" si="31"/>
        <v>0.2815533980582523</v>
      </c>
      <c r="Q405" s="108">
        <f t="shared" si="32"/>
        <v>0.23002754820936655</v>
      </c>
      <c r="S405" s="109">
        <f t="shared" si="33"/>
        <v>1.0623556581986144</v>
      </c>
      <c r="T405" s="109">
        <f t="shared" si="34"/>
        <v>0.57634598411297433</v>
      </c>
    </row>
    <row r="406" spans="1:20">
      <c r="A406" s="154">
        <v>796</v>
      </c>
      <c r="B406" s="156">
        <v>2901</v>
      </c>
      <c r="C406" s="133" t="s">
        <v>2706</v>
      </c>
      <c r="D406" s="155" t="s">
        <v>2324</v>
      </c>
      <c r="E406" s="154">
        <v>5</v>
      </c>
      <c r="F406" s="154">
        <v>3</v>
      </c>
      <c r="G406" s="154">
        <v>2</v>
      </c>
      <c r="H406" s="154">
        <v>0</v>
      </c>
      <c r="I406" s="154">
        <v>0</v>
      </c>
      <c r="J406" s="154">
        <v>0</v>
      </c>
      <c r="K406" s="154">
        <v>0.92300000000000004</v>
      </c>
      <c r="L406" s="154">
        <v>1.149</v>
      </c>
      <c r="M406" s="154">
        <v>1.446</v>
      </c>
      <c r="N406" s="154">
        <v>1.8109999999999999</v>
      </c>
      <c r="O406" s="108">
        <f t="shared" si="30"/>
        <v>0.24485373781148434</v>
      </c>
      <c r="P406" s="108">
        <f t="shared" si="31"/>
        <v>0.25848563968668392</v>
      </c>
      <c r="Q406" s="108">
        <f t="shared" si="32"/>
        <v>0.25242047026279391</v>
      </c>
      <c r="S406" s="109">
        <f t="shared" si="33"/>
        <v>0.96208017334777884</v>
      </c>
      <c r="T406" s="109">
        <f t="shared" si="34"/>
        <v>0.5761531766753698</v>
      </c>
    </row>
    <row r="407" spans="1:20">
      <c r="A407" s="154">
        <v>804</v>
      </c>
      <c r="B407" s="156">
        <v>2901</v>
      </c>
      <c r="C407" s="133" t="s">
        <v>2706</v>
      </c>
      <c r="D407" s="155" t="s">
        <v>2324</v>
      </c>
      <c r="E407" s="154">
        <v>5</v>
      </c>
      <c r="F407" s="154">
        <v>3</v>
      </c>
      <c r="G407" s="154">
        <v>2</v>
      </c>
      <c r="H407" s="154">
        <v>0</v>
      </c>
      <c r="I407" s="154">
        <v>0</v>
      </c>
      <c r="J407" s="154">
        <v>0</v>
      </c>
      <c r="K407" s="154">
        <v>0.92300000000000004</v>
      </c>
      <c r="L407" s="154">
        <v>1.149</v>
      </c>
      <c r="M407" s="154">
        <v>1.446</v>
      </c>
      <c r="N407" s="154">
        <v>1.8109999999999999</v>
      </c>
      <c r="O407" s="108">
        <f t="shared" si="30"/>
        <v>0.24485373781148434</v>
      </c>
      <c r="P407" s="108">
        <f t="shared" si="31"/>
        <v>0.25848563968668392</v>
      </c>
      <c r="Q407" s="108">
        <f t="shared" si="32"/>
        <v>0.25242047026279391</v>
      </c>
      <c r="S407" s="109">
        <f t="shared" si="33"/>
        <v>0.96208017334777884</v>
      </c>
      <c r="T407" s="109">
        <f t="shared" si="34"/>
        <v>0.5761531766753698</v>
      </c>
    </row>
    <row r="408" spans="1:20">
      <c r="A408" s="154">
        <v>328</v>
      </c>
      <c r="B408" s="156">
        <v>603885</v>
      </c>
      <c r="C408" s="133" t="s">
        <v>2707</v>
      </c>
      <c r="D408" s="155" t="s">
        <v>2324</v>
      </c>
      <c r="E408" s="154">
        <v>15</v>
      </c>
      <c r="F408" s="154">
        <v>11</v>
      </c>
      <c r="G408" s="154">
        <v>4</v>
      </c>
      <c r="H408" s="154">
        <v>0</v>
      </c>
      <c r="I408" s="154">
        <v>0</v>
      </c>
      <c r="J408" s="154">
        <v>0</v>
      </c>
      <c r="K408" s="154">
        <v>0.627</v>
      </c>
      <c r="L408" s="154">
        <v>0.70499999999999996</v>
      </c>
      <c r="M408" s="154">
        <v>0.93200000000000005</v>
      </c>
      <c r="N408" s="154">
        <v>1.111</v>
      </c>
      <c r="O408" s="108">
        <f t="shared" si="30"/>
        <v>0.12440191387559807</v>
      </c>
      <c r="P408" s="108">
        <f t="shared" si="31"/>
        <v>0.32198581560283701</v>
      </c>
      <c r="Q408" s="108">
        <f t="shared" si="32"/>
        <v>0.1920600858369097</v>
      </c>
      <c r="S408" s="109">
        <f t="shared" si="33"/>
        <v>0.77192982456140347</v>
      </c>
      <c r="T408" s="109">
        <f t="shared" si="34"/>
        <v>0.5758865248226952</v>
      </c>
    </row>
    <row r="409" spans="1:20">
      <c r="A409" s="154">
        <v>206</v>
      </c>
      <c r="B409" s="156">
        <v>2841</v>
      </c>
      <c r="C409" s="133" t="s">
        <v>1499</v>
      </c>
      <c r="D409" s="155" t="s">
        <v>2324</v>
      </c>
      <c r="E409" s="154">
        <v>21</v>
      </c>
      <c r="F409" s="154">
        <v>16</v>
      </c>
      <c r="G409" s="154">
        <v>5</v>
      </c>
      <c r="H409" s="154">
        <v>0</v>
      </c>
      <c r="I409" s="154">
        <v>0</v>
      </c>
      <c r="J409" s="154">
        <v>0</v>
      </c>
      <c r="K409" s="154">
        <v>1.532</v>
      </c>
      <c r="L409" s="154">
        <v>2.4300000000000002</v>
      </c>
      <c r="M409" s="154">
        <v>3.069</v>
      </c>
      <c r="N409" s="154">
        <v>3.827</v>
      </c>
      <c r="O409" s="108">
        <f t="shared" si="30"/>
        <v>0.58616187989556146</v>
      </c>
      <c r="P409" s="108">
        <f t="shared" si="31"/>
        <v>0.26296296296296284</v>
      </c>
      <c r="Q409" s="108">
        <f t="shared" si="32"/>
        <v>0.24698598892147272</v>
      </c>
      <c r="S409" s="109">
        <f t="shared" si="33"/>
        <v>1.4980417754569189</v>
      </c>
      <c r="T409" s="109">
        <f t="shared" si="34"/>
        <v>0.57489711934156373</v>
      </c>
    </row>
    <row r="410" spans="1:20">
      <c r="A410" s="154">
        <v>74</v>
      </c>
      <c r="B410" s="156">
        <v>2531</v>
      </c>
      <c r="C410" s="133" t="s">
        <v>2708</v>
      </c>
      <c r="D410" s="155" t="s">
        <v>2324</v>
      </c>
      <c r="E410" s="154">
        <v>34</v>
      </c>
      <c r="F410" s="154">
        <v>32</v>
      </c>
      <c r="G410" s="154">
        <v>2</v>
      </c>
      <c r="H410" s="154">
        <v>0</v>
      </c>
      <c r="I410" s="154">
        <v>0</v>
      </c>
      <c r="J410" s="154">
        <v>0</v>
      </c>
      <c r="K410" s="154">
        <v>0.26400000000000001</v>
      </c>
      <c r="L410" s="154">
        <v>0.43</v>
      </c>
      <c r="M410" s="154">
        <v>0.56399999999999995</v>
      </c>
      <c r="N410" s="154">
        <v>0.67700000000000005</v>
      </c>
      <c r="O410" s="108">
        <f t="shared" si="30"/>
        <v>0.62878787878787867</v>
      </c>
      <c r="P410" s="108">
        <f t="shared" si="31"/>
        <v>0.31162790697674403</v>
      </c>
      <c r="Q410" s="108">
        <f t="shared" si="32"/>
        <v>0.20035460992907828</v>
      </c>
      <c r="S410" s="109">
        <f t="shared" si="33"/>
        <v>1.5643939393939394</v>
      </c>
      <c r="T410" s="109">
        <f t="shared" si="34"/>
        <v>0.57441860465116301</v>
      </c>
    </row>
    <row r="411" spans="1:20">
      <c r="A411" s="154">
        <v>736</v>
      </c>
      <c r="B411" s="156">
        <v>603317</v>
      </c>
      <c r="C411" s="133" t="s">
        <v>2709</v>
      </c>
      <c r="D411" s="155" t="s">
        <v>2324</v>
      </c>
      <c r="E411" s="154">
        <v>6</v>
      </c>
      <c r="F411" s="154">
        <v>0</v>
      </c>
      <c r="G411" s="154">
        <v>6</v>
      </c>
      <c r="H411" s="154">
        <v>0</v>
      </c>
      <c r="I411" s="154">
        <v>0</v>
      </c>
      <c r="J411" s="154">
        <v>0</v>
      </c>
      <c r="K411" s="154">
        <v>0.64500000000000002</v>
      </c>
      <c r="L411" s="154">
        <v>0.79400000000000004</v>
      </c>
      <c r="M411" s="154">
        <v>1.0049999999999999</v>
      </c>
      <c r="N411" s="154">
        <v>1.25</v>
      </c>
      <c r="O411" s="108">
        <f t="shared" si="30"/>
        <v>0.23100775193798451</v>
      </c>
      <c r="P411" s="108">
        <f t="shared" si="31"/>
        <v>0.26574307304785871</v>
      </c>
      <c r="Q411" s="108">
        <f t="shared" si="32"/>
        <v>0.2437810945273633</v>
      </c>
      <c r="S411" s="109">
        <f t="shared" si="33"/>
        <v>0.9379844961240309</v>
      </c>
      <c r="T411" s="109">
        <f t="shared" si="34"/>
        <v>0.5743073047858942</v>
      </c>
    </row>
    <row r="412" spans="1:20">
      <c r="A412" s="154">
        <v>75</v>
      </c>
      <c r="B412" s="156">
        <v>600845</v>
      </c>
      <c r="C412" s="133" t="s">
        <v>2710</v>
      </c>
      <c r="D412" s="155" t="s">
        <v>2324</v>
      </c>
      <c r="E412" s="154">
        <v>34</v>
      </c>
      <c r="F412" s="154">
        <v>26</v>
      </c>
      <c r="G412" s="154">
        <v>8</v>
      </c>
      <c r="H412" s="154">
        <v>0</v>
      </c>
      <c r="I412" s="154">
        <v>0</v>
      </c>
      <c r="J412" s="154">
        <v>0</v>
      </c>
      <c r="K412" s="154">
        <v>0.58699999999999997</v>
      </c>
      <c r="L412" s="154">
        <v>0.76300000000000001</v>
      </c>
      <c r="M412" s="154">
        <v>0.97299999999999998</v>
      </c>
      <c r="N412" s="154">
        <v>1.2010000000000001</v>
      </c>
      <c r="O412" s="108">
        <f t="shared" si="30"/>
        <v>0.29982964224872233</v>
      </c>
      <c r="P412" s="108">
        <f t="shared" si="31"/>
        <v>0.27522935779816504</v>
      </c>
      <c r="Q412" s="108">
        <f t="shared" si="32"/>
        <v>0.23432682425488194</v>
      </c>
      <c r="S412" s="109">
        <f t="shared" si="33"/>
        <v>1.0459965928449746</v>
      </c>
      <c r="T412" s="109">
        <f t="shared" si="34"/>
        <v>0.57404980340760159</v>
      </c>
    </row>
    <row r="413" spans="1:20">
      <c r="A413" s="154">
        <v>44</v>
      </c>
      <c r="B413" s="156">
        <v>300014</v>
      </c>
      <c r="C413" s="133" t="s">
        <v>2711</v>
      </c>
      <c r="D413" s="155" t="s">
        <v>2324</v>
      </c>
      <c r="E413" s="154">
        <v>41</v>
      </c>
      <c r="F413" s="154">
        <v>33</v>
      </c>
      <c r="G413" s="154">
        <v>8</v>
      </c>
      <c r="H413" s="154">
        <v>0</v>
      </c>
      <c r="I413" s="154">
        <v>0</v>
      </c>
      <c r="J413" s="154">
        <v>0</v>
      </c>
      <c r="K413" s="154">
        <v>0.58899999999999997</v>
      </c>
      <c r="L413" s="154">
        <v>1.488</v>
      </c>
      <c r="M413" s="154">
        <v>1.853</v>
      </c>
      <c r="N413" s="154">
        <v>2.3420000000000001</v>
      </c>
      <c r="O413" s="108">
        <f t="shared" si="30"/>
        <v>1.5263157894736845</v>
      </c>
      <c r="P413" s="108">
        <f t="shared" si="31"/>
        <v>0.24529569892473124</v>
      </c>
      <c r="Q413" s="108">
        <f t="shared" si="32"/>
        <v>0.26389638424177009</v>
      </c>
      <c r="S413" s="109">
        <f t="shared" si="33"/>
        <v>2.9762308998302212</v>
      </c>
      <c r="T413" s="109">
        <f t="shared" si="34"/>
        <v>0.57392473118279574</v>
      </c>
    </row>
    <row r="414" spans="1:20">
      <c r="A414" s="154">
        <v>659</v>
      </c>
      <c r="B414" s="156">
        <v>603611</v>
      </c>
      <c r="C414" s="133" t="s">
        <v>2712</v>
      </c>
      <c r="D414" s="155" t="s">
        <v>2324</v>
      </c>
      <c r="E414" s="154">
        <v>7</v>
      </c>
      <c r="F414" s="154">
        <v>6</v>
      </c>
      <c r="G414" s="154">
        <v>1</v>
      </c>
      <c r="H414" s="154">
        <v>0</v>
      </c>
      <c r="I414" s="154">
        <v>0</v>
      </c>
      <c r="J414" s="154">
        <v>0</v>
      </c>
      <c r="K414" s="154">
        <v>0.70399999999999996</v>
      </c>
      <c r="L414" s="154">
        <v>0.91500000000000004</v>
      </c>
      <c r="M414" s="154">
        <v>1.1459999999999999</v>
      </c>
      <c r="N414" s="154">
        <v>1.4390000000000001</v>
      </c>
      <c r="O414" s="108">
        <f t="shared" si="30"/>
        <v>0.29971590909090917</v>
      </c>
      <c r="P414" s="108">
        <f t="shared" si="31"/>
        <v>0.25245901639344237</v>
      </c>
      <c r="Q414" s="108">
        <f t="shared" si="32"/>
        <v>0.25567190226876102</v>
      </c>
      <c r="S414" s="109">
        <f t="shared" si="33"/>
        <v>1.0440340909090913</v>
      </c>
      <c r="T414" s="109">
        <f t="shared" si="34"/>
        <v>0.57267759562841536</v>
      </c>
    </row>
    <row r="415" spans="1:20">
      <c r="A415" s="154">
        <v>919</v>
      </c>
      <c r="B415" s="156">
        <v>603158</v>
      </c>
      <c r="C415" s="133" t="s">
        <v>2713</v>
      </c>
      <c r="D415" s="155" t="s">
        <v>2324</v>
      </c>
      <c r="E415" s="154">
        <v>4</v>
      </c>
      <c r="F415" s="154">
        <v>0</v>
      </c>
      <c r="G415" s="154">
        <v>4</v>
      </c>
      <c r="H415" s="154">
        <v>0</v>
      </c>
      <c r="I415" s="154">
        <v>0</v>
      </c>
      <c r="J415" s="154">
        <v>0</v>
      </c>
      <c r="K415" s="154">
        <v>0.53900000000000003</v>
      </c>
      <c r="L415" s="154">
        <v>0.57799999999999996</v>
      </c>
      <c r="M415" s="154">
        <v>0.76200000000000001</v>
      </c>
      <c r="N415" s="154">
        <v>0.90900000000000003</v>
      </c>
      <c r="O415" s="108">
        <f t="shared" si="30"/>
        <v>7.2356215213357888E-2</v>
      </c>
      <c r="P415" s="108">
        <f t="shared" si="31"/>
        <v>0.31833910034602098</v>
      </c>
      <c r="Q415" s="108">
        <f t="shared" si="32"/>
        <v>0.19291338582677175</v>
      </c>
      <c r="S415" s="109">
        <f t="shared" si="33"/>
        <v>0.686456400742115</v>
      </c>
      <c r="T415" s="109">
        <f t="shared" si="34"/>
        <v>0.57266435986159192</v>
      </c>
    </row>
    <row r="416" spans="1:20">
      <c r="A416" s="154">
        <v>597</v>
      </c>
      <c r="B416" s="156">
        <v>300327</v>
      </c>
      <c r="C416" s="133" t="s">
        <v>2714</v>
      </c>
      <c r="D416" s="155" t="s">
        <v>2324</v>
      </c>
      <c r="E416" s="154">
        <v>8</v>
      </c>
      <c r="F416" s="154">
        <v>5</v>
      </c>
      <c r="G416" s="154">
        <v>3</v>
      </c>
      <c r="H416" s="154">
        <v>0</v>
      </c>
      <c r="I416" s="154">
        <v>0</v>
      </c>
      <c r="J416" s="154">
        <v>0</v>
      </c>
      <c r="K416" s="154">
        <v>0.66200000000000003</v>
      </c>
      <c r="L416" s="154">
        <v>0.77300000000000002</v>
      </c>
      <c r="M416" s="154">
        <v>0.95499999999999996</v>
      </c>
      <c r="N416" s="154">
        <v>1.2150000000000001</v>
      </c>
      <c r="O416" s="108">
        <f t="shared" si="30"/>
        <v>0.16767371601208447</v>
      </c>
      <c r="P416" s="108">
        <f t="shared" si="31"/>
        <v>0.23544631306597652</v>
      </c>
      <c r="Q416" s="108">
        <f t="shared" si="32"/>
        <v>0.27225130890052363</v>
      </c>
      <c r="S416" s="109">
        <f t="shared" si="33"/>
        <v>0.83534743202416917</v>
      </c>
      <c r="T416" s="109">
        <f t="shared" si="34"/>
        <v>0.57179818887451495</v>
      </c>
    </row>
    <row r="417" spans="1:20">
      <c r="A417" s="154">
        <v>537</v>
      </c>
      <c r="B417" s="156">
        <v>2212</v>
      </c>
      <c r="C417" s="133" t="s">
        <v>2715</v>
      </c>
      <c r="D417" s="155" t="s">
        <v>2324</v>
      </c>
      <c r="E417" s="154">
        <v>9</v>
      </c>
      <c r="F417" s="154">
        <v>5</v>
      </c>
      <c r="G417" s="154">
        <v>4</v>
      </c>
      <c r="H417" s="154">
        <v>0</v>
      </c>
      <c r="I417" s="154">
        <v>0</v>
      </c>
      <c r="J417" s="154">
        <v>0</v>
      </c>
      <c r="K417" s="154">
        <v>0.41899999999999998</v>
      </c>
      <c r="L417" s="154">
        <v>0.39900000000000002</v>
      </c>
      <c r="M417" s="154">
        <v>0.51100000000000001</v>
      </c>
      <c r="N417" s="154">
        <v>0.627</v>
      </c>
      <c r="O417" s="108">
        <f t="shared" si="30"/>
        <v>-4.7732696897374582E-2</v>
      </c>
      <c r="P417" s="108">
        <f t="shared" si="31"/>
        <v>0.2807017543859649</v>
      </c>
      <c r="Q417" s="108">
        <f t="shared" si="32"/>
        <v>0.22700587084148727</v>
      </c>
      <c r="S417" s="109">
        <f t="shared" si="33"/>
        <v>0.49642004773269699</v>
      </c>
      <c r="T417" s="109">
        <f t="shared" si="34"/>
        <v>0.5714285714285714</v>
      </c>
    </row>
    <row r="418" spans="1:20">
      <c r="A418" s="154">
        <v>367</v>
      </c>
      <c r="B418" s="156">
        <v>656</v>
      </c>
      <c r="C418" s="133" t="s">
        <v>2716</v>
      </c>
      <c r="D418" s="155" t="s">
        <v>2324</v>
      </c>
      <c r="E418" s="154">
        <v>14</v>
      </c>
      <c r="F418" s="154">
        <v>10</v>
      </c>
      <c r="G418" s="154">
        <v>4</v>
      </c>
      <c r="H418" s="154">
        <v>0</v>
      </c>
      <c r="I418" s="154">
        <v>0</v>
      </c>
      <c r="J418" s="154">
        <v>0</v>
      </c>
      <c r="K418" s="154">
        <v>0.72799999999999998</v>
      </c>
      <c r="L418" s="154">
        <v>0.97699999999999998</v>
      </c>
      <c r="M418" s="154">
        <v>1.2450000000000001</v>
      </c>
      <c r="N418" s="154">
        <v>1.534</v>
      </c>
      <c r="O418" s="108">
        <f t="shared" si="30"/>
        <v>0.34203296703296715</v>
      </c>
      <c r="P418" s="108">
        <f t="shared" si="31"/>
        <v>0.27430910951893561</v>
      </c>
      <c r="Q418" s="108">
        <f t="shared" si="32"/>
        <v>0.23212851405622481</v>
      </c>
      <c r="S418" s="109">
        <f t="shared" si="33"/>
        <v>1.1071428571428572</v>
      </c>
      <c r="T418" s="109">
        <f t="shared" si="34"/>
        <v>0.57011258955987731</v>
      </c>
    </row>
    <row r="419" spans="1:20">
      <c r="A419" s="154">
        <v>173</v>
      </c>
      <c r="B419" s="156">
        <v>601231</v>
      </c>
      <c r="C419" s="133" t="s">
        <v>2717</v>
      </c>
      <c r="D419" s="155" t="s">
        <v>2324</v>
      </c>
      <c r="E419" s="154">
        <v>24</v>
      </c>
      <c r="F419" s="154">
        <v>11</v>
      </c>
      <c r="G419" s="154">
        <v>13</v>
      </c>
      <c r="H419" s="154">
        <v>0</v>
      </c>
      <c r="I419" s="154">
        <v>0</v>
      </c>
      <c r="J419" s="154">
        <v>0</v>
      </c>
      <c r="K419" s="154">
        <v>0.54100000000000004</v>
      </c>
      <c r="L419" s="154">
        <v>0.624</v>
      </c>
      <c r="M419" s="154">
        <v>0.79100000000000004</v>
      </c>
      <c r="N419" s="154">
        <v>0.97899999999999998</v>
      </c>
      <c r="O419" s="108">
        <f t="shared" si="30"/>
        <v>0.15341959334565614</v>
      </c>
      <c r="P419" s="108">
        <f t="shared" si="31"/>
        <v>0.26762820512820529</v>
      </c>
      <c r="Q419" s="108">
        <f t="shared" si="32"/>
        <v>0.23767383059418457</v>
      </c>
      <c r="S419" s="109">
        <f t="shared" si="33"/>
        <v>0.80961182994454695</v>
      </c>
      <c r="T419" s="109">
        <f t="shared" si="34"/>
        <v>0.56891025641025639</v>
      </c>
    </row>
    <row r="420" spans="1:20">
      <c r="A420" s="154">
        <v>671</v>
      </c>
      <c r="B420" s="156">
        <v>600578</v>
      </c>
      <c r="C420" s="133" t="s">
        <v>2718</v>
      </c>
      <c r="D420" s="155" t="s">
        <v>2324</v>
      </c>
      <c r="E420" s="154">
        <v>7</v>
      </c>
      <c r="F420" s="154">
        <v>7</v>
      </c>
      <c r="G420" s="154">
        <v>0</v>
      </c>
      <c r="H420" s="154">
        <v>0</v>
      </c>
      <c r="I420" s="154">
        <v>0</v>
      </c>
      <c r="J420" s="154">
        <v>0</v>
      </c>
      <c r="K420" s="154">
        <v>0.13200000000000001</v>
      </c>
      <c r="L420" s="154">
        <v>0.24099999999999999</v>
      </c>
      <c r="M420" s="154">
        <v>0.33900000000000002</v>
      </c>
      <c r="N420" s="154">
        <v>0.378</v>
      </c>
      <c r="O420" s="108">
        <f t="shared" si="30"/>
        <v>0.82575757575757569</v>
      </c>
      <c r="P420" s="108">
        <f t="shared" si="31"/>
        <v>0.4066390041493777</v>
      </c>
      <c r="Q420" s="108">
        <f t="shared" si="32"/>
        <v>0.11504424778761058</v>
      </c>
      <c r="S420" s="109">
        <f t="shared" si="33"/>
        <v>1.8636363636363633</v>
      </c>
      <c r="T420" s="109">
        <f t="shared" si="34"/>
        <v>0.56846473029045641</v>
      </c>
    </row>
    <row r="421" spans="1:20">
      <c r="A421" s="154">
        <v>84</v>
      </c>
      <c r="B421" s="156">
        <v>600436</v>
      </c>
      <c r="C421" s="133" t="s">
        <v>2719</v>
      </c>
      <c r="D421" s="155" t="s">
        <v>2324</v>
      </c>
      <c r="E421" s="154">
        <v>33</v>
      </c>
      <c r="F421" s="154">
        <v>26</v>
      </c>
      <c r="G421" s="154">
        <v>7</v>
      </c>
      <c r="H421" s="154">
        <v>0</v>
      </c>
      <c r="I421" s="154">
        <v>0</v>
      </c>
      <c r="J421" s="154">
        <v>0</v>
      </c>
      <c r="K421" s="154">
        <v>1.8939999999999999</v>
      </c>
      <c r="L421" s="154">
        <v>2.3580000000000001</v>
      </c>
      <c r="M421" s="154">
        <v>2.9540000000000002</v>
      </c>
      <c r="N421" s="154">
        <v>3.698</v>
      </c>
      <c r="O421" s="108">
        <f t="shared" si="30"/>
        <v>0.24498416050686389</v>
      </c>
      <c r="P421" s="108">
        <f t="shared" si="31"/>
        <v>0.25275657336726032</v>
      </c>
      <c r="Q421" s="108">
        <f t="shared" si="32"/>
        <v>0.25186188219363559</v>
      </c>
      <c r="S421" s="109">
        <f t="shared" si="33"/>
        <v>0.95248152059134106</v>
      </c>
      <c r="T421" s="109">
        <f t="shared" si="34"/>
        <v>0.56827820186598799</v>
      </c>
    </row>
    <row r="422" spans="1:20">
      <c r="A422" s="154">
        <v>975</v>
      </c>
      <c r="B422" s="156">
        <v>600771</v>
      </c>
      <c r="C422" s="133" t="s">
        <v>2720</v>
      </c>
      <c r="D422" s="155" t="s">
        <v>2324</v>
      </c>
      <c r="E422" s="154">
        <v>3</v>
      </c>
      <c r="F422" s="154">
        <v>2</v>
      </c>
      <c r="G422" s="154">
        <v>1</v>
      </c>
      <c r="H422" s="154">
        <v>0</v>
      </c>
      <c r="I422" s="154">
        <v>0</v>
      </c>
      <c r="J422" s="154">
        <v>0</v>
      </c>
      <c r="K422" s="154">
        <v>0.76</v>
      </c>
      <c r="L422" s="154">
        <v>0.65200000000000002</v>
      </c>
      <c r="M422" s="154">
        <v>0.82699999999999996</v>
      </c>
      <c r="N422" s="154">
        <v>1.022</v>
      </c>
      <c r="O422" s="108">
        <f t="shared" si="30"/>
        <v>-0.14210526315789473</v>
      </c>
      <c r="P422" s="108">
        <f t="shared" si="31"/>
        <v>0.26840490797546002</v>
      </c>
      <c r="Q422" s="108">
        <f t="shared" si="32"/>
        <v>0.23579201934703753</v>
      </c>
      <c r="S422" s="109">
        <f t="shared" si="33"/>
        <v>0.34473684210526323</v>
      </c>
      <c r="T422" s="109">
        <f t="shared" si="34"/>
        <v>0.56748466257668717</v>
      </c>
    </row>
    <row r="423" spans="1:20">
      <c r="A423" s="154">
        <v>195</v>
      </c>
      <c r="B423" s="156">
        <v>603027</v>
      </c>
      <c r="C423" s="133" t="s">
        <v>1356</v>
      </c>
      <c r="D423" s="155" t="s">
        <v>2324</v>
      </c>
      <c r="E423" s="154">
        <v>22</v>
      </c>
      <c r="F423" s="154">
        <v>6</v>
      </c>
      <c r="G423" s="154">
        <v>16</v>
      </c>
      <c r="H423" s="154">
        <v>0</v>
      </c>
      <c r="I423" s="154">
        <v>0</v>
      </c>
      <c r="J423" s="154">
        <v>0</v>
      </c>
      <c r="K423" s="154">
        <v>0.51500000000000001</v>
      </c>
      <c r="L423" s="154">
        <v>0.46899999999999997</v>
      </c>
      <c r="M423" s="154">
        <v>0.59699999999999998</v>
      </c>
      <c r="N423" s="154">
        <v>0.73499999999999999</v>
      </c>
      <c r="O423" s="108">
        <f t="shared" si="30"/>
        <v>-8.9320388349514612E-2</v>
      </c>
      <c r="P423" s="108">
        <f t="shared" si="31"/>
        <v>0.27292110874200426</v>
      </c>
      <c r="Q423" s="108">
        <f t="shared" si="32"/>
        <v>0.23115577889447247</v>
      </c>
      <c r="S423" s="109">
        <f t="shared" si="33"/>
        <v>0.42718446601941751</v>
      </c>
      <c r="T423" s="109">
        <f t="shared" si="34"/>
        <v>0.56716417910447769</v>
      </c>
    </row>
    <row r="424" spans="1:20">
      <c r="A424" s="154">
        <v>599</v>
      </c>
      <c r="B424" s="156">
        <v>300166</v>
      </c>
      <c r="C424" s="133" t="s">
        <v>2721</v>
      </c>
      <c r="D424" s="155" t="s">
        <v>2324</v>
      </c>
      <c r="E424" s="154">
        <v>8</v>
      </c>
      <c r="F424" s="154">
        <v>6</v>
      </c>
      <c r="G424" s="154">
        <v>2</v>
      </c>
      <c r="H424" s="154">
        <v>0</v>
      </c>
      <c r="I424" s="154">
        <v>0</v>
      </c>
      <c r="J424" s="154">
        <v>0</v>
      </c>
      <c r="K424" s="154">
        <v>0.49</v>
      </c>
      <c r="L424" s="154">
        <v>0.60199999999999998</v>
      </c>
      <c r="M424" s="154">
        <v>0.751</v>
      </c>
      <c r="N424" s="154">
        <v>0.94299999999999995</v>
      </c>
      <c r="O424" s="108">
        <f t="shared" si="30"/>
        <v>0.22857142857142865</v>
      </c>
      <c r="P424" s="108">
        <f t="shared" si="31"/>
        <v>0.24750830564784065</v>
      </c>
      <c r="Q424" s="108">
        <f t="shared" si="32"/>
        <v>0.25565912117177092</v>
      </c>
      <c r="S424" s="109">
        <f t="shared" si="33"/>
        <v>0.92448979591836733</v>
      </c>
      <c r="T424" s="109">
        <f t="shared" si="34"/>
        <v>0.56644518272425248</v>
      </c>
    </row>
    <row r="425" spans="1:20">
      <c r="A425" s="154">
        <v>634</v>
      </c>
      <c r="B425" s="156">
        <v>603583</v>
      </c>
      <c r="C425" s="133" t="s">
        <v>2722</v>
      </c>
      <c r="D425" s="155" t="s">
        <v>2324</v>
      </c>
      <c r="E425" s="154">
        <v>7</v>
      </c>
      <c r="F425" s="154">
        <v>1</v>
      </c>
      <c r="G425" s="154">
        <v>6</v>
      </c>
      <c r="H425" s="154">
        <v>0</v>
      </c>
      <c r="I425" s="154">
        <v>0</v>
      </c>
      <c r="J425" s="154">
        <v>0</v>
      </c>
      <c r="K425" s="154">
        <v>1.431</v>
      </c>
      <c r="L425" s="154">
        <v>1.7310000000000001</v>
      </c>
      <c r="M425" s="154">
        <v>2.141</v>
      </c>
      <c r="N425" s="154">
        <v>2.7109999999999999</v>
      </c>
      <c r="O425" s="108">
        <f t="shared" si="30"/>
        <v>0.20964360587002107</v>
      </c>
      <c r="P425" s="108">
        <f t="shared" si="31"/>
        <v>0.23685730791450021</v>
      </c>
      <c r="Q425" s="108">
        <f t="shared" si="32"/>
        <v>0.26623073330219515</v>
      </c>
      <c r="S425" s="109">
        <f t="shared" si="33"/>
        <v>0.89447938504542268</v>
      </c>
      <c r="T425" s="109">
        <f t="shared" si="34"/>
        <v>0.5661467359907566</v>
      </c>
    </row>
    <row r="426" spans="1:20">
      <c r="A426" s="154">
        <v>413</v>
      </c>
      <c r="B426" s="156">
        <v>603368</v>
      </c>
      <c r="C426" s="133" t="s">
        <v>2723</v>
      </c>
      <c r="D426" s="155" t="s">
        <v>2324</v>
      </c>
      <c r="E426" s="154">
        <v>12</v>
      </c>
      <c r="F426" s="154">
        <v>10</v>
      </c>
      <c r="G426" s="154">
        <v>2</v>
      </c>
      <c r="H426" s="154">
        <v>0</v>
      </c>
      <c r="I426" s="154">
        <v>0</v>
      </c>
      <c r="J426" s="154">
        <v>0</v>
      </c>
      <c r="K426" s="154">
        <v>2.0390000000000001</v>
      </c>
      <c r="L426" s="154">
        <v>2.7280000000000002</v>
      </c>
      <c r="M426" s="154">
        <v>3.395</v>
      </c>
      <c r="N426" s="154">
        <v>4.2629999999999999</v>
      </c>
      <c r="O426" s="108">
        <f t="shared" si="30"/>
        <v>0.33791074055909753</v>
      </c>
      <c r="P426" s="108">
        <f t="shared" si="31"/>
        <v>0.24450146627565972</v>
      </c>
      <c r="Q426" s="108">
        <f t="shared" si="32"/>
        <v>0.25567010309278349</v>
      </c>
      <c r="S426" s="109">
        <f t="shared" si="33"/>
        <v>1.0907307503678272</v>
      </c>
      <c r="T426" s="109">
        <f t="shared" si="34"/>
        <v>0.56268328445747784</v>
      </c>
    </row>
    <row r="427" spans="1:20">
      <c r="A427" s="154">
        <v>645</v>
      </c>
      <c r="B427" s="156">
        <v>603337</v>
      </c>
      <c r="C427" s="133" t="s">
        <v>2724</v>
      </c>
      <c r="D427" s="155" t="s">
        <v>2324</v>
      </c>
      <c r="E427" s="154">
        <v>7</v>
      </c>
      <c r="F427" s="154">
        <v>5</v>
      </c>
      <c r="G427" s="154">
        <v>2</v>
      </c>
      <c r="H427" s="154">
        <v>0</v>
      </c>
      <c r="I427" s="154">
        <v>0</v>
      </c>
      <c r="J427" s="154">
        <v>0</v>
      </c>
      <c r="K427" s="154">
        <v>1.0189999999999999</v>
      </c>
      <c r="L427" s="154">
        <v>0.90700000000000003</v>
      </c>
      <c r="M427" s="154">
        <v>1.1319999999999999</v>
      </c>
      <c r="N427" s="154">
        <v>1.417</v>
      </c>
      <c r="O427" s="108">
        <f t="shared" si="30"/>
        <v>-0.10991167811579972</v>
      </c>
      <c r="P427" s="108">
        <f t="shared" si="31"/>
        <v>0.2480705622932744</v>
      </c>
      <c r="Q427" s="108">
        <f t="shared" si="32"/>
        <v>0.25176678445229705</v>
      </c>
      <c r="S427" s="109">
        <f t="shared" si="33"/>
        <v>0.3905789990186459</v>
      </c>
      <c r="T427" s="109">
        <f t="shared" si="34"/>
        <v>0.56229327453142219</v>
      </c>
    </row>
    <row r="428" spans="1:20">
      <c r="A428" s="154">
        <v>402</v>
      </c>
      <c r="B428" s="156">
        <v>966</v>
      </c>
      <c r="C428" s="133" t="s">
        <v>2725</v>
      </c>
      <c r="D428" s="155" t="s">
        <v>2324</v>
      </c>
      <c r="E428" s="154">
        <v>13</v>
      </c>
      <c r="F428" s="154">
        <v>11</v>
      </c>
      <c r="G428" s="154">
        <v>2</v>
      </c>
      <c r="H428" s="154">
        <v>0</v>
      </c>
      <c r="I428" s="154">
        <v>0</v>
      </c>
      <c r="J428" s="154">
        <v>0</v>
      </c>
      <c r="K428" s="154">
        <v>0.188</v>
      </c>
      <c r="L428" s="154">
        <v>0.48199999999999998</v>
      </c>
      <c r="M428" s="154">
        <v>0.65100000000000002</v>
      </c>
      <c r="N428" s="154">
        <v>0.753</v>
      </c>
      <c r="O428" s="108">
        <f t="shared" si="30"/>
        <v>1.5638297872340425</v>
      </c>
      <c r="P428" s="108">
        <f t="shared" si="31"/>
        <v>0.35062240663900424</v>
      </c>
      <c r="Q428" s="108">
        <f t="shared" si="32"/>
        <v>0.15668202764976957</v>
      </c>
      <c r="S428" s="109">
        <f t="shared" si="33"/>
        <v>3.0053191489361701</v>
      </c>
      <c r="T428" s="109">
        <f t="shared" si="34"/>
        <v>0.56224066390041494</v>
      </c>
    </row>
    <row r="429" spans="1:20">
      <c r="A429" s="154">
        <v>199</v>
      </c>
      <c r="B429" s="156">
        <v>2271</v>
      </c>
      <c r="C429" s="133" t="s">
        <v>2726</v>
      </c>
      <c r="D429" s="155" t="s">
        <v>2324</v>
      </c>
      <c r="E429" s="154">
        <v>22</v>
      </c>
      <c r="F429" s="154">
        <v>19</v>
      </c>
      <c r="G429" s="154">
        <v>3</v>
      </c>
      <c r="H429" s="154">
        <v>0</v>
      </c>
      <c r="I429" s="154">
        <v>0</v>
      </c>
      <c r="J429" s="154">
        <v>0</v>
      </c>
      <c r="K429" s="154">
        <v>1.014</v>
      </c>
      <c r="L429" s="154">
        <v>1.389</v>
      </c>
      <c r="M429" s="154">
        <v>1.7470000000000001</v>
      </c>
      <c r="N429" s="154">
        <v>2.1680000000000001</v>
      </c>
      <c r="O429" s="108">
        <f t="shared" si="30"/>
        <v>0.36982248520710059</v>
      </c>
      <c r="P429" s="108">
        <f t="shared" si="31"/>
        <v>0.25773938084953207</v>
      </c>
      <c r="Q429" s="108">
        <f t="shared" si="32"/>
        <v>0.24098454493417298</v>
      </c>
      <c r="S429" s="109">
        <f t="shared" si="33"/>
        <v>1.1380670611439845</v>
      </c>
      <c r="T429" s="109">
        <f t="shared" si="34"/>
        <v>0.56083513318934486</v>
      </c>
    </row>
    <row r="430" spans="1:20">
      <c r="A430" s="154">
        <v>290</v>
      </c>
      <c r="B430" s="156">
        <v>300271</v>
      </c>
      <c r="C430" s="133" t="s">
        <v>2727</v>
      </c>
      <c r="D430" s="155" t="s">
        <v>2324</v>
      </c>
      <c r="E430" s="154">
        <v>17</v>
      </c>
      <c r="F430" s="154">
        <v>13</v>
      </c>
      <c r="G430" s="154">
        <v>4</v>
      </c>
      <c r="H430" s="154">
        <v>0</v>
      </c>
      <c r="I430" s="154">
        <v>0</v>
      </c>
      <c r="J430" s="154">
        <v>0</v>
      </c>
      <c r="K430" s="154">
        <v>0.61499999999999999</v>
      </c>
      <c r="L430" s="154">
        <v>0.754</v>
      </c>
      <c r="M430" s="154">
        <v>0.95299999999999996</v>
      </c>
      <c r="N430" s="154">
        <v>1.1739999999999999</v>
      </c>
      <c r="O430" s="108">
        <f t="shared" si="30"/>
        <v>0.22601626016260168</v>
      </c>
      <c r="P430" s="108">
        <f t="shared" si="31"/>
        <v>0.26392572944297066</v>
      </c>
      <c r="Q430" s="108">
        <f t="shared" si="32"/>
        <v>0.23189926547743966</v>
      </c>
      <c r="S430" s="109">
        <f t="shared" si="33"/>
        <v>0.9089430894308943</v>
      </c>
      <c r="T430" s="109">
        <f t="shared" si="34"/>
        <v>0.55702917771883276</v>
      </c>
    </row>
    <row r="431" spans="1:20">
      <c r="A431" s="154">
        <v>934</v>
      </c>
      <c r="B431" s="156">
        <v>2661</v>
      </c>
      <c r="C431" s="133" t="s">
        <v>2728</v>
      </c>
      <c r="D431" s="155" t="s">
        <v>2324</v>
      </c>
      <c r="E431" s="154">
        <v>4</v>
      </c>
      <c r="F431" s="154">
        <v>1</v>
      </c>
      <c r="G431" s="154">
        <v>3</v>
      </c>
      <c r="H431" s="154">
        <v>0</v>
      </c>
      <c r="I431" s="154">
        <v>0</v>
      </c>
      <c r="J431" s="154">
        <v>0</v>
      </c>
      <c r="K431" s="154">
        <v>0.56499999999999995</v>
      </c>
      <c r="L431" s="154">
        <v>0.61499999999999999</v>
      </c>
      <c r="M431" s="154">
        <v>0.76</v>
      </c>
      <c r="N431" s="154">
        <v>0.95699999999999996</v>
      </c>
      <c r="O431" s="108">
        <f t="shared" si="30"/>
        <v>8.8495575221239076E-2</v>
      </c>
      <c r="P431" s="108">
        <f t="shared" si="31"/>
        <v>0.2357723577235773</v>
      </c>
      <c r="Q431" s="108">
        <f t="shared" si="32"/>
        <v>0.25921052631578934</v>
      </c>
      <c r="S431" s="109">
        <f t="shared" si="33"/>
        <v>0.69380530973451338</v>
      </c>
      <c r="T431" s="109">
        <f t="shared" si="34"/>
        <v>0.55609756097560981</v>
      </c>
    </row>
    <row r="432" spans="1:20">
      <c r="A432" s="154">
        <v>547</v>
      </c>
      <c r="B432" s="156">
        <v>600011</v>
      </c>
      <c r="C432" s="133" t="s">
        <v>2729</v>
      </c>
      <c r="D432" s="155" t="s">
        <v>2324</v>
      </c>
      <c r="E432" s="154">
        <v>9</v>
      </c>
      <c r="F432" s="154">
        <v>4</v>
      </c>
      <c r="G432" s="154">
        <v>5</v>
      </c>
      <c r="H432" s="154">
        <v>0</v>
      </c>
      <c r="I432" s="154">
        <v>0</v>
      </c>
      <c r="J432" s="154">
        <v>0</v>
      </c>
      <c r="K432" s="154">
        <v>9.1999999999999998E-2</v>
      </c>
      <c r="L432" s="154">
        <v>0.38</v>
      </c>
      <c r="M432" s="154">
        <v>0.49199999999999999</v>
      </c>
      <c r="N432" s="154">
        <v>0.59099999999999997</v>
      </c>
      <c r="O432" s="108">
        <f t="shared" si="30"/>
        <v>3.1304347826086953</v>
      </c>
      <c r="P432" s="108">
        <f t="shared" si="31"/>
        <v>0.29473684210526319</v>
      </c>
      <c r="Q432" s="108">
        <f t="shared" si="32"/>
        <v>0.20121951219512191</v>
      </c>
      <c r="S432" s="109">
        <f t="shared" si="33"/>
        <v>5.4239130434782608</v>
      </c>
      <c r="T432" s="109">
        <f t="shared" si="34"/>
        <v>0.55526315789473668</v>
      </c>
    </row>
    <row r="433" spans="1:20">
      <c r="A433" s="154">
        <v>283</v>
      </c>
      <c r="B433" s="156">
        <v>603345</v>
      </c>
      <c r="C433" s="133" t="s">
        <v>2730</v>
      </c>
      <c r="D433" s="155" t="s">
        <v>2324</v>
      </c>
      <c r="E433" s="154">
        <v>17</v>
      </c>
      <c r="F433" s="154">
        <v>16</v>
      </c>
      <c r="G433" s="154">
        <v>1</v>
      </c>
      <c r="H433" s="154">
        <v>0</v>
      </c>
      <c r="I433" s="154">
        <v>0</v>
      </c>
      <c r="J433" s="154">
        <v>0</v>
      </c>
      <c r="K433" s="154">
        <v>1.143</v>
      </c>
      <c r="L433" s="154">
        <v>1.407</v>
      </c>
      <c r="M433" s="154">
        <v>1.716</v>
      </c>
      <c r="N433" s="154">
        <v>2.1869999999999998</v>
      </c>
      <c r="O433" s="108">
        <f t="shared" si="30"/>
        <v>0.23097112860892399</v>
      </c>
      <c r="P433" s="108">
        <f t="shared" si="31"/>
        <v>0.21961620469083143</v>
      </c>
      <c r="Q433" s="108">
        <f t="shared" si="32"/>
        <v>0.27447552447552437</v>
      </c>
      <c r="S433" s="109">
        <f t="shared" si="33"/>
        <v>0.91338582677165348</v>
      </c>
      <c r="T433" s="109">
        <f t="shared" si="34"/>
        <v>0.55437100213219592</v>
      </c>
    </row>
    <row r="434" spans="1:20">
      <c r="A434" s="154">
        <v>467</v>
      </c>
      <c r="B434" s="156">
        <v>601958</v>
      </c>
      <c r="C434" s="133" t="s">
        <v>2731</v>
      </c>
      <c r="D434" s="155" t="s">
        <v>2324</v>
      </c>
      <c r="E434" s="154">
        <v>11</v>
      </c>
      <c r="F434" s="154">
        <v>4</v>
      </c>
      <c r="G434" s="154">
        <v>7</v>
      </c>
      <c r="H434" s="154">
        <v>0</v>
      </c>
      <c r="I434" s="154">
        <v>0</v>
      </c>
      <c r="J434" s="154">
        <v>0</v>
      </c>
      <c r="K434" s="154">
        <v>0.11799999999999999</v>
      </c>
      <c r="L434" s="154">
        <v>0.17899999999999999</v>
      </c>
      <c r="M434" s="154">
        <v>0.22900000000000001</v>
      </c>
      <c r="N434" s="154">
        <v>0.27800000000000002</v>
      </c>
      <c r="O434" s="108">
        <f t="shared" si="30"/>
        <v>0.51694915254237284</v>
      </c>
      <c r="P434" s="108">
        <f t="shared" si="31"/>
        <v>0.27932960893854752</v>
      </c>
      <c r="Q434" s="108">
        <f t="shared" si="32"/>
        <v>0.21397379912663772</v>
      </c>
      <c r="S434" s="109">
        <f t="shared" si="33"/>
        <v>1.3559322033898309</v>
      </c>
      <c r="T434" s="109">
        <f t="shared" si="34"/>
        <v>0.55307262569832427</v>
      </c>
    </row>
    <row r="435" spans="1:20">
      <c r="A435" s="154">
        <v>631</v>
      </c>
      <c r="B435" s="156">
        <v>2724</v>
      </c>
      <c r="C435" s="133" t="s">
        <v>2732</v>
      </c>
      <c r="D435" s="155" t="s">
        <v>2324</v>
      </c>
      <c r="E435" s="154">
        <v>7</v>
      </c>
      <c r="F435" s="154">
        <v>1</v>
      </c>
      <c r="G435" s="154">
        <v>6</v>
      </c>
      <c r="H435" s="154">
        <v>0</v>
      </c>
      <c r="I435" s="154">
        <v>0</v>
      </c>
      <c r="J435" s="154">
        <v>0</v>
      </c>
      <c r="K435" s="154">
        <v>0.26400000000000001</v>
      </c>
      <c r="L435" s="154">
        <v>0.36</v>
      </c>
      <c r="M435" s="154">
        <v>0.44800000000000001</v>
      </c>
      <c r="N435" s="154">
        <v>0.55900000000000005</v>
      </c>
      <c r="O435" s="108">
        <f t="shared" si="30"/>
        <v>0.36363636363636354</v>
      </c>
      <c r="P435" s="108">
        <f t="shared" si="31"/>
        <v>0.24444444444444446</v>
      </c>
      <c r="Q435" s="108">
        <f t="shared" si="32"/>
        <v>0.24776785714285721</v>
      </c>
      <c r="S435" s="109">
        <f t="shared" si="33"/>
        <v>1.1174242424242427</v>
      </c>
      <c r="T435" s="109">
        <f t="shared" si="34"/>
        <v>0.55277777777777803</v>
      </c>
    </row>
    <row r="436" spans="1:20">
      <c r="A436" s="154">
        <v>406</v>
      </c>
      <c r="B436" s="156">
        <v>300785</v>
      </c>
      <c r="C436" s="133" t="s">
        <v>2733</v>
      </c>
      <c r="D436" s="155" t="s">
        <v>2324</v>
      </c>
      <c r="E436" s="154">
        <v>12</v>
      </c>
      <c r="F436" s="154">
        <v>6</v>
      </c>
      <c r="G436" s="154">
        <v>6</v>
      </c>
      <c r="H436" s="154">
        <v>0</v>
      </c>
      <c r="I436" s="154">
        <v>0</v>
      </c>
      <c r="J436" s="154">
        <v>0</v>
      </c>
      <c r="K436" s="154">
        <v>1.7949999999999999</v>
      </c>
      <c r="L436" s="154">
        <v>2.2759999999999998</v>
      </c>
      <c r="M436" s="154">
        <v>2.867</v>
      </c>
      <c r="N436" s="154">
        <v>3.5329999999999999</v>
      </c>
      <c r="O436" s="108">
        <f t="shared" si="30"/>
        <v>0.26796657381615585</v>
      </c>
      <c r="P436" s="108">
        <f t="shared" si="31"/>
        <v>0.25966608084358533</v>
      </c>
      <c r="Q436" s="108">
        <f t="shared" si="32"/>
        <v>0.23229856993372855</v>
      </c>
      <c r="S436" s="109">
        <f t="shared" si="33"/>
        <v>0.96824512534818941</v>
      </c>
      <c r="T436" s="109">
        <f t="shared" si="34"/>
        <v>0.55228471001757473</v>
      </c>
    </row>
    <row r="437" spans="1:20">
      <c r="A437" s="154">
        <v>709</v>
      </c>
      <c r="B437" s="156">
        <v>600529</v>
      </c>
      <c r="C437" s="133" t="s">
        <v>2734</v>
      </c>
      <c r="D437" s="155" t="s">
        <v>2324</v>
      </c>
      <c r="E437" s="154">
        <v>6</v>
      </c>
      <c r="F437" s="154">
        <v>3</v>
      </c>
      <c r="G437" s="154">
        <v>3</v>
      </c>
      <c r="H437" s="154">
        <v>0</v>
      </c>
      <c r="I437" s="154">
        <v>0</v>
      </c>
      <c r="J437" s="154">
        <v>0</v>
      </c>
      <c r="K437" s="154">
        <v>0.60199999999999998</v>
      </c>
      <c r="L437" s="154">
        <v>0.77700000000000002</v>
      </c>
      <c r="M437" s="154">
        <v>0.97499999999999998</v>
      </c>
      <c r="N437" s="154">
        <v>1.206</v>
      </c>
      <c r="O437" s="108">
        <f t="shared" si="30"/>
        <v>0.29069767441860472</v>
      </c>
      <c r="P437" s="108">
        <f t="shared" si="31"/>
        <v>0.25482625482625476</v>
      </c>
      <c r="Q437" s="108">
        <f t="shared" si="32"/>
        <v>0.23692307692307701</v>
      </c>
      <c r="S437" s="109">
        <f t="shared" si="33"/>
        <v>1.0033222591362128</v>
      </c>
      <c r="T437" s="109">
        <f t="shared" si="34"/>
        <v>0.55212355212355213</v>
      </c>
    </row>
    <row r="438" spans="1:20">
      <c r="A438" s="154">
        <v>425</v>
      </c>
      <c r="B438" s="156">
        <v>681</v>
      </c>
      <c r="C438" s="133" t="s">
        <v>2735</v>
      </c>
      <c r="D438" s="155" t="s">
        <v>2324</v>
      </c>
      <c r="E438" s="154">
        <v>12</v>
      </c>
      <c r="F438" s="154">
        <v>9</v>
      </c>
      <c r="G438" s="154">
        <v>3</v>
      </c>
      <c r="H438" s="154">
        <v>0</v>
      </c>
      <c r="I438" s="154">
        <v>0</v>
      </c>
      <c r="J438" s="154">
        <v>0</v>
      </c>
      <c r="K438" s="154">
        <v>0.45900000000000002</v>
      </c>
      <c r="L438" s="154">
        <v>0.47</v>
      </c>
      <c r="M438" s="154">
        <v>0.58699999999999997</v>
      </c>
      <c r="N438" s="154">
        <v>0.72899999999999998</v>
      </c>
      <c r="O438" s="108">
        <f t="shared" si="30"/>
        <v>2.3965141612200425E-2</v>
      </c>
      <c r="P438" s="108">
        <f t="shared" si="31"/>
        <v>0.24893617021276593</v>
      </c>
      <c r="Q438" s="108">
        <f t="shared" si="32"/>
        <v>0.24190800681431002</v>
      </c>
      <c r="S438" s="109">
        <f t="shared" si="33"/>
        <v>0.58823529411764697</v>
      </c>
      <c r="T438" s="109">
        <f t="shared" si="34"/>
        <v>0.55106382978723412</v>
      </c>
    </row>
    <row r="439" spans="1:20">
      <c r="A439" s="154">
        <v>267</v>
      </c>
      <c r="B439" s="156">
        <v>300037</v>
      </c>
      <c r="C439" s="133" t="s">
        <v>2736</v>
      </c>
      <c r="D439" s="155" t="s">
        <v>2324</v>
      </c>
      <c r="E439" s="154">
        <v>18</v>
      </c>
      <c r="F439" s="154">
        <v>10</v>
      </c>
      <c r="G439" s="154">
        <v>8</v>
      </c>
      <c r="H439" s="154">
        <v>0</v>
      </c>
      <c r="I439" s="154">
        <v>0</v>
      </c>
      <c r="J439" s="154">
        <v>0</v>
      </c>
      <c r="K439" s="154">
        <v>0.84499999999999997</v>
      </c>
      <c r="L439" s="154">
        <v>0.93899999999999995</v>
      </c>
      <c r="M439" s="154">
        <v>1.163</v>
      </c>
      <c r="N439" s="154">
        <v>1.456</v>
      </c>
      <c r="O439" s="108">
        <f t="shared" si="30"/>
        <v>0.1112426035502958</v>
      </c>
      <c r="P439" s="108">
        <f t="shared" si="31"/>
        <v>0.23855165069222584</v>
      </c>
      <c r="Q439" s="108">
        <f t="shared" si="32"/>
        <v>0.25193465176268259</v>
      </c>
      <c r="S439" s="109">
        <f t="shared" si="33"/>
        <v>0.72307692307692317</v>
      </c>
      <c r="T439" s="109">
        <f t="shared" si="34"/>
        <v>0.5505857294994676</v>
      </c>
    </row>
    <row r="440" spans="1:20">
      <c r="A440" s="154">
        <v>270</v>
      </c>
      <c r="B440" s="156">
        <v>601111</v>
      </c>
      <c r="C440" s="133" t="s">
        <v>2737</v>
      </c>
      <c r="D440" s="155" t="s">
        <v>2324</v>
      </c>
      <c r="E440" s="154">
        <v>18</v>
      </c>
      <c r="F440" s="154">
        <v>12</v>
      </c>
      <c r="G440" s="154">
        <v>6</v>
      </c>
      <c r="H440" s="154">
        <v>0</v>
      </c>
      <c r="I440" s="154">
        <v>0</v>
      </c>
      <c r="J440" s="154">
        <v>0</v>
      </c>
      <c r="K440" s="154">
        <v>0.505</v>
      </c>
      <c r="L440" s="154">
        <v>0.53500000000000003</v>
      </c>
      <c r="M440" s="154">
        <v>0.68600000000000005</v>
      </c>
      <c r="N440" s="154">
        <v>0.82899999999999996</v>
      </c>
      <c r="O440" s="108">
        <f t="shared" si="30"/>
        <v>5.9405940594059459E-2</v>
      </c>
      <c r="P440" s="108">
        <f t="shared" si="31"/>
        <v>0.28224299065420566</v>
      </c>
      <c r="Q440" s="108">
        <f t="shared" si="32"/>
        <v>0.20845481049562675</v>
      </c>
      <c r="S440" s="109">
        <f t="shared" si="33"/>
        <v>0.64158415841584149</v>
      </c>
      <c r="T440" s="109">
        <f t="shared" si="34"/>
        <v>0.54953271028037376</v>
      </c>
    </row>
    <row r="441" spans="1:20">
      <c r="A441" s="154">
        <v>45</v>
      </c>
      <c r="B441" s="156">
        <v>300388</v>
      </c>
      <c r="C441" s="133" t="s">
        <v>1442</v>
      </c>
      <c r="D441" s="155" t="s">
        <v>2324</v>
      </c>
      <c r="E441" s="154">
        <v>40</v>
      </c>
      <c r="F441" s="154">
        <v>22</v>
      </c>
      <c r="G441" s="154">
        <v>18</v>
      </c>
      <c r="H441" s="154">
        <v>0</v>
      </c>
      <c r="I441" s="154">
        <v>0</v>
      </c>
      <c r="J441" s="154">
        <v>0</v>
      </c>
      <c r="K441" s="154">
        <v>0.41899999999999998</v>
      </c>
      <c r="L441" s="154">
        <v>0.50800000000000001</v>
      </c>
      <c r="M441" s="154">
        <v>0.64200000000000002</v>
      </c>
      <c r="N441" s="154">
        <v>0.78700000000000003</v>
      </c>
      <c r="O441" s="108">
        <f t="shared" si="30"/>
        <v>0.2124105011933175</v>
      </c>
      <c r="P441" s="108">
        <f t="shared" si="31"/>
        <v>0.26377952755905509</v>
      </c>
      <c r="Q441" s="108">
        <f t="shared" si="32"/>
        <v>0.22585669781931461</v>
      </c>
      <c r="S441" s="109">
        <f t="shared" si="33"/>
        <v>0.87828162291169476</v>
      </c>
      <c r="T441" s="109">
        <f t="shared" si="34"/>
        <v>0.54921259842519699</v>
      </c>
    </row>
    <row r="442" spans="1:20">
      <c r="A442" s="154">
        <v>925</v>
      </c>
      <c r="B442" s="156">
        <v>300463</v>
      </c>
      <c r="C442" s="133" t="s">
        <v>2738</v>
      </c>
      <c r="D442" s="155" t="s">
        <v>2324</v>
      </c>
      <c r="E442" s="154">
        <v>4</v>
      </c>
      <c r="F442" s="154">
        <v>3</v>
      </c>
      <c r="G442" s="154">
        <v>1</v>
      </c>
      <c r="H442" s="154">
        <v>0</v>
      </c>
      <c r="I442" s="154">
        <v>0</v>
      </c>
      <c r="J442" s="154">
        <v>0</v>
      </c>
      <c r="K442" s="154">
        <v>0.79800000000000004</v>
      </c>
      <c r="L442" s="154">
        <v>0.95499999999999996</v>
      </c>
      <c r="M442" s="154">
        <v>1.1879999999999999</v>
      </c>
      <c r="N442" s="154">
        <v>1.4790000000000001</v>
      </c>
      <c r="O442" s="108">
        <f t="shared" si="30"/>
        <v>0.19674185463659133</v>
      </c>
      <c r="P442" s="108">
        <f t="shared" si="31"/>
        <v>0.24397905759162297</v>
      </c>
      <c r="Q442" s="108">
        <f t="shared" si="32"/>
        <v>0.24494949494949503</v>
      </c>
      <c r="S442" s="109">
        <f t="shared" si="33"/>
        <v>0.85338345864661647</v>
      </c>
      <c r="T442" s="109">
        <f t="shared" si="34"/>
        <v>0.54869109947644001</v>
      </c>
    </row>
    <row r="443" spans="1:20">
      <c r="A443" s="154">
        <v>400</v>
      </c>
      <c r="B443" s="156">
        <v>600183</v>
      </c>
      <c r="C443" s="133" t="s">
        <v>2739</v>
      </c>
      <c r="D443" s="155" t="s">
        <v>2324</v>
      </c>
      <c r="E443" s="154">
        <v>13</v>
      </c>
      <c r="F443" s="154">
        <v>9</v>
      </c>
      <c r="G443" s="154">
        <v>4</v>
      </c>
      <c r="H443" s="154">
        <v>0</v>
      </c>
      <c r="I443" s="154">
        <v>0</v>
      </c>
      <c r="J443" s="154">
        <v>0</v>
      </c>
      <c r="K443" s="154">
        <v>0.44</v>
      </c>
      <c r="L443" s="154">
        <v>0.59899999999999998</v>
      </c>
      <c r="M443" s="154">
        <v>0.76500000000000001</v>
      </c>
      <c r="N443" s="154">
        <v>0.92700000000000005</v>
      </c>
      <c r="O443" s="108">
        <f t="shared" si="30"/>
        <v>0.36136363636363633</v>
      </c>
      <c r="P443" s="108">
        <f t="shared" si="31"/>
        <v>0.27712854757929883</v>
      </c>
      <c r="Q443" s="108">
        <f t="shared" si="32"/>
        <v>0.21176470588235308</v>
      </c>
      <c r="S443" s="109">
        <f t="shared" si="33"/>
        <v>1.1068181818181819</v>
      </c>
      <c r="T443" s="109">
        <f t="shared" si="34"/>
        <v>0.54757929883138567</v>
      </c>
    </row>
    <row r="444" spans="1:20">
      <c r="A444" s="154">
        <v>424</v>
      </c>
      <c r="B444" s="156">
        <v>2065</v>
      </c>
      <c r="C444" s="133" t="s">
        <v>2740</v>
      </c>
      <c r="D444" s="155" t="s">
        <v>2324</v>
      </c>
      <c r="E444" s="154">
        <v>12</v>
      </c>
      <c r="F444" s="154">
        <v>11</v>
      </c>
      <c r="G444" s="154">
        <v>1</v>
      </c>
      <c r="H444" s="154">
        <v>0</v>
      </c>
      <c r="I444" s="154">
        <v>0</v>
      </c>
      <c r="J444" s="154">
        <v>0</v>
      </c>
      <c r="K444" s="154">
        <v>0.25900000000000001</v>
      </c>
      <c r="L444" s="154">
        <v>0.311</v>
      </c>
      <c r="M444" s="154">
        <v>0.373</v>
      </c>
      <c r="N444" s="154">
        <v>0.48099999999999998</v>
      </c>
      <c r="O444" s="108">
        <f t="shared" si="30"/>
        <v>0.20077220077220082</v>
      </c>
      <c r="P444" s="108">
        <f t="shared" si="31"/>
        <v>0.19935691318327975</v>
      </c>
      <c r="Q444" s="108">
        <f t="shared" si="32"/>
        <v>0.28954423592493295</v>
      </c>
      <c r="S444" s="109">
        <f t="shared" si="33"/>
        <v>0.85714285714285698</v>
      </c>
      <c r="T444" s="109">
        <f t="shared" si="34"/>
        <v>0.54662379421221852</v>
      </c>
    </row>
    <row r="445" spans="1:20">
      <c r="A445" s="154">
        <v>948</v>
      </c>
      <c r="B445" s="156">
        <v>2568</v>
      </c>
      <c r="C445" s="133" t="s">
        <v>2741</v>
      </c>
      <c r="D445" s="155" t="s">
        <v>2324</v>
      </c>
      <c r="E445" s="154">
        <v>4</v>
      </c>
      <c r="F445" s="154">
        <v>4</v>
      </c>
      <c r="G445" s="154">
        <v>0</v>
      </c>
      <c r="H445" s="154">
        <v>0</v>
      </c>
      <c r="I445" s="154">
        <v>0</v>
      </c>
      <c r="J445" s="154">
        <v>0</v>
      </c>
      <c r="K445" s="154">
        <v>0.23799999999999999</v>
      </c>
      <c r="L445" s="154">
        <v>0.56399999999999995</v>
      </c>
      <c r="M445" s="154">
        <v>0.70499999999999996</v>
      </c>
      <c r="N445" s="154">
        <v>0.872</v>
      </c>
      <c r="O445" s="108">
        <f t="shared" si="30"/>
        <v>1.3697478991596639</v>
      </c>
      <c r="P445" s="108">
        <f t="shared" si="31"/>
        <v>0.25</v>
      </c>
      <c r="Q445" s="108">
        <f t="shared" si="32"/>
        <v>0.23687943262411348</v>
      </c>
      <c r="S445" s="109">
        <f t="shared" si="33"/>
        <v>2.6638655462184877</v>
      </c>
      <c r="T445" s="109">
        <f t="shared" si="34"/>
        <v>0.54609929078014208</v>
      </c>
    </row>
    <row r="446" spans="1:20">
      <c r="A446" s="154">
        <v>953</v>
      </c>
      <c r="B446" s="156">
        <v>2568</v>
      </c>
      <c r="C446" s="133" t="s">
        <v>2741</v>
      </c>
      <c r="D446" s="155" t="s">
        <v>2324</v>
      </c>
      <c r="E446" s="154">
        <v>4</v>
      </c>
      <c r="F446" s="154">
        <v>4</v>
      </c>
      <c r="G446" s="154">
        <v>0</v>
      </c>
      <c r="H446" s="154">
        <v>0</v>
      </c>
      <c r="I446" s="154">
        <v>0</v>
      </c>
      <c r="J446" s="154">
        <v>0</v>
      </c>
      <c r="K446" s="154">
        <v>0.23799999999999999</v>
      </c>
      <c r="L446" s="154">
        <v>0.56399999999999995</v>
      </c>
      <c r="M446" s="154">
        <v>0.70499999999999996</v>
      </c>
      <c r="N446" s="154">
        <v>0.872</v>
      </c>
      <c r="O446" s="108">
        <f t="shared" si="30"/>
        <v>1.3697478991596639</v>
      </c>
      <c r="P446" s="108">
        <f t="shared" si="31"/>
        <v>0.25</v>
      </c>
      <c r="Q446" s="108">
        <f t="shared" si="32"/>
        <v>0.23687943262411348</v>
      </c>
      <c r="S446" s="109">
        <f t="shared" si="33"/>
        <v>2.6638655462184877</v>
      </c>
      <c r="T446" s="109">
        <f t="shared" si="34"/>
        <v>0.54609929078014208</v>
      </c>
    </row>
    <row r="447" spans="1:20">
      <c r="A447" s="154">
        <v>725</v>
      </c>
      <c r="B447" s="156">
        <v>603966</v>
      </c>
      <c r="C447" s="133" t="s">
        <v>2742</v>
      </c>
      <c r="D447" s="155" t="s">
        <v>2324</v>
      </c>
      <c r="E447" s="154">
        <v>6</v>
      </c>
      <c r="F447" s="154">
        <v>1</v>
      </c>
      <c r="G447" s="154">
        <v>5</v>
      </c>
      <c r="H447" s="154">
        <v>0</v>
      </c>
      <c r="I447" s="154">
        <v>0</v>
      </c>
      <c r="J447" s="154">
        <v>0</v>
      </c>
      <c r="K447" s="154">
        <v>0.313</v>
      </c>
      <c r="L447" s="154">
        <v>0.48199999999999998</v>
      </c>
      <c r="M447" s="154">
        <v>0.61899999999999999</v>
      </c>
      <c r="N447" s="154">
        <v>0.745</v>
      </c>
      <c r="O447" s="108">
        <f t="shared" si="30"/>
        <v>0.53993610223642174</v>
      </c>
      <c r="P447" s="108">
        <f t="shared" si="31"/>
        <v>0.28423236514522832</v>
      </c>
      <c r="Q447" s="108">
        <f t="shared" si="32"/>
        <v>0.20355411954765756</v>
      </c>
      <c r="S447" s="109">
        <f t="shared" si="33"/>
        <v>1.380191693290735</v>
      </c>
      <c r="T447" s="109">
        <f t="shared" si="34"/>
        <v>0.54564315352697101</v>
      </c>
    </row>
    <row r="448" spans="1:20">
      <c r="A448" s="154">
        <v>114</v>
      </c>
      <c r="B448" s="156">
        <v>601799</v>
      </c>
      <c r="C448" s="133" t="s">
        <v>2743</v>
      </c>
      <c r="D448" s="155" t="s">
        <v>2324</v>
      </c>
      <c r="E448" s="154">
        <v>29</v>
      </c>
      <c r="F448" s="154">
        <v>18</v>
      </c>
      <c r="G448" s="154">
        <v>11</v>
      </c>
      <c r="H448" s="154">
        <v>0</v>
      </c>
      <c r="I448" s="154">
        <v>0</v>
      </c>
      <c r="J448" s="154">
        <v>0</v>
      </c>
      <c r="K448" s="154">
        <v>2.2109999999999999</v>
      </c>
      <c r="L448" s="154">
        <v>2.75</v>
      </c>
      <c r="M448" s="154">
        <v>3.4569999999999999</v>
      </c>
      <c r="N448" s="154">
        <v>4.2489999999999997</v>
      </c>
      <c r="O448" s="108">
        <f t="shared" si="30"/>
        <v>0.2437810945273633</v>
      </c>
      <c r="P448" s="108">
        <f t="shared" si="31"/>
        <v>0.25709090909090904</v>
      </c>
      <c r="Q448" s="108">
        <f t="shared" si="32"/>
        <v>0.22910037604859701</v>
      </c>
      <c r="S448" s="109">
        <f t="shared" si="33"/>
        <v>0.92175486205336954</v>
      </c>
      <c r="T448" s="109">
        <f t="shared" si="34"/>
        <v>0.54509090909090907</v>
      </c>
    </row>
    <row r="449" spans="1:20">
      <c r="A449" s="154">
        <v>870</v>
      </c>
      <c r="B449" s="156">
        <v>543</v>
      </c>
      <c r="C449" s="133" t="s">
        <v>2744</v>
      </c>
      <c r="D449" s="155" t="s">
        <v>2324</v>
      </c>
      <c r="E449" s="154">
        <v>4</v>
      </c>
      <c r="F449" s="154">
        <v>3</v>
      </c>
      <c r="G449" s="154">
        <v>1</v>
      </c>
      <c r="H449" s="154">
        <v>0</v>
      </c>
      <c r="I449" s="154">
        <v>0</v>
      </c>
      <c r="J449" s="154">
        <v>0</v>
      </c>
      <c r="K449" s="154">
        <v>0.245</v>
      </c>
      <c r="L449" s="154">
        <v>0.4</v>
      </c>
      <c r="M449" s="154">
        <v>0.55400000000000005</v>
      </c>
      <c r="N449" s="154">
        <v>0.61799999999999999</v>
      </c>
      <c r="O449" s="108">
        <f t="shared" si="30"/>
        <v>0.63265306122448983</v>
      </c>
      <c r="P449" s="108">
        <f t="shared" si="31"/>
        <v>0.38500000000000001</v>
      </c>
      <c r="Q449" s="108">
        <f t="shared" si="32"/>
        <v>0.11552346570397098</v>
      </c>
      <c r="S449" s="109">
        <f t="shared" si="33"/>
        <v>1.5224489795918368</v>
      </c>
      <c r="T449" s="109">
        <f t="shared" si="34"/>
        <v>0.54499999999999993</v>
      </c>
    </row>
    <row r="450" spans="1:20">
      <c r="A450" s="154">
        <v>591</v>
      </c>
      <c r="B450" s="156">
        <v>300445</v>
      </c>
      <c r="C450" s="133" t="s">
        <v>2745</v>
      </c>
      <c r="D450" s="155" t="s">
        <v>2324</v>
      </c>
      <c r="E450" s="154">
        <v>8</v>
      </c>
      <c r="F450" s="154">
        <v>1</v>
      </c>
      <c r="G450" s="154">
        <v>7</v>
      </c>
      <c r="H450" s="154">
        <v>0</v>
      </c>
      <c r="I450" s="154">
        <v>0</v>
      </c>
      <c r="J450" s="154">
        <v>0</v>
      </c>
      <c r="K450" s="154">
        <v>0.45200000000000001</v>
      </c>
      <c r="L450" s="154">
        <v>0.55800000000000005</v>
      </c>
      <c r="M450" s="154">
        <v>0.68300000000000005</v>
      </c>
      <c r="N450" s="154">
        <v>0.86199999999999999</v>
      </c>
      <c r="O450" s="108">
        <f t="shared" si="30"/>
        <v>0.23451327433628322</v>
      </c>
      <c r="P450" s="108">
        <f t="shared" si="31"/>
        <v>0.22401433691756267</v>
      </c>
      <c r="Q450" s="108">
        <f t="shared" si="32"/>
        <v>0.26207906295754024</v>
      </c>
      <c r="S450" s="109">
        <f t="shared" si="33"/>
        <v>0.90707964601769908</v>
      </c>
      <c r="T450" s="109">
        <f t="shared" si="34"/>
        <v>0.54480286738351236</v>
      </c>
    </row>
    <row r="451" spans="1:20">
      <c r="A451" s="154">
        <v>289</v>
      </c>
      <c r="B451" s="156">
        <v>300274</v>
      </c>
      <c r="C451" s="133" t="s">
        <v>2746</v>
      </c>
      <c r="D451" s="155" t="s">
        <v>2324</v>
      </c>
      <c r="E451" s="154">
        <v>17</v>
      </c>
      <c r="F451" s="154">
        <v>12</v>
      </c>
      <c r="G451" s="154">
        <v>5</v>
      </c>
      <c r="H451" s="154">
        <v>0</v>
      </c>
      <c r="I451" s="154">
        <v>0</v>
      </c>
      <c r="J451" s="154">
        <v>0</v>
      </c>
      <c r="K451" s="154">
        <v>0.55600000000000005</v>
      </c>
      <c r="L451" s="154">
        <v>0.67400000000000004</v>
      </c>
      <c r="M451" s="154">
        <v>0.85199999999999998</v>
      </c>
      <c r="N451" s="154">
        <v>1.0409999999999999</v>
      </c>
      <c r="O451" s="108">
        <f t="shared" ref="O451:O514" si="35">L451/K451-1</f>
        <v>0.21223021582733814</v>
      </c>
      <c r="P451" s="108">
        <f t="shared" ref="P451:P514" si="36">M451/L451-1</f>
        <v>0.26409495548961415</v>
      </c>
      <c r="Q451" s="108">
        <f t="shared" ref="Q451:Q514" si="37">N451/M451-1</f>
        <v>0.221830985915493</v>
      </c>
      <c r="S451" s="109">
        <f t="shared" ref="S451:S514" si="38">N451/K451-1</f>
        <v>0.87230215827338098</v>
      </c>
      <c r="T451" s="109">
        <f t="shared" ref="T451:T514" si="39">N451/L451-1</f>
        <v>0.54451038575667643</v>
      </c>
    </row>
    <row r="452" spans="1:20">
      <c r="A452" s="154">
        <v>60</v>
      </c>
      <c r="B452" s="156">
        <v>300699</v>
      </c>
      <c r="C452" s="133" t="s">
        <v>2747</v>
      </c>
      <c r="D452" s="155" t="s">
        <v>2324</v>
      </c>
      <c r="E452" s="154">
        <v>36</v>
      </c>
      <c r="F452" s="154">
        <v>26</v>
      </c>
      <c r="G452" s="154">
        <v>10</v>
      </c>
      <c r="H452" s="154">
        <v>0</v>
      </c>
      <c r="I452" s="154">
        <v>0</v>
      </c>
      <c r="J452" s="154">
        <v>0</v>
      </c>
      <c r="K452" s="154">
        <v>0.72699999999999998</v>
      </c>
      <c r="L452" s="154">
        <v>0.99399999999999999</v>
      </c>
      <c r="M452" s="154">
        <v>1.2430000000000001</v>
      </c>
      <c r="N452" s="154">
        <v>1.5349999999999999</v>
      </c>
      <c r="O452" s="108">
        <f t="shared" si="35"/>
        <v>0.36726272352132061</v>
      </c>
      <c r="P452" s="108">
        <f t="shared" si="36"/>
        <v>0.25050301810865205</v>
      </c>
      <c r="Q452" s="108">
        <f t="shared" si="37"/>
        <v>0.2349155269509251</v>
      </c>
      <c r="S452" s="109">
        <f t="shared" si="38"/>
        <v>1.1114167812929847</v>
      </c>
      <c r="T452" s="109">
        <f t="shared" si="39"/>
        <v>0.54426559356136806</v>
      </c>
    </row>
    <row r="453" spans="1:20">
      <c r="A453" s="154">
        <v>763</v>
      </c>
      <c r="B453" s="156">
        <v>300041</v>
      </c>
      <c r="C453" s="133" t="s">
        <v>2748</v>
      </c>
      <c r="D453" s="155" t="s">
        <v>2324</v>
      </c>
      <c r="E453" s="154">
        <v>6</v>
      </c>
      <c r="F453" s="154">
        <v>0</v>
      </c>
      <c r="G453" s="154">
        <v>6</v>
      </c>
      <c r="H453" s="154">
        <v>0</v>
      </c>
      <c r="I453" s="154">
        <v>0</v>
      </c>
      <c r="J453" s="154">
        <v>0</v>
      </c>
      <c r="K453" s="154">
        <v>0.27900000000000003</v>
      </c>
      <c r="L453" s="154">
        <v>0.41</v>
      </c>
      <c r="M453" s="154">
        <v>0.51200000000000001</v>
      </c>
      <c r="N453" s="154">
        <v>0.63300000000000001</v>
      </c>
      <c r="O453" s="108">
        <f t="shared" si="35"/>
        <v>0.46953405017921135</v>
      </c>
      <c r="P453" s="108">
        <f t="shared" si="36"/>
        <v>0.24878048780487805</v>
      </c>
      <c r="Q453" s="108">
        <f t="shared" si="37"/>
        <v>0.236328125</v>
      </c>
      <c r="S453" s="109">
        <f t="shared" si="38"/>
        <v>1.268817204301075</v>
      </c>
      <c r="T453" s="109">
        <f t="shared" si="39"/>
        <v>0.54390243902439028</v>
      </c>
    </row>
    <row r="454" spans="1:20">
      <c r="A454" s="154">
        <v>39</v>
      </c>
      <c r="B454" s="156">
        <v>300413</v>
      </c>
      <c r="C454" s="133" t="s">
        <v>2749</v>
      </c>
      <c r="D454" s="155" t="s">
        <v>2324</v>
      </c>
      <c r="E454" s="154">
        <v>42</v>
      </c>
      <c r="F454" s="154">
        <v>33</v>
      </c>
      <c r="G454" s="154">
        <v>9</v>
      </c>
      <c r="H454" s="154">
        <v>0</v>
      </c>
      <c r="I454" s="154">
        <v>0</v>
      </c>
      <c r="J454" s="154">
        <v>0</v>
      </c>
      <c r="K454" s="154">
        <v>0.48599999999999999</v>
      </c>
      <c r="L454" s="154">
        <v>0.65400000000000003</v>
      </c>
      <c r="M454" s="154">
        <v>0.84899999999999998</v>
      </c>
      <c r="N454" s="154">
        <v>1.0089999999999999</v>
      </c>
      <c r="O454" s="108">
        <f t="shared" si="35"/>
        <v>0.34567901234567899</v>
      </c>
      <c r="P454" s="108">
        <f t="shared" si="36"/>
        <v>0.29816513761467878</v>
      </c>
      <c r="Q454" s="108">
        <f t="shared" si="37"/>
        <v>0.18845700824499412</v>
      </c>
      <c r="S454" s="109">
        <f t="shared" si="38"/>
        <v>1.0761316872427984</v>
      </c>
      <c r="T454" s="109">
        <f t="shared" si="39"/>
        <v>0.54281345565749217</v>
      </c>
    </row>
    <row r="455" spans="1:20">
      <c r="A455" s="154">
        <v>146</v>
      </c>
      <c r="B455" s="156">
        <v>600699</v>
      </c>
      <c r="C455" s="133" t="s">
        <v>2750</v>
      </c>
      <c r="D455" s="155" t="s">
        <v>2324</v>
      </c>
      <c r="E455" s="154">
        <v>26</v>
      </c>
      <c r="F455" s="154">
        <v>19</v>
      </c>
      <c r="G455" s="154">
        <v>7</v>
      </c>
      <c r="H455" s="154">
        <v>0</v>
      </c>
      <c r="I455" s="154">
        <v>0</v>
      </c>
      <c r="J455" s="154">
        <v>0</v>
      </c>
      <c r="K455" s="154">
        <v>1.0649999999999999</v>
      </c>
      <c r="L455" s="154">
        <v>0.9</v>
      </c>
      <c r="M455" s="154">
        <v>1.1140000000000001</v>
      </c>
      <c r="N455" s="154">
        <v>1.387</v>
      </c>
      <c r="O455" s="108">
        <f t="shared" si="35"/>
        <v>-0.15492957746478864</v>
      </c>
      <c r="P455" s="108">
        <f t="shared" si="36"/>
        <v>0.23777777777777787</v>
      </c>
      <c r="Q455" s="108">
        <f t="shared" si="37"/>
        <v>0.24506283662477557</v>
      </c>
      <c r="S455" s="109">
        <f t="shared" si="38"/>
        <v>0.30234741784037555</v>
      </c>
      <c r="T455" s="109">
        <f t="shared" si="39"/>
        <v>0.5411111111111111</v>
      </c>
    </row>
    <row r="456" spans="1:20">
      <c r="A456" s="154">
        <v>834</v>
      </c>
      <c r="B456" s="156">
        <v>300296</v>
      </c>
      <c r="C456" s="133" t="s">
        <v>2751</v>
      </c>
      <c r="D456" s="155" t="s">
        <v>2324</v>
      </c>
      <c r="E456" s="154">
        <v>5</v>
      </c>
      <c r="F456" s="154">
        <v>2</v>
      </c>
      <c r="G456" s="154">
        <v>3</v>
      </c>
      <c r="H456" s="154">
        <v>0</v>
      </c>
      <c r="I456" s="154">
        <v>0</v>
      </c>
      <c r="J456" s="154">
        <v>0</v>
      </c>
      <c r="K456" s="154">
        <v>0.497</v>
      </c>
      <c r="L456" s="154">
        <v>0.46800000000000003</v>
      </c>
      <c r="M456" s="154">
        <v>0.60699999999999998</v>
      </c>
      <c r="N456" s="154">
        <v>0.72099999999999997</v>
      </c>
      <c r="O456" s="108">
        <f t="shared" si="35"/>
        <v>-5.8350100603621669E-2</v>
      </c>
      <c r="P456" s="108">
        <f t="shared" si="36"/>
        <v>0.29700854700854684</v>
      </c>
      <c r="Q456" s="108">
        <f t="shared" si="37"/>
        <v>0.18780889621087304</v>
      </c>
      <c r="S456" s="109">
        <f t="shared" si="38"/>
        <v>0.45070422535211274</v>
      </c>
      <c r="T456" s="109">
        <f t="shared" si="39"/>
        <v>0.54059829059829045</v>
      </c>
    </row>
    <row r="457" spans="1:20">
      <c r="A457" s="154">
        <v>42</v>
      </c>
      <c r="B457" s="156">
        <v>603899</v>
      </c>
      <c r="C457" s="133" t="s">
        <v>2752</v>
      </c>
      <c r="D457" s="155" t="s">
        <v>2324</v>
      </c>
      <c r="E457" s="154">
        <v>41</v>
      </c>
      <c r="F457" s="154">
        <v>28</v>
      </c>
      <c r="G457" s="154">
        <v>13</v>
      </c>
      <c r="H457" s="154">
        <v>0</v>
      </c>
      <c r="I457" s="154">
        <v>0</v>
      </c>
      <c r="J457" s="154">
        <v>0</v>
      </c>
      <c r="K457" s="154">
        <v>0.877</v>
      </c>
      <c r="L457" s="154">
        <v>1.121</v>
      </c>
      <c r="M457" s="154">
        <v>1.4</v>
      </c>
      <c r="N457" s="154">
        <v>1.7270000000000001</v>
      </c>
      <c r="O457" s="108">
        <f t="shared" si="35"/>
        <v>0.27822120866590638</v>
      </c>
      <c r="P457" s="108">
        <f t="shared" si="36"/>
        <v>0.24888492417484387</v>
      </c>
      <c r="Q457" s="108">
        <f t="shared" si="37"/>
        <v>0.23357142857142876</v>
      </c>
      <c r="S457" s="109">
        <f t="shared" si="38"/>
        <v>0.96921322690992029</v>
      </c>
      <c r="T457" s="109">
        <f t="shared" si="39"/>
        <v>0.54058876003568246</v>
      </c>
    </row>
    <row r="458" spans="1:20">
      <c r="A458" s="154">
        <v>773</v>
      </c>
      <c r="B458" s="156">
        <v>2034</v>
      </c>
      <c r="C458" s="133" t="s">
        <v>2753</v>
      </c>
      <c r="D458" s="155" t="s">
        <v>2324</v>
      </c>
      <c r="E458" s="154">
        <v>6</v>
      </c>
      <c r="F458" s="154">
        <v>3</v>
      </c>
      <c r="G458" s="154">
        <v>3</v>
      </c>
      <c r="H458" s="154">
        <v>0</v>
      </c>
      <c r="I458" s="154">
        <v>0</v>
      </c>
      <c r="J458" s="154">
        <v>0</v>
      </c>
      <c r="K458" s="154">
        <v>0.72799999999999998</v>
      </c>
      <c r="L458" s="154">
        <v>0.98099999999999998</v>
      </c>
      <c r="M458" s="154">
        <v>1.234</v>
      </c>
      <c r="N458" s="154">
        <v>1.5109999999999999</v>
      </c>
      <c r="O458" s="108">
        <f t="shared" si="35"/>
        <v>0.34752747252747263</v>
      </c>
      <c r="P458" s="108">
        <f t="shared" si="36"/>
        <v>0.25790010193679924</v>
      </c>
      <c r="Q458" s="108">
        <f t="shared" si="37"/>
        <v>0.22447325769854132</v>
      </c>
      <c r="S458" s="109">
        <f t="shared" si="38"/>
        <v>1.0755494505494503</v>
      </c>
      <c r="T458" s="109">
        <f t="shared" si="39"/>
        <v>0.54026503567787953</v>
      </c>
    </row>
    <row r="459" spans="1:20">
      <c r="A459" s="154">
        <v>388</v>
      </c>
      <c r="B459" s="156">
        <v>300114</v>
      </c>
      <c r="C459" s="133" t="s">
        <v>2754</v>
      </c>
      <c r="D459" s="155" t="s">
        <v>2324</v>
      </c>
      <c r="E459" s="154">
        <v>13</v>
      </c>
      <c r="F459" s="154">
        <v>11</v>
      </c>
      <c r="G459" s="154">
        <v>2</v>
      </c>
      <c r="H459" s="154">
        <v>0</v>
      </c>
      <c r="I459" s="154">
        <v>0</v>
      </c>
      <c r="J459" s="154">
        <v>0</v>
      </c>
      <c r="K459" s="154">
        <v>0.26400000000000001</v>
      </c>
      <c r="L459" s="154">
        <v>0.35</v>
      </c>
      <c r="M459" s="154">
        <v>0.438</v>
      </c>
      <c r="N459" s="154">
        <v>0.53900000000000003</v>
      </c>
      <c r="O459" s="108">
        <f t="shared" si="35"/>
        <v>0.32575757575757569</v>
      </c>
      <c r="P459" s="108">
        <f t="shared" si="36"/>
        <v>0.25142857142857156</v>
      </c>
      <c r="Q459" s="108">
        <f t="shared" si="37"/>
        <v>0.23059360730593625</v>
      </c>
      <c r="S459" s="109">
        <f t="shared" si="38"/>
        <v>1.0416666666666665</v>
      </c>
      <c r="T459" s="109">
        <f t="shared" si="39"/>
        <v>0.54000000000000026</v>
      </c>
    </row>
    <row r="460" spans="1:20">
      <c r="A460" s="154">
        <v>245</v>
      </c>
      <c r="B460" s="156">
        <v>2439</v>
      </c>
      <c r="C460" s="133" t="s">
        <v>2755</v>
      </c>
      <c r="D460" s="155" t="s">
        <v>2324</v>
      </c>
      <c r="E460" s="154">
        <v>19</v>
      </c>
      <c r="F460" s="154">
        <v>13</v>
      </c>
      <c r="G460" s="154">
        <v>6</v>
      </c>
      <c r="H460" s="154">
        <v>0</v>
      </c>
      <c r="I460" s="154">
        <v>0</v>
      </c>
      <c r="J460" s="154">
        <v>0</v>
      </c>
      <c r="K460" s="154">
        <v>0.63400000000000001</v>
      </c>
      <c r="L460" s="154">
        <v>0.79400000000000004</v>
      </c>
      <c r="M460" s="154">
        <v>0.97899999999999998</v>
      </c>
      <c r="N460" s="154">
        <v>1.222</v>
      </c>
      <c r="O460" s="108">
        <f t="shared" si="35"/>
        <v>0.25236593059936907</v>
      </c>
      <c r="P460" s="108">
        <f t="shared" si="36"/>
        <v>0.2329974811083122</v>
      </c>
      <c r="Q460" s="108">
        <f t="shared" si="37"/>
        <v>0.24821246169560784</v>
      </c>
      <c r="S460" s="109">
        <f t="shared" si="38"/>
        <v>0.9274447949526814</v>
      </c>
      <c r="T460" s="109">
        <f t="shared" si="39"/>
        <v>0.53904282115869018</v>
      </c>
    </row>
    <row r="461" spans="1:20">
      <c r="A461" s="154">
        <v>906</v>
      </c>
      <c r="B461" s="156">
        <v>603232</v>
      </c>
      <c r="C461" s="133" t="s">
        <v>2756</v>
      </c>
      <c r="D461" s="155" t="s">
        <v>2324</v>
      </c>
      <c r="E461" s="154">
        <v>4</v>
      </c>
      <c r="F461" s="154">
        <v>0</v>
      </c>
      <c r="G461" s="154">
        <v>4</v>
      </c>
      <c r="H461" s="154">
        <v>0</v>
      </c>
      <c r="I461" s="154">
        <v>0</v>
      </c>
      <c r="J461" s="154">
        <v>0</v>
      </c>
      <c r="K461" s="154">
        <v>0.59199999999999997</v>
      </c>
      <c r="L461" s="154">
        <v>0.69399999999999995</v>
      </c>
      <c r="M461" s="154">
        <v>0.84599999999999997</v>
      </c>
      <c r="N461" s="154">
        <v>1.0680000000000001</v>
      </c>
      <c r="O461" s="108">
        <f t="shared" si="35"/>
        <v>0.17229729729729737</v>
      </c>
      <c r="P461" s="108">
        <f t="shared" si="36"/>
        <v>0.21902017291066289</v>
      </c>
      <c r="Q461" s="108">
        <f t="shared" si="37"/>
        <v>0.26241134751773054</v>
      </c>
      <c r="S461" s="109">
        <f t="shared" si="38"/>
        <v>0.80405405405405417</v>
      </c>
      <c r="T461" s="109">
        <f t="shared" si="39"/>
        <v>0.53890489913544681</v>
      </c>
    </row>
    <row r="462" spans="1:20">
      <c r="A462" s="154">
        <v>255</v>
      </c>
      <c r="B462" s="156">
        <v>600606</v>
      </c>
      <c r="C462" s="133" t="s">
        <v>2757</v>
      </c>
      <c r="D462" s="155" t="s">
        <v>2324</v>
      </c>
      <c r="E462" s="154">
        <v>19</v>
      </c>
      <c r="F462" s="154">
        <v>16</v>
      </c>
      <c r="G462" s="154">
        <v>3</v>
      </c>
      <c r="H462" s="154">
        <v>0</v>
      </c>
      <c r="I462" s="154">
        <v>0</v>
      </c>
      <c r="J462" s="154">
        <v>0</v>
      </c>
      <c r="K462" s="154">
        <v>0.93500000000000005</v>
      </c>
      <c r="L462" s="154">
        <v>1.198</v>
      </c>
      <c r="M462" s="154">
        <v>1.4970000000000001</v>
      </c>
      <c r="N462" s="154">
        <v>1.843</v>
      </c>
      <c r="O462" s="108">
        <f t="shared" si="35"/>
        <v>0.28128342245989302</v>
      </c>
      <c r="P462" s="108">
        <f t="shared" si="36"/>
        <v>0.24958263772954936</v>
      </c>
      <c r="Q462" s="108">
        <f t="shared" si="37"/>
        <v>0.231128924515698</v>
      </c>
      <c r="S462" s="109">
        <f t="shared" si="38"/>
        <v>0.97112299465240626</v>
      </c>
      <c r="T462" s="109">
        <f t="shared" si="39"/>
        <v>0.53839732888146918</v>
      </c>
    </row>
    <row r="463" spans="1:20">
      <c r="A463" s="154">
        <v>215</v>
      </c>
      <c r="B463" s="156">
        <v>2422</v>
      </c>
      <c r="C463" s="133" t="s">
        <v>2758</v>
      </c>
      <c r="D463" s="155" t="s">
        <v>2324</v>
      </c>
      <c r="E463" s="154">
        <v>21</v>
      </c>
      <c r="F463" s="154">
        <v>17</v>
      </c>
      <c r="G463" s="154">
        <v>4</v>
      </c>
      <c r="H463" s="154">
        <v>0</v>
      </c>
      <c r="I463" s="154">
        <v>0</v>
      </c>
      <c r="J463" s="154">
        <v>0</v>
      </c>
      <c r="K463" s="154">
        <v>0.84199999999999997</v>
      </c>
      <c r="L463" s="154">
        <v>0.88500000000000001</v>
      </c>
      <c r="M463" s="154">
        <v>1.109</v>
      </c>
      <c r="N463" s="154">
        <v>1.361</v>
      </c>
      <c r="O463" s="108">
        <f t="shared" si="35"/>
        <v>5.1068883610451365E-2</v>
      </c>
      <c r="P463" s="108">
        <f t="shared" si="36"/>
        <v>0.25310734463276829</v>
      </c>
      <c r="Q463" s="108">
        <f t="shared" si="37"/>
        <v>0.22723174030658244</v>
      </c>
      <c r="S463" s="109">
        <f t="shared" si="38"/>
        <v>0.61638954869358664</v>
      </c>
      <c r="T463" s="109">
        <f t="shared" si="39"/>
        <v>0.53785310734463265</v>
      </c>
    </row>
    <row r="464" spans="1:20">
      <c r="A464" s="154">
        <v>128</v>
      </c>
      <c r="B464" s="156">
        <v>603233</v>
      </c>
      <c r="C464" s="133" t="s">
        <v>2759</v>
      </c>
      <c r="D464" s="155" t="s">
        <v>2324</v>
      </c>
      <c r="E464" s="154">
        <v>27</v>
      </c>
      <c r="F464" s="154">
        <v>18</v>
      </c>
      <c r="G464" s="154">
        <v>9</v>
      </c>
      <c r="H464" s="154">
        <v>0</v>
      </c>
      <c r="I464" s="154">
        <v>0</v>
      </c>
      <c r="J464" s="154">
        <v>0</v>
      </c>
      <c r="K464" s="154">
        <v>0.97199999999999998</v>
      </c>
      <c r="L464" s="154">
        <v>1.3360000000000001</v>
      </c>
      <c r="M464" s="154">
        <v>1.6819999999999999</v>
      </c>
      <c r="N464" s="154">
        <v>2.0539999999999998</v>
      </c>
      <c r="O464" s="108">
        <f t="shared" si="35"/>
        <v>0.37448559670781911</v>
      </c>
      <c r="P464" s="108">
        <f t="shared" si="36"/>
        <v>0.25898203592814362</v>
      </c>
      <c r="Q464" s="108">
        <f t="shared" si="37"/>
        <v>0.2211652794292509</v>
      </c>
      <c r="S464" s="109">
        <f t="shared" si="38"/>
        <v>1.1131687242798352</v>
      </c>
      <c r="T464" s="109">
        <f t="shared" si="39"/>
        <v>0.53742514970059863</v>
      </c>
    </row>
    <row r="465" spans="1:20">
      <c r="A465" s="154">
        <v>727</v>
      </c>
      <c r="B465" s="156">
        <v>603903</v>
      </c>
      <c r="C465" s="133" t="s">
        <v>2760</v>
      </c>
      <c r="D465" s="155" t="s">
        <v>2324</v>
      </c>
      <c r="E465" s="154">
        <v>6</v>
      </c>
      <c r="F465" s="154">
        <v>1</v>
      </c>
      <c r="G465" s="154">
        <v>5</v>
      </c>
      <c r="H465" s="154">
        <v>0</v>
      </c>
      <c r="I465" s="154">
        <v>0</v>
      </c>
      <c r="J465" s="154">
        <v>0</v>
      </c>
      <c r="K465" s="154">
        <v>0.64100000000000001</v>
      </c>
      <c r="L465" s="154">
        <v>0.73899999999999999</v>
      </c>
      <c r="M465" s="154">
        <v>0.93899999999999995</v>
      </c>
      <c r="N465" s="154">
        <v>1.1359999999999999</v>
      </c>
      <c r="O465" s="108">
        <f t="shared" si="35"/>
        <v>0.15288611544461772</v>
      </c>
      <c r="P465" s="108">
        <f t="shared" si="36"/>
        <v>0.27063599458728005</v>
      </c>
      <c r="Q465" s="108">
        <f t="shared" si="37"/>
        <v>0.20979765708200215</v>
      </c>
      <c r="S465" s="109">
        <f t="shared" si="38"/>
        <v>0.77223088923556915</v>
      </c>
      <c r="T465" s="109">
        <f t="shared" si="39"/>
        <v>0.53721244925575085</v>
      </c>
    </row>
    <row r="466" spans="1:20">
      <c r="A466" s="154">
        <v>509</v>
      </c>
      <c r="B466" s="156">
        <v>601200</v>
      </c>
      <c r="C466" s="133" t="s">
        <v>1461</v>
      </c>
      <c r="D466" s="155" t="s">
        <v>2324</v>
      </c>
      <c r="E466" s="154">
        <v>9</v>
      </c>
      <c r="F466" s="154">
        <v>6</v>
      </c>
      <c r="G466" s="154">
        <v>3</v>
      </c>
      <c r="H466" s="154">
        <v>0</v>
      </c>
      <c r="I466" s="154">
        <v>0</v>
      </c>
      <c r="J466" s="154">
        <v>0</v>
      </c>
      <c r="K466" s="154">
        <v>0.63300000000000001</v>
      </c>
      <c r="L466" s="154">
        <v>0.63700000000000001</v>
      </c>
      <c r="M466" s="154">
        <v>0.79700000000000004</v>
      </c>
      <c r="N466" s="154">
        <v>0.97899999999999998</v>
      </c>
      <c r="O466" s="108">
        <f t="shared" si="35"/>
        <v>6.3191153238546516E-3</v>
      </c>
      <c r="P466" s="108">
        <f t="shared" si="36"/>
        <v>0.25117739403453698</v>
      </c>
      <c r="Q466" s="108">
        <f t="shared" si="37"/>
        <v>0.22835633626097862</v>
      </c>
      <c r="S466" s="109">
        <f t="shared" si="38"/>
        <v>0.54660347551342814</v>
      </c>
      <c r="T466" s="109">
        <f t="shared" si="39"/>
        <v>0.53689167974882257</v>
      </c>
    </row>
    <row r="467" spans="1:20">
      <c r="A467" s="154">
        <v>2</v>
      </c>
      <c r="B467" s="156">
        <v>601633</v>
      </c>
      <c r="C467" s="133" t="s">
        <v>2761</v>
      </c>
      <c r="D467" s="155" t="s">
        <v>2324</v>
      </c>
      <c r="E467" s="154">
        <v>100</v>
      </c>
      <c r="F467" s="154">
        <v>68</v>
      </c>
      <c r="G467" s="154">
        <v>32</v>
      </c>
      <c r="H467" s="154">
        <v>0</v>
      </c>
      <c r="I467" s="154">
        <v>0</v>
      </c>
      <c r="J467" s="154">
        <v>0</v>
      </c>
      <c r="K467" s="154">
        <v>0.57099999999999995</v>
      </c>
      <c r="L467" s="154">
        <v>0.498</v>
      </c>
      <c r="M467" s="154">
        <v>0.629</v>
      </c>
      <c r="N467" s="154">
        <v>0.76500000000000001</v>
      </c>
      <c r="O467" s="108">
        <f t="shared" si="35"/>
        <v>-0.12784588441330991</v>
      </c>
      <c r="P467" s="108">
        <f t="shared" si="36"/>
        <v>0.26305220883534131</v>
      </c>
      <c r="Q467" s="108">
        <f t="shared" si="37"/>
        <v>0.21621621621621623</v>
      </c>
      <c r="S467" s="109">
        <f t="shared" si="38"/>
        <v>0.33975481611208425</v>
      </c>
      <c r="T467" s="109">
        <f t="shared" si="39"/>
        <v>0.53614457831325302</v>
      </c>
    </row>
    <row r="468" spans="1:20">
      <c r="A468" s="154">
        <v>208</v>
      </c>
      <c r="B468" s="156">
        <v>603883</v>
      </c>
      <c r="C468" s="133" t="s">
        <v>2762</v>
      </c>
      <c r="D468" s="155" t="s">
        <v>2324</v>
      </c>
      <c r="E468" s="154">
        <v>21</v>
      </c>
      <c r="F468" s="154">
        <v>14</v>
      </c>
      <c r="G468" s="154">
        <v>7</v>
      </c>
      <c r="H468" s="154">
        <v>0</v>
      </c>
      <c r="I468" s="154">
        <v>0</v>
      </c>
      <c r="J468" s="154">
        <v>0</v>
      </c>
      <c r="K468" s="154">
        <v>1.518</v>
      </c>
      <c r="L468" s="154">
        <v>1.859</v>
      </c>
      <c r="M468" s="154">
        <v>2.3010000000000002</v>
      </c>
      <c r="N468" s="154">
        <v>2.855</v>
      </c>
      <c r="O468" s="108">
        <f t="shared" si="35"/>
        <v>0.22463768115942018</v>
      </c>
      <c r="P468" s="108">
        <f t="shared" si="36"/>
        <v>0.23776223776223793</v>
      </c>
      <c r="Q468" s="108">
        <f t="shared" si="37"/>
        <v>0.24076488483268133</v>
      </c>
      <c r="S468" s="109">
        <f t="shared" si="38"/>
        <v>0.8807641633728589</v>
      </c>
      <c r="T468" s="109">
        <f t="shared" si="39"/>
        <v>0.53577192038730503</v>
      </c>
    </row>
    <row r="469" spans="1:20">
      <c r="A469" s="154">
        <v>523</v>
      </c>
      <c r="B469" s="156">
        <v>2706</v>
      </c>
      <c r="C469" s="133" t="s">
        <v>2763</v>
      </c>
      <c r="D469" s="155" t="s">
        <v>2324</v>
      </c>
      <c r="E469" s="154">
        <v>9</v>
      </c>
      <c r="F469" s="154">
        <v>7</v>
      </c>
      <c r="G469" s="154">
        <v>2</v>
      </c>
      <c r="H469" s="154">
        <v>0</v>
      </c>
      <c r="I469" s="154">
        <v>0</v>
      </c>
      <c r="J469" s="154">
        <v>0</v>
      </c>
      <c r="K469" s="154">
        <v>0.28299999999999997</v>
      </c>
      <c r="L469" s="154">
        <v>0.36099999999999999</v>
      </c>
      <c r="M469" s="154">
        <v>0.45</v>
      </c>
      <c r="N469" s="154">
        <v>0.55400000000000005</v>
      </c>
      <c r="O469" s="108">
        <f t="shared" si="35"/>
        <v>0.27561837455830407</v>
      </c>
      <c r="P469" s="108">
        <f t="shared" si="36"/>
        <v>0.24653739612188375</v>
      </c>
      <c r="Q469" s="108">
        <f t="shared" si="37"/>
        <v>0.23111111111111127</v>
      </c>
      <c r="S469" s="109">
        <f t="shared" si="38"/>
        <v>0.95759717314487669</v>
      </c>
      <c r="T469" s="109">
        <f t="shared" si="39"/>
        <v>0.53462603878116366</v>
      </c>
    </row>
    <row r="470" spans="1:20">
      <c r="A470" s="154">
        <v>531</v>
      </c>
      <c r="B470" s="156">
        <v>2449</v>
      </c>
      <c r="C470" s="133" t="s">
        <v>2764</v>
      </c>
      <c r="D470" s="155" t="s">
        <v>2324</v>
      </c>
      <c r="E470" s="154">
        <v>9</v>
      </c>
      <c r="F470" s="154">
        <v>6</v>
      </c>
      <c r="G470" s="154">
        <v>3</v>
      </c>
      <c r="H470" s="154">
        <v>0</v>
      </c>
      <c r="I470" s="154">
        <v>0</v>
      </c>
      <c r="J470" s="154">
        <v>0</v>
      </c>
      <c r="K470" s="154">
        <v>0.72</v>
      </c>
      <c r="L470" s="154">
        <v>0.745</v>
      </c>
      <c r="M470" s="154">
        <v>0.94899999999999995</v>
      </c>
      <c r="N470" s="154">
        <v>1.1419999999999999</v>
      </c>
      <c r="O470" s="108">
        <f t="shared" si="35"/>
        <v>3.4722222222222321E-2</v>
      </c>
      <c r="P470" s="108">
        <f t="shared" si="36"/>
        <v>0.27382550335570466</v>
      </c>
      <c r="Q470" s="108">
        <f t="shared" si="37"/>
        <v>0.20337197049525813</v>
      </c>
      <c r="S470" s="109">
        <f t="shared" si="38"/>
        <v>0.58611111111111103</v>
      </c>
      <c r="T470" s="109">
        <f t="shared" si="39"/>
        <v>0.53288590604026842</v>
      </c>
    </row>
    <row r="471" spans="1:20">
      <c r="A471" s="154">
        <v>380</v>
      </c>
      <c r="B471" s="156">
        <v>603505</v>
      </c>
      <c r="C471" s="133" t="s">
        <v>2765</v>
      </c>
      <c r="D471" s="155" t="s">
        <v>2324</v>
      </c>
      <c r="E471" s="154">
        <v>13</v>
      </c>
      <c r="F471" s="154">
        <v>12</v>
      </c>
      <c r="G471" s="154">
        <v>1</v>
      </c>
      <c r="H471" s="154">
        <v>0</v>
      </c>
      <c r="I471" s="154">
        <v>0</v>
      </c>
      <c r="J471" s="154">
        <v>0</v>
      </c>
      <c r="K471" s="154">
        <v>0.57399999999999995</v>
      </c>
      <c r="L471" s="154">
        <v>1.0960000000000001</v>
      </c>
      <c r="M471" s="154">
        <v>1.405</v>
      </c>
      <c r="N471" s="154">
        <v>1.68</v>
      </c>
      <c r="O471" s="108">
        <f t="shared" si="35"/>
        <v>0.90940766550522678</v>
      </c>
      <c r="P471" s="108">
        <f t="shared" si="36"/>
        <v>0.28193430656934293</v>
      </c>
      <c r="Q471" s="108">
        <f t="shared" si="37"/>
        <v>0.19572953736654797</v>
      </c>
      <c r="S471" s="109">
        <f t="shared" si="38"/>
        <v>1.9268292682926829</v>
      </c>
      <c r="T471" s="109">
        <f t="shared" si="39"/>
        <v>0.53284671532846706</v>
      </c>
    </row>
    <row r="472" spans="1:20">
      <c r="A472" s="154">
        <v>83</v>
      </c>
      <c r="B472" s="156">
        <v>2396</v>
      </c>
      <c r="C472" s="133" t="s">
        <v>2766</v>
      </c>
      <c r="D472" s="155" t="s">
        <v>2324</v>
      </c>
      <c r="E472" s="154">
        <v>33</v>
      </c>
      <c r="F472" s="154">
        <v>25</v>
      </c>
      <c r="G472" s="154">
        <v>8</v>
      </c>
      <c r="H472" s="154">
        <v>0</v>
      </c>
      <c r="I472" s="154">
        <v>0</v>
      </c>
      <c r="J472" s="154">
        <v>0</v>
      </c>
      <c r="K472" s="154">
        <v>0.997</v>
      </c>
      <c r="L472" s="154">
        <v>1.228</v>
      </c>
      <c r="M472" s="154">
        <v>1.5289999999999999</v>
      </c>
      <c r="N472" s="154">
        <v>1.8819999999999999</v>
      </c>
      <c r="O472" s="108">
        <f t="shared" si="35"/>
        <v>0.23169508525576732</v>
      </c>
      <c r="P472" s="108">
        <f t="shared" si="36"/>
        <v>0.24511400651465798</v>
      </c>
      <c r="Q472" s="108">
        <f t="shared" si="37"/>
        <v>0.23086984957488554</v>
      </c>
      <c r="S472" s="109">
        <f t="shared" si="38"/>
        <v>0.88766298896690055</v>
      </c>
      <c r="T472" s="109">
        <f t="shared" si="39"/>
        <v>0.53257328990228014</v>
      </c>
    </row>
    <row r="473" spans="1:20">
      <c r="A473" s="154">
        <v>298</v>
      </c>
      <c r="B473" s="156">
        <v>2925</v>
      </c>
      <c r="C473" s="133" t="s">
        <v>2767</v>
      </c>
      <c r="D473" s="155" t="s">
        <v>2324</v>
      </c>
      <c r="E473" s="154">
        <v>16</v>
      </c>
      <c r="F473" s="154">
        <v>16</v>
      </c>
      <c r="G473" s="154">
        <v>0</v>
      </c>
      <c r="H473" s="154">
        <v>0</v>
      </c>
      <c r="I473" s="154">
        <v>0</v>
      </c>
      <c r="J473" s="154">
        <v>0</v>
      </c>
      <c r="K473" s="154">
        <v>1.776</v>
      </c>
      <c r="L473" s="154">
        <v>2.0720000000000001</v>
      </c>
      <c r="M473" s="154">
        <v>2.5649999999999999</v>
      </c>
      <c r="N473" s="154">
        <v>3.173</v>
      </c>
      <c r="O473" s="108">
        <f t="shared" si="35"/>
        <v>0.16666666666666674</v>
      </c>
      <c r="P473" s="108">
        <f t="shared" si="36"/>
        <v>0.23793436293436288</v>
      </c>
      <c r="Q473" s="108">
        <f t="shared" si="37"/>
        <v>0.23703703703703716</v>
      </c>
      <c r="S473" s="109">
        <f t="shared" si="38"/>
        <v>0.7865990990990992</v>
      </c>
      <c r="T473" s="109">
        <f t="shared" si="39"/>
        <v>0.53137065637065639</v>
      </c>
    </row>
    <row r="474" spans="1:20">
      <c r="A474" s="154">
        <v>722</v>
      </c>
      <c r="B474" s="156">
        <v>300726</v>
      </c>
      <c r="C474" s="133" t="s">
        <v>2768</v>
      </c>
      <c r="D474" s="155" t="s">
        <v>2324</v>
      </c>
      <c r="E474" s="154">
        <v>6</v>
      </c>
      <c r="F474" s="154">
        <v>4</v>
      </c>
      <c r="G474" s="154">
        <v>2</v>
      </c>
      <c r="H474" s="154">
        <v>0</v>
      </c>
      <c r="I474" s="154">
        <v>0</v>
      </c>
      <c r="J474" s="154">
        <v>0</v>
      </c>
      <c r="K474" s="154">
        <v>0.55700000000000005</v>
      </c>
      <c r="L474" s="154">
        <v>0.71</v>
      </c>
      <c r="M474" s="154">
        <v>0.876</v>
      </c>
      <c r="N474" s="154">
        <v>1.087</v>
      </c>
      <c r="O474" s="108">
        <f t="shared" si="35"/>
        <v>0.27468581687612192</v>
      </c>
      <c r="P474" s="108">
        <f t="shared" si="36"/>
        <v>0.23380281690140858</v>
      </c>
      <c r="Q474" s="108">
        <f t="shared" si="37"/>
        <v>0.24086757990867569</v>
      </c>
      <c r="S474" s="109">
        <f t="shared" si="38"/>
        <v>0.95152603231597821</v>
      </c>
      <c r="T474" s="109">
        <f t="shared" si="39"/>
        <v>0.53098591549295771</v>
      </c>
    </row>
    <row r="475" spans="1:20">
      <c r="A475" s="154">
        <v>706</v>
      </c>
      <c r="B475" s="156">
        <v>50</v>
      </c>
      <c r="C475" s="133" t="s">
        <v>2769</v>
      </c>
      <c r="D475" s="155" t="s">
        <v>2324</v>
      </c>
      <c r="E475" s="154">
        <v>6</v>
      </c>
      <c r="F475" s="154">
        <v>4</v>
      </c>
      <c r="G475" s="154">
        <v>2</v>
      </c>
      <c r="H475" s="154">
        <v>0</v>
      </c>
      <c r="I475" s="154">
        <v>0</v>
      </c>
      <c r="J475" s="154">
        <v>0</v>
      </c>
      <c r="K475" s="154">
        <v>0.45200000000000001</v>
      </c>
      <c r="L475" s="154">
        <v>0.65100000000000002</v>
      </c>
      <c r="M475" s="154">
        <v>0.86499999999999999</v>
      </c>
      <c r="N475" s="154">
        <v>0.996</v>
      </c>
      <c r="O475" s="108">
        <f t="shared" si="35"/>
        <v>0.44026548672566368</v>
      </c>
      <c r="P475" s="108">
        <f t="shared" si="36"/>
        <v>0.32872503840245759</v>
      </c>
      <c r="Q475" s="108">
        <f t="shared" si="37"/>
        <v>0.1514450867052024</v>
      </c>
      <c r="S475" s="109">
        <f t="shared" si="38"/>
        <v>1.2035398230088497</v>
      </c>
      <c r="T475" s="109">
        <f t="shared" si="39"/>
        <v>0.52995391705069128</v>
      </c>
    </row>
    <row r="476" spans="1:20">
      <c r="A476" s="154">
        <v>939</v>
      </c>
      <c r="B476" s="156">
        <v>2244</v>
      </c>
      <c r="C476" s="133" t="s">
        <v>2770</v>
      </c>
      <c r="D476" s="155" t="s">
        <v>2324</v>
      </c>
      <c r="E476" s="154">
        <v>4</v>
      </c>
      <c r="F476" s="154">
        <v>1</v>
      </c>
      <c r="G476" s="154">
        <v>3</v>
      </c>
      <c r="H476" s="154">
        <v>0</v>
      </c>
      <c r="I476" s="154">
        <v>0</v>
      </c>
      <c r="J476" s="154">
        <v>0</v>
      </c>
      <c r="K476" s="154">
        <v>0.39100000000000001</v>
      </c>
      <c r="L476" s="154">
        <v>0.54200000000000004</v>
      </c>
      <c r="M476" s="154">
        <v>0.65900000000000003</v>
      </c>
      <c r="N476" s="154">
        <v>0.82899999999999996</v>
      </c>
      <c r="O476" s="108">
        <f t="shared" si="35"/>
        <v>0.38618925831202056</v>
      </c>
      <c r="P476" s="108">
        <f t="shared" si="36"/>
        <v>0.21586715867158679</v>
      </c>
      <c r="Q476" s="108">
        <f t="shared" si="37"/>
        <v>0.25796661608497717</v>
      </c>
      <c r="S476" s="109">
        <f t="shared" si="38"/>
        <v>1.1202046035805626</v>
      </c>
      <c r="T476" s="109">
        <f t="shared" si="39"/>
        <v>0.52952029520295185</v>
      </c>
    </row>
    <row r="477" spans="1:20">
      <c r="A477" s="154">
        <v>544</v>
      </c>
      <c r="B477" s="156">
        <v>600779</v>
      </c>
      <c r="C477" s="133" t="s">
        <v>2771</v>
      </c>
      <c r="D477" s="155" t="s">
        <v>2324</v>
      </c>
      <c r="E477" s="154">
        <v>9</v>
      </c>
      <c r="F477" s="154">
        <v>7</v>
      </c>
      <c r="G477" s="154">
        <v>1</v>
      </c>
      <c r="H477" s="154">
        <v>1</v>
      </c>
      <c r="I477" s="154">
        <v>0</v>
      </c>
      <c r="J477" s="154">
        <v>0</v>
      </c>
      <c r="K477" s="154">
        <v>1.1859999999999999</v>
      </c>
      <c r="L477" s="154">
        <v>1.5669999999999999</v>
      </c>
      <c r="M477" s="154">
        <v>1.964</v>
      </c>
      <c r="N477" s="154">
        <v>2.395</v>
      </c>
      <c r="O477" s="108">
        <f t="shared" si="35"/>
        <v>0.32124789207419902</v>
      </c>
      <c r="P477" s="108">
        <f t="shared" si="36"/>
        <v>0.25335035098915126</v>
      </c>
      <c r="Q477" s="108">
        <f t="shared" si="37"/>
        <v>0.21945010183299396</v>
      </c>
      <c r="S477" s="109">
        <f t="shared" si="38"/>
        <v>1.0193929173693088</v>
      </c>
      <c r="T477" s="109">
        <f t="shared" si="39"/>
        <v>0.52839821314613911</v>
      </c>
    </row>
    <row r="478" spans="1:20">
      <c r="A478" s="154">
        <v>276</v>
      </c>
      <c r="B478" s="156">
        <v>600161</v>
      </c>
      <c r="C478" s="133" t="s">
        <v>2772</v>
      </c>
      <c r="D478" s="155" t="s">
        <v>2324</v>
      </c>
      <c r="E478" s="154">
        <v>18</v>
      </c>
      <c r="F478" s="154">
        <v>11</v>
      </c>
      <c r="G478" s="154">
        <v>7</v>
      </c>
      <c r="H478" s="154">
        <v>0</v>
      </c>
      <c r="I478" s="154">
        <v>0</v>
      </c>
      <c r="J478" s="154">
        <v>0</v>
      </c>
      <c r="K478" s="154">
        <v>0.48699999999999999</v>
      </c>
      <c r="L478" s="154">
        <v>0.59499999999999997</v>
      </c>
      <c r="M478" s="154">
        <v>0.72499999999999998</v>
      </c>
      <c r="N478" s="154">
        <v>0.90900000000000003</v>
      </c>
      <c r="O478" s="108">
        <f t="shared" si="35"/>
        <v>0.22176591375770016</v>
      </c>
      <c r="P478" s="108">
        <f t="shared" si="36"/>
        <v>0.21848739495798331</v>
      </c>
      <c r="Q478" s="108">
        <f t="shared" si="37"/>
        <v>0.25379310344827588</v>
      </c>
      <c r="S478" s="109">
        <f t="shared" si="38"/>
        <v>0.86652977412731014</v>
      </c>
      <c r="T478" s="109">
        <f t="shared" si="39"/>
        <v>0.52773109243697491</v>
      </c>
    </row>
    <row r="479" spans="1:20">
      <c r="A479" s="154">
        <v>749</v>
      </c>
      <c r="B479" s="156">
        <v>2749</v>
      </c>
      <c r="C479" s="133" t="s">
        <v>2773</v>
      </c>
      <c r="D479" s="155" t="s">
        <v>2324</v>
      </c>
      <c r="E479" s="154">
        <v>6</v>
      </c>
      <c r="F479" s="154">
        <v>3</v>
      </c>
      <c r="G479" s="154">
        <v>3</v>
      </c>
      <c r="H479" s="154">
        <v>0</v>
      </c>
      <c r="I479" s="154">
        <v>0</v>
      </c>
      <c r="J479" s="154">
        <v>0</v>
      </c>
      <c r="K479" s="154">
        <v>0.63</v>
      </c>
      <c r="L479" s="154">
        <v>0.64900000000000002</v>
      </c>
      <c r="M479" s="154">
        <v>0.80100000000000005</v>
      </c>
      <c r="N479" s="154">
        <v>0.99099999999999999</v>
      </c>
      <c r="O479" s="108">
        <f t="shared" si="35"/>
        <v>3.0158730158730274E-2</v>
      </c>
      <c r="P479" s="108">
        <f t="shared" si="36"/>
        <v>0.23420647149460705</v>
      </c>
      <c r="Q479" s="108">
        <f t="shared" si="37"/>
        <v>0.23720349563046184</v>
      </c>
      <c r="S479" s="109">
        <f t="shared" si="38"/>
        <v>0.57301587301587298</v>
      </c>
      <c r="T479" s="109">
        <f t="shared" si="39"/>
        <v>0.52696456086286592</v>
      </c>
    </row>
    <row r="480" spans="1:20">
      <c r="A480" s="154">
        <v>309</v>
      </c>
      <c r="B480" s="156">
        <v>2236</v>
      </c>
      <c r="C480" s="133" t="s">
        <v>2774</v>
      </c>
      <c r="D480" s="155" t="s">
        <v>2324</v>
      </c>
      <c r="E480" s="154">
        <v>16</v>
      </c>
      <c r="F480" s="154">
        <v>15</v>
      </c>
      <c r="G480" s="154">
        <v>1</v>
      </c>
      <c r="H480" s="154">
        <v>0</v>
      </c>
      <c r="I480" s="154">
        <v>0</v>
      </c>
      <c r="J480" s="154">
        <v>0</v>
      </c>
      <c r="K480" s="154">
        <v>0.84099999999999997</v>
      </c>
      <c r="L480" s="154">
        <v>1.0189999999999999</v>
      </c>
      <c r="M480" s="154">
        <v>1.238</v>
      </c>
      <c r="N480" s="154">
        <v>1.5549999999999999</v>
      </c>
      <c r="O480" s="108">
        <f t="shared" si="35"/>
        <v>0.21165279429250883</v>
      </c>
      <c r="P480" s="108">
        <f t="shared" si="36"/>
        <v>0.21491658488714438</v>
      </c>
      <c r="Q480" s="108">
        <f t="shared" si="37"/>
        <v>0.25605815831987067</v>
      </c>
      <c r="S480" s="109">
        <f t="shared" si="38"/>
        <v>0.84898929845422111</v>
      </c>
      <c r="T480" s="109">
        <f t="shared" si="39"/>
        <v>0.52600588812561333</v>
      </c>
    </row>
    <row r="481" spans="1:20">
      <c r="A481" s="154">
        <v>912</v>
      </c>
      <c r="B481" s="156">
        <v>300642</v>
      </c>
      <c r="C481" s="133" t="s">
        <v>2775</v>
      </c>
      <c r="D481" s="155" t="s">
        <v>2324</v>
      </c>
      <c r="E481" s="154">
        <v>4</v>
      </c>
      <c r="F481" s="154">
        <v>3</v>
      </c>
      <c r="G481" s="154">
        <v>1</v>
      </c>
      <c r="H481" s="154">
        <v>0</v>
      </c>
      <c r="I481" s="154">
        <v>0</v>
      </c>
      <c r="J481" s="154">
        <v>0</v>
      </c>
      <c r="K481" s="154">
        <v>1.56</v>
      </c>
      <c r="L481" s="154">
        <v>1.7549999999999999</v>
      </c>
      <c r="M481" s="154">
        <v>2.1520000000000001</v>
      </c>
      <c r="N481" s="154">
        <v>2.6779999999999999</v>
      </c>
      <c r="O481" s="108">
        <f t="shared" si="35"/>
        <v>0.125</v>
      </c>
      <c r="P481" s="108">
        <f t="shared" si="36"/>
        <v>0.22621082621082644</v>
      </c>
      <c r="Q481" s="108">
        <f t="shared" si="37"/>
        <v>0.24442379182156126</v>
      </c>
      <c r="S481" s="109">
        <f t="shared" si="38"/>
        <v>0.71666666666666656</v>
      </c>
      <c r="T481" s="109">
        <f t="shared" si="39"/>
        <v>0.52592592592592591</v>
      </c>
    </row>
    <row r="482" spans="1:20">
      <c r="A482" s="154">
        <v>268</v>
      </c>
      <c r="B482" s="156">
        <v>2601</v>
      </c>
      <c r="C482" s="133" t="s">
        <v>2776</v>
      </c>
      <c r="D482" s="155" t="s">
        <v>2324</v>
      </c>
      <c r="E482" s="154">
        <v>18</v>
      </c>
      <c r="F482" s="154">
        <v>14</v>
      </c>
      <c r="G482" s="154">
        <v>4</v>
      </c>
      <c r="H482" s="154">
        <v>0</v>
      </c>
      <c r="I482" s="154">
        <v>0</v>
      </c>
      <c r="J482" s="154">
        <v>0</v>
      </c>
      <c r="K482" s="154">
        <v>1.125</v>
      </c>
      <c r="L482" s="154">
        <v>1.3160000000000001</v>
      </c>
      <c r="M482" s="154">
        <v>1.6539999999999999</v>
      </c>
      <c r="N482" s="154">
        <v>2.0070000000000001</v>
      </c>
      <c r="O482" s="108">
        <f t="shared" si="35"/>
        <v>0.16977777777777781</v>
      </c>
      <c r="P482" s="108">
        <f t="shared" si="36"/>
        <v>0.25683890577507595</v>
      </c>
      <c r="Q482" s="108">
        <f t="shared" si="37"/>
        <v>0.21342200725513916</v>
      </c>
      <c r="S482" s="109">
        <f t="shared" si="38"/>
        <v>0.78400000000000003</v>
      </c>
      <c r="T482" s="109">
        <f t="shared" si="39"/>
        <v>0.52507598784194531</v>
      </c>
    </row>
    <row r="483" spans="1:20">
      <c r="A483" s="154">
        <v>27</v>
      </c>
      <c r="B483" s="156">
        <v>601689</v>
      </c>
      <c r="C483" s="133" t="s">
        <v>2777</v>
      </c>
      <c r="D483" s="155" t="s">
        <v>2324</v>
      </c>
      <c r="E483" s="154">
        <v>46</v>
      </c>
      <c r="F483" s="154">
        <v>21</v>
      </c>
      <c r="G483" s="154">
        <v>25</v>
      </c>
      <c r="H483" s="154">
        <v>0</v>
      </c>
      <c r="I483" s="154">
        <v>0</v>
      </c>
      <c r="J483" s="154">
        <v>0</v>
      </c>
      <c r="K483" s="154">
        <v>0.71399999999999997</v>
      </c>
      <c r="L483" s="154">
        <v>0.48399999999999999</v>
      </c>
      <c r="M483" s="154">
        <v>0.61399999999999999</v>
      </c>
      <c r="N483" s="154">
        <v>0.73799999999999999</v>
      </c>
      <c r="O483" s="108">
        <f t="shared" si="35"/>
        <v>-0.32212885154061621</v>
      </c>
      <c r="P483" s="108">
        <f t="shared" si="36"/>
        <v>0.26859504132231415</v>
      </c>
      <c r="Q483" s="108">
        <f t="shared" si="37"/>
        <v>0.2019543973941369</v>
      </c>
      <c r="S483" s="109">
        <f t="shared" si="38"/>
        <v>3.3613445378151363E-2</v>
      </c>
      <c r="T483" s="109">
        <f t="shared" si="39"/>
        <v>0.52479338842975198</v>
      </c>
    </row>
    <row r="484" spans="1:20">
      <c r="A484" s="154">
        <v>994</v>
      </c>
      <c r="B484" s="156">
        <v>600487</v>
      </c>
      <c r="C484" s="133" t="s">
        <v>2778</v>
      </c>
      <c r="D484" s="155" t="s">
        <v>2324</v>
      </c>
      <c r="E484" s="154">
        <v>3</v>
      </c>
      <c r="F484" s="154">
        <v>0</v>
      </c>
      <c r="G484" s="154">
        <v>2</v>
      </c>
      <c r="H484" s="154">
        <v>1</v>
      </c>
      <c r="I484" s="154">
        <v>0</v>
      </c>
      <c r="J484" s="154">
        <v>0</v>
      </c>
      <c r="K484" s="154">
        <v>1.33</v>
      </c>
      <c r="L484" s="154">
        <v>0.89</v>
      </c>
      <c r="M484" s="154">
        <v>1.0900000000000001</v>
      </c>
      <c r="N484" s="154">
        <v>1.357</v>
      </c>
      <c r="O484" s="108">
        <f t="shared" si="35"/>
        <v>-0.33082706766917291</v>
      </c>
      <c r="P484" s="108">
        <f t="shared" si="36"/>
        <v>0.22471910112359561</v>
      </c>
      <c r="Q484" s="108">
        <f t="shared" si="37"/>
        <v>0.2449541284403669</v>
      </c>
      <c r="S484" s="109">
        <f t="shared" si="38"/>
        <v>2.0300751879699153E-2</v>
      </c>
      <c r="T484" s="109">
        <f t="shared" si="39"/>
        <v>0.52471910112359543</v>
      </c>
    </row>
    <row r="485" spans="1:20">
      <c r="A485" s="154">
        <v>72</v>
      </c>
      <c r="B485" s="156">
        <v>600038</v>
      </c>
      <c r="C485" s="133" t="s">
        <v>2779</v>
      </c>
      <c r="D485" s="155" t="s">
        <v>2324</v>
      </c>
      <c r="E485" s="154">
        <v>34</v>
      </c>
      <c r="F485" s="154">
        <v>25</v>
      </c>
      <c r="G485" s="154">
        <v>9</v>
      </c>
      <c r="H485" s="154">
        <v>0</v>
      </c>
      <c r="I485" s="154">
        <v>0</v>
      </c>
      <c r="J485" s="154">
        <v>0</v>
      </c>
      <c r="K485" s="154">
        <v>0.86599999999999999</v>
      </c>
      <c r="L485" s="154">
        <v>1.0580000000000001</v>
      </c>
      <c r="M485" s="154">
        <v>1.306</v>
      </c>
      <c r="N485" s="154">
        <v>1.613</v>
      </c>
      <c r="O485" s="108">
        <f t="shared" si="35"/>
        <v>0.22170900692840645</v>
      </c>
      <c r="P485" s="108">
        <f t="shared" si="36"/>
        <v>0.2344045368620038</v>
      </c>
      <c r="Q485" s="108">
        <f t="shared" si="37"/>
        <v>0.23506891271056651</v>
      </c>
      <c r="S485" s="109">
        <f t="shared" si="38"/>
        <v>0.86258660508083151</v>
      </c>
      <c r="T485" s="109">
        <f t="shared" si="39"/>
        <v>0.52457466918714557</v>
      </c>
    </row>
    <row r="486" spans="1:20">
      <c r="A486" s="154">
        <v>234</v>
      </c>
      <c r="B486" s="156">
        <v>596</v>
      </c>
      <c r="C486" s="133" t="s">
        <v>2780</v>
      </c>
      <c r="D486" s="155" t="s">
        <v>2324</v>
      </c>
      <c r="E486" s="154">
        <v>20</v>
      </c>
      <c r="F486" s="154">
        <v>18</v>
      </c>
      <c r="G486" s="154">
        <v>2</v>
      </c>
      <c r="H486" s="154">
        <v>0</v>
      </c>
      <c r="I486" s="154">
        <v>0</v>
      </c>
      <c r="J486" s="154">
        <v>0</v>
      </c>
      <c r="K486" s="154">
        <v>3.3660000000000001</v>
      </c>
      <c r="L486" s="154">
        <v>4.4530000000000003</v>
      </c>
      <c r="M486" s="154">
        <v>5.5590000000000002</v>
      </c>
      <c r="N486" s="154">
        <v>6.7880000000000003</v>
      </c>
      <c r="O486" s="108">
        <f t="shared" si="35"/>
        <v>0.32293523469994057</v>
      </c>
      <c r="P486" s="108">
        <f t="shared" si="36"/>
        <v>0.2483718841230631</v>
      </c>
      <c r="Q486" s="108">
        <f t="shared" si="37"/>
        <v>0.22108292858427769</v>
      </c>
      <c r="S486" s="109">
        <f t="shared" si="38"/>
        <v>1.0166369578134282</v>
      </c>
      <c r="T486" s="109">
        <f t="shared" si="39"/>
        <v>0.52436559622726242</v>
      </c>
    </row>
    <row r="487" spans="1:20">
      <c r="A487" s="154">
        <v>443</v>
      </c>
      <c r="B487" s="156">
        <v>2959</v>
      </c>
      <c r="C487" s="133" t="s">
        <v>2781</v>
      </c>
      <c r="D487" s="155" t="s">
        <v>2324</v>
      </c>
      <c r="E487" s="154">
        <v>11</v>
      </c>
      <c r="F487" s="154">
        <v>2</v>
      </c>
      <c r="G487" s="154">
        <v>9</v>
      </c>
      <c r="H487" s="154">
        <v>0</v>
      </c>
      <c r="I487" s="154">
        <v>0</v>
      </c>
      <c r="J487" s="154">
        <v>0</v>
      </c>
      <c r="K487" s="154">
        <v>1.546</v>
      </c>
      <c r="L487" s="154">
        <v>2.0209999999999999</v>
      </c>
      <c r="M487" s="154">
        <v>2.5299999999999998</v>
      </c>
      <c r="N487" s="154">
        <v>3.08</v>
      </c>
      <c r="O487" s="108">
        <f t="shared" si="35"/>
        <v>0.30724450194049147</v>
      </c>
      <c r="P487" s="108">
        <f t="shared" si="36"/>
        <v>0.25185551707075704</v>
      </c>
      <c r="Q487" s="108">
        <f t="shared" si="37"/>
        <v>0.21739130434782616</v>
      </c>
      <c r="S487" s="109">
        <f t="shared" si="38"/>
        <v>0.99223803363518748</v>
      </c>
      <c r="T487" s="109">
        <f t="shared" si="39"/>
        <v>0.52399802078179136</v>
      </c>
    </row>
    <row r="488" spans="1:20">
      <c r="A488" s="154">
        <v>416</v>
      </c>
      <c r="B488" s="156">
        <v>300034</v>
      </c>
      <c r="C488" s="133" t="s">
        <v>2782</v>
      </c>
      <c r="D488" s="155" t="s">
        <v>2324</v>
      </c>
      <c r="E488" s="154">
        <v>12</v>
      </c>
      <c r="F488" s="154">
        <v>4</v>
      </c>
      <c r="G488" s="154">
        <v>8</v>
      </c>
      <c r="H488" s="154">
        <v>0</v>
      </c>
      <c r="I488" s="154">
        <v>0</v>
      </c>
      <c r="J488" s="154">
        <v>0</v>
      </c>
      <c r="K488" s="154">
        <v>0.22700000000000001</v>
      </c>
      <c r="L488" s="154">
        <v>0.36899999999999999</v>
      </c>
      <c r="M488" s="154">
        <v>0.46899999999999997</v>
      </c>
      <c r="N488" s="154">
        <v>0.56200000000000006</v>
      </c>
      <c r="O488" s="108">
        <f t="shared" si="35"/>
        <v>0.62555066079295152</v>
      </c>
      <c r="P488" s="108">
        <f t="shared" si="36"/>
        <v>0.27100271002710019</v>
      </c>
      <c r="Q488" s="108">
        <f t="shared" si="37"/>
        <v>0.1982942430703627</v>
      </c>
      <c r="S488" s="109">
        <f t="shared" si="38"/>
        <v>1.4757709251101323</v>
      </c>
      <c r="T488" s="109">
        <f t="shared" si="39"/>
        <v>0.52303523035230359</v>
      </c>
    </row>
    <row r="489" spans="1:20">
      <c r="A489" s="154">
        <v>277</v>
      </c>
      <c r="B489" s="156">
        <v>600027</v>
      </c>
      <c r="C489" s="133" t="s">
        <v>2783</v>
      </c>
      <c r="D489" s="155" t="s">
        <v>2324</v>
      </c>
      <c r="E489" s="154">
        <v>18</v>
      </c>
      <c r="F489" s="154">
        <v>13</v>
      </c>
      <c r="G489" s="154">
        <v>5</v>
      </c>
      <c r="H489" s="154">
        <v>0</v>
      </c>
      <c r="I489" s="154">
        <v>0</v>
      </c>
      <c r="J489" s="154">
        <v>0</v>
      </c>
      <c r="K489" s="154">
        <v>0.17199999999999999</v>
      </c>
      <c r="L489" s="154">
        <v>0.32700000000000001</v>
      </c>
      <c r="M489" s="154">
        <v>0.432</v>
      </c>
      <c r="N489" s="154">
        <v>0.498</v>
      </c>
      <c r="O489" s="108">
        <f t="shared" si="35"/>
        <v>0.90116279069767469</v>
      </c>
      <c r="P489" s="108">
        <f t="shared" si="36"/>
        <v>0.32110091743119251</v>
      </c>
      <c r="Q489" s="108">
        <f t="shared" si="37"/>
        <v>0.15277777777777768</v>
      </c>
      <c r="S489" s="109">
        <f t="shared" si="38"/>
        <v>1.8953488372093026</v>
      </c>
      <c r="T489" s="109">
        <f t="shared" si="39"/>
        <v>0.52293577981651373</v>
      </c>
    </row>
    <row r="490" spans="1:20">
      <c r="A490" s="154">
        <v>390</v>
      </c>
      <c r="B490" s="156">
        <v>2273</v>
      </c>
      <c r="C490" s="133" t="s">
        <v>2784</v>
      </c>
      <c r="D490" s="155" t="s">
        <v>2324</v>
      </c>
      <c r="E490" s="154">
        <v>13</v>
      </c>
      <c r="F490" s="154">
        <v>13</v>
      </c>
      <c r="G490" s="154">
        <v>0</v>
      </c>
      <c r="H490" s="154">
        <v>0</v>
      </c>
      <c r="I490" s="154">
        <v>0</v>
      </c>
      <c r="J490" s="154">
        <v>0</v>
      </c>
      <c r="K490" s="154">
        <v>0.38800000000000001</v>
      </c>
      <c r="L490" s="154">
        <v>0.44</v>
      </c>
      <c r="M490" s="154">
        <v>0.54400000000000004</v>
      </c>
      <c r="N490" s="154">
        <v>0.67</v>
      </c>
      <c r="O490" s="108">
        <f t="shared" si="35"/>
        <v>0.134020618556701</v>
      </c>
      <c r="P490" s="108">
        <f t="shared" si="36"/>
        <v>0.23636363636363655</v>
      </c>
      <c r="Q490" s="108">
        <f t="shared" si="37"/>
        <v>0.23161764705882359</v>
      </c>
      <c r="S490" s="109">
        <f t="shared" si="38"/>
        <v>0.72680412371134029</v>
      </c>
      <c r="T490" s="109">
        <f t="shared" si="39"/>
        <v>0.52272727272727271</v>
      </c>
    </row>
    <row r="491" spans="1:20">
      <c r="A491" s="154">
        <v>604</v>
      </c>
      <c r="B491" s="156">
        <v>2614</v>
      </c>
      <c r="C491" s="133" t="s">
        <v>2785</v>
      </c>
      <c r="D491" s="155" t="s">
        <v>2324</v>
      </c>
      <c r="E491" s="154">
        <v>8</v>
      </c>
      <c r="F491" s="154">
        <v>4</v>
      </c>
      <c r="G491" s="154">
        <v>4</v>
      </c>
      <c r="H491" s="154">
        <v>0</v>
      </c>
      <c r="I491" s="154">
        <v>0</v>
      </c>
      <c r="J491" s="154">
        <v>0</v>
      </c>
      <c r="K491" s="154">
        <v>0.78200000000000003</v>
      </c>
      <c r="L491" s="154">
        <v>0.74099999999999999</v>
      </c>
      <c r="M491" s="154">
        <v>0.92100000000000004</v>
      </c>
      <c r="N491" s="154">
        <v>1.127</v>
      </c>
      <c r="O491" s="108">
        <f t="shared" si="35"/>
        <v>-5.2429667519181655E-2</v>
      </c>
      <c r="P491" s="108">
        <f t="shared" si="36"/>
        <v>0.24291497975708509</v>
      </c>
      <c r="Q491" s="108">
        <f t="shared" si="37"/>
        <v>0.22366992399565677</v>
      </c>
      <c r="S491" s="109">
        <f t="shared" si="38"/>
        <v>0.44117647058823528</v>
      </c>
      <c r="T491" s="109">
        <f t="shared" si="39"/>
        <v>0.52091767881241569</v>
      </c>
    </row>
    <row r="492" spans="1:20">
      <c r="A492" s="154">
        <v>30</v>
      </c>
      <c r="B492" s="156">
        <v>600872</v>
      </c>
      <c r="C492" s="133" t="s">
        <v>2786</v>
      </c>
      <c r="D492" s="155" t="s">
        <v>2324</v>
      </c>
      <c r="E492" s="154">
        <v>45</v>
      </c>
      <c r="F492" s="154">
        <v>33</v>
      </c>
      <c r="G492" s="154">
        <v>12</v>
      </c>
      <c r="H492" s="154">
        <v>0</v>
      </c>
      <c r="I492" s="154">
        <v>0</v>
      </c>
      <c r="J492" s="154">
        <v>0</v>
      </c>
      <c r="K492" s="154">
        <v>0.76200000000000001</v>
      </c>
      <c r="L492" s="154">
        <v>0.90400000000000003</v>
      </c>
      <c r="M492" s="154">
        <v>1.1299999999999999</v>
      </c>
      <c r="N492" s="154">
        <v>1.3740000000000001</v>
      </c>
      <c r="O492" s="108">
        <f t="shared" si="35"/>
        <v>0.18635170603674545</v>
      </c>
      <c r="P492" s="108">
        <f t="shared" si="36"/>
        <v>0.24999999999999978</v>
      </c>
      <c r="Q492" s="108">
        <f t="shared" si="37"/>
        <v>0.21592920353982326</v>
      </c>
      <c r="S492" s="109">
        <f t="shared" si="38"/>
        <v>0.80314960629921273</v>
      </c>
      <c r="T492" s="109">
        <f t="shared" si="39"/>
        <v>0.51991150442477885</v>
      </c>
    </row>
    <row r="493" spans="1:20">
      <c r="A493" s="154">
        <v>200</v>
      </c>
      <c r="B493" s="156">
        <v>2179</v>
      </c>
      <c r="C493" s="133" t="s">
        <v>2787</v>
      </c>
      <c r="D493" s="155" t="s">
        <v>2324</v>
      </c>
      <c r="E493" s="154">
        <v>22</v>
      </c>
      <c r="F493" s="154">
        <v>15</v>
      </c>
      <c r="G493" s="154">
        <v>7</v>
      </c>
      <c r="H493" s="154">
        <v>0</v>
      </c>
      <c r="I493" s="154">
        <v>0</v>
      </c>
      <c r="J493" s="154">
        <v>0</v>
      </c>
      <c r="K493" s="154">
        <v>0.86599999999999999</v>
      </c>
      <c r="L493" s="154">
        <v>1.089</v>
      </c>
      <c r="M493" s="154">
        <v>1.3480000000000001</v>
      </c>
      <c r="N493" s="154">
        <v>1.655</v>
      </c>
      <c r="O493" s="108">
        <f t="shared" si="35"/>
        <v>0.2575057736720554</v>
      </c>
      <c r="P493" s="108">
        <f t="shared" si="36"/>
        <v>0.23783287419651078</v>
      </c>
      <c r="Q493" s="108">
        <f t="shared" si="37"/>
        <v>0.22774480712166167</v>
      </c>
      <c r="S493" s="109">
        <f t="shared" si="38"/>
        <v>0.9110854503464203</v>
      </c>
      <c r="T493" s="109">
        <f t="shared" si="39"/>
        <v>0.51974288337924701</v>
      </c>
    </row>
    <row r="494" spans="1:20">
      <c r="A494" s="154">
        <v>664</v>
      </c>
      <c r="B494" s="156">
        <v>300415</v>
      </c>
      <c r="C494" s="133" t="s">
        <v>2788</v>
      </c>
      <c r="D494" s="155" t="s">
        <v>2324</v>
      </c>
      <c r="E494" s="154">
        <v>7</v>
      </c>
      <c r="F494" s="154">
        <v>2</v>
      </c>
      <c r="G494" s="154">
        <v>5</v>
      </c>
      <c r="H494" s="154">
        <v>0</v>
      </c>
      <c r="I494" s="154">
        <v>0</v>
      </c>
      <c r="J494" s="154">
        <v>0</v>
      </c>
      <c r="K494" s="154">
        <v>0.40600000000000003</v>
      </c>
      <c r="L494" s="154">
        <v>0.48399999999999999</v>
      </c>
      <c r="M494" s="154">
        <v>0.60299999999999998</v>
      </c>
      <c r="N494" s="154">
        <v>0.73399999999999999</v>
      </c>
      <c r="O494" s="108">
        <f t="shared" si="35"/>
        <v>0.1921182266009851</v>
      </c>
      <c r="P494" s="108">
        <f t="shared" si="36"/>
        <v>0.24586776859504123</v>
      </c>
      <c r="Q494" s="108">
        <f t="shared" si="37"/>
        <v>0.21724709784411278</v>
      </c>
      <c r="S494" s="109">
        <f t="shared" si="38"/>
        <v>0.80788177339901468</v>
      </c>
      <c r="T494" s="109">
        <f t="shared" si="39"/>
        <v>0.51652892561983466</v>
      </c>
    </row>
    <row r="495" spans="1:20">
      <c r="A495" s="154">
        <v>25</v>
      </c>
      <c r="B495" s="156">
        <v>568</v>
      </c>
      <c r="C495" s="133" t="s">
        <v>2789</v>
      </c>
      <c r="D495" s="155" t="s">
        <v>2324</v>
      </c>
      <c r="E495" s="154">
        <v>48</v>
      </c>
      <c r="F495" s="154">
        <v>39</v>
      </c>
      <c r="G495" s="154">
        <v>9</v>
      </c>
      <c r="H495" s="154">
        <v>0</v>
      </c>
      <c r="I495" s="154">
        <v>0</v>
      </c>
      <c r="J495" s="154">
        <v>0</v>
      </c>
      <c r="K495" s="154">
        <v>2.38</v>
      </c>
      <c r="L495" s="154">
        <v>3.1829999999999998</v>
      </c>
      <c r="M495" s="154">
        <v>3.972</v>
      </c>
      <c r="N495" s="154">
        <v>4.827</v>
      </c>
      <c r="O495" s="108">
        <f t="shared" si="35"/>
        <v>0.33739495798319319</v>
      </c>
      <c r="P495" s="108">
        <f t="shared" si="36"/>
        <v>0.24787935909519332</v>
      </c>
      <c r="Q495" s="108">
        <f t="shared" si="37"/>
        <v>0.21525679758308147</v>
      </c>
      <c r="S495" s="109">
        <f t="shared" si="38"/>
        <v>1.0281512605042016</v>
      </c>
      <c r="T495" s="109">
        <f t="shared" si="39"/>
        <v>0.51649387370405275</v>
      </c>
    </row>
    <row r="496" spans="1:20">
      <c r="A496" s="154">
        <v>227</v>
      </c>
      <c r="B496" s="156">
        <v>2001</v>
      </c>
      <c r="C496" s="133" t="s">
        <v>2790</v>
      </c>
      <c r="D496" s="155" t="s">
        <v>2324</v>
      </c>
      <c r="E496" s="154">
        <v>20</v>
      </c>
      <c r="F496" s="154">
        <v>14</v>
      </c>
      <c r="G496" s="154">
        <v>6</v>
      </c>
      <c r="H496" s="154">
        <v>0</v>
      </c>
      <c r="I496" s="154">
        <v>0</v>
      </c>
      <c r="J496" s="154">
        <v>0</v>
      </c>
      <c r="K496" s="154">
        <v>1.4330000000000001</v>
      </c>
      <c r="L496" s="154">
        <v>1.135</v>
      </c>
      <c r="M496" s="154">
        <v>1.4670000000000001</v>
      </c>
      <c r="N496" s="154">
        <v>1.7210000000000001</v>
      </c>
      <c r="O496" s="108">
        <f t="shared" si="35"/>
        <v>-0.2079553384508025</v>
      </c>
      <c r="P496" s="108">
        <f t="shared" si="36"/>
        <v>0.29251101321585904</v>
      </c>
      <c r="Q496" s="108">
        <f t="shared" si="37"/>
        <v>0.17314246762099517</v>
      </c>
      <c r="S496" s="109">
        <f t="shared" si="38"/>
        <v>0.20097697138869508</v>
      </c>
      <c r="T496" s="109">
        <f t="shared" si="39"/>
        <v>0.51629955947136574</v>
      </c>
    </row>
    <row r="497" spans="1:20">
      <c r="A497" s="154">
        <v>383</v>
      </c>
      <c r="B497" s="156">
        <v>300259</v>
      </c>
      <c r="C497" s="133" t="s">
        <v>2791</v>
      </c>
      <c r="D497" s="155" t="s">
        <v>2324</v>
      </c>
      <c r="E497" s="154">
        <v>13</v>
      </c>
      <c r="F497" s="154">
        <v>9</v>
      </c>
      <c r="G497" s="154">
        <v>4</v>
      </c>
      <c r="H497" s="154">
        <v>0</v>
      </c>
      <c r="I497" s="154">
        <v>0</v>
      </c>
      <c r="J497" s="154">
        <v>0</v>
      </c>
      <c r="K497" s="154">
        <v>0.127</v>
      </c>
      <c r="L497" s="154">
        <v>0.188</v>
      </c>
      <c r="M497" s="154">
        <v>0.22900000000000001</v>
      </c>
      <c r="N497" s="154">
        <v>0.28499999999999998</v>
      </c>
      <c r="O497" s="108">
        <f t="shared" si="35"/>
        <v>0.48031496062992129</v>
      </c>
      <c r="P497" s="108">
        <f t="shared" si="36"/>
        <v>0.21808510638297873</v>
      </c>
      <c r="Q497" s="108">
        <f t="shared" si="37"/>
        <v>0.24454148471615711</v>
      </c>
      <c r="S497" s="109">
        <f t="shared" si="38"/>
        <v>1.2440944881889759</v>
      </c>
      <c r="T497" s="109">
        <f t="shared" si="39"/>
        <v>0.51595744680851041</v>
      </c>
    </row>
    <row r="498" spans="1:20">
      <c r="A498" s="154">
        <v>13</v>
      </c>
      <c r="B498" s="156">
        <v>600809</v>
      </c>
      <c r="C498" s="133" t="s">
        <v>2792</v>
      </c>
      <c r="D498" s="155" t="s">
        <v>2324</v>
      </c>
      <c r="E498" s="154">
        <v>57</v>
      </c>
      <c r="F498" s="154">
        <v>42</v>
      </c>
      <c r="G498" s="154">
        <v>15</v>
      </c>
      <c r="H498" s="154">
        <v>0</v>
      </c>
      <c r="I498" s="154">
        <v>0</v>
      </c>
      <c r="J498" s="154">
        <v>0</v>
      </c>
      <c r="K498" s="154">
        <v>1.6830000000000001</v>
      </c>
      <c r="L498" s="154">
        <v>2.2450000000000001</v>
      </c>
      <c r="M498" s="154">
        <v>2.8069999999999999</v>
      </c>
      <c r="N498" s="154">
        <v>3.4020000000000001</v>
      </c>
      <c r="O498" s="108">
        <f t="shared" si="35"/>
        <v>0.33392751039809876</v>
      </c>
      <c r="P498" s="108">
        <f t="shared" si="36"/>
        <v>0.2503340757238306</v>
      </c>
      <c r="Q498" s="108">
        <f t="shared" si="37"/>
        <v>0.21197007481296759</v>
      </c>
      <c r="S498" s="109">
        <f t="shared" si="38"/>
        <v>1.0213903743315509</v>
      </c>
      <c r="T498" s="109">
        <f t="shared" si="39"/>
        <v>0.51536748329621385</v>
      </c>
    </row>
    <row r="499" spans="1:20">
      <c r="A499" s="154">
        <v>302</v>
      </c>
      <c r="B499" s="156">
        <v>603369</v>
      </c>
      <c r="C499" s="133" t="s">
        <v>2793</v>
      </c>
      <c r="D499" s="155" t="s">
        <v>2324</v>
      </c>
      <c r="E499" s="154">
        <v>16</v>
      </c>
      <c r="F499" s="154">
        <v>16</v>
      </c>
      <c r="G499" s="154">
        <v>0</v>
      </c>
      <c r="H499" s="154">
        <v>0</v>
      </c>
      <c r="I499" s="154">
        <v>0</v>
      </c>
      <c r="J499" s="154">
        <v>0</v>
      </c>
      <c r="K499" s="154">
        <v>0.91700000000000004</v>
      </c>
      <c r="L499" s="154">
        <v>1.155</v>
      </c>
      <c r="M499" s="154">
        <v>1.4450000000000001</v>
      </c>
      <c r="N499" s="154">
        <v>1.75</v>
      </c>
      <c r="O499" s="108">
        <f t="shared" si="35"/>
        <v>0.25954198473282442</v>
      </c>
      <c r="P499" s="108">
        <f t="shared" si="36"/>
        <v>0.25108225108225102</v>
      </c>
      <c r="Q499" s="108">
        <f t="shared" si="37"/>
        <v>0.21107266435986149</v>
      </c>
      <c r="S499" s="109">
        <f t="shared" si="38"/>
        <v>0.90839694656488534</v>
      </c>
      <c r="T499" s="109">
        <f t="shared" si="39"/>
        <v>0.51515151515151514</v>
      </c>
    </row>
    <row r="500" spans="1:20">
      <c r="A500" s="154">
        <v>238</v>
      </c>
      <c r="B500" s="156">
        <v>2773</v>
      </c>
      <c r="C500" s="133" t="s">
        <v>2794</v>
      </c>
      <c r="D500" s="155" t="s">
        <v>2324</v>
      </c>
      <c r="E500" s="154">
        <v>20</v>
      </c>
      <c r="F500" s="154">
        <v>7</v>
      </c>
      <c r="G500" s="154">
        <v>13</v>
      </c>
      <c r="H500" s="154">
        <v>0</v>
      </c>
      <c r="I500" s="154">
        <v>0</v>
      </c>
      <c r="J500" s="154">
        <v>0</v>
      </c>
      <c r="K500" s="154">
        <v>0.79400000000000004</v>
      </c>
      <c r="L500" s="154">
        <v>0.95699999999999996</v>
      </c>
      <c r="M500" s="154">
        <v>1.1679999999999999</v>
      </c>
      <c r="N500" s="154">
        <v>1.45</v>
      </c>
      <c r="O500" s="108">
        <f t="shared" si="35"/>
        <v>0.20528967254408048</v>
      </c>
      <c r="P500" s="108">
        <f t="shared" si="36"/>
        <v>0.22048066875653083</v>
      </c>
      <c r="Q500" s="108">
        <f t="shared" si="37"/>
        <v>0.24143835616438358</v>
      </c>
      <c r="S500" s="109">
        <f t="shared" si="38"/>
        <v>0.82619647355163717</v>
      </c>
      <c r="T500" s="109">
        <f t="shared" si="39"/>
        <v>0.51515151515151514</v>
      </c>
    </row>
    <row r="501" spans="1:20">
      <c r="A501" s="154">
        <v>384</v>
      </c>
      <c r="B501" s="156">
        <v>300244</v>
      </c>
      <c r="C501" s="133" t="s">
        <v>2795</v>
      </c>
      <c r="D501" s="155" t="s">
        <v>2324</v>
      </c>
      <c r="E501" s="154">
        <v>13</v>
      </c>
      <c r="F501" s="154">
        <v>10</v>
      </c>
      <c r="G501" s="154">
        <v>3</v>
      </c>
      <c r="H501" s="154">
        <v>0</v>
      </c>
      <c r="I501" s="154">
        <v>0</v>
      </c>
      <c r="J501" s="154">
        <v>0</v>
      </c>
      <c r="K501" s="154">
        <v>0.626</v>
      </c>
      <c r="L501" s="154">
        <v>0.77600000000000002</v>
      </c>
      <c r="M501" s="154">
        <v>0.96499999999999997</v>
      </c>
      <c r="N501" s="154">
        <v>1.175</v>
      </c>
      <c r="O501" s="108">
        <f t="shared" si="35"/>
        <v>0.23961661341853047</v>
      </c>
      <c r="P501" s="108">
        <f t="shared" si="36"/>
        <v>0.24355670103092786</v>
      </c>
      <c r="Q501" s="108">
        <f t="shared" si="37"/>
        <v>0.21761658031088094</v>
      </c>
      <c r="S501" s="109">
        <f t="shared" si="38"/>
        <v>0.8769968051118211</v>
      </c>
      <c r="T501" s="109">
        <f t="shared" si="39"/>
        <v>0.51417525773195871</v>
      </c>
    </row>
    <row r="502" spans="1:20">
      <c r="A502" s="154">
        <v>295</v>
      </c>
      <c r="B502" s="156">
        <v>603214</v>
      </c>
      <c r="C502" s="133" t="s">
        <v>2796</v>
      </c>
      <c r="D502" s="155" t="s">
        <v>2324</v>
      </c>
      <c r="E502" s="154">
        <v>16</v>
      </c>
      <c r="F502" s="154">
        <v>8</v>
      </c>
      <c r="G502" s="154">
        <v>8</v>
      </c>
      <c r="H502" s="154">
        <v>0</v>
      </c>
      <c r="I502" s="154">
        <v>0</v>
      </c>
      <c r="J502" s="154">
        <v>0</v>
      </c>
      <c r="K502" s="154">
        <v>1.1759999999999999</v>
      </c>
      <c r="L502" s="154">
        <v>1.468</v>
      </c>
      <c r="M502" s="154">
        <v>1.8149999999999999</v>
      </c>
      <c r="N502" s="154">
        <v>2.222</v>
      </c>
      <c r="O502" s="108">
        <f t="shared" si="35"/>
        <v>0.2482993197278911</v>
      </c>
      <c r="P502" s="108">
        <f t="shared" si="36"/>
        <v>0.23637602179836503</v>
      </c>
      <c r="Q502" s="108">
        <f t="shared" si="37"/>
        <v>0.22424242424242435</v>
      </c>
      <c r="S502" s="109">
        <f t="shared" si="38"/>
        <v>0.88945578231292521</v>
      </c>
      <c r="T502" s="109">
        <f t="shared" si="39"/>
        <v>0.51362397820163497</v>
      </c>
    </row>
    <row r="503" spans="1:20">
      <c r="A503" s="154">
        <v>818</v>
      </c>
      <c r="B503" s="156">
        <v>603060</v>
      </c>
      <c r="C503" s="133" t="s">
        <v>2797</v>
      </c>
      <c r="D503" s="155" t="s">
        <v>2324</v>
      </c>
      <c r="E503" s="154">
        <v>5</v>
      </c>
      <c r="F503" s="154">
        <v>5</v>
      </c>
      <c r="G503" s="154">
        <v>0</v>
      </c>
      <c r="H503" s="154">
        <v>0</v>
      </c>
      <c r="I503" s="154">
        <v>0</v>
      </c>
      <c r="J503" s="154">
        <v>0</v>
      </c>
      <c r="K503" s="154">
        <v>0.621</v>
      </c>
      <c r="L503" s="154">
        <v>0.70899999999999996</v>
      </c>
      <c r="M503" s="154">
        <v>0.86799999999999999</v>
      </c>
      <c r="N503" s="154">
        <v>1.073</v>
      </c>
      <c r="O503" s="108">
        <f t="shared" si="35"/>
        <v>0.14170692431561993</v>
      </c>
      <c r="P503" s="108">
        <f t="shared" si="36"/>
        <v>0.22425952045134001</v>
      </c>
      <c r="Q503" s="108">
        <f t="shared" si="37"/>
        <v>0.23617511520737322</v>
      </c>
      <c r="S503" s="109">
        <f t="shared" si="38"/>
        <v>0.72785829307568428</v>
      </c>
      <c r="T503" s="109">
        <f t="shared" si="39"/>
        <v>0.51339915373765876</v>
      </c>
    </row>
    <row r="504" spans="1:20">
      <c r="A504" s="154">
        <v>361</v>
      </c>
      <c r="B504" s="156">
        <v>300146</v>
      </c>
      <c r="C504" s="133" t="s">
        <v>2798</v>
      </c>
      <c r="D504" s="155" t="s">
        <v>2324</v>
      </c>
      <c r="E504" s="154">
        <v>14</v>
      </c>
      <c r="F504" s="154">
        <v>10</v>
      </c>
      <c r="G504" s="154">
        <v>4</v>
      </c>
      <c r="H504" s="154">
        <v>0</v>
      </c>
      <c r="I504" s="154">
        <v>0</v>
      </c>
      <c r="J504" s="154">
        <v>0</v>
      </c>
      <c r="K504" s="154">
        <v>0.63300000000000001</v>
      </c>
      <c r="L504" s="154">
        <v>0.75</v>
      </c>
      <c r="M504" s="154">
        <v>0.92500000000000004</v>
      </c>
      <c r="N504" s="154">
        <v>1.133</v>
      </c>
      <c r="O504" s="108">
        <f t="shared" si="35"/>
        <v>0.18483412322274884</v>
      </c>
      <c r="P504" s="108">
        <f t="shared" si="36"/>
        <v>0.23333333333333339</v>
      </c>
      <c r="Q504" s="108">
        <f t="shared" si="37"/>
        <v>0.22486486486486479</v>
      </c>
      <c r="S504" s="109">
        <f t="shared" si="38"/>
        <v>0.78988941548183256</v>
      </c>
      <c r="T504" s="109">
        <f t="shared" si="39"/>
        <v>0.5106666666666666</v>
      </c>
    </row>
    <row r="505" spans="1:20">
      <c r="A505" s="154">
        <v>639</v>
      </c>
      <c r="B505" s="156">
        <v>600989</v>
      </c>
      <c r="C505" s="133" t="s">
        <v>2799</v>
      </c>
      <c r="D505" s="155" t="s">
        <v>2324</v>
      </c>
      <c r="E505" s="154">
        <v>7</v>
      </c>
      <c r="F505" s="154">
        <v>2</v>
      </c>
      <c r="G505" s="154">
        <v>5</v>
      </c>
      <c r="H505" s="154">
        <v>0</v>
      </c>
      <c r="I505" s="154">
        <v>0</v>
      </c>
      <c r="J505" s="154">
        <v>0</v>
      </c>
      <c r="K505" s="154">
        <v>0.504</v>
      </c>
      <c r="L505" s="154">
        <v>0.56399999999999995</v>
      </c>
      <c r="M505" s="154">
        <v>0.76100000000000001</v>
      </c>
      <c r="N505" s="154">
        <v>0.85199999999999998</v>
      </c>
      <c r="O505" s="108">
        <f t="shared" si="35"/>
        <v>0.11904761904761885</v>
      </c>
      <c r="P505" s="108">
        <f t="shared" si="36"/>
        <v>0.34929078014184411</v>
      </c>
      <c r="Q505" s="108">
        <f t="shared" si="37"/>
        <v>0.11957950065703016</v>
      </c>
      <c r="S505" s="109">
        <f t="shared" si="38"/>
        <v>0.69047619047619047</v>
      </c>
      <c r="T505" s="109">
        <f t="shared" si="39"/>
        <v>0.5106382978723405</v>
      </c>
    </row>
    <row r="506" spans="1:20">
      <c r="A506" s="154">
        <v>580</v>
      </c>
      <c r="B506" s="156">
        <v>300487</v>
      </c>
      <c r="C506" s="133" t="s">
        <v>1325</v>
      </c>
      <c r="D506" s="155" t="s">
        <v>2324</v>
      </c>
      <c r="E506" s="154">
        <v>8</v>
      </c>
      <c r="F506" s="154">
        <v>6</v>
      </c>
      <c r="G506" s="154">
        <v>2</v>
      </c>
      <c r="H506" s="154">
        <v>0</v>
      </c>
      <c r="I506" s="154">
        <v>0</v>
      </c>
      <c r="J506" s="154">
        <v>0</v>
      </c>
      <c r="K506" s="154">
        <v>0.69299999999999995</v>
      </c>
      <c r="L506" s="154">
        <v>1.363</v>
      </c>
      <c r="M506" s="154">
        <v>1.694</v>
      </c>
      <c r="N506" s="154">
        <v>2.0579999999999998</v>
      </c>
      <c r="O506" s="108">
        <f t="shared" si="35"/>
        <v>0.96681096681096701</v>
      </c>
      <c r="P506" s="108">
        <f t="shared" si="36"/>
        <v>0.24284666177549519</v>
      </c>
      <c r="Q506" s="108">
        <f t="shared" si="37"/>
        <v>0.21487603305785119</v>
      </c>
      <c r="S506" s="109">
        <f t="shared" si="38"/>
        <v>1.9696969696969697</v>
      </c>
      <c r="T506" s="109">
        <f t="shared" si="39"/>
        <v>0.50990462215700649</v>
      </c>
    </row>
    <row r="507" spans="1:20">
      <c r="A507" s="154">
        <v>237</v>
      </c>
      <c r="B507" s="156">
        <v>600498</v>
      </c>
      <c r="C507" s="133" t="s">
        <v>2800</v>
      </c>
      <c r="D507" s="155" t="s">
        <v>2324</v>
      </c>
      <c r="E507" s="154">
        <v>20</v>
      </c>
      <c r="F507" s="154">
        <v>11</v>
      </c>
      <c r="G507" s="154">
        <v>8</v>
      </c>
      <c r="H507" s="154">
        <v>1</v>
      </c>
      <c r="I507" s="154">
        <v>0</v>
      </c>
      <c r="J507" s="154">
        <v>0</v>
      </c>
      <c r="K507" s="154">
        <v>0.72099999999999997</v>
      </c>
      <c r="L507" s="154">
        <v>0.81799999999999995</v>
      </c>
      <c r="M507" s="154">
        <v>1.0109999999999999</v>
      </c>
      <c r="N507" s="154">
        <v>1.2350000000000001</v>
      </c>
      <c r="O507" s="108">
        <f t="shared" si="35"/>
        <v>0.13453536754507622</v>
      </c>
      <c r="P507" s="108">
        <f t="shared" si="36"/>
        <v>0.23594132029339843</v>
      </c>
      <c r="Q507" s="108">
        <f t="shared" si="37"/>
        <v>0.22156280909990134</v>
      </c>
      <c r="S507" s="109">
        <f t="shared" si="38"/>
        <v>0.71289875173370332</v>
      </c>
      <c r="T507" s="109">
        <f t="shared" si="39"/>
        <v>0.50977995110024477</v>
      </c>
    </row>
    <row r="508" spans="1:20">
      <c r="A508" s="154">
        <v>470</v>
      </c>
      <c r="B508" s="156">
        <v>2111</v>
      </c>
      <c r="C508" s="133" t="s">
        <v>2801</v>
      </c>
      <c r="D508" s="155" t="s">
        <v>2324</v>
      </c>
      <c r="E508" s="154">
        <v>11</v>
      </c>
      <c r="F508" s="154">
        <v>11</v>
      </c>
      <c r="G508" s="154">
        <v>0</v>
      </c>
      <c r="H508" s="154">
        <v>0</v>
      </c>
      <c r="I508" s="154">
        <v>0</v>
      </c>
      <c r="J508" s="154">
        <v>0</v>
      </c>
      <c r="K508" s="154">
        <v>0.61499999999999999</v>
      </c>
      <c r="L508" s="154">
        <v>0.83399999999999996</v>
      </c>
      <c r="M508" s="154">
        <v>1.042</v>
      </c>
      <c r="N508" s="154">
        <v>1.2589999999999999</v>
      </c>
      <c r="O508" s="108">
        <f t="shared" si="35"/>
        <v>0.35609756097560963</v>
      </c>
      <c r="P508" s="108">
        <f t="shared" si="36"/>
        <v>0.24940047961630696</v>
      </c>
      <c r="Q508" s="108">
        <f t="shared" si="37"/>
        <v>0.20825335892514385</v>
      </c>
      <c r="S508" s="109">
        <f t="shared" si="38"/>
        <v>1.0471544715447152</v>
      </c>
      <c r="T508" s="109">
        <f t="shared" si="39"/>
        <v>0.50959232613908867</v>
      </c>
    </row>
    <row r="509" spans="1:20">
      <c r="A509" s="154">
        <v>363</v>
      </c>
      <c r="B509" s="156">
        <v>601117</v>
      </c>
      <c r="C509" s="133" t="s">
        <v>2802</v>
      </c>
      <c r="D509" s="155" t="s">
        <v>2324</v>
      </c>
      <c r="E509" s="154">
        <v>14</v>
      </c>
      <c r="F509" s="154">
        <v>14</v>
      </c>
      <c r="G509" s="154">
        <v>0</v>
      </c>
      <c r="H509" s="154">
        <v>0</v>
      </c>
      <c r="I509" s="154">
        <v>0</v>
      </c>
      <c r="J509" s="154">
        <v>0</v>
      </c>
      <c r="K509" s="154">
        <v>0.39200000000000002</v>
      </c>
      <c r="L509" s="154">
        <v>0.53400000000000003</v>
      </c>
      <c r="M509" s="154">
        <v>0.66400000000000003</v>
      </c>
      <c r="N509" s="154">
        <v>0.80500000000000005</v>
      </c>
      <c r="O509" s="108">
        <f t="shared" si="35"/>
        <v>0.36224489795918369</v>
      </c>
      <c r="P509" s="108">
        <f t="shared" si="36"/>
        <v>0.24344569288389506</v>
      </c>
      <c r="Q509" s="108">
        <f t="shared" si="37"/>
        <v>0.21234939759036142</v>
      </c>
      <c r="S509" s="109">
        <f t="shared" si="38"/>
        <v>1.0535714285714288</v>
      </c>
      <c r="T509" s="109">
        <f t="shared" si="39"/>
        <v>0.50749063670411987</v>
      </c>
    </row>
    <row r="510" spans="1:20">
      <c r="A510" s="154">
        <v>606</v>
      </c>
      <c r="B510" s="156">
        <v>2373</v>
      </c>
      <c r="C510" s="133" t="s">
        <v>2803</v>
      </c>
      <c r="D510" s="155" t="s">
        <v>2324</v>
      </c>
      <c r="E510" s="154">
        <v>8</v>
      </c>
      <c r="F510" s="154">
        <v>8</v>
      </c>
      <c r="G510" s="154">
        <v>0</v>
      </c>
      <c r="H510" s="154">
        <v>0</v>
      </c>
      <c r="I510" s="154">
        <v>0</v>
      </c>
      <c r="J510" s="154">
        <v>0</v>
      </c>
      <c r="K510" s="154">
        <v>0.51100000000000001</v>
      </c>
      <c r="L510" s="154">
        <v>0.64700000000000002</v>
      </c>
      <c r="M510" s="154">
        <v>0.79700000000000004</v>
      </c>
      <c r="N510" s="154">
        <v>0.97499999999999998</v>
      </c>
      <c r="O510" s="108">
        <f t="shared" si="35"/>
        <v>0.26614481409001955</v>
      </c>
      <c r="P510" s="108">
        <f t="shared" si="36"/>
        <v>0.231839258114374</v>
      </c>
      <c r="Q510" s="108">
        <f t="shared" si="37"/>
        <v>0.22333751568381421</v>
      </c>
      <c r="S510" s="109">
        <f t="shared" si="38"/>
        <v>0.90802348336594907</v>
      </c>
      <c r="T510" s="109">
        <f t="shared" si="39"/>
        <v>0.50695517774343113</v>
      </c>
    </row>
    <row r="511" spans="1:20">
      <c r="A511" s="154">
        <v>465</v>
      </c>
      <c r="B511" s="156">
        <v>300285</v>
      </c>
      <c r="C511" s="133" t="s">
        <v>2804</v>
      </c>
      <c r="D511" s="155" t="s">
        <v>2324</v>
      </c>
      <c r="E511" s="154">
        <v>11</v>
      </c>
      <c r="F511" s="154">
        <v>1</v>
      </c>
      <c r="G511" s="154">
        <v>10</v>
      </c>
      <c r="H511" s="154">
        <v>0</v>
      </c>
      <c r="I511" s="154">
        <v>0</v>
      </c>
      <c r="J511" s="154">
        <v>0</v>
      </c>
      <c r="K511" s="154">
        <v>0.56399999999999995</v>
      </c>
      <c r="L511" s="154">
        <v>0.55700000000000005</v>
      </c>
      <c r="M511" s="154">
        <v>0.69099999999999995</v>
      </c>
      <c r="N511" s="154">
        <v>0.83899999999999997</v>
      </c>
      <c r="O511" s="108">
        <f t="shared" si="35"/>
        <v>-1.241134751773032E-2</v>
      </c>
      <c r="P511" s="108">
        <f t="shared" si="36"/>
        <v>0.24057450628366217</v>
      </c>
      <c r="Q511" s="108">
        <f t="shared" si="37"/>
        <v>0.21418234442836481</v>
      </c>
      <c r="S511" s="109">
        <f t="shared" si="38"/>
        <v>0.48758865248226968</v>
      </c>
      <c r="T511" s="109">
        <f t="shared" si="39"/>
        <v>0.50628366247755818</v>
      </c>
    </row>
    <row r="512" spans="1:20">
      <c r="A512" s="154">
        <v>660</v>
      </c>
      <c r="B512" s="156">
        <v>603556</v>
      </c>
      <c r="C512" s="133" t="s">
        <v>2805</v>
      </c>
      <c r="D512" s="155" t="s">
        <v>2324</v>
      </c>
      <c r="E512" s="154">
        <v>7</v>
      </c>
      <c r="F512" s="154">
        <v>3</v>
      </c>
      <c r="G512" s="154">
        <v>4</v>
      </c>
      <c r="H512" s="154">
        <v>0</v>
      </c>
      <c r="I512" s="154">
        <v>0</v>
      </c>
      <c r="J512" s="154">
        <v>0</v>
      </c>
      <c r="K512" s="154">
        <v>0.67300000000000004</v>
      </c>
      <c r="L512" s="154">
        <v>1.0549999999999999</v>
      </c>
      <c r="M512" s="154">
        <v>1.2989999999999999</v>
      </c>
      <c r="N512" s="154">
        <v>1.589</v>
      </c>
      <c r="O512" s="108">
        <f t="shared" si="35"/>
        <v>0.56760772659732517</v>
      </c>
      <c r="P512" s="108">
        <f t="shared" si="36"/>
        <v>0.23127962085308051</v>
      </c>
      <c r="Q512" s="108">
        <f t="shared" si="37"/>
        <v>0.22324865280985384</v>
      </c>
      <c r="S512" s="109">
        <f t="shared" si="38"/>
        <v>1.3610698365527485</v>
      </c>
      <c r="T512" s="109">
        <f t="shared" si="39"/>
        <v>0.50616113744075841</v>
      </c>
    </row>
    <row r="513" spans="1:20">
      <c r="A513" s="154">
        <v>450</v>
      </c>
      <c r="B513" s="156">
        <v>300408</v>
      </c>
      <c r="C513" s="133" t="s">
        <v>2806</v>
      </c>
      <c r="D513" s="155" t="s">
        <v>2324</v>
      </c>
      <c r="E513" s="154">
        <v>11</v>
      </c>
      <c r="F513" s="154">
        <v>9</v>
      </c>
      <c r="G513" s="154">
        <v>2</v>
      </c>
      <c r="H513" s="154">
        <v>0</v>
      </c>
      <c r="I513" s="154">
        <v>0</v>
      </c>
      <c r="J513" s="154">
        <v>0</v>
      </c>
      <c r="K513" s="154">
        <v>0.75600000000000001</v>
      </c>
      <c r="L513" s="154">
        <v>0.59699999999999998</v>
      </c>
      <c r="M513" s="154">
        <v>0.746</v>
      </c>
      <c r="N513" s="154">
        <v>0.89900000000000002</v>
      </c>
      <c r="O513" s="108">
        <f t="shared" si="35"/>
        <v>-0.21031746031746035</v>
      </c>
      <c r="P513" s="108">
        <f t="shared" si="36"/>
        <v>0.24958123953098843</v>
      </c>
      <c r="Q513" s="108">
        <f t="shared" si="37"/>
        <v>0.20509383378016088</v>
      </c>
      <c r="S513" s="109">
        <f t="shared" si="38"/>
        <v>0.18915343915343907</v>
      </c>
      <c r="T513" s="109">
        <f t="shared" si="39"/>
        <v>0.5058626465661642</v>
      </c>
    </row>
    <row r="514" spans="1:20">
      <c r="A514" s="154">
        <v>489</v>
      </c>
      <c r="B514" s="156">
        <v>300137</v>
      </c>
      <c r="C514" s="133" t="s">
        <v>2807</v>
      </c>
      <c r="D514" s="155" t="s">
        <v>2324</v>
      </c>
      <c r="E514" s="154">
        <v>10</v>
      </c>
      <c r="F514" s="154">
        <v>8</v>
      </c>
      <c r="G514" s="154">
        <v>2</v>
      </c>
      <c r="H514" s="154">
        <v>0</v>
      </c>
      <c r="I514" s="154">
        <v>0</v>
      </c>
      <c r="J514" s="154">
        <v>0</v>
      </c>
      <c r="K514" s="154">
        <v>0.47099999999999997</v>
      </c>
      <c r="L514" s="154">
        <v>0.57999999999999996</v>
      </c>
      <c r="M514" s="154">
        <v>0.72099999999999997</v>
      </c>
      <c r="N514" s="154">
        <v>0.873</v>
      </c>
      <c r="O514" s="108">
        <f t="shared" si="35"/>
        <v>0.23142250530785557</v>
      </c>
      <c r="P514" s="108">
        <f t="shared" si="36"/>
        <v>0.24310344827586206</v>
      </c>
      <c r="Q514" s="108">
        <f t="shared" si="37"/>
        <v>0.21081830790568667</v>
      </c>
      <c r="S514" s="109">
        <f t="shared" si="38"/>
        <v>0.85350318471337583</v>
      </c>
      <c r="T514" s="109">
        <f t="shared" si="39"/>
        <v>0.50517241379310351</v>
      </c>
    </row>
    <row r="515" spans="1:20">
      <c r="A515" s="154">
        <v>4</v>
      </c>
      <c r="B515" s="156">
        <v>300750</v>
      </c>
      <c r="C515" s="133" t="s">
        <v>2808</v>
      </c>
      <c r="D515" s="155" t="s">
        <v>2324</v>
      </c>
      <c r="E515" s="154">
        <v>70</v>
      </c>
      <c r="F515" s="154">
        <v>34</v>
      </c>
      <c r="G515" s="154">
        <v>36</v>
      </c>
      <c r="H515" s="154">
        <v>0</v>
      </c>
      <c r="I515" s="154">
        <v>0</v>
      </c>
      <c r="J515" s="154">
        <v>0</v>
      </c>
      <c r="K515" s="154">
        <v>1.534</v>
      </c>
      <c r="L515" s="154">
        <v>2.02</v>
      </c>
      <c r="M515" s="154">
        <v>2.4870000000000001</v>
      </c>
      <c r="N515" s="154">
        <v>3.0390000000000001</v>
      </c>
      <c r="O515" s="108">
        <f t="shared" ref="O515:O578" si="40">L515/K515-1</f>
        <v>0.31681877444589301</v>
      </c>
      <c r="P515" s="108">
        <f t="shared" ref="P515:P578" si="41">M515/L515-1</f>
        <v>0.23118811881188117</v>
      </c>
      <c r="Q515" s="108">
        <f t="shared" ref="Q515:Q578" si="42">N515/M515-1</f>
        <v>0.22195416164053072</v>
      </c>
      <c r="S515" s="109">
        <f t="shared" ref="S515:S578" si="43">N515/K515-1</f>
        <v>0.98109517601043028</v>
      </c>
      <c r="T515" s="109">
        <f t="shared" ref="T515:T578" si="44">N515/L515-1</f>
        <v>0.50445544554455446</v>
      </c>
    </row>
    <row r="516" spans="1:20">
      <c r="A516" s="154">
        <v>880</v>
      </c>
      <c r="B516" s="156">
        <v>600285</v>
      </c>
      <c r="C516" s="133" t="s">
        <v>2809</v>
      </c>
      <c r="D516" s="155" t="s">
        <v>2324</v>
      </c>
      <c r="E516" s="154">
        <v>4</v>
      </c>
      <c r="F516" s="154">
        <v>2</v>
      </c>
      <c r="G516" s="154">
        <v>2</v>
      </c>
      <c r="H516" s="154">
        <v>0</v>
      </c>
      <c r="I516" s="154">
        <v>0</v>
      </c>
      <c r="J516" s="154">
        <v>0</v>
      </c>
      <c r="K516" s="154">
        <v>0.42799999999999999</v>
      </c>
      <c r="L516" s="154">
        <v>0.52200000000000002</v>
      </c>
      <c r="M516" s="154">
        <v>0.64100000000000001</v>
      </c>
      <c r="N516" s="154">
        <v>0.78500000000000003</v>
      </c>
      <c r="O516" s="108">
        <f t="shared" si="40"/>
        <v>0.21962616822429903</v>
      </c>
      <c r="P516" s="108">
        <f t="shared" si="41"/>
        <v>0.22796934865900376</v>
      </c>
      <c r="Q516" s="108">
        <f t="shared" si="42"/>
        <v>0.2246489859594385</v>
      </c>
      <c r="S516" s="109">
        <f t="shared" si="43"/>
        <v>0.8341121495327104</v>
      </c>
      <c r="T516" s="109">
        <f t="shared" si="44"/>
        <v>0.50383141762452111</v>
      </c>
    </row>
    <row r="517" spans="1:20">
      <c r="A517" s="154">
        <v>703</v>
      </c>
      <c r="B517" s="156">
        <v>600063</v>
      </c>
      <c r="C517" s="133" t="s">
        <v>2810</v>
      </c>
      <c r="D517" s="155" t="s">
        <v>2324</v>
      </c>
      <c r="E517" s="154">
        <v>6</v>
      </c>
      <c r="F517" s="154">
        <v>4</v>
      </c>
      <c r="G517" s="154">
        <v>2</v>
      </c>
      <c r="H517" s="154">
        <v>0</v>
      </c>
      <c r="I517" s="154">
        <v>0</v>
      </c>
      <c r="J517" s="154">
        <v>0</v>
      </c>
      <c r="K517" s="154">
        <v>6.8000000000000005E-2</v>
      </c>
      <c r="L517" s="154">
        <v>0.187</v>
      </c>
      <c r="M517" s="154">
        <v>0.22800000000000001</v>
      </c>
      <c r="N517" s="154">
        <v>0.28100000000000003</v>
      </c>
      <c r="O517" s="108">
        <f t="shared" si="40"/>
        <v>1.75</v>
      </c>
      <c r="P517" s="108">
        <f t="shared" si="41"/>
        <v>0.21925133689839571</v>
      </c>
      <c r="Q517" s="108">
        <f t="shared" si="42"/>
        <v>0.23245614035087736</v>
      </c>
      <c r="S517" s="109">
        <f t="shared" si="43"/>
        <v>3.132352941176471</v>
      </c>
      <c r="T517" s="109">
        <f t="shared" si="44"/>
        <v>0.50267379679144408</v>
      </c>
    </row>
    <row r="518" spans="1:20">
      <c r="A518" s="154">
        <v>514</v>
      </c>
      <c r="B518" s="156">
        <v>300457</v>
      </c>
      <c r="C518" s="133" t="s">
        <v>2811</v>
      </c>
      <c r="D518" s="155" t="s">
        <v>2324</v>
      </c>
      <c r="E518" s="154">
        <v>9</v>
      </c>
      <c r="F518" s="154">
        <v>4</v>
      </c>
      <c r="G518" s="154">
        <v>5</v>
      </c>
      <c r="H518" s="154">
        <v>0</v>
      </c>
      <c r="I518" s="154">
        <v>0</v>
      </c>
      <c r="J518" s="154">
        <v>0</v>
      </c>
      <c r="K518" s="154">
        <v>0.86299999999999999</v>
      </c>
      <c r="L518" s="154">
        <v>1.0309999999999999</v>
      </c>
      <c r="M518" s="154">
        <v>1.2729999999999999</v>
      </c>
      <c r="N518" s="154">
        <v>1.5489999999999999</v>
      </c>
      <c r="O518" s="108">
        <f t="shared" si="40"/>
        <v>0.19466975666280417</v>
      </c>
      <c r="P518" s="108">
        <f t="shared" si="41"/>
        <v>0.23472356935014549</v>
      </c>
      <c r="Q518" s="108">
        <f t="shared" si="42"/>
        <v>0.21681068342498033</v>
      </c>
      <c r="S518" s="109">
        <f t="shared" si="43"/>
        <v>0.79490150637311707</v>
      </c>
      <c r="T518" s="109">
        <f t="shared" si="44"/>
        <v>0.50242483026188167</v>
      </c>
    </row>
    <row r="519" spans="1:20">
      <c r="A519" s="154">
        <v>798</v>
      </c>
      <c r="B519" s="156">
        <v>603416</v>
      </c>
      <c r="C519" s="133" t="s">
        <v>2812</v>
      </c>
      <c r="D519" s="155" t="s">
        <v>2324</v>
      </c>
      <c r="E519" s="154">
        <v>5</v>
      </c>
      <c r="F519" s="154">
        <v>3</v>
      </c>
      <c r="G519" s="154">
        <v>2</v>
      </c>
      <c r="H519" s="154">
        <v>0</v>
      </c>
      <c r="I519" s="154">
        <v>0</v>
      </c>
      <c r="J519" s="154">
        <v>0</v>
      </c>
      <c r="K519" s="154">
        <v>1.0569999999999999</v>
      </c>
      <c r="L519" s="154">
        <v>1.004</v>
      </c>
      <c r="M519" s="154">
        <v>1.214</v>
      </c>
      <c r="N519" s="154">
        <v>1.5049999999999999</v>
      </c>
      <c r="O519" s="108">
        <f t="shared" si="40"/>
        <v>-5.0141911069063294E-2</v>
      </c>
      <c r="P519" s="108">
        <f t="shared" si="41"/>
        <v>0.20916334661354585</v>
      </c>
      <c r="Q519" s="108">
        <f t="shared" si="42"/>
        <v>0.23970345963756179</v>
      </c>
      <c r="S519" s="109">
        <f t="shared" si="43"/>
        <v>0.42384105960264895</v>
      </c>
      <c r="T519" s="109">
        <f t="shared" si="44"/>
        <v>0.4990039840637448</v>
      </c>
    </row>
    <row r="520" spans="1:20">
      <c r="A520" s="154">
        <v>806</v>
      </c>
      <c r="B520" s="156">
        <v>603416</v>
      </c>
      <c r="C520" s="133" t="s">
        <v>2812</v>
      </c>
      <c r="D520" s="155" t="s">
        <v>2324</v>
      </c>
      <c r="E520" s="154">
        <v>5</v>
      </c>
      <c r="F520" s="154">
        <v>3</v>
      </c>
      <c r="G520" s="154">
        <v>2</v>
      </c>
      <c r="H520" s="154">
        <v>0</v>
      </c>
      <c r="I520" s="154">
        <v>0</v>
      </c>
      <c r="J520" s="154">
        <v>0</v>
      </c>
      <c r="K520" s="154">
        <v>1.0569999999999999</v>
      </c>
      <c r="L520" s="154">
        <v>1.004</v>
      </c>
      <c r="M520" s="154">
        <v>1.214</v>
      </c>
      <c r="N520" s="154">
        <v>1.5049999999999999</v>
      </c>
      <c r="O520" s="108">
        <f t="shared" si="40"/>
        <v>-5.0141911069063294E-2</v>
      </c>
      <c r="P520" s="108">
        <f t="shared" si="41"/>
        <v>0.20916334661354585</v>
      </c>
      <c r="Q520" s="108">
        <f t="shared" si="42"/>
        <v>0.23970345963756179</v>
      </c>
      <c r="S520" s="109">
        <f t="shared" si="43"/>
        <v>0.42384105960264895</v>
      </c>
      <c r="T520" s="109">
        <f t="shared" si="44"/>
        <v>0.4990039840637448</v>
      </c>
    </row>
    <row r="521" spans="1:20">
      <c r="A521" s="154">
        <v>530</v>
      </c>
      <c r="B521" s="156">
        <v>300031</v>
      </c>
      <c r="C521" s="133" t="s">
        <v>2813</v>
      </c>
      <c r="D521" s="155" t="s">
        <v>2324</v>
      </c>
      <c r="E521" s="154">
        <v>9</v>
      </c>
      <c r="F521" s="154">
        <v>3</v>
      </c>
      <c r="G521" s="154">
        <v>6</v>
      </c>
      <c r="H521" s="154">
        <v>0</v>
      </c>
      <c r="I521" s="154">
        <v>0</v>
      </c>
      <c r="J521" s="154">
        <v>0</v>
      </c>
      <c r="K521" s="154">
        <v>0.68500000000000005</v>
      </c>
      <c r="L521" s="154">
        <v>0.88800000000000001</v>
      </c>
      <c r="M521" s="154">
        <v>1.089</v>
      </c>
      <c r="N521" s="154">
        <v>1.331</v>
      </c>
      <c r="O521" s="108">
        <f t="shared" si="40"/>
        <v>0.29635036496350353</v>
      </c>
      <c r="P521" s="108">
        <f t="shared" si="41"/>
        <v>0.22635135135135132</v>
      </c>
      <c r="Q521" s="108">
        <f t="shared" si="42"/>
        <v>0.22222222222222232</v>
      </c>
      <c r="S521" s="109">
        <f t="shared" si="43"/>
        <v>0.94306569343065672</v>
      </c>
      <c r="T521" s="109">
        <f t="shared" si="44"/>
        <v>0.49887387387387383</v>
      </c>
    </row>
    <row r="522" spans="1:20">
      <c r="A522" s="154">
        <v>877</v>
      </c>
      <c r="B522" s="156">
        <v>600667</v>
      </c>
      <c r="C522" s="133" t="s">
        <v>2814</v>
      </c>
      <c r="D522" s="155" t="s">
        <v>2324</v>
      </c>
      <c r="E522" s="154">
        <v>4</v>
      </c>
      <c r="F522" s="154">
        <v>4</v>
      </c>
      <c r="G522" s="154">
        <v>0</v>
      </c>
      <c r="H522" s="154">
        <v>0</v>
      </c>
      <c r="I522" s="154">
        <v>0</v>
      </c>
      <c r="J522" s="154">
        <v>0</v>
      </c>
      <c r="K522" s="154">
        <v>0.27200000000000002</v>
      </c>
      <c r="L522" s="154">
        <v>0.315</v>
      </c>
      <c r="M522" s="154">
        <v>0.38</v>
      </c>
      <c r="N522" s="154">
        <v>0.47199999999999998</v>
      </c>
      <c r="O522" s="108">
        <f t="shared" si="40"/>
        <v>0.15808823529411753</v>
      </c>
      <c r="P522" s="108">
        <f t="shared" si="41"/>
        <v>0.20634920634920628</v>
      </c>
      <c r="Q522" s="108">
        <f t="shared" si="42"/>
        <v>0.2421052631578946</v>
      </c>
      <c r="S522" s="109">
        <f t="shared" si="43"/>
        <v>0.73529411764705865</v>
      </c>
      <c r="T522" s="109">
        <f t="shared" si="44"/>
        <v>0.49841269841269842</v>
      </c>
    </row>
    <row r="523" spans="1:20">
      <c r="A523" s="154">
        <v>616</v>
      </c>
      <c r="B523" s="156">
        <v>2084</v>
      </c>
      <c r="C523" s="133" t="s">
        <v>2815</v>
      </c>
      <c r="D523" s="155" t="s">
        <v>2324</v>
      </c>
      <c r="E523" s="154">
        <v>8</v>
      </c>
      <c r="F523" s="154">
        <v>6</v>
      </c>
      <c r="G523" s="154">
        <v>2</v>
      </c>
      <c r="H523" s="154">
        <v>0</v>
      </c>
      <c r="I523" s="154">
        <v>0</v>
      </c>
      <c r="J523" s="154">
        <v>0</v>
      </c>
      <c r="K523" s="154">
        <v>8.3000000000000004E-2</v>
      </c>
      <c r="L523" s="154">
        <v>0.24099999999999999</v>
      </c>
      <c r="M523" s="154">
        <v>0.29299999999999998</v>
      </c>
      <c r="N523" s="154">
        <v>0.36099999999999999</v>
      </c>
      <c r="O523" s="108">
        <f t="shared" si="40"/>
        <v>1.903614457831325</v>
      </c>
      <c r="P523" s="108">
        <f t="shared" si="41"/>
        <v>0.21576763485477168</v>
      </c>
      <c r="Q523" s="108">
        <f t="shared" si="42"/>
        <v>0.23208191126279876</v>
      </c>
      <c r="S523" s="109">
        <f t="shared" si="43"/>
        <v>3.3493975903614457</v>
      </c>
      <c r="T523" s="109">
        <f t="shared" si="44"/>
        <v>0.49792531120331951</v>
      </c>
    </row>
    <row r="524" spans="1:20">
      <c r="A524" s="154">
        <v>656</v>
      </c>
      <c r="B524" s="156">
        <v>603203</v>
      </c>
      <c r="C524" s="133" t="s">
        <v>2816</v>
      </c>
      <c r="D524" s="155" t="s">
        <v>2324</v>
      </c>
      <c r="E524" s="154">
        <v>7</v>
      </c>
      <c r="F524" s="154">
        <v>3</v>
      </c>
      <c r="G524" s="154">
        <v>4</v>
      </c>
      <c r="H524" s="154">
        <v>0</v>
      </c>
      <c r="I524" s="154">
        <v>0</v>
      </c>
      <c r="J524" s="154">
        <v>0</v>
      </c>
      <c r="K524" s="154">
        <v>0.998</v>
      </c>
      <c r="L524" s="154">
        <v>1.1319999999999999</v>
      </c>
      <c r="M524" s="154">
        <v>1.3859999999999999</v>
      </c>
      <c r="N524" s="154">
        <v>1.6950000000000001</v>
      </c>
      <c r="O524" s="108">
        <f t="shared" si="40"/>
        <v>0.1342685370741481</v>
      </c>
      <c r="P524" s="108">
        <f t="shared" si="41"/>
        <v>0.22438162544169615</v>
      </c>
      <c r="Q524" s="108">
        <f t="shared" si="42"/>
        <v>0.222943722943723</v>
      </c>
      <c r="S524" s="109">
        <f t="shared" si="43"/>
        <v>0.69839679358717444</v>
      </c>
      <c r="T524" s="109">
        <f t="shared" si="44"/>
        <v>0.49734982332155497</v>
      </c>
    </row>
    <row r="525" spans="1:20">
      <c r="A525" s="154">
        <v>837</v>
      </c>
      <c r="B525" s="156">
        <v>300010</v>
      </c>
      <c r="C525" s="133" t="s">
        <v>2817</v>
      </c>
      <c r="D525" s="155" t="s">
        <v>2324</v>
      </c>
      <c r="E525" s="154">
        <v>5</v>
      </c>
      <c r="F525" s="154">
        <v>3</v>
      </c>
      <c r="G525" s="154">
        <v>2</v>
      </c>
      <c r="H525" s="154">
        <v>0</v>
      </c>
      <c r="I525" s="154">
        <v>0</v>
      </c>
      <c r="J525" s="154">
        <v>0</v>
      </c>
      <c r="K525" s="154">
        <v>-1.6040000000000001</v>
      </c>
      <c r="L525" s="154">
        <v>0.29399999999999998</v>
      </c>
      <c r="M525" s="154">
        <v>0.35299999999999998</v>
      </c>
      <c r="N525" s="154">
        <v>0.44</v>
      </c>
      <c r="O525" s="108">
        <f t="shared" si="40"/>
        <v>-1.1832917705735662</v>
      </c>
      <c r="P525" s="108">
        <f t="shared" si="41"/>
        <v>0.20068027210884343</v>
      </c>
      <c r="Q525" s="108">
        <f t="shared" si="42"/>
        <v>0.2464589235127479</v>
      </c>
      <c r="S525" s="109">
        <f t="shared" si="43"/>
        <v>-1.2743142144638404</v>
      </c>
      <c r="T525" s="109">
        <f t="shared" si="44"/>
        <v>0.49659863945578242</v>
      </c>
    </row>
    <row r="526" spans="1:20">
      <c r="A526" s="154">
        <v>9</v>
      </c>
      <c r="B526" s="156">
        <v>600570</v>
      </c>
      <c r="C526" s="133" t="s">
        <v>2818</v>
      </c>
      <c r="D526" s="155" t="s">
        <v>2324</v>
      </c>
      <c r="E526" s="154">
        <v>59</v>
      </c>
      <c r="F526" s="154">
        <v>41</v>
      </c>
      <c r="G526" s="154">
        <v>18</v>
      </c>
      <c r="H526" s="154">
        <v>0</v>
      </c>
      <c r="I526" s="154">
        <v>0</v>
      </c>
      <c r="J526" s="154">
        <v>0</v>
      </c>
      <c r="K526" s="154">
        <v>0.80400000000000005</v>
      </c>
      <c r="L526" s="154">
        <v>1.2010000000000001</v>
      </c>
      <c r="M526" s="154">
        <v>1.4370000000000001</v>
      </c>
      <c r="N526" s="154">
        <v>1.796</v>
      </c>
      <c r="O526" s="108">
        <f t="shared" si="40"/>
        <v>0.49378109452736307</v>
      </c>
      <c r="P526" s="108">
        <f t="shared" si="41"/>
        <v>0.19650291423813493</v>
      </c>
      <c r="Q526" s="108">
        <f t="shared" si="42"/>
        <v>0.24982602644398044</v>
      </c>
      <c r="S526" s="109">
        <f t="shared" si="43"/>
        <v>1.233830845771144</v>
      </c>
      <c r="T526" s="109">
        <f t="shared" si="44"/>
        <v>0.4954204829308908</v>
      </c>
    </row>
    <row r="527" spans="1:20">
      <c r="A527" s="154">
        <v>539</v>
      </c>
      <c r="B527" s="156">
        <v>300229</v>
      </c>
      <c r="C527" s="133" t="s">
        <v>2819</v>
      </c>
      <c r="D527" s="155" t="s">
        <v>2324</v>
      </c>
      <c r="E527" s="154">
        <v>9</v>
      </c>
      <c r="F527" s="154">
        <v>7</v>
      </c>
      <c r="G527" s="154">
        <v>2</v>
      </c>
      <c r="H527" s="154">
        <v>0</v>
      </c>
      <c r="I527" s="154">
        <v>0</v>
      </c>
      <c r="J527" s="154">
        <v>0</v>
      </c>
      <c r="K527" s="154">
        <v>0.128</v>
      </c>
      <c r="L527" s="154">
        <v>0.38800000000000001</v>
      </c>
      <c r="M527" s="154">
        <v>0.48499999999999999</v>
      </c>
      <c r="N527" s="154">
        <v>0.57999999999999996</v>
      </c>
      <c r="O527" s="108">
        <f t="shared" si="40"/>
        <v>2.03125</v>
      </c>
      <c r="P527" s="108">
        <f t="shared" si="41"/>
        <v>0.25</v>
      </c>
      <c r="Q527" s="108">
        <f t="shared" si="42"/>
        <v>0.19587628865979378</v>
      </c>
      <c r="S527" s="109">
        <f t="shared" si="43"/>
        <v>3.53125</v>
      </c>
      <c r="T527" s="109">
        <f t="shared" si="44"/>
        <v>0.49484536082474206</v>
      </c>
    </row>
    <row r="528" spans="1:20">
      <c r="A528" s="154">
        <v>979</v>
      </c>
      <c r="B528" s="156">
        <v>600502</v>
      </c>
      <c r="C528" s="133" t="s">
        <v>2820</v>
      </c>
      <c r="D528" s="155" t="s">
        <v>2324</v>
      </c>
      <c r="E528" s="154">
        <v>3</v>
      </c>
      <c r="F528" s="154">
        <v>3</v>
      </c>
      <c r="G528" s="154">
        <v>0</v>
      </c>
      <c r="H528" s="154">
        <v>0</v>
      </c>
      <c r="I528" s="154">
        <v>0</v>
      </c>
      <c r="J528" s="154">
        <v>0</v>
      </c>
      <c r="K528" s="154">
        <v>0.46500000000000002</v>
      </c>
      <c r="L528" s="154">
        <v>0.58899999999999997</v>
      </c>
      <c r="M528" s="154">
        <v>0.73299999999999998</v>
      </c>
      <c r="N528" s="154">
        <v>0.88</v>
      </c>
      <c r="O528" s="108">
        <f t="shared" si="40"/>
        <v>0.26666666666666661</v>
      </c>
      <c r="P528" s="108">
        <f t="shared" si="41"/>
        <v>0.24448217317487275</v>
      </c>
      <c r="Q528" s="108">
        <f t="shared" si="42"/>
        <v>0.20054570259208737</v>
      </c>
      <c r="S528" s="109">
        <f t="shared" si="43"/>
        <v>0.89247311827956977</v>
      </c>
      <c r="T528" s="109">
        <f t="shared" si="44"/>
        <v>0.49405772495755529</v>
      </c>
    </row>
    <row r="529" spans="1:20">
      <c r="A529" s="154">
        <v>496</v>
      </c>
      <c r="B529" s="156">
        <v>2146</v>
      </c>
      <c r="C529" s="133" t="s">
        <v>2821</v>
      </c>
      <c r="D529" s="155" t="s">
        <v>2324</v>
      </c>
      <c r="E529" s="154">
        <v>10</v>
      </c>
      <c r="F529" s="154">
        <v>9</v>
      </c>
      <c r="G529" s="154">
        <v>1</v>
      </c>
      <c r="H529" s="154">
        <v>0</v>
      </c>
      <c r="I529" s="154">
        <v>0</v>
      </c>
      <c r="J529" s="154">
        <v>0</v>
      </c>
      <c r="K529" s="154">
        <v>1.74</v>
      </c>
      <c r="L529" s="154">
        <v>2.2120000000000002</v>
      </c>
      <c r="M529" s="154">
        <v>2.7</v>
      </c>
      <c r="N529" s="154">
        <v>3.3039999999999998</v>
      </c>
      <c r="O529" s="108">
        <f t="shared" si="40"/>
        <v>0.27126436781609198</v>
      </c>
      <c r="P529" s="108">
        <f t="shared" si="41"/>
        <v>0.22061482820976486</v>
      </c>
      <c r="Q529" s="108">
        <f t="shared" si="42"/>
        <v>0.22370370370370352</v>
      </c>
      <c r="S529" s="109">
        <f t="shared" si="43"/>
        <v>0.89885057471264362</v>
      </c>
      <c r="T529" s="109">
        <f t="shared" si="44"/>
        <v>0.49367088607594911</v>
      </c>
    </row>
    <row r="530" spans="1:20">
      <c r="A530" s="154">
        <v>415</v>
      </c>
      <c r="B530" s="156">
        <v>2739</v>
      </c>
      <c r="C530" s="133" t="s">
        <v>2822</v>
      </c>
      <c r="D530" s="155" t="s">
        <v>2324</v>
      </c>
      <c r="E530" s="154">
        <v>12</v>
      </c>
      <c r="F530" s="154">
        <v>8</v>
      </c>
      <c r="G530" s="154">
        <v>4</v>
      </c>
      <c r="H530" s="154">
        <v>0</v>
      </c>
      <c r="I530" s="154">
        <v>0</v>
      </c>
      <c r="J530" s="154">
        <v>0</v>
      </c>
      <c r="K530" s="154">
        <v>0.623</v>
      </c>
      <c r="L530" s="154">
        <v>0.59699999999999998</v>
      </c>
      <c r="M530" s="154">
        <v>0.76700000000000002</v>
      </c>
      <c r="N530" s="154">
        <v>0.89100000000000001</v>
      </c>
      <c r="O530" s="108">
        <f t="shared" si="40"/>
        <v>-4.1733547351524902E-2</v>
      </c>
      <c r="P530" s="108">
        <f t="shared" si="41"/>
        <v>0.28475711892797317</v>
      </c>
      <c r="Q530" s="108">
        <f t="shared" si="42"/>
        <v>0.16166883963494127</v>
      </c>
      <c r="S530" s="109">
        <f t="shared" si="43"/>
        <v>0.43017656500802581</v>
      </c>
      <c r="T530" s="109">
        <f t="shared" si="44"/>
        <v>0.49246231155778908</v>
      </c>
    </row>
    <row r="531" spans="1:20">
      <c r="A531" s="154">
        <v>850</v>
      </c>
      <c r="B531" s="156">
        <v>2262</v>
      </c>
      <c r="C531" s="133" t="s">
        <v>2823</v>
      </c>
      <c r="D531" s="155" t="s">
        <v>2324</v>
      </c>
      <c r="E531" s="154">
        <v>5</v>
      </c>
      <c r="F531" s="154">
        <v>4</v>
      </c>
      <c r="G531" s="154">
        <v>1</v>
      </c>
      <c r="H531" s="154">
        <v>0</v>
      </c>
      <c r="I531" s="154">
        <v>0</v>
      </c>
      <c r="J531" s="154">
        <v>0</v>
      </c>
      <c r="K531" s="154">
        <v>0.51500000000000001</v>
      </c>
      <c r="L531" s="154">
        <v>0.63600000000000001</v>
      </c>
      <c r="M531" s="154">
        <v>0.78</v>
      </c>
      <c r="N531" s="154">
        <v>0.94899999999999995</v>
      </c>
      <c r="O531" s="108">
        <f t="shared" si="40"/>
        <v>0.2349514563106796</v>
      </c>
      <c r="P531" s="108">
        <f t="shared" si="41"/>
        <v>0.22641509433962259</v>
      </c>
      <c r="Q531" s="108">
        <f t="shared" si="42"/>
        <v>0.21666666666666656</v>
      </c>
      <c r="S531" s="109">
        <f t="shared" si="43"/>
        <v>0.84271844660194151</v>
      </c>
      <c r="T531" s="109">
        <f t="shared" si="44"/>
        <v>0.49213836477987405</v>
      </c>
    </row>
    <row r="532" spans="1:20">
      <c r="A532" s="154">
        <v>854</v>
      </c>
      <c r="B532" s="156">
        <v>2262</v>
      </c>
      <c r="C532" s="133" t="s">
        <v>2823</v>
      </c>
      <c r="D532" s="155" t="s">
        <v>2324</v>
      </c>
      <c r="E532" s="154">
        <v>5</v>
      </c>
      <c r="F532" s="154">
        <v>4</v>
      </c>
      <c r="G532" s="154">
        <v>1</v>
      </c>
      <c r="H532" s="154">
        <v>0</v>
      </c>
      <c r="I532" s="154">
        <v>0</v>
      </c>
      <c r="J532" s="154">
        <v>0</v>
      </c>
      <c r="K532" s="154">
        <v>0.51500000000000001</v>
      </c>
      <c r="L532" s="154">
        <v>0.63600000000000001</v>
      </c>
      <c r="M532" s="154">
        <v>0.78</v>
      </c>
      <c r="N532" s="154">
        <v>0.94899999999999995</v>
      </c>
      <c r="O532" s="108">
        <f t="shared" si="40"/>
        <v>0.2349514563106796</v>
      </c>
      <c r="P532" s="108">
        <f t="shared" si="41"/>
        <v>0.22641509433962259</v>
      </c>
      <c r="Q532" s="108">
        <f t="shared" si="42"/>
        <v>0.21666666666666656</v>
      </c>
      <c r="S532" s="109">
        <f t="shared" si="43"/>
        <v>0.84271844660194151</v>
      </c>
      <c r="T532" s="109">
        <f t="shared" si="44"/>
        <v>0.49213836477987405</v>
      </c>
    </row>
    <row r="533" spans="1:20">
      <c r="A533" s="154">
        <v>585</v>
      </c>
      <c r="B533" s="156">
        <v>603018</v>
      </c>
      <c r="C533" s="133" t="s">
        <v>2824</v>
      </c>
      <c r="D533" s="155" t="s">
        <v>2324</v>
      </c>
      <c r="E533" s="154">
        <v>8</v>
      </c>
      <c r="F533" s="154">
        <v>8</v>
      </c>
      <c r="G533" s="154">
        <v>0</v>
      </c>
      <c r="H533" s="154">
        <v>0</v>
      </c>
      <c r="I533" s="154">
        <v>0</v>
      </c>
      <c r="J533" s="154">
        <v>0</v>
      </c>
      <c r="K533" s="154">
        <v>0.85299999999999998</v>
      </c>
      <c r="L533" s="154">
        <v>1.0649999999999999</v>
      </c>
      <c r="M533" s="154">
        <v>1.3089999999999999</v>
      </c>
      <c r="N533" s="154">
        <v>1.5880000000000001</v>
      </c>
      <c r="O533" s="108">
        <f t="shared" si="40"/>
        <v>0.24853458382180538</v>
      </c>
      <c r="P533" s="108">
        <f t="shared" si="41"/>
        <v>0.22910798122065734</v>
      </c>
      <c r="Q533" s="108">
        <f t="shared" si="42"/>
        <v>0.21313980137509558</v>
      </c>
      <c r="S533" s="109">
        <f t="shared" si="43"/>
        <v>0.86166471277842915</v>
      </c>
      <c r="T533" s="109">
        <f t="shared" si="44"/>
        <v>0.49107981220657293</v>
      </c>
    </row>
    <row r="534" spans="1:20">
      <c r="A534" s="154">
        <v>972</v>
      </c>
      <c r="B534" s="156">
        <v>2088</v>
      </c>
      <c r="C534" s="133" t="s">
        <v>2825</v>
      </c>
      <c r="D534" s="155" t="s">
        <v>2324</v>
      </c>
      <c r="E534" s="154">
        <v>3</v>
      </c>
      <c r="F534" s="154">
        <v>3</v>
      </c>
      <c r="G534" s="154">
        <v>0</v>
      </c>
      <c r="H534" s="154">
        <v>0</v>
      </c>
      <c r="I534" s="154">
        <v>0</v>
      </c>
      <c r="J534" s="154">
        <v>0</v>
      </c>
      <c r="K534" s="154">
        <v>0.84899999999999998</v>
      </c>
      <c r="L534" s="154">
        <v>1.081</v>
      </c>
      <c r="M534" s="154">
        <v>1.335</v>
      </c>
      <c r="N534" s="154">
        <v>1.611</v>
      </c>
      <c r="O534" s="108">
        <f t="shared" si="40"/>
        <v>0.2732626619552414</v>
      </c>
      <c r="P534" s="108">
        <f t="shared" si="41"/>
        <v>0.23496762257169279</v>
      </c>
      <c r="Q534" s="108">
        <f t="shared" si="42"/>
        <v>0.20674157303370788</v>
      </c>
      <c r="S534" s="109">
        <f t="shared" si="43"/>
        <v>0.89752650176678439</v>
      </c>
      <c r="T534" s="109">
        <f t="shared" si="44"/>
        <v>0.49028677150786315</v>
      </c>
    </row>
    <row r="535" spans="1:20">
      <c r="A535" s="154">
        <v>508</v>
      </c>
      <c r="B535" s="156">
        <v>603136</v>
      </c>
      <c r="C535" s="133" t="s">
        <v>2826</v>
      </c>
      <c r="D535" s="155" t="s">
        <v>2324</v>
      </c>
      <c r="E535" s="154">
        <v>9</v>
      </c>
      <c r="F535" s="154">
        <v>6</v>
      </c>
      <c r="G535" s="154">
        <v>3</v>
      </c>
      <c r="H535" s="154">
        <v>0</v>
      </c>
      <c r="I535" s="154">
        <v>0</v>
      </c>
      <c r="J535" s="154">
        <v>0</v>
      </c>
      <c r="K535" s="154">
        <v>0.89</v>
      </c>
      <c r="L535" s="154">
        <v>1.0589999999999999</v>
      </c>
      <c r="M535" s="154">
        <v>1.325</v>
      </c>
      <c r="N535" s="154">
        <v>1.5780000000000001</v>
      </c>
      <c r="O535" s="108">
        <f t="shared" si="40"/>
        <v>0.18988764044943807</v>
      </c>
      <c r="P535" s="108">
        <f t="shared" si="41"/>
        <v>0.25118035882908396</v>
      </c>
      <c r="Q535" s="108">
        <f t="shared" si="42"/>
        <v>0.1909433962264151</v>
      </c>
      <c r="S535" s="109">
        <f t="shared" si="43"/>
        <v>0.77303370786516856</v>
      </c>
      <c r="T535" s="109">
        <f t="shared" si="44"/>
        <v>0.49008498583569415</v>
      </c>
    </row>
    <row r="536" spans="1:20">
      <c r="A536" s="154">
        <v>34</v>
      </c>
      <c r="B536" s="156">
        <v>300760</v>
      </c>
      <c r="C536" s="133" t="s">
        <v>2827</v>
      </c>
      <c r="D536" s="155" t="s">
        <v>2324</v>
      </c>
      <c r="E536" s="154">
        <v>43</v>
      </c>
      <c r="F536" s="154">
        <v>29</v>
      </c>
      <c r="G536" s="154">
        <v>14</v>
      </c>
      <c r="H536" s="154">
        <v>0</v>
      </c>
      <c r="I536" s="154">
        <v>0</v>
      </c>
      <c r="J536" s="154">
        <v>0</v>
      </c>
      <c r="K536" s="154">
        <v>3.0590000000000002</v>
      </c>
      <c r="L536" s="154">
        <v>3.8039999999999998</v>
      </c>
      <c r="M536" s="154">
        <v>4.6559999999999997</v>
      </c>
      <c r="N536" s="154">
        <v>5.6680000000000001</v>
      </c>
      <c r="O536" s="108">
        <f t="shared" si="40"/>
        <v>0.24354364171297793</v>
      </c>
      <c r="P536" s="108">
        <f t="shared" si="41"/>
        <v>0.22397476340694</v>
      </c>
      <c r="Q536" s="108">
        <f t="shared" si="42"/>
        <v>0.21735395189003448</v>
      </c>
      <c r="S536" s="109">
        <f t="shared" si="43"/>
        <v>0.85289310232101978</v>
      </c>
      <c r="T536" s="109">
        <f t="shared" si="44"/>
        <v>0.49001051524710837</v>
      </c>
    </row>
    <row r="537" spans="1:20">
      <c r="A537" s="154">
        <v>891</v>
      </c>
      <c r="B537" s="156">
        <v>600163</v>
      </c>
      <c r="C537" s="133" t="s">
        <v>2828</v>
      </c>
      <c r="D537" s="155" t="s">
        <v>2324</v>
      </c>
      <c r="E537" s="154">
        <v>4</v>
      </c>
      <c r="F537" s="154">
        <v>4</v>
      </c>
      <c r="G537" s="154">
        <v>0</v>
      </c>
      <c r="H537" s="154">
        <v>0</v>
      </c>
      <c r="I537" s="154">
        <v>0</v>
      </c>
      <c r="J537" s="154">
        <v>0</v>
      </c>
      <c r="K537" s="154">
        <v>0.13</v>
      </c>
      <c r="L537" s="154">
        <v>0.19900000000000001</v>
      </c>
      <c r="M537" s="154">
        <v>0.27600000000000002</v>
      </c>
      <c r="N537" s="154">
        <v>0.29599999999999999</v>
      </c>
      <c r="O537" s="108">
        <f t="shared" si="40"/>
        <v>0.53076923076923088</v>
      </c>
      <c r="P537" s="108">
        <f t="shared" si="41"/>
        <v>0.38693467336683418</v>
      </c>
      <c r="Q537" s="108">
        <f t="shared" si="42"/>
        <v>7.2463768115941907E-2</v>
      </c>
      <c r="S537" s="109">
        <f t="shared" si="43"/>
        <v>1.2769230769230768</v>
      </c>
      <c r="T537" s="109">
        <f t="shared" si="44"/>
        <v>0.48743718592964802</v>
      </c>
    </row>
    <row r="538" spans="1:20">
      <c r="A538" s="154">
        <v>516</v>
      </c>
      <c r="B538" s="156">
        <v>603558</v>
      </c>
      <c r="C538" s="133" t="s">
        <v>2829</v>
      </c>
      <c r="D538" s="155" t="s">
        <v>2324</v>
      </c>
      <c r="E538" s="154">
        <v>9</v>
      </c>
      <c r="F538" s="154">
        <v>7</v>
      </c>
      <c r="G538" s="154">
        <v>2</v>
      </c>
      <c r="H538" s="154">
        <v>0</v>
      </c>
      <c r="I538" s="154">
        <v>0</v>
      </c>
      <c r="J538" s="154">
        <v>0</v>
      </c>
      <c r="K538" s="154">
        <v>0.496</v>
      </c>
      <c r="L538" s="154">
        <v>0.63100000000000001</v>
      </c>
      <c r="M538" s="154">
        <v>0.77500000000000002</v>
      </c>
      <c r="N538" s="154">
        <v>0.93799999999999994</v>
      </c>
      <c r="O538" s="108">
        <f t="shared" si="40"/>
        <v>0.27217741935483875</v>
      </c>
      <c r="P538" s="108">
        <f t="shared" si="41"/>
        <v>0.22820919175911247</v>
      </c>
      <c r="Q538" s="108">
        <f t="shared" si="42"/>
        <v>0.21032258064516118</v>
      </c>
      <c r="S538" s="109">
        <f t="shared" si="43"/>
        <v>0.8911290322580645</v>
      </c>
      <c r="T538" s="109">
        <f t="shared" si="44"/>
        <v>0.48652931854199677</v>
      </c>
    </row>
    <row r="539" spans="1:20">
      <c r="A539" s="154">
        <v>860</v>
      </c>
      <c r="B539" s="156">
        <v>2206</v>
      </c>
      <c r="C539" s="133" t="s">
        <v>2830</v>
      </c>
      <c r="D539" s="155" t="s">
        <v>2324</v>
      </c>
      <c r="E539" s="154">
        <v>4</v>
      </c>
      <c r="F539" s="154">
        <v>3</v>
      </c>
      <c r="G539" s="154">
        <v>1</v>
      </c>
      <c r="H539" s="154">
        <v>0</v>
      </c>
      <c r="I539" s="154">
        <v>0</v>
      </c>
      <c r="J539" s="154">
        <v>0</v>
      </c>
      <c r="K539" s="154">
        <v>0.28699999999999998</v>
      </c>
      <c r="L539" s="154">
        <v>0.28399999999999997</v>
      </c>
      <c r="M539" s="154">
        <v>0.33700000000000002</v>
      </c>
      <c r="N539" s="154">
        <v>0.42199999999999999</v>
      </c>
      <c r="O539" s="108">
        <f t="shared" si="40"/>
        <v>-1.0452961672473893E-2</v>
      </c>
      <c r="P539" s="108">
        <f t="shared" si="41"/>
        <v>0.18661971830985924</v>
      </c>
      <c r="Q539" s="108">
        <f t="shared" si="42"/>
        <v>0.25222551928783377</v>
      </c>
      <c r="S539" s="109">
        <f t="shared" si="43"/>
        <v>0.47038327526132417</v>
      </c>
      <c r="T539" s="109">
        <f t="shared" si="44"/>
        <v>0.4859154929577465</v>
      </c>
    </row>
    <row r="540" spans="1:20">
      <c r="A540" s="154">
        <v>184</v>
      </c>
      <c r="B540" s="156">
        <v>2511</v>
      </c>
      <c r="C540" s="133" t="s">
        <v>2831</v>
      </c>
      <c r="D540" s="155" t="s">
        <v>2324</v>
      </c>
      <c r="E540" s="154">
        <v>23</v>
      </c>
      <c r="F540" s="154">
        <v>22</v>
      </c>
      <c r="G540" s="154">
        <v>1</v>
      </c>
      <c r="H540" s="154">
        <v>0</v>
      </c>
      <c r="I540" s="154">
        <v>0</v>
      </c>
      <c r="J540" s="154">
        <v>0</v>
      </c>
      <c r="K540" s="154">
        <v>0.311</v>
      </c>
      <c r="L540" s="154">
        <v>0.45700000000000002</v>
      </c>
      <c r="M540" s="154">
        <v>0.56499999999999995</v>
      </c>
      <c r="N540" s="154">
        <v>0.67900000000000005</v>
      </c>
      <c r="O540" s="108">
        <f t="shared" si="40"/>
        <v>0.46945337620578775</v>
      </c>
      <c r="P540" s="108">
        <f t="shared" si="41"/>
        <v>0.23632385120350086</v>
      </c>
      <c r="Q540" s="108">
        <f t="shared" si="42"/>
        <v>0.20176991150442491</v>
      </c>
      <c r="S540" s="109">
        <f t="shared" si="43"/>
        <v>1.1832797427652735</v>
      </c>
      <c r="T540" s="109">
        <f t="shared" si="44"/>
        <v>0.48577680525164113</v>
      </c>
    </row>
    <row r="541" spans="1:20">
      <c r="A541" s="154">
        <v>608</v>
      </c>
      <c r="B541" s="156">
        <v>2228</v>
      </c>
      <c r="C541" s="133" t="s">
        <v>1358</v>
      </c>
      <c r="D541" s="155" t="s">
        <v>2324</v>
      </c>
      <c r="E541" s="154">
        <v>8</v>
      </c>
      <c r="F541" s="154">
        <v>3</v>
      </c>
      <c r="G541" s="154">
        <v>5</v>
      </c>
      <c r="H541" s="154">
        <v>0</v>
      </c>
      <c r="I541" s="154">
        <v>0</v>
      </c>
      <c r="J541" s="154">
        <v>0</v>
      </c>
      <c r="K541" s="154">
        <v>0.19900000000000001</v>
      </c>
      <c r="L541" s="154">
        <v>0.223</v>
      </c>
      <c r="M541" s="154">
        <v>0.26900000000000002</v>
      </c>
      <c r="N541" s="154">
        <v>0.33100000000000002</v>
      </c>
      <c r="O541" s="108">
        <f t="shared" si="40"/>
        <v>0.12060301507537674</v>
      </c>
      <c r="P541" s="108">
        <f t="shared" si="41"/>
        <v>0.20627802690582975</v>
      </c>
      <c r="Q541" s="108">
        <f t="shared" si="42"/>
        <v>0.23048327137546476</v>
      </c>
      <c r="S541" s="109">
        <f t="shared" si="43"/>
        <v>0.66331658291457285</v>
      </c>
      <c r="T541" s="109">
        <f t="shared" si="44"/>
        <v>0.48430493273542607</v>
      </c>
    </row>
    <row r="542" spans="1:20">
      <c r="A542" s="154">
        <v>307</v>
      </c>
      <c r="B542" s="156">
        <v>2415</v>
      </c>
      <c r="C542" s="133" t="s">
        <v>2832</v>
      </c>
      <c r="D542" s="155" t="s">
        <v>2324</v>
      </c>
      <c r="E542" s="154">
        <v>16</v>
      </c>
      <c r="F542" s="154">
        <v>12</v>
      </c>
      <c r="G542" s="154">
        <v>4</v>
      </c>
      <c r="H542" s="154">
        <v>0</v>
      </c>
      <c r="I542" s="154">
        <v>0</v>
      </c>
      <c r="J542" s="154">
        <v>0</v>
      </c>
      <c r="K542" s="154">
        <v>1.2150000000000001</v>
      </c>
      <c r="L542" s="154">
        <v>1.3919999999999999</v>
      </c>
      <c r="M542" s="154">
        <v>1.677</v>
      </c>
      <c r="N542" s="154">
        <v>2.0649999999999999</v>
      </c>
      <c r="O542" s="108">
        <f t="shared" si="40"/>
        <v>0.14567901234567882</v>
      </c>
      <c r="P542" s="108">
        <f t="shared" si="41"/>
        <v>0.20474137931034497</v>
      </c>
      <c r="Q542" s="108">
        <f t="shared" si="42"/>
        <v>0.23136553369111512</v>
      </c>
      <c r="S542" s="109">
        <f t="shared" si="43"/>
        <v>0.69958847736625507</v>
      </c>
      <c r="T542" s="109">
        <f t="shared" si="44"/>
        <v>0.48347701149425304</v>
      </c>
    </row>
    <row r="543" spans="1:20">
      <c r="A543" s="154">
        <v>662</v>
      </c>
      <c r="B543" s="156">
        <v>600958</v>
      </c>
      <c r="C543" s="133" t="s">
        <v>2833</v>
      </c>
      <c r="D543" s="155" t="s">
        <v>2324</v>
      </c>
      <c r="E543" s="154">
        <v>7</v>
      </c>
      <c r="F543" s="154">
        <v>1</v>
      </c>
      <c r="G543" s="154">
        <v>5</v>
      </c>
      <c r="H543" s="154">
        <v>1</v>
      </c>
      <c r="I543" s="154">
        <v>0</v>
      </c>
      <c r="J543" s="154">
        <v>0</v>
      </c>
      <c r="K543" s="154">
        <v>0.17599999999999999</v>
      </c>
      <c r="L543" s="154">
        <v>0.33100000000000002</v>
      </c>
      <c r="M543" s="154">
        <v>0.40600000000000003</v>
      </c>
      <c r="N543" s="154">
        <v>0.49099999999999999</v>
      </c>
      <c r="O543" s="108">
        <f t="shared" si="40"/>
        <v>0.88068181818181834</v>
      </c>
      <c r="P543" s="108">
        <f t="shared" si="41"/>
        <v>0.22658610271903323</v>
      </c>
      <c r="Q543" s="108">
        <f t="shared" si="42"/>
        <v>0.20935960591132985</v>
      </c>
      <c r="S543" s="109">
        <f t="shared" si="43"/>
        <v>1.7897727272727275</v>
      </c>
      <c r="T543" s="109">
        <f t="shared" si="44"/>
        <v>0.4833836858006042</v>
      </c>
    </row>
    <row r="544" spans="1:20">
      <c r="A544" s="154">
        <v>296</v>
      </c>
      <c r="B544" s="156">
        <v>600933</v>
      </c>
      <c r="C544" s="133" t="s">
        <v>2834</v>
      </c>
      <c r="D544" s="155" t="s">
        <v>2324</v>
      </c>
      <c r="E544" s="154">
        <v>16</v>
      </c>
      <c r="F544" s="154">
        <v>10</v>
      </c>
      <c r="G544" s="154">
        <v>6</v>
      </c>
      <c r="H544" s="154">
        <v>0</v>
      </c>
      <c r="I544" s="154">
        <v>0</v>
      </c>
      <c r="J544" s="154">
        <v>0</v>
      </c>
      <c r="K544" s="154">
        <v>0.54600000000000004</v>
      </c>
      <c r="L544" s="154">
        <v>0.53800000000000003</v>
      </c>
      <c r="M544" s="154">
        <v>0.64900000000000002</v>
      </c>
      <c r="N544" s="154">
        <v>0.79800000000000004</v>
      </c>
      <c r="O544" s="108">
        <f t="shared" si="40"/>
        <v>-1.4652014652014711E-2</v>
      </c>
      <c r="P544" s="108">
        <f t="shared" si="41"/>
        <v>0.20631970260223054</v>
      </c>
      <c r="Q544" s="108">
        <f t="shared" si="42"/>
        <v>0.22958397534668729</v>
      </c>
      <c r="S544" s="109">
        <f t="shared" si="43"/>
        <v>0.46153846153846145</v>
      </c>
      <c r="T544" s="109">
        <f t="shared" si="44"/>
        <v>0.48327137546468402</v>
      </c>
    </row>
    <row r="545" spans="1:20">
      <c r="A545" s="154">
        <v>861</v>
      </c>
      <c r="B545" s="156">
        <v>2203</v>
      </c>
      <c r="C545" s="133" t="s">
        <v>2835</v>
      </c>
      <c r="D545" s="155" t="s">
        <v>2324</v>
      </c>
      <c r="E545" s="154">
        <v>4</v>
      </c>
      <c r="F545" s="154">
        <v>1</v>
      </c>
      <c r="G545" s="154">
        <v>3</v>
      </c>
      <c r="H545" s="154">
        <v>0</v>
      </c>
      <c r="I545" s="154">
        <v>0</v>
      </c>
      <c r="J545" s="154">
        <v>0</v>
      </c>
      <c r="K545" s="154">
        <v>0.46600000000000003</v>
      </c>
      <c r="L545" s="154">
        <v>0.57599999999999996</v>
      </c>
      <c r="M545" s="154">
        <v>0.69599999999999995</v>
      </c>
      <c r="N545" s="154">
        <v>0.85399999999999998</v>
      </c>
      <c r="O545" s="108">
        <f t="shared" si="40"/>
        <v>0.23605150214592263</v>
      </c>
      <c r="P545" s="108">
        <f t="shared" si="41"/>
        <v>0.20833333333333326</v>
      </c>
      <c r="Q545" s="108">
        <f t="shared" si="42"/>
        <v>0.22701149425287359</v>
      </c>
      <c r="S545" s="109">
        <f t="shared" si="43"/>
        <v>0.83261802575107291</v>
      </c>
      <c r="T545" s="109">
        <f t="shared" si="44"/>
        <v>0.48263888888888906</v>
      </c>
    </row>
    <row r="546" spans="1:20">
      <c r="A546" s="154">
        <v>603</v>
      </c>
      <c r="B546" s="156">
        <v>2376</v>
      </c>
      <c r="C546" s="133" t="s">
        <v>2836</v>
      </c>
      <c r="D546" s="155" t="s">
        <v>2324</v>
      </c>
      <c r="E546" s="154">
        <v>8</v>
      </c>
      <c r="F546" s="154">
        <v>5</v>
      </c>
      <c r="G546" s="154">
        <v>3</v>
      </c>
      <c r="H546" s="154">
        <v>0</v>
      </c>
      <c r="I546" s="154">
        <v>0</v>
      </c>
      <c r="J546" s="154">
        <v>0</v>
      </c>
      <c r="K546" s="154">
        <v>0.57199999999999995</v>
      </c>
      <c r="L546" s="154">
        <v>0.64900000000000002</v>
      </c>
      <c r="M546" s="154">
        <v>0.78400000000000003</v>
      </c>
      <c r="N546" s="154">
        <v>0.96199999999999997</v>
      </c>
      <c r="O546" s="108">
        <f t="shared" si="40"/>
        <v>0.1346153846153848</v>
      </c>
      <c r="P546" s="108">
        <f t="shared" si="41"/>
        <v>0.20801232665639446</v>
      </c>
      <c r="Q546" s="108">
        <f t="shared" si="42"/>
        <v>0.2270408163265305</v>
      </c>
      <c r="S546" s="109">
        <f t="shared" si="43"/>
        <v>0.68181818181818188</v>
      </c>
      <c r="T546" s="109">
        <f t="shared" si="44"/>
        <v>0.48228043143297361</v>
      </c>
    </row>
    <row r="547" spans="1:20">
      <c r="A547" s="154">
        <v>493</v>
      </c>
      <c r="B547" s="156">
        <v>2398</v>
      </c>
      <c r="C547" s="133" t="s">
        <v>2837</v>
      </c>
      <c r="D547" s="155" t="s">
        <v>2324</v>
      </c>
      <c r="E547" s="154">
        <v>10</v>
      </c>
      <c r="F547" s="154">
        <v>7</v>
      </c>
      <c r="G547" s="154">
        <v>3</v>
      </c>
      <c r="H547" s="154">
        <v>0</v>
      </c>
      <c r="I547" s="154">
        <v>0</v>
      </c>
      <c r="J547" s="154">
        <v>0</v>
      </c>
      <c r="K547" s="154">
        <v>0.36</v>
      </c>
      <c r="L547" s="154">
        <v>0.58099999999999996</v>
      </c>
      <c r="M547" s="154">
        <v>0.71199999999999997</v>
      </c>
      <c r="N547" s="154">
        <v>0.86099999999999999</v>
      </c>
      <c r="O547" s="108">
        <f t="shared" si="40"/>
        <v>0.61388888888888893</v>
      </c>
      <c r="P547" s="108">
        <f t="shared" si="41"/>
        <v>0.22547332185886404</v>
      </c>
      <c r="Q547" s="108">
        <f t="shared" si="42"/>
        <v>0.20926966292134841</v>
      </c>
      <c r="S547" s="109">
        <f t="shared" si="43"/>
        <v>1.3916666666666666</v>
      </c>
      <c r="T547" s="109">
        <f t="shared" si="44"/>
        <v>0.48192771084337349</v>
      </c>
    </row>
    <row r="548" spans="1:20">
      <c r="A548" s="154">
        <v>593</v>
      </c>
      <c r="B548" s="156">
        <v>2734</v>
      </c>
      <c r="C548" s="133" t="s">
        <v>2838</v>
      </c>
      <c r="D548" s="155" t="s">
        <v>2324</v>
      </c>
      <c r="E548" s="154">
        <v>8</v>
      </c>
      <c r="F548" s="154">
        <v>6</v>
      </c>
      <c r="G548" s="154">
        <v>2</v>
      </c>
      <c r="H548" s="154">
        <v>0</v>
      </c>
      <c r="I548" s="154">
        <v>0</v>
      </c>
      <c r="J548" s="154">
        <v>0</v>
      </c>
      <c r="K548" s="154">
        <v>0.71899999999999997</v>
      </c>
      <c r="L548" s="154">
        <v>1.2749999999999999</v>
      </c>
      <c r="M548" s="154">
        <v>1.6140000000000001</v>
      </c>
      <c r="N548" s="154">
        <v>1.889</v>
      </c>
      <c r="O548" s="108">
        <f t="shared" si="40"/>
        <v>0.77329624478442271</v>
      </c>
      <c r="P548" s="108">
        <f t="shared" si="41"/>
        <v>0.26588235294117668</v>
      </c>
      <c r="Q548" s="108">
        <f t="shared" si="42"/>
        <v>0.17038413878562575</v>
      </c>
      <c r="S548" s="109">
        <f t="shared" si="43"/>
        <v>1.6272600834492352</v>
      </c>
      <c r="T548" s="109">
        <f t="shared" si="44"/>
        <v>0.4815686274509805</v>
      </c>
    </row>
    <row r="549" spans="1:20">
      <c r="A549" s="154">
        <v>220</v>
      </c>
      <c r="B549" s="156">
        <v>600346</v>
      </c>
      <c r="C549" s="133" t="s">
        <v>2839</v>
      </c>
      <c r="D549" s="155" t="s">
        <v>2324</v>
      </c>
      <c r="E549" s="154">
        <v>21</v>
      </c>
      <c r="F549" s="154">
        <v>19</v>
      </c>
      <c r="G549" s="154">
        <v>2</v>
      </c>
      <c r="H549" s="154">
        <v>0</v>
      </c>
      <c r="I549" s="154">
        <v>0</v>
      </c>
      <c r="J549" s="154">
        <v>0</v>
      </c>
      <c r="K549" s="154">
        <v>0.47199999999999998</v>
      </c>
      <c r="L549" s="154">
        <v>1.2789999999999999</v>
      </c>
      <c r="M549" s="154">
        <v>1.649</v>
      </c>
      <c r="N549" s="154">
        <v>1.8939999999999999</v>
      </c>
      <c r="O549" s="108">
        <f t="shared" si="40"/>
        <v>1.7097457627118642</v>
      </c>
      <c r="P549" s="108">
        <f t="shared" si="41"/>
        <v>0.28928850664581707</v>
      </c>
      <c r="Q549" s="108">
        <f t="shared" si="42"/>
        <v>0.14857489387507572</v>
      </c>
      <c r="S549" s="109">
        <f t="shared" si="43"/>
        <v>3.0127118644067794</v>
      </c>
      <c r="T549" s="109">
        <f t="shared" si="44"/>
        <v>0.48084440969507436</v>
      </c>
    </row>
    <row r="550" spans="1:20">
      <c r="A550" s="154">
        <v>916</v>
      </c>
      <c r="B550" s="156">
        <v>2833</v>
      </c>
      <c r="C550" s="133" t="s">
        <v>2840</v>
      </c>
      <c r="D550" s="155" t="s">
        <v>2324</v>
      </c>
      <c r="E550" s="154">
        <v>4</v>
      </c>
      <c r="F550" s="154">
        <v>3</v>
      </c>
      <c r="G550" s="154">
        <v>1</v>
      </c>
      <c r="H550" s="154">
        <v>0</v>
      </c>
      <c r="I550" s="154">
        <v>0</v>
      </c>
      <c r="J550" s="154">
        <v>0</v>
      </c>
      <c r="K550" s="154">
        <v>1.9990000000000001</v>
      </c>
      <c r="L550" s="154">
        <v>2.1619999999999999</v>
      </c>
      <c r="M550" s="154">
        <v>2.6259999999999999</v>
      </c>
      <c r="N550" s="154">
        <v>3.2010000000000001</v>
      </c>
      <c r="O550" s="108">
        <f t="shared" si="40"/>
        <v>8.1540770385192474E-2</v>
      </c>
      <c r="P550" s="108">
        <f t="shared" si="41"/>
        <v>0.21461609620721545</v>
      </c>
      <c r="Q550" s="108">
        <f t="shared" si="42"/>
        <v>0.21896420411271911</v>
      </c>
      <c r="S550" s="109">
        <f t="shared" si="43"/>
        <v>0.60130065032516256</v>
      </c>
      <c r="T550" s="109">
        <f t="shared" si="44"/>
        <v>0.4805735430157263</v>
      </c>
    </row>
    <row r="551" spans="1:20">
      <c r="A551" s="154">
        <v>169</v>
      </c>
      <c r="B551" s="156">
        <v>1979</v>
      </c>
      <c r="C551" s="133" t="s">
        <v>2841</v>
      </c>
      <c r="D551" s="155" t="s">
        <v>2324</v>
      </c>
      <c r="E551" s="154">
        <v>24</v>
      </c>
      <c r="F551" s="154">
        <v>19</v>
      </c>
      <c r="G551" s="154">
        <v>5</v>
      </c>
      <c r="H551" s="154">
        <v>0</v>
      </c>
      <c r="I551" s="154">
        <v>0</v>
      </c>
      <c r="J551" s="154">
        <v>0</v>
      </c>
      <c r="K551" s="154">
        <v>1.9259999999999999</v>
      </c>
      <c r="L551" s="154">
        <v>2.3119999999999998</v>
      </c>
      <c r="M551" s="154">
        <v>2.7930000000000001</v>
      </c>
      <c r="N551" s="154">
        <v>3.423</v>
      </c>
      <c r="O551" s="108">
        <f t="shared" si="40"/>
        <v>0.20041536863966769</v>
      </c>
      <c r="P551" s="108">
        <f t="shared" si="41"/>
        <v>0.2080449826989621</v>
      </c>
      <c r="Q551" s="108">
        <f t="shared" si="42"/>
        <v>0.22556390977443597</v>
      </c>
      <c r="S551" s="109">
        <f t="shared" si="43"/>
        <v>0.77725856697819329</v>
      </c>
      <c r="T551" s="109">
        <f t="shared" si="44"/>
        <v>0.48053633217993097</v>
      </c>
    </row>
    <row r="552" spans="1:20">
      <c r="A552" s="154">
        <v>191</v>
      </c>
      <c r="B552" s="156">
        <v>2938</v>
      </c>
      <c r="C552" s="133" t="s">
        <v>2842</v>
      </c>
      <c r="D552" s="155" t="s">
        <v>2324</v>
      </c>
      <c r="E552" s="154">
        <v>22</v>
      </c>
      <c r="F552" s="154">
        <v>22</v>
      </c>
      <c r="G552" s="154">
        <v>0</v>
      </c>
      <c r="H552" s="154">
        <v>0</v>
      </c>
      <c r="I552" s="154">
        <v>0</v>
      </c>
      <c r="J552" s="154">
        <v>0</v>
      </c>
      <c r="K552" s="154">
        <v>1.1990000000000001</v>
      </c>
      <c r="L552" s="154">
        <v>1.31</v>
      </c>
      <c r="M552" s="154">
        <v>1.597</v>
      </c>
      <c r="N552" s="154">
        <v>1.9390000000000001</v>
      </c>
      <c r="O552" s="108">
        <f t="shared" si="40"/>
        <v>9.2577147623019274E-2</v>
      </c>
      <c r="P552" s="108">
        <f t="shared" si="41"/>
        <v>0.21908396946564879</v>
      </c>
      <c r="Q552" s="108">
        <f t="shared" si="42"/>
        <v>0.21415153412648724</v>
      </c>
      <c r="S552" s="109">
        <f t="shared" si="43"/>
        <v>0.61718098415346123</v>
      </c>
      <c r="T552" s="109">
        <f t="shared" si="44"/>
        <v>0.48015267175572518</v>
      </c>
    </row>
    <row r="553" spans="1:20">
      <c r="A553" s="154">
        <v>92</v>
      </c>
      <c r="B553" s="156">
        <v>600567</v>
      </c>
      <c r="C553" s="133" t="s">
        <v>2843</v>
      </c>
      <c r="D553" s="155" t="s">
        <v>2324</v>
      </c>
      <c r="E553" s="154">
        <v>32</v>
      </c>
      <c r="F553" s="154">
        <v>28</v>
      </c>
      <c r="G553" s="154">
        <v>4</v>
      </c>
      <c r="H553" s="154">
        <v>0</v>
      </c>
      <c r="I553" s="154">
        <v>0</v>
      </c>
      <c r="J553" s="154">
        <v>0</v>
      </c>
      <c r="K553" s="154">
        <v>0.69899999999999995</v>
      </c>
      <c r="L553" s="154">
        <v>0.378</v>
      </c>
      <c r="M553" s="154">
        <v>0.438</v>
      </c>
      <c r="N553" s="154">
        <v>0.55900000000000005</v>
      </c>
      <c r="O553" s="108">
        <f t="shared" si="40"/>
        <v>-0.45922746781115875</v>
      </c>
      <c r="P553" s="108">
        <f t="shared" si="41"/>
        <v>0.15873015873015883</v>
      </c>
      <c r="Q553" s="108">
        <f t="shared" si="42"/>
        <v>0.27625570776255715</v>
      </c>
      <c r="S553" s="109">
        <f t="shared" si="43"/>
        <v>-0.20028612303290405</v>
      </c>
      <c r="T553" s="109">
        <f t="shared" si="44"/>
        <v>0.47883597883597906</v>
      </c>
    </row>
    <row r="554" spans="1:20">
      <c r="A554" s="154">
        <v>250</v>
      </c>
      <c r="B554" s="156">
        <v>300294</v>
      </c>
      <c r="C554" s="133" t="s">
        <v>2844</v>
      </c>
      <c r="D554" s="155" t="s">
        <v>2324</v>
      </c>
      <c r="E554" s="154">
        <v>19</v>
      </c>
      <c r="F554" s="154">
        <v>16</v>
      </c>
      <c r="G554" s="154">
        <v>3</v>
      </c>
      <c r="H554" s="154">
        <v>0</v>
      </c>
      <c r="I554" s="154">
        <v>0</v>
      </c>
      <c r="J554" s="154">
        <v>0</v>
      </c>
      <c r="K554" s="154">
        <v>1.083</v>
      </c>
      <c r="L554" s="154">
        <v>1.228</v>
      </c>
      <c r="M554" s="154">
        <v>1.5029999999999999</v>
      </c>
      <c r="N554" s="154">
        <v>1.8149999999999999</v>
      </c>
      <c r="O554" s="108">
        <f t="shared" si="40"/>
        <v>0.133887349953832</v>
      </c>
      <c r="P554" s="108">
        <f t="shared" si="41"/>
        <v>0.22394136807817588</v>
      </c>
      <c r="Q554" s="108">
        <f t="shared" si="42"/>
        <v>0.20758483033932151</v>
      </c>
      <c r="S554" s="109">
        <f t="shared" si="43"/>
        <v>0.67590027700831024</v>
      </c>
      <c r="T554" s="109">
        <f t="shared" si="44"/>
        <v>0.47801302931596079</v>
      </c>
    </row>
    <row r="555" spans="1:20">
      <c r="A555" s="154">
        <v>909</v>
      </c>
      <c r="B555" s="156">
        <v>603037</v>
      </c>
      <c r="C555" s="133" t="s">
        <v>2845</v>
      </c>
      <c r="D555" s="155" t="s">
        <v>2324</v>
      </c>
      <c r="E555" s="154">
        <v>4</v>
      </c>
      <c r="F555" s="154">
        <v>3</v>
      </c>
      <c r="G555" s="154">
        <v>1</v>
      </c>
      <c r="H555" s="154">
        <v>0</v>
      </c>
      <c r="I555" s="154">
        <v>0</v>
      </c>
      <c r="J555" s="154">
        <v>0</v>
      </c>
      <c r="K555" s="154">
        <v>1.2</v>
      </c>
      <c r="L555" s="154">
        <v>0.873</v>
      </c>
      <c r="M555" s="154">
        <v>1.0720000000000001</v>
      </c>
      <c r="N555" s="154">
        <v>1.29</v>
      </c>
      <c r="O555" s="108">
        <f t="shared" si="40"/>
        <v>-0.27249999999999996</v>
      </c>
      <c r="P555" s="108">
        <f t="shared" si="41"/>
        <v>0.22794959908361978</v>
      </c>
      <c r="Q555" s="108">
        <f t="shared" si="42"/>
        <v>0.20335820895522394</v>
      </c>
      <c r="S555" s="109">
        <f t="shared" si="43"/>
        <v>7.5000000000000178E-2</v>
      </c>
      <c r="T555" s="109">
        <f t="shared" si="44"/>
        <v>0.47766323024054991</v>
      </c>
    </row>
    <row r="556" spans="1:20">
      <c r="A556" s="154">
        <v>392</v>
      </c>
      <c r="B556" s="156">
        <v>600867</v>
      </c>
      <c r="C556" s="133" t="s">
        <v>2846</v>
      </c>
      <c r="D556" s="155" t="s">
        <v>2324</v>
      </c>
      <c r="E556" s="154">
        <v>13</v>
      </c>
      <c r="F556" s="154">
        <v>10</v>
      </c>
      <c r="G556" s="154">
        <v>3</v>
      </c>
      <c r="H556" s="154">
        <v>0</v>
      </c>
      <c r="I556" s="154">
        <v>0</v>
      </c>
      <c r="J556" s="154">
        <v>0</v>
      </c>
      <c r="K556" s="154">
        <v>0.41199999999999998</v>
      </c>
      <c r="L556" s="154">
        <v>0.47199999999999998</v>
      </c>
      <c r="M556" s="154">
        <v>0.57399999999999995</v>
      </c>
      <c r="N556" s="154">
        <v>0.69699999999999995</v>
      </c>
      <c r="O556" s="108">
        <f t="shared" si="40"/>
        <v>0.14563106796116498</v>
      </c>
      <c r="P556" s="108">
        <f t="shared" si="41"/>
        <v>0.21610169491525411</v>
      </c>
      <c r="Q556" s="108">
        <f t="shared" si="42"/>
        <v>0.21428571428571419</v>
      </c>
      <c r="S556" s="109">
        <f t="shared" si="43"/>
        <v>0.69174757281553401</v>
      </c>
      <c r="T556" s="109">
        <f t="shared" si="44"/>
        <v>0.47669491525423724</v>
      </c>
    </row>
    <row r="557" spans="1:20">
      <c r="A557" s="154">
        <v>753</v>
      </c>
      <c r="B557" s="156">
        <v>300132</v>
      </c>
      <c r="C557" s="133" t="s">
        <v>2847</v>
      </c>
      <c r="D557" s="155" t="s">
        <v>2324</v>
      </c>
      <c r="E557" s="154">
        <v>6</v>
      </c>
      <c r="F557" s="154">
        <v>4</v>
      </c>
      <c r="G557" s="154">
        <v>2</v>
      </c>
      <c r="H557" s="154">
        <v>0</v>
      </c>
      <c r="I557" s="154">
        <v>0</v>
      </c>
      <c r="J557" s="154">
        <v>0</v>
      </c>
      <c r="K557" s="154">
        <v>0.77500000000000002</v>
      </c>
      <c r="L557" s="154">
        <v>0.93600000000000005</v>
      </c>
      <c r="M557" s="154">
        <v>1.151</v>
      </c>
      <c r="N557" s="154">
        <v>1.381</v>
      </c>
      <c r="O557" s="108">
        <f t="shared" si="40"/>
        <v>0.20774193548387099</v>
      </c>
      <c r="P557" s="108">
        <f t="shared" si="41"/>
        <v>0.22970085470085455</v>
      </c>
      <c r="Q557" s="108">
        <f t="shared" si="42"/>
        <v>0.19982623805386623</v>
      </c>
      <c r="S557" s="109">
        <f t="shared" si="43"/>
        <v>0.78193548387096778</v>
      </c>
      <c r="T557" s="109">
        <f t="shared" si="44"/>
        <v>0.47542735042735029</v>
      </c>
    </row>
    <row r="558" spans="1:20">
      <c r="A558" s="154">
        <v>427</v>
      </c>
      <c r="B558" s="156">
        <v>2019</v>
      </c>
      <c r="C558" s="133" t="s">
        <v>2848</v>
      </c>
      <c r="D558" s="155" t="s">
        <v>2324</v>
      </c>
      <c r="E558" s="154">
        <v>12</v>
      </c>
      <c r="F558" s="154">
        <v>11</v>
      </c>
      <c r="G558" s="154">
        <v>1</v>
      </c>
      <c r="H558" s="154">
        <v>0</v>
      </c>
      <c r="I558" s="154">
        <v>0</v>
      </c>
      <c r="J558" s="154">
        <v>0</v>
      </c>
      <c r="K558" s="154">
        <v>0.59599999999999997</v>
      </c>
      <c r="L558" s="154">
        <v>0.84699999999999998</v>
      </c>
      <c r="M558" s="154">
        <v>1.05</v>
      </c>
      <c r="N558" s="154">
        <v>1.2490000000000001</v>
      </c>
      <c r="O558" s="108">
        <f t="shared" si="40"/>
        <v>0.42114093959731536</v>
      </c>
      <c r="P558" s="108">
        <f t="shared" si="41"/>
        <v>0.2396694214876034</v>
      </c>
      <c r="Q558" s="108">
        <f t="shared" si="42"/>
        <v>0.18952380952380965</v>
      </c>
      <c r="S558" s="109">
        <f t="shared" si="43"/>
        <v>1.0956375838926178</v>
      </c>
      <c r="T558" s="109">
        <f t="shared" si="44"/>
        <v>0.47461629279811124</v>
      </c>
    </row>
    <row r="559" spans="1:20">
      <c r="A559" s="154">
        <v>587</v>
      </c>
      <c r="B559" s="156">
        <v>300497</v>
      </c>
      <c r="C559" s="133" t="s">
        <v>1412</v>
      </c>
      <c r="D559" s="155" t="s">
        <v>2324</v>
      </c>
      <c r="E559" s="154">
        <v>8</v>
      </c>
      <c r="F559" s="154">
        <v>2</v>
      </c>
      <c r="G559" s="154">
        <v>6</v>
      </c>
      <c r="H559" s="154">
        <v>0</v>
      </c>
      <c r="I559" s="154">
        <v>0</v>
      </c>
      <c r="J559" s="154">
        <v>0</v>
      </c>
      <c r="K559" s="154">
        <v>0.70899999999999996</v>
      </c>
      <c r="L559" s="154">
        <v>1.153</v>
      </c>
      <c r="M559" s="154">
        <v>1.4419999999999999</v>
      </c>
      <c r="N559" s="154">
        <v>1.6990000000000001</v>
      </c>
      <c r="O559" s="108">
        <f t="shared" si="40"/>
        <v>0.62623413258110028</v>
      </c>
      <c r="P559" s="108">
        <f t="shared" si="41"/>
        <v>0.25065047701647858</v>
      </c>
      <c r="Q559" s="108">
        <f t="shared" si="42"/>
        <v>0.17822468793342594</v>
      </c>
      <c r="S559" s="109">
        <f t="shared" si="43"/>
        <v>1.3963328631875882</v>
      </c>
      <c r="T559" s="109">
        <f t="shared" si="44"/>
        <v>0.47354726799653091</v>
      </c>
    </row>
    <row r="560" spans="1:20">
      <c r="A560" s="154">
        <v>272</v>
      </c>
      <c r="B560" s="156">
        <v>2643</v>
      </c>
      <c r="C560" s="133" t="s">
        <v>2849</v>
      </c>
      <c r="D560" s="155" t="s">
        <v>2324</v>
      </c>
      <c r="E560" s="154">
        <v>18</v>
      </c>
      <c r="F560" s="154">
        <v>15</v>
      </c>
      <c r="G560" s="154">
        <v>3</v>
      </c>
      <c r="H560" s="154">
        <v>0</v>
      </c>
      <c r="I560" s="154">
        <v>0</v>
      </c>
      <c r="J560" s="154">
        <v>0</v>
      </c>
      <c r="K560" s="154">
        <v>0.48899999999999999</v>
      </c>
      <c r="L560" s="154">
        <v>0.57399999999999995</v>
      </c>
      <c r="M560" s="154">
        <v>0.69499999999999995</v>
      </c>
      <c r="N560" s="154">
        <v>0.84499999999999997</v>
      </c>
      <c r="O560" s="108">
        <f t="shared" si="40"/>
        <v>0.17382413087934556</v>
      </c>
      <c r="P560" s="108">
        <f t="shared" si="41"/>
        <v>0.21080139372822293</v>
      </c>
      <c r="Q560" s="108">
        <f t="shared" si="42"/>
        <v>0.21582733812949639</v>
      </c>
      <c r="S560" s="109">
        <f t="shared" si="43"/>
        <v>0.72801635991820035</v>
      </c>
      <c r="T560" s="109">
        <f t="shared" si="44"/>
        <v>0.47212543554006969</v>
      </c>
    </row>
    <row r="561" spans="1:20">
      <c r="A561" s="154">
        <v>548</v>
      </c>
      <c r="B561" s="156">
        <v>2672</v>
      </c>
      <c r="C561" s="133" t="s">
        <v>2850</v>
      </c>
      <c r="D561" s="155" t="s">
        <v>2324</v>
      </c>
      <c r="E561" s="154">
        <v>9</v>
      </c>
      <c r="F561" s="154">
        <v>5</v>
      </c>
      <c r="G561" s="154">
        <v>4</v>
      </c>
      <c r="H561" s="154">
        <v>0</v>
      </c>
      <c r="I561" s="154">
        <v>0</v>
      </c>
      <c r="J561" s="154">
        <v>0</v>
      </c>
      <c r="K561" s="154">
        <v>0.46400000000000002</v>
      </c>
      <c r="L561" s="154">
        <v>0.54100000000000004</v>
      </c>
      <c r="M561" s="154">
        <v>0.66300000000000003</v>
      </c>
      <c r="N561" s="154">
        <v>0.79600000000000004</v>
      </c>
      <c r="O561" s="108">
        <f t="shared" si="40"/>
        <v>0.16594827586206895</v>
      </c>
      <c r="P561" s="108">
        <f t="shared" si="41"/>
        <v>0.22550831792975967</v>
      </c>
      <c r="Q561" s="108">
        <f t="shared" si="42"/>
        <v>0.20060331825037703</v>
      </c>
      <c r="S561" s="109">
        <f t="shared" si="43"/>
        <v>0.71551724137931028</v>
      </c>
      <c r="T561" s="109">
        <f t="shared" si="44"/>
        <v>0.47134935304990755</v>
      </c>
    </row>
    <row r="562" spans="1:20">
      <c r="A562" s="154">
        <v>310</v>
      </c>
      <c r="B562" s="156">
        <v>600998</v>
      </c>
      <c r="C562" s="133" t="s">
        <v>2851</v>
      </c>
      <c r="D562" s="155" t="s">
        <v>2324</v>
      </c>
      <c r="E562" s="154">
        <v>16</v>
      </c>
      <c r="F562" s="154">
        <v>11</v>
      </c>
      <c r="G562" s="154">
        <v>5</v>
      </c>
      <c r="H562" s="154">
        <v>0</v>
      </c>
      <c r="I562" s="154">
        <v>0</v>
      </c>
      <c r="J562" s="154">
        <v>0</v>
      </c>
      <c r="K562" s="154">
        <v>0.71399999999999997</v>
      </c>
      <c r="L562" s="154">
        <v>0.89800000000000002</v>
      </c>
      <c r="M562" s="154">
        <v>1.101</v>
      </c>
      <c r="N562" s="154">
        <v>1.321</v>
      </c>
      <c r="O562" s="108">
        <f t="shared" si="40"/>
        <v>0.25770308123249319</v>
      </c>
      <c r="P562" s="108">
        <f t="shared" si="41"/>
        <v>0.22605790645879731</v>
      </c>
      <c r="Q562" s="108">
        <f t="shared" si="42"/>
        <v>0.1998183469573116</v>
      </c>
      <c r="S562" s="109">
        <f t="shared" si="43"/>
        <v>0.85014005602240905</v>
      </c>
      <c r="T562" s="109">
        <f t="shared" si="44"/>
        <v>0.47104677060133615</v>
      </c>
    </row>
    <row r="563" spans="1:20">
      <c r="A563" s="154">
        <v>178</v>
      </c>
      <c r="B563" s="156">
        <v>601899</v>
      </c>
      <c r="C563" s="133" t="s">
        <v>2852</v>
      </c>
      <c r="D563" s="155" t="s">
        <v>2324</v>
      </c>
      <c r="E563" s="154">
        <v>24</v>
      </c>
      <c r="F563" s="154">
        <v>15</v>
      </c>
      <c r="G563" s="154">
        <v>9</v>
      </c>
      <c r="H563" s="154">
        <v>0</v>
      </c>
      <c r="I563" s="154">
        <v>0</v>
      </c>
      <c r="J563" s="154">
        <v>0</v>
      </c>
      <c r="K563" s="154">
        <v>0.161</v>
      </c>
      <c r="L563" s="154">
        <v>1.7000000000000001E-2</v>
      </c>
      <c r="M563" s="154">
        <v>0.02</v>
      </c>
      <c r="N563" s="154">
        <v>2.5000000000000001E-2</v>
      </c>
      <c r="O563" s="108">
        <f t="shared" si="40"/>
        <v>-0.89440993788819878</v>
      </c>
      <c r="P563" s="108">
        <f t="shared" si="41"/>
        <v>0.17647058823529416</v>
      </c>
      <c r="Q563" s="108">
        <f t="shared" si="42"/>
        <v>0.25</v>
      </c>
      <c r="S563" s="109">
        <f t="shared" si="43"/>
        <v>-0.84472049689440998</v>
      </c>
      <c r="T563" s="109">
        <f t="shared" si="44"/>
        <v>0.47058823529411753</v>
      </c>
    </row>
    <row r="564" spans="1:20">
      <c r="A564" s="154">
        <v>824</v>
      </c>
      <c r="B564" s="156">
        <v>603993</v>
      </c>
      <c r="C564" s="133" t="s">
        <v>2853</v>
      </c>
      <c r="D564" s="155" t="s">
        <v>2324</v>
      </c>
      <c r="E564" s="154">
        <v>5</v>
      </c>
      <c r="F564" s="154">
        <v>1</v>
      </c>
      <c r="G564" s="154">
        <v>4</v>
      </c>
      <c r="H564" s="154">
        <v>0</v>
      </c>
      <c r="I564" s="154">
        <v>0</v>
      </c>
      <c r="J564" s="154">
        <v>0</v>
      </c>
      <c r="K564" s="154">
        <v>0.215</v>
      </c>
      <c r="L564" s="154">
        <v>1.7000000000000001E-2</v>
      </c>
      <c r="M564" s="154">
        <v>2.1999999999999999E-2</v>
      </c>
      <c r="N564" s="154">
        <v>2.5000000000000001E-2</v>
      </c>
      <c r="O564" s="108">
        <f t="shared" si="40"/>
        <v>-0.92093023255813955</v>
      </c>
      <c r="P564" s="108">
        <f t="shared" si="41"/>
        <v>0.29411764705882337</v>
      </c>
      <c r="Q564" s="108">
        <f t="shared" si="42"/>
        <v>0.13636363636363646</v>
      </c>
      <c r="S564" s="109">
        <f t="shared" si="43"/>
        <v>-0.88372093023255816</v>
      </c>
      <c r="T564" s="109">
        <f t="shared" si="44"/>
        <v>0.47058823529411753</v>
      </c>
    </row>
    <row r="565" spans="1:20">
      <c r="A565" s="154">
        <v>960</v>
      </c>
      <c r="B565" s="156">
        <v>2322</v>
      </c>
      <c r="C565" s="133" t="s">
        <v>2854</v>
      </c>
      <c r="D565" s="155" t="s">
        <v>2324</v>
      </c>
      <c r="E565" s="154">
        <v>3</v>
      </c>
      <c r="F565" s="154">
        <v>1</v>
      </c>
      <c r="G565" s="154">
        <v>2</v>
      </c>
      <c r="H565" s="154">
        <v>0</v>
      </c>
      <c r="I565" s="154">
        <v>0</v>
      </c>
      <c r="J565" s="154">
        <v>0</v>
      </c>
      <c r="K565" s="154">
        <v>0.64700000000000002</v>
      </c>
      <c r="L565" s="154">
        <v>0.88500000000000001</v>
      </c>
      <c r="M565" s="154">
        <v>1.087</v>
      </c>
      <c r="N565" s="154">
        <v>1.3</v>
      </c>
      <c r="O565" s="108">
        <f t="shared" si="40"/>
        <v>0.36785162287480677</v>
      </c>
      <c r="P565" s="108">
        <f t="shared" si="41"/>
        <v>0.2282485875706215</v>
      </c>
      <c r="Q565" s="108">
        <f t="shared" si="42"/>
        <v>0.1959521619135236</v>
      </c>
      <c r="S565" s="109">
        <f t="shared" si="43"/>
        <v>1.009273570324575</v>
      </c>
      <c r="T565" s="109">
        <f t="shared" si="44"/>
        <v>0.46892655367231639</v>
      </c>
    </row>
    <row r="566" spans="1:20">
      <c r="A566" s="154">
        <v>335</v>
      </c>
      <c r="B566" s="156">
        <v>2120</v>
      </c>
      <c r="C566" s="133" t="s">
        <v>2855</v>
      </c>
      <c r="D566" s="155" t="s">
        <v>2324</v>
      </c>
      <c r="E566" s="154">
        <v>15</v>
      </c>
      <c r="F566" s="154">
        <v>8</v>
      </c>
      <c r="G566" s="154">
        <v>7</v>
      </c>
      <c r="H566" s="154">
        <v>0</v>
      </c>
      <c r="I566" s="154">
        <v>0</v>
      </c>
      <c r="J566" s="154">
        <v>0</v>
      </c>
      <c r="K566" s="154">
        <v>1.212</v>
      </c>
      <c r="L566" s="154">
        <v>1.2709999999999999</v>
      </c>
      <c r="M566" s="154">
        <v>1.546</v>
      </c>
      <c r="N566" s="154">
        <v>1.8660000000000001</v>
      </c>
      <c r="O566" s="108">
        <f t="shared" si="40"/>
        <v>4.8679867986798575E-2</v>
      </c>
      <c r="P566" s="108">
        <f t="shared" si="41"/>
        <v>0.21636506687647539</v>
      </c>
      <c r="Q566" s="108">
        <f t="shared" si="42"/>
        <v>0.20698576972833127</v>
      </c>
      <c r="S566" s="109">
        <f t="shared" si="43"/>
        <v>0.53960396039603964</v>
      </c>
      <c r="T566" s="109">
        <f t="shared" si="44"/>
        <v>0.46813532651455558</v>
      </c>
    </row>
    <row r="567" spans="1:20">
      <c r="A567" s="154">
        <v>3</v>
      </c>
      <c r="B567" s="156">
        <v>858</v>
      </c>
      <c r="C567" s="133" t="s">
        <v>728</v>
      </c>
      <c r="D567" s="155" t="s">
        <v>2324</v>
      </c>
      <c r="E567" s="154">
        <v>72</v>
      </c>
      <c r="F567" s="154">
        <v>56</v>
      </c>
      <c r="G567" s="154">
        <v>16</v>
      </c>
      <c r="H567" s="154">
        <v>0</v>
      </c>
      <c r="I567" s="154">
        <v>0</v>
      </c>
      <c r="J567" s="154">
        <v>0</v>
      </c>
      <c r="K567" s="154">
        <v>3.448</v>
      </c>
      <c r="L567" s="154">
        <v>4.4950000000000001</v>
      </c>
      <c r="M567" s="154">
        <v>5.5330000000000004</v>
      </c>
      <c r="N567" s="154">
        <v>6.5919999999999996</v>
      </c>
      <c r="O567" s="108">
        <f t="shared" si="40"/>
        <v>0.30365429234338759</v>
      </c>
      <c r="P567" s="108">
        <f t="shared" si="41"/>
        <v>0.2309232480533927</v>
      </c>
      <c r="Q567" s="108">
        <f t="shared" si="42"/>
        <v>0.19139707211277779</v>
      </c>
      <c r="S567" s="109">
        <f t="shared" si="43"/>
        <v>0.91183294663573089</v>
      </c>
      <c r="T567" s="109">
        <f t="shared" si="44"/>
        <v>0.46651835372636241</v>
      </c>
    </row>
    <row r="568" spans="1:20">
      <c r="A568" s="154">
        <v>980</v>
      </c>
      <c r="B568" s="156">
        <v>600481</v>
      </c>
      <c r="C568" s="133" t="s">
        <v>2856</v>
      </c>
      <c r="D568" s="155" t="s">
        <v>2324</v>
      </c>
      <c r="E568" s="154">
        <v>3</v>
      </c>
      <c r="F568" s="154">
        <v>0</v>
      </c>
      <c r="G568" s="154">
        <v>3</v>
      </c>
      <c r="H568" s="154">
        <v>0</v>
      </c>
      <c r="I568" s="154">
        <v>0</v>
      </c>
      <c r="J568" s="154">
        <v>0</v>
      </c>
      <c r="K568" s="154">
        <v>0.154</v>
      </c>
      <c r="L568" s="154">
        <v>0.17399999999999999</v>
      </c>
      <c r="M568" s="154">
        <v>0.20799999999999999</v>
      </c>
      <c r="N568" s="154">
        <v>0.255</v>
      </c>
      <c r="O568" s="108">
        <f t="shared" si="40"/>
        <v>0.12987012987012991</v>
      </c>
      <c r="P568" s="108">
        <f t="shared" si="41"/>
        <v>0.19540229885057481</v>
      </c>
      <c r="Q568" s="108">
        <f t="shared" si="42"/>
        <v>0.22596153846153855</v>
      </c>
      <c r="S568" s="109">
        <f t="shared" si="43"/>
        <v>0.6558441558441559</v>
      </c>
      <c r="T568" s="109">
        <f t="shared" si="44"/>
        <v>0.4655172413793105</v>
      </c>
    </row>
    <row r="569" spans="1:20">
      <c r="A569" s="154">
        <v>385</v>
      </c>
      <c r="B569" s="156">
        <v>2541</v>
      </c>
      <c r="C569" s="133" t="s">
        <v>2857</v>
      </c>
      <c r="D569" s="155" t="s">
        <v>2324</v>
      </c>
      <c r="E569" s="154">
        <v>13</v>
      </c>
      <c r="F569" s="154">
        <v>13</v>
      </c>
      <c r="G569" s="154">
        <v>0</v>
      </c>
      <c r="H569" s="154">
        <v>0</v>
      </c>
      <c r="I569" s="154">
        <v>0</v>
      </c>
      <c r="J569" s="154">
        <v>0</v>
      </c>
      <c r="K569" s="154">
        <v>0.79400000000000004</v>
      </c>
      <c r="L569" s="154">
        <v>0.92</v>
      </c>
      <c r="M569" s="154">
        <v>1.121</v>
      </c>
      <c r="N569" s="154">
        <v>1.3480000000000001</v>
      </c>
      <c r="O569" s="108">
        <f t="shared" si="40"/>
        <v>0.15869017632241822</v>
      </c>
      <c r="P569" s="108">
        <f t="shared" si="41"/>
        <v>0.21847826086956523</v>
      </c>
      <c r="Q569" s="108">
        <f t="shared" si="42"/>
        <v>0.20249776984834966</v>
      </c>
      <c r="S569" s="109">
        <f t="shared" si="43"/>
        <v>0.6977329974811084</v>
      </c>
      <c r="T569" s="109">
        <f t="shared" si="44"/>
        <v>0.4652173913043478</v>
      </c>
    </row>
    <row r="570" spans="1:20">
      <c r="A570" s="154">
        <v>601</v>
      </c>
      <c r="B570" s="156">
        <v>2582</v>
      </c>
      <c r="C570" s="133" t="s">
        <v>2858</v>
      </c>
      <c r="D570" s="155" t="s">
        <v>2324</v>
      </c>
      <c r="E570" s="154">
        <v>8</v>
      </c>
      <c r="F570" s="154">
        <v>3</v>
      </c>
      <c r="G570" s="154">
        <v>4</v>
      </c>
      <c r="H570" s="154">
        <v>1</v>
      </c>
      <c r="I570" s="154">
        <v>0</v>
      </c>
      <c r="J570" s="154">
        <v>0</v>
      </c>
      <c r="K570" s="154">
        <v>0.251</v>
      </c>
      <c r="L570" s="154">
        <v>0.316</v>
      </c>
      <c r="M570" s="154">
        <v>0.38500000000000001</v>
      </c>
      <c r="N570" s="154">
        <v>0.46300000000000002</v>
      </c>
      <c r="O570" s="108">
        <f t="shared" si="40"/>
        <v>0.25896414342629481</v>
      </c>
      <c r="P570" s="108">
        <f t="shared" si="41"/>
        <v>0.21835443037974689</v>
      </c>
      <c r="Q570" s="108">
        <f t="shared" si="42"/>
        <v>0.20259740259740266</v>
      </c>
      <c r="S570" s="109">
        <f t="shared" si="43"/>
        <v>0.84462151394422325</v>
      </c>
      <c r="T570" s="109">
        <f t="shared" si="44"/>
        <v>0.46518987341772156</v>
      </c>
    </row>
    <row r="571" spans="1:20">
      <c r="A571" s="154">
        <v>207</v>
      </c>
      <c r="B571" s="156">
        <v>603568</v>
      </c>
      <c r="C571" s="133" t="s">
        <v>2859</v>
      </c>
      <c r="D571" s="155" t="s">
        <v>2324</v>
      </c>
      <c r="E571" s="154">
        <v>21</v>
      </c>
      <c r="F571" s="154">
        <v>16</v>
      </c>
      <c r="G571" s="154">
        <v>5</v>
      </c>
      <c r="H571" s="154">
        <v>0</v>
      </c>
      <c r="I571" s="154">
        <v>0</v>
      </c>
      <c r="J571" s="154">
        <v>0</v>
      </c>
      <c r="K571" s="154">
        <v>0.76600000000000001</v>
      </c>
      <c r="L571" s="154">
        <v>0.99399999999999999</v>
      </c>
      <c r="M571" s="154">
        <v>1.22</v>
      </c>
      <c r="N571" s="154">
        <v>1.456</v>
      </c>
      <c r="O571" s="108">
        <f t="shared" si="40"/>
        <v>0.2976501305483028</v>
      </c>
      <c r="P571" s="108">
        <f t="shared" si="41"/>
        <v>0.22736418511066403</v>
      </c>
      <c r="Q571" s="108">
        <f t="shared" si="42"/>
        <v>0.19344262295081971</v>
      </c>
      <c r="S571" s="109">
        <f t="shared" si="43"/>
        <v>0.90078328981723232</v>
      </c>
      <c r="T571" s="109">
        <f t="shared" si="44"/>
        <v>0.46478873239436624</v>
      </c>
    </row>
    <row r="572" spans="1:20">
      <c r="A572" s="154">
        <v>648</v>
      </c>
      <c r="B572" s="156">
        <v>601997</v>
      </c>
      <c r="C572" s="133" t="s">
        <v>2860</v>
      </c>
      <c r="D572" s="155" t="s">
        <v>2324</v>
      </c>
      <c r="E572" s="154">
        <v>7</v>
      </c>
      <c r="F572" s="154">
        <v>0</v>
      </c>
      <c r="G572" s="154">
        <v>7</v>
      </c>
      <c r="H572" s="154">
        <v>0</v>
      </c>
      <c r="I572" s="154">
        <v>0</v>
      </c>
      <c r="J572" s="154">
        <v>0</v>
      </c>
      <c r="K572" s="154">
        <v>1.5960000000000001</v>
      </c>
      <c r="L572" s="154">
        <v>1.653</v>
      </c>
      <c r="M572" s="154">
        <v>1.87</v>
      </c>
      <c r="N572" s="154">
        <v>2.4209999999999998</v>
      </c>
      <c r="O572" s="108">
        <f t="shared" si="40"/>
        <v>3.5714285714285587E-2</v>
      </c>
      <c r="P572" s="108">
        <f t="shared" si="41"/>
        <v>0.13127646702964313</v>
      </c>
      <c r="Q572" s="108">
        <f t="shared" si="42"/>
        <v>0.2946524064171121</v>
      </c>
      <c r="S572" s="109">
        <f t="shared" si="43"/>
        <v>0.51691729323308255</v>
      </c>
      <c r="T572" s="109">
        <f t="shared" si="44"/>
        <v>0.46460980036297617</v>
      </c>
    </row>
    <row r="573" spans="1:20">
      <c r="A573" s="154">
        <v>176</v>
      </c>
      <c r="B573" s="156">
        <v>2025</v>
      </c>
      <c r="C573" s="133" t="s">
        <v>2861</v>
      </c>
      <c r="D573" s="155" t="s">
        <v>2324</v>
      </c>
      <c r="E573" s="154">
        <v>24</v>
      </c>
      <c r="F573" s="154">
        <v>22</v>
      </c>
      <c r="G573" s="154">
        <v>2</v>
      </c>
      <c r="H573" s="154">
        <v>0</v>
      </c>
      <c r="I573" s="154">
        <v>0</v>
      </c>
      <c r="J573" s="154">
        <v>0</v>
      </c>
      <c r="K573" s="154">
        <v>0.83699999999999997</v>
      </c>
      <c r="L573" s="154">
        <v>0.99099999999999999</v>
      </c>
      <c r="M573" s="154">
        <v>1.204</v>
      </c>
      <c r="N573" s="154">
        <v>1.4490000000000001</v>
      </c>
      <c r="O573" s="108">
        <f t="shared" si="40"/>
        <v>0.18399044205495829</v>
      </c>
      <c r="P573" s="108">
        <f t="shared" si="41"/>
        <v>0.21493440968718458</v>
      </c>
      <c r="Q573" s="108">
        <f t="shared" si="42"/>
        <v>0.2034883720930234</v>
      </c>
      <c r="S573" s="109">
        <f t="shared" si="43"/>
        <v>0.73118279569892497</v>
      </c>
      <c r="T573" s="109">
        <f t="shared" si="44"/>
        <v>0.46215943491422817</v>
      </c>
    </row>
    <row r="574" spans="1:20">
      <c r="A574" s="154">
        <v>889</v>
      </c>
      <c r="B574" s="156">
        <v>600557</v>
      </c>
      <c r="C574" s="133" t="s">
        <v>2862</v>
      </c>
      <c r="D574" s="155" t="s">
        <v>2324</v>
      </c>
      <c r="E574" s="154">
        <v>4</v>
      </c>
      <c r="F574" s="154">
        <v>3</v>
      </c>
      <c r="G574" s="154">
        <v>1</v>
      </c>
      <c r="H574" s="154">
        <v>0</v>
      </c>
      <c r="I574" s="154">
        <v>0</v>
      </c>
      <c r="J574" s="154">
        <v>0</v>
      </c>
      <c r="K574" s="154">
        <v>0.72799999999999998</v>
      </c>
      <c r="L574" s="154">
        <v>0.873</v>
      </c>
      <c r="M574" s="154">
        <v>1.0640000000000001</v>
      </c>
      <c r="N574" s="154">
        <v>1.276</v>
      </c>
      <c r="O574" s="108">
        <f t="shared" si="40"/>
        <v>0.19917582417582413</v>
      </c>
      <c r="P574" s="108">
        <f t="shared" si="41"/>
        <v>0.21878579610538385</v>
      </c>
      <c r="Q574" s="108">
        <f t="shared" si="42"/>
        <v>0.1992481203007519</v>
      </c>
      <c r="S574" s="109">
        <f t="shared" si="43"/>
        <v>0.75274725274725274</v>
      </c>
      <c r="T574" s="109">
        <f t="shared" si="44"/>
        <v>0.46162657502863702</v>
      </c>
    </row>
    <row r="575" spans="1:20">
      <c r="A575" s="154">
        <v>423</v>
      </c>
      <c r="B575" s="156">
        <v>2153</v>
      </c>
      <c r="C575" s="133" t="s">
        <v>2863</v>
      </c>
      <c r="D575" s="155" t="s">
        <v>2324</v>
      </c>
      <c r="E575" s="154">
        <v>12</v>
      </c>
      <c r="F575" s="154">
        <v>8</v>
      </c>
      <c r="G575" s="154">
        <v>4</v>
      </c>
      <c r="H575" s="154">
        <v>0</v>
      </c>
      <c r="I575" s="154">
        <v>0</v>
      </c>
      <c r="J575" s="154">
        <v>0</v>
      </c>
      <c r="K575" s="154">
        <v>0.434</v>
      </c>
      <c r="L575" s="154">
        <v>0.497</v>
      </c>
      <c r="M575" s="154">
        <v>0.59399999999999997</v>
      </c>
      <c r="N575" s="154">
        <v>0.72599999999999998</v>
      </c>
      <c r="O575" s="108">
        <f t="shared" si="40"/>
        <v>0.14516129032258074</v>
      </c>
      <c r="P575" s="108">
        <f t="shared" si="41"/>
        <v>0.19517102615694171</v>
      </c>
      <c r="Q575" s="108">
        <f t="shared" si="42"/>
        <v>0.22222222222222232</v>
      </c>
      <c r="S575" s="109">
        <f t="shared" si="43"/>
        <v>0.67281105990783407</v>
      </c>
      <c r="T575" s="109">
        <f t="shared" si="44"/>
        <v>0.46076458752515093</v>
      </c>
    </row>
    <row r="576" spans="1:20">
      <c r="A576" s="154">
        <v>810</v>
      </c>
      <c r="B576" s="156">
        <v>603187</v>
      </c>
      <c r="C576" s="133" t="s">
        <v>2864</v>
      </c>
      <c r="D576" s="155" t="s">
        <v>2324</v>
      </c>
      <c r="E576" s="154">
        <v>5</v>
      </c>
      <c r="F576" s="154">
        <v>2</v>
      </c>
      <c r="G576" s="154">
        <v>3</v>
      </c>
      <c r="H576" s="154">
        <v>0</v>
      </c>
      <c r="I576" s="154">
        <v>0</v>
      </c>
      <c r="J576" s="154">
        <v>0</v>
      </c>
      <c r="K576" s="154">
        <v>1.23</v>
      </c>
      <c r="L576" s="154">
        <v>1.7909999999999999</v>
      </c>
      <c r="M576" s="154">
        <v>2.1549999999999998</v>
      </c>
      <c r="N576" s="154">
        <v>2.6150000000000002</v>
      </c>
      <c r="O576" s="108">
        <f t="shared" si="40"/>
        <v>0.45609756097560972</v>
      </c>
      <c r="P576" s="108">
        <f t="shared" si="41"/>
        <v>0.20323841429369072</v>
      </c>
      <c r="Q576" s="108">
        <f t="shared" si="42"/>
        <v>0.21345707656612545</v>
      </c>
      <c r="S576" s="109">
        <f t="shared" si="43"/>
        <v>1.126016260162602</v>
      </c>
      <c r="T576" s="109">
        <f t="shared" si="44"/>
        <v>0.46007816862088236</v>
      </c>
    </row>
    <row r="577" spans="1:20">
      <c r="A577" s="154">
        <v>235</v>
      </c>
      <c r="B577" s="156">
        <v>600760</v>
      </c>
      <c r="C577" s="133" t="s">
        <v>2865</v>
      </c>
      <c r="D577" s="155" t="s">
        <v>2324</v>
      </c>
      <c r="E577" s="154">
        <v>20</v>
      </c>
      <c r="F577" s="154">
        <v>16</v>
      </c>
      <c r="G577" s="154">
        <v>4</v>
      </c>
      <c r="H577" s="154">
        <v>0</v>
      </c>
      <c r="I577" s="154">
        <v>0</v>
      </c>
      <c r="J577" s="154">
        <v>0</v>
      </c>
      <c r="K577" s="154">
        <v>0.53100000000000003</v>
      </c>
      <c r="L577" s="154">
        <v>0.64</v>
      </c>
      <c r="M577" s="154">
        <v>0.77500000000000002</v>
      </c>
      <c r="N577" s="154">
        <v>0.93400000000000005</v>
      </c>
      <c r="O577" s="108">
        <f t="shared" si="40"/>
        <v>0.20527306967984926</v>
      </c>
      <c r="P577" s="108">
        <f t="shared" si="41"/>
        <v>0.2109375</v>
      </c>
      <c r="Q577" s="108">
        <f t="shared" si="42"/>
        <v>0.20516129032258057</v>
      </c>
      <c r="S577" s="109">
        <f t="shared" si="43"/>
        <v>0.75894538606403006</v>
      </c>
      <c r="T577" s="109">
        <f t="shared" si="44"/>
        <v>0.45937500000000009</v>
      </c>
    </row>
    <row r="578" spans="1:20">
      <c r="A578" s="154">
        <v>244</v>
      </c>
      <c r="B578" s="156">
        <v>300192</v>
      </c>
      <c r="C578" s="133" t="s">
        <v>2866</v>
      </c>
      <c r="D578" s="155" t="s">
        <v>2324</v>
      </c>
      <c r="E578" s="154">
        <v>19</v>
      </c>
      <c r="F578" s="154">
        <v>16</v>
      </c>
      <c r="G578" s="154">
        <v>3</v>
      </c>
      <c r="H578" s="154">
        <v>0</v>
      </c>
      <c r="I578" s="154">
        <v>0</v>
      </c>
      <c r="J578" s="154">
        <v>0</v>
      </c>
      <c r="K578" s="154">
        <v>0.115</v>
      </c>
      <c r="L578" s="154">
        <v>0.42599999999999999</v>
      </c>
      <c r="M578" s="154">
        <v>0.52200000000000002</v>
      </c>
      <c r="N578" s="154">
        <v>0.621</v>
      </c>
      <c r="O578" s="108">
        <f t="shared" si="40"/>
        <v>2.7043478260869565</v>
      </c>
      <c r="P578" s="108">
        <f t="shared" si="41"/>
        <v>0.22535211267605648</v>
      </c>
      <c r="Q578" s="108">
        <f t="shared" si="42"/>
        <v>0.18965517241379315</v>
      </c>
      <c r="S578" s="109">
        <f t="shared" si="43"/>
        <v>4.3999999999999995</v>
      </c>
      <c r="T578" s="109">
        <f t="shared" si="44"/>
        <v>0.45774647887323949</v>
      </c>
    </row>
    <row r="579" spans="1:20">
      <c r="A579" s="154">
        <v>149</v>
      </c>
      <c r="B579" s="156">
        <v>603043</v>
      </c>
      <c r="C579" s="133" t="s">
        <v>2867</v>
      </c>
      <c r="D579" s="155" t="s">
        <v>2324</v>
      </c>
      <c r="E579" s="154">
        <v>25</v>
      </c>
      <c r="F579" s="154">
        <v>12</v>
      </c>
      <c r="G579" s="154">
        <v>13</v>
      </c>
      <c r="H579" s="154">
        <v>0</v>
      </c>
      <c r="I579" s="154">
        <v>0</v>
      </c>
      <c r="J579" s="154">
        <v>0</v>
      </c>
      <c r="K579" s="154">
        <v>0.95</v>
      </c>
      <c r="L579" s="154">
        <v>1.0880000000000001</v>
      </c>
      <c r="M579" s="154">
        <v>1.323</v>
      </c>
      <c r="N579" s="154">
        <v>1.5860000000000001</v>
      </c>
      <c r="O579" s="108">
        <f t="shared" ref="O579:O642" si="45">L579/K579-1</f>
        <v>0.14526315789473698</v>
      </c>
      <c r="P579" s="108">
        <f t="shared" ref="P579:P642" si="46">M579/L579-1</f>
        <v>0.21599264705882337</v>
      </c>
      <c r="Q579" s="108">
        <f t="shared" ref="Q579:Q642" si="47">N579/M579-1</f>
        <v>0.1987906273620561</v>
      </c>
      <c r="S579" s="109">
        <f t="shared" ref="S579:S642" si="48">N579/K579-1</f>
        <v>0.66947368421052644</v>
      </c>
      <c r="T579" s="109">
        <f t="shared" ref="T579:T642" si="49">N579/L579-1</f>
        <v>0.45772058823529416</v>
      </c>
    </row>
    <row r="580" spans="1:20">
      <c r="A580" s="154">
        <v>219</v>
      </c>
      <c r="B580" s="156">
        <v>600967</v>
      </c>
      <c r="C580" s="133" t="s">
        <v>2868</v>
      </c>
      <c r="D580" s="155" t="s">
        <v>2324</v>
      </c>
      <c r="E580" s="154">
        <v>21</v>
      </c>
      <c r="F580" s="154">
        <v>20</v>
      </c>
      <c r="G580" s="154">
        <v>1</v>
      </c>
      <c r="H580" s="154">
        <v>0</v>
      </c>
      <c r="I580" s="154">
        <v>0</v>
      </c>
      <c r="J580" s="154">
        <v>0</v>
      </c>
      <c r="K580" s="154">
        <v>0.316</v>
      </c>
      <c r="L580" s="154">
        <v>0.376</v>
      </c>
      <c r="M580" s="154">
        <v>0.45400000000000001</v>
      </c>
      <c r="N580" s="154">
        <v>0.54800000000000004</v>
      </c>
      <c r="O580" s="108">
        <f t="shared" si="45"/>
        <v>0.18987341772151889</v>
      </c>
      <c r="P580" s="108">
        <f t="shared" si="46"/>
        <v>0.20744680851063824</v>
      </c>
      <c r="Q580" s="108">
        <f t="shared" si="47"/>
        <v>0.20704845814977979</v>
      </c>
      <c r="S580" s="109">
        <f t="shared" si="48"/>
        <v>0.73417721518987356</v>
      </c>
      <c r="T580" s="109">
        <f t="shared" si="49"/>
        <v>0.45744680851063846</v>
      </c>
    </row>
    <row r="581" spans="1:20">
      <c r="A581" s="154">
        <v>271</v>
      </c>
      <c r="B581" s="156">
        <v>600885</v>
      </c>
      <c r="C581" s="133" t="s">
        <v>2869</v>
      </c>
      <c r="D581" s="155" t="s">
        <v>2324</v>
      </c>
      <c r="E581" s="154">
        <v>18</v>
      </c>
      <c r="F581" s="154">
        <v>10</v>
      </c>
      <c r="G581" s="154">
        <v>8</v>
      </c>
      <c r="H581" s="154">
        <v>0</v>
      </c>
      <c r="I581" s="154">
        <v>0</v>
      </c>
      <c r="J581" s="154">
        <v>0</v>
      </c>
      <c r="K581" s="154">
        <v>0.93799999999999994</v>
      </c>
      <c r="L581" s="154">
        <v>0.995</v>
      </c>
      <c r="M581" s="154">
        <v>1.196</v>
      </c>
      <c r="N581" s="154">
        <v>1.45</v>
      </c>
      <c r="O581" s="108">
        <f t="shared" si="45"/>
        <v>6.076759061833692E-2</v>
      </c>
      <c r="P581" s="108">
        <f t="shared" si="46"/>
        <v>0.20201005025125629</v>
      </c>
      <c r="Q581" s="108">
        <f t="shared" si="47"/>
        <v>0.2123745819397993</v>
      </c>
      <c r="S581" s="109">
        <f t="shared" si="48"/>
        <v>0.54584221748400852</v>
      </c>
      <c r="T581" s="109">
        <f t="shared" si="49"/>
        <v>0.45728643216080389</v>
      </c>
    </row>
    <row r="582" spans="1:20">
      <c r="A582" s="154">
        <v>836</v>
      </c>
      <c r="B582" s="156">
        <v>300024</v>
      </c>
      <c r="C582" s="133" t="s">
        <v>2870</v>
      </c>
      <c r="D582" s="155" t="s">
        <v>2324</v>
      </c>
      <c r="E582" s="154">
        <v>5</v>
      </c>
      <c r="F582" s="154">
        <v>0</v>
      </c>
      <c r="G582" s="154">
        <v>4</v>
      </c>
      <c r="H582" s="154">
        <v>1</v>
      </c>
      <c r="I582" s="154">
        <v>0</v>
      </c>
      <c r="J582" s="154">
        <v>0</v>
      </c>
      <c r="K582" s="154">
        <v>0.28799999999999998</v>
      </c>
      <c r="L582" s="154">
        <v>0.28499999999999998</v>
      </c>
      <c r="M582" s="154">
        <v>0.34100000000000003</v>
      </c>
      <c r="N582" s="154">
        <v>0.41499999999999998</v>
      </c>
      <c r="O582" s="108">
        <f t="shared" si="45"/>
        <v>-1.041666666666663E-2</v>
      </c>
      <c r="P582" s="108">
        <f t="shared" si="46"/>
        <v>0.19649122807017561</v>
      </c>
      <c r="Q582" s="108">
        <f t="shared" si="47"/>
        <v>0.21700879765395875</v>
      </c>
      <c r="S582" s="109">
        <f t="shared" si="48"/>
        <v>0.44097222222222232</v>
      </c>
      <c r="T582" s="109">
        <f t="shared" si="49"/>
        <v>0.45614035087719307</v>
      </c>
    </row>
    <row r="583" spans="1:20">
      <c r="A583" s="154">
        <v>665</v>
      </c>
      <c r="B583" s="156">
        <v>2717</v>
      </c>
      <c r="C583" s="133" t="s">
        <v>1368</v>
      </c>
      <c r="D583" s="155" t="s">
        <v>2324</v>
      </c>
      <c r="E583" s="154">
        <v>7</v>
      </c>
      <c r="F583" s="154">
        <v>5</v>
      </c>
      <c r="G583" s="154">
        <v>2</v>
      </c>
      <c r="H583" s="154">
        <v>0</v>
      </c>
      <c r="I583" s="154">
        <v>0</v>
      </c>
      <c r="J583" s="154">
        <v>0</v>
      </c>
      <c r="K583" s="154">
        <v>0.50700000000000001</v>
      </c>
      <c r="L583" s="154">
        <v>0.34200000000000003</v>
      </c>
      <c r="M583" s="154">
        <v>0.4</v>
      </c>
      <c r="N583" s="154">
        <v>0.498</v>
      </c>
      <c r="O583" s="108">
        <f t="shared" si="45"/>
        <v>-0.32544378698224852</v>
      </c>
      <c r="P583" s="108">
        <f t="shared" si="46"/>
        <v>0.16959064327485374</v>
      </c>
      <c r="Q583" s="108">
        <f t="shared" si="47"/>
        <v>0.24499999999999988</v>
      </c>
      <c r="S583" s="109">
        <f t="shared" si="48"/>
        <v>-1.7751479289940808E-2</v>
      </c>
      <c r="T583" s="109">
        <f t="shared" si="49"/>
        <v>0.45614035087719285</v>
      </c>
    </row>
    <row r="584" spans="1:20">
      <c r="A584" s="154">
        <v>436</v>
      </c>
      <c r="B584" s="156">
        <v>600893</v>
      </c>
      <c r="C584" s="133" t="s">
        <v>2871</v>
      </c>
      <c r="D584" s="155" t="s">
        <v>2324</v>
      </c>
      <c r="E584" s="154">
        <v>12</v>
      </c>
      <c r="F584" s="154">
        <v>9</v>
      </c>
      <c r="G584" s="154">
        <v>3</v>
      </c>
      <c r="H584" s="154">
        <v>0</v>
      </c>
      <c r="I584" s="154">
        <v>0</v>
      </c>
      <c r="J584" s="154">
        <v>0</v>
      </c>
      <c r="K584" s="154">
        <v>0.47299999999999998</v>
      </c>
      <c r="L584" s="154">
        <v>0.52400000000000002</v>
      </c>
      <c r="M584" s="154">
        <v>0.63500000000000001</v>
      </c>
      <c r="N584" s="154">
        <v>0.76300000000000001</v>
      </c>
      <c r="O584" s="108">
        <f t="shared" si="45"/>
        <v>0.10782241014799165</v>
      </c>
      <c r="P584" s="108">
        <f t="shared" si="46"/>
        <v>0.21183206106870234</v>
      </c>
      <c r="Q584" s="108">
        <f t="shared" si="47"/>
        <v>0.2015748031496063</v>
      </c>
      <c r="S584" s="109">
        <f t="shared" si="48"/>
        <v>0.61310782241014805</v>
      </c>
      <c r="T584" s="109">
        <f t="shared" si="49"/>
        <v>0.45610687022900764</v>
      </c>
    </row>
    <row r="585" spans="1:20">
      <c r="A585" s="154">
        <v>375</v>
      </c>
      <c r="B585" s="156">
        <v>963</v>
      </c>
      <c r="C585" s="133" t="s">
        <v>2872</v>
      </c>
      <c r="D585" s="155" t="s">
        <v>2324</v>
      </c>
      <c r="E585" s="154">
        <v>14</v>
      </c>
      <c r="F585" s="154">
        <v>10</v>
      </c>
      <c r="G585" s="154">
        <v>4</v>
      </c>
      <c r="H585" s="154">
        <v>0</v>
      </c>
      <c r="I585" s="154">
        <v>0</v>
      </c>
      <c r="J585" s="154">
        <v>0</v>
      </c>
      <c r="K585" s="154">
        <v>1.296</v>
      </c>
      <c r="L585" s="154">
        <v>1.5940000000000001</v>
      </c>
      <c r="M585" s="154">
        <v>1.931</v>
      </c>
      <c r="N585" s="154">
        <v>2.3210000000000002</v>
      </c>
      <c r="O585" s="108">
        <f t="shared" si="45"/>
        <v>0.22993827160493829</v>
      </c>
      <c r="P585" s="108">
        <f t="shared" si="46"/>
        <v>0.21141781681304894</v>
      </c>
      <c r="Q585" s="108">
        <f t="shared" si="47"/>
        <v>0.20196789228379086</v>
      </c>
      <c r="S585" s="109">
        <f t="shared" si="48"/>
        <v>0.79089506172839519</v>
      </c>
      <c r="T585" s="109">
        <f t="shared" si="49"/>
        <v>0.45608531994981183</v>
      </c>
    </row>
    <row r="586" spans="1:20">
      <c r="A586" s="154">
        <v>130</v>
      </c>
      <c r="B586" s="156">
        <v>603160</v>
      </c>
      <c r="C586" s="133" t="s">
        <v>2873</v>
      </c>
      <c r="D586" s="155" t="s">
        <v>2324</v>
      </c>
      <c r="E586" s="154">
        <v>27</v>
      </c>
      <c r="F586" s="154">
        <v>26</v>
      </c>
      <c r="G586" s="154">
        <v>1</v>
      </c>
      <c r="H586" s="154">
        <v>0</v>
      </c>
      <c r="I586" s="154">
        <v>0</v>
      </c>
      <c r="J586" s="154">
        <v>0</v>
      </c>
      <c r="K586" s="154">
        <v>1.629</v>
      </c>
      <c r="L586" s="154">
        <v>4.8979999999999997</v>
      </c>
      <c r="M586" s="154">
        <v>5.9009999999999998</v>
      </c>
      <c r="N586" s="154">
        <v>7.1269999999999998</v>
      </c>
      <c r="O586" s="108">
        <f t="shared" si="45"/>
        <v>2.0067526089625534</v>
      </c>
      <c r="P586" s="108">
        <f t="shared" si="46"/>
        <v>0.20477746018783183</v>
      </c>
      <c r="Q586" s="108">
        <f t="shared" si="47"/>
        <v>0.20776139637349611</v>
      </c>
      <c r="S586" s="109">
        <f t="shared" si="48"/>
        <v>3.3750767341927563</v>
      </c>
      <c r="T586" s="109">
        <f t="shared" si="49"/>
        <v>0.45508370763576966</v>
      </c>
    </row>
    <row r="587" spans="1:20">
      <c r="A587" s="154">
        <v>343</v>
      </c>
      <c r="B587" s="156">
        <v>69</v>
      </c>
      <c r="C587" s="133" t="s">
        <v>2874</v>
      </c>
      <c r="D587" s="155" t="s">
        <v>2324</v>
      </c>
      <c r="E587" s="154">
        <v>15</v>
      </c>
      <c r="F587" s="154">
        <v>13</v>
      </c>
      <c r="G587" s="154">
        <v>2</v>
      </c>
      <c r="H587" s="154">
        <v>0</v>
      </c>
      <c r="I587" s="154">
        <v>0</v>
      </c>
      <c r="J587" s="154">
        <v>0</v>
      </c>
      <c r="K587" s="154">
        <v>1.2909999999999999</v>
      </c>
      <c r="L587" s="154">
        <v>1.5449999999999999</v>
      </c>
      <c r="M587" s="154">
        <v>1.855</v>
      </c>
      <c r="N587" s="154">
        <v>2.2480000000000002</v>
      </c>
      <c r="O587" s="108">
        <f t="shared" si="45"/>
        <v>0.1967467079783114</v>
      </c>
      <c r="P587" s="108">
        <f t="shared" si="46"/>
        <v>0.20064724919093857</v>
      </c>
      <c r="Q587" s="108">
        <f t="shared" si="47"/>
        <v>0.21185983827493282</v>
      </c>
      <c r="S587" s="109">
        <f t="shared" si="48"/>
        <v>0.74128582494190587</v>
      </c>
      <c r="T587" s="109">
        <f t="shared" si="49"/>
        <v>0.45501618122977372</v>
      </c>
    </row>
    <row r="588" spans="1:20">
      <c r="A588" s="154">
        <v>577</v>
      </c>
      <c r="B588" s="156">
        <v>600926</v>
      </c>
      <c r="C588" s="133" t="s">
        <v>2875</v>
      </c>
      <c r="D588" s="155" t="s">
        <v>2324</v>
      </c>
      <c r="E588" s="154">
        <v>8</v>
      </c>
      <c r="F588" s="154">
        <v>2</v>
      </c>
      <c r="G588" s="154">
        <v>6</v>
      </c>
      <c r="H588" s="154">
        <v>0</v>
      </c>
      <c r="I588" s="154">
        <v>0</v>
      </c>
      <c r="J588" s="154">
        <v>0</v>
      </c>
      <c r="K588" s="154">
        <v>1.0549999999999999</v>
      </c>
      <c r="L588" s="154">
        <v>1.1759999999999999</v>
      </c>
      <c r="M588" s="154">
        <v>1.3779999999999999</v>
      </c>
      <c r="N588" s="154">
        <v>1.71</v>
      </c>
      <c r="O588" s="108">
        <f t="shared" si="45"/>
        <v>0.11469194312796205</v>
      </c>
      <c r="P588" s="108">
        <f t="shared" si="46"/>
        <v>0.17176870748299322</v>
      </c>
      <c r="Q588" s="108">
        <f t="shared" si="47"/>
        <v>0.24092888243831645</v>
      </c>
      <c r="S588" s="109">
        <f t="shared" si="48"/>
        <v>0.62085308056872046</v>
      </c>
      <c r="T588" s="109">
        <f t="shared" si="49"/>
        <v>0.45408163265306123</v>
      </c>
    </row>
    <row r="589" spans="1:20">
      <c r="A589" s="154">
        <v>282</v>
      </c>
      <c r="B589" s="156">
        <v>2831</v>
      </c>
      <c r="C589" s="133" t="s">
        <v>2876</v>
      </c>
      <c r="D589" s="155" t="s">
        <v>2324</v>
      </c>
      <c r="E589" s="154">
        <v>17</v>
      </c>
      <c r="F589" s="154">
        <v>14</v>
      </c>
      <c r="G589" s="154">
        <v>3</v>
      </c>
      <c r="H589" s="154">
        <v>0</v>
      </c>
      <c r="I589" s="154">
        <v>0</v>
      </c>
      <c r="J589" s="154">
        <v>0</v>
      </c>
      <c r="K589" s="154">
        <v>1.0780000000000001</v>
      </c>
      <c r="L589" s="154">
        <v>1.248</v>
      </c>
      <c r="M589" s="154">
        <v>1.4970000000000001</v>
      </c>
      <c r="N589" s="154">
        <v>1.8120000000000001</v>
      </c>
      <c r="O589" s="108">
        <f t="shared" si="45"/>
        <v>0.1576994434137291</v>
      </c>
      <c r="P589" s="108">
        <f t="shared" si="46"/>
        <v>0.19951923076923084</v>
      </c>
      <c r="Q589" s="108">
        <f t="shared" si="47"/>
        <v>0.21042084168336661</v>
      </c>
      <c r="S589" s="109">
        <f t="shared" si="48"/>
        <v>0.68089053803339517</v>
      </c>
      <c r="T589" s="109">
        <f t="shared" si="49"/>
        <v>0.45192307692307687</v>
      </c>
    </row>
    <row r="590" spans="1:20">
      <c r="A590" s="154">
        <v>538</v>
      </c>
      <c r="B590" s="156">
        <v>300284</v>
      </c>
      <c r="C590" s="133" t="s">
        <v>2877</v>
      </c>
      <c r="D590" s="155" t="s">
        <v>2324</v>
      </c>
      <c r="E590" s="154">
        <v>9</v>
      </c>
      <c r="F590" s="154">
        <v>9</v>
      </c>
      <c r="G590" s="154">
        <v>0</v>
      </c>
      <c r="H590" s="154">
        <v>0</v>
      </c>
      <c r="I590" s="154">
        <v>0</v>
      </c>
      <c r="J590" s="154">
        <v>0</v>
      </c>
      <c r="K590" s="154">
        <v>0.64200000000000002</v>
      </c>
      <c r="L590" s="154">
        <v>0.76</v>
      </c>
      <c r="M590" s="154">
        <v>0.92</v>
      </c>
      <c r="N590" s="154">
        <v>1.103</v>
      </c>
      <c r="O590" s="108">
        <f t="shared" si="45"/>
        <v>0.18380062305295941</v>
      </c>
      <c r="P590" s="108">
        <f t="shared" si="46"/>
        <v>0.21052631578947367</v>
      </c>
      <c r="Q590" s="108">
        <f t="shared" si="47"/>
        <v>0.19891304347826089</v>
      </c>
      <c r="S590" s="109">
        <f t="shared" si="48"/>
        <v>0.7180685358255452</v>
      </c>
      <c r="T590" s="109">
        <f t="shared" si="49"/>
        <v>0.45131578947368411</v>
      </c>
    </row>
    <row r="591" spans="1:20">
      <c r="A591" s="154">
        <v>23</v>
      </c>
      <c r="B591" s="156">
        <v>601100</v>
      </c>
      <c r="C591" s="133" t="s">
        <v>2878</v>
      </c>
      <c r="D591" s="155" t="s">
        <v>2324</v>
      </c>
      <c r="E591" s="154">
        <v>48</v>
      </c>
      <c r="F591" s="154">
        <v>37</v>
      </c>
      <c r="G591" s="154">
        <v>11</v>
      </c>
      <c r="H591" s="154">
        <v>0</v>
      </c>
      <c r="I591" s="154">
        <v>0</v>
      </c>
      <c r="J591" s="154">
        <v>0</v>
      </c>
      <c r="K591" s="154">
        <v>0.94899999999999995</v>
      </c>
      <c r="L591" s="154">
        <v>1.387</v>
      </c>
      <c r="M591" s="154">
        <v>1.7150000000000001</v>
      </c>
      <c r="N591" s="154">
        <v>2.0070000000000001</v>
      </c>
      <c r="O591" s="108">
        <f t="shared" si="45"/>
        <v>0.46153846153846168</v>
      </c>
      <c r="P591" s="108">
        <f t="shared" si="46"/>
        <v>0.23648161499639508</v>
      </c>
      <c r="Q591" s="108">
        <f t="shared" si="47"/>
        <v>0.17026239067055404</v>
      </c>
      <c r="S591" s="109">
        <f t="shared" si="48"/>
        <v>1.1148577449947314</v>
      </c>
      <c r="T591" s="109">
        <f t="shared" si="49"/>
        <v>0.44700793078586876</v>
      </c>
    </row>
    <row r="592" spans="1:20">
      <c r="A592" s="154">
        <v>61</v>
      </c>
      <c r="B592" s="156">
        <v>600048</v>
      </c>
      <c r="C592" s="133" t="s">
        <v>2879</v>
      </c>
      <c r="D592" s="155" t="s">
        <v>2324</v>
      </c>
      <c r="E592" s="154">
        <v>36</v>
      </c>
      <c r="F592" s="154">
        <v>31</v>
      </c>
      <c r="G592" s="154">
        <v>5</v>
      </c>
      <c r="H592" s="154">
        <v>0</v>
      </c>
      <c r="I592" s="154">
        <v>0</v>
      </c>
      <c r="J592" s="154">
        <v>0</v>
      </c>
      <c r="K592" s="154">
        <v>1.5840000000000001</v>
      </c>
      <c r="L592" s="154">
        <v>2.0499999999999998</v>
      </c>
      <c r="M592" s="154">
        <v>2.4940000000000002</v>
      </c>
      <c r="N592" s="154">
        <v>2.9649999999999999</v>
      </c>
      <c r="O592" s="108">
        <f t="shared" si="45"/>
        <v>0.29419191919191912</v>
      </c>
      <c r="P592" s="108">
        <f t="shared" si="46"/>
        <v>0.21658536585365873</v>
      </c>
      <c r="Q592" s="108">
        <f t="shared" si="47"/>
        <v>0.18885324779470714</v>
      </c>
      <c r="S592" s="109">
        <f t="shared" si="48"/>
        <v>0.87184343434343425</v>
      </c>
      <c r="T592" s="109">
        <f t="shared" si="49"/>
        <v>0.4463414634146341</v>
      </c>
    </row>
    <row r="593" spans="1:20">
      <c r="A593" s="154">
        <v>89</v>
      </c>
      <c r="B593" s="156">
        <v>601233</v>
      </c>
      <c r="C593" s="133" t="s">
        <v>2880</v>
      </c>
      <c r="D593" s="155" t="s">
        <v>2324</v>
      </c>
      <c r="E593" s="154">
        <v>32</v>
      </c>
      <c r="F593" s="154">
        <v>26</v>
      </c>
      <c r="G593" s="154">
        <v>6</v>
      </c>
      <c r="H593" s="154">
        <v>0</v>
      </c>
      <c r="I593" s="154">
        <v>0</v>
      </c>
      <c r="J593" s="154">
        <v>0</v>
      </c>
      <c r="K593" s="154">
        <v>1.147</v>
      </c>
      <c r="L593" s="154">
        <v>1.585</v>
      </c>
      <c r="M593" s="154">
        <v>1.9850000000000001</v>
      </c>
      <c r="N593" s="154">
        <v>2.2919999999999998</v>
      </c>
      <c r="O593" s="108">
        <f t="shared" si="45"/>
        <v>0.38186573670444623</v>
      </c>
      <c r="P593" s="108">
        <f t="shared" si="46"/>
        <v>0.25236593059936907</v>
      </c>
      <c r="Q593" s="108">
        <f t="shared" si="47"/>
        <v>0.15465994962216612</v>
      </c>
      <c r="S593" s="109">
        <f t="shared" si="48"/>
        <v>0.99825632083696569</v>
      </c>
      <c r="T593" s="109">
        <f t="shared" si="49"/>
        <v>0.44605678233438484</v>
      </c>
    </row>
    <row r="594" spans="1:20">
      <c r="A594" s="154">
        <v>561</v>
      </c>
      <c r="B594" s="156">
        <v>796</v>
      </c>
      <c r="C594" s="133" t="s">
        <v>2881</v>
      </c>
      <c r="D594" s="155" t="s">
        <v>2324</v>
      </c>
      <c r="E594" s="154">
        <v>8</v>
      </c>
      <c r="F594" s="154">
        <v>5</v>
      </c>
      <c r="G594" s="154">
        <v>3</v>
      </c>
      <c r="H594" s="154">
        <v>0</v>
      </c>
      <c r="I594" s="154">
        <v>0</v>
      </c>
      <c r="J594" s="154">
        <v>0</v>
      </c>
      <c r="K594" s="154">
        <v>0.24199999999999999</v>
      </c>
      <c r="L594" s="154">
        <v>0.25800000000000001</v>
      </c>
      <c r="M594" s="154">
        <v>0.318</v>
      </c>
      <c r="N594" s="154">
        <v>0.373</v>
      </c>
      <c r="O594" s="108">
        <f t="shared" si="45"/>
        <v>6.6115702479338845E-2</v>
      </c>
      <c r="P594" s="108">
        <f t="shared" si="46"/>
        <v>0.23255813953488369</v>
      </c>
      <c r="Q594" s="108">
        <f t="shared" si="47"/>
        <v>0.17295597484276737</v>
      </c>
      <c r="S594" s="109">
        <f t="shared" si="48"/>
        <v>0.54132231404958686</v>
      </c>
      <c r="T594" s="109">
        <f t="shared" si="49"/>
        <v>0.44573643410852704</v>
      </c>
    </row>
    <row r="595" spans="1:20">
      <c r="A595" s="154">
        <v>675</v>
      </c>
      <c r="B595" s="156">
        <v>887</v>
      </c>
      <c r="C595" s="133" t="s">
        <v>2882</v>
      </c>
      <c r="D595" s="155" t="s">
        <v>2324</v>
      </c>
      <c r="E595" s="154">
        <v>7</v>
      </c>
      <c r="F595" s="154">
        <v>4</v>
      </c>
      <c r="G595" s="154">
        <v>3</v>
      </c>
      <c r="H595" s="154">
        <v>0</v>
      </c>
      <c r="I595" s="154">
        <v>0</v>
      </c>
      <c r="J595" s="154">
        <v>0</v>
      </c>
      <c r="K595" s="154">
        <v>0.91400000000000003</v>
      </c>
      <c r="L595" s="154">
        <v>0.67100000000000004</v>
      </c>
      <c r="M595" s="154">
        <v>0.81699999999999995</v>
      </c>
      <c r="N595" s="154">
        <v>0.97</v>
      </c>
      <c r="O595" s="108">
        <f t="shared" si="45"/>
        <v>-0.26586433260393871</v>
      </c>
      <c r="P595" s="108">
        <f t="shared" si="46"/>
        <v>0.21758569299552888</v>
      </c>
      <c r="Q595" s="108">
        <f t="shared" si="47"/>
        <v>0.18727050183598526</v>
      </c>
      <c r="S595" s="109">
        <f t="shared" si="48"/>
        <v>6.1269146608315062E-2</v>
      </c>
      <c r="T595" s="109">
        <f t="shared" si="49"/>
        <v>0.4456035767511175</v>
      </c>
    </row>
    <row r="596" spans="1:20">
      <c r="A596" s="154">
        <v>331</v>
      </c>
      <c r="B596" s="156">
        <v>2468</v>
      </c>
      <c r="C596" s="133" t="s">
        <v>2883</v>
      </c>
      <c r="D596" s="155" t="s">
        <v>2324</v>
      </c>
      <c r="E596" s="154">
        <v>15</v>
      </c>
      <c r="F596" s="154">
        <v>9</v>
      </c>
      <c r="G596" s="154">
        <v>6</v>
      </c>
      <c r="H596" s="154">
        <v>0</v>
      </c>
      <c r="I596" s="154">
        <v>0</v>
      </c>
      <c r="J596" s="154">
        <v>0</v>
      </c>
      <c r="K596" s="154">
        <v>1.339</v>
      </c>
      <c r="L596" s="154">
        <v>1.194</v>
      </c>
      <c r="M596" s="154">
        <v>1.4259999999999999</v>
      </c>
      <c r="N596" s="154">
        <v>1.724</v>
      </c>
      <c r="O596" s="108">
        <f t="shared" si="45"/>
        <v>-0.10828976848394323</v>
      </c>
      <c r="P596" s="108">
        <f t="shared" si="46"/>
        <v>0.19430485762144056</v>
      </c>
      <c r="Q596" s="108">
        <f t="shared" si="47"/>
        <v>0.20897615708274908</v>
      </c>
      <c r="S596" s="109">
        <f t="shared" si="48"/>
        <v>0.28752800597460793</v>
      </c>
      <c r="T596" s="109">
        <f t="shared" si="49"/>
        <v>0.44388609715242877</v>
      </c>
    </row>
    <row r="597" spans="1:20">
      <c r="A597" s="154">
        <v>225</v>
      </c>
      <c r="B597" s="156">
        <v>2727</v>
      </c>
      <c r="C597" s="133" t="s">
        <v>2884</v>
      </c>
      <c r="D597" s="155" t="s">
        <v>2324</v>
      </c>
      <c r="E597" s="154">
        <v>20</v>
      </c>
      <c r="F597" s="154">
        <v>13</v>
      </c>
      <c r="G597" s="154">
        <v>7</v>
      </c>
      <c r="H597" s="154">
        <v>0</v>
      </c>
      <c r="I597" s="154">
        <v>0</v>
      </c>
      <c r="J597" s="154">
        <v>0</v>
      </c>
      <c r="K597" s="154">
        <v>0.91800000000000004</v>
      </c>
      <c r="L597" s="154">
        <v>1.091</v>
      </c>
      <c r="M597" s="154">
        <v>1.31</v>
      </c>
      <c r="N597" s="154">
        <v>1.575</v>
      </c>
      <c r="O597" s="108">
        <f t="shared" si="45"/>
        <v>0.18845315904139426</v>
      </c>
      <c r="P597" s="108">
        <f t="shared" si="46"/>
        <v>0.20073327222731452</v>
      </c>
      <c r="Q597" s="108">
        <f t="shared" si="47"/>
        <v>0.2022900763358777</v>
      </c>
      <c r="S597" s="109">
        <f t="shared" si="48"/>
        <v>0.71568627450980382</v>
      </c>
      <c r="T597" s="109">
        <f t="shared" si="49"/>
        <v>0.44362969752520631</v>
      </c>
    </row>
    <row r="598" spans="1:20">
      <c r="A598" s="154">
        <v>324</v>
      </c>
      <c r="B598" s="156">
        <v>600919</v>
      </c>
      <c r="C598" s="133" t="s">
        <v>2885</v>
      </c>
      <c r="D598" s="155" t="s">
        <v>2324</v>
      </c>
      <c r="E598" s="154">
        <v>15</v>
      </c>
      <c r="F598" s="154">
        <v>7</v>
      </c>
      <c r="G598" s="154">
        <v>8</v>
      </c>
      <c r="H598" s="154">
        <v>0</v>
      </c>
      <c r="I598" s="154">
        <v>0</v>
      </c>
      <c r="J598" s="154">
        <v>0</v>
      </c>
      <c r="K598" s="154">
        <v>1.1319999999999999</v>
      </c>
      <c r="L598" s="154">
        <v>1.121</v>
      </c>
      <c r="M598" s="154">
        <v>1.276</v>
      </c>
      <c r="N598" s="154">
        <v>1.6180000000000001</v>
      </c>
      <c r="O598" s="108">
        <f t="shared" si="45"/>
        <v>-9.7173144876324669E-3</v>
      </c>
      <c r="P598" s="108">
        <f t="shared" si="46"/>
        <v>0.1382694023193578</v>
      </c>
      <c r="Q598" s="108">
        <f t="shared" si="47"/>
        <v>0.26802507836990608</v>
      </c>
      <c r="S598" s="109">
        <f t="shared" si="48"/>
        <v>0.42932862190812737</v>
      </c>
      <c r="T598" s="109">
        <f t="shared" si="49"/>
        <v>0.44335414808206974</v>
      </c>
    </row>
    <row r="599" spans="1:20">
      <c r="A599" s="154">
        <v>474</v>
      </c>
      <c r="B599" s="156">
        <v>600160</v>
      </c>
      <c r="C599" s="133" t="s">
        <v>2886</v>
      </c>
      <c r="D599" s="155" t="s">
        <v>2324</v>
      </c>
      <c r="E599" s="154">
        <v>11</v>
      </c>
      <c r="F599" s="154">
        <v>8</v>
      </c>
      <c r="G599" s="154">
        <v>3</v>
      </c>
      <c r="H599" s="154">
        <v>0</v>
      </c>
      <c r="I599" s="154">
        <v>0</v>
      </c>
      <c r="J599" s="154">
        <v>0</v>
      </c>
      <c r="K599" s="154">
        <v>0.78400000000000003</v>
      </c>
      <c r="L599" s="154">
        <v>0.54400000000000004</v>
      </c>
      <c r="M599" s="154">
        <v>0.63700000000000001</v>
      </c>
      <c r="N599" s="154">
        <v>0.78500000000000003</v>
      </c>
      <c r="O599" s="108">
        <f t="shared" si="45"/>
        <v>-0.30612244897959184</v>
      </c>
      <c r="P599" s="108">
        <f t="shared" si="46"/>
        <v>0.17095588235294112</v>
      </c>
      <c r="Q599" s="108">
        <f t="shared" si="47"/>
        <v>0.23233908948194659</v>
      </c>
      <c r="S599" s="109">
        <f t="shared" si="48"/>
        <v>1.2755102040815647E-3</v>
      </c>
      <c r="T599" s="109">
        <f t="shared" si="49"/>
        <v>0.44301470588235281</v>
      </c>
    </row>
    <row r="600" spans="1:20">
      <c r="A600" s="154">
        <v>755</v>
      </c>
      <c r="B600" s="156">
        <v>2602</v>
      </c>
      <c r="C600" s="133" t="s">
        <v>2887</v>
      </c>
      <c r="D600" s="155" t="s">
        <v>2324</v>
      </c>
      <c r="E600" s="154">
        <v>6</v>
      </c>
      <c r="F600" s="154">
        <v>6</v>
      </c>
      <c r="G600" s="154">
        <v>0</v>
      </c>
      <c r="H600" s="154">
        <v>0</v>
      </c>
      <c r="I600" s="154">
        <v>0</v>
      </c>
      <c r="J600" s="154">
        <v>0</v>
      </c>
      <c r="K600" s="154">
        <v>0.16200000000000001</v>
      </c>
      <c r="L600" s="154">
        <v>0.50600000000000001</v>
      </c>
      <c r="M600" s="154">
        <v>0.63300000000000001</v>
      </c>
      <c r="N600" s="154">
        <v>0.73</v>
      </c>
      <c r="O600" s="108">
        <f t="shared" si="45"/>
        <v>2.1234567901234569</v>
      </c>
      <c r="P600" s="108">
        <f t="shared" si="46"/>
        <v>0.25098814229249022</v>
      </c>
      <c r="Q600" s="108">
        <f t="shared" si="47"/>
        <v>0.15323854660347558</v>
      </c>
      <c r="S600" s="109">
        <f t="shared" si="48"/>
        <v>3.5061728395061724</v>
      </c>
      <c r="T600" s="109">
        <f t="shared" si="49"/>
        <v>0.44268774703557301</v>
      </c>
    </row>
    <row r="601" spans="1:20">
      <c r="A601" s="154">
        <v>742</v>
      </c>
      <c r="B601" s="156">
        <v>603997</v>
      </c>
      <c r="C601" s="133" t="s">
        <v>2888</v>
      </c>
      <c r="D601" s="155" t="s">
        <v>2324</v>
      </c>
      <c r="E601" s="154">
        <v>6</v>
      </c>
      <c r="F601" s="154">
        <v>4</v>
      </c>
      <c r="G601" s="154">
        <v>2</v>
      </c>
      <c r="H601" s="154">
        <v>0</v>
      </c>
      <c r="I601" s="154">
        <v>0</v>
      </c>
      <c r="J601" s="154">
        <v>0</v>
      </c>
      <c r="K601" s="154">
        <v>0.29499999999999998</v>
      </c>
      <c r="L601" s="154">
        <v>0.432</v>
      </c>
      <c r="M601" s="154">
        <v>0.52200000000000002</v>
      </c>
      <c r="N601" s="154">
        <v>0.623</v>
      </c>
      <c r="O601" s="108">
        <f t="shared" si="45"/>
        <v>0.46440677966101696</v>
      </c>
      <c r="P601" s="108">
        <f t="shared" si="46"/>
        <v>0.20833333333333348</v>
      </c>
      <c r="Q601" s="108">
        <f t="shared" si="47"/>
        <v>0.19348659003831403</v>
      </c>
      <c r="S601" s="109">
        <f t="shared" si="48"/>
        <v>1.1118644067796613</v>
      </c>
      <c r="T601" s="109">
        <f t="shared" si="49"/>
        <v>0.44212962962962954</v>
      </c>
    </row>
    <row r="602" spans="1:20">
      <c r="A602" s="154">
        <v>393</v>
      </c>
      <c r="B602" s="156">
        <v>2074</v>
      </c>
      <c r="C602" s="133" t="s">
        <v>2889</v>
      </c>
      <c r="D602" s="155" t="s">
        <v>2324</v>
      </c>
      <c r="E602" s="154">
        <v>13</v>
      </c>
      <c r="F602" s="154">
        <v>5</v>
      </c>
      <c r="G602" s="154">
        <v>8</v>
      </c>
      <c r="H602" s="154">
        <v>0</v>
      </c>
      <c r="I602" s="154">
        <v>0</v>
      </c>
      <c r="J602" s="154">
        <v>0</v>
      </c>
      <c r="K602" s="154">
        <v>0.51100000000000001</v>
      </c>
      <c r="L602" s="154">
        <v>0.63100000000000001</v>
      </c>
      <c r="M602" s="154">
        <v>0.77100000000000002</v>
      </c>
      <c r="N602" s="154">
        <v>0.90900000000000003</v>
      </c>
      <c r="O602" s="108">
        <f t="shared" si="45"/>
        <v>0.23483365949119372</v>
      </c>
      <c r="P602" s="108">
        <f t="shared" si="46"/>
        <v>0.22187004754358153</v>
      </c>
      <c r="Q602" s="108">
        <f t="shared" si="47"/>
        <v>0.17898832684824906</v>
      </c>
      <c r="S602" s="109">
        <f t="shared" si="48"/>
        <v>0.77886497064579263</v>
      </c>
      <c r="T602" s="109">
        <f t="shared" si="49"/>
        <v>0.44057052297939792</v>
      </c>
    </row>
    <row r="603" spans="1:20">
      <c r="A603" s="154">
        <v>183</v>
      </c>
      <c r="B603" s="156">
        <v>2677</v>
      </c>
      <c r="C603" s="133" t="s">
        <v>2890</v>
      </c>
      <c r="D603" s="155" t="s">
        <v>2324</v>
      </c>
      <c r="E603" s="154">
        <v>23</v>
      </c>
      <c r="F603" s="154">
        <v>15</v>
      </c>
      <c r="G603" s="154">
        <v>8</v>
      </c>
      <c r="H603" s="154">
        <v>0</v>
      </c>
      <c r="I603" s="154">
        <v>0</v>
      </c>
      <c r="J603" s="154">
        <v>0</v>
      </c>
      <c r="K603" s="154">
        <v>0.58399999999999996</v>
      </c>
      <c r="L603" s="154">
        <v>0.72199999999999998</v>
      </c>
      <c r="M603" s="154">
        <v>0.872</v>
      </c>
      <c r="N603" s="154">
        <v>1.0389999999999999</v>
      </c>
      <c r="O603" s="108">
        <f t="shared" si="45"/>
        <v>0.23630136986301364</v>
      </c>
      <c r="P603" s="108">
        <f t="shared" si="46"/>
        <v>0.20775623268698062</v>
      </c>
      <c r="Q603" s="108">
        <f t="shared" si="47"/>
        <v>0.1915137614678899</v>
      </c>
      <c r="S603" s="109">
        <f t="shared" si="48"/>
        <v>0.77910958904109595</v>
      </c>
      <c r="T603" s="109">
        <f t="shared" si="49"/>
        <v>0.43905817174515227</v>
      </c>
    </row>
    <row r="604" spans="1:20">
      <c r="A604" s="154">
        <v>887</v>
      </c>
      <c r="B604" s="156">
        <v>90</v>
      </c>
      <c r="C604" s="133" t="s">
        <v>2891</v>
      </c>
      <c r="D604" s="155" t="s">
        <v>2324</v>
      </c>
      <c r="E604" s="154">
        <v>4</v>
      </c>
      <c r="F604" s="154">
        <v>0</v>
      </c>
      <c r="G604" s="154">
        <v>4</v>
      </c>
      <c r="H604" s="154">
        <v>0</v>
      </c>
      <c r="I604" s="154">
        <v>0</v>
      </c>
      <c r="J604" s="154">
        <v>0</v>
      </c>
      <c r="K604" s="154">
        <v>0.41799999999999998</v>
      </c>
      <c r="L604" s="154">
        <v>0.59699999999999998</v>
      </c>
      <c r="M604" s="154">
        <v>0.753</v>
      </c>
      <c r="N604" s="154">
        <v>0.85899999999999999</v>
      </c>
      <c r="O604" s="108">
        <f t="shared" si="45"/>
        <v>0.42822966507177029</v>
      </c>
      <c r="P604" s="108">
        <f t="shared" si="46"/>
        <v>0.2613065326633166</v>
      </c>
      <c r="Q604" s="108">
        <f t="shared" si="47"/>
        <v>0.14077025232403706</v>
      </c>
      <c r="S604" s="109">
        <f t="shared" si="48"/>
        <v>1.0550239234449763</v>
      </c>
      <c r="T604" s="109">
        <f t="shared" si="49"/>
        <v>0.43886097152428816</v>
      </c>
    </row>
    <row r="605" spans="1:20">
      <c r="A605" s="154">
        <v>863</v>
      </c>
      <c r="B605" s="156">
        <v>710</v>
      </c>
      <c r="C605" s="133" t="s">
        <v>2892</v>
      </c>
      <c r="D605" s="155" t="s">
        <v>2324</v>
      </c>
      <c r="E605" s="154">
        <v>4</v>
      </c>
      <c r="F605" s="154">
        <v>3</v>
      </c>
      <c r="G605" s="154">
        <v>0</v>
      </c>
      <c r="H605" s="154">
        <v>1</v>
      </c>
      <c r="I605" s="154">
        <v>0</v>
      </c>
      <c r="J605" s="154">
        <v>0</v>
      </c>
      <c r="K605" s="154">
        <v>0.75600000000000001</v>
      </c>
      <c r="L605" s="154">
        <v>1.123</v>
      </c>
      <c r="M605" s="154">
        <v>1.337</v>
      </c>
      <c r="N605" s="154">
        <v>1.6140000000000001</v>
      </c>
      <c r="O605" s="108">
        <f t="shared" si="45"/>
        <v>0.48544973544973535</v>
      </c>
      <c r="P605" s="108">
        <f t="shared" si="46"/>
        <v>0.19056099732858423</v>
      </c>
      <c r="Q605" s="108">
        <f t="shared" si="47"/>
        <v>0.20718025430067333</v>
      </c>
      <c r="S605" s="109">
        <f t="shared" si="48"/>
        <v>1.1349206349206349</v>
      </c>
      <c r="T605" s="109">
        <f t="shared" si="49"/>
        <v>0.43722172751558341</v>
      </c>
    </row>
    <row r="606" spans="1:20">
      <c r="A606" s="154">
        <v>774</v>
      </c>
      <c r="B606" s="156">
        <v>2020</v>
      </c>
      <c r="C606" s="133" t="s">
        <v>2893</v>
      </c>
      <c r="D606" s="155" t="s">
        <v>2324</v>
      </c>
      <c r="E606" s="154">
        <v>6</v>
      </c>
      <c r="F606" s="154">
        <v>2</v>
      </c>
      <c r="G606" s="154">
        <v>4</v>
      </c>
      <c r="H606" s="154">
        <v>0</v>
      </c>
      <c r="I606" s="154">
        <v>0</v>
      </c>
      <c r="J606" s="154">
        <v>0</v>
      </c>
      <c r="K606" s="154">
        <v>0.51</v>
      </c>
      <c r="L606" s="154">
        <v>0.71599999999999997</v>
      </c>
      <c r="M606" s="154">
        <v>0.85</v>
      </c>
      <c r="N606" s="154">
        <v>1.0289999999999999</v>
      </c>
      <c r="O606" s="108">
        <f t="shared" si="45"/>
        <v>0.40392156862745088</v>
      </c>
      <c r="P606" s="108">
        <f t="shared" si="46"/>
        <v>0.18715083798882692</v>
      </c>
      <c r="Q606" s="108">
        <f t="shared" si="47"/>
        <v>0.21058823529411752</v>
      </c>
      <c r="S606" s="109">
        <f t="shared" si="48"/>
        <v>1.0176470588235293</v>
      </c>
      <c r="T606" s="109">
        <f t="shared" si="49"/>
        <v>0.4371508379888267</v>
      </c>
    </row>
    <row r="607" spans="1:20">
      <c r="A607" s="154">
        <v>449</v>
      </c>
      <c r="B607" s="156">
        <v>300571</v>
      </c>
      <c r="C607" s="133" t="s">
        <v>2894</v>
      </c>
      <c r="D607" s="155" t="s">
        <v>2324</v>
      </c>
      <c r="E607" s="154">
        <v>11</v>
      </c>
      <c r="F607" s="154">
        <v>11</v>
      </c>
      <c r="G607" s="154">
        <v>0</v>
      </c>
      <c r="H607" s="154">
        <v>0</v>
      </c>
      <c r="I607" s="154">
        <v>0</v>
      </c>
      <c r="J607" s="154">
        <v>0</v>
      </c>
      <c r="K607" s="154">
        <v>1.5629999999999999</v>
      </c>
      <c r="L607" s="154">
        <v>2.2189999999999999</v>
      </c>
      <c r="M607" s="154">
        <v>2.7370000000000001</v>
      </c>
      <c r="N607" s="154">
        <v>3.1890000000000001</v>
      </c>
      <c r="O607" s="108">
        <f t="shared" si="45"/>
        <v>0.41970569417786296</v>
      </c>
      <c r="P607" s="108">
        <f t="shared" si="46"/>
        <v>0.23343848580441651</v>
      </c>
      <c r="Q607" s="108">
        <f t="shared" si="47"/>
        <v>0.16514431859700407</v>
      </c>
      <c r="S607" s="109">
        <f t="shared" si="48"/>
        <v>1.0403071017274472</v>
      </c>
      <c r="T607" s="109">
        <f t="shared" si="49"/>
        <v>0.43713384407390721</v>
      </c>
    </row>
    <row r="608" spans="1:20">
      <c r="A608" s="154">
        <v>503</v>
      </c>
      <c r="B608" s="156">
        <v>902</v>
      </c>
      <c r="C608" s="133" t="s">
        <v>2895</v>
      </c>
      <c r="D608" s="155" t="s">
        <v>2324</v>
      </c>
      <c r="E608" s="154">
        <v>10</v>
      </c>
      <c r="F608" s="154">
        <v>7</v>
      </c>
      <c r="G608" s="154">
        <v>3</v>
      </c>
      <c r="H608" s="154">
        <v>0</v>
      </c>
      <c r="I608" s="154">
        <v>0</v>
      </c>
      <c r="J608" s="154">
        <v>0</v>
      </c>
      <c r="K608" s="154">
        <v>0.628</v>
      </c>
      <c r="L608" s="154">
        <v>0.63500000000000001</v>
      </c>
      <c r="M608" s="154">
        <v>0.76600000000000001</v>
      </c>
      <c r="N608" s="154">
        <v>0.91200000000000003</v>
      </c>
      <c r="O608" s="108">
        <f t="shared" si="45"/>
        <v>1.1146496815286566E-2</v>
      </c>
      <c r="P608" s="108">
        <f t="shared" si="46"/>
        <v>0.2062992125984251</v>
      </c>
      <c r="Q608" s="108">
        <f t="shared" si="47"/>
        <v>0.19060052219321144</v>
      </c>
      <c r="S608" s="109">
        <f t="shared" si="48"/>
        <v>0.45222929936305745</v>
      </c>
      <c r="T608" s="109">
        <f t="shared" si="49"/>
        <v>0.43622047244094486</v>
      </c>
    </row>
    <row r="609" spans="1:20">
      <c r="A609" s="154">
        <v>618</v>
      </c>
      <c r="B609" s="156">
        <v>878</v>
      </c>
      <c r="C609" s="133" t="s">
        <v>2896</v>
      </c>
      <c r="D609" s="155" t="s">
        <v>2324</v>
      </c>
      <c r="E609" s="154">
        <v>8</v>
      </c>
      <c r="F609" s="154">
        <v>4</v>
      </c>
      <c r="G609" s="154">
        <v>4</v>
      </c>
      <c r="H609" s="154">
        <v>0</v>
      </c>
      <c r="I609" s="154">
        <v>0</v>
      </c>
      <c r="J609" s="154">
        <v>0</v>
      </c>
      <c r="K609" s="154">
        <v>7.2999999999999995E-2</v>
      </c>
      <c r="L609" s="154">
        <v>0.438</v>
      </c>
      <c r="M609" s="154">
        <v>0.53700000000000003</v>
      </c>
      <c r="N609" s="154">
        <v>0.629</v>
      </c>
      <c r="O609" s="108">
        <f t="shared" si="45"/>
        <v>5</v>
      </c>
      <c r="P609" s="108">
        <f t="shared" si="46"/>
        <v>0.22602739726027399</v>
      </c>
      <c r="Q609" s="108">
        <f t="shared" si="47"/>
        <v>0.17132216014897583</v>
      </c>
      <c r="S609" s="109">
        <f t="shared" si="48"/>
        <v>7.6164383561643838</v>
      </c>
      <c r="T609" s="109">
        <f t="shared" si="49"/>
        <v>0.43607305936073071</v>
      </c>
    </row>
    <row r="610" spans="1:20">
      <c r="A610" s="154">
        <v>373</v>
      </c>
      <c r="B610" s="156">
        <v>600196</v>
      </c>
      <c r="C610" s="133" t="s">
        <v>2897</v>
      </c>
      <c r="D610" s="155" t="s">
        <v>2324</v>
      </c>
      <c r="E610" s="154">
        <v>14</v>
      </c>
      <c r="F610" s="154">
        <v>14</v>
      </c>
      <c r="G610" s="154">
        <v>0</v>
      </c>
      <c r="H610" s="154">
        <v>0</v>
      </c>
      <c r="I610" s="154">
        <v>0</v>
      </c>
      <c r="J610" s="154">
        <v>0</v>
      </c>
      <c r="K610" s="154">
        <v>1.0569999999999999</v>
      </c>
      <c r="L610" s="154">
        <v>1.1839999999999999</v>
      </c>
      <c r="M610" s="154">
        <v>1.409</v>
      </c>
      <c r="N610" s="154">
        <v>1.7</v>
      </c>
      <c r="O610" s="108">
        <f t="shared" si="45"/>
        <v>0.12015137180700086</v>
      </c>
      <c r="P610" s="108">
        <f t="shared" si="46"/>
        <v>0.19003378378378377</v>
      </c>
      <c r="Q610" s="108">
        <f t="shared" si="47"/>
        <v>0.2065294535131299</v>
      </c>
      <c r="S610" s="109">
        <f t="shared" si="48"/>
        <v>0.60832544938505206</v>
      </c>
      <c r="T610" s="109">
        <f t="shared" si="49"/>
        <v>0.43581081081081074</v>
      </c>
    </row>
    <row r="611" spans="1:20">
      <c r="A611" s="154">
        <v>141</v>
      </c>
      <c r="B611" s="156">
        <v>2690</v>
      </c>
      <c r="C611" s="133" t="s">
        <v>2898</v>
      </c>
      <c r="D611" s="155" t="s">
        <v>2324</v>
      </c>
      <c r="E611" s="154">
        <v>26</v>
      </c>
      <c r="F611" s="154">
        <v>15</v>
      </c>
      <c r="G611" s="154">
        <v>11</v>
      </c>
      <c r="H611" s="154">
        <v>0</v>
      </c>
      <c r="I611" s="154">
        <v>0</v>
      </c>
      <c r="J611" s="154">
        <v>0</v>
      </c>
      <c r="K611" s="154">
        <v>0.66200000000000003</v>
      </c>
      <c r="L611" s="154">
        <v>0.81</v>
      </c>
      <c r="M611" s="154">
        <v>0.97</v>
      </c>
      <c r="N611" s="154">
        <v>1.1619999999999999</v>
      </c>
      <c r="O611" s="108">
        <f t="shared" si="45"/>
        <v>0.22356495468277937</v>
      </c>
      <c r="P611" s="108">
        <f t="shared" si="46"/>
        <v>0.19753086419753085</v>
      </c>
      <c r="Q611" s="108">
        <f t="shared" si="47"/>
        <v>0.19793814432989687</v>
      </c>
      <c r="S611" s="109">
        <f t="shared" si="48"/>
        <v>0.75528700906344381</v>
      </c>
      <c r="T611" s="109">
        <f t="shared" si="49"/>
        <v>0.43456790123456779</v>
      </c>
    </row>
    <row r="612" spans="1:20">
      <c r="A612" s="154">
        <v>274</v>
      </c>
      <c r="B612" s="156">
        <v>2126</v>
      </c>
      <c r="C612" s="133" t="s">
        <v>2899</v>
      </c>
      <c r="D612" s="155" t="s">
        <v>2324</v>
      </c>
      <c r="E612" s="154">
        <v>18</v>
      </c>
      <c r="F612" s="154">
        <v>15</v>
      </c>
      <c r="G612" s="154">
        <v>3</v>
      </c>
      <c r="H612" s="154">
        <v>0</v>
      </c>
      <c r="I612" s="154">
        <v>0</v>
      </c>
      <c r="J612" s="154">
        <v>0</v>
      </c>
      <c r="K612" s="154">
        <v>0.441</v>
      </c>
      <c r="L612" s="154">
        <v>0.435</v>
      </c>
      <c r="M612" s="154">
        <v>0.51200000000000001</v>
      </c>
      <c r="N612" s="154">
        <v>0.624</v>
      </c>
      <c r="O612" s="108">
        <f t="shared" si="45"/>
        <v>-1.3605442176870763E-2</v>
      </c>
      <c r="P612" s="108">
        <f t="shared" si="46"/>
        <v>0.17701149425287355</v>
      </c>
      <c r="Q612" s="108">
        <f t="shared" si="47"/>
        <v>0.21875</v>
      </c>
      <c r="S612" s="109">
        <f t="shared" si="48"/>
        <v>0.41496598639455784</v>
      </c>
      <c r="T612" s="109">
        <f t="shared" si="49"/>
        <v>0.43448275862068964</v>
      </c>
    </row>
    <row r="613" spans="1:20">
      <c r="A613" s="154">
        <v>386</v>
      </c>
      <c r="B613" s="156">
        <v>300118</v>
      </c>
      <c r="C613" s="133" t="s">
        <v>2900</v>
      </c>
      <c r="D613" s="155" t="s">
        <v>2324</v>
      </c>
      <c r="E613" s="154">
        <v>13</v>
      </c>
      <c r="F613" s="154">
        <v>7</v>
      </c>
      <c r="G613" s="154">
        <v>6</v>
      </c>
      <c r="H613" s="154">
        <v>0</v>
      </c>
      <c r="I613" s="154">
        <v>0</v>
      </c>
      <c r="J613" s="154">
        <v>0</v>
      </c>
      <c r="K613" s="154">
        <v>0.25800000000000001</v>
      </c>
      <c r="L613" s="154">
        <v>1.119</v>
      </c>
      <c r="M613" s="154">
        <v>1.31</v>
      </c>
      <c r="N613" s="154">
        <v>1.605</v>
      </c>
      <c r="O613" s="108">
        <f t="shared" si="45"/>
        <v>3.3372093023255811</v>
      </c>
      <c r="P613" s="108">
        <f t="shared" si="46"/>
        <v>0.17068811438784626</v>
      </c>
      <c r="Q613" s="108">
        <f t="shared" si="47"/>
        <v>0.22519083969465647</v>
      </c>
      <c r="S613" s="109">
        <f t="shared" si="48"/>
        <v>5.220930232558139</v>
      </c>
      <c r="T613" s="109">
        <f t="shared" si="49"/>
        <v>0.43431635388739953</v>
      </c>
    </row>
    <row r="614" spans="1:20">
      <c r="A614" s="154">
        <v>321</v>
      </c>
      <c r="B614" s="156">
        <v>300788</v>
      </c>
      <c r="C614" s="133" t="s">
        <v>2901</v>
      </c>
      <c r="D614" s="155" t="s">
        <v>2324</v>
      </c>
      <c r="E614" s="154">
        <v>15</v>
      </c>
      <c r="F614" s="154">
        <v>6</v>
      </c>
      <c r="G614" s="154">
        <v>9</v>
      </c>
      <c r="H614" s="154">
        <v>0</v>
      </c>
      <c r="I614" s="154">
        <v>0</v>
      </c>
      <c r="J614" s="154">
        <v>0</v>
      </c>
      <c r="K614" s="154">
        <v>1.087</v>
      </c>
      <c r="L614" s="154">
        <v>1.321</v>
      </c>
      <c r="M614" s="154">
        <v>1.593</v>
      </c>
      <c r="N614" s="154">
        <v>1.893</v>
      </c>
      <c r="O614" s="108">
        <f t="shared" si="45"/>
        <v>0.21527138914443422</v>
      </c>
      <c r="P614" s="108">
        <f t="shared" si="46"/>
        <v>0.20590461771385327</v>
      </c>
      <c r="Q614" s="108">
        <f t="shared" si="47"/>
        <v>0.18832391713747643</v>
      </c>
      <c r="S614" s="109">
        <f t="shared" si="48"/>
        <v>0.74149034038638462</v>
      </c>
      <c r="T614" s="109">
        <f t="shared" si="49"/>
        <v>0.43300529901589702</v>
      </c>
    </row>
    <row r="615" spans="1:20">
      <c r="A615" s="154">
        <v>265</v>
      </c>
      <c r="B615" s="156">
        <v>2223</v>
      </c>
      <c r="C615" s="133" t="s">
        <v>2902</v>
      </c>
      <c r="D615" s="155" t="s">
        <v>2324</v>
      </c>
      <c r="E615" s="154">
        <v>18</v>
      </c>
      <c r="F615" s="154">
        <v>13</v>
      </c>
      <c r="G615" s="154">
        <v>5</v>
      </c>
      <c r="H615" s="154">
        <v>0</v>
      </c>
      <c r="I615" s="154">
        <v>0</v>
      </c>
      <c r="J615" s="154">
        <v>0</v>
      </c>
      <c r="K615" s="154">
        <v>0.72499999999999998</v>
      </c>
      <c r="L615" s="154">
        <v>0.85499999999999998</v>
      </c>
      <c r="M615" s="154">
        <v>1.02</v>
      </c>
      <c r="N615" s="154">
        <v>1.2250000000000001</v>
      </c>
      <c r="O615" s="108">
        <f t="shared" si="45"/>
        <v>0.17931034482758612</v>
      </c>
      <c r="P615" s="108">
        <f t="shared" si="46"/>
        <v>0.19298245614035103</v>
      </c>
      <c r="Q615" s="108">
        <f t="shared" si="47"/>
        <v>0.20098039215686292</v>
      </c>
      <c r="S615" s="109">
        <f t="shared" si="48"/>
        <v>0.68965517241379337</v>
      </c>
      <c r="T615" s="109">
        <f t="shared" si="49"/>
        <v>0.43274853801169599</v>
      </c>
    </row>
    <row r="616" spans="1:20">
      <c r="A616" s="154">
        <v>799</v>
      </c>
      <c r="B616" s="156">
        <v>603385</v>
      </c>
      <c r="C616" s="133" t="s">
        <v>2903</v>
      </c>
      <c r="D616" s="155" t="s">
        <v>2324</v>
      </c>
      <c r="E616" s="154">
        <v>5</v>
      </c>
      <c r="F616" s="154">
        <v>3</v>
      </c>
      <c r="G616" s="154">
        <v>2</v>
      </c>
      <c r="H616" s="154">
        <v>0</v>
      </c>
      <c r="I616" s="154">
        <v>0</v>
      </c>
      <c r="J616" s="154">
        <v>0</v>
      </c>
      <c r="K616" s="154">
        <v>0.64600000000000002</v>
      </c>
      <c r="L616" s="154">
        <v>0.76300000000000001</v>
      </c>
      <c r="M616" s="154">
        <v>0.91500000000000004</v>
      </c>
      <c r="N616" s="154">
        <v>1.093</v>
      </c>
      <c r="O616" s="108">
        <f t="shared" si="45"/>
        <v>0.18111455108359142</v>
      </c>
      <c r="P616" s="108">
        <f t="shared" si="46"/>
        <v>0.19921363040629103</v>
      </c>
      <c r="Q616" s="108">
        <f t="shared" si="47"/>
        <v>0.19453551912568301</v>
      </c>
      <c r="S616" s="109">
        <f t="shared" si="48"/>
        <v>0.69195046439628483</v>
      </c>
      <c r="T616" s="109">
        <f t="shared" si="49"/>
        <v>0.43250327653997367</v>
      </c>
    </row>
    <row r="617" spans="1:20">
      <c r="A617" s="154">
        <v>807</v>
      </c>
      <c r="B617" s="156">
        <v>603385</v>
      </c>
      <c r="C617" s="133" t="s">
        <v>2903</v>
      </c>
      <c r="D617" s="155" t="s">
        <v>2324</v>
      </c>
      <c r="E617" s="154">
        <v>5</v>
      </c>
      <c r="F617" s="154">
        <v>3</v>
      </c>
      <c r="G617" s="154">
        <v>2</v>
      </c>
      <c r="H617" s="154">
        <v>0</v>
      </c>
      <c r="I617" s="154">
        <v>0</v>
      </c>
      <c r="J617" s="154">
        <v>0</v>
      </c>
      <c r="K617" s="154">
        <v>0.64600000000000002</v>
      </c>
      <c r="L617" s="154">
        <v>0.76300000000000001</v>
      </c>
      <c r="M617" s="154">
        <v>0.91500000000000004</v>
      </c>
      <c r="N617" s="154">
        <v>1.093</v>
      </c>
      <c r="O617" s="108">
        <f t="shared" si="45"/>
        <v>0.18111455108359142</v>
      </c>
      <c r="P617" s="108">
        <f t="shared" si="46"/>
        <v>0.19921363040629103</v>
      </c>
      <c r="Q617" s="108">
        <f t="shared" si="47"/>
        <v>0.19453551912568301</v>
      </c>
      <c r="S617" s="109">
        <f t="shared" si="48"/>
        <v>0.69195046439628483</v>
      </c>
      <c r="T617" s="109">
        <f t="shared" si="49"/>
        <v>0.43250327653997367</v>
      </c>
    </row>
    <row r="618" spans="1:20">
      <c r="A618" s="154">
        <v>924</v>
      </c>
      <c r="B618" s="156">
        <v>300495</v>
      </c>
      <c r="C618" s="133" t="s">
        <v>2904</v>
      </c>
      <c r="D618" s="155" t="s">
        <v>2324</v>
      </c>
      <c r="E618" s="154">
        <v>4</v>
      </c>
      <c r="F618" s="154">
        <v>3</v>
      </c>
      <c r="G618" s="154">
        <v>1</v>
      </c>
      <c r="H618" s="154">
        <v>0</v>
      </c>
      <c r="I618" s="154">
        <v>0</v>
      </c>
      <c r="J618" s="154">
        <v>0</v>
      </c>
      <c r="K618" s="154">
        <v>0.57399999999999995</v>
      </c>
      <c r="L618" s="154">
        <v>0.68300000000000005</v>
      </c>
      <c r="M618" s="154">
        <v>0.82099999999999995</v>
      </c>
      <c r="N618" s="154">
        <v>0.97799999999999998</v>
      </c>
      <c r="O618" s="108">
        <f t="shared" si="45"/>
        <v>0.18989547038327537</v>
      </c>
      <c r="P618" s="108">
        <f t="shared" si="46"/>
        <v>0.20204978038067334</v>
      </c>
      <c r="Q618" s="108">
        <f t="shared" si="47"/>
        <v>0.19123020706455551</v>
      </c>
      <c r="S618" s="109">
        <f t="shared" si="48"/>
        <v>0.70383275261324041</v>
      </c>
      <c r="T618" s="109">
        <f t="shared" si="49"/>
        <v>0.43191800878477293</v>
      </c>
    </row>
    <row r="619" spans="1:20">
      <c r="A619" s="154">
        <v>830</v>
      </c>
      <c r="B619" s="156">
        <v>300398</v>
      </c>
      <c r="C619" s="133" t="s">
        <v>2905</v>
      </c>
      <c r="D619" s="155" t="s">
        <v>2324</v>
      </c>
      <c r="E619" s="154">
        <v>5</v>
      </c>
      <c r="F619" s="154">
        <v>2</v>
      </c>
      <c r="G619" s="154">
        <v>3</v>
      </c>
      <c r="H619" s="154">
        <v>0</v>
      </c>
      <c r="I619" s="154">
        <v>0</v>
      </c>
      <c r="J619" s="154">
        <v>0</v>
      </c>
      <c r="K619" s="154">
        <v>0.54900000000000004</v>
      </c>
      <c r="L619" s="154">
        <v>0.54200000000000004</v>
      </c>
      <c r="M619" s="154">
        <v>0.66700000000000004</v>
      </c>
      <c r="N619" s="154">
        <v>0.77600000000000002</v>
      </c>
      <c r="O619" s="108">
        <f t="shared" si="45"/>
        <v>-1.2750455373406244E-2</v>
      </c>
      <c r="P619" s="108">
        <f t="shared" si="46"/>
        <v>0.2306273062730626</v>
      </c>
      <c r="Q619" s="108">
        <f t="shared" si="47"/>
        <v>0.16341829085457271</v>
      </c>
      <c r="S619" s="109">
        <f t="shared" si="48"/>
        <v>0.41347905282331499</v>
      </c>
      <c r="T619" s="109">
        <f t="shared" si="49"/>
        <v>0.43173431734317336</v>
      </c>
    </row>
    <row r="620" spans="1:20">
      <c r="A620" s="154">
        <v>785</v>
      </c>
      <c r="B620" s="156">
        <v>582</v>
      </c>
      <c r="C620" s="133" t="s">
        <v>2906</v>
      </c>
      <c r="D620" s="155" t="s">
        <v>2324</v>
      </c>
      <c r="E620" s="154">
        <v>5</v>
      </c>
      <c r="F620" s="154">
        <v>4</v>
      </c>
      <c r="G620" s="154">
        <v>1</v>
      </c>
      <c r="H620" s="154">
        <v>0</v>
      </c>
      <c r="I620" s="154">
        <v>0</v>
      </c>
      <c r="J620" s="154">
        <v>0</v>
      </c>
      <c r="K620" s="154">
        <v>0.39500000000000002</v>
      </c>
      <c r="L620" s="154">
        <v>0.55200000000000005</v>
      </c>
      <c r="M620" s="154">
        <v>0.67100000000000004</v>
      </c>
      <c r="N620" s="154">
        <v>0.79</v>
      </c>
      <c r="O620" s="108">
        <f t="shared" si="45"/>
        <v>0.39746835443037987</v>
      </c>
      <c r="P620" s="108">
        <f t="shared" si="46"/>
        <v>0.21557971014492749</v>
      </c>
      <c r="Q620" s="108">
        <f t="shared" si="47"/>
        <v>0.17734724292101345</v>
      </c>
      <c r="S620" s="109">
        <f t="shared" si="48"/>
        <v>1</v>
      </c>
      <c r="T620" s="109">
        <f t="shared" si="49"/>
        <v>0.43115942028985499</v>
      </c>
    </row>
    <row r="621" spans="1:20">
      <c r="A621" s="154">
        <v>627</v>
      </c>
      <c r="B621" s="156">
        <v>600217</v>
      </c>
      <c r="C621" s="133" t="s">
        <v>2907</v>
      </c>
      <c r="D621" s="155" t="s">
        <v>2324</v>
      </c>
      <c r="E621" s="154">
        <v>7</v>
      </c>
      <c r="F621" s="154">
        <v>4</v>
      </c>
      <c r="G621" s="154">
        <v>3</v>
      </c>
      <c r="H621" s="154">
        <v>0</v>
      </c>
      <c r="I621" s="154">
        <v>0</v>
      </c>
      <c r="J621" s="154">
        <v>0</v>
      </c>
      <c r="K621" s="154">
        <v>0.22800000000000001</v>
      </c>
      <c r="L621" s="154">
        <v>0.28799999999999998</v>
      </c>
      <c r="M621" s="154">
        <v>0.34799999999999998</v>
      </c>
      <c r="N621" s="154">
        <v>0.41199999999999998</v>
      </c>
      <c r="O621" s="108">
        <f t="shared" si="45"/>
        <v>0.26315789473684204</v>
      </c>
      <c r="P621" s="108">
        <f t="shared" si="46"/>
        <v>0.20833333333333326</v>
      </c>
      <c r="Q621" s="108">
        <f t="shared" si="47"/>
        <v>0.18390804597701149</v>
      </c>
      <c r="S621" s="109">
        <f t="shared" si="48"/>
        <v>0.80701754385964897</v>
      </c>
      <c r="T621" s="109">
        <f t="shared" si="49"/>
        <v>0.43055555555555558</v>
      </c>
    </row>
    <row r="622" spans="1:20">
      <c r="A622" s="154">
        <v>904</v>
      </c>
      <c r="B622" s="156">
        <v>603586</v>
      </c>
      <c r="C622" s="133" t="s">
        <v>2908</v>
      </c>
      <c r="D622" s="155" t="s">
        <v>2324</v>
      </c>
      <c r="E622" s="154">
        <v>4</v>
      </c>
      <c r="F622" s="154">
        <v>0</v>
      </c>
      <c r="G622" s="154">
        <v>4</v>
      </c>
      <c r="H622" s="154">
        <v>0</v>
      </c>
      <c r="I622" s="154">
        <v>0</v>
      </c>
      <c r="J622" s="154">
        <v>0</v>
      </c>
      <c r="K622" s="154">
        <v>0.434</v>
      </c>
      <c r="L622" s="154">
        <v>1.04</v>
      </c>
      <c r="M622" s="154">
        <v>1.2470000000000001</v>
      </c>
      <c r="N622" s="154">
        <v>1.4870000000000001</v>
      </c>
      <c r="O622" s="108">
        <f t="shared" si="45"/>
        <v>1.3963133640552998</v>
      </c>
      <c r="P622" s="108">
        <f t="shared" si="46"/>
        <v>0.1990384615384615</v>
      </c>
      <c r="Q622" s="108">
        <f t="shared" si="47"/>
        <v>0.19246190858059342</v>
      </c>
      <c r="S622" s="109">
        <f t="shared" si="48"/>
        <v>2.4262672811059911</v>
      </c>
      <c r="T622" s="109">
        <f t="shared" si="49"/>
        <v>0.42980769230769234</v>
      </c>
    </row>
    <row r="623" spans="1:20">
      <c r="A623" s="154">
        <v>976</v>
      </c>
      <c r="B623" s="156">
        <v>600765</v>
      </c>
      <c r="C623" s="133" t="s">
        <v>2909</v>
      </c>
      <c r="D623" s="155" t="s">
        <v>2324</v>
      </c>
      <c r="E623" s="154">
        <v>3</v>
      </c>
      <c r="F623" s="154">
        <v>3</v>
      </c>
      <c r="G623" s="154">
        <v>0</v>
      </c>
      <c r="H623" s="154">
        <v>0</v>
      </c>
      <c r="I623" s="154">
        <v>0</v>
      </c>
      <c r="J623" s="154">
        <v>0</v>
      </c>
      <c r="K623" s="154">
        <v>0.35699999999999998</v>
      </c>
      <c r="L623" s="154">
        <v>0.41499999999999998</v>
      </c>
      <c r="M623" s="154">
        <v>0.503</v>
      </c>
      <c r="N623" s="154">
        <v>0.59299999999999997</v>
      </c>
      <c r="O623" s="108">
        <f t="shared" si="45"/>
        <v>0.16246498599439785</v>
      </c>
      <c r="P623" s="108">
        <f t="shared" si="46"/>
        <v>0.21204819277108444</v>
      </c>
      <c r="Q623" s="108">
        <f t="shared" si="47"/>
        <v>0.17892644135188851</v>
      </c>
      <c r="S623" s="109">
        <f t="shared" si="48"/>
        <v>0.66106442577030822</v>
      </c>
      <c r="T623" s="109">
        <f t="shared" si="49"/>
        <v>0.42891566265060233</v>
      </c>
    </row>
    <row r="624" spans="1:20">
      <c r="A624" s="154">
        <v>164</v>
      </c>
      <c r="B624" s="156">
        <v>601128</v>
      </c>
      <c r="C624" s="133" t="s">
        <v>2910</v>
      </c>
      <c r="D624" s="155" t="s">
        <v>2324</v>
      </c>
      <c r="E624" s="154">
        <v>24</v>
      </c>
      <c r="F624" s="154">
        <v>14</v>
      </c>
      <c r="G624" s="154">
        <v>10</v>
      </c>
      <c r="H624" s="154">
        <v>0</v>
      </c>
      <c r="I624" s="154">
        <v>0</v>
      </c>
      <c r="J624" s="154">
        <v>0</v>
      </c>
      <c r="K624" s="154">
        <v>0.54200000000000004</v>
      </c>
      <c r="L624" s="154">
        <v>0.65700000000000003</v>
      </c>
      <c r="M624" s="154">
        <v>0.78900000000000003</v>
      </c>
      <c r="N624" s="154">
        <v>0.93799999999999994</v>
      </c>
      <c r="O624" s="108">
        <f t="shared" si="45"/>
        <v>0.21217712177121761</v>
      </c>
      <c r="P624" s="108">
        <f t="shared" si="46"/>
        <v>0.20091324200913241</v>
      </c>
      <c r="Q624" s="108">
        <f t="shared" si="47"/>
        <v>0.18884664131812401</v>
      </c>
      <c r="S624" s="109">
        <f t="shared" si="48"/>
        <v>0.7306273062730626</v>
      </c>
      <c r="T624" s="109">
        <f t="shared" si="49"/>
        <v>0.42770167427701655</v>
      </c>
    </row>
    <row r="625" spans="1:20">
      <c r="A625" s="154">
        <v>262</v>
      </c>
      <c r="B625" s="156">
        <v>601021</v>
      </c>
      <c r="C625" s="133" t="s">
        <v>2911</v>
      </c>
      <c r="D625" s="155" t="s">
        <v>2324</v>
      </c>
      <c r="E625" s="154">
        <v>18</v>
      </c>
      <c r="F625" s="154">
        <v>8</v>
      </c>
      <c r="G625" s="154">
        <v>9</v>
      </c>
      <c r="H625" s="154">
        <v>1</v>
      </c>
      <c r="I625" s="154">
        <v>0</v>
      </c>
      <c r="J625" s="154">
        <v>0</v>
      </c>
      <c r="K625" s="154">
        <v>1.639</v>
      </c>
      <c r="L625" s="154">
        <v>2.0179999999999998</v>
      </c>
      <c r="M625" s="154">
        <v>2.444</v>
      </c>
      <c r="N625" s="154">
        <v>2.8809999999999998</v>
      </c>
      <c r="O625" s="108">
        <f t="shared" si="45"/>
        <v>0.23123856009762034</v>
      </c>
      <c r="P625" s="108">
        <f t="shared" si="46"/>
        <v>0.21110009910802785</v>
      </c>
      <c r="Q625" s="108">
        <f t="shared" si="47"/>
        <v>0.1788052373158755</v>
      </c>
      <c r="S625" s="109">
        <f t="shared" si="48"/>
        <v>0.75777913361805971</v>
      </c>
      <c r="T625" s="109">
        <f t="shared" si="49"/>
        <v>0.42765113974231928</v>
      </c>
    </row>
    <row r="626" spans="1:20">
      <c r="A626" s="154">
        <v>140</v>
      </c>
      <c r="B626" s="156">
        <v>603866</v>
      </c>
      <c r="C626" s="133" t="s">
        <v>2912</v>
      </c>
      <c r="D626" s="155" t="s">
        <v>2324</v>
      </c>
      <c r="E626" s="154">
        <v>26</v>
      </c>
      <c r="F626" s="154">
        <v>11</v>
      </c>
      <c r="G626" s="154">
        <v>15</v>
      </c>
      <c r="H626" s="154">
        <v>0</v>
      </c>
      <c r="I626" s="154">
        <v>0</v>
      </c>
      <c r="J626" s="154">
        <v>0</v>
      </c>
      <c r="K626" s="154">
        <v>0.97499999999999998</v>
      </c>
      <c r="L626" s="154">
        <v>1.085</v>
      </c>
      <c r="M626" s="154">
        <v>1.292</v>
      </c>
      <c r="N626" s="154">
        <v>1.5489999999999999</v>
      </c>
      <c r="O626" s="108">
        <f t="shared" si="45"/>
        <v>0.11282051282051286</v>
      </c>
      <c r="P626" s="108">
        <f t="shared" si="46"/>
        <v>0.19078341013824884</v>
      </c>
      <c r="Q626" s="108">
        <f t="shared" si="47"/>
        <v>0.1989164086687305</v>
      </c>
      <c r="S626" s="109">
        <f t="shared" si="48"/>
        <v>0.58871794871794858</v>
      </c>
      <c r="T626" s="109">
        <f t="shared" si="49"/>
        <v>0.42764976958525347</v>
      </c>
    </row>
    <row r="627" spans="1:20">
      <c r="A627" s="154">
        <v>127</v>
      </c>
      <c r="B627" s="156">
        <v>600406</v>
      </c>
      <c r="C627" s="133" t="s">
        <v>2913</v>
      </c>
      <c r="D627" s="155" t="s">
        <v>2324</v>
      </c>
      <c r="E627" s="154">
        <v>28</v>
      </c>
      <c r="F627" s="154">
        <v>23</v>
      </c>
      <c r="G627" s="154">
        <v>5</v>
      </c>
      <c r="H627" s="154">
        <v>0</v>
      </c>
      <c r="I627" s="154">
        <v>0</v>
      </c>
      <c r="J627" s="154">
        <v>0</v>
      </c>
      <c r="K627" s="154">
        <v>0.9</v>
      </c>
      <c r="L627" s="154">
        <v>0.95799999999999996</v>
      </c>
      <c r="M627" s="154">
        <v>1.159</v>
      </c>
      <c r="N627" s="154">
        <v>1.367</v>
      </c>
      <c r="O627" s="108">
        <f t="shared" si="45"/>
        <v>6.4444444444444304E-2</v>
      </c>
      <c r="P627" s="108">
        <f t="shared" si="46"/>
        <v>0.20981210855949906</v>
      </c>
      <c r="Q627" s="108">
        <f t="shared" si="47"/>
        <v>0.17946505608282992</v>
      </c>
      <c r="S627" s="109">
        <f t="shared" si="48"/>
        <v>0.51888888888888873</v>
      </c>
      <c r="T627" s="109">
        <f t="shared" si="49"/>
        <v>0.42693110647181642</v>
      </c>
    </row>
    <row r="628" spans="1:20">
      <c r="A628" s="154">
        <v>330</v>
      </c>
      <c r="B628" s="156">
        <v>2142</v>
      </c>
      <c r="C628" s="133" t="s">
        <v>744</v>
      </c>
      <c r="D628" s="155" t="s">
        <v>2324</v>
      </c>
      <c r="E628" s="154">
        <v>15</v>
      </c>
      <c r="F628" s="154">
        <v>9</v>
      </c>
      <c r="G628" s="154">
        <v>6</v>
      </c>
      <c r="H628" s="154">
        <v>0</v>
      </c>
      <c r="I628" s="154">
        <v>0</v>
      </c>
      <c r="J628" s="154">
        <v>0</v>
      </c>
      <c r="K628" s="154">
        <v>1.988</v>
      </c>
      <c r="L628" s="154">
        <v>2.3420000000000001</v>
      </c>
      <c r="M628" s="154">
        <v>2.778</v>
      </c>
      <c r="N628" s="154">
        <v>3.3410000000000002</v>
      </c>
      <c r="O628" s="108">
        <f t="shared" si="45"/>
        <v>0.17806841046277677</v>
      </c>
      <c r="P628" s="108">
        <f t="shared" si="46"/>
        <v>0.18616567036720744</v>
      </c>
      <c r="Q628" s="108">
        <f t="shared" si="47"/>
        <v>0.20266378689704823</v>
      </c>
      <c r="S628" s="109">
        <f t="shared" si="48"/>
        <v>0.68058350100603637</v>
      </c>
      <c r="T628" s="109">
        <f t="shared" si="49"/>
        <v>0.4265584970111016</v>
      </c>
    </row>
    <row r="629" spans="1:20">
      <c r="A629" s="154">
        <v>568</v>
      </c>
      <c r="B629" s="156">
        <v>603103</v>
      </c>
      <c r="C629" s="133" t="s">
        <v>2914</v>
      </c>
      <c r="D629" s="155" t="s">
        <v>2324</v>
      </c>
      <c r="E629" s="154">
        <v>8</v>
      </c>
      <c r="F629" s="154">
        <v>5</v>
      </c>
      <c r="G629" s="154">
        <v>1</v>
      </c>
      <c r="H629" s="154">
        <v>2</v>
      </c>
      <c r="I629" s="154">
        <v>0</v>
      </c>
      <c r="J629" s="154">
        <v>0</v>
      </c>
      <c r="K629" s="154">
        <v>0.50600000000000001</v>
      </c>
      <c r="L629" s="154">
        <v>0.495</v>
      </c>
      <c r="M629" s="154">
        <v>0.58599999999999997</v>
      </c>
      <c r="N629" s="154">
        <v>0.70599999999999996</v>
      </c>
      <c r="O629" s="108">
        <f t="shared" si="45"/>
        <v>-2.1739130434782594E-2</v>
      </c>
      <c r="P629" s="108">
        <f t="shared" si="46"/>
        <v>0.18383838383838369</v>
      </c>
      <c r="Q629" s="108">
        <f t="shared" si="47"/>
        <v>0.20477815699658697</v>
      </c>
      <c r="S629" s="109">
        <f t="shared" si="48"/>
        <v>0.39525691699604737</v>
      </c>
      <c r="T629" s="109">
        <f t="shared" si="49"/>
        <v>0.42626262626262612</v>
      </c>
    </row>
    <row r="630" spans="1:20">
      <c r="A630" s="154">
        <v>58</v>
      </c>
      <c r="B630" s="156">
        <v>603517</v>
      </c>
      <c r="C630" s="133" t="s">
        <v>2915</v>
      </c>
      <c r="D630" s="155" t="s">
        <v>2324</v>
      </c>
      <c r="E630" s="154">
        <v>37</v>
      </c>
      <c r="F630" s="154">
        <v>27</v>
      </c>
      <c r="G630" s="154">
        <v>10</v>
      </c>
      <c r="H630" s="154">
        <v>0</v>
      </c>
      <c r="I630" s="154">
        <v>0</v>
      </c>
      <c r="J630" s="154">
        <v>0</v>
      </c>
      <c r="K630" s="154">
        <v>1.0529999999999999</v>
      </c>
      <c r="L630" s="154">
        <v>1.304</v>
      </c>
      <c r="M630" s="154">
        <v>1.569</v>
      </c>
      <c r="N630" s="154">
        <v>1.859</v>
      </c>
      <c r="O630" s="108">
        <f t="shared" si="45"/>
        <v>0.23836657169990505</v>
      </c>
      <c r="P630" s="108">
        <f t="shared" si="46"/>
        <v>0.2032208588957054</v>
      </c>
      <c r="Q630" s="108">
        <f t="shared" si="47"/>
        <v>0.18483110261312952</v>
      </c>
      <c r="S630" s="109">
        <f t="shared" si="48"/>
        <v>0.76543209876543217</v>
      </c>
      <c r="T630" s="109">
        <f t="shared" si="49"/>
        <v>0.42561349693251538</v>
      </c>
    </row>
    <row r="631" spans="1:20">
      <c r="A631" s="154">
        <v>253</v>
      </c>
      <c r="B631" s="156">
        <v>988</v>
      </c>
      <c r="C631" s="133" t="s">
        <v>2916</v>
      </c>
      <c r="D631" s="155" t="s">
        <v>2324</v>
      </c>
      <c r="E631" s="154">
        <v>19</v>
      </c>
      <c r="F631" s="154">
        <v>16</v>
      </c>
      <c r="G631" s="154">
        <v>3</v>
      </c>
      <c r="H631" s="154">
        <v>0</v>
      </c>
      <c r="I631" s="154">
        <v>0</v>
      </c>
      <c r="J631" s="154">
        <v>0</v>
      </c>
      <c r="K631" s="154">
        <v>0.28199999999999997</v>
      </c>
      <c r="L631" s="154">
        <v>0.52400000000000002</v>
      </c>
      <c r="M631" s="154">
        <v>0.60899999999999999</v>
      </c>
      <c r="N631" s="154">
        <v>0.747</v>
      </c>
      <c r="O631" s="108">
        <f t="shared" si="45"/>
        <v>0.85815602836879457</v>
      </c>
      <c r="P631" s="108">
        <f t="shared" si="46"/>
        <v>0.16221374045801529</v>
      </c>
      <c r="Q631" s="108">
        <f t="shared" si="47"/>
        <v>0.22660098522167482</v>
      </c>
      <c r="S631" s="109">
        <f t="shared" si="48"/>
        <v>1.6489361702127661</v>
      </c>
      <c r="T631" s="109">
        <f t="shared" si="49"/>
        <v>0.42557251908396942</v>
      </c>
    </row>
    <row r="632" spans="1:20">
      <c r="A632" s="154">
        <v>928</v>
      </c>
      <c r="B632" s="156">
        <v>2745</v>
      </c>
      <c r="C632" s="133" t="s">
        <v>2917</v>
      </c>
      <c r="D632" s="155" t="s">
        <v>2324</v>
      </c>
      <c r="E632" s="154">
        <v>4</v>
      </c>
      <c r="F632" s="154">
        <v>1</v>
      </c>
      <c r="G632" s="154">
        <v>3</v>
      </c>
      <c r="H632" s="154">
        <v>0</v>
      </c>
      <c r="I632" s="154">
        <v>0</v>
      </c>
      <c r="J632" s="154">
        <v>0</v>
      </c>
      <c r="K632" s="154">
        <v>0.56399999999999995</v>
      </c>
      <c r="L632" s="154">
        <v>0.67</v>
      </c>
      <c r="M632" s="154">
        <v>0.80900000000000005</v>
      </c>
      <c r="N632" s="154">
        <v>0.95499999999999996</v>
      </c>
      <c r="O632" s="108">
        <f t="shared" si="45"/>
        <v>0.18794326241134773</v>
      </c>
      <c r="P632" s="108">
        <f t="shared" si="46"/>
        <v>0.20746268656716427</v>
      </c>
      <c r="Q632" s="108">
        <f t="shared" si="47"/>
        <v>0.18046971569839299</v>
      </c>
      <c r="S632" s="109">
        <f t="shared" si="48"/>
        <v>0.69326241134751787</v>
      </c>
      <c r="T632" s="109">
        <f t="shared" si="49"/>
        <v>0.42537313432835799</v>
      </c>
    </row>
    <row r="633" spans="1:20">
      <c r="A633" s="154">
        <v>180</v>
      </c>
      <c r="B633" s="156">
        <v>31</v>
      </c>
      <c r="C633" s="133" t="s">
        <v>2918</v>
      </c>
      <c r="D633" s="155" t="s">
        <v>2324</v>
      </c>
      <c r="E633" s="154">
        <v>24</v>
      </c>
      <c r="F633" s="154">
        <v>21</v>
      </c>
      <c r="G633" s="154">
        <v>3</v>
      </c>
      <c r="H633" s="154">
        <v>0</v>
      </c>
      <c r="I633" s="154">
        <v>0</v>
      </c>
      <c r="J633" s="154">
        <v>0</v>
      </c>
      <c r="K633" s="154">
        <v>0.32400000000000001</v>
      </c>
      <c r="L633" s="154">
        <v>0.68</v>
      </c>
      <c r="M633" s="154">
        <v>0.81100000000000005</v>
      </c>
      <c r="N633" s="154">
        <v>0.96899999999999997</v>
      </c>
      <c r="O633" s="108">
        <f t="shared" si="45"/>
        <v>1.0987654320987654</v>
      </c>
      <c r="P633" s="108">
        <f t="shared" si="46"/>
        <v>0.19264705882352939</v>
      </c>
      <c r="Q633" s="108">
        <f t="shared" si="47"/>
        <v>0.19482120838471007</v>
      </c>
      <c r="S633" s="109">
        <f t="shared" si="48"/>
        <v>1.9907407407407405</v>
      </c>
      <c r="T633" s="109">
        <f t="shared" si="49"/>
        <v>0.42499999999999982</v>
      </c>
    </row>
    <row r="634" spans="1:20">
      <c r="A634" s="154">
        <v>422</v>
      </c>
      <c r="B634" s="156">
        <v>2171</v>
      </c>
      <c r="C634" s="133" t="s">
        <v>2919</v>
      </c>
      <c r="D634" s="155" t="s">
        <v>2324</v>
      </c>
      <c r="E634" s="154">
        <v>12</v>
      </c>
      <c r="F634" s="154">
        <v>3</v>
      </c>
      <c r="G634" s="154">
        <v>9</v>
      </c>
      <c r="H634" s="154">
        <v>0</v>
      </c>
      <c r="I634" s="154">
        <v>0</v>
      </c>
      <c r="J634" s="154">
        <v>0</v>
      </c>
      <c r="K634" s="154">
        <v>0.30599999999999999</v>
      </c>
      <c r="L634" s="154">
        <v>0.38500000000000001</v>
      </c>
      <c r="M634" s="154">
        <v>0.46899999999999997</v>
      </c>
      <c r="N634" s="154">
        <v>0.54800000000000004</v>
      </c>
      <c r="O634" s="108">
        <f t="shared" si="45"/>
        <v>0.25816993464052285</v>
      </c>
      <c r="P634" s="108">
        <f t="shared" si="46"/>
        <v>0.21818181818181803</v>
      </c>
      <c r="Q634" s="108">
        <f t="shared" si="47"/>
        <v>0.16844349680170589</v>
      </c>
      <c r="S634" s="109">
        <f t="shared" si="48"/>
        <v>0.79084967320261446</v>
      </c>
      <c r="T634" s="109">
        <f t="shared" si="49"/>
        <v>0.42337662337662341</v>
      </c>
    </row>
    <row r="635" spans="1:20">
      <c r="A635" s="154">
        <v>257</v>
      </c>
      <c r="B635" s="156">
        <v>66</v>
      </c>
      <c r="C635" s="133" t="s">
        <v>2920</v>
      </c>
      <c r="D635" s="155" t="s">
        <v>2324</v>
      </c>
      <c r="E635" s="154">
        <v>19</v>
      </c>
      <c r="F635" s="154">
        <v>12</v>
      </c>
      <c r="G635" s="154">
        <v>7</v>
      </c>
      <c r="H635" s="154">
        <v>0</v>
      </c>
      <c r="I635" s="154">
        <v>0</v>
      </c>
      <c r="J635" s="154">
        <v>0</v>
      </c>
      <c r="K635" s="154">
        <v>0.33700000000000002</v>
      </c>
      <c r="L635" s="154">
        <v>0.36899999999999999</v>
      </c>
      <c r="M635" s="154">
        <v>0.44700000000000001</v>
      </c>
      <c r="N635" s="154">
        <v>0.52400000000000002</v>
      </c>
      <c r="O635" s="108">
        <f t="shared" si="45"/>
        <v>9.4955489614243271E-2</v>
      </c>
      <c r="P635" s="108">
        <f t="shared" si="46"/>
        <v>0.21138211382113825</v>
      </c>
      <c r="Q635" s="108">
        <f t="shared" si="47"/>
        <v>0.17225950782997757</v>
      </c>
      <c r="S635" s="109">
        <f t="shared" si="48"/>
        <v>0.55489614243323437</v>
      </c>
      <c r="T635" s="109">
        <f t="shared" si="49"/>
        <v>0.4200542005420056</v>
      </c>
    </row>
    <row r="636" spans="1:20">
      <c r="A636" s="154">
        <v>37</v>
      </c>
      <c r="B636" s="156">
        <v>600309</v>
      </c>
      <c r="C636" s="133" t="s">
        <v>742</v>
      </c>
      <c r="D636" s="155" t="s">
        <v>2324</v>
      </c>
      <c r="E636" s="154">
        <v>43</v>
      </c>
      <c r="F636" s="154">
        <v>34</v>
      </c>
      <c r="G636" s="154">
        <v>9</v>
      </c>
      <c r="H636" s="154">
        <v>0</v>
      </c>
      <c r="I636" s="154">
        <v>0</v>
      </c>
      <c r="J636" s="154">
        <v>0</v>
      </c>
      <c r="K636" s="154">
        <v>3.379</v>
      </c>
      <c r="L636" s="154">
        <v>3.4710000000000001</v>
      </c>
      <c r="M636" s="154">
        <v>4.0789999999999997</v>
      </c>
      <c r="N636" s="154">
        <v>4.9290000000000003</v>
      </c>
      <c r="O636" s="108">
        <f t="shared" si="45"/>
        <v>2.7226990233796933E-2</v>
      </c>
      <c r="P636" s="108">
        <f t="shared" si="46"/>
        <v>0.17516565831172559</v>
      </c>
      <c r="Q636" s="108">
        <f t="shared" si="47"/>
        <v>0.20838440794312341</v>
      </c>
      <c r="S636" s="109">
        <f t="shared" si="48"/>
        <v>0.45871559633027537</v>
      </c>
      <c r="T636" s="109">
        <f t="shared" si="49"/>
        <v>0.42005185825410551</v>
      </c>
    </row>
    <row r="637" spans="1:20">
      <c r="A637" s="154">
        <v>944</v>
      </c>
      <c r="B637" s="156">
        <v>601996</v>
      </c>
      <c r="C637" s="133" t="s">
        <v>2921</v>
      </c>
      <c r="D637" s="155" t="s">
        <v>2324</v>
      </c>
      <c r="E637" s="154">
        <v>4</v>
      </c>
      <c r="F637" s="154">
        <v>3</v>
      </c>
      <c r="G637" s="154">
        <v>1</v>
      </c>
      <c r="H637" s="154">
        <v>0</v>
      </c>
      <c r="I637" s="154">
        <v>0</v>
      </c>
      <c r="J637" s="154">
        <v>0</v>
      </c>
      <c r="K637" s="154">
        <v>0.121</v>
      </c>
      <c r="L637" s="154">
        <v>0.15</v>
      </c>
      <c r="M637" s="154">
        <v>0.182</v>
      </c>
      <c r="N637" s="154">
        <v>0.21299999999999999</v>
      </c>
      <c r="O637" s="108">
        <f t="shared" si="45"/>
        <v>0.2396694214876034</v>
      </c>
      <c r="P637" s="108">
        <f t="shared" si="46"/>
        <v>0.21333333333333337</v>
      </c>
      <c r="Q637" s="108">
        <f t="shared" si="47"/>
        <v>0.17032967032967039</v>
      </c>
      <c r="S637" s="109">
        <f t="shared" si="48"/>
        <v>0.7603305785123966</v>
      </c>
      <c r="T637" s="109">
        <f t="shared" si="49"/>
        <v>0.41999999999999993</v>
      </c>
    </row>
    <row r="638" spans="1:20">
      <c r="A638" s="154">
        <v>951</v>
      </c>
      <c r="B638" s="156">
        <v>601996</v>
      </c>
      <c r="C638" s="133" t="s">
        <v>2921</v>
      </c>
      <c r="D638" s="155" t="s">
        <v>2324</v>
      </c>
      <c r="E638" s="154">
        <v>4</v>
      </c>
      <c r="F638" s="154">
        <v>3</v>
      </c>
      <c r="G638" s="154">
        <v>1</v>
      </c>
      <c r="H638" s="154">
        <v>0</v>
      </c>
      <c r="I638" s="154">
        <v>0</v>
      </c>
      <c r="J638" s="154">
        <v>0</v>
      </c>
      <c r="K638" s="154">
        <v>0.121</v>
      </c>
      <c r="L638" s="154">
        <v>0.15</v>
      </c>
      <c r="M638" s="154">
        <v>0.182</v>
      </c>
      <c r="N638" s="154">
        <v>0.21299999999999999</v>
      </c>
      <c r="O638" s="108">
        <f t="shared" si="45"/>
        <v>0.2396694214876034</v>
      </c>
      <c r="P638" s="108">
        <f t="shared" si="46"/>
        <v>0.21333333333333337</v>
      </c>
      <c r="Q638" s="108">
        <f t="shared" si="47"/>
        <v>0.17032967032967039</v>
      </c>
      <c r="S638" s="109">
        <f t="shared" si="48"/>
        <v>0.7603305785123966</v>
      </c>
      <c r="T638" s="109">
        <f t="shared" si="49"/>
        <v>0.41999999999999993</v>
      </c>
    </row>
    <row r="639" spans="1:20">
      <c r="A639" s="154">
        <v>743</v>
      </c>
      <c r="B639" s="156">
        <v>603599</v>
      </c>
      <c r="C639" s="133" t="s">
        <v>2922</v>
      </c>
      <c r="D639" s="155" t="s">
        <v>2324</v>
      </c>
      <c r="E639" s="154">
        <v>6</v>
      </c>
      <c r="F639" s="154">
        <v>3</v>
      </c>
      <c r="G639" s="154">
        <v>3</v>
      </c>
      <c r="H639" s="154">
        <v>0</v>
      </c>
      <c r="I639" s="154">
        <v>0</v>
      </c>
      <c r="J639" s="154">
        <v>0</v>
      </c>
      <c r="K639" s="154">
        <v>1.0089999999999999</v>
      </c>
      <c r="L639" s="154">
        <v>1.161</v>
      </c>
      <c r="M639" s="154">
        <v>1.423</v>
      </c>
      <c r="N639" s="154">
        <v>1.6479999999999999</v>
      </c>
      <c r="O639" s="108">
        <f t="shared" si="45"/>
        <v>0.15064420218037666</v>
      </c>
      <c r="P639" s="108">
        <f t="shared" si="46"/>
        <v>0.2256675279931093</v>
      </c>
      <c r="Q639" s="108">
        <f t="shared" si="47"/>
        <v>0.15811665495432181</v>
      </c>
      <c r="S639" s="109">
        <f t="shared" si="48"/>
        <v>0.63330029732408333</v>
      </c>
      <c r="T639" s="109">
        <f t="shared" si="49"/>
        <v>0.4194659776055123</v>
      </c>
    </row>
    <row r="640" spans="1:20">
      <c r="A640" s="154">
        <v>129</v>
      </c>
      <c r="B640" s="156">
        <v>603983</v>
      </c>
      <c r="C640" s="133" t="s">
        <v>2923</v>
      </c>
      <c r="D640" s="155" t="s">
        <v>2324</v>
      </c>
      <c r="E640" s="154">
        <v>27</v>
      </c>
      <c r="F640" s="154">
        <v>13</v>
      </c>
      <c r="G640" s="154">
        <v>14</v>
      </c>
      <c r="H640" s="154">
        <v>0</v>
      </c>
      <c r="I640" s="154">
        <v>0</v>
      </c>
      <c r="J640" s="154">
        <v>0</v>
      </c>
      <c r="K640" s="154">
        <v>1.036</v>
      </c>
      <c r="L640" s="154">
        <v>1.31</v>
      </c>
      <c r="M640" s="154">
        <v>1.56</v>
      </c>
      <c r="N640" s="154">
        <v>1.859</v>
      </c>
      <c r="O640" s="108">
        <f t="shared" si="45"/>
        <v>0.26447876447876451</v>
      </c>
      <c r="P640" s="108">
        <f t="shared" si="46"/>
        <v>0.19083969465648853</v>
      </c>
      <c r="Q640" s="108">
        <f t="shared" si="47"/>
        <v>0.19166666666666665</v>
      </c>
      <c r="S640" s="109">
        <f t="shared" si="48"/>
        <v>0.79440154440154442</v>
      </c>
      <c r="T640" s="109">
        <f t="shared" si="49"/>
        <v>0.41908396946564874</v>
      </c>
    </row>
    <row r="641" spans="1:20">
      <c r="A641" s="154">
        <v>362</v>
      </c>
      <c r="B641" s="156">
        <v>2621</v>
      </c>
      <c r="C641" s="133" t="s">
        <v>2924</v>
      </c>
      <c r="D641" s="155" t="s">
        <v>2324</v>
      </c>
      <c r="E641" s="154">
        <v>14</v>
      </c>
      <c r="F641" s="154">
        <v>7</v>
      </c>
      <c r="G641" s="154">
        <v>7</v>
      </c>
      <c r="H641" s="154">
        <v>0</v>
      </c>
      <c r="I641" s="154">
        <v>0</v>
      </c>
      <c r="J641" s="154">
        <v>0</v>
      </c>
      <c r="K641" s="154">
        <v>5.2999999999999999E-2</v>
      </c>
      <c r="L641" s="154">
        <v>0.27400000000000002</v>
      </c>
      <c r="M641" s="154">
        <v>0.314</v>
      </c>
      <c r="N641" s="154">
        <v>0.38800000000000001</v>
      </c>
      <c r="O641" s="108">
        <f t="shared" si="45"/>
        <v>4.1698113207547172</v>
      </c>
      <c r="P641" s="108">
        <f t="shared" si="46"/>
        <v>0.14598540145985384</v>
      </c>
      <c r="Q641" s="108">
        <f t="shared" si="47"/>
        <v>0.23566878980891715</v>
      </c>
      <c r="S641" s="109">
        <f t="shared" si="48"/>
        <v>6.3207547169811322</v>
      </c>
      <c r="T641" s="109">
        <f t="shared" si="49"/>
        <v>0.41605839416058377</v>
      </c>
    </row>
    <row r="642" spans="1:20">
      <c r="A642" s="154">
        <v>750</v>
      </c>
      <c r="B642" s="156">
        <v>2707</v>
      </c>
      <c r="C642" s="133" t="s">
        <v>1528</v>
      </c>
      <c r="D642" s="155" t="s">
        <v>2324</v>
      </c>
      <c r="E642" s="154">
        <v>6</v>
      </c>
      <c r="F642" s="154">
        <v>1</v>
      </c>
      <c r="G642" s="154">
        <v>5</v>
      </c>
      <c r="H642" s="154">
        <v>0</v>
      </c>
      <c r="I642" s="154">
        <v>0</v>
      </c>
      <c r="J642" s="154">
        <v>0</v>
      </c>
      <c r="K642" s="154">
        <v>2.7E-2</v>
      </c>
      <c r="L642" s="154">
        <v>0.251</v>
      </c>
      <c r="M642" s="154">
        <v>0.29899999999999999</v>
      </c>
      <c r="N642" s="154">
        <v>0.35499999999999998</v>
      </c>
      <c r="O642" s="108">
        <f t="shared" si="45"/>
        <v>8.2962962962962958</v>
      </c>
      <c r="P642" s="108">
        <f t="shared" si="46"/>
        <v>0.19123505976095623</v>
      </c>
      <c r="Q642" s="108">
        <f t="shared" si="47"/>
        <v>0.18729096989966565</v>
      </c>
      <c r="S642" s="109">
        <f t="shared" si="48"/>
        <v>12.148148148148147</v>
      </c>
      <c r="T642" s="109">
        <f t="shared" si="49"/>
        <v>0.41434262948207157</v>
      </c>
    </row>
    <row r="643" spans="1:20">
      <c r="A643" s="154">
        <v>553</v>
      </c>
      <c r="B643" s="156">
        <v>818</v>
      </c>
      <c r="C643" s="133" t="s">
        <v>2925</v>
      </c>
      <c r="D643" s="155" t="s">
        <v>2324</v>
      </c>
      <c r="E643" s="154">
        <v>8</v>
      </c>
      <c r="F643" s="154">
        <v>2</v>
      </c>
      <c r="G643" s="154">
        <v>6</v>
      </c>
      <c r="H643" s="154">
        <v>0</v>
      </c>
      <c r="I643" s="154">
        <v>0</v>
      </c>
      <c r="J643" s="154">
        <v>0</v>
      </c>
      <c r="K643" s="154">
        <v>0.73</v>
      </c>
      <c r="L643" s="154">
        <v>0.68100000000000005</v>
      </c>
      <c r="M643" s="154">
        <v>0.80500000000000005</v>
      </c>
      <c r="N643" s="154">
        <v>0.96299999999999997</v>
      </c>
      <c r="O643" s="108">
        <f t="shared" ref="O643:O706" si="50">L643/K643-1</f>
        <v>-6.7123287671232768E-2</v>
      </c>
      <c r="P643" s="108">
        <f t="shared" ref="P643:P706" si="51">M643/L643-1</f>
        <v>0.18208516886930992</v>
      </c>
      <c r="Q643" s="108">
        <f t="shared" ref="Q643:Q706" si="52">N643/M643-1</f>
        <v>0.19627329192546572</v>
      </c>
      <c r="S643" s="109">
        <f t="shared" ref="S643:S706" si="53">N643/K643-1</f>
        <v>0.3191780821917809</v>
      </c>
      <c r="T643" s="109">
        <f t="shared" ref="T643:T706" si="54">N643/L643-1</f>
        <v>0.41409691629955936</v>
      </c>
    </row>
    <row r="644" spans="1:20">
      <c r="A644" s="154">
        <v>590</v>
      </c>
      <c r="B644" s="156">
        <v>603008</v>
      </c>
      <c r="C644" s="133" t="s">
        <v>2926</v>
      </c>
      <c r="D644" s="155" t="s">
        <v>2324</v>
      </c>
      <c r="E644" s="154">
        <v>8</v>
      </c>
      <c r="F644" s="154">
        <v>5</v>
      </c>
      <c r="G644" s="154">
        <v>3</v>
      </c>
      <c r="H644" s="154">
        <v>0</v>
      </c>
      <c r="I644" s="154">
        <v>0</v>
      </c>
      <c r="J644" s="154">
        <v>0</v>
      </c>
      <c r="K644" s="154">
        <v>-1.121</v>
      </c>
      <c r="L644" s="154">
        <v>0.98699999999999999</v>
      </c>
      <c r="M644" s="154">
        <v>1.1579999999999999</v>
      </c>
      <c r="N644" s="154">
        <v>1.395</v>
      </c>
      <c r="O644" s="108">
        <f t="shared" si="50"/>
        <v>-1.8804638715432649</v>
      </c>
      <c r="P644" s="108">
        <f t="shared" si="51"/>
        <v>0.17325227963525824</v>
      </c>
      <c r="Q644" s="108">
        <f t="shared" si="52"/>
        <v>0.20466321243523322</v>
      </c>
      <c r="S644" s="109">
        <f t="shared" si="53"/>
        <v>-2.2444246208742196</v>
      </c>
      <c r="T644" s="109">
        <f t="shared" si="54"/>
        <v>0.41337386018237088</v>
      </c>
    </row>
    <row r="645" spans="1:20">
      <c r="A645" s="154">
        <v>88</v>
      </c>
      <c r="B645" s="156">
        <v>300258</v>
      </c>
      <c r="C645" s="133" t="s">
        <v>2927</v>
      </c>
      <c r="D645" s="155" t="s">
        <v>2324</v>
      </c>
      <c r="E645" s="154">
        <v>32</v>
      </c>
      <c r="F645" s="154">
        <v>16</v>
      </c>
      <c r="G645" s="154">
        <v>16</v>
      </c>
      <c r="H645" s="154">
        <v>0</v>
      </c>
      <c r="I645" s="154">
        <v>0</v>
      </c>
      <c r="J645" s="154">
        <v>0</v>
      </c>
      <c r="K645" s="154">
        <v>0.63900000000000001</v>
      </c>
      <c r="L645" s="154">
        <v>0.59599999999999997</v>
      </c>
      <c r="M645" s="154">
        <v>0.72399999999999998</v>
      </c>
      <c r="N645" s="154">
        <v>0.84199999999999997</v>
      </c>
      <c r="O645" s="108">
        <f t="shared" si="50"/>
        <v>-6.7292644757433573E-2</v>
      </c>
      <c r="P645" s="108">
        <f t="shared" si="51"/>
        <v>0.21476510067114085</v>
      </c>
      <c r="Q645" s="108">
        <f t="shared" si="52"/>
        <v>0.16298342541436472</v>
      </c>
      <c r="S645" s="109">
        <f t="shared" si="53"/>
        <v>0.31768388106416268</v>
      </c>
      <c r="T645" s="109">
        <f t="shared" si="54"/>
        <v>0.41275167785234901</v>
      </c>
    </row>
    <row r="646" spans="1:20">
      <c r="A646" s="154">
        <v>835</v>
      </c>
      <c r="B646" s="156">
        <v>300170</v>
      </c>
      <c r="C646" s="133" t="s">
        <v>2928</v>
      </c>
      <c r="D646" s="155" t="s">
        <v>2324</v>
      </c>
      <c r="E646" s="154">
        <v>5</v>
      </c>
      <c r="F646" s="154">
        <v>4</v>
      </c>
      <c r="G646" s="154">
        <v>1</v>
      </c>
      <c r="H646" s="154">
        <v>0</v>
      </c>
      <c r="I646" s="154">
        <v>0</v>
      </c>
      <c r="J646" s="154">
        <v>0</v>
      </c>
      <c r="K646" s="154">
        <v>0.438</v>
      </c>
      <c r="L646" s="154">
        <v>0.504</v>
      </c>
      <c r="M646" s="154">
        <v>0.59599999999999997</v>
      </c>
      <c r="N646" s="154">
        <v>0.71199999999999997</v>
      </c>
      <c r="O646" s="108">
        <f t="shared" si="50"/>
        <v>0.15068493150684925</v>
      </c>
      <c r="P646" s="108">
        <f t="shared" si="51"/>
        <v>0.18253968253968256</v>
      </c>
      <c r="Q646" s="108">
        <f t="shared" si="52"/>
        <v>0.19463087248322153</v>
      </c>
      <c r="S646" s="109">
        <f t="shared" si="53"/>
        <v>0.62557077625570767</v>
      </c>
      <c r="T646" s="109">
        <f t="shared" si="54"/>
        <v>0.41269841269841256</v>
      </c>
    </row>
    <row r="647" spans="1:20">
      <c r="A647" s="154">
        <v>221</v>
      </c>
      <c r="B647" s="156">
        <v>600323</v>
      </c>
      <c r="C647" s="133" t="s">
        <v>2929</v>
      </c>
      <c r="D647" s="155" t="s">
        <v>2324</v>
      </c>
      <c r="E647" s="154">
        <v>21</v>
      </c>
      <c r="F647" s="154">
        <v>14</v>
      </c>
      <c r="G647" s="154">
        <v>7</v>
      </c>
      <c r="H647" s="154">
        <v>0</v>
      </c>
      <c r="I647" s="154">
        <v>0</v>
      </c>
      <c r="J647" s="154">
        <v>0</v>
      </c>
      <c r="K647" s="154">
        <v>1.143</v>
      </c>
      <c r="L647" s="154">
        <v>1.2070000000000001</v>
      </c>
      <c r="M647" s="154">
        <v>1.462</v>
      </c>
      <c r="N647" s="154">
        <v>1.704</v>
      </c>
      <c r="O647" s="108">
        <f t="shared" si="50"/>
        <v>5.5993000874890786E-2</v>
      </c>
      <c r="P647" s="108">
        <f t="shared" si="51"/>
        <v>0.21126760563380276</v>
      </c>
      <c r="Q647" s="108">
        <f t="shared" si="52"/>
        <v>0.16552667578659364</v>
      </c>
      <c r="S647" s="109">
        <f t="shared" si="53"/>
        <v>0.49081364829396312</v>
      </c>
      <c r="T647" s="109">
        <f t="shared" si="54"/>
        <v>0.41176470588235281</v>
      </c>
    </row>
    <row r="648" spans="1:20">
      <c r="A648" s="154">
        <v>756</v>
      </c>
      <c r="B648" s="156">
        <v>2518</v>
      </c>
      <c r="C648" s="133" t="s">
        <v>2930</v>
      </c>
      <c r="D648" s="155" t="s">
        <v>2324</v>
      </c>
      <c r="E648" s="154">
        <v>6</v>
      </c>
      <c r="F648" s="154">
        <v>6</v>
      </c>
      <c r="G648" s="154">
        <v>0</v>
      </c>
      <c r="H648" s="154">
        <v>0</v>
      </c>
      <c r="I648" s="154">
        <v>0</v>
      </c>
      <c r="J648" s="154">
        <v>0</v>
      </c>
      <c r="K648" s="154">
        <v>0.39500000000000002</v>
      </c>
      <c r="L648" s="154">
        <v>0.55000000000000004</v>
      </c>
      <c r="M648" s="154">
        <v>0.66500000000000004</v>
      </c>
      <c r="N648" s="154">
        <v>0.77600000000000002</v>
      </c>
      <c r="O648" s="108">
        <f t="shared" si="50"/>
        <v>0.39240506329113933</v>
      </c>
      <c r="P648" s="108">
        <f t="shared" si="51"/>
        <v>0.20909090909090899</v>
      </c>
      <c r="Q648" s="108">
        <f t="shared" si="52"/>
        <v>0.16691729323308269</v>
      </c>
      <c r="S648" s="109">
        <f t="shared" si="53"/>
        <v>0.96455696202531649</v>
      </c>
      <c r="T648" s="109">
        <f t="shared" si="54"/>
        <v>0.41090909090909089</v>
      </c>
    </row>
    <row r="649" spans="1:20">
      <c r="A649" s="154">
        <v>487</v>
      </c>
      <c r="B649" s="156">
        <v>300406</v>
      </c>
      <c r="C649" s="133" t="s">
        <v>2931</v>
      </c>
      <c r="D649" s="155" t="s">
        <v>2324</v>
      </c>
      <c r="E649" s="154">
        <v>10</v>
      </c>
      <c r="F649" s="154">
        <v>10</v>
      </c>
      <c r="G649" s="154">
        <v>0</v>
      </c>
      <c r="H649" s="154">
        <v>0</v>
      </c>
      <c r="I649" s="154">
        <v>0</v>
      </c>
      <c r="J649" s="154">
        <v>0</v>
      </c>
      <c r="K649" s="154">
        <v>0.59899999999999998</v>
      </c>
      <c r="L649" s="154">
        <v>0.67200000000000004</v>
      </c>
      <c r="M649" s="154">
        <v>0.79700000000000004</v>
      </c>
      <c r="N649" s="154">
        <v>0.94799999999999995</v>
      </c>
      <c r="O649" s="108">
        <f t="shared" si="50"/>
        <v>0.12186978297161954</v>
      </c>
      <c r="P649" s="108">
        <f t="shared" si="51"/>
        <v>0.18601190476190466</v>
      </c>
      <c r="Q649" s="108">
        <f t="shared" si="52"/>
        <v>0.18946047678795463</v>
      </c>
      <c r="S649" s="109">
        <f t="shared" si="53"/>
        <v>0.58263772954924864</v>
      </c>
      <c r="T649" s="109">
        <f t="shared" si="54"/>
        <v>0.41071428571428559</v>
      </c>
    </row>
    <row r="650" spans="1:20">
      <c r="A650" s="154">
        <v>456</v>
      </c>
      <c r="B650" s="156">
        <v>603806</v>
      </c>
      <c r="C650" s="133" t="s">
        <v>2932</v>
      </c>
      <c r="D650" s="155" t="s">
        <v>2324</v>
      </c>
      <c r="E650" s="154">
        <v>11</v>
      </c>
      <c r="F650" s="154">
        <v>2</v>
      </c>
      <c r="G650" s="154">
        <v>9</v>
      </c>
      <c r="H650" s="154">
        <v>0</v>
      </c>
      <c r="I650" s="154">
        <v>0</v>
      </c>
      <c r="J650" s="154">
        <v>0</v>
      </c>
      <c r="K650" s="154">
        <v>1.4379999999999999</v>
      </c>
      <c r="L650" s="154">
        <v>1.488</v>
      </c>
      <c r="M650" s="154">
        <v>1.7350000000000001</v>
      </c>
      <c r="N650" s="154">
        <v>2.0990000000000002</v>
      </c>
      <c r="O650" s="108">
        <f t="shared" si="50"/>
        <v>3.4770514603616132E-2</v>
      </c>
      <c r="P650" s="108">
        <f t="shared" si="51"/>
        <v>0.165994623655914</v>
      </c>
      <c r="Q650" s="108">
        <f t="shared" si="52"/>
        <v>0.20979827089337189</v>
      </c>
      <c r="S650" s="109">
        <f t="shared" si="53"/>
        <v>0.45966620305980554</v>
      </c>
      <c r="T650" s="109">
        <f t="shared" si="54"/>
        <v>0.41061827956989272</v>
      </c>
    </row>
    <row r="651" spans="1:20">
      <c r="A651" s="154">
        <v>566</v>
      </c>
      <c r="B651" s="156">
        <v>603596</v>
      </c>
      <c r="C651" s="133" t="s">
        <v>2933</v>
      </c>
      <c r="D651" s="155" t="s">
        <v>2324</v>
      </c>
      <c r="E651" s="154">
        <v>8</v>
      </c>
      <c r="F651" s="154">
        <v>4</v>
      </c>
      <c r="G651" s="154">
        <v>4</v>
      </c>
      <c r="H651" s="154">
        <v>0</v>
      </c>
      <c r="I651" s="154">
        <v>0</v>
      </c>
      <c r="J651" s="154">
        <v>0</v>
      </c>
      <c r="K651" s="154">
        <v>0.58099999999999996</v>
      </c>
      <c r="L651" s="154">
        <v>0.93300000000000005</v>
      </c>
      <c r="M651" s="154">
        <v>1.107</v>
      </c>
      <c r="N651" s="154">
        <v>1.3149999999999999</v>
      </c>
      <c r="O651" s="108">
        <f t="shared" si="50"/>
        <v>0.60585197934595536</v>
      </c>
      <c r="P651" s="108">
        <f t="shared" si="51"/>
        <v>0.18649517684887451</v>
      </c>
      <c r="Q651" s="108">
        <f t="shared" si="52"/>
        <v>0.18789521228545625</v>
      </c>
      <c r="S651" s="109">
        <f t="shared" si="53"/>
        <v>1.2633390705679863</v>
      </c>
      <c r="T651" s="109">
        <f t="shared" si="54"/>
        <v>0.40943193997856353</v>
      </c>
    </row>
    <row r="652" spans="1:20">
      <c r="A652" s="154">
        <v>475</v>
      </c>
      <c r="B652" s="156">
        <v>967</v>
      </c>
      <c r="C652" s="133" t="s">
        <v>2934</v>
      </c>
      <c r="D652" s="155" t="s">
        <v>2324</v>
      </c>
      <c r="E652" s="154">
        <v>11</v>
      </c>
      <c r="F652" s="154">
        <v>4</v>
      </c>
      <c r="G652" s="154">
        <v>7</v>
      </c>
      <c r="H652" s="154">
        <v>0</v>
      </c>
      <c r="I652" s="154">
        <v>0</v>
      </c>
      <c r="J652" s="154">
        <v>0</v>
      </c>
      <c r="K652" s="154">
        <v>0.29399999999999998</v>
      </c>
      <c r="L652" s="154">
        <v>0.45200000000000001</v>
      </c>
      <c r="M652" s="154">
        <v>0.54200000000000004</v>
      </c>
      <c r="N652" s="154">
        <v>0.63700000000000001</v>
      </c>
      <c r="O652" s="108">
        <f t="shared" si="50"/>
        <v>0.53741496598639471</v>
      </c>
      <c r="P652" s="108">
        <f t="shared" si="51"/>
        <v>0.19911504424778759</v>
      </c>
      <c r="Q652" s="108">
        <f t="shared" si="52"/>
        <v>0.17527675276752763</v>
      </c>
      <c r="S652" s="109">
        <f t="shared" si="53"/>
        <v>1.166666666666667</v>
      </c>
      <c r="T652" s="109">
        <f t="shared" si="54"/>
        <v>0.40929203539823011</v>
      </c>
    </row>
    <row r="653" spans="1:20">
      <c r="A653" s="154">
        <v>998</v>
      </c>
      <c r="B653" s="156">
        <v>600057</v>
      </c>
      <c r="C653" s="133" t="s">
        <v>2935</v>
      </c>
      <c r="D653" s="155" t="s">
        <v>2324</v>
      </c>
      <c r="E653" s="154">
        <v>3</v>
      </c>
      <c r="F653" s="154">
        <v>1</v>
      </c>
      <c r="G653" s="154">
        <v>2</v>
      </c>
      <c r="H653" s="154">
        <v>0</v>
      </c>
      <c r="I653" s="154">
        <v>0</v>
      </c>
      <c r="J653" s="154">
        <v>0</v>
      </c>
      <c r="K653" s="154">
        <v>0.46300000000000002</v>
      </c>
      <c r="L653" s="154">
        <v>0.504</v>
      </c>
      <c r="M653" s="154">
        <v>0.59299999999999997</v>
      </c>
      <c r="N653" s="154">
        <v>0.71</v>
      </c>
      <c r="O653" s="108">
        <f t="shared" si="50"/>
        <v>8.8552915766738627E-2</v>
      </c>
      <c r="P653" s="108">
        <f t="shared" si="51"/>
        <v>0.17658730158730163</v>
      </c>
      <c r="Q653" s="108">
        <f t="shared" si="52"/>
        <v>0.19730185497470498</v>
      </c>
      <c r="S653" s="109">
        <f t="shared" si="53"/>
        <v>0.53347732181425478</v>
      </c>
      <c r="T653" s="109">
        <f t="shared" si="54"/>
        <v>0.40873015873015861</v>
      </c>
    </row>
    <row r="654" spans="1:20">
      <c r="A654" s="154">
        <v>890</v>
      </c>
      <c r="B654" s="156">
        <v>600180</v>
      </c>
      <c r="C654" s="133" t="s">
        <v>2936</v>
      </c>
      <c r="D654" s="155" t="s">
        <v>2324</v>
      </c>
      <c r="E654" s="154">
        <v>4</v>
      </c>
      <c r="F654" s="154">
        <v>2</v>
      </c>
      <c r="G654" s="154">
        <v>2</v>
      </c>
      <c r="H654" s="154">
        <v>0</v>
      </c>
      <c r="I654" s="154">
        <v>0</v>
      </c>
      <c r="J654" s="154">
        <v>0</v>
      </c>
      <c r="K654" s="154">
        <v>0.46800000000000003</v>
      </c>
      <c r="L654" s="154">
        <v>0.51700000000000002</v>
      </c>
      <c r="M654" s="154">
        <v>0.61599999999999999</v>
      </c>
      <c r="N654" s="154">
        <v>0.72799999999999998</v>
      </c>
      <c r="O654" s="108">
        <f t="shared" si="50"/>
        <v>0.10470085470085477</v>
      </c>
      <c r="P654" s="108">
        <f t="shared" si="51"/>
        <v>0.1914893617021276</v>
      </c>
      <c r="Q654" s="108">
        <f t="shared" si="52"/>
        <v>0.18181818181818188</v>
      </c>
      <c r="S654" s="109">
        <f t="shared" si="53"/>
        <v>0.55555555555555536</v>
      </c>
      <c r="T654" s="109">
        <f t="shared" si="54"/>
        <v>0.4081237911025144</v>
      </c>
    </row>
    <row r="655" spans="1:20">
      <c r="A655" s="154">
        <v>22</v>
      </c>
      <c r="B655" s="156">
        <v>600519</v>
      </c>
      <c r="C655" s="133" t="s">
        <v>2937</v>
      </c>
      <c r="D655" s="155" t="s">
        <v>2324</v>
      </c>
      <c r="E655" s="154">
        <v>49</v>
      </c>
      <c r="F655" s="154">
        <v>39</v>
      </c>
      <c r="G655" s="154">
        <v>10</v>
      </c>
      <c r="H655" s="154">
        <v>0</v>
      </c>
      <c r="I655" s="154">
        <v>0</v>
      </c>
      <c r="J655" s="154">
        <v>0</v>
      </c>
      <c r="K655" s="154">
        <v>28.024000000000001</v>
      </c>
      <c r="L655" s="154">
        <v>34.396999999999998</v>
      </c>
      <c r="M655" s="154">
        <v>41.079000000000001</v>
      </c>
      <c r="N655" s="154">
        <v>48.415999999999997</v>
      </c>
      <c r="O655" s="108">
        <f t="shared" si="50"/>
        <v>0.22741221809877232</v>
      </c>
      <c r="P655" s="108">
        <f t="shared" si="51"/>
        <v>0.19426112742390322</v>
      </c>
      <c r="Q655" s="108">
        <f t="shared" si="52"/>
        <v>0.17860707417415211</v>
      </c>
      <c r="S655" s="109">
        <f t="shared" si="53"/>
        <v>0.72766200399657421</v>
      </c>
      <c r="T655" s="109">
        <f t="shared" si="54"/>
        <v>0.40756461319301107</v>
      </c>
    </row>
    <row r="656" spans="1:20">
      <c r="A656" s="154">
        <v>622</v>
      </c>
      <c r="B656" s="156">
        <v>968</v>
      </c>
      <c r="C656" s="133" t="s">
        <v>2938</v>
      </c>
      <c r="D656" s="155" t="s">
        <v>2324</v>
      </c>
      <c r="E656" s="154">
        <v>8</v>
      </c>
      <c r="F656" s="154">
        <v>7</v>
      </c>
      <c r="G656" s="154">
        <v>1</v>
      </c>
      <c r="H656" s="154">
        <v>0</v>
      </c>
      <c r="I656" s="154">
        <v>0</v>
      </c>
      <c r="J656" s="154">
        <v>0</v>
      </c>
      <c r="K656" s="154">
        <v>0.70099999999999996</v>
      </c>
      <c r="L656" s="154">
        <v>0.78100000000000003</v>
      </c>
      <c r="M656" s="154">
        <v>0.91600000000000004</v>
      </c>
      <c r="N656" s="154">
        <v>1.099</v>
      </c>
      <c r="O656" s="108">
        <f t="shared" si="50"/>
        <v>0.11412268188302432</v>
      </c>
      <c r="P656" s="108">
        <f t="shared" si="51"/>
        <v>0.17285531370038409</v>
      </c>
      <c r="Q656" s="108">
        <f t="shared" si="52"/>
        <v>0.19978165938864612</v>
      </c>
      <c r="S656" s="109">
        <f t="shared" si="53"/>
        <v>0.56776034236804573</v>
      </c>
      <c r="T656" s="109">
        <f t="shared" si="54"/>
        <v>0.40717029449423814</v>
      </c>
    </row>
    <row r="657" spans="1:20">
      <c r="A657" s="154">
        <v>946</v>
      </c>
      <c r="B657" s="156">
        <v>300203</v>
      </c>
      <c r="C657" s="133" t="s">
        <v>2939</v>
      </c>
      <c r="D657" s="155" t="s">
        <v>2324</v>
      </c>
      <c r="E657" s="154">
        <v>4</v>
      </c>
      <c r="F657" s="154">
        <v>2</v>
      </c>
      <c r="G657" s="154">
        <v>2</v>
      </c>
      <c r="H657" s="154">
        <v>0</v>
      </c>
      <c r="I657" s="154">
        <v>0</v>
      </c>
      <c r="J657" s="154">
        <v>0</v>
      </c>
      <c r="K657" s="154">
        <v>1.329</v>
      </c>
      <c r="L657" s="154">
        <v>1.4890000000000001</v>
      </c>
      <c r="M657" s="154">
        <v>1.7849999999999999</v>
      </c>
      <c r="N657" s="154">
        <v>2.0950000000000002</v>
      </c>
      <c r="O657" s="108">
        <f t="shared" si="50"/>
        <v>0.12039127163280683</v>
      </c>
      <c r="P657" s="108">
        <f t="shared" si="51"/>
        <v>0.19879113498992607</v>
      </c>
      <c r="Q657" s="108">
        <f t="shared" si="52"/>
        <v>0.17366946778711512</v>
      </c>
      <c r="S657" s="109">
        <f t="shared" si="53"/>
        <v>0.57637321294206179</v>
      </c>
      <c r="T657" s="109">
        <f t="shared" si="54"/>
        <v>0.40698455339153794</v>
      </c>
    </row>
    <row r="658" spans="1:20">
      <c r="A658" s="154">
        <v>952</v>
      </c>
      <c r="B658" s="156">
        <v>300203</v>
      </c>
      <c r="C658" s="133" t="s">
        <v>2939</v>
      </c>
      <c r="D658" s="155" t="s">
        <v>2324</v>
      </c>
      <c r="E658" s="154">
        <v>4</v>
      </c>
      <c r="F658" s="154">
        <v>2</v>
      </c>
      <c r="G658" s="154">
        <v>2</v>
      </c>
      <c r="H658" s="154">
        <v>0</v>
      </c>
      <c r="I658" s="154">
        <v>0</v>
      </c>
      <c r="J658" s="154">
        <v>0</v>
      </c>
      <c r="K658" s="154">
        <v>1.329</v>
      </c>
      <c r="L658" s="154">
        <v>1.4890000000000001</v>
      </c>
      <c r="M658" s="154">
        <v>1.7849999999999999</v>
      </c>
      <c r="N658" s="154">
        <v>2.0950000000000002</v>
      </c>
      <c r="O658" s="108">
        <f t="shared" si="50"/>
        <v>0.12039127163280683</v>
      </c>
      <c r="P658" s="108">
        <f t="shared" si="51"/>
        <v>0.19879113498992607</v>
      </c>
      <c r="Q658" s="108">
        <f t="shared" si="52"/>
        <v>0.17366946778711512</v>
      </c>
      <c r="S658" s="109">
        <f t="shared" si="53"/>
        <v>0.57637321294206179</v>
      </c>
      <c r="T658" s="109">
        <f t="shared" si="54"/>
        <v>0.40698455339153794</v>
      </c>
    </row>
    <row r="659" spans="1:20">
      <c r="A659" s="154">
        <v>543</v>
      </c>
      <c r="B659" s="156">
        <v>553</v>
      </c>
      <c r="C659" s="133" t="s">
        <v>2940</v>
      </c>
      <c r="D659" s="155" t="s">
        <v>2324</v>
      </c>
      <c r="E659" s="154">
        <v>9</v>
      </c>
      <c r="F659" s="154">
        <v>5</v>
      </c>
      <c r="G659" s="154">
        <v>4</v>
      </c>
      <c r="H659" s="154">
        <v>0</v>
      </c>
      <c r="I659" s="154">
        <v>0</v>
      </c>
      <c r="J659" s="154">
        <v>0</v>
      </c>
      <c r="K659" s="154">
        <v>0.98199999999999998</v>
      </c>
      <c r="L659" s="154">
        <v>0.53800000000000003</v>
      </c>
      <c r="M659" s="154">
        <v>0.63100000000000001</v>
      </c>
      <c r="N659" s="154">
        <v>0.75600000000000001</v>
      </c>
      <c r="O659" s="108">
        <f t="shared" si="50"/>
        <v>-0.45213849287169039</v>
      </c>
      <c r="P659" s="108">
        <f t="shared" si="51"/>
        <v>0.17286245353159835</v>
      </c>
      <c r="Q659" s="108">
        <f t="shared" si="52"/>
        <v>0.19809825673534065</v>
      </c>
      <c r="S659" s="109">
        <f t="shared" si="53"/>
        <v>-0.23014256619144602</v>
      </c>
      <c r="T659" s="109">
        <f t="shared" si="54"/>
        <v>0.40520446096654261</v>
      </c>
    </row>
    <row r="660" spans="1:20">
      <c r="A660" s="154">
        <v>16</v>
      </c>
      <c r="B660" s="156">
        <v>2</v>
      </c>
      <c r="C660" s="133" t="s">
        <v>2941</v>
      </c>
      <c r="D660" s="155" t="s">
        <v>2324</v>
      </c>
      <c r="E660" s="154">
        <v>52</v>
      </c>
      <c r="F660" s="154">
        <v>45</v>
      </c>
      <c r="G660" s="154">
        <v>7</v>
      </c>
      <c r="H660" s="154">
        <v>0</v>
      </c>
      <c r="I660" s="154">
        <v>0</v>
      </c>
      <c r="J660" s="154">
        <v>0</v>
      </c>
      <c r="K660" s="154">
        <v>2.988</v>
      </c>
      <c r="L660" s="154">
        <v>3.6589999999999998</v>
      </c>
      <c r="M660" s="154">
        <v>4.3460000000000001</v>
      </c>
      <c r="N660" s="154">
        <v>5.141</v>
      </c>
      <c r="O660" s="108">
        <f t="shared" si="50"/>
        <v>0.22456492637215519</v>
      </c>
      <c r="P660" s="108">
        <f t="shared" si="51"/>
        <v>0.18775621754577765</v>
      </c>
      <c r="Q660" s="108">
        <f t="shared" si="52"/>
        <v>0.18292682926829262</v>
      </c>
      <c r="S660" s="109">
        <f t="shared" si="53"/>
        <v>0.72054886211512725</v>
      </c>
      <c r="T660" s="109">
        <f t="shared" si="54"/>
        <v>0.40502869636512706</v>
      </c>
    </row>
    <row r="661" spans="1:20">
      <c r="A661" s="154">
        <v>152</v>
      </c>
      <c r="B661" s="156">
        <v>603288</v>
      </c>
      <c r="C661" s="133" t="s">
        <v>736</v>
      </c>
      <c r="D661" s="155" t="s">
        <v>2324</v>
      </c>
      <c r="E661" s="154">
        <v>25</v>
      </c>
      <c r="F661" s="154">
        <v>12</v>
      </c>
      <c r="G661" s="154">
        <v>12</v>
      </c>
      <c r="H661" s="154">
        <v>1</v>
      </c>
      <c r="I661" s="154">
        <v>0</v>
      </c>
      <c r="J661" s="154">
        <v>0</v>
      </c>
      <c r="K661" s="154">
        <v>1.6160000000000001</v>
      </c>
      <c r="L661" s="154">
        <v>1.954</v>
      </c>
      <c r="M661" s="154">
        <v>2.3260000000000001</v>
      </c>
      <c r="N661" s="154">
        <v>2.7429999999999999</v>
      </c>
      <c r="O661" s="108">
        <f t="shared" si="50"/>
        <v>0.20915841584158401</v>
      </c>
      <c r="P661" s="108">
        <f t="shared" si="51"/>
        <v>0.19037871033776876</v>
      </c>
      <c r="Q661" s="108">
        <f t="shared" si="52"/>
        <v>0.17927773000859837</v>
      </c>
      <c r="S661" s="109">
        <f t="shared" si="53"/>
        <v>0.69740099009900969</v>
      </c>
      <c r="T661" s="109">
        <f t="shared" si="54"/>
        <v>0.40378710337768675</v>
      </c>
    </row>
    <row r="662" spans="1:20">
      <c r="A662" s="154">
        <v>211</v>
      </c>
      <c r="B662" s="156">
        <v>2597</v>
      </c>
      <c r="C662" s="133" t="s">
        <v>2942</v>
      </c>
      <c r="D662" s="155" t="s">
        <v>2324</v>
      </c>
      <c r="E662" s="154">
        <v>21</v>
      </c>
      <c r="F662" s="154">
        <v>13</v>
      </c>
      <c r="G662" s="154">
        <v>8</v>
      </c>
      <c r="H662" s="154">
        <v>0</v>
      </c>
      <c r="I662" s="154">
        <v>0</v>
      </c>
      <c r="J662" s="154">
        <v>0</v>
      </c>
      <c r="K662" s="154">
        <v>1.631</v>
      </c>
      <c r="L662" s="154">
        <v>1.4950000000000001</v>
      </c>
      <c r="M662" s="154">
        <v>1.7769999999999999</v>
      </c>
      <c r="N662" s="154">
        <v>2.0979999999999999</v>
      </c>
      <c r="O662" s="108">
        <f t="shared" si="50"/>
        <v>-8.3384426732066141E-2</v>
      </c>
      <c r="P662" s="108">
        <f t="shared" si="51"/>
        <v>0.18862876254180594</v>
      </c>
      <c r="Q662" s="108">
        <f t="shared" si="52"/>
        <v>0.18064153066966804</v>
      </c>
      <c r="S662" s="109">
        <f t="shared" si="53"/>
        <v>0.28632740649908017</v>
      </c>
      <c r="T662" s="109">
        <f t="shared" si="54"/>
        <v>0.40334448160535108</v>
      </c>
    </row>
    <row r="663" spans="1:20">
      <c r="A663" s="154">
        <v>67</v>
      </c>
      <c r="B663" s="156">
        <v>2867</v>
      </c>
      <c r="C663" s="133" t="s">
        <v>2943</v>
      </c>
      <c r="D663" s="155" t="s">
        <v>2324</v>
      </c>
      <c r="E663" s="154">
        <v>34</v>
      </c>
      <c r="F663" s="154">
        <v>24</v>
      </c>
      <c r="G663" s="154">
        <v>10</v>
      </c>
      <c r="H663" s="154">
        <v>0</v>
      </c>
      <c r="I663" s="154">
        <v>0</v>
      </c>
      <c r="J663" s="154">
        <v>0</v>
      </c>
      <c r="K663" s="154">
        <v>1.103</v>
      </c>
      <c r="L663" s="154">
        <v>1.36</v>
      </c>
      <c r="M663" s="154">
        <v>1.625</v>
      </c>
      <c r="N663" s="154">
        <v>1.9079999999999999</v>
      </c>
      <c r="O663" s="108">
        <f t="shared" si="50"/>
        <v>0.23300090661831385</v>
      </c>
      <c r="P663" s="108">
        <f t="shared" si="51"/>
        <v>0.19485294117647056</v>
      </c>
      <c r="Q663" s="108">
        <f t="shared" si="52"/>
        <v>0.1741538461538461</v>
      </c>
      <c r="S663" s="109">
        <f t="shared" si="53"/>
        <v>0.72982774252039895</v>
      </c>
      <c r="T663" s="109">
        <f t="shared" si="54"/>
        <v>0.40294117647058814</v>
      </c>
    </row>
    <row r="664" spans="1:20">
      <c r="A664" s="154">
        <v>713</v>
      </c>
      <c r="B664" s="156">
        <v>600219</v>
      </c>
      <c r="C664" s="133" t="s">
        <v>2944</v>
      </c>
      <c r="D664" s="155" t="s">
        <v>2324</v>
      </c>
      <c r="E664" s="154">
        <v>6</v>
      </c>
      <c r="F664" s="154">
        <v>0</v>
      </c>
      <c r="G664" s="154">
        <v>6</v>
      </c>
      <c r="H664" s="154">
        <v>0</v>
      </c>
      <c r="I664" s="154">
        <v>0</v>
      </c>
      <c r="J664" s="154">
        <v>0</v>
      </c>
      <c r="K664" s="154">
        <v>0.12</v>
      </c>
      <c r="L664" s="154">
        <v>0.13900000000000001</v>
      </c>
      <c r="M664" s="154">
        <v>0.16700000000000001</v>
      </c>
      <c r="N664" s="154">
        <v>0.19500000000000001</v>
      </c>
      <c r="O664" s="108">
        <f t="shared" si="50"/>
        <v>0.15833333333333344</v>
      </c>
      <c r="P664" s="108">
        <f t="shared" si="51"/>
        <v>0.20143884892086317</v>
      </c>
      <c r="Q664" s="108">
        <f t="shared" si="52"/>
        <v>0.16766467065868262</v>
      </c>
      <c r="S664" s="109">
        <f t="shared" si="53"/>
        <v>0.62500000000000022</v>
      </c>
      <c r="T664" s="109">
        <f t="shared" si="54"/>
        <v>0.40287769784172656</v>
      </c>
    </row>
    <row r="665" spans="1:20">
      <c r="A665" s="154">
        <v>334</v>
      </c>
      <c r="B665" s="156">
        <v>2600</v>
      </c>
      <c r="C665" s="133" t="s">
        <v>2945</v>
      </c>
      <c r="D665" s="155" t="s">
        <v>2324</v>
      </c>
      <c r="E665" s="154">
        <v>15</v>
      </c>
      <c r="F665" s="154">
        <v>14</v>
      </c>
      <c r="G665" s="154">
        <v>1</v>
      </c>
      <c r="H665" s="154">
        <v>0</v>
      </c>
      <c r="I665" s="154">
        <v>0</v>
      </c>
      <c r="J665" s="154">
        <v>0</v>
      </c>
      <c r="K665" s="154">
        <v>-0.1</v>
      </c>
      <c r="L665" s="154">
        <v>0.34300000000000003</v>
      </c>
      <c r="M665" s="154">
        <v>0.40200000000000002</v>
      </c>
      <c r="N665" s="154">
        <v>0.48099999999999998</v>
      </c>
      <c r="O665" s="108">
        <f t="shared" si="50"/>
        <v>-4.43</v>
      </c>
      <c r="P665" s="108">
        <f t="shared" si="51"/>
        <v>0.17201166180758021</v>
      </c>
      <c r="Q665" s="108">
        <f t="shared" si="52"/>
        <v>0.19651741293532332</v>
      </c>
      <c r="S665" s="109">
        <f t="shared" si="53"/>
        <v>-5.81</v>
      </c>
      <c r="T665" s="109">
        <f t="shared" si="54"/>
        <v>0.4023323615160348</v>
      </c>
    </row>
    <row r="666" spans="1:20">
      <c r="A666" s="154">
        <v>52</v>
      </c>
      <c r="B666" s="156">
        <v>600383</v>
      </c>
      <c r="C666" s="133" t="s">
        <v>2946</v>
      </c>
      <c r="D666" s="155" t="s">
        <v>2324</v>
      </c>
      <c r="E666" s="154">
        <v>39</v>
      </c>
      <c r="F666" s="154">
        <v>33</v>
      </c>
      <c r="G666" s="154">
        <v>6</v>
      </c>
      <c r="H666" s="154">
        <v>0</v>
      </c>
      <c r="I666" s="154">
        <v>0</v>
      </c>
      <c r="J666" s="154">
        <v>0</v>
      </c>
      <c r="K666" s="154">
        <v>1.794</v>
      </c>
      <c r="L666" s="154">
        <v>2.198</v>
      </c>
      <c r="M666" s="154">
        <v>2.6240000000000001</v>
      </c>
      <c r="N666" s="154">
        <v>3.0819999999999999</v>
      </c>
      <c r="O666" s="108">
        <f t="shared" si="50"/>
        <v>0.22519509476031208</v>
      </c>
      <c r="P666" s="108">
        <f t="shared" si="51"/>
        <v>0.19381255686988186</v>
      </c>
      <c r="Q666" s="108">
        <f t="shared" si="52"/>
        <v>0.17454268292682906</v>
      </c>
      <c r="S666" s="109">
        <f t="shared" si="53"/>
        <v>0.71794871794871784</v>
      </c>
      <c r="T666" s="109">
        <f t="shared" si="54"/>
        <v>0.40218380345768878</v>
      </c>
    </row>
    <row r="667" spans="1:20">
      <c r="A667" s="154">
        <v>520</v>
      </c>
      <c r="B667" s="156">
        <v>603686</v>
      </c>
      <c r="C667" s="133" t="s">
        <v>2947</v>
      </c>
      <c r="D667" s="155" t="s">
        <v>2324</v>
      </c>
      <c r="E667" s="154">
        <v>9</v>
      </c>
      <c r="F667" s="154">
        <v>3</v>
      </c>
      <c r="G667" s="154">
        <v>6</v>
      </c>
      <c r="H667" s="154">
        <v>0</v>
      </c>
      <c r="I667" s="154">
        <v>0</v>
      </c>
      <c r="J667" s="154">
        <v>0</v>
      </c>
      <c r="K667" s="154">
        <v>0.56899999999999995</v>
      </c>
      <c r="L667" s="154">
        <v>0.64200000000000002</v>
      </c>
      <c r="M667" s="154">
        <v>0.75700000000000001</v>
      </c>
      <c r="N667" s="154">
        <v>0.9</v>
      </c>
      <c r="O667" s="108">
        <f t="shared" si="50"/>
        <v>0.1282952548330405</v>
      </c>
      <c r="P667" s="108">
        <f t="shared" si="51"/>
        <v>0.17912772585669789</v>
      </c>
      <c r="Q667" s="108">
        <f t="shared" si="52"/>
        <v>0.18890356671070019</v>
      </c>
      <c r="S667" s="109">
        <f t="shared" si="53"/>
        <v>0.58172231985940259</v>
      </c>
      <c r="T667" s="109">
        <f t="shared" si="54"/>
        <v>0.40186915887850461</v>
      </c>
    </row>
    <row r="668" spans="1:20">
      <c r="A668" s="154">
        <v>41</v>
      </c>
      <c r="B668" s="156">
        <v>601238</v>
      </c>
      <c r="C668" s="133" t="s">
        <v>2948</v>
      </c>
      <c r="D668" s="155" t="s">
        <v>2324</v>
      </c>
      <c r="E668" s="154">
        <v>42</v>
      </c>
      <c r="F668" s="154">
        <v>25</v>
      </c>
      <c r="G668" s="154">
        <v>15</v>
      </c>
      <c r="H668" s="154">
        <v>2</v>
      </c>
      <c r="I668" s="154">
        <v>0</v>
      </c>
      <c r="J668" s="154">
        <v>0</v>
      </c>
      <c r="K668" s="154">
        <v>1.0649999999999999</v>
      </c>
      <c r="L668" s="154">
        <v>0.80900000000000005</v>
      </c>
      <c r="M668" s="154">
        <v>0.998</v>
      </c>
      <c r="N668" s="154">
        <v>1.1339999999999999</v>
      </c>
      <c r="O668" s="108">
        <f t="shared" si="50"/>
        <v>-0.24037558685446003</v>
      </c>
      <c r="P668" s="108">
        <f t="shared" si="51"/>
        <v>0.23362175525339923</v>
      </c>
      <c r="Q668" s="108">
        <f t="shared" si="52"/>
        <v>0.13627254509018027</v>
      </c>
      <c r="S668" s="109">
        <f t="shared" si="53"/>
        <v>6.4788732394366111E-2</v>
      </c>
      <c r="T668" s="109">
        <f t="shared" si="54"/>
        <v>0.4017305315203954</v>
      </c>
    </row>
    <row r="669" spans="1:20">
      <c r="A669" s="154">
        <v>345</v>
      </c>
      <c r="B669" s="156">
        <v>768</v>
      </c>
      <c r="C669" s="133" t="s">
        <v>2949</v>
      </c>
      <c r="D669" s="155" t="s">
        <v>2324</v>
      </c>
      <c r="E669" s="154">
        <v>15</v>
      </c>
      <c r="F669" s="154">
        <v>12</v>
      </c>
      <c r="G669" s="154">
        <v>3</v>
      </c>
      <c r="H669" s="154">
        <v>0</v>
      </c>
      <c r="I669" s="154">
        <v>0</v>
      </c>
      <c r="J669" s="154">
        <v>0</v>
      </c>
      <c r="K669" s="154">
        <v>0.20200000000000001</v>
      </c>
      <c r="L669" s="154">
        <v>0.23899999999999999</v>
      </c>
      <c r="M669" s="154">
        <v>0.28199999999999997</v>
      </c>
      <c r="N669" s="154">
        <v>0.33500000000000002</v>
      </c>
      <c r="O669" s="108">
        <f t="shared" si="50"/>
        <v>0.18316831683168311</v>
      </c>
      <c r="P669" s="108">
        <f t="shared" si="51"/>
        <v>0.17991631799163166</v>
      </c>
      <c r="Q669" s="108">
        <f t="shared" si="52"/>
        <v>0.18794326241134773</v>
      </c>
      <c r="S669" s="109">
        <f t="shared" si="53"/>
        <v>0.65841584158415833</v>
      </c>
      <c r="T669" s="109">
        <f t="shared" si="54"/>
        <v>0.40167364016736418</v>
      </c>
    </row>
    <row r="670" spans="1:20">
      <c r="A670" s="154">
        <v>203</v>
      </c>
      <c r="B670" s="156">
        <v>600600</v>
      </c>
      <c r="C670" s="133" t="s">
        <v>2950</v>
      </c>
      <c r="D670" s="155" t="s">
        <v>2324</v>
      </c>
      <c r="E670" s="154">
        <v>22</v>
      </c>
      <c r="F670" s="154">
        <v>11</v>
      </c>
      <c r="G670" s="154">
        <v>11</v>
      </c>
      <c r="H670" s="154">
        <v>0</v>
      </c>
      <c r="I670" s="154">
        <v>0</v>
      </c>
      <c r="J670" s="154">
        <v>0</v>
      </c>
      <c r="K670" s="154">
        <v>1.0529999999999999</v>
      </c>
      <c r="L670" s="154">
        <v>1.3149999999999999</v>
      </c>
      <c r="M670" s="154">
        <v>1.5640000000000001</v>
      </c>
      <c r="N670" s="154">
        <v>1.843</v>
      </c>
      <c r="O670" s="108">
        <f t="shared" si="50"/>
        <v>0.24881291547958218</v>
      </c>
      <c r="P670" s="108">
        <f t="shared" si="51"/>
        <v>0.18935361216730051</v>
      </c>
      <c r="Q670" s="108">
        <f t="shared" si="52"/>
        <v>0.17838874680306893</v>
      </c>
      <c r="S670" s="109">
        <f t="shared" si="53"/>
        <v>0.75023741690408374</v>
      </c>
      <c r="T670" s="109">
        <f t="shared" si="54"/>
        <v>0.40152091254752853</v>
      </c>
    </row>
    <row r="671" spans="1:20">
      <c r="A671" s="154">
        <v>559</v>
      </c>
      <c r="B671" s="156">
        <v>600167</v>
      </c>
      <c r="C671" s="133" t="s">
        <v>2951</v>
      </c>
      <c r="D671" s="155" t="s">
        <v>2324</v>
      </c>
      <c r="E671" s="154">
        <v>8</v>
      </c>
      <c r="F671" s="154">
        <v>6</v>
      </c>
      <c r="G671" s="154">
        <v>2</v>
      </c>
      <c r="H671" s="154">
        <v>0</v>
      </c>
      <c r="I671" s="154">
        <v>0</v>
      </c>
      <c r="J671" s="154">
        <v>0</v>
      </c>
      <c r="K671" s="154">
        <v>0.57599999999999996</v>
      </c>
      <c r="L671" s="154">
        <v>0.69299999999999995</v>
      </c>
      <c r="M671" s="154">
        <v>0.83199999999999996</v>
      </c>
      <c r="N671" s="154">
        <v>0.97099999999999997</v>
      </c>
      <c r="O671" s="108">
        <f t="shared" si="50"/>
        <v>0.203125</v>
      </c>
      <c r="P671" s="108">
        <f t="shared" si="51"/>
        <v>0.20057720057720063</v>
      </c>
      <c r="Q671" s="108">
        <f t="shared" si="52"/>
        <v>0.16706730769230771</v>
      </c>
      <c r="S671" s="109">
        <f t="shared" si="53"/>
        <v>0.68576388888888906</v>
      </c>
      <c r="T671" s="109">
        <f t="shared" si="54"/>
        <v>0.40115440115440126</v>
      </c>
    </row>
    <row r="672" spans="1:20">
      <c r="A672" s="154">
        <v>872</v>
      </c>
      <c r="B672" s="156">
        <v>600764</v>
      </c>
      <c r="C672" s="133" t="s">
        <v>2952</v>
      </c>
      <c r="D672" s="155" t="s">
        <v>2324</v>
      </c>
      <c r="E672" s="154">
        <v>4</v>
      </c>
      <c r="F672" s="154">
        <v>3</v>
      </c>
      <c r="G672" s="154">
        <v>1</v>
      </c>
      <c r="H672" s="154">
        <v>0</v>
      </c>
      <c r="I672" s="154">
        <v>0</v>
      </c>
      <c r="J672" s="154">
        <v>0</v>
      </c>
      <c r="K672" s="154">
        <v>9.5000000000000001E-2</v>
      </c>
      <c r="L672" s="154">
        <v>0.20699999999999999</v>
      </c>
      <c r="M672" s="154">
        <v>0.245</v>
      </c>
      <c r="N672" s="154">
        <v>0.28999999999999998</v>
      </c>
      <c r="O672" s="108">
        <f t="shared" si="50"/>
        <v>1.1789473684210523</v>
      </c>
      <c r="P672" s="108">
        <f t="shared" si="51"/>
        <v>0.18357487922705329</v>
      </c>
      <c r="Q672" s="108">
        <f t="shared" si="52"/>
        <v>0.18367346938775508</v>
      </c>
      <c r="S672" s="109">
        <f t="shared" si="53"/>
        <v>2.0526315789473681</v>
      </c>
      <c r="T672" s="109">
        <f t="shared" si="54"/>
        <v>0.40096618357487923</v>
      </c>
    </row>
    <row r="673" spans="1:20">
      <c r="A673" s="154">
        <v>71</v>
      </c>
      <c r="B673" s="156">
        <v>603816</v>
      </c>
      <c r="C673" s="133" t="s">
        <v>2953</v>
      </c>
      <c r="D673" s="155" t="s">
        <v>2324</v>
      </c>
      <c r="E673" s="154">
        <v>34</v>
      </c>
      <c r="F673" s="154">
        <v>31</v>
      </c>
      <c r="G673" s="154">
        <v>3</v>
      </c>
      <c r="H673" s="154">
        <v>0</v>
      </c>
      <c r="I673" s="154">
        <v>0</v>
      </c>
      <c r="J673" s="154">
        <v>0</v>
      </c>
      <c r="K673" s="154">
        <v>1.6439999999999999</v>
      </c>
      <c r="L673" s="154">
        <v>1.9670000000000001</v>
      </c>
      <c r="M673" s="154">
        <v>2.3330000000000002</v>
      </c>
      <c r="N673" s="154">
        <v>2.754</v>
      </c>
      <c r="O673" s="108">
        <f t="shared" si="50"/>
        <v>0.19647201946472026</v>
      </c>
      <c r="P673" s="108">
        <f t="shared" si="51"/>
        <v>0.18607015760040668</v>
      </c>
      <c r="Q673" s="108">
        <f t="shared" si="52"/>
        <v>0.18045435062151727</v>
      </c>
      <c r="S673" s="109">
        <f t="shared" si="53"/>
        <v>0.67518248175182483</v>
      </c>
      <c r="T673" s="109">
        <f t="shared" si="54"/>
        <v>0.40010167768174876</v>
      </c>
    </row>
    <row r="674" spans="1:20">
      <c r="A674" s="154">
        <v>512</v>
      </c>
      <c r="B674" s="156">
        <v>300623</v>
      </c>
      <c r="C674" s="133" t="s">
        <v>2954</v>
      </c>
      <c r="D674" s="155" t="s">
        <v>2324</v>
      </c>
      <c r="E674" s="154">
        <v>9</v>
      </c>
      <c r="F674" s="154">
        <v>4</v>
      </c>
      <c r="G674" s="154">
        <v>5</v>
      </c>
      <c r="H674" s="154">
        <v>0</v>
      </c>
      <c r="I674" s="154">
        <v>0</v>
      </c>
      <c r="J674" s="154">
        <v>0</v>
      </c>
      <c r="K674" s="154">
        <v>0.54300000000000004</v>
      </c>
      <c r="L674" s="154">
        <v>0.65</v>
      </c>
      <c r="M674" s="154">
        <v>0.755</v>
      </c>
      <c r="N674" s="154">
        <v>0.90900000000000003</v>
      </c>
      <c r="O674" s="108">
        <f t="shared" si="50"/>
        <v>0.19705340699815843</v>
      </c>
      <c r="P674" s="108">
        <f t="shared" si="51"/>
        <v>0.16153846153846141</v>
      </c>
      <c r="Q674" s="108">
        <f t="shared" si="52"/>
        <v>0.20397350993377494</v>
      </c>
      <c r="S674" s="109">
        <f t="shared" si="53"/>
        <v>0.67403314917127055</v>
      </c>
      <c r="T674" s="109">
        <f t="shared" si="54"/>
        <v>0.39846153846153842</v>
      </c>
    </row>
    <row r="675" spans="1:20">
      <c r="A675" s="154">
        <v>158</v>
      </c>
      <c r="B675" s="156">
        <v>2191</v>
      </c>
      <c r="C675" s="133" t="s">
        <v>2955</v>
      </c>
      <c r="D675" s="155" t="s">
        <v>2324</v>
      </c>
      <c r="E675" s="154">
        <v>25</v>
      </c>
      <c r="F675" s="154">
        <v>19</v>
      </c>
      <c r="G675" s="154">
        <v>6</v>
      </c>
      <c r="H675" s="154">
        <v>0</v>
      </c>
      <c r="I675" s="154">
        <v>0</v>
      </c>
      <c r="J675" s="154">
        <v>0</v>
      </c>
      <c r="K675" s="154">
        <v>0.495</v>
      </c>
      <c r="L675" s="154">
        <v>0.60799999999999998</v>
      </c>
      <c r="M675" s="154">
        <v>0.72499999999999998</v>
      </c>
      <c r="N675" s="154">
        <v>0.84799999999999998</v>
      </c>
      <c r="O675" s="108">
        <f t="shared" si="50"/>
        <v>0.2282828282828282</v>
      </c>
      <c r="P675" s="108">
        <f t="shared" si="51"/>
        <v>0.19243421052631571</v>
      </c>
      <c r="Q675" s="108">
        <f t="shared" si="52"/>
        <v>0.16965517241379313</v>
      </c>
      <c r="S675" s="109">
        <f t="shared" si="53"/>
        <v>0.71313131313131306</v>
      </c>
      <c r="T675" s="109">
        <f t="shared" si="54"/>
        <v>0.39473684210526305</v>
      </c>
    </row>
    <row r="676" spans="1:20">
      <c r="A676" s="154">
        <v>372</v>
      </c>
      <c r="B676" s="156">
        <v>600372</v>
      </c>
      <c r="C676" s="133" t="s">
        <v>2956</v>
      </c>
      <c r="D676" s="155" t="s">
        <v>2324</v>
      </c>
      <c r="E676" s="154">
        <v>14</v>
      </c>
      <c r="F676" s="154">
        <v>8</v>
      </c>
      <c r="G676" s="154">
        <v>6</v>
      </c>
      <c r="H676" s="154">
        <v>0</v>
      </c>
      <c r="I676" s="154">
        <v>0</v>
      </c>
      <c r="J676" s="154">
        <v>0</v>
      </c>
      <c r="K676" s="154">
        <v>0.27200000000000002</v>
      </c>
      <c r="L676" s="154">
        <v>0.317</v>
      </c>
      <c r="M676" s="154">
        <v>0.379</v>
      </c>
      <c r="N676" s="154">
        <v>0.442</v>
      </c>
      <c r="O676" s="108">
        <f t="shared" si="50"/>
        <v>0.16544117647058809</v>
      </c>
      <c r="P676" s="108">
        <f t="shared" si="51"/>
        <v>0.19558359621451094</v>
      </c>
      <c r="Q676" s="108">
        <f t="shared" si="52"/>
        <v>0.16622691292875991</v>
      </c>
      <c r="S676" s="109">
        <f t="shared" si="53"/>
        <v>0.625</v>
      </c>
      <c r="T676" s="109">
        <f t="shared" si="54"/>
        <v>0.39432176656151419</v>
      </c>
    </row>
    <row r="677" spans="1:20">
      <c r="A677" s="154">
        <v>985</v>
      </c>
      <c r="B677" s="156">
        <v>600088</v>
      </c>
      <c r="C677" s="133" t="s">
        <v>2957</v>
      </c>
      <c r="D677" s="155" t="s">
        <v>2324</v>
      </c>
      <c r="E677" s="154">
        <v>3</v>
      </c>
      <c r="F677" s="154">
        <v>2</v>
      </c>
      <c r="G677" s="154">
        <v>1</v>
      </c>
      <c r="H677" s="154">
        <v>0</v>
      </c>
      <c r="I677" s="154">
        <v>0</v>
      </c>
      <c r="J677" s="154">
        <v>0</v>
      </c>
      <c r="K677" s="154">
        <v>0.28799999999999998</v>
      </c>
      <c r="L677" s="154">
        <v>0.39400000000000002</v>
      </c>
      <c r="M677" s="154">
        <v>0.47499999999999998</v>
      </c>
      <c r="N677" s="154">
        <v>0.54900000000000004</v>
      </c>
      <c r="O677" s="108">
        <f t="shared" si="50"/>
        <v>0.3680555555555558</v>
      </c>
      <c r="P677" s="108">
        <f t="shared" si="51"/>
        <v>0.20558375634517745</v>
      </c>
      <c r="Q677" s="108">
        <f t="shared" si="52"/>
        <v>0.1557894736842107</v>
      </c>
      <c r="S677" s="109">
        <f t="shared" si="53"/>
        <v>0.90625000000000022</v>
      </c>
      <c r="T677" s="109">
        <f t="shared" si="54"/>
        <v>0.39340101522842641</v>
      </c>
    </row>
    <row r="678" spans="1:20">
      <c r="A678" s="154">
        <v>320</v>
      </c>
      <c r="B678" s="156">
        <v>600195</v>
      </c>
      <c r="C678" s="133" t="s">
        <v>2958</v>
      </c>
      <c r="D678" s="155" t="s">
        <v>2324</v>
      </c>
      <c r="E678" s="154">
        <v>16</v>
      </c>
      <c r="F678" s="154">
        <v>12</v>
      </c>
      <c r="G678" s="154">
        <v>4</v>
      </c>
      <c r="H678" s="154">
        <v>0</v>
      </c>
      <c r="I678" s="154">
        <v>0</v>
      </c>
      <c r="J678" s="154">
        <v>0</v>
      </c>
      <c r="K678" s="154">
        <v>0.49299999999999999</v>
      </c>
      <c r="L678" s="154">
        <v>0.45900000000000002</v>
      </c>
      <c r="M678" s="154">
        <v>0.53800000000000003</v>
      </c>
      <c r="N678" s="154">
        <v>0.63900000000000001</v>
      </c>
      <c r="O678" s="108">
        <f t="shared" si="50"/>
        <v>-6.8965517241379226E-2</v>
      </c>
      <c r="P678" s="108">
        <f t="shared" si="51"/>
        <v>0.17211328976034856</v>
      </c>
      <c r="Q678" s="108">
        <f t="shared" si="52"/>
        <v>0.18773234200743483</v>
      </c>
      <c r="S678" s="109">
        <f t="shared" si="53"/>
        <v>0.29614604462474658</v>
      </c>
      <c r="T678" s="109">
        <f t="shared" si="54"/>
        <v>0.39215686274509798</v>
      </c>
    </row>
    <row r="679" spans="1:20">
      <c r="A679" s="154">
        <v>867</v>
      </c>
      <c r="B679" s="156">
        <v>488</v>
      </c>
      <c r="C679" s="133" t="s">
        <v>2959</v>
      </c>
      <c r="D679" s="155" t="s">
        <v>2324</v>
      </c>
      <c r="E679" s="154">
        <v>4</v>
      </c>
      <c r="F679" s="154">
        <v>3</v>
      </c>
      <c r="G679" s="154">
        <v>1</v>
      </c>
      <c r="H679" s="154">
        <v>0</v>
      </c>
      <c r="I679" s="154">
        <v>0</v>
      </c>
      <c r="J679" s="154">
        <v>0</v>
      </c>
      <c r="K679" s="154">
        <v>0.86399999999999999</v>
      </c>
      <c r="L679" s="154">
        <v>0.58299999999999996</v>
      </c>
      <c r="M679" s="154">
        <v>0.69499999999999995</v>
      </c>
      <c r="N679" s="154">
        <v>0.81</v>
      </c>
      <c r="O679" s="108">
        <f t="shared" si="50"/>
        <v>-0.32523148148148151</v>
      </c>
      <c r="P679" s="108">
        <f t="shared" si="51"/>
        <v>0.19210977701543741</v>
      </c>
      <c r="Q679" s="108">
        <f t="shared" si="52"/>
        <v>0.16546762589928066</v>
      </c>
      <c r="S679" s="109">
        <f t="shared" si="53"/>
        <v>-6.2499999999999889E-2</v>
      </c>
      <c r="T679" s="109">
        <f t="shared" si="54"/>
        <v>0.38936535162950281</v>
      </c>
    </row>
    <row r="680" spans="1:20">
      <c r="A680" s="154">
        <v>1000</v>
      </c>
      <c r="B680" s="156">
        <v>810</v>
      </c>
      <c r="C680" s="133" t="s">
        <v>2960</v>
      </c>
      <c r="D680" s="155" t="s">
        <v>2324</v>
      </c>
      <c r="E680" s="154">
        <v>3</v>
      </c>
      <c r="F680" s="154">
        <v>3</v>
      </c>
      <c r="G680" s="154">
        <v>0</v>
      </c>
      <c r="H680" s="154">
        <v>0</v>
      </c>
      <c r="I680" s="154">
        <v>0</v>
      </c>
      <c r="J680" s="154">
        <v>0</v>
      </c>
      <c r="K680" s="154">
        <v>0.31</v>
      </c>
      <c r="L680" s="154">
        <v>0.57599999999999996</v>
      </c>
      <c r="M680" s="154">
        <v>0.67700000000000005</v>
      </c>
      <c r="N680" s="154">
        <v>0.8</v>
      </c>
      <c r="O680" s="108">
        <f t="shared" si="50"/>
        <v>0.85806451612903212</v>
      </c>
      <c r="P680" s="108">
        <f t="shared" si="51"/>
        <v>0.17534722222222232</v>
      </c>
      <c r="Q680" s="108">
        <f t="shared" si="52"/>
        <v>0.18168389955686859</v>
      </c>
      <c r="S680" s="109">
        <f t="shared" si="53"/>
        <v>1.580645161290323</v>
      </c>
      <c r="T680" s="109">
        <f t="shared" si="54"/>
        <v>0.38888888888888906</v>
      </c>
    </row>
    <row r="681" spans="1:20">
      <c r="A681" s="154">
        <v>26</v>
      </c>
      <c r="B681" s="156">
        <v>603833</v>
      </c>
      <c r="C681" s="133" t="s">
        <v>2961</v>
      </c>
      <c r="D681" s="155" t="s">
        <v>2324</v>
      </c>
      <c r="E681" s="154">
        <v>47</v>
      </c>
      <c r="F681" s="154">
        <v>38</v>
      </c>
      <c r="G681" s="154">
        <v>9</v>
      </c>
      <c r="H681" s="154">
        <v>0</v>
      </c>
      <c r="I681" s="154">
        <v>0</v>
      </c>
      <c r="J681" s="154">
        <v>0</v>
      </c>
      <c r="K681" s="154">
        <v>3.7410000000000001</v>
      </c>
      <c r="L681" s="154">
        <v>4.4119999999999999</v>
      </c>
      <c r="M681" s="154">
        <v>5.2380000000000004</v>
      </c>
      <c r="N681" s="154">
        <v>6.1219999999999999</v>
      </c>
      <c r="O681" s="108">
        <f t="shared" si="50"/>
        <v>0.17936380646885852</v>
      </c>
      <c r="P681" s="108">
        <f t="shared" si="51"/>
        <v>0.18721668177697204</v>
      </c>
      <c r="Q681" s="108">
        <f t="shared" si="52"/>
        <v>0.16876670484917899</v>
      </c>
      <c r="S681" s="109">
        <f t="shared" si="53"/>
        <v>0.63646083934776798</v>
      </c>
      <c r="T681" s="109">
        <f t="shared" si="54"/>
        <v>0.38757932910244786</v>
      </c>
    </row>
    <row r="682" spans="1:20">
      <c r="A682" s="154">
        <v>795</v>
      </c>
      <c r="B682" s="156">
        <v>2955</v>
      </c>
      <c r="C682" s="133" t="s">
        <v>2962</v>
      </c>
      <c r="D682" s="155" t="s">
        <v>2324</v>
      </c>
      <c r="E682" s="154">
        <v>5</v>
      </c>
      <c r="F682" s="154">
        <v>3</v>
      </c>
      <c r="G682" s="154">
        <v>2</v>
      </c>
      <c r="H682" s="154">
        <v>0</v>
      </c>
      <c r="I682" s="154">
        <v>0</v>
      </c>
      <c r="J682" s="154">
        <v>0</v>
      </c>
      <c r="K682" s="154">
        <v>2.4169999999999998</v>
      </c>
      <c r="L682" s="154">
        <v>2.847</v>
      </c>
      <c r="M682" s="154">
        <v>3.35</v>
      </c>
      <c r="N682" s="154">
        <v>3.948</v>
      </c>
      <c r="O682" s="108">
        <f t="shared" si="50"/>
        <v>0.17790649565577166</v>
      </c>
      <c r="P682" s="108">
        <f t="shared" si="51"/>
        <v>0.17667720407446441</v>
      </c>
      <c r="Q682" s="108">
        <f t="shared" si="52"/>
        <v>0.17850746268656703</v>
      </c>
      <c r="S682" s="109">
        <f t="shared" si="53"/>
        <v>0.63342987174182874</v>
      </c>
      <c r="T682" s="109">
        <f t="shared" si="54"/>
        <v>0.38672286617492091</v>
      </c>
    </row>
    <row r="683" spans="1:20">
      <c r="A683" s="154">
        <v>803</v>
      </c>
      <c r="B683" s="156">
        <v>2955</v>
      </c>
      <c r="C683" s="133" t="s">
        <v>2962</v>
      </c>
      <c r="D683" s="155" t="s">
        <v>2324</v>
      </c>
      <c r="E683" s="154">
        <v>5</v>
      </c>
      <c r="F683" s="154">
        <v>3</v>
      </c>
      <c r="G683" s="154">
        <v>2</v>
      </c>
      <c r="H683" s="154">
        <v>0</v>
      </c>
      <c r="I683" s="154">
        <v>0</v>
      </c>
      <c r="J683" s="154">
        <v>0</v>
      </c>
      <c r="K683" s="154">
        <v>2.4169999999999998</v>
      </c>
      <c r="L683" s="154">
        <v>2.847</v>
      </c>
      <c r="M683" s="154">
        <v>3.35</v>
      </c>
      <c r="N683" s="154">
        <v>3.948</v>
      </c>
      <c r="O683" s="108">
        <f t="shared" si="50"/>
        <v>0.17790649565577166</v>
      </c>
      <c r="P683" s="108">
        <f t="shared" si="51"/>
        <v>0.17667720407446441</v>
      </c>
      <c r="Q683" s="108">
        <f t="shared" si="52"/>
        <v>0.17850746268656703</v>
      </c>
      <c r="S683" s="109">
        <f t="shared" si="53"/>
        <v>0.63342987174182874</v>
      </c>
      <c r="T683" s="109">
        <f t="shared" si="54"/>
        <v>0.38672286617492091</v>
      </c>
    </row>
    <row r="684" spans="1:20">
      <c r="A684" s="154">
        <v>102</v>
      </c>
      <c r="B684" s="156">
        <v>603708</v>
      </c>
      <c r="C684" s="133" t="s">
        <v>2963</v>
      </c>
      <c r="D684" s="155" t="s">
        <v>2324</v>
      </c>
      <c r="E684" s="154">
        <v>30</v>
      </c>
      <c r="F684" s="154">
        <v>21</v>
      </c>
      <c r="G684" s="154">
        <v>9</v>
      </c>
      <c r="H684" s="154">
        <v>0</v>
      </c>
      <c r="I684" s="154">
        <v>0</v>
      </c>
      <c r="J684" s="154">
        <v>0</v>
      </c>
      <c r="K684" s="154">
        <v>0.70699999999999996</v>
      </c>
      <c r="L684" s="154">
        <v>0.81599999999999995</v>
      </c>
      <c r="M684" s="154">
        <v>0.96299999999999997</v>
      </c>
      <c r="N684" s="154">
        <v>1.131</v>
      </c>
      <c r="O684" s="108">
        <f t="shared" si="50"/>
        <v>0.15417256011315406</v>
      </c>
      <c r="P684" s="108">
        <f t="shared" si="51"/>
        <v>0.18014705882352944</v>
      </c>
      <c r="Q684" s="108">
        <f t="shared" si="52"/>
        <v>0.17445482866043616</v>
      </c>
      <c r="S684" s="109">
        <f t="shared" si="53"/>
        <v>0.59971711456859977</v>
      </c>
      <c r="T684" s="109">
        <f t="shared" si="54"/>
        <v>0.38602941176470607</v>
      </c>
    </row>
    <row r="685" spans="1:20">
      <c r="A685" s="154">
        <v>552</v>
      </c>
      <c r="B685" s="156">
        <v>600271</v>
      </c>
      <c r="C685" s="133" t="s">
        <v>2964</v>
      </c>
      <c r="D685" s="155" t="s">
        <v>2324</v>
      </c>
      <c r="E685" s="154">
        <v>8</v>
      </c>
      <c r="F685" s="154">
        <v>7</v>
      </c>
      <c r="G685" s="154">
        <v>1</v>
      </c>
      <c r="H685" s="154">
        <v>0</v>
      </c>
      <c r="I685" s="154">
        <v>0</v>
      </c>
      <c r="J685" s="154">
        <v>0</v>
      </c>
      <c r="K685" s="154">
        <v>0.86899999999999999</v>
      </c>
      <c r="L685" s="154">
        <v>1.014</v>
      </c>
      <c r="M685" s="154">
        <v>1.18</v>
      </c>
      <c r="N685" s="154">
        <v>1.4039999999999999</v>
      </c>
      <c r="O685" s="108">
        <f t="shared" si="50"/>
        <v>0.16685845799769861</v>
      </c>
      <c r="P685" s="108">
        <f t="shared" si="51"/>
        <v>0.16370808678500981</v>
      </c>
      <c r="Q685" s="108">
        <f t="shared" si="52"/>
        <v>0.18983050847457617</v>
      </c>
      <c r="S685" s="109">
        <f t="shared" si="53"/>
        <v>0.6156501726121979</v>
      </c>
      <c r="T685" s="109">
        <f t="shared" si="54"/>
        <v>0.38461538461538458</v>
      </c>
    </row>
    <row r="686" spans="1:20">
      <c r="A686" s="154">
        <v>626</v>
      </c>
      <c r="B686" s="156">
        <v>600362</v>
      </c>
      <c r="C686" s="133" t="s">
        <v>2965</v>
      </c>
      <c r="D686" s="155" t="s">
        <v>2324</v>
      </c>
      <c r="E686" s="154">
        <v>7</v>
      </c>
      <c r="F686" s="154">
        <v>2</v>
      </c>
      <c r="G686" s="154">
        <v>5</v>
      </c>
      <c r="H686" s="154">
        <v>0</v>
      </c>
      <c r="I686" s="154">
        <v>0</v>
      </c>
      <c r="J686" s="154">
        <v>0</v>
      </c>
      <c r="K686" s="154">
        <v>0.70699999999999996</v>
      </c>
      <c r="L686" s="154">
        <v>0.78</v>
      </c>
      <c r="M686" s="154">
        <v>0.94</v>
      </c>
      <c r="N686" s="154">
        <v>1.08</v>
      </c>
      <c r="O686" s="108">
        <f t="shared" si="50"/>
        <v>0.10325318246110338</v>
      </c>
      <c r="P686" s="108">
        <f t="shared" si="51"/>
        <v>0.20512820512820507</v>
      </c>
      <c r="Q686" s="108">
        <f t="shared" si="52"/>
        <v>0.14893617021276606</v>
      </c>
      <c r="S686" s="109">
        <f t="shared" si="53"/>
        <v>0.5275813295615277</v>
      </c>
      <c r="T686" s="109">
        <f t="shared" si="54"/>
        <v>0.38461538461538458</v>
      </c>
    </row>
    <row r="687" spans="1:20">
      <c r="A687" s="154">
        <v>584</v>
      </c>
      <c r="B687" s="156">
        <v>603026</v>
      </c>
      <c r="C687" s="133" t="s">
        <v>2966</v>
      </c>
      <c r="D687" s="155" t="s">
        <v>2324</v>
      </c>
      <c r="E687" s="154">
        <v>8</v>
      </c>
      <c r="F687" s="154">
        <v>8</v>
      </c>
      <c r="G687" s="154">
        <v>0</v>
      </c>
      <c r="H687" s="154">
        <v>0</v>
      </c>
      <c r="I687" s="154">
        <v>0</v>
      </c>
      <c r="J687" s="154">
        <v>0</v>
      </c>
      <c r="K687" s="154">
        <v>1.0129999999999999</v>
      </c>
      <c r="L687" s="154">
        <v>2.3130000000000002</v>
      </c>
      <c r="M687" s="154">
        <v>2.8149999999999999</v>
      </c>
      <c r="N687" s="154">
        <v>3.202</v>
      </c>
      <c r="O687" s="108">
        <f t="shared" si="50"/>
        <v>1.2833168805528139</v>
      </c>
      <c r="P687" s="108">
        <f t="shared" si="51"/>
        <v>0.21703415477734533</v>
      </c>
      <c r="Q687" s="108">
        <f t="shared" si="52"/>
        <v>0.13747779751332145</v>
      </c>
      <c r="S687" s="109">
        <f t="shared" si="53"/>
        <v>2.160908193484699</v>
      </c>
      <c r="T687" s="109">
        <f t="shared" si="54"/>
        <v>0.38434932987462167</v>
      </c>
    </row>
    <row r="688" spans="1:20">
      <c r="A688" s="154">
        <v>319</v>
      </c>
      <c r="B688" s="156">
        <v>600380</v>
      </c>
      <c r="C688" s="133" t="s">
        <v>2967</v>
      </c>
      <c r="D688" s="155" t="s">
        <v>2324</v>
      </c>
      <c r="E688" s="154">
        <v>16</v>
      </c>
      <c r="F688" s="154">
        <v>10</v>
      </c>
      <c r="G688" s="154">
        <v>6</v>
      </c>
      <c r="H688" s="154">
        <v>0</v>
      </c>
      <c r="I688" s="154">
        <v>0</v>
      </c>
      <c r="J688" s="154">
        <v>0</v>
      </c>
      <c r="K688" s="154">
        <v>0.35899999999999999</v>
      </c>
      <c r="L688" s="154">
        <v>0.44500000000000001</v>
      </c>
      <c r="M688" s="154">
        <v>0.52200000000000002</v>
      </c>
      <c r="N688" s="154">
        <v>0.61599999999999999</v>
      </c>
      <c r="O688" s="108">
        <f t="shared" si="50"/>
        <v>0.23955431754874668</v>
      </c>
      <c r="P688" s="108">
        <f t="shared" si="51"/>
        <v>0.17303370786516847</v>
      </c>
      <c r="Q688" s="108">
        <f t="shared" si="52"/>
        <v>0.18007662835249039</v>
      </c>
      <c r="S688" s="109">
        <f t="shared" si="53"/>
        <v>0.71587743732590536</v>
      </c>
      <c r="T688" s="109">
        <f t="shared" si="54"/>
        <v>0.38426966292134823</v>
      </c>
    </row>
    <row r="689" spans="1:20">
      <c r="A689" s="154">
        <v>241</v>
      </c>
      <c r="B689" s="156">
        <v>601966</v>
      </c>
      <c r="C689" s="133" t="s">
        <v>2968</v>
      </c>
      <c r="D689" s="155" t="s">
        <v>2324</v>
      </c>
      <c r="E689" s="154">
        <v>19</v>
      </c>
      <c r="F689" s="154">
        <v>15</v>
      </c>
      <c r="G689" s="154">
        <v>4</v>
      </c>
      <c r="H689" s="154">
        <v>0</v>
      </c>
      <c r="I689" s="154">
        <v>0</v>
      </c>
      <c r="J689" s="154">
        <v>0</v>
      </c>
      <c r="K689" s="154">
        <v>0.98399999999999999</v>
      </c>
      <c r="L689" s="154">
        <v>1.32</v>
      </c>
      <c r="M689" s="154">
        <v>1.5580000000000001</v>
      </c>
      <c r="N689" s="154">
        <v>1.827</v>
      </c>
      <c r="O689" s="108">
        <f t="shared" si="50"/>
        <v>0.34146341463414642</v>
      </c>
      <c r="P689" s="108">
        <f t="shared" si="51"/>
        <v>0.18030303030303019</v>
      </c>
      <c r="Q689" s="108">
        <f t="shared" si="52"/>
        <v>0.17265725288831835</v>
      </c>
      <c r="S689" s="109">
        <f t="shared" si="53"/>
        <v>0.85670731707317072</v>
      </c>
      <c r="T689" s="109">
        <f t="shared" si="54"/>
        <v>0.38409090909090904</v>
      </c>
    </row>
    <row r="690" spans="1:20">
      <c r="A690" s="154">
        <v>495</v>
      </c>
      <c r="B690" s="156">
        <v>2174</v>
      </c>
      <c r="C690" s="133" t="s">
        <v>2969</v>
      </c>
      <c r="D690" s="155" t="s">
        <v>2324</v>
      </c>
      <c r="E690" s="154">
        <v>10</v>
      </c>
      <c r="F690" s="154">
        <v>6</v>
      </c>
      <c r="G690" s="154">
        <v>4</v>
      </c>
      <c r="H690" s="154">
        <v>0</v>
      </c>
      <c r="I690" s="154">
        <v>0</v>
      </c>
      <c r="J690" s="154">
        <v>0</v>
      </c>
      <c r="K690" s="154">
        <v>1.1359999999999999</v>
      </c>
      <c r="L690" s="154">
        <v>1.2789999999999999</v>
      </c>
      <c r="M690" s="154">
        <v>1.5169999999999999</v>
      </c>
      <c r="N690" s="154">
        <v>1.77</v>
      </c>
      <c r="O690" s="108">
        <f t="shared" si="50"/>
        <v>0.12588028169014076</v>
      </c>
      <c r="P690" s="108">
        <f t="shared" si="51"/>
        <v>0.18608287724784978</v>
      </c>
      <c r="Q690" s="108">
        <f t="shared" si="52"/>
        <v>0.16677653263019132</v>
      </c>
      <c r="S690" s="109">
        <f t="shared" si="53"/>
        <v>0.55809859154929597</v>
      </c>
      <c r="T690" s="109">
        <f t="shared" si="54"/>
        <v>0.38389366692728699</v>
      </c>
    </row>
    <row r="691" spans="1:20">
      <c r="A691" s="154">
        <v>589</v>
      </c>
      <c r="B691" s="156">
        <v>603730</v>
      </c>
      <c r="C691" s="133" t="s">
        <v>2970</v>
      </c>
      <c r="D691" s="155" t="s">
        <v>2324</v>
      </c>
      <c r="E691" s="154">
        <v>8</v>
      </c>
      <c r="F691" s="154">
        <v>5</v>
      </c>
      <c r="G691" s="154">
        <v>3</v>
      </c>
      <c r="H691" s="154">
        <v>0</v>
      </c>
      <c r="I691" s="154">
        <v>0</v>
      </c>
      <c r="J691" s="154">
        <v>0</v>
      </c>
      <c r="K691" s="154">
        <v>1.393</v>
      </c>
      <c r="L691" s="154">
        <v>1.647</v>
      </c>
      <c r="M691" s="154">
        <v>1.9830000000000001</v>
      </c>
      <c r="N691" s="154">
        <v>2.2789999999999999</v>
      </c>
      <c r="O691" s="108">
        <f t="shared" si="50"/>
        <v>0.18234027279253406</v>
      </c>
      <c r="P691" s="108">
        <f t="shared" si="51"/>
        <v>0.20400728597449924</v>
      </c>
      <c r="Q691" s="108">
        <f t="shared" si="52"/>
        <v>0.14926878466969229</v>
      </c>
      <c r="S691" s="109">
        <f t="shared" si="53"/>
        <v>0.63603732950466618</v>
      </c>
      <c r="T691" s="109">
        <f t="shared" si="54"/>
        <v>0.38372799028536719</v>
      </c>
    </row>
    <row r="692" spans="1:20">
      <c r="A692" s="154">
        <v>340</v>
      </c>
      <c r="B692" s="156">
        <v>600233</v>
      </c>
      <c r="C692" s="133" t="s">
        <v>2971</v>
      </c>
      <c r="D692" s="155" t="s">
        <v>2324</v>
      </c>
      <c r="E692" s="154">
        <v>15</v>
      </c>
      <c r="F692" s="154">
        <v>12</v>
      </c>
      <c r="G692" s="154">
        <v>3</v>
      </c>
      <c r="H692" s="154">
        <v>0</v>
      </c>
      <c r="I692" s="154">
        <v>0</v>
      </c>
      <c r="J692" s="154">
        <v>0</v>
      </c>
      <c r="K692" s="154">
        <v>0.67</v>
      </c>
      <c r="L692" s="154">
        <v>0.749</v>
      </c>
      <c r="M692" s="154">
        <v>0.88200000000000001</v>
      </c>
      <c r="N692" s="154">
        <v>1.036</v>
      </c>
      <c r="O692" s="108">
        <f t="shared" si="50"/>
        <v>0.11791044776119386</v>
      </c>
      <c r="P692" s="108">
        <f t="shared" si="51"/>
        <v>0.17757009345794383</v>
      </c>
      <c r="Q692" s="108">
        <f t="shared" si="52"/>
        <v>0.17460317460317465</v>
      </c>
      <c r="S692" s="109">
        <f t="shared" si="53"/>
        <v>0.54626865671641789</v>
      </c>
      <c r="T692" s="109">
        <f t="shared" si="54"/>
        <v>0.3831775700934581</v>
      </c>
    </row>
    <row r="693" spans="1:20">
      <c r="A693" s="154">
        <v>466</v>
      </c>
      <c r="B693" s="156">
        <v>300070</v>
      </c>
      <c r="C693" s="133" t="s">
        <v>2972</v>
      </c>
      <c r="D693" s="155" t="s">
        <v>2324</v>
      </c>
      <c r="E693" s="154">
        <v>11</v>
      </c>
      <c r="F693" s="154">
        <v>8</v>
      </c>
      <c r="G693" s="154">
        <v>3</v>
      </c>
      <c r="H693" s="154">
        <v>0</v>
      </c>
      <c r="I693" s="154">
        <v>0</v>
      </c>
      <c r="J693" s="154">
        <v>0</v>
      </c>
      <c r="K693" s="154">
        <v>0.39300000000000002</v>
      </c>
      <c r="L693" s="154">
        <v>0.41499999999999998</v>
      </c>
      <c r="M693" s="154">
        <v>0.47799999999999998</v>
      </c>
      <c r="N693" s="154">
        <v>0.57399999999999995</v>
      </c>
      <c r="O693" s="108">
        <f t="shared" si="50"/>
        <v>5.5979643765903253E-2</v>
      </c>
      <c r="P693" s="108">
        <f t="shared" si="51"/>
        <v>0.15180722891566267</v>
      </c>
      <c r="Q693" s="108">
        <f t="shared" si="52"/>
        <v>0.20083682008368187</v>
      </c>
      <c r="S693" s="109">
        <f t="shared" si="53"/>
        <v>0.46055979643765887</v>
      </c>
      <c r="T693" s="109">
        <f t="shared" si="54"/>
        <v>0.38313253012048198</v>
      </c>
    </row>
    <row r="694" spans="1:20">
      <c r="A694" s="154">
        <v>800</v>
      </c>
      <c r="B694" s="156">
        <v>603360</v>
      </c>
      <c r="C694" s="133" t="s">
        <v>2973</v>
      </c>
      <c r="D694" s="155" t="s">
        <v>2324</v>
      </c>
      <c r="E694" s="154">
        <v>5</v>
      </c>
      <c r="F694" s="154">
        <v>5</v>
      </c>
      <c r="G694" s="154">
        <v>0</v>
      </c>
      <c r="H694" s="154">
        <v>0</v>
      </c>
      <c r="I694" s="154">
        <v>0</v>
      </c>
      <c r="J694" s="154">
        <v>0</v>
      </c>
      <c r="K694" s="154">
        <v>0.77800000000000002</v>
      </c>
      <c r="L694" s="154">
        <v>2.1469999999999998</v>
      </c>
      <c r="M694" s="154">
        <v>2.7330000000000001</v>
      </c>
      <c r="N694" s="154">
        <v>2.9689999999999999</v>
      </c>
      <c r="O694" s="108">
        <f t="shared" si="50"/>
        <v>1.7596401028277633</v>
      </c>
      <c r="P694" s="108">
        <f t="shared" si="51"/>
        <v>0.27293898462971611</v>
      </c>
      <c r="Q694" s="108">
        <f t="shared" si="52"/>
        <v>8.6351994145627442E-2</v>
      </c>
      <c r="S694" s="109">
        <f t="shared" si="53"/>
        <v>2.8161953727506424</v>
      </c>
      <c r="T694" s="109">
        <f t="shared" si="54"/>
        <v>0.38285980437820211</v>
      </c>
    </row>
    <row r="695" spans="1:20">
      <c r="A695" s="154">
        <v>808</v>
      </c>
      <c r="B695" s="156">
        <v>603360</v>
      </c>
      <c r="C695" s="133" t="s">
        <v>2973</v>
      </c>
      <c r="D695" s="155" t="s">
        <v>2324</v>
      </c>
      <c r="E695" s="154">
        <v>5</v>
      </c>
      <c r="F695" s="154">
        <v>5</v>
      </c>
      <c r="G695" s="154">
        <v>0</v>
      </c>
      <c r="H695" s="154">
        <v>0</v>
      </c>
      <c r="I695" s="154">
        <v>0</v>
      </c>
      <c r="J695" s="154">
        <v>0</v>
      </c>
      <c r="K695" s="154">
        <v>0.77800000000000002</v>
      </c>
      <c r="L695" s="154">
        <v>2.1469999999999998</v>
      </c>
      <c r="M695" s="154">
        <v>2.7330000000000001</v>
      </c>
      <c r="N695" s="154">
        <v>2.9689999999999999</v>
      </c>
      <c r="O695" s="108">
        <f t="shared" si="50"/>
        <v>1.7596401028277633</v>
      </c>
      <c r="P695" s="108">
        <f t="shared" si="51"/>
        <v>0.27293898462971611</v>
      </c>
      <c r="Q695" s="108">
        <f t="shared" si="52"/>
        <v>8.6351994145627442E-2</v>
      </c>
      <c r="S695" s="109">
        <f t="shared" si="53"/>
        <v>2.8161953727506424</v>
      </c>
      <c r="T695" s="109">
        <f t="shared" si="54"/>
        <v>0.38285980437820211</v>
      </c>
    </row>
    <row r="696" spans="1:20">
      <c r="A696" s="154">
        <v>121</v>
      </c>
      <c r="B696" s="156">
        <v>2352</v>
      </c>
      <c r="C696" s="133" t="s">
        <v>2974</v>
      </c>
      <c r="D696" s="155" t="s">
        <v>2324</v>
      </c>
      <c r="E696" s="154">
        <v>28</v>
      </c>
      <c r="F696" s="154">
        <v>19</v>
      </c>
      <c r="G696" s="154">
        <v>9</v>
      </c>
      <c r="H696" s="154">
        <v>0</v>
      </c>
      <c r="I696" s="154">
        <v>0</v>
      </c>
      <c r="J696" s="154">
        <v>0</v>
      </c>
      <c r="K696" s="154">
        <v>1.032</v>
      </c>
      <c r="L696" s="154">
        <v>1.306</v>
      </c>
      <c r="M696" s="154">
        <v>1.53</v>
      </c>
      <c r="N696" s="154">
        <v>1.806</v>
      </c>
      <c r="O696" s="108">
        <f t="shared" si="50"/>
        <v>0.26550387596899228</v>
      </c>
      <c r="P696" s="108">
        <f t="shared" si="51"/>
        <v>0.17151607963246551</v>
      </c>
      <c r="Q696" s="108">
        <f t="shared" si="52"/>
        <v>0.18039215686274512</v>
      </c>
      <c r="S696" s="109">
        <f t="shared" si="53"/>
        <v>0.75</v>
      </c>
      <c r="T696" s="109">
        <f t="shared" si="54"/>
        <v>0.38284839203675336</v>
      </c>
    </row>
    <row r="697" spans="1:20">
      <c r="A697" s="154">
        <v>313</v>
      </c>
      <c r="B697" s="156">
        <v>2080</v>
      </c>
      <c r="C697" s="133" t="s">
        <v>2975</v>
      </c>
      <c r="D697" s="155" t="s">
        <v>2324</v>
      </c>
      <c r="E697" s="154">
        <v>16</v>
      </c>
      <c r="F697" s="154">
        <v>13</v>
      </c>
      <c r="G697" s="154">
        <v>3</v>
      </c>
      <c r="H697" s="154">
        <v>0</v>
      </c>
      <c r="I697" s="154">
        <v>0</v>
      </c>
      <c r="J697" s="154">
        <v>0</v>
      </c>
      <c r="K697" s="154">
        <v>0.55700000000000005</v>
      </c>
      <c r="L697" s="154">
        <v>0.81499999999999995</v>
      </c>
      <c r="M697" s="154">
        <v>0.97</v>
      </c>
      <c r="N697" s="154">
        <v>1.127</v>
      </c>
      <c r="O697" s="108">
        <f t="shared" si="50"/>
        <v>0.4631956912028723</v>
      </c>
      <c r="P697" s="108">
        <f t="shared" si="51"/>
        <v>0.19018404907975461</v>
      </c>
      <c r="Q697" s="108">
        <f t="shared" si="52"/>
        <v>0.16185567010309287</v>
      </c>
      <c r="S697" s="109">
        <f t="shared" si="53"/>
        <v>1.0233393177737882</v>
      </c>
      <c r="T697" s="109">
        <f t="shared" si="54"/>
        <v>0.38282208588957056</v>
      </c>
    </row>
    <row r="698" spans="1:20">
      <c r="A698" s="154">
        <v>288</v>
      </c>
      <c r="B698" s="156">
        <v>601877</v>
      </c>
      <c r="C698" s="133" t="s">
        <v>2976</v>
      </c>
      <c r="D698" s="155" t="s">
        <v>2324</v>
      </c>
      <c r="E698" s="154">
        <v>17</v>
      </c>
      <c r="F698" s="154">
        <v>14</v>
      </c>
      <c r="G698" s="154">
        <v>3</v>
      </c>
      <c r="H698" s="154">
        <v>0</v>
      </c>
      <c r="I698" s="154">
        <v>0</v>
      </c>
      <c r="J698" s="154">
        <v>0</v>
      </c>
      <c r="K698" s="154">
        <v>1.669</v>
      </c>
      <c r="L698" s="154">
        <v>1.909</v>
      </c>
      <c r="M698" s="154">
        <v>2.2589999999999999</v>
      </c>
      <c r="N698" s="154">
        <v>2.637</v>
      </c>
      <c r="O698" s="108">
        <f t="shared" si="50"/>
        <v>0.14379868184541644</v>
      </c>
      <c r="P698" s="108">
        <f t="shared" si="51"/>
        <v>0.18334206390780516</v>
      </c>
      <c r="Q698" s="108">
        <f t="shared" si="52"/>
        <v>0.16733067729083673</v>
      </c>
      <c r="S698" s="109">
        <f t="shared" si="53"/>
        <v>0.57998801677651279</v>
      </c>
      <c r="T698" s="109">
        <f t="shared" si="54"/>
        <v>0.38135149292823467</v>
      </c>
    </row>
    <row r="699" spans="1:20">
      <c r="A699" s="154">
        <v>287</v>
      </c>
      <c r="B699" s="156">
        <v>300113</v>
      </c>
      <c r="C699" s="133" t="s">
        <v>2977</v>
      </c>
      <c r="D699" s="155" t="s">
        <v>2324</v>
      </c>
      <c r="E699" s="154">
        <v>17</v>
      </c>
      <c r="F699" s="154">
        <v>16</v>
      </c>
      <c r="G699" s="154">
        <v>1</v>
      </c>
      <c r="H699" s="154">
        <v>0</v>
      </c>
      <c r="I699" s="154">
        <v>0</v>
      </c>
      <c r="J699" s="154">
        <v>0</v>
      </c>
      <c r="K699" s="154">
        <v>0.46300000000000002</v>
      </c>
      <c r="L699" s="154">
        <v>0.65300000000000002</v>
      </c>
      <c r="M699" s="154">
        <v>0.75900000000000001</v>
      </c>
      <c r="N699" s="154">
        <v>0.90200000000000002</v>
      </c>
      <c r="O699" s="108">
        <f t="shared" si="50"/>
        <v>0.41036717062634986</v>
      </c>
      <c r="P699" s="108">
        <f t="shared" si="51"/>
        <v>0.16232771822358338</v>
      </c>
      <c r="Q699" s="108">
        <f t="shared" si="52"/>
        <v>0.18840579710144922</v>
      </c>
      <c r="S699" s="109">
        <f t="shared" si="53"/>
        <v>0.94816414686825046</v>
      </c>
      <c r="T699" s="109">
        <f t="shared" si="54"/>
        <v>0.38131699846860645</v>
      </c>
    </row>
    <row r="700" spans="1:20">
      <c r="A700" s="154">
        <v>865</v>
      </c>
      <c r="B700" s="156">
        <v>601</v>
      </c>
      <c r="C700" s="133" t="s">
        <v>2978</v>
      </c>
      <c r="D700" s="155" t="s">
        <v>2324</v>
      </c>
      <c r="E700" s="154">
        <v>4</v>
      </c>
      <c r="F700" s="154">
        <v>4</v>
      </c>
      <c r="G700" s="154">
        <v>0</v>
      </c>
      <c r="H700" s="154">
        <v>0</v>
      </c>
      <c r="I700" s="154">
        <v>0</v>
      </c>
      <c r="J700" s="154">
        <v>0</v>
      </c>
      <c r="K700" s="154">
        <v>0.28000000000000003</v>
      </c>
      <c r="L700" s="154">
        <v>0.54500000000000004</v>
      </c>
      <c r="M700" s="154">
        <v>0.64100000000000001</v>
      </c>
      <c r="N700" s="154">
        <v>0.752</v>
      </c>
      <c r="O700" s="108">
        <f t="shared" si="50"/>
        <v>0.9464285714285714</v>
      </c>
      <c r="P700" s="108">
        <f t="shared" si="51"/>
        <v>0.1761467889908257</v>
      </c>
      <c r="Q700" s="108">
        <f t="shared" si="52"/>
        <v>0.17316692667706701</v>
      </c>
      <c r="S700" s="109">
        <f t="shared" si="53"/>
        <v>1.6857142857142855</v>
      </c>
      <c r="T700" s="109">
        <f t="shared" si="54"/>
        <v>0.37981651376146774</v>
      </c>
    </row>
    <row r="701" spans="1:20">
      <c r="A701" s="154">
        <v>478</v>
      </c>
      <c r="B701" s="156">
        <v>601229</v>
      </c>
      <c r="C701" s="133" t="s">
        <v>2979</v>
      </c>
      <c r="D701" s="155" t="s">
        <v>2324</v>
      </c>
      <c r="E701" s="154">
        <v>10</v>
      </c>
      <c r="F701" s="154">
        <v>3</v>
      </c>
      <c r="G701" s="154">
        <v>7</v>
      </c>
      <c r="H701" s="154">
        <v>0</v>
      </c>
      <c r="I701" s="154">
        <v>0</v>
      </c>
      <c r="J701" s="154">
        <v>0</v>
      </c>
      <c r="K701" s="154">
        <v>1.2689999999999999</v>
      </c>
      <c r="L701" s="154">
        <v>1.4019999999999999</v>
      </c>
      <c r="M701" s="154">
        <v>1.6020000000000001</v>
      </c>
      <c r="N701" s="154">
        <v>1.9339999999999999</v>
      </c>
      <c r="O701" s="108">
        <f t="shared" si="50"/>
        <v>0.10480693459416868</v>
      </c>
      <c r="P701" s="108">
        <f t="shared" si="51"/>
        <v>0.14265335235378052</v>
      </c>
      <c r="Q701" s="108">
        <f t="shared" si="52"/>
        <v>0.20724094881398236</v>
      </c>
      <c r="S701" s="109">
        <f t="shared" si="53"/>
        <v>0.52403467297084316</v>
      </c>
      <c r="T701" s="109">
        <f t="shared" si="54"/>
        <v>0.37945791726105571</v>
      </c>
    </row>
    <row r="702" spans="1:20">
      <c r="A702" s="154">
        <v>68</v>
      </c>
      <c r="B702" s="156">
        <v>603808</v>
      </c>
      <c r="C702" s="133" t="s">
        <v>2980</v>
      </c>
      <c r="D702" s="155" t="s">
        <v>2324</v>
      </c>
      <c r="E702" s="154">
        <v>34</v>
      </c>
      <c r="F702" s="154">
        <v>30</v>
      </c>
      <c r="G702" s="154">
        <v>4</v>
      </c>
      <c r="H702" s="154">
        <v>0</v>
      </c>
      <c r="I702" s="154">
        <v>0</v>
      </c>
      <c r="J702" s="154">
        <v>0</v>
      </c>
      <c r="K702" s="154">
        <v>1.0980000000000001</v>
      </c>
      <c r="L702" s="154">
        <v>1.252</v>
      </c>
      <c r="M702" s="154">
        <v>1.4750000000000001</v>
      </c>
      <c r="N702" s="154">
        <v>1.7270000000000001</v>
      </c>
      <c r="O702" s="108">
        <f t="shared" si="50"/>
        <v>0.14025500910746813</v>
      </c>
      <c r="P702" s="108">
        <f t="shared" si="51"/>
        <v>0.1781150159744409</v>
      </c>
      <c r="Q702" s="108">
        <f t="shared" si="52"/>
        <v>0.17084745762711862</v>
      </c>
      <c r="S702" s="109">
        <f t="shared" si="53"/>
        <v>0.57285974499089254</v>
      </c>
      <c r="T702" s="109">
        <f t="shared" si="54"/>
        <v>0.37939297124600646</v>
      </c>
    </row>
    <row r="703" spans="1:20">
      <c r="A703" s="154">
        <v>738</v>
      </c>
      <c r="B703" s="156">
        <v>300428</v>
      </c>
      <c r="C703" s="133" t="s">
        <v>2981</v>
      </c>
      <c r="D703" s="155" t="s">
        <v>2324</v>
      </c>
      <c r="E703" s="154">
        <v>6</v>
      </c>
      <c r="F703" s="154">
        <v>3</v>
      </c>
      <c r="G703" s="154">
        <v>3</v>
      </c>
      <c r="H703" s="154">
        <v>0</v>
      </c>
      <c r="I703" s="154">
        <v>0</v>
      </c>
      <c r="J703" s="154">
        <v>0</v>
      </c>
      <c r="K703" s="154">
        <v>0.67500000000000004</v>
      </c>
      <c r="L703" s="154">
        <v>0.77</v>
      </c>
      <c r="M703" s="154">
        <v>0.89900000000000002</v>
      </c>
      <c r="N703" s="154">
        <v>1.0620000000000001</v>
      </c>
      <c r="O703" s="108">
        <f t="shared" si="50"/>
        <v>0.14074074074074061</v>
      </c>
      <c r="P703" s="108">
        <f t="shared" si="51"/>
        <v>0.16753246753246764</v>
      </c>
      <c r="Q703" s="108">
        <f t="shared" si="52"/>
        <v>0.18131256952169084</v>
      </c>
      <c r="S703" s="109">
        <f t="shared" si="53"/>
        <v>0.57333333333333325</v>
      </c>
      <c r="T703" s="109">
        <f t="shared" si="54"/>
        <v>0.37922077922077935</v>
      </c>
    </row>
    <row r="704" spans="1:20">
      <c r="A704" s="154">
        <v>814</v>
      </c>
      <c r="B704" s="156">
        <v>601838</v>
      </c>
      <c r="C704" s="133" t="s">
        <v>2982</v>
      </c>
      <c r="D704" s="155" t="s">
        <v>2324</v>
      </c>
      <c r="E704" s="154">
        <v>5</v>
      </c>
      <c r="F704" s="154">
        <v>3</v>
      </c>
      <c r="G704" s="154">
        <v>2</v>
      </c>
      <c r="H704" s="154">
        <v>0</v>
      </c>
      <c r="I704" s="154">
        <v>0</v>
      </c>
      <c r="J704" s="154">
        <v>0</v>
      </c>
      <c r="K704" s="154">
        <v>1.2869999999999999</v>
      </c>
      <c r="L704" s="154">
        <v>1.524</v>
      </c>
      <c r="M704" s="154">
        <v>1.7869999999999999</v>
      </c>
      <c r="N704" s="154">
        <v>2.0990000000000002</v>
      </c>
      <c r="O704" s="108">
        <f t="shared" si="50"/>
        <v>0.18414918414918424</v>
      </c>
      <c r="P704" s="108">
        <f t="shared" si="51"/>
        <v>0.17257217847769013</v>
      </c>
      <c r="Q704" s="108">
        <f t="shared" si="52"/>
        <v>0.17459429210968125</v>
      </c>
      <c r="S704" s="109">
        <f t="shared" si="53"/>
        <v>0.63092463092463125</v>
      </c>
      <c r="T704" s="109">
        <f t="shared" si="54"/>
        <v>0.37729658792650933</v>
      </c>
    </row>
    <row r="705" spans="1:20">
      <c r="A705" s="154">
        <v>31</v>
      </c>
      <c r="B705" s="156">
        <v>2007</v>
      </c>
      <c r="C705" s="133" t="s">
        <v>2983</v>
      </c>
      <c r="D705" s="155" t="s">
        <v>2324</v>
      </c>
      <c r="E705" s="154">
        <v>45</v>
      </c>
      <c r="F705" s="154">
        <v>34</v>
      </c>
      <c r="G705" s="154">
        <v>11</v>
      </c>
      <c r="H705" s="154">
        <v>0</v>
      </c>
      <c r="I705" s="154">
        <v>0</v>
      </c>
      <c r="J705" s="154">
        <v>0</v>
      </c>
      <c r="K705" s="154">
        <v>0.81200000000000006</v>
      </c>
      <c r="L705" s="154">
        <v>1.016</v>
      </c>
      <c r="M705" s="154">
        <v>1.2090000000000001</v>
      </c>
      <c r="N705" s="154">
        <v>1.399</v>
      </c>
      <c r="O705" s="108">
        <f t="shared" si="50"/>
        <v>0.25123152709359609</v>
      </c>
      <c r="P705" s="108">
        <f t="shared" si="51"/>
        <v>0.18996062992125995</v>
      </c>
      <c r="Q705" s="108">
        <f t="shared" si="52"/>
        <v>0.15715467328370547</v>
      </c>
      <c r="S705" s="109">
        <f t="shared" si="53"/>
        <v>0.72290640394088657</v>
      </c>
      <c r="T705" s="109">
        <f t="shared" si="54"/>
        <v>0.37696850393700787</v>
      </c>
    </row>
    <row r="706" spans="1:20">
      <c r="A706" s="154">
        <v>908</v>
      </c>
      <c r="B706" s="156">
        <v>603113</v>
      </c>
      <c r="C706" s="133" t="s">
        <v>2984</v>
      </c>
      <c r="D706" s="155" t="s">
        <v>2324</v>
      </c>
      <c r="E706" s="154">
        <v>4</v>
      </c>
      <c r="F706" s="154">
        <v>0</v>
      </c>
      <c r="G706" s="154">
        <v>4</v>
      </c>
      <c r="H706" s="154">
        <v>0</v>
      </c>
      <c r="I706" s="154">
        <v>0</v>
      </c>
      <c r="J706" s="154">
        <v>0</v>
      </c>
      <c r="K706" s="154">
        <v>1.879</v>
      </c>
      <c r="L706" s="154">
        <v>1.2210000000000001</v>
      </c>
      <c r="M706" s="154">
        <v>1.353</v>
      </c>
      <c r="N706" s="154">
        <v>1.681</v>
      </c>
      <c r="O706" s="108">
        <f t="shared" si="50"/>
        <v>-0.35018626929217667</v>
      </c>
      <c r="P706" s="108">
        <f t="shared" si="51"/>
        <v>0.10810810810810811</v>
      </c>
      <c r="Q706" s="108">
        <f t="shared" si="52"/>
        <v>0.24242424242424243</v>
      </c>
      <c r="S706" s="109">
        <f t="shared" si="53"/>
        <v>-0.10537519957424157</v>
      </c>
      <c r="T706" s="109">
        <f t="shared" si="54"/>
        <v>0.37674037674037675</v>
      </c>
    </row>
    <row r="707" spans="1:20">
      <c r="A707" s="154">
        <v>981</v>
      </c>
      <c r="B707" s="156">
        <v>600459</v>
      </c>
      <c r="C707" s="133" t="s">
        <v>2985</v>
      </c>
      <c r="D707" s="155" t="s">
        <v>2324</v>
      </c>
      <c r="E707" s="154">
        <v>3</v>
      </c>
      <c r="F707" s="154">
        <v>0</v>
      </c>
      <c r="G707" s="154">
        <v>3</v>
      </c>
      <c r="H707" s="154">
        <v>0</v>
      </c>
      <c r="I707" s="154">
        <v>0</v>
      </c>
      <c r="J707" s="154">
        <v>0</v>
      </c>
      <c r="K707" s="154">
        <v>0.35899999999999999</v>
      </c>
      <c r="L707" s="154">
        <v>0.48099999999999998</v>
      </c>
      <c r="M707" s="154">
        <v>0.56000000000000005</v>
      </c>
      <c r="N707" s="154">
        <v>0.66200000000000003</v>
      </c>
      <c r="O707" s="108">
        <f t="shared" ref="O707:O770" si="55">L707/K707-1</f>
        <v>0.33983286908077992</v>
      </c>
      <c r="P707" s="108">
        <f t="shared" ref="P707:P770" si="56">M707/L707-1</f>
        <v>0.16424116424116431</v>
      </c>
      <c r="Q707" s="108">
        <f t="shared" ref="Q707:Q770" si="57">N707/M707-1</f>
        <v>0.18214285714285716</v>
      </c>
      <c r="S707" s="109">
        <f t="shared" ref="S707:S770" si="58">N707/K707-1</f>
        <v>0.84401114206128147</v>
      </c>
      <c r="T707" s="109">
        <f t="shared" ref="T707:T770" si="59">N707/L707-1</f>
        <v>0.37629937629937649</v>
      </c>
    </row>
    <row r="708" spans="1:20">
      <c r="A708" s="154">
        <v>181</v>
      </c>
      <c r="B708" s="156">
        <v>603801</v>
      </c>
      <c r="C708" s="133" t="s">
        <v>2986</v>
      </c>
      <c r="D708" s="155" t="s">
        <v>2324</v>
      </c>
      <c r="E708" s="154">
        <v>23</v>
      </c>
      <c r="F708" s="154">
        <v>13</v>
      </c>
      <c r="G708" s="154">
        <v>10</v>
      </c>
      <c r="H708" s="154">
        <v>0</v>
      </c>
      <c r="I708" s="154">
        <v>0</v>
      </c>
      <c r="J708" s="154">
        <v>0</v>
      </c>
      <c r="K708" s="154">
        <v>1.222</v>
      </c>
      <c r="L708" s="154">
        <v>1.4339999999999999</v>
      </c>
      <c r="M708" s="154">
        <v>1.6870000000000001</v>
      </c>
      <c r="N708" s="154">
        <v>1.972</v>
      </c>
      <c r="O708" s="108">
        <f t="shared" si="55"/>
        <v>0.17348608837970536</v>
      </c>
      <c r="P708" s="108">
        <f t="shared" si="56"/>
        <v>0.17642956764295681</v>
      </c>
      <c r="Q708" s="108">
        <f t="shared" si="57"/>
        <v>0.16893894487255467</v>
      </c>
      <c r="S708" s="109">
        <f t="shared" si="58"/>
        <v>0.61374795417348604</v>
      </c>
      <c r="T708" s="109">
        <f t="shared" si="59"/>
        <v>0.3751743375174339</v>
      </c>
    </row>
    <row r="709" spans="1:20">
      <c r="A709" s="154">
        <v>614</v>
      </c>
      <c r="B709" s="156">
        <v>2391</v>
      </c>
      <c r="C709" s="133" t="s">
        <v>1337</v>
      </c>
      <c r="D709" s="155" t="s">
        <v>2324</v>
      </c>
      <c r="E709" s="154">
        <v>8</v>
      </c>
      <c r="F709" s="154">
        <v>4</v>
      </c>
      <c r="G709" s="154">
        <v>4</v>
      </c>
      <c r="H709" s="154">
        <v>0</v>
      </c>
      <c r="I709" s="154">
        <v>0</v>
      </c>
      <c r="J709" s="154">
        <v>0</v>
      </c>
      <c r="K709" s="154">
        <v>0.59199999999999997</v>
      </c>
      <c r="L709" s="154">
        <v>0.72499999999999998</v>
      </c>
      <c r="M709" s="154">
        <v>0.86399999999999999</v>
      </c>
      <c r="N709" s="154">
        <v>0.996</v>
      </c>
      <c r="O709" s="108">
        <f t="shared" si="55"/>
        <v>0.22466216216216228</v>
      </c>
      <c r="P709" s="108">
        <f t="shared" si="56"/>
        <v>0.1917241379310346</v>
      </c>
      <c r="Q709" s="108">
        <f t="shared" si="57"/>
        <v>0.15277777777777768</v>
      </c>
      <c r="S709" s="109">
        <f t="shared" si="58"/>
        <v>0.68243243243243246</v>
      </c>
      <c r="T709" s="109">
        <f t="shared" si="59"/>
        <v>0.37379310344827599</v>
      </c>
    </row>
    <row r="710" spans="1:20">
      <c r="A710" s="154">
        <v>137</v>
      </c>
      <c r="B710" s="156">
        <v>425</v>
      </c>
      <c r="C710" s="133" t="s">
        <v>2987</v>
      </c>
      <c r="D710" s="155" t="s">
        <v>2324</v>
      </c>
      <c r="E710" s="154">
        <v>27</v>
      </c>
      <c r="F710" s="154">
        <v>24</v>
      </c>
      <c r="G710" s="154">
        <v>3</v>
      </c>
      <c r="H710" s="154">
        <v>0</v>
      </c>
      <c r="I710" s="154">
        <v>0</v>
      </c>
      <c r="J710" s="154">
        <v>0</v>
      </c>
      <c r="K710" s="154">
        <v>0.26100000000000001</v>
      </c>
      <c r="L710" s="154">
        <v>0.501</v>
      </c>
      <c r="M710" s="154">
        <v>0.60899999999999999</v>
      </c>
      <c r="N710" s="154">
        <v>0.68799999999999994</v>
      </c>
      <c r="O710" s="108">
        <f t="shared" si="55"/>
        <v>0.91954022988505746</v>
      </c>
      <c r="P710" s="108">
        <f t="shared" si="56"/>
        <v>0.21556886227544902</v>
      </c>
      <c r="Q710" s="108">
        <f t="shared" si="57"/>
        <v>0.12972085385878485</v>
      </c>
      <c r="S710" s="109">
        <f t="shared" si="58"/>
        <v>1.6360153256704977</v>
      </c>
      <c r="T710" s="109">
        <f t="shared" si="59"/>
        <v>0.37325349301397193</v>
      </c>
    </row>
    <row r="711" spans="1:20">
      <c r="A711" s="154">
        <v>938</v>
      </c>
      <c r="B711" s="156">
        <v>2530</v>
      </c>
      <c r="C711" s="133" t="s">
        <v>2988</v>
      </c>
      <c r="D711" s="155" t="s">
        <v>2324</v>
      </c>
      <c r="E711" s="154">
        <v>4</v>
      </c>
      <c r="F711" s="154">
        <v>4</v>
      </c>
      <c r="G711" s="154">
        <v>0</v>
      </c>
      <c r="H711" s="154">
        <v>0</v>
      </c>
      <c r="I711" s="154">
        <v>0</v>
      </c>
      <c r="J711" s="154">
        <v>0</v>
      </c>
      <c r="K711" s="154">
        <v>0.373</v>
      </c>
      <c r="L711" s="154">
        <v>0.46400000000000002</v>
      </c>
      <c r="M711" s="154">
        <v>0.54500000000000004</v>
      </c>
      <c r="N711" s="154">
        <v>0.63700000000000001</v>
      </c>
      <c r="O711" s="108">
        <f t="shared" si="55"/>
        <v>0.24396782841823073</v>
      </c>
      <c r="P711" s="108">
        <f t="shared" si="56"/>
        <v>0.17456896551724133</v>
      </c>
      <c r="Q711" s="108">
        <f t="shared" si="57"/>
        <v>0.16880733944954129</v>
      </c>
      <c r="S711" s="109">
        <f t="shared" si="58"/>
        <v>0.70777479892761397</v>
      </c>
      <c r="T711" s="109">
        <f t="shared" si="59"/>
        <v>0.37284482758620685</v>
      </c>
    </row>
    <row r="712" spans="1:20">
      <c r="A712" s="154">
        <v>481</v>
      </c>
      <c r="B712" s="156">
        <v>603788</v>
      </c>
      <c r="C712" s="133" t="s">
        <v>2989</v>
      </c>
      <c r="D712" s="155" t="s">
        <v>2324</v>
      </c>
      <c r="E712" s="154">
        <v>10</v>
      </c>
      <c r="F712" s="154">
        <v>7</v>
      </c>
      <c r="G712" s="154">
        <v>3</v>
      </c>
      <c r="H712" s="154">
        <v>0</v>
      </c>
      <c r="I712" s="154">
        <v>0</v>
      </c>
      <c r="J712" s="154">
        <v>0</v>
      </c>
      <c r="K712" s="154">
        <v>0.96399999999999997</v>
      </c>
      <c r="L712" s="154">
        <v>0.85899999999999999</v>
      </c>
      <c r="M712" s="154">
        <v>1.022</v>
      </c>
      <c r="N712" s="154">
        <v>1.179</v>
      </c>
      <c r="O712" s="108">
        <f t="shared" si="55"/>
        <v>-0.10892116182572609</v>
      </c>
      <c r="P712" s="108">
        <f t="shared" si="56"/>
        <v>0.18975552968568099</v>
      </c>
      <c r="Q712" s="108">
        <f t="shared" si="57"/>
        <v>0.15362035225048931</v>
      </c>
      <c r="S712" s="109">
        <f t="shared" si="58"/>
        <v>0.22302904564315362</v>
      </c>
      <c r="T712" s="109">
        <f t="shared" si="59"/>
        <v>0.37252619324796288</v>
      </c>
    </row>
    <row r="713" spans="1:20">
      <c r="A713" s="154">
        <v>356</v>
      </c>
      <c r="B713" s="156">
        <v>300349</v>
      </c>
      <c r="C713" s="133" t="s">
        <v>2990</v>
      </c>
      <c r="D713" s="155" t="s">
        <v>2324</v>
      </c>
      <c r="E713" s="154">
        <v>14</v>
      </c>
      <c r="F713" s="154">
        <v>7</v>
      </c>
      <c r="G713" s="154">
        <v>7</v>
      </c>
      <c r="H713" s="154">
        <v>0</v>
      </c>
      <c r="I713" s="154">
        <v>0</v>
      </c>
      <c r="J713" s="154">
        <v>0</v>
      </c>
      <c r="K713" s="154">
        <v>1.161</v>
      </c>
      <c r="L713" s="154">
        <v>1.0389999999999999</v>
      </c>
      <c r="M713" s="154">
        <v>1.2090000000000001</v>
      </c>
      <c r="N713" s="154">
        <v>1.425</v>
      </c>
      <c r="O713" s="108">
        <f t="shared" si="55"/>
        <v>-0.10508182601205862</v>
      </c>
      <c r="P713" s="108">
        <f t="shared" si="56"/>
        <v>0.16361886429258909</v>
      </c>
      <c r="Q713" s="108">
        <f t="shared" si="57"/>
        <v>0.17866004962779147</v>
      </c>
      <c r="S713" s="109">
        <f t="shared" si="58"/>
        <v>0.22739018087855301</v>
      </c>
      <c r="T713" s="109">
        <f t="shared" si="59"/>
        <v>0.37151106833493763</v>
      </c>
    </row>
    <row r="714" spans="1:20">
      <c r="A714" s="154">
        <v>479</v>
      </c>
      <c r="B714" s="156">
        <v>603886</v>
      </c>
      <c r="C714" s="133" t="s">
        <v>2991</v>
      </c>
      <c r="D714" s="155" t="s">
        <v>2324</v>
      </c>
      <c r="E714" s="154">
        <v>10</v>
      </c>
      <c r="F714" s="154">
        <v>8</v>
      </c>
      <c r="G714" s="154">
        <v>2</v>
      </c>
      <c r="H714" s="154">
        <v>0</v>
      </c>
      <c r="I714" s="154">
        <v>0</v>
      </c>
      <c r="J714" s="154">
        <v>0</v>
      </c>
      <c r="K714" s="154">
        <v>1.0069999999999999</v>
      </c>
      <c r="L714" s="154">
        <v>1.212</v>
      </c>
      <c r="M714" s="154">
        <v>1.4450000000000001</v>
      </c>
      <c r="N714" s="154">
        <v>1.6619999999999999</v>
      </c>
      <c r="O714" s="108">
        <f t="shared" si="55"/>
        <v>0.20357497517378365</v>
      </c>
      <c r="P714" s="108">
        <f t="shared" si="56"/>
        <v>0.19224422442244227</v>
      </c>
      <c r="Q714" s="108">
        <f t="shared" si="57"/>
        <v>0.1501730103806227</v>
      </c>
      <c r="S714" s="109">
        <f t="shared" si="58"/>
        <v>0.65044687189672312</v>
      </c>
      <c r="T714" s="109">
        <f t="shared" si="59"/>
        <v>0.37128712871287117</v>
      </c>
    </row>
    <row r="715" spans="1:20">
      <c r="A715" s="154">
        <v>32</v>
      </c>
      <c r="B715" s="156">
        <v>300616</v>
      </c>
      <c r="C715" s="133" t="s">
        <v>2992</v>
      </c>
      <c r="D715" s="155" t="s">
        <v>2324</v>
      </c>
      <c r="E715" s="154">
        <v>44</v>
      </c>
      <c r="F715" s="154">
        <v>27</v>
      </c>
      <c r="G715" s="154">
        <v>17</v>
      </c>
      <c r="H715" s="154">
        <v>0</v>
      </c>
      <c r="I715" s="154">
        <v>0</v>
      </c>
      <c r="J715" s="154">
        <v>0</v>
      </c>
      <c r="K715" s="154">
        <v>2.4009999999999998</v>
      </c>
      <c r="L715" s="154">
        <v>2.8769999999999998</v>
      </c>
      <c r="M715" s="154">
        <v>3.395</v>
      </c>
      <c r="N715" s="154">
        <v>3.9449999999999998</v>
      </c>
      <c r="O715" s="108">
        <f t="shared" si="55"/>
        <v>0.19825072886297379</v>
      </c>
      <c r="P715" s="108">
        <f t="shared" si="56"/>
        <v>0.18004866180048662</v>
      </c>
      <c r="Q715" s="108">
        <f t="shared" si="57"/>
        <v>0.16200294550810002</v>
      </c>
      <c r="S715" s="109">
        <f t="shared" si="58"/>
        <v>0.64306538942107472</v>
      </c>
      <c r="T715" s="109">
        <f t="shared" si="59"/>
        <v>0.37122002085505734</v>
      </c>
    </row>
    <row r="716" spans="1:20">
      <c r="A716" s="154">
        <v>246</v>
      </c>
      <c r="B716" s="156">
        <v>2430</v>
      </c>
      <c r="C716" s="133" t="s">
        <v>2993</v>
      </c>
      <c r="D716" s="155" t="s">
        <v>2324</v>
      </c>
      <c r="E716" s="154">
        <v>19</v>
      </c>
      <c r="F716" s="154">
        <v>13</v>
      </c>
      <c r="G716" s="154">
        <v>6</v>
      </c>
      <c r="H716" s="154">
        <v>0</v>
      </c>
      <c r="I716" s="154">
        <v>0</v>
      </c>
      <c r="J716" s="154">
        <v>0</v>
      </c>
      <c r="K716" s="154">
        <v>0.76800000000000002</v>
      </c>
      <c r="L716" s="154">
        <v>0.82599999999999996</v>
      </c>
      <c r="M716" s="154">
        <v>0.98699999999999999</v>
      </c>
      <c r="N716" s="154">
        <v>1.1319999999999999</v>
      </c>
      <c r="O716" s="108">
        <f t="shared" si="55"/>
        <v>7.5520833333333259E-2</v>
      </c>
      <c r="P716" s="108">
        <f t="shared" si="56"/>
        <v>0.19491525423728828</v>
      </c>
      <c r="Q716" s="108">
        <f t="shared" si="57"/>
        <v>0.14690982776089156</v>
      </c>
      <c r="S716" s="109">
        <f t="shared" si="58"/>
        <v>0.47395833333333326</v>
      </c>
      <c r="T716" s="109">
        <f t="shared" si="59"/>
        <v>0.37046004842614999</v>
      </c>
    </row>
    <row r="717" spans="1:20">
      <c r="A717" s="154">
        <v>842</v>
      </c>
      <c r="B717" s="156">
        <v>601678</v>
      </c>
      <c r="C717" s="133" t="s">
        <v>2994</v>
      </c>
      <c r="D717" s="155" t="s">
        <v>2324</v>
      </c>
      <c r="E717" s="154">
        <v>5</v>
      </c>
      <c r="F717" s="154">
        <v>1</v>
      </c>
      <c r="G717" s="154">
        <v>4</v>
      </c>
      <c r="H717" s="154">
        <v>0</v>
      </c>
      <c r="I717" s="154">
        <v>0</v>
      </c>
      <c r="J717" s="154">
        <v>0</v>
      </c>
      <c r="K717" s="154">
        <v>0.45400000000000001</v>
      </c>
      <c r="L717" s="154">
        <v>0.35899999999999999</v>
      </c>
      <c r="M717" s="154">
        <v>0.433</v>
      </c>
      <c r="N717" s="154">
        <v>0.49099999999999999</v>
      </c>
      <c r="O717" s="108">
        <f t="shared" si="55"/>
        <v>-0.20925110132158597</v>
      </c>
      <c r="P717" s="108">
        <f t="shared" si="56"/>
        <v>0.20612813370473537</v>
      </c>
      <c r="Q717" s="108">
        <f t="shared" si="57"/>
        <v>0.13394919168591213</v>
      </c>
      <c r="S717" s="109">
        <f t="shared" si="58"/>
        <v>8.149779735682805E-2</v>
      </c>
      <c r="T717" s="109">
        <f t="shared" si="59"/>
        <v>0.36768802228412256</v>
      </c>
    </row>
    <row r="718" spans="1:20">
      <c r="A718" s="154">
        <v>275</v>
      </c>
      <c r="B718" s="156">
        <v>2013</v>
      </c>
      <c r="C718" s="133" t="s">
        <v>2995</v>
      </c>
      <c r="D718" s="155" t="s">
        <v>2324</v>
      </c>
      <c r="E718" s="154">
        <v>18</v>
      </c>
      <c r="F718" s="154">
        <v>17</v>
      </c>
      <c r="G718" s="154">
        <v>1</v>
      </c>
      <c r="H718" s="154">
        <v>0</v>
      </c>
      <c r="I718" s="154">
        <v>0</v>
      </c>
      <c r="J718" s="154">
        <v>0</v>
      </c>
      <c r="K718" s="154">
        <v>0.23200000000000001</v>
      </c>
      <c r="L718" s="154">
        <v>0.26400000000000001</v>
      </c>
      <c r="M718" s="154">
        <v>0.309</v>
      </c>
      <c r="N718" s="154">
        <v>0.36099999999999999</v>
      </c>
      <c r="O718" s="108">
        <f t="shared" si="55"/>
        <v>0.13793103448275867</v>
      </c>
      <c r="P718" s="108">
        <f t="shared" si="56"/>
        <v>0.17045454545454541</v>
      </c>
      <c r="Q718" s="108">
        <f t="shared" si="57"/>
        <v>0.16828478964401294</v>
      </c>
      <c r="S718" s="109">
        <f t="shared" si="58"/>
        <v>0.55603448275862055</v>
      </c>
      <c r="T718" s="109">
        <f t="shared" si="59"/>
        <v>0.36742424242424221</v>
      </c>
    </row>
    <row r="719" spans="1:20">
      <c r="A719" s="154">
        <v>21</v>
      </c>
      <c r="B719" s="156">
        <v>157</v>
      </c>
      <c r="C719" s="133" t="s">
        <v>2996</v>
      </c>
      <c r="D719" s="155" t="s">
        <v>2324</v>
      </c>
      <c r="E719" s="154">
        <v>50</v>
      </c>
      <c r="F719" s="154">
        <v>43</v>
      </c>
      <c r="G719" s="154">
        <v>7</v>
      </c>
      <c r="H719" s="154">
        <v>0</v>
      </c>
      <c r="I719" s="154">
        <v>0</v>
      </c>
      <c r="J719" s="154">
        <v>0</v>
      </c>
      <c r="K719" s="154">
        <v>0.25700000000000001</v>
      </c>
      <c r="L719" s="154">
        <v>0.54</v>
      </c>
      <c r="M719" s="154">
        <v>0.65800000000000003</v>
      </c>
      <c r="N719" s="154">
        <v>0.73799999999999999</v>
      </c>
      <c r="O719" s="108">
        <f t="shared" si="55"/>
        <v>1.1011673151750974</v>
      </c>
      <c r="P719" s="108">
        <f t="shared" si="56"/>
        <v>0.21851851851851856</v>
      </c>
      <c r="Q719" s="108">
        <f t="shared" si="57"/>
        <v>0.12158054711246202</v>
      </c>
      <c r="S719" s="109">
        <f t="shared" si="58"/>
        <v>1.8715953307392996</v>
      </c>
      <c r="T719" s="109">
        <f t="shared" si="59"/>
        <v>0.36666666666666647</v>
      </c>
    </row>
    <row r="720" spans="1:20">
      <c r="A720" s="154">
        <v>546</v>
      </c>
      <c r="B720" s="156">
        <v>600299</v>
      </c>
      <c r="C720" s="133" t="s">
        <v>2997</v>
      </c>
      <c r="D720" s="155" t="s">
        <v>2324</v>
      </c>
      <c r="E720" s="154">
        <v>9</v>
      </c>
      <c r="F720" s="154">
        <v>4</v>
      </c>
      <c r="G720" s="154">
        <v>5</v>
      </c>
      <c r="H720" s="154">
        <v>0</v>
      </c>
      <c r="I720" s="154">
        <v>0</v>
      </c>
      <c r="J720" s="154">
        <v>0</v>
      </c>
      <c r="K720" s="154">
        <v>0.34499999999999997</v>
      </c>
      <c r="L720" s="154">
        <v>0.41799999999999998</v>
      </c>
      <c r="M720" s="154">
        <v>0.48599999999999999</v>
      </c>
      <c r="N720" s="154">
        <v>0.57099999999999995</v>
      </c>
      <c r="O720" s="108">
        <f t="shared" si="55"/>
        <v>0.21159420289855069</v>
      </c>
      <c r="P720" s="108">
        <f t="shared" si="56"/>
        <v>0.16267942583732053</v>
      </c>
      <c r="Q720" s="108">
        <f t="shared" si="57"/>
        <v>0.17489711934156382</v>
      </c>
      <c r="S720" s="109">
        <f t="shared" si="58"/>
        <v>0.65507246376811601</v>
      </c>
      <c r="T720" s="109">
        <f t="shared" si="59"/>
        <v>0.36602870813397126</v>
      </c>
    </row>
    <row r="721" spans="1:20">
      <c r="A721" s="154">
        <v>395</v>
      </c>
      <c r="B721" s="156">
        <v>600298</v>
      </c>
      <c r="C721" s="133" t="s">
        <v>2998</v>
      </c>
      <c r="D721" s="155" t="s">
        <v>2324</v>
      </c>
      <c r="E721" s="154">
        <v>13</v>
      </c>
      <c r="F721" s="154">
        <v>9</v>
      </c>
      <c r="G721" s="154">
        <v>4</v>
      </c>
      <c r="H721" s="154">
        <v>0</v>
      </c>
      <c r="I721" s="154">
        <v>0</v>
      </c>
      <c r="J721" s="154">
        <v>0</v>
      </c>
      <c r="K721" s="154">
        <v>1.04</v>
      </c>
      <c r="L721" s="154">
        <v>1.125</v>
      </c>
      <c r="M721" s="154">
        <v>1.3169999999999999</v>
      </c>
      <c r="N721" s="154">
        <v>1.536</v>
      </c>
      <c r="O721" s="108">
        <f t="shared" si="55"/>
        <v>8.1730769230769162E-2</v>
      </c>
      <c r="P721" s="108">
        <f t="shared" si="56"/>
        <v>0.17066666666666652</v>
      </c>
      <c r="Q721" s="108">
        <f t="shared" si="57"/>
        <v>0.16628701594533046</v>
      </c>
      <c r="S721" s="109">
        <f t="shared" si="58"/>
        <v>0.47692307692307701</v>
      </c>
      <c r="T721" s="109">
        <f t="shared" si="59"/>
        <v>0.36533333333333329</v>
      </c>
    </row>
    <row r="722" spans="1:20">
      <c r="A722" s="154">
        <v>879</v>
      </c>
      <c r="B722" s="156">
        <v>600491</v>
      </c>
      <c r="C722" s="133" t="s">
        <v>2999</v>
      </c>
      <c r="D722" s="155" t="s">
        <v>2324</v>
      </c>
      <c r="E722" s="154">
        <v>4</v>
      </c>
      <c r="F722" s="154">
        <v>4</v>
      </c>
      <c r="G722" s="154">
        <v>0</v>
      </c>
      <c r="H722" s="154">
        <v>0</v>
      </c>
      <c r="I722" s="154">
        <v>0</v>
      </c>
      <c r="J722" s="154">
        <v>0</v>
      </c>
      <c r="K722" s="154">
        <v>0.60299999999999998</v>
      </c>
      <c r="L722" s="154">
        <v>0.71299999999999997</v>
      </c>
      <c r="M722" s="154">
        <v>0.83699999999999997</v>
      </c>
      <c r="N722" s="154">
        <v>0.97299999999999998</v>
      </c>
      <c r="O722" s="108">
        <f t="shared" si="55"/>
        <v>0.18242122719734666</v>
      </c>
      <c r="P722" s="108">
        <f t="shared" si="56"/>
        <v>0.17391304347826098</v>
      </c>
      <c r="Q722" s="108">
        <f t="shared" si="57"/>
        <v>0.16248506571087229</v>
      </c>
      <c r="S722" s="109">
        <f t="shared" si="58"/>
        <v>0.61359867330016593</v>
      </c>
      <c r="T722" s="109">
        <f t="shared" si="59"/>
        <v>0.36465638148667612</v>
      </c>
    </row>
    <row r="723" spans="1:20">
      <c r="A723" s="154">
        <v>269</v>
      </c>
      <c r="B723" s="156">
        <v>2557</v>
      </c>
      <c r="C723" s="133" t="s">
        <v>3000</v>
      </c>
      <c r="D723" s="155" t="s">
        <v>2324</v>
      </c>
      <c r="E723" s="154">
        <v>18</v>
      </c>
      <c r="F723" s="154">
        <v>13</v>
      </c>
      <c r="G723" s="154">
        <v>5</v>
      </c>
      <c r="H723" s="154">
        <v>0</v>
      </c>
      <c r="I723" s="154">
        <v>0</v>
      </c>
      <c r="J723" s="154">
        <v>0</v>
      </c>
      <c r="K723" s="154">
        <v>0.85399999999999998</v>
      </c>
      <c r="L723" s="154">
        <v>1.0720000000000001</v>
      </c>
      <c r="M723" s="154">
        <v>1.26</v>
      </c>
      <c r="N723" s="154">
        <v>1.462</v>
      </c>
      <c r="O723" s="108">
        <f t="shared" si="55"/>
        <v>0.2552693208430914</v>
      </c>
      <c r="P723" s="108">
        <f t="shared" si="56"/>
        <v>0.17537313432835822</v>
      </c>
      <c r="Q723" s="108">
        <f t="shared" si="57"/>
        <v>0.16031746031746019</v>
      </c>
      <c r="S723" s="109">
        <f t="shared" si="58"/>
        <v>0.71194379391100693</v>
      </c>
      <c r="T723" s="109">
        <f t="shared" si="59"/>
        <v>0.36380597014925353</v>
      </c>
    </row>
    <row r="724" spans="1:20">
      <c r="A724" s="154">
        <v>132</v>
      </c>
      <c r="B724" s="156">
        <v>2697</v>
      </c>
      <c r="C724" s="133" t="s">
        <v>3001</v>
      </c>
      <c r="D724" s="155" t="s">
        <v>2324</v>
      </c>
      <c r="E724" s="154">
        <v>27</v>
      </c>
      <c r="F724" s="154">
        <v>15</v>
      </c>
      <c r="G724" s="154">
        <v>12</v>
      </c>
      <c r="H724" s="154">
        <v>0</v>
      </c>
      <c r="I724" s="154">
        <v>0</v>
      </c>
      <c r="J724" s="154">
        <v>0</v>
      </c>
      <c r="K724" s="154">
        <v>0.23699999999999999</v>
      </c>
      <c r="L724" s="154">
        <v>0.35</v>
      </c>
      <c r="M724" s="154">
        <v>0.41499999999999998</v>
      </c>
      <c r="N724" s="154">
        <v>0.47699999999999998</v>
      </c>
      <c r="O724" s="108">
        <f t="shared" si="55"/>
        <v>0.47679324894514763</v>
      </c>
      <c r="P724" s="108">
        <f t="shared" si="56"/>
        <v>0.18571428571428572</v>
      </c>
      <c r="Q724" s="108">
        <f t="shared" si="57"/>
        <v>0.14939759036144573</v>
      </c>
      <c r="S724" s="109">
        <f t="shared" si="58"/>
        <v>1.0126582278481013</v>
      </c>
      <c r="T724" s="109">
        <f t="shared" si="59"/>
        <v>0.36285714285714299</v>
      </c>
    </row>
    <row r="725" spans="1:20">
      <c r="A725" s="154">
        <v>564</v>
      </c>
      <c r="B725" s="156">
        <v>603848</v>
      </c>
      <c r="C725" s="133" t="s">
        <v>3002</v>
      </c>
      <c r="D725" s="155" t="s">
        <v>2324</v>
      </c>
      <c r="E725" s="154">
        <v>8</v>
      </c>
      <c r="F725" s="154">
        <v>1</v>
      </c>
      <c r="G725" s="154">
        <v>7</v>
      </c>
      <c r="H725" s="154">
        <v>0</v>
      </c>
      <c r="I725" s="154">
        <v>0</v>
      </c>
      <c r="J725" s="154">
        <v>0</v>
      </c>
      <c r="K725" s="154">
        <v>0.65</v>
      </c>
      <c r="L725" s="154">
        <v>0.67</v>
      </c>
      <c r="M725" s="154">
        <v>0.79</v>
      </c>
      <c r="N725" s="154">
        <v>0.91200000000000003</v>
      </c>
      <c r="O725" s="108">
        <f t="shared" si="55"/>
        <v>3.0769230769230882E-2</v>
      </c>
      <c r="P725" s="108">
        <f t="shared" si="56"/>
        <v>0.17910447761194037</v>
      </c>
      <c r="Q725" s="108">
        <f t="shared" si="57"/>
        <v>0.15443037974683538</v>
      </c>
      <c r="S725" s="109">
        <f t="shared" si="58"/>
        <v>0.40307692307692311</v>
      </c>
      <c r="T725" s="109">
        <f t="shared" si="59"/>
        <v>0.36119402985074633</v>
      </c>
    </row>
    <row r="726" spans="1:20">
      <c r="A726" s="154">
        <v>930</v>
      </c>
      <c r="B726" s="156">
        <v>601137</v>
      </c>
      <c r="C726" s="133" t="s">
        <v>3003</v>
      </c>
      <c r="D726" s="155" t="s">
        <v>2324</v>
      </c>
      <c r="E726" s="154">
        <v>4</v>
      </c>
      <c r="F726" s="154">
        <v>2</v>
      </c>
      <c r="G726" s="154">
        <v>2</v>
      </c>
      <c r="H726" s="154">
        <v>0</v>
      </c>
      <c r="I726" s="154">
        <v>0</v>
      </c>
      <c r="J726" s="154">
        <v>0</v>
      </c>
      <c r="K726" s="154">
        <v>0.57899999999999996</v>
      </c>
      <c r="L726" s="154">
        <v>0.65400000000000003</v>
      </c>
      <c r="M726" s="154">
        <v>0.76900000000000002</v>
      </c>
      <c r="N726" s="154">
        <v>0.89</v>
      </c>
      <c r="O726" s="108">
        <f t="shared" si="55"/>
        <v>0.1295336787564767</v>
      </c>
      <c r="P726" s="108">
        <f t="shared" si="56"/>
        <v>0.17584097859327219</v>
      </c>
      <c r="Q726" s="108">
        <f t="shared" si="57"/>
        <v>0.15734720416124848</v>
      </c>
      <c r="S726" s="109">
        <f t="shared" si="58"/>
        <v>0.53713298791019004</v>
      </c>
      <c r="T726" s="109">
        <f t="shared" si="59"/>
        <v>0.36085626911314983</v>
      </c>
    </row>
    <row r="727" spans="1:20">
      <c r="A727" s="154">
        <v>51</v>
      </c>
      <c r="B727" s="156">
        <v>2078</v>
      </c>
      <c r="C727" s="133" t="s">
        <v>3004</v>
      </c>
      <c r="D727" s="155" t="s">
        <v>2324</v>
      </c>
      <c r="E727" s="154">
        <v>39</v>
      </c>
      <c r="F727" s="154">
        <v>30</v>
      </c>
      <c r="G727" s="154">
        <v>9</v>
      </c>
      <c r="H727" s="154">
        <v>0</v>
      </c>
      <c r="I727" s="154">
        <v>0</v>
      </c>
      <c r="J727" s="154">
        <v>0</v>
      </c>
      <c r="K727" s="154">
        <v>0.86299999999999999</v>
      </c>
      <c r="L727" s="154">
        <v>0.80500000000000005</v>
      </c>
      <c r="M727" s="154">
        <v>0.93300000000000005</v>
      </c>
      <c r="N727" s="154">
        <v>1.095</v>
      </c>
      <c r="O727" s="108">
        <f t="shared" si="55"/>
        <v>-6.7207415990729991E-2</v>
      </c>
      <c r="P727" s="108">
        <f t="shared" si="56"/>
        <v>0.15900621118012426</v>
      </c>
      <c r="Q727" s="108">
        <f t="shared" si="57"/>
        <v>0.17363344051446927</v>
      </c>
      <c r="S727" s="109">
        <f t="shared" si="58"/>
        <v>0.26882966396291996</v>
      </c>
      <c r="T727" s="109">
        <f t="shared" si="59"/>
        <v>0.36024844720496874</v>
      </c>
    </row>
    <row r="728" spans="1:20">
      <c r="A728" s="154">
        <v>186</v>
      </c>
      <c r="B728" s="156">
        <v>601139</v>
      </c>
      <c r="C728" s="133" t="s">
        <v>3005</v>
      </c>
      <c r="D728" s="155" t="s">
        <v>2324</v>
      </c>
      <c r="E728" s="154">
        <v>23</v>
      </c>
      <c r="F728" s="154">
        <v>11</v>
      </c>
      <c r="G728" s="154">
        <v>12</v>
      </c>
      <c r="H728" s="154">
        <v>0</v>
      </c>
      <c r="I728" s="154">
        <v>0</v>
      </c>
      <c r="J728" s="154">
        <v>0</v>
      </c>
      <c r="K728" s="154">
        <v>0.35799999999999998</v>
      </c>
      <c r="L728" s="154">
        <v>0.38400000000000001</v>
      </c>
      <c r="M728" s="154">
        <v>0.45400000000000001</v>
      </c>
      <c r="N728" s="154">
        <v>0.52200000000000002</v>
      </c>
      <c r="O728" s="108">
        <f t="shared" si="55"/>
        <v>7.2625698324022325E-2</v>
      </c>
      <c r="P728" s="108">
        <f t="shared" si="56"/>
        <v>0.18229166666666674</v>
      </c>
      <c r="Q728" s="108">
        <f t="shared" si="57"/>
        <v>0.14977973568281944</v>
      </c>
      <c r="S728" s="109">
        <f t="shared" si="58"/>
        <v>0.45810055865921795</v>
      </c>
      <c r="T728" s="109">
        <f t="shared" si="59"/>
        <v>0.359375</v>
      </c>
    </row>
    <row r="729" spans="1:20">
      <c r="A729" s="154">
        <v>762</v>
      </c>
      <c r="B729" s="156">
        <v>300043</v>
      </c>
      <c r="C729" s="133" t="s">
        <v>3006</v>
      </c>
      <c r="D729" s="155" t="s">
        <v>2324</v>
      </c>
      <c r="E729" s="154">
        <v>6</v>
      </c>
      <c r="F729" s="154">
        <v>4</v>
      </c>
      <c r="G729" s="154">
        <v>2</v>
      </c>
      <c r="H729" s="154">
        <v>0</v>
      </c>
      <c r="I729" s="154">
        <v>0</v>
      </c>
      <c r="J729" s="154">
        <v>0</v>
      </c>
      <c r="K729" s="154">
        <v>0.192</v>
      </c>
      <c r="L729" s="154">
        <v>0.309</v>
      </c>
      <c r="M729" s="154">
        <v>0.35799999999999998</v>
      </c>
      <c r="N729" s="154">
        <v>0.42</v>
      </c>
      <c r="O729" s="108">
        <f t="shared" si="55"/>
        <v>0.609375</v>
      </c>
      <c r="P729" s="108">
        <f t="shared" si="56"/>
        <v>0.15857605177993528</v>
      </c>
      <c r="Q729" s="108">
        <f t="shared" si="57"/>
        <v>0.17318435754189943</v>
      </c>
      <c r="S729" s="109">
        <f t="shared" si="58"/>
        <v>1.1875</v>
      </c>
      <c r="T729" s="109">
        <f t="shared" si="59"/>
        <v>0.35922330097087385</v>
      </c>
    </row>
    <row r="730" spans="1:20">
      <c r="A730" s="154">
        <v>526</v>
      </c>
      <c r="B730" s="156">
        <v>300196</v>
      </c>
      <c r="C730" s="133" t="s">
        <v>3007</v>
      </c>
      <c r="D730" s="155" t="s">
        <v>2324</v>
      </c>
      <c r="E730" s="154">
        <v>9</v>
      </c>
      <c r="F730" s="154">
        <v>5</v>
      </c>
      <c r="G730" s="154">
        <v>4</v>
      </c>
      <c r="H730" s="154">
        <v>0</v>
      </c>
      <c r="I730" s="154">
        <v>0</v>
      </c>
      <c r="J730" s="154">
        <v>0</v>
      </c>
      <c r="K730" s="154">
        <v>0.63400000000000001</v>
      </c>
      <c r="L730" s="154">
        <v>0.75600000000000001</v>
      </c>
      <c r="M730" s="154">
        <v>0.85899999999999999</v>
      </c>
      <c r="N730" s="154">
        <v>1.0269999999999999</v>
      </c>
      <c r="O730" s="108">
        <f t="shared" si="55"/>
        <v>0.19242902208201884</v>
      </c>
      <c r="P730" s="108">
        <f t="shared" si="56"/>
        <v>0.13624338624338628</v>
      </c>
      <c r="Q730" s="108">
        <f t="shared" si="57"/>
        <v>0.19557625145518043</v>
      </c>
      <c r="S730" s="109">
        <f t="shared" si="58"/>
        <v>0.61987381703470024</v>
      </c>
      <c r="T730" s="109">
        <f t="shared" si="59"/>
        <v>0.35846560846560838</v>
      </c>
    </row>
    <row r="731" spans="1:20">
      <c r="A731" s="154">
        <v>316</v>
      </c>
      <c r="B731" s="156">
        <v>600483</v>
      </c>
      <c r="C731" s="133" t="s">
        <v>3008</v>
      </c>
      <c r="D731" s="155" t="s">
        <v>2324</v>
      </c>
      <c r="E731" s="154">
        <v>16</v>
      </c>
      <c r="F731" s="154">
        <v>12</v>
      </c>
      <c r="G731" s="154">
        <v>4</v>
      </c>
      <c r="H731" s="154">
        <v>0</v>
      </c>
      <c r="I731" s="154">
        <v>0</v>
      </c>
      <c r="J731" s="154">
        <v>0</v>
      </c>
      <c r="K731" s="154">
        <v>0.67700000000000005</v>
      </c>
      <c r="L731" s="154">
        <v>0.71</v>
      </c>
      <c r="M731" s="154">
        <v>0.83599999999999997</v>
      </c>
      <c r="N731" s="154">
        <v>0.96399999999999997</v>
      </c>
      <c r="O731" s="108">
        <f t="shared" si="55"/>
        <v>4.8744460856720684E-2</v>
      </c>
      <c r="P731" s="108">
        <f t="shared" si="56"/>
        <v>0.17746478873239435</v>
      </c>
      <c r="Q731" s="108">
        <f t="shared" si="57"/>
        <v>0.15311004784688986</v>
      </c>
      <c r="S731" s="109">
        <f t="shared" si="58"/>
        <v>0.42392909896602649</v>
      </c>
      <c r="T731" s="109">
        <f t="shared" si="59"/>
        <v>0.3577464788732394</v>
      </c>
    </row>
    <row r="732" spans="1:20">
      <c r="A732" s="154">
        <v>694</v>
      </c>
      <c r="B732" s="156">
        <v>600705</v>
      </c>
      <c r="C732" s="133" t="s">
        <v>3009</v>
      </c>
      <c r="D732" s="155" t="s">
        <v>2324</v>
      </c>
      <c r="E732" s="154">
        <v>7</v>
      </c>
      <c r="F732" s="154">
        <v>4</v>
      </c>
      <c r="G732" s="154">
        <v>3</v>
      </c>
      <c r="H732" s="154">
        <v>0</v>
      </c>
      <c r="I732" s="154">
        <v>0</v>
      </c>
      <c r="J732" s="154">
        <v>0</v>
      </c>
      <c r="K732" s="154">
        <v>0.35299999999999998</v>
      </c>
      <c r="L732" s="154">
        <v>0.35499999999999998</v>
      </c>
      <c r="M732" s="154">
        <v>0.41499999999999998</v>
      </c>
      <c r="N732" s="154">
        <v>0.48199999999999998</v>
      </c>
      <c r="O732" s="108">
        <f t="shared" si="55"/>
        <v>5.6657223796034994E-3</v>
      </c>
      <c r="P732" s="108">
        <f t="shared" si="56"/>
        <v>0.16901408450704225</v>
      </c>
      <c r="Q732" s="108">
        <f t="shared" si="57"/>
        <v>0.16144578313253022</v>
      </c>
      <c r="S732" s="109">
        <f t="shared" si="58"/>
        <v>0.36543909348441939</v>
      </c>
      <c r="T732" s="109">
        <f t="shared" si="59"/>
        <v>0.3577464788732394</v>
      </c>
    </row>
    <row r="733" spans="1:20">
      <c r="A733" s="154">
        <v>243</v>
      </c>
      <c r="B733" s="156">
        <v>2705</v>
      </c>
      <c r="C733" s="133" t="s">
        <v>3010</v>
      </c>
      <c r="D733" s="155" t="s">
        <v>2324</v>
      </c>
      <c r="E733" s="154">
        <v>19</v>
      </c>
      <c r="F733" s="154">
        <v>17</v>
      </c>
      <c r="G733" s="154">
        <v>2</v>
      </c>
      <c r="H733" s="154">
        <v>0</v>
      </c>
      <c r="I733" s="154">
        <v>0</v>
      </c>
      <c r="J733" s="154">
        <v>0</v>
      </c>
      <c r="K733" s="154">
        <v>0.627</v>
      </c>
      <c r="L733" s="154">
        <v>0.81399999999999995</v>
      </c>
      <c r="M733" s="154">
        <v>0.94699999999999995</v>
      </c>
      <c r="N733" s="154">
        <v>1.105</v>
      </c>
      <c r="O733" s="108">
        <f t="shared" si="55"/>
        <v>0.29824561403508754</v>
      </c>
      <c r="P733" s="108">
        <f t="shared" si="56"/>
        <v>0.16339066339066344</v>
      </c>
      <c r="Q733" s="108">
        <f t="shared" si="57"/>
        <v>0.16684266103484702</v>
      </c>
      <c r="S733" s="109">
        <f t="shared" si="58"/>
        <v>0.76236044657097279</v>
      </c>
      <c r="T733" s="109">
        <f t="shared" si="59"/>
        <v>0.35749385749385754</v>
      </c>
    </row>
    <row r="734" spans="1:20">
      <c r="A734" s="154">
        <v>874</v>
      </c>
      <c r="B734" s="156">
        <v>600681</v>
      </c>
      <c r="C734" s="133" t="s">
        <v>3011</v>
      </c>
      <c r="D734" s="155" t="s">
        <v>2324</v>
      </c>
      <c r="E734" s="154">
        <v>4</v>
      </c>
      <c r="F734" s="154">
        <v>4</v>
      </c>
      <c r="G734" s="154">
        <v>0</v>
      </c>
      <c r="H734" s="154">
        <v>0</v>
      </c>
      <c r="I734" s="154">
        <v>0</v>
      </c>
      <c r="J734" s="154">
        <v>0</v>
      </c>
      <c r="K734" s="154">
        <v>0.69799999999999995</v>
      </c>
      <c r="L734" s="154">
        <v>0.72499999999999998</v>
      </c>
      <c r="M734" s="154">
        <v>0.873</v>
      </c>
      <c r="N734" s="154">
        <v>0.98299999999999998</v>
      </c>
      <c r="O734" s="108">
        <f t="shared" si="55"/>
        <v>3.8681948424068802E-2</v>
      </c>
      <c r="P734" s="108">
        <f t="shared" si="56"/>
        <v>0.20413793103448286</v>
      </c>
      <c r="Q734" s="108">
        <f t="shared" si="57"/>
        <v>0.12600229095074456</v>
      </c>
      <c r="S734" s="109">
        <f t="shared" si="58"/>
        <v>0.40830945558739251</v>
      </c>
      <c r="T734" s="109">
        <f t="shared" si="59"/>
        <v>0.3558620689655172</v>
      </c>
    </row>
    <row r="735" spans="1:20">
      <c r="A735" s="154">
        <v>142</v>
      </c>
      <c r="B735" s="156">
        <v>2563</v>
      </c>
      <c r="C735" s="133" t="s">
        <v>3012</v>
      </c>
      <c r="D735" s="155" t="s">
        <v>2324</v>
      </c>
      <c r="E735" s="154">
        <v>26</v>
      </c>
      <c r="F735" s="154">
        <v>18</v>
      </c>
      <c r="G735" s="154">
        <v>8</v>
      </c>
      <c r="H735" s="154">
        <v>0</v>
      </c>
      <c r="I735" s="154">
        <v>0</v>
      </c>
      <c r="J735" s="154">
        <v>0</v>
      </c>
      <c r="K735" s="154">
        <v>0.628</v>
      </c>
      <c r="L735" s="154">
        <v>0.68899999999999995</v>
      </c>
      <c r="M735" s="154">
        <v>0.80200000000000005</v>
      </c>
      <c r="N735" s="154">
        <v>0.93400000000000005</v>
      </c>
      <c r="O735" s="108">
        <f t="shared" si="55"/>
        <v>9.7133757961783251E-2</v>
      </c>
      <c r="P735" s="108">
        <f t="shared" si="56"/>
        <v>0.16400580551523958</v>
      </c>
      <c r="Q735" s="108">
        <f t="shared" si="57"/>
        <v>0.1645885286783042</v>
      </c>
      <c r="S735" s="109">
        <f t="shared" si="58"/>
        <v>0.48726114649681529</v>
      </c>
      <c r="T735" s="109">
        <f t="shared" si="59"/>
        <v>0.35558780841799731</v>
      </c>
    </row>
    <row r="736" spans="1:20">
      <c r="A736" s="154">
        <v>99</v>
      </c>
      <c r="B736" s="156">
        <v>513</v>
      </c>
      <c r="C736" s="133" t="s">
        <v>3013</v>
      </c>
      <c r="D736" s="155" t="s">
        <v>2324</v>
      </c>
      <c r="E736" s="154">
        <v>31</v>
      </c>
      <c r="F736" s="154">
        <v>24</v>
      </c>
      <c r="G736" s="154">
        <v>7</v>
      </c>
      <c r="H736" s="154">
        <v>0</v>
      </c>
      <c r="I736" s="154">
        <v>0</v>
      </c>
      <c r="J736" s="154">
        <v>0</v>
      </c>
      <c r="K736" s="154">
        <v>1.1579999999999999</v>
      </c>
      <c r="L736" s="154">
        <v>1.337</v>
      </c>
      <c r="M736" s="154">
        <v>1.5529999999999999</v>
      </c>
      <c r="N736" s="154">
        <v>1.8069999999999999</v>
      </c>
      <c r="O736" s="108">
        <f t="shared" si="55"/>
        <v>0.15457685664939547</v>
      </c>
      <c r="P736" s="108">
        <f t="shared" si="56"/>
        <v>0.16155572176514577</v>
      </c>
      <c r="Q736" s="108">
        <f t="shared" si="57"/>
        <v>0.163554410817772</v>
      </c>
      <c r="S736" s="109">
        <f t="shared" si="58"/>
        <v>0.56044905008635593</v>
      </c>
      <c r="T736" s="109">
        <f t="shared" si="59"/>
        <v>0.35153328347045631</v>
      </c>
    </row>
    <row r="737" spans="1:20">
      <c r="A737" s="154">
        <v>841</v>
      </c>
      <c r="B737" s="156">
        <v>601717</v>
      </c>
      <c r="C737" s="133" t="s">
        <v>3014</v>
      </c>
      <c r="D737" s="155" t="s">
        <v>2324</v>
      </c>
      <c r="E737" s="154">
        <v>5</v>
      </c>
      <c r="F737" s="154">
        <v>5</v>
      </c>
      <c r="G737" s="154">
        <v>0</v>
      </c>
      <c r="H737" s="154">
        <v>0</v>
      </c>
      <c r="I737" s="154">
        <v>0</v>
      </c>
      <c r="J737" s="154">
        <v>0</v>
      </c>
      <c r="K737" s="154">
        <v>0.48</v>
      </c>
      <c r="L737" s="154">
        <v>0.68300000000000005</v>
      </c>
      <c r="M737" s="154">
        <v>0.78400000000000003</v>
      </c>
      <c r="N737" s="154">
        <v>0.92300000000000004</v>
      </c>
      <c r="O737" s="108">
        <f t="shared" si="55"/>
        <v>0.42291666666666683</v>
      </c>
      <c r="P737" s="108">
        <f t="shared" si="56"/>
        <v>0.14787701317715962</v>
      </c>
      <c r="Q737" s="108">
        <f t="shared" si="57"/>
        <v>0.17729591836734704</v>
      </c>
      <c r="S737" s="109">
        <f t="shared" si="58"/>
        <v>0.92291666666666683</v>
      </c>
      <c r="T737" s="109">
        <f t="shared" si="59"/>
        <v>0.35139092240117131</v>
      </c>
    </row>
    <row r="738" spans="1:20">
      <c r="A738" s="154">
        <v>428</v>
      </c>
      <c r="B738" s="156">
        <v>600990</v>
      </c>
      <c r="C738" s="133" t="s">
        <v>3015</v>
      </c>
      <c r="D738" s="155" t="s">
        <v>2324</v>
      </c>
      <c r="E738" s="154">
        <v>12</v>
      </c>
      <c r="F738" s="154">
        <v>11</v>
      </c>
      <c r="G738" s="154">
        <v>1</v>
      </c>
      <c r="H738" s="154">
        <v>0</v>
      </c>
      <c r="I738" s="154">
        <v>0</v>
      </c>
      <c r="J738" s="154">
        <v>0</v>
      </c>
      <c r="K738" s="154">
        <v>1.6160000000000001</v>
      </c>
      <c r="L738" s="154">
        <v>1.6279999999999999</v>
      </c>
      <c r="M738" s="154">
        <v>1.909</v>
      </c>
      <c r="N738" s="154">
        <v>2.2000000000000002</v>
      </c>
      <c r="O738" s="108">
        <f t="shared" si="55"/>
        <v>7.4257425742572103E-3</v>
      </c>
      <c r="P738" s="108">
        <f t="shared" si="56"/>
        <v>0.17260442260442277</v>
      </c>
      <c r="Q738" s="108">
        <f t="shared" si="57"/>
        <v>0.1524358302776323</v>
      </c>
      <c r="S738" s="109">
        <f t="shared" si="58"/>
        <v>0.36138613861386149</v>
      </c>
      <c r="T738" s="109">
        <f t="shared" si="59"/>
        <v>0.35135135135135154</v>
      </c>
    </row>
    <row r="739" spans="1:20">
      <c r="A739" s="154">
        <v>349</v>
      </c>
      <c r="B739" s="156">
        <v>603096</v>
      </c>
      <c r="C739" s="133" t="s">
        <v>3016</v>
      </c>
      <c r="D739" s="155" t="s">
        <v>2324</v>
      </c>
      <c r="E739" s="154">
        <v>14</v>
      </c>
      <c r="F739" s="154">
        <v>6</v>
      </c>
      <c r="G739" s="154">
        <v>8</v>
      </c>
      <c r="H739" s="154">
        <v>0</v>
      </c>
      <c r="I739" s="154">
        <v>0</v>
      </c>
      <c r="J739" s="154">
        <v>0</v>
      </c>
      <c r="K739" s="154">
        <v>1.78</v>
      </c>
      <c r="L739" s="154">
        <v>2.0009999999999999</v>
      </c>
      <c r="M739" s="154">
        <v>2.3450000000000002</v>
      </c>
      <c r="N739" s="154">
        <v>2.7029999999999998</v>
      </c>
      <c r="O739" s="108">
        <f t="shared" si="55"/>
        <v>0.12415730337078634</v>
      </c>
      <c r="P739" s="108">
        <f t="shared" si="56"/>
        <v>0.17191404297851087</v>
      </c>
      <c r="Q739" s="108">
        <f t="shared" si="57"/>
        <v>0.15266524520255853</v>
      </c>
      <c r="S739" s="109">
        <f t="shared" si="58"/>
        <v>0.51853932584269646</v>
      </c>
      <c r="T739" s="109">
        <f t="shared" si="59"/>
        <v>0.35082458770614688</v>
      </c>
    </row>
    <row r="740" spans="1:20">
      <c r="A740" s="154">
        <v>430</v>
      </c>
      <c r="B740" s="156">
        <v>600297</v>
      </c>
      <c r="C740" s="133" t="s">
        <v>3017</v>
      </c>
      <c r="D740" s="155" t="s">
        <v>2324</v>
      </c>
      <c r="E740" s="154">
        <v>12</v>
      </c>
      <c r="F740" s="154">
        <v>6</v>
      </c>
      <c r="G740" s="154">
        <v>6</v>
      </c>
      <c r="H740" s="154">
        <v>0</v>
      </c>
      <c r="I740" s="154">
        <v>0</v>
      </c>
      <c r="J740" s="154">
        <v>0</v>
      </c>
      <c r="K740" s="154">
        <v>0.39900000000000002</v>
      </c>
      <c r="L740" s="154">
        <v>0.39400000000000002</v>
      </c>
      <c r="M740" s="154">
        <v>0.46</v>
      </c>
      <c r="N740" s="154">
        <v>0.53200000000000003</v>
      </c>
      <c r="O740" s="108">
        <f t="shared" si="55"/>
        <v>-1.253132832080206E-2</v>
      </c>
      <c r="P740" s="108">
        <f t="shared" si="56"/>
        <v>0.1675126903553299</v>
      </c>
      <c r="Q740" s="108">
        <f t="shared" si="57"/>
        <v>0.15652173913043477</v>
      </c>
      <c r="S740" s="109">
        <f t="shared" si="58"/>
        <v>0.33333333333333326</v>
      </c>
      <c r="T740" s="109">
        <f t="shared" si="59"/>
        <v>0.35025380710659904</v>
      </c>
    </row>
    <row r="741" spans="1:20">
      <c r="A741" s="154">
        <v>528</v>
      </c>
      <c r="B741" s="156">
        <v>601222</v>
      </c>
      <c r="C741" s="133" t="s">
        <v>3018</v>
      </c>
      <c r="D741" s="155" t="s">
        <v>2324</v>
      </c>
      <c r="E741" s="154">
        <v>9</v>
      </c>
      <c r="F741" s="154">
        <v>8</v>
      </c>
      <c r="G741" s="154">
        <v>1</v>
      </c>
      <c r="H741" s="154">
        <v>0</v>
      </c>
      <c r="I741" s="154">
        <v>0</v>
      </c>
      <c r="J741" s="154">
        <v>0</v>
      </c>
      <c r="K741" s="154">
        <v>0.433</v>
      </c>
      <c r="L741" s="154">
        <v>0.51200000000000001</v>
      </c>
      <c r="M741" s="154">
        <v>0.59499999999999997</v>
      </c>
      <c r="N741" s="154">
        <v>0.69099999999999995</v>
      </c>
      <c r="O741" s="108">
        <f t="shared" si="55"/>
        <v>0.18244803695150114</v>
      </c>
      <c r="P741" s="108">
        <f t="shared" si="56"/>
        <v>0.162109375</v>
      </c>
      <c r="Q741" s="108">
        <f t="shared" si="57"/>
        <v>0.16134453781512592</v>
      </c>
      <c r="S741" s="109">
        <f t="shared" si="58"/>
        <v>0.59584295612009219</v>
      </c>
      <c r="T741" s="109">
        <f t="shared" si="59"/>
        <v>0.34960937499999978</v>
      </c>
    </row>
    <row r="742" spans="1:20">
      <c r="A742" s="154">
        <v>846</v>
      </c>
      <c r="B742" s="156">
        <v>2550</v>
      </c>
      <c r="C742" s="133" t="s">
        <v>3019</v>
      </c>
      <c r="D742" s="155" t="s">
        <v>2324</v>
      </c>
      <c r="E742" s="154">
        <v>5</v>
      </c>
      <c r="F742" s="154">
        <v>2</v>
      </c>
      <c r="G742" s="154">
        <v>3</v>
      </c>
      <c r="H742" s="154">
        <v>0</v>
      </c>
      <c r="I742" s="154">
        <v>0</v>
      </c>
      <c r="J742" s="154">
        <v>0</v>
      </c>
      <c r="K742" s="154">
        <v>0.17299999999999999</v>
      </c>
      <c r="L742" s="154">
        <v>0.20599999999999999</v>
      </c>
      <c r="M742" s="154">
        <v>0.24199999999999999</v>
      </c>
      <c r="N742" s="154">
        <v>0.27800000000000002</v>
      </c>
      <c r="O742" s="108">
        <f t="shared" si="55"/>
        <v>0.19075144508670516</v>
      </c>
      <c r="P742" s="108">
        <f t="shared" si="56"/>
        <v>0.17475728155339798</v>
      </c>
      <c r="Q742" s="108">
        <f t="shared" si="57"/>
        <v>0.14876033057851257</v>
      </c>
      <c r="S742" s="109">
        <f t="shared" si="58"/>
        <v>0.60693641618497129</v>
      </c>
      <c r="T742" s="109">
        <f t="shared" si="59"/>
        <v>0.34951456310679641</v>
      </c>
    </row>
    <row r="743" spans="1:20">
      <c r="A743" s="154">
        <v>198</v>
      </c>
      <c r="B743" s="156">
        <v>600176</v>
      </c>
      <c r="C743" s="133" t="s">
        <v>3020</v>
      </c>
      <c r="D743" s="155" t="s">
        <v>2324</v>
      </c>
      <c r="E743" s="154">
        <v>22</v>
      </c>
      <c r="F743" s="154">
        <v>15</v>
      </c>
      <c r="G743" s="154">
        <v>7</v>
      </c>
      <c r="H743" s="154">
        <v>0</v>
      </c>
      <c r="I743" s="154">
        <v>0</v>
      </c>
      <c r="J743" s="154">
        <v>0</v>
      </c>
      <c r="K743" s="154">
        <v>0.67800000000000005</v>
      </c>
      <c r="L743" s="154">
        <v>0.58699999999999997</v>
      </c>
      <c r="M743" s="154">
        <v>0.67200000000000004</v>
      </c>
      <c r="N743" s="154">
        <v>0.79200000000000004</v>
      </c>
      <c r="O743" s="108">
        <f t="shared" si="55"/>
        <v>-0.13421828908554578</v>
      </c>
      <c r="P743" s="108">
        <f t="shared" si="56"/>
        <v>0.14480408858603089</v>
      </c>
      <c r="Q743" s="108">
        <f t="shared" si="57"/>
        <v>0.1785714285714286</v>
      </c>
      <c r="S743" s="109">
        <f t="shared" si="58"/>
        <v>0.16814159292035402</v>
      </c>
      <c r="T743" s="109">
        <f t="shared" si="59"/>
        <v>0.34923339011925059</v>
      </c>
    </row>
    <row r="744" spans="1:20">
      <c r="A744" s="154">
        <v>301</v>
      </c>
      <c r="B744" s="156">
        <v>603515</v>
      </c>
      <c r="C744" s="133" t="s">
        <v>3021</v>
      </c>
      <c r="D744" s="155" t="s">
        <v>2324</v>
      </c>
      <c r="E744" s="154">
        <v>16</v>
      </c>
      <c r="F744" s="154">
        <v>4</v>
      </c>
      <c r="G744" s="154">
        <v>12</v>
      </c>
      <c r="H744" s="154">
        <v>0</v>
      </c>
      <c r="I744" s="154">
        <v>0</v>
      </c>
      <c r="J744" s="154">
        <v>0</v>
      </c>
      <c r="K744" s="154">
        <v>1.1890000000000001</v>
      </c>
      <c r="L744" s="154">
        <v>1.2689999999999999</v>
      </c>
      <c r="M744" s="154">
        <v>1.458</v>
      </c>
      <c r="N744" s="154">
        <v>1.7110000000000001</v>
      </c>
      <c r="O744" s="108">
        <f t="shared" si="55"/>
        <v>6.728343145500415E-2</v>
      </c>
      <c r="P744" s="108">
        <f t="shared" si="56"/>
        <v>0.14893617021276606</v>
      </c>
      <c r="Q744" s="108">
        <f t="shared" si="57"/>
        <v>0.17352537722908101</v>
      </c>
      <c r="S744" s="109">
        <f t="shared" si="58"/>
        <v>0.43902439024390238</v>
      </c>
      <c r="T744" s="109">
        <f t="shared" si="59"/>
        <v>0.34830575256107177</v>
      </c>
    </row>
    <row r="745" spans="1:20">
      <c r="A745" s="154">
        <v>883</v>
      </c>
      <c r="B745" s="156">
        <v>2042</v>
      </c>
      <c r="C745" s="133" t="s">
        <v>3022</v>
      </c>
      <c r="D745" s="155" t="s">
        <v>2324</v>
      </c>
      <c r="E745" s="154">
        <v>4</v>
      </c>
      <c r="F745" s="154">
        <v>3</v>
      </c>
      <c r="G745" s="154">
        <v>1</v>
      </c>
      <c r="H745" s="154">
        <v>0</v>
      </c>
      <c r="I745" s="154">
        <v>0</v>
      </c>
      <c r="J745" s="154">
        <v>0</v>
      </c>
      <c r="K745" s="154">
        <v>0.495</v>
      </c>
      <c r="L745" s="154">
        <v>0.40200000000000002</v>
      </c>
      <c r="M745" s="154">
        <v>0.47899999999999998</v>
      </c>
      <c r="N745" s="154">
        <v>0.54200000000000004</v>
      </c>
      <c r="O745" s="108">
        <f t="shared" si="55"/>
        <v>-0.18787878787878787</v>
      </c>
      <c r="P745" s="108">
        <f t="shared" si="56"/>
        <v>0.19154228855721378</v>
      </c>
      <c r="Q745" s="108">
        <f t="shared" si="57"/>
        <v>0.13152400835073075</v>
      </c>
      <c r="S745" s="109">
        <f t="shared" si="58"/>
        <v>9.4949494949495117E-2</v>
      </c>
      <c r="T745" s="109">
        <f t="shared" si="59"/>
        <v>0.34825870646766166</v>
      </c>
    </row>
    <row r="746" spans="1:20">
      <c r="A746" s="154">
        <v>613</v>
      </c>
      <c r="B746" s="156">
        <v>600835</v>
      </c>
      <c r="C746" s="133" t="s">
        <v>3023</v>
      </c>
      <c r="D746" s="155" t="s">
        <v>2324</v>
      </c>
      <c r="E746" s="154">
        <v>8</v>
      </c>
      <c r="F746" s="154">
        <v>2</v>
      </c>
      <c r="G746" s="154">
        <v>6</v>
      </c>
      <c r="H746" s="154">
        <v>0</v>
      </c>
      <c r="I746" s="154">
        <v>0</v>
      </c>
      <c r="J746" s="154">
        <v>0</v>
      </c>
      <c r="K746" s="154">
        <v>1.24</v>
      </c>
      <c r="L746" s="154">
        <v>1.2190000000000001</v>
      </c>
      <c r="M746" s="154">
        <v>1.4139999999999999</v>
      </c>
      <c r="N746" s="154">
        <v>1.641</v>
      </c>
      <c r="O746" s="108">
        <f t="shared" si="55"/>
        <v>-1.693548387096766E-2</v>
      </c>
      <c r="P746" s="108">
        <f t="shared" si="56"/>
        <v>0.15996718621821149</v>
      </c>
      <c r="Q746" s="108">
        <f t="shared" si="57"/>
        <v>0.16053748231966058</v>
      </c>
      <c r="S746" s="109">
        <f t="shared" si="58"/>
        <v>0.32338709677419364</v>
      </c>
      <c r="T746" s="109">
        <f t="shared" si="59"/>
        <v>0.34618539786710412</v>
      </c>
    </row>
    <row r="747" spans="1:20">
      <c r="A747" s="154">
        <v>605</v>
      </c>
      <c r="B747" s="156">
        <v>2595</v>
      </c>
      <c r="C747" s="133" t="s">
        <v>3024</v>
      </c>
      <c r="D747" s="155" t="s">
        <v>2324</v>
      </c>
      <c r="E747" s="154">
        <v>8</v>
      </c>
      <c r="F747" s="154">
        <v>4</v>
      </c>
      <c r="G747" s="154">
        <v>4</v>
      </c>
      <c r="H747" s="154">
        <v>0</v>
      </c>
      <c r="I747" s="154">
        <v>0</v>
      </c>
      <c r="J747" s="154">
        <v>0</v>
      </c>
      <c r="K747" s="154">
        <v>0.92400000000000004</v>
      </c>
      <c r="L747" s="154">
        <v>1.0720000000000001</v>
      </c>
      <c r="M747" s="154">
        <v>1.2509999999999999</v>
      </c>
      <c r="N747" s="154">
        <v>1.4419999999999999</v>
      </c>
      <c r="O747" s="108">
        <f t="shared" si="55"/>
        <v>0.16017316017316019</v>
      </c>
      <c r="P747" s="108">
        <f t="shared" si="56"/>
        <v>0.16697761194029836</v>
      </c>
      <c r="Q747" s="108">
        <f t="shared" si="57"/>
        <v>0.15267785771382902</v>
      </c>
      <c r="S747" s="109">
        <f t="shared" si="58"/>
        <v>0.56060606060606055</v>
      </c>
      <c r="T747" s="109">
        <f t="shared" si="59"/>
        <v>0.3451492537313432</v>
      </c>
    </row>
    <row r="748" spans="1:20">
      <c r="A748" s="154">
        <v>693</v>
      </c>
      <c r="B748" s="156">
        <v>600728</v>
      </c>
      <c r="C748" s="133" t="s">
        <v>3025</v>
      </c>
      <c r="D748" s="155" t="s">
        <v>2324</v>
      </c>
      <c r="E748" s="154">
        <v>7</v>
      </c>
      <c r="F748" s="154">
        <v>6</v>
      </c>
      <c r="G748" s="154">
        <v>1</v>
      </c>
      <c r="H748" s="154">
        <v>0</v>
      </c>
      <c r="I748" s="154">
        <v>0</v>
      </c>
      <c r="J748" s="154">
        <v>0</v>
      </c>
      <c r="K748" s="154">
        <v>0.157</v>
      </c>
      <c r="L748" s="154">
        <v>0.35399999999999998</v>
      </c>
      <c r="M748" s="154">
        <v>0.35099999999999998</v>
      </c>
      <c r="N748" s="154">
        <v>0.47599999999999998</v>
      </c>
      <c r="O748" s="108">
        <f t="shared" si="55"/>
        <v>1.2547770700636942</v>
      </c>
      <c r="P748" s="108">
        <f t="shared" si="56"/>
        <v>-8.4745762711864181E-3</v>
      </c>
      <c r="Q748" s="108">
        <f t="shared" si="57"/>
        <v>0.35612535612535612</v>
      </c>
      <c r="S748" s="109">
        <f t="shared" si="58"/>
        <v>2.0318471337579616</v>
      </c>
      <c r="T748" s="109">
        <f t="shared" si="59"/>
        <v>0.34463276836158196</v>
      </c>
    </row>
    <row r="749" spans="1:20">
      <c r="A749" s="154">
        <v>153</v>
      </c>
      <c r="B749" s="156">
        <v>2555</v>
      </c>
      <c r="C749" s="133" t="s">
        <v>3026</v>
      </c>
      <c r="D749" s="155" t="s">
        <v>2324</v>
      </c>
      <c r="E749" s="154">
        <v>25</v>
      </c>
      <c r="F749" s="154">
        <v>15</v>
      </c>
      <c r="G749" s="154">
        <v>10</v>
      </c>
      <c r="H749" s="154">
        <v>0</v>
      </c>
      <c r="I749" s="154">
        <v>0</v>
      </c>
      <c r="J749" s="154">
        <v>0</v>
      </c>
      <c r="K749" s="154">
        <v>0.47699999999999998</v>
      </c>
      <c r="L749" s="154">
        <v>0.97499999999999998</v>
      </c>
      <c r="M749" s="154">
        <v>1.1479999999999999</v>
      </c>
      <c r="N749" s="154">
        <v>1.3109999999999999</v>
      </c>
      <c r="O749" s="108">
        <f t="shared" si="55"/>
        <v>1.0440251572327046</v>
      </c>
      <c r="P749" s="108">
        <f t="shared" si="56"/>
        <v>0.17743589743589738</v>
      </c>
      <c r="Q749" s="108">
        <f t="shared" si="57"/>
        <v>0.14198606271777003</v>
      </c>
      <c r="S749" s="109">
        <f t="shared" si="58"/>
        <v>1.7484276729559749</v>
      </c>
      <c r="T749" s="109">
        <f t="shared" si="59"/>
        <v>0.34461538461538455</v>
      </c>
    </row>
    <row r="750" spans="1:20">
      <c r="A750" s="154">
        <v>510</v>
      </c>
      <c r="B750" s="156">
        <v>601138</v>
      </c>
      <c r="C750" s="133" t="s">
        <v>733</v>
      </c>
      <c r="D750" s="155" t="s">
        <v>2324</v>
      </c>
      <c r="E750" s="154">
        <v>9</v>
      </c>
      <c r="F750" s="154">
        <v>8</v>
      </c>
      <c r="G750" s="154">
        <v>1</v>
      </c>
      <c r="H750" s="154">
        <v>0</v>
      </c>
      <c r="I750" s="154">
        <v>0</v>
      </c>
      <c r="J750" s="154">
        <v>0</v>
      </c>
      <c r="K750" s="154">
        <v>0.85099999999999998</v>
      </c>
      <c r="L750" s="154">
        <v>0.90300000000000002</v>
      </c>
      <c r="M750" s="154">
        <v>1.0369999999999999</v>
      </c>
      <c r="N750" s="154">
        <v>1.214</v>
      </c>
      <c r="O750" s="108">
        <f t="shared" si="55"/>
        <v>6.110458284371334E-2</v>
      </c>
      <c r="P750" s="108">
        <f t="shared" si="56"/>
        <v>0.14839424141749702</v>
      </c>
      <c r="Q750" s="108">
        <f t="shared" si="57"/>
        <v>0.17068466730954679</v>
      </c>
      <c r="S750" s="109">
        <f t="shared" si="58"/>
        <v>0.426556991774383</v>
      </c>
      <c r="T750" s="109">
        <f t="shared" si="59"/>
        <v>0.34440753045404193</v>
      </c>
    </row>
    <row r="751" spans="1:20">
      <c r="A751" s="154">
        <v>646</v>
      </c>
      <c r="B751" s="156">
        <v>603180</v>
      </c>
      <c r="C751" s="133" t="s">
        <v>3027</v>
      </c>
      <c r="D751" s="155" t="s">
        <v>2324</v>
      </c>
      <c r="E751" s="154">
        <v>7</v>
      </c>
      <c r="F751" s="154">
        <v>3</v>
      </c>
      <c r="G751" s="154">
        <v>4</v>
      </c>
      <c r="H751" s="154">
        <v>0</v>
      </c>
      <c r="I751" s="154">
        <v>0</v>
      </c>
      <c r="J751" s="154">
        <v>0</v>
      </c>
      <c r="K751" s="154">
        <v>3.1269999999999998</v>
      </c>
      <c r="L751" s="154">
        <v>3.6190000000000002</v>
      </c>
      <c r="M751" s="154">
        <v>4.2229999999999999</v>
      </c>
      <c r="N751" s="154">
        <v>4.8650000000000002</v>
      </c>
      <c r="O751" s="108">
        <f t="shared" si="55"/>
        <v>0.1573393028461787</v>
      </c>
      <c r="P751" s="108">
        <f t="shared" si="56"/>
        <v>0.16689693285437945</v>
      </c>
      <c r="Q751" s="108">
        <f t="shared" si="57"/>
        <v>0.15202462704238706</v>
      </c>
      <c r="S751" s="109">
        <f t="shared" si="58"/>
        <v>0.55580428525743542</v>
      </c>
      <c r="T751" s="109">
        <f t="shared" si="59"/>
        <v>0.34429400386847187</v>
      </c>
    </row>
    <row r="752" spans="1:20">
      <c r="A752" s="154">
        <v>541</v>
      </c>
      <c r="B752" s="156">
        <v>603</v>
      </c>
      <c r="C752" s="133" t="s">
        <v>3028</v>
      </c>
      <c r="D752" s="155" t="s">
        <v>2324</v>
      </c>
      <c r="E752" s="154">
        <v>9</v>
      </c>
      <c r="F752" s="154">
        <v>5</v>
      </c>
      <c r="G752" s="154">
        <v>4</v>
      </c>
      <c r="H752" s="154">
        <v>0</v>
      </c>
      <c r="I752" s="154">
        <v>0</v>
      </c>
      <c r="J752" s="154">
        <v>0</v>
      </c>
      <c r="K752" s="154">
        <v>0.59699999999999998</v>
      </c>
      <c r="L752" s="154">
        <v>0.66600000000000004</v>
      </c>
      <c r="M752" s="154">
        <v>0.76100000000000001</v>
      </c>
      <c r="N752" s="154">
        <v>0.89500000000000002</v>
      </c>
      <c r="O752" s="108">
        <f t="shared" si="55"/>
        <v>0.11557788944723635</v>
      </c>
      <c r="P752" s="108">
        <f t="shared" si="56"/>
        <v>0.14264264264264259</v>
      </c>
      <c r="Q752" s="108">
        <f t="shared" si="57"/>
        <v>0.17608409986859397</v>
      </c>
      <c r="S752" s="109">
        <f t="shared" si="58"/>
        <v>0.49916247906197664</v>
      </c>
      <c r="T752" s="109">
        <f t="shared" si="59"/>
        <v>0.34384384384384381</v>
      </c>
    </row>
    <row r="753" spans="1:20">
      <c r="A753" s="154">
        <v>783</v>
      </c>
      <c r="B753" s="156">
        <v>301</v>
      </c>
      <c r="C753" s="133" t="s">
        <v>3029</v>
      </c>
      <c r="D753" s="155" t="s">
        <v>2324</v>
      </c>
      <c r="E753" s="154">
        <v>5</v>
      </c>
      <c r="F753" s="154">
        <v>5</v>
      </c>
      <c r="G753" s="154">
        <v>0</v>
      </c>
      <c r="H753" s="154">
        <v>0</v>
      </c>
      <c r="I753" s="154">
        <v>0</v>
      </c>
      <c r="J753" s="154">
        <v>0</v>
      </c>
      <c r="K753" s="154">
        <v>0.21</v>
      </c>
      <c r="L753" s="154">
        <v>0.35</v>
      </c>
      <c r="M753" s="154">
        <v>0.38200000000000001</v>
      </c>
      <c r="N753" s="154">
        <v>0.47</v>
      </c>
      <c r="O753" s="108">
        <f t="shared" si="55"/>
        <v>0.66666666666666652</v>
      </c>
      <c r="P753" s="108">
        <f t="shared" si="56"/>
        <v>9.1428571428571415E-2</v>
      </c>
      <c r="Q753" s="108">
        <f t="shared" si="57"/>
        <v>0.23036649214659688</v>
      </c>
      <c r="S753" s="109">
        <f t="shared" si="58"/>
        <v>1.2380952380952381</v>
      </c>
      <c r="T753" s="109">
        <f t="shared" si="59"/>
        <v>0.34285714285714297</v>
      </c>
    </row>
    <row r="754" spans="1:20">
      <c r="A754" s="154">
        <v>135</v>
      </c>
      <c r="B754" s="156">
        <v>2032</v>
      </c>
      <c r="C754" s="133" t="s">
        <v>3030</v>
      </c>
      <c r="D754" s="155" t="s">
        <v>2324</v>
      </c>
      <c r="E754" s="154">
        <v>27</v>
      </c>
      <c r="F754" s="154">
        <v>14</v>
      </c>
      <c r="G754" s="154">
        <v>13</v>
      </c>
      <c r="H754" s="154">
        <v>0</v>
      </c>
      <c r="I754" s="154">
        <v>0</v>
      </c>
      <c r="J754" s="154">
        <v>0</v>
      </c>
      <c r="K754" s="154">
        <v>2.0339999999999998</v>
      </c>
      <c r="L754" s="154">
        <v>2.355</v>
      </c>
      <c r="M754" s="154">
        <v>2.74</v>
      </c>
      <c r="N754" s="154">
        <v>3.161</v>
      </c>
      <c r="O754" s="108">
        <f t="shared" si="55"/>
        <v>0.15781710914454283</v>
      </c>
      <c r="P754" s="108">
        <f t="shared" si="56"/>
        <v>0.16348195329087067</v>
      </c>
      <c r="Q754" s="108">
        <f t="shared" si="57"/>
        <v>0.1536496350364962</v>
      </c>
      <c r="S754" s="109">
        <f t="shared" si="58"/>
        <v>0.5540806293018683</v>
      </c>
      <c r="T754" s="109">
        <f t="shared" si="59"/>
        <v>0.34225053078556256</v>
      </c>
    </row>
    <row r="755" spans="1:20">
      <c r="A755" s="154">
        <v>517</v>
      </c>
      <c r="B755" s="156">
        <v>603444</v>
      </c>
      <c r="C755" s="133" t="s">
        <v>3031</v>
      </c>
      <c r="D755" s="155" t="s">
        <v>2324</v>
      </c>
      <c r="E755" s="154">
        <v>9</v>
      </c>
      <c r="F755" s="154">
        <v>5</v>
      </c>
      <c r="G755" s="154">
        <v>4</v>
      </c>
      <c r="H755" s="154">
        <v>0</v>
      </c>
      <c r="I755" s="154">
        <v>0</v>
      </c>
      <c r="J755" s="154">
        <v>0</v>
      </c>
      <c r="K755" s="154">
        <v>10.058</v>
      </c>
      <c r="L755" s="154">
        <v>12.46</v>
      </c>
      <c r="M755" s="154">
        <v>14.497</v>
      </c>
      <c r="N755" s="154">
        <v>16.716999999999999</v>
      </c>
      <c r="O755" s="108">
        <f t="shared" si="55"/>
        <v>0.23881487373235255</v>
      </c>
      <c r="P755" s="108">
        <f t="shared" si="56"/>
        <v>0.16348314606741554</v>
      </c>
      <c r="Q755" s="108">
        <f t="shared" si="57"/>
        <v>0.15313513140649793</v>
      </c>
      <c r="S755" s="109">
        <f t="shared" si="58"/>
        <v>0.66206005170013915</v>
      </c>
      <c r="T755" s="109">
        <f t="shared" si="59"/>
        <v>0.34165329052969473</v>
      </c>
    </row>
    <row r="756" spans="1:20">
      <c r="A756" s="154">
        <v>707</v>
      </c>
      <c r="B756" s="156">
        <v>600894</v>
      </c>
      <c r="C756" s="133" t="s">
        <v>3032</v>
      </c>
      <c r="D756" s="155" t="s">
        <v>2324</v>
      </c>
      <c r="E756" s="154">
        <v>6</v>
      </c>
      <c r="F756" s="154">
        <v>0</v>
      </c>
      <c r="G756" s="154">
        <v>6</v>
      </c>
      <c r="H756" s="154">
        <v>0</v>
      </c>
      <c r="I756" s="154">
        <v>0</v>
      </c>
      <c r="J756" s="154">
        <v>0</v>
      </c>
      <c r="K756" s="154">
        <v>0.156</v>
      </c>
      <c r="L756" s="154">
        <v>0.55400000000000005</v>
      </c>
      <c r="M756" s="154">
        <v>0.66300000000000003</v>
      </c>
      <c r="N756" s="154">
        <v>0.74299999999999999</v>
      </c>
      <c r="O756" s="108">
        <f t="shared" si="55"/>
        <v>2.5512820512820515</v>
      </c>
      <c r="P756" s="108">
        <f t="shared" si="56"/>
        <v>0.19675090252707572</v>
      </c>
      <c r="Q756" s="108">
        <f t="shared" si="57"/>
        <v>0.1206636500754148</v>
      </c>
      <c r="S756" s="109">
        <f t="shared" si="58"/>
        <v>3.7628205128205128</v>
      </c>
      <c r="T756" s="109">
        <f t="shared" si="59"/>
        <v>0.34115523465703967</v>
      </c>
    </row>
    <row r="757" spans="1:20">
      <c r="A757" s="154">
        <v>85</v>
      </c>
      <c r="B757" s="156">
        <v>600486</v>
      </c>
      <c r="C757" s="133" t="s">
        <v>3033</v>
      </c>
      <c r="D757" s="155" t="s">
        <v>2324</v>
      </c>
      <c r="E757" s="154">
        <v>33</v>
      </c>
      <c r="F757" s="154">
        <v>21</v>
      </c>
      <c r="G757" s="154">
        <v>12</v>
      </c>
      <c r="H757" s="154">
        <v>0</v>
      </c>
      <c r="I757" s="154">
        <v>0</v>
      </c>
      <c r="J757" s="154">
        <v>0</v>
      </c>
      <c r="K757" s="154">
        <v>2.8889999999999998</v>
      </c>
      <c r="L757" s="154">
        <v>3.7149999999999999</v>
      </c>
      <c r="M757" s="154">
        <v>4.1890000000000001</v>
      </c>
      <c r="N757" s="154">
        <v>4.9800000000000004</v>
      </c>
      <c r="O757" s="108">
        <f t="shared" si="55"/>
        <v>0.2859120803046038</v>
      </c>
      <c r="P757" s="108">
        <f t="shared" si="56"/>
        <v>0.12759084791386277</v>
      </c>
      <c r="Q757" s="108">
        <f t="shared" si="57"/>
        <v>0.18882788254953464</v>
      </c>
      <c r="S757" s="109">
        <f t="shared" si="58"/>
        <v>0.72377985462097638</v>
      </c>
      <c r="T757" s="109">
        <f t="shared" si="59"/>
        <v>0.34051144010767187</v>
      </c>
    </row>
    <row r="758" spans="1:20">
      <c r="A758" s="154">
        <v>410</v>
      </c>
      <c r="B758" s="156">
        <v>603589</v>
      </c>
      <c r="C758" s="133" t="s">
        <v>3034</v>
      </c>
      <c r="D758" s="155" t="s">
        <v>2324</v>
      </c>
      <c r="E758" s="154">
        <v>12</v>
      </c>
      <c r="F758" s="154">
        <v>10</v>
      </c>
      <c r="G758" s="154">
        <v>2</v>
      </c>
      <c r="H758" s="154">
        <v>0</v>
      </c>
      <c r="I758" s="154">
        <v>0</v>
      </c>
      <c r="J758" s="154">
        <v>0</v>
      </c>
      <c r="K758" s="154">
        <v>2.5539999999999998</v>
      </c>
      <c r="L758" s="154">
        <v>3.0350000000000001</v>
      </c>
      <c r="M758" s="154">
        <v>3.5150000000000001</v>
      </c>
      <c r="N758" s="154">
        <v>4.0659999999999998</v>
      </c>
      <c r="O758" s="108">
        <f t="shared" si="55"/>
        <v>0.18833202819107298</v>
      </c>
      <c r="P758" s="108">
        <f t="shared" si="56"/>
        <v>0.15815485996705103</v>
      </c>
      <c r="Q758" s="108">
        <f t="shared" si="57"/>
        <v>0.15675675675675671</v>
      </c>
      <c r="S758" s="109">
        <f t="shared" si="58"/>
        <v>0.59201252936570081</v>
      </c>
      <c r="T758" s="109">
        <f t="shared" si="59"/>
        <v>0.33970345963756166</v>
      </c>
    </row>
    <row r="759" spans="1:20">
      <c r="A759" s="154">
        <v>714</v>
      </c>
      <c r="B759" s="156">
        <v>960</v>
      </c>
      <c r="C759" s="133" t="s">
        <v>3035</v>
      </c>
      <c r="D759" s="155" t="s">
        <v>2324</v>
      </c>
      <c r="E759" s="154">
        <v>6</v>
      </c>
      <c r="F759" s="154">
        <v>3</v>
      </c>
      <c r="G759" s="154">
        <v>3</v>
      </c>
      <c r="H759" s="154">
        <v>0</v>
      </c>
      <c r="I759" s="154">
        <v>0</v>
      </c>
      <c r="J759" s="154">
        <v>0</v>
      </c>
      <c r="K759" s="154">
        <v>0.52800000000000002</v>
      </c>
      <c r="L759" s="154">
        <v>0.52700000000000002</v>
      </c>
      <c r="M759" s="154">
        <v>0.60199999999999998</v>
      </c>
      <c r="N759" s="154">
        <v>0.70599999999999996</v>
      </c>
      <c r="O759" s="108">
        <f t="shared" si="55"/>
        <v>-1.8939393939394478E-3</v>
      </c>
      <c r="P759" s="108">
        <f t="shared" si="56"/>
        <v>0.14231499051233398</v>
      </c>
      <c r="Q759" s="108">
        <f t="shared" si="57"/>
        <v>0.1727574750830565</v>
      </c>
      <c r="S759" s="109">
        <f t="shared" si="58"/>
        <v>0.33712121212121193</v>
      </c>
      <c r="T759" s="109">
        <f t="shared" si="59"/>
        <v>0.33965844402277034</v>
      </c>
    </row>
    <row r="760" spans="1:20">
      <c r="A760" s="154">
        <v>56</v>
      </c>
      <c r="B760" s="156">
        <v>1</v>
      </c>
      <c r="C760" s="133" t="s">
        <v>3036</v>
      </c>
      <c r="D760" s="155" t="s">
        <v>2324</v>
      </c>
      <c r="E760" s="154">
        <v>38</v>
      </c>
      <c r="F760" s="154">
        <v>26</v>
      </c>
      <c r="G760" s="154">
        <v>12</v>
      </c>
      <c r="H760" s="154">
        <v>0</v>
      </c>
      <c r="I760" s="154">
        <v>0</v>
      </c>
      <c r="J760" s="154">
        <v>0</v>
      </c>
      <c r="K760" s="154">
        <v>1.2789999999999999</v>
      </c>
      <c r="L760" s="154">
        <v>1.4610000000000001</v>
      </c>
      <c r="M760" s="154">
        <v>1.6759999999999999</v>
      </c>
      <c r="N760" s="154">
        <v>1.9550000000000001</v>
      </c>
      <c r="O760" s="108">
        <f t="shared" si="55"/>
        <v>0.1422986708365912</v>
      </c>
      <c r="P760" s="108">
        <f t="shared" si="56"/>
        <v>0.14715947980835042</v>
      </c>
      <c r="Q760" s="108">
        <f t="shared" si="57"/>
        <v>0.16646778042959443</v>
      </c>
      <c r="S760" s="109">
        <f t="shared" si="58"/>
        <v>0.52853792025019564</v>
      </c>
      <c r="T760" s="109">
        <f t="shared" si="59"/>
        <v>0.3381245722108146</v>
      </c>
    </row>
    <row r="761" spans="1:20">
      <c r="A761" s="154">
        <v>433</v>
      </c>
      <c r="B761" s="156">
        <v>975</v>
      </c>
      <c r="C761" s="133" t="s">
        <v>3037</v>
      </c>
      <c r="D761" s="155" t="s">
        <v>2324</v>
      </c>
      <c r="E761" s="154">
        <v>12</v>
      </c>
      <c r="F761" s="154">
        <v>4</v>
      </c>
      <c r="G761" s="154">
        <v>8</v>
      </c>
      <c r="H761" s="154">
        <v>0</v>
      </c>
      <c r="I761" s="154">
        <v>0</v>
      </c>
      <c r="J761" s="154">
        <v>0</v>
      </c>
      <c r="K761" s="154">
        <v>0.33400000000000002</v>
      </c>
      <c r="L761" s="154">
        <v>0.50600000000000001</v>
      </c>
      <c r="M761" s="154">
        <v>0.60599999999999998</v>
      </c>
      <c r="N761" s="154">
        <v>0.67700000000000005</v>
      </c>
      <c r="O761" s="108">
        <f t="shared" si="55"/>
        <v>0.51497005988023936</v>
      </c>
      <c r="P761" s="108">
        <f t="shared" si="56"/>
        <v>0.19762845849802368</v>
      </c>
      <c r="Q761" s="108">
        <f t="shared" si="57"/>
        <v>0.11716171617161719</v>
      </c>
      <c r="S761" s="109">
        <f t="shared" si="58"/>
        <v>1.0269461077844313</v>
      </c>
      <c r="T761" s="109">
        <f t="shared" si="59"/>
        <v>0.3379446640316206</v>
      </c>
    </row>
    <row r="762" spans="1:20">
      <c r="A762" s="154">
        <v>772</v>
      </c>
      <c r="B762" s="156">
        <v>630</v>
      </c>
      <c r="C762" s="133" t="s">
        <v>3038</v>
      </c>
      <c r="D762" s="155" t="s">
        <v>2324</v>
      </c>
      <c r="E762" s="154">
        <v>6</v>
      </c>
      <c r="F762" s="154">
        <v>0</v>
      </c>
      <c r="G762" s="154">
        <v>6</v>
      </c>
      <c r="H762" s="154">
        <v>0</v>
      </c>
      <c r="I762" s="154">
        <v>0</v>
      </c>
      <c r="J762" s="154">
        <v>0</v>
      </c>
      <c r="K762" s="154">
        <v>6.7000000000000004E-2</v>
      </c>
      <c r="L762" s="154">
        <v>7.6999999999999999E-2</v>
      </c>
      <c r="M762" s="154">
        <v>0.09</v>
      </c>
      <c r="N762" s="154">
        <v>0.10299999999999999</v>
      </c>
      <c r="O762" s="108">
        <f t="shared" si="55"/>
        <v>0.14925373134328357</v>
      </c>
      <c r="P762" s="108">
        <f t="shared" si="56"/>
        <v>0.16883116883116878</v>
      </c>
      <c r="Q762" s="108">
        <f t="shared" si="57"/>
        <v>0.14444444444444438</v>
      </c>
      <c r="S762" s="109">
        <f t="shared" si="58"/>
        <v>0.53731343283582067</v>
      </c>
      <c r="T762" s="109">
        <f t="shared" si="59"/>
        <v>0.33766233766233755</v>
      </c>
    </row>
    <row r="763" spans="1:20">
      <c r="A763" s="154">
        <v>595</v>
      </c>
      <c r="B763" s="156">
        <v>600862</v>
      </c>
      <c r="C763" s="133" t="s">
        <v>3039</v>
      </c>
      <c r="D763" s="155" t="s">
        <v>2324</v>
      </c>
      <c r="E763" s="154">
        <v>8</v>
      </c>
      <c r="F763" s="154">
        <v>4</v>
      </c>
      <c r="G763" s="154">
        <v>4</v>
      </c>
      <c r="H763" s="154">
        <v>0</v>
      </c>
      <c r="I763" s="154">
        <v>0</v>
      </c>
      <c r="J763" s="154">
        <v>0</v>
      </c>
      <c r="K763" s="154">
        <v>0.218</v>
      </c>
      <c r="L763" s="154">
        <v>0.249</v>
      </c>
      <c r="M763" s="154">
        <v>0.27600000000000002</v>
      </c>
      <c r="N763" s="154">
        <v>0.33300000000000002</v>
      </c>
      <c r="O763" s="108">
        <f t="shared" si="55"/>
        <v>0.14220183486238525</v>
      </c>
      <c r="P763" s="108">
        <f t="shared" si="56"/>
        <v>0.10843373493975905</v>
      </c>
      <c r="Q763" s="108">
        <f t="shared" si="57"/>
        <v>0.20652173913043481</v>
      </c>
      <c r="S763" s="109">
        <f t="shared" si="58"/>
        <v>0.52752293577981657</v>
      </c>
      <c r="T763" s="109">
        <f t="shared" si="59"/>
        <v>0.33734939759036142</v>
      </c>
    </row>
    <row r="764" spans="1:20">
      <c r="A764" s="154">
        <v>381</v>
      </c>
      <c r="B764" s="156">
        <v>601965</v>
      </c>
      <c r="C764" s="133" t="s">
        <v>3040</v>
      </c>
      <c r="D764" s="155" t="s">
        <v>2324</v>
      </c>
      <c r="E764" s="154">
        <v>13</v>
      </c>
      <c r="F764" s="154">
        <v>8</v>
      </c>
      <c r="G764" s="154">
        <v>5</v>
      </c>
      <c r="H764" s="154">
        <v>0</v>
      </c>
      <c r="I764" s="154">
        <v>0</v>
      </c>
      <c r="J764" s="154">
        <v>0</v>
      </c>
      <c r="K764" s="154">
        <v>0.41599999999999998</v>
      </c>
      <c r="L764" s="154">
        <v>0.47799999999999998</v>
      </c>
      <c r="M764" s="154">
        <v>0.55600000000000005</v>
      </c>
      <c r="N764" s="154">
        <v>0.63900000000000001</v>
      </c>
      <c r="O764" s="108">
        <f t="shared" si="55"/>
        <v>0.14903846153846145</v>
      </c>
      <c r="P764" s="108">
        <f t="shared" si="56"/>
        <v>0.16317991631799189</v>
      </c>
      <c r="Q764" s="108">
        <f t="shared" si="57"/>
        <v>0.14928057553956831</v>
      </c>
      <c r="S764" s="109">
        <f t="shared" si="58"/>
        <v>0.53605769230769251</v>
      </c>
      <c r="T764" s="109">
        <f t="shared" si="59"/>
        <v>0.33682008368200855</v>
      </c>
    </row>
    <row r="765" spans="1:20">
      <c r="A765" s="154">
        <v>418</v>
      </c>
      <c r="B765" s="156">
        <v>2507</v>
      </c>
      <c r="C765" s="133" t="s">
        <v>3041</v>
      </c>
      <c r="D765" s="155" t="s">
        <v>2324</v>
      </c>
      <c r="E765" s="154">
        <v>12</v>
      </c>
      <c r="F765" s="154">
        <v>6</v>
      </c>
      <c r="G765" s="154">
        <v>6</v>
      </c>
      <c r="H765" s="154">
        <v>0</v>
      </c>
      <c r="I765" s="154">
        <v>0</v>
      </c>
      <c r="J765" s="154">
        <v>0</v>
      </c>
      <c r="K765" s="154">
        <v>0.83799999999999997</v>
      </c>
      <c r="L765" s="154">
        <v>0.86799999999999999</v>
      </c>
      <c r="M765" s="154">
        <v>0.99399999999999999</v>
      </c>
      <c r="N765" s="154">
        <v>1.159</v>
      </c>
      <c r="O765" s="108">
        <f t="shared" si="55"/>
        <v>3.5799522673030992E-2</v>
      </c>
      <c r="P765" s="108">
        <f t="shared" si="56"/>
        <v>0.14516129032258074</v>
      </c>
      <c r="Q765" s="108">
        <f t="shared" si="57"/>
        <v>0.16599597585513082</v>
      </c>
      <c r="S765" s="109">
        <f t="shared" si="58"/>
        <v>0.38305489260143211</v>
      </c>
      <c r="T765" s="109">
        <f t="shared" si="59"/>
        <v>0.33525345622119818</v>
      </c>
    </row>
    <row r="766" spans="1:20">
      <c r="A766" s="154">
        <v>333</v>
      </c>
      <c r="B766" s="156">
        <v>601058</v>
      </c>
      <c r="C766" s="133" t="s">
        <v>3042</v>
      </c>
      <c r="D766" s="155" t="s">
        <v>2324</v>
      </c>
      <c r="E766" s="154">
        <v>15</v>
      </c>
      <c r="F766" s="154">
        <v>11</v>
      </c>
      <c r="G766" s="154">
        <v>4</v>
      </c>
      <c r="H766" s="154">
        <v>0</v>
      </c>
      <c r="I766" s="154">
        <v>0</v>
      </c>
      <c r="J766" s="154">
        <v>0</v>
      </c>
      <c r="K766" s="154">
        <v>0.247</v>
      </c>
      <c r="L766" s="154">
        <v>0.43099999999999999</v>
      </c>
      <c r="M766" s="154">
        <v>0.502</v>
      </c>
      <c r="N766" s="154">
        <v>0.57499999999999996</v>
      </c>
      <c r="O766" s="108">
        <f t="shared" si="55"/>
        <v>0.74493927125506065</v>
      </c>
      <c r="P766" s="108">
        <f t="shared" si="56"/>
        <v>0.16473317865429227</v>
      </c>
      <c r="Q766" s="108">
        <f t="shared" si="57"/>
        <v>0.14541832669322696</v>
      </c>
      <c r="S766" s="109">
        <f t="shared" si="58"/>
        <v>1.3279352226720644</v>
      </c>
      <c r="T766" s="109">
        <f t="shared" si="59"/>
        <v>0.33410672853828305</v>
      </c>
    </row>
    <row r="767" spans="1:20">
      <c r="A767" s="154">
        <v>138</v>
      </c>
      <c r="B767" s="156">
        <v>2035</v>
      </c>
      <c r="C767" s="133" t="s">
        <v>3043</v>
      </c>
      <c r="D767" s="155" t="s">
        <v>2324</v>
      </c>
      <c r="E767" s="154">
        <v>27</v>
      </c>
      <c r="F767" s="154">
        <v>22</v>
      </c>
      <c r="G767" s="154">
        <v>5</v>
      </c>
      <c r="H767" s="154">
        <v>0</v>
      </c>
      <c r="I767" s="154">
        <v>0</v>
      </c>
      <c r="J767" s="154">
        <v>0</v>
      </c>
      <c r="K767" s="154">
        <v>0.77900000000000003</v>
      </c>
      <c r="L767" s="154">
        <v>0.89500000000000002</v>
      </c>
      <c r="M767" s="154">
        <v>1.038</v>
      </c>
      <c r="N767" s="154">
        <v>1.1930000000000001</v>
      </c>
      <c r="O767" s="108">
        <f t="shared" si="55"/>
        <v>0.14890885750962779</v>
      </c>
      <c r="P767" s="108">
        <f t="shared" si="56"/>
        <v>0.15977653631284916</v>
      </c>
      <c r="Q767" s="108">
        <f t="shared" si="57"/>
        <v>0.14932562620423884</v>
      </c>
      <c r="S767" s="109">
        <f t="shared" si="58"/>
        <v>0.53145057766367132</v>
      </c>
      <c r="T767" s="109">
        <f t="shared" si="59"/>
        <v>0.33296089385474859</v>
      </c>
    </row>
    <row r="768" spans="1:20">
      <c r="A768" s="154">
        <v>344</v>
      </c>
      <c r="B768" s="156">
        <v>28</v>
      </c>
      <c r="C768" s="133" t="s">
        <v>3044</v>
      </c>
      <c r="D768" s="155" t="s">
        <v>2324</v>
      </c>
      <c r="E768" s="154">
        <v>15</v>
      </c>
      <c r="F768" s="154">
        <v>11</v>
      </c>
      <c r="G768" s="154">
        <v>4</v>
      </c>
      <c r="H768" s="154">
        <v>0</v>
      </c>
      <c r="I768" s="154">
        <v>0</v>
      </c>
      <c r="J768" s="154">
        <v>0</v>
      </c>
      <c r="K768" s="154">
        <v>2.8279999999999998</v>
      </c>
      <c r="L768" s="154">
        <v>3.08</v>
      </c>
      <c r="M768" s="154">
        <v>3.5609999999999999</v>
      </c>
      <c r="N768" s="154">
        <v>4.1050000000000004</v>
      </c>
      <c r="O768" s="108">
        <f t="shared" si="55"/>
        <v>8.9108910891089188E-2</v>
      </c>
      <c r="P768" s="108">
        <f t="shared" si="56"/>
        <v>0.15616883116883118</v>
      </c>
      <c r="Q768" s="108">
        <f t="shared" si="57"/>
        <v>0.15276607694467859</v>
      </c>
      <c r="S768" s="109">
        <f t="shared" si="58"/>
        <v>0.4515558698727018</v>
      </c>
      <c r="T768" s="109">
        <f t="shared" si="59"/>
        <v>0.33279220779220786</v>
      </c>
    </row>
    <row r="769" spans="1:20">
      <c r="A769" s="154">
        <v>35</v>
      </c>
      <c r="B769" s="156">
        <v>601888</v>
      </c>
      <c r="C769" s="133" t="s">
        <v>743</v>
      </c>
      <c r="D769" s="155" t="s">
        <v>2324</v>
      </c>
      <c r="E769" s="154">
        <v>43</v>
      </c>
      <c r="F769" s="154">
        <v>26</v>
      </c>
      <c r="G769" s="154">
        <v>17</v>
      </c>
      <c r="H769" s="154">
        <v>0</v>
      </c>
      <c r="I769" s="154">
        <v>0</v>
      </c>
      <c r="J769" s="154">
        <v>0</v>
      </c>
      <c r="K769" s="154">
        <v>1.585</v>
      </c>
      <c r="L769" s="154">
        <v>2.3919999999999999</v>
      </c>
      <c r="M769" s="154">
        <v>2.6539999999999999</v>
      </c>
      <c r="N769" s="154">
        <v>3.1859999999999999</v>
      </c>
      <c r="O769" s="108">
        <f t="shared" si="55"/>
        <v>0.50914826498422716</v>
      </c>
      <c r="P769" s="108">
        <f t="shared" si="56"/>
        <v>0.10953177257525093</v>
      </c>
      <c r="Q769" s="108">
        <f t="shared" si="57"/>
        <v>0.20045214770158259</v>
      </c>
      <c r="S769" s="109">
        <f t="shared" si="58"/>
        <v>1.010094637223975</v>
      </c>
      <c r="T769" s="109">
        <f t="shared" si="59"/>
        <v>0.33193979933110374</v>
      </c>
    </row>
    <row r="770" spans="1:20">
      <c r="A770" s="154">
        <v>728</v>
      </c>
      <c r="B770" s="156">
        <v>603839</v>
      </c>
      <c r="C770" s="133" t="s">
        <v>3045</v>
      </c>
      <c r="D770" s="155" t="s">
        <v>2324</v>
      </c>
      <c r="E770" s="154">
        <v>6</v>
      </c>
      <c r="F770" s="154">
        <v>4</v>
      </c>
      <c r="G770" s="154">
        <v>2</v>
      </c>
      <c r="H770" s="154">
        <v>0</v>
      </c>
      <c r="I770" s="154">
        <v>0</v>
      </c>
      <c r="J770" s="154">
        <v>0</v>
      </c>
      <c r="K770" s="154">
        <v>0.7</v>
      </c>
      <c r="L770" s="154">
        <v>0.877</v>
      </c>
      <c r="M770" s="154">
        <v>1.008</v>
      </c>
      <c r="N770" s="154">
        <v>1.167</v>
      </c>
      <c r="O770" s="108">
        <f t="shared" si="55"/>
        <v>0.25285714285714289</v>
      </c>
      <c r="P770" s="108">
        <f t="shared" si="56"/>
        <v>0.14937286202964661</v>
      </c>
      <c r="Q770" s="108">
        <f t="shared" si="57"/>
        <v>0.15773809523809534</v>
      </c>
      <c r="S770" s="109">
        <f t="shared" si="58"/>
        <v>0.66714285714285726</v>
      </c>
      <c r="T770" s="109">
        <f t="shared" si="59"/>
        <v>0.33067274800456103</v>
      </c>
    </row>
    <row r="771" spans="1:20">
      <c r="A771" s="154">
        <v>210</v>
      </c>
      <c r="B771" s="156">
        <v>601211</v>
      </c>
      <c r="C771" s="133" t="s">
        <v>3046</v>
      </c>
      <c r="D771" s="155" t="s">
        <v>2324</v>
      </c>
      <c r="E771" s="154">
        <v>21</v>
      </c>
      <c r="F771" s="154">
        <v>8</v>
      </c>
      <c r="G771" s="154">
        <v>13</v>
      </c>
      <c r="H771" s="154">
        <v>0</v>
      </c>
      <c r="I771" s="154">
        <v>0</v>
      </c>
      <c r="J771" s="154">
        <v>0</v>
      </c>
      <c r="K771" s="154">
        <v>0.753</v>
      </c>
      <c r="L771" s="154">
        <v>0.99099999999999999</v>
      </c>
      <c r="M771" s="154">
        <v>1.169</v>
      </c>
      <c r="N771" s="154">
        <v>1.3180000000000001</v>
      </c>
      <c r="O771" s="108">
        <f t="shared" ref="O771:O834" si="60">L771/K771-1</f>
        <v>0.31606905710491362</v>
      </c>
      <c r="P771" s="108">
        <f t="shared" ref="P771:P834" si="61">M771/L771-1</f>
        <v>0.17961654894046419</v>
      </c>
      <c r="Q771" s="108">
        <f t="shared" ref="Q771:Q834" si="62">N771/M771-1</f>
        <v>0.12745936698032501</v>
      </c>
      <c r="S771" s="109">
        <f t="shared" ref="S771:S834" si="63">N771/K771-1</f>
        <v>0.75033200531208499</v>
      </c>
      <c r="T771" s="109">
        <f t="shared" ref="T771:T834" si="64">N771/L771-1</f>
        <v>0.32996972754793141</v>
      </c>
    </row>
    <row r="772" spans="1:20">
      <c r="A772" s="154">
        <v>858</v>
      </c>
      <c r="B772" s="156">
        <v>600879</v>
      </c>
      <c r="C772" s="133" t="s">
        <v>3047</v>
      </c>
      <c r="D772" s="155" t="s">
        <v>2324</v>
      </c>
      <c r="E772" s="154">
        <v>4</v>
      </c>
      <c r="F772" s="154">
        <v>3</v>
      </c>
      <c r="G772" s="154">
        <v>1</v>
      </c>
      <c r="H772" s="154">
        <v>0</v>
      </c>
      <c r="I772" s="154">
        <v>0</v>
      </c>
      <c r="J772" s="154">
        <v>0</v>
      </c>
      <c r="K772" s="154">
        <v>0.16800000000000001</v>
      </c>
      <c r="L772" s="154">
        <v>0.191</v>
      </c>
      <c r="M772" s="154">
        <v>0.219</v>
      </c>
      <c r="N772" s="154">
        <v>0.254</v>
      </c>
      <c r="O772" s="108">
        <f t="shared" si="60"/>
        <v>0.13690476190476186</v>
      </c>
      <c r="P772" s="108">
        <f t="shared" si="61"/>
        <v>0.14659685863874339</v>
      </c>
      <c r="Q772" s="108">
        <f t="shared" si="62"/>
        <v>0.15981735159817356</v>
      </c>
      <c r="S772" s="109">
        <f t="shared" si="63"/>
        <v>0.51190476190476186</v>
      </c>
      <c r="T772" s="109">
        <f t="shared" si="64"/>
        <v>0.32984293193717273</v>
      </c>
    </row>
    <row r="773" spans="1:20">
      <c r="A773" s="154">
        <v>38</v>
      </c>
      <c r="B773" s="156">
        <v>2050</v>
      </c>
      <c r="C773" s="133" t="s">
        <v>3048</v>
      </c>
      <c r="D773" s="155" t="s">
        <v>2324</v>
      </c>
      <c r="E773" s="154">
        <v>43</v>
      </c>
      <c r="F773" s="154">
        <v>21</v>
      </c>
      <c r="G773" s="154">
        <v>22</v>
      </c>
      <c r="H773" s="154">
        <v>0</v>
      </c>
      <c r="I773" s="154">
        <v>0</v>
      </c>
      <c r="J773" s="154">
        <v>0</v>
      </c>
      <c r="K773" s="154">
        <v>0.46700000000000003</v>
      </c>
      <c r="L773" s="154">
        <v>0.505</v>
      </c>
      <c r="M773" s="154">
        <v>0.58399999999999996</v>
      </c>
      <c r="N773" s="154">
        <v>0.67</v>
      </c>
      <c r="O773" s="108">
        <f t="shared" si="60"/>
        <v>8.1370449678800805E-2</v>
      </c>
      <c r="P773" s="108">
        <f t="shared" si="61"/>
        <v>0.15643564356435635</v>
      </c>
      <c r="Q773" s="108">
        <f t="shared" si="62"/>
        <v>0.14726027397260277</v>
      </c>
      <c r="S773" s="109">
        <f t="shared" si="63"/>
        <v>0.43468950749464663</v>
      </c>
      <c r="T773" s="109">
        <f t="shared" si="64"/>
        <v>0.3267326732673268</v>
      </c>
    </row>
    <row r="774" spans="1:20">
      <c r="A774" s="154">
        <v>859</v>
      </c>
      <c r="B774" s="156">
        <v>600875</v>
      </c>
      <c r="C774" s="133" t="s">
        <v>3049</v>
      </c>
      <c r="D774" s="155" t="s">
        <v>2324</v>
      </c>
      <c r="E774" s="154">
        <v>4</v>
      </c>
      <c r="F774" s="154">
        <v>0</v>
      </c>
      <c r="G774" s="154">
        <v>4</v>
      </c>
      <c r="H774" s="154">
        <v>0</v>
      </c>
      <c r="I774" s="154">
        <v>0</v>
      </c>
      <c r="J774" s="154">
        <v>0</v>
      </c>
      <c r="K774" s="154">
        <v>0.36199999999999999</v>
      </c>
      <c r="L774" s="154">
        <v>0.47</v>
      </c>
      <c r="M774" s="154">
        <v>0.54</v>
      </c>
      <c r="N774" s="154">
        <v>0.623</v>
      </c>
      <c r="O774" s="108">
        <f t="shared" si="60"/>
        <v>0.29834254143646399</v>
      </c>
      <c r="P774" s="108">
        <f t="shared" si="61"/>
        <v>0.14893617021276606</v>
      </c>
      <c r="Q774" s="108">
        <f t="shared" si="62"/>
        <v>0.15370370370370368</v>
      </c>
      <c r="S774" s="109">
        <f t="shared" si="63"/>
        <v>0.72099447513812165</v>
      </c>
      <c r="T774" s="109">
        <f t="shared" si="64"/>
        <v>0.3255319148936171</v>
      </c>
    </row>
    <row r="775" spans="1:20">
      <c r="A775" s="154">
        <v>569</v>
      </c>
      <c r="B775" s="156">
        <v>601066</v>
      </c>
      <c r="C775" s="133" t="s">
        <v>3050</v>
      </c>
      <c r="D775" s="155" t="s">
        <v>2324</v>
      </c>
      <c r="E775" s="154">
        <v>8</v>
      </c>
      <c r="F775" s="154">
        <v>0</v>
      </c>
      <c r="G775" s="154">
        <v>6</v>
      </c>
      <c r="H775" s="154">
        <v>1</v>
      </c>
      <c r="I775" s="154">
        <v>0</v>
      </c>
      <c r="J775" s="154">
        <v>1</v>
      </c>
      <c r="K775" s="154">
        <v>0.40400000000000003</v>
      </c>
      <c r="L775" s="154">
        <v>0.59099999999999997</v>
      </c>
      <c r="M775" s="154">
        <v>0.70099999999999996</v>
      </c>
      <c r="N775" s="154">
        <v>0.78200000000000003</v>
      </c>
      <c r="O775" s="108">
        <f t="shared" si="60"/>
        <v>0.46287128712871262</v>
      </c>
      <c r="P775" s="108">
        <f t="shared" si="61"/>
        <v>0.18612521150592221</v>
      </c>
      <c r="Q775" s="108">
        <f t="shared" si="62"/>
        <v>0.11554921540656227</v>
      </c>
      <c r="S775" s="109">
        <f t="shared" si="63"/>
        <v>0.93564356435643559</v>
      </c>
      <c r="T775" s="109">
        <f t="shared" si="64"/>
        <v>0.32318104906937406</v>
      </c>
    </row>
    <row r="776" spans="1:20">
      <c r="A776" s="154">
        <v>93</v>
      </c>
      <c r="B776" s="156">
        <v>601688</v>
      </c>
      <c r="C776" s="133" t="s">
        <v>3051</v>
      </c>
      <c r="D776" s="155" t="s">
        <v>2324</v>
      </c>
      <c r="E776" s="154">
        <v>32</v>
      </c>
      <c r="F776" s="154">
        <v>11</v>
      </c>
      <c r="G776" s="154">
        <v>21</v>
      </c>
      <c r="H776" s="154">
        <v>0</v>
      </c>
      <c r="I776" s="154">
        <v>0</v>
      </c>
      <c r="J776" s="154">
        <v>0</v>
      </c>
      <c r="K776" s="154">
        <v>0.55400000000000005</v>
      </c>
      <c r="L776" s="154">
        <v>0.876</v>
      </c>
      <c r="M776" s="154">
        <v>1.0209999999999999</v>
      </c>
      <c r="N776" s="154">
        <v>1.159</v>
      </c>
      <c r="O776" s="108">
        <f t="shared" si="60"/>
        <v>0.58122743682310452</v>
      </c>
      <c r="P776" s="108">
        <f t="shared" si="61"/>
        <v>0.16552511415525095</v>
      </c>
      <c r="Q776" s="108">
        <f t="shared" si="62"/>
        <v>0.13516160626836449</v>
      </c>
      <c r="S776" s="109">
        <f t="shared" si="63"/>
        <v>1.092057761732852</v>
      </c>
      <c r="T776" s="109">
        <f t="shared" si="64"/>
        <v>0.3230593607305936</v>
      </c>
    </row>
    <row r="777" spans="1:20">
      <c r="A777" s="154">
        <v>711</v>
      </c>
      <c r="B777" s="156">
        <v>600376</v>
      </c>
      <c r="C777" s="133" t="s">
        <v>3052</v>
      </c>
      <c r="D777" s="155" t="s">
        <v>2324</v>
      </c>
      <c r="E777" s="154">
        <v>6</v>
      </c>
      <c r="F777" s="154">
        <v>5</v>
      </c>
      <c r="G777" s="154">
        <v>1</v>
      </c>
      <c r="H777" s="154">
        <v>0</v>
      </c>
      <c r="I777" s="154">
        <v>0</v>
      </c>
      <c r="J777" s="154">
        <v>0</v>
      </c>
      <c r="K777" s="154">
        <v>1.228</v>
      </c>
      <c r="L777" s="154">
        <v>1.4750000000000001</v>
      </c>
      <c r="M777" s="154">
        <v>1.6870000000000001</v>
      </c>
      <c r="N777" s="154">
        <v>1.9510000000000001</v>
      </c>
      <c r="O777" s="108">
        <f t="shared" si="60"/>
        <v>0.20114006514658</v>
      </c>
      <c r="P777" s="108">
        <f t="shared" si="61"/>
        <v>0.14372881355932199</v>
      </c>
      <c r="Q777" s="108">
        <f t="shared" si="62"/>
        <v>0.15649081209247195</v>
      </c>
      <c r="S777" s="109">
        <f t="shared" si="63"/>
        <v>0.58876221498371351</v>
      </c>
      <c r="T777" s="109">
        <f t="shared" si="64"/>
        <v>0.32271186440677968</v>
      </c>
    </row>
    <row r="778" spans="1:20">
      <c r="A778" s="154">
        <v>700</v>
      </c>
      <c r="B778" s="156">
        <v>600273</v>
      </c>
      <c r="C778" s="133" t="s">
        <v>3053</v>
      </c>
      <c r="D778" s="155" t="s">
        <v>2324</v>
      </c>
      <c r="E778" s="154">
        <v>6</v>
      </c>
      <c r="F778" s="154">
        <v>3</v>
      </c>
      <c r="G778" s="154">
        <v>3</v>
      </c>
      <c r="H778" s="154">
        <v>0</v>
      </c>
      <c r="I778" s="154">
        <v>0</v>
      </c>
      <c r="J778" s="154">
        <v>0</v>
      </c>
      <c r="K778" s="154">
        <v>0.76800000000000002</v>
      </c>
      <c r="L778" s="154">
        <v>0.88400000000000001</v>
      </c>
      <c r="M778" s="154">
        <v>0.99199999999999999</v>
      </c>
      <c r="N778" s="154">
        <v>1.169</v>
      </c>
      <c r="O778" s="108">
        <f t="shared" si="60"/>
        <v>0.15104166666666674</v>
      </c>
      <c r="P778" s="108">
        <f t="shared" si="61"/>
        <v>0.12217194570135748</v>
      </c>
      <c r="Q778" s="108">
        <f t="shared" si="62"/>
        <v>0.17842741935483875</v>
      </c>
      <c r="S778" s="109">
        <f t="shared" si="63"/>
        <v>0.52213541666666674</v>
      </c>
      <c r="T778" s="109">
        <f t="shared" si="64"/>
        <v>0.32239819004524883</v>
      </c>
    </row>
    <row r="779" spans="1:20">
      <c r="A779" s="154">
        <v>702</v>
      </c>
      <c r="B779" s="156">
        <v>600273</v>
      </c>
      <c r="C779" s="133" t="s">
        <v>3053</v>
      </c>
      <c r="D779" s="155" t="s">
        <v>2324</v>
      </c>
      <c r="E779" s="154">
        <v>6</v>
      </c>
      <c r="F779" s="154">
        <v>3</v>
      </c>
      <c r="G779" s="154">
        <v>3</v>
      </c>
      <c r="H779" s="154">
        <v>0</v>
      </c>
      <c r="I779" s="154">
        <v>0</v>
      </c>
      <c r="J779" s="154">
        <v>0</v>
      </c>
      <c r="K779" s="154">
        <v>0.76800000000000002</v>
      </c>
      <c r="L779" s="154">
        <v>0.88400000000000001</v>
      </c>
      <c r="M779" s="154">
        <v>0.99199999999999999</v>
      </c>
      <c r="N779" s="154">
        <v>1.169</v>
      </c>
      <c r="O779" s="108">
        <f t="shared" si="60"/>
        <v>0.15104166666666674</v>
      </c>
      <c r="P779" s="108">
        <f t="shared" si="61"/>
        <v>0.12217194570135748</v>
      </c>
      <c r="Q779" s="108">
        <f t="shared" si="62"/>
        <v>0.17842741935483875</v>
      </c>
      <c r="S779" s="109">
        <f t="shared" si="63"/>
        <v>0.52213541666666674</v>
      </c>
      <c r="T779" s="109">
        <f t="shared" si="64"/>
        <v>0.32239819004524883</v>
      </c>
    </row>
    <row r="780" spans="1:20">
      <c r="A780" s="154">
        <v>878</v>
      </c>
      <c r="B780" s="156">
        <v>600643</v>
      </c>
      <c r="C780" s="133" t="s">
        <v>3054</v>
      </c>
      <c r="D780" s="155" t="s">
        <v>2324</v>
      </c>
      <c r="E780" s="154">
        <v>4</v>
      </c>
      <c r="F780" s="154">
        <v>2</v>
      </c>
      <c r="G780" s="154">
        <v>2</v>
      </c>
      <c r="H780" s="154">
        <v>0</v>
      </c>
      <c r="I780" s="154">
        <v>0</v>
      </c>
      <c r="J780" s="154">
        <v>0</v>
      </c>
      <c r="K780" s="154">
        <v>0.71399999999999997</v>
      </c>
      <c r="L780" s="154">
        <v>0.871</v>
      </c>
      <c r="M780" s="154">
        <v>1.0329999999999999</v>
      </c>
      <c r="N780" s="154">
        <v>1.151</v>
      </c>
      <c r="O780" s="108">
        <f t="shared" si="60"/>
        <v>0.21988795518207294</v>
      </c>
      <c r="P780" s="108">
        <f t="shared" si="61"/>
        <v>0.18599311136624563</v>
      </c>
      <c r="Q780" s="108">
        <f t="shared" si="62"/>
        <v>0.11423039690222669</v>
      </c>
      <c r="S780" s="109">
        <f t="shared" si="63"/>
        <v>0.61204481792717091</v>
      </c>
      <c r="T780" s="109">
        <f t="shared" si="64"/>
        <v>0.32146957520091846</v>
      </c>
    </row>
    <row r="781" spans="1:20">
      <c r="A781" s="154">
        <v>179</v>
      </c>
      <c r="B781" s="156">
        <v>401</v>
      </c>
      <c r="C781" s="133" t="s">
        <v>3055</v>
      </c>
      <c r="D781" s="155" t="s">
        <v>2324</v>
      </c>
      <c r="E781" s="154">
        <v>24</v>
      </c>
      <c r="F781" s="154">
        <v>19</v>
      </c>
      <c r="G781" s="154">
        <v>5</v>
      </c>
      <c r="H781" s="154">
        <v>0</v>
      </c>
      <c r="I781" s="154">
        <v>0</v>
      </c>
      <c r="J781" s="154">
        <v>0</v>
      </c>
      <c r="K781" s="154">
        <v>1.101</v>
      </c>
      <c r="L781" s="154">
        <v>2.2170000000000001</v>
      </c>
      <c r="M781" s="154">
        <v>2.6320000000000001</v>
      </c>
      <c r="N781" s="154">
        <v>2.9289999999999998</v>
      </c>
      <c r="O781" s="108">
        <f t="shared" si="60"/>
        <v>1.0136239782016352</v>
      </c>
      <c r="P781" s="108">
        <f t="shared" si="61"/>
        <v>0.18718989625620219</v>
      </c>
      <c r="Q781" s="108">
        <f t="shared" si="62"/>
        <v>0.11284194528875369</v>
      </c>
      <c r="S781" s="109">
        <f t="shared" si="63"/>
        <v>1.6603088101725705</v>
      </c>
      <c r="T781" s="109">
        <f t="shared" si="64"/>
        <v>0.3211547135769055</v>
      </c>
    </row>
    <row r="782" spans="1:20">
      <c r="A782" s="154">
        <v>175</v>
      </c>
      <c r="B782" s="156">
        <v>2624</v>
      </c>
      <c r="C782" s="133" t="s">
        <v>3056</v>
      </c>
      <c r="D782" s="155" t="s">
        <v>2324</v>
      </c>
      <c r="E782" s="154">
        <v>24</v>
      </c>
      <c r="F782" s="154">
        <v>18</v>
      </c>
      <c r="G782" s="154">
        <v>6</v>
      </c>
      <c r="H782" s="154">
        <v>0</v>
      </c>
      <c r="I782" s="154">
        <v>0</v>
      </c>
      <c r="J782" s="154">
        <v>0</v>
      </c>
      <c r="K782" s="154">
        <v>1.32</v>
      </c>
      <c r="L782" s="154">
        <v>1.57</v>
      </c>
      <c r="M782" s="154">
        <v>1.8220000000000001</v>
      </c>
      <c r="N782" s="154">
        <v>2.0739999999999998</v>
      </c>
      <c r="O782" s="108">
        <f t="shared" si="60"/>
        <v>0.18939393939393945</v>
      </c>
      <c r="P782" s="108">
        <f t="shared" si="61"/>
        <v>0.16050955414012735</v>
      </c>
      <c r="Q782" s="108">
        <f t="shared" si="62"/>
        <v>0.13830954994511524</v>
      </c>
      <c r="S782" s="109">
        <f t="shared" si="63"/>
        <v>0.57121212121212106</v>
      </c>
      <c r="T782" s="109">
        <f t="shared" si="64"/>
        <v>0.32101910828025471</v>
      </c>
    </row>
    <row r="783" spans="1:20">
      <c r="A783" s="154">
        <v>419</v>
      </c>
      <c r="B783" s="156">
        <v>2372</v>
      </c>
      <c r="C783" s="133" t="s">
        <v>3057</v>
      </c>
      <c r="D783" s="155" t="s">
        <v>2324</v>
      </c>
      <c r="E783" s="154">
        <v>12</v>
      </c>
      <c r="F783" s="154">
        <v>8</v>
      </c>
      <c r="G783" s="154">
        <v>3</v>
      </c>
      <c r="H783" s="154">
        <v>1</v>
      </c>
      <c r="I783" s="154">
        <v>0</v>
      </c>
      <c r="J783" s="154">
        <v>0</v>
      </c>
      <c r="K783" s="154">
        <v>0.622</v>
      </c>
      <c r="L783" s="154">
        <v>0.67500000000000004</v>
      </c>
      <c r="M783" s="154">
        <v>0.77500000000000002</v>
      </c>
      <c r="N783" s="154">
        <v>0.89100000000000001</v>
      </c>
      <c r="O783" s="108">
        <f t="shared" si="60"/>
        <v>8.5209003215434231E-2</v>
      </c>
      <c r="P783" s="108">
        <f t="shared" si="61"/>
        <v>0.14814814814814814</v>
      </c>
      <c r="Q783" s="108">
        <f t="shared" si="62"/>
        <v>0.14967741935483869</v>
      </c>
      <c r="S783" s="109">
        <f t="shared" si="63"/>
        <v>0.432475884244373</v>
      </c>
      <c r="T783" s="109">
        <f t="shared" si="64"/>
        <v>0.31999999999999984</v>
      </c>
    </row>
    <row r="784" spans="1:20">
      <c r="A784" s="154">
        <v>291</v>
      </c>
      <c r="B784" s="156">
        <v>2081</v>
      </c>
      <c r="C784" s="133" t="s">
        <v>3058</v>
      </c>
      <c r="D784" s="155" t="s">
        <v>2324</v>
      </c>
      <c r="E784" s="154">
        <v>17</v>
      </c>
      <c r="F784" s="154">
        <v>16</v>
      </c>
      <c r="G784" s="154">
        <v>1</v>
      </c>
      <c r="H784" s="154">
        <v>0</v>
      </c>
      <c r="I784" s="154">
        <v>0</v>
      </c>
      <c r="J784" s="154">
        <v>0</v>
      </c>
      <c r="K784" s="154">
        <v>0.79100000000000004</v>
      </c>
      <c r="L784" s="154">
        <v>0.90200000000000002</v>
      </c>
      <c r="M784" s="154">
        <v>1.0389999999999999</v>
      </c>
      <c r="N784" s="154">
        <v>1.1879999999999999</v>
      </c>
      <c r="O784" s="108">
        <f t="shared" si="60"/>
        <v>0.1403286978508218</v>
      </c>
      <c r="P784" s="108">
        <f t="shared" si="61"/>
        <v>0.15188470066518844</v>
      </c>
      <c r="Q784" s="108">
        <f t="shared" si="62"/>
        <v>0.1434071222329163</v>
      </c>
      <c r="S784" s="109">
        <f t="shared" si="63"/>
        <v>0.50189633375474063</v>
      </c>
      <c r="T784" s="109">
        <f t="shared" si="64"/>
        <v>0.31707317073170715</v>
      </c>
    </row>
    <row r="785" spans="1:20">
      <c r="A785" s="154">
        <v>809</v>
      </c>
      <c r="B785" s="156">
        <v>603298</v>
      </c>
      <c r="C785" s="133" t="s">
        <v>3059</v>
      </c>
      <c r="D785" s="155" t="s">
        <v>2324</v>
      </c>
      <c r="E785" s="154">
        <v>5</v>
      </c>
      <c r="F785" s="154">
        <v>2</v>
      </c>
      <c r="G785" s="154">
        <v>3</v>
      </c>
      <c r="H785" s="154">
        <v>0</v>
      </c>
      <c r="I785" s="154">
        <v>0</v>
      </c>
      <c r="J785" s="154">
        <v>0</v>
      </c>
      <c r="K785" s="154">
        <v>0.88300000000000001</v>
      </c>
      <c r="L785" s="154">
        <v>0.996</v>
      </c>
      <c r="M785" s="154">
        <v>1.145</v>
      </c>
      <c r="N785" s="154">
        <v>1.3109999999999999</v>
      </c>
      <c r="O785" s="108">
        <f t="shared" si="60"/>
        <v>0.12797281993204979</v>
      </c>
      <c r="P785" s="108">
        <f t="shared" si="61"/>
        <v>0.14959839357429727</v>
      </c>
      <c r="Q785" s="108">
        <f t="shared" si="62"/>
        <v>0.14497816593886448</v>
      </c>
      <c r="S785" s="109">
        <f t="shared" si="63"/>
        <v>0.48471121177802945</v>
      </c>
      <c r="T785" s="109">
        <f t="shared" si="64"/>
        <v>0.31626506024096379</v>
      </c>
    </row>
    <row r="786" spans="1:20">
      <c r="A786" s="154">
        <v>777</v>
      </c>
      <c r="B786" s="156">
        <v>600970</v>
      </c>
      <c r="C786" s="133" t="s">
        <v>3060</v>
      </c>
      <c r="D786" s="155" t="s">
        <v>2324</v>
      </c>
      <c r="E786" s="154">
        <v>5</v>
      </c>
      <c r="F786" s="154">
        <v>5</v>
      </c>
      <c r="G786" s="154">
        <v>0</v>
      </c>
      <c r="H786" s="154">
        <v>0</v>
      </c>
      <c r="I786" s="154">
        <v>0</v>
      </c>
      <c r="J786" s="154">
        <v>0</v>
      </c>
      <c r="K786" s="154">
        <v>0.78600000000000003</v>
      </c>
      <c r="L786" s="154">
        <v>0.91300000000000003</v>
      </c>
      <c r="M786" s="154">
        <v>1.0580000000000001</v>
      </c>
      <c r="N786" s="154">
        <v>1.2010000000000001</v>
      </c>
      <c r="O786" s="108">
        <f t="shared" si="60"/>
        <v>0.16157760814249356</v>
      </c>
      <c r="P786" s="108">
        <f t="shared" si="61"/>
        <v>0.15881708652792992</v>
      </c>
      <c r="Q786" s="108">
        <f t="shared" si="62"/>
        <v>0.13516068052930064</v>
      </c>
      <c r="S786" s="109">
        <f t="shared" si="63"/>
        <v>0.52798982188295174</v>
      </c>
      <c r="T786" s="109">
        <f t="shared" si="64"/>
        <v>0.31544359255202625</v>
      </c>
    </row>
    <row r="787" spans="1:20">
      <c r="A787" s="154">
        <v>596</v>
      </c>
      <c r="B787" s="156">
        <v>600400</v>
      </c>
      <c r="C787" s="133" t="s">
        <v>3061</v>
      </c>
      <c r="D787" s="155" t="s">
        <v>2324</v>
      </c>
      <c r="E787" s="154">
        <v>8</v>
      </c>
      <c r="F787" s="154">
        <v>0</v>
      </c>
      <c r="G787" s="154">
        <v>8</v>
      </c>
      <c r="H787" s="154">
        <v>0</v>
      </c>
      <c r="I787" s="154">
        <v>0</v>
      </c>
      <c r="J787" s="154">
        <v>0</v>
      </c>
      <c r="K787" s="154">
        <v>8.2000000000000003E-2</v>
      </c>
      <c r="L787" s="154">
        <v>8.8999999999999996E-2</v>
      </c>
      <c r="M787" s="154">
        <v>0.10100000000000001</v>
      </c>
      <c r="N787" s="154">
        <v>0.11700000000000001</v>
      </c>
      <c r="O787" s="108">
        <f t="shared" si="60"/>
        <v>8.5365853658536439E-2</v>
      </c>
      <c r="P787" s="108">
        <f t="shared" si="61"/>
        <v>0.13483146067415741</v>
      </c>
      <c r="Q787" s="108">
        <f t="shared" si="62"/>
        <v>0.15841584158415833</v>
      </c>
      <c r="S787" s="109">
        <f t="shared" si="63"/>
        <v>0.42682926829268286</v>
      </c>
      <c r="T787" s="109">
        <f t="shared" si="64"/>
        <v>0.31460674157303381</v>
      </c>
    </row>
    <row r="788" spans="1:20">
      <c r="A788" s="154">
        <v>869</v>
      </c>
      <c r="B788" s="156">
        <v>560</v>
      </c>
      <c r="C788" s="133" t="s">
        <v>3062</v>
      </c>
      <c r="D788" s="155" t="s">
        <v>2324</v>
      </c>
      <c r="E788" s="154">
        <v>4</v>
      </c>
      <c r="F788" s="154">
        <v>1</v>
      </c>
      <c r="G788" s="154">
        <v>3</v>
      </c>
      <c r="H788" s="154">
        <v>0</v>
      </c>
      <c r="I788" s="154">
        <v>0</v>
      </c>
      <c r="J788" s="154">
        <v>0</v>
      </c>
      <c r="K788" s="154">
        <v>0.26800000000000002</v>
      </c>
      <c r="L788" s="154">
        <v>0.33100000000000002</v>
      </c>
      <c r="M788" s="154">
        <v>0.38100000000000001</v>
      </c>
      <c r="N788" s="154">
        <v>0.435</v>
      </c>
      <c r="O788" s="108">
        <f t="shared" si="60"/>
        <v>0.2350746268656716</v>
      </c>
      <c r="P788" s="108">
        <f t="shared" si="61"/>
        <v>0.15105740181268867</v>
      </c>
      <c r="Q788" s="108">
        <f t="shared" si="62"/>
        <v>0.1417322834645669</v>
      </c>
      <c r="S788" s="109">
        <f t="shared" si="63"/>
        <v>0.62313432835820892</v>
      </c>
      <c r="T788" s="109">
        <f t="shared" si="64"/>
        <v>0.31419939577039258</v>
      </c>
    </row>
    <row r="789" spans="1:20">
      <c r="A789" s="154">
        <v>833</v>
      </c>
      <c r="B789" s="156">
        <v>600388</v>
      </c>
      <c r="C789" s="133" t="s">
        <v>3063</v>
      </c>
      <c r="D789" s="155" t="s">
        <v>2324</v>
      </c>
      <c r="E789" s="154">
        <v>5</v>
      </c>
      <c r="F789" s="154">
        <v>2</v>
      </c>
      <c r="G789" s="154">
        <v>3</v>
      </c>
      <c r="H789" s="154">
        <v>0</v>
      </c>
      <c r="I789" s="154">
        <v>0</v>
      </c>
      <c r="J789" s="154">
        <v>0</v>
      </c>
      <c r="K789" s="154">
        <v>0.75</v>
      </c>
      <c r="L789" s="154">
        <v>0.84199999999999997</v>
      </c>
      <c r="M789" s="154">
        <v>0.97299999999999998</v>
      </c>
      <c r="N789" s="154">
        <v>1.1060000000000001</v>
      </c>
      <c r="O789" s="108">
        <f t="shared" si="60"/>
        <v>0.1226666666666667</v>
      </c>
      <c r="P789" s="108">
        <f t="shared" si="61"/>
        <v>0.1555819477434679</v>
      </c>
      <c r="Q789" s="108">
        <f t="shared" si="62"/>
        <v>0.13669064748201443</v>
      </c>
      <c r="S789" s="109">
        <f t="shared" si="63"/>
        <v>0.47466666666666679</v>
      </c>
      <c r="T789" s="109">
        <f t="shared" si="64"/>
        <v>0.31353919239905004</v>
      </c>
    </row>
    <row r="790" spans="1:20">
      <c r="A790" s="154">
        <v>201</v>
      </c>
      <c r="B790" s="156">
        <v>600837</v>
      </c>
      <c r="C790" s="133" t="s">
        <v>3064</v>
      </c>
      <c r="D790" s="155" t="s">
        <v>2324</v>
      </c>
      <c r="E790" s="154">
        <v>22</v>
      </c>
      <c r="F790" s="154">
        <v>7</v>
      </c>
      <c r="G790" s="154">
        <v>15</v>
      </c>
      <c r="H790" s="154">
        <v>0</v>
      </c>
      <c r="I790" s="154">
        <v>0</v>
      </c>
      <c r="J790" s="154">
        <v>0</v>
      </c>
      <c r="K790" s="154">
        <v>0.45300000000000001</v>
      </c>
      <c r="L790" s="154">
        <v>0.76900000000000002</v>
      </c>
      <c r="M790" s="154">
        <v>0.875</v>
      </c>
      <c r="N790" s="154">
        <v>1.008</v>
      </c>
      <c r="O790" s="108">
        <f t="shared" si="60"/>
        <v>0.69757174392935983</v>
      </c>
      <c r="P790" s="108">
        <f t="shared" si="61"/>
        <v>0.1378413524057216</v>
      </c>
      <c r="Q790" s="108">
        <f t="shared" si="62"/>
        <v>0.15199999999999991</v>
      </c>
      <c r="S790" s="109">
        <f t="shared" si="63"/>
        <v>1.2251655629139071</v>
      </c>
      <c r="T790" s="109">
        <f t="shared" si="64"/>
        <v>0.31079323797139136</v>
      </c>
    </row>
    <row r="791" spans="1:20">
      <c r="A791" s="154">
        <v>254</v>
      </c>
      <c r="B791" s="156">
        <v>100</v>
      </c>
      <c r="C791" s="133" t="s">
        <v>3065</v>
      </c>
      <c r="D791" s="155" t="s">
        <v>2324</v>
      </c>
      <c r="E791" s="154">
        <v>19</v>
      </c>
      <c r="F791" s="154">
        <v>11</v>
      </c>
      <c r="G791" s="154">
        <v>8</v>
      </c>
      <c r="H791" s="154">
        <v>0</v>
      </c>
      <c r="I791" s="154">
        <v>0</v>
      </c>
      <c r="J791" s="154">
        <v>0</v>
      </c>
      <c r="K791" s="154">
        <v>0.25600000000000001</v>
      </c>
      <c r="L791" s="154">
        <v>0.27700000000000002</v>
      </c>
      <c r="M791" s="154">
        <v>0.308</v>
      </c>
      <c r="N791" s="154">
        <v>0.36299999999999999</v>
      </c>
      <c r="O791" s="108">
        <f t="shared" si="60"/>
        <v>8.203125E-2</v>
      </c>
      <c r="P791" s="108">
        <f t="shared" si="61"/>
        <v>0.11191335740072184</v>
      </c>
      <c r="Q791" s="108">
        <f t="shared" si="62"/>
        <v>0.1785714285714286</v>
      </c>
      <c r="S791" s="109">
        <f t="shared" si="63"/>
        <v>0.41796875</v>
      </c>
      <c r="T791" s="109">
        <f t="shared" si="64"/>
        <v>0.31046931407942213</v>
      </c>
    </row>
    <row r="792" spans="1:20">
      <c r="A792" s="154">
        <v>162</v>
      </c>
      <c r="B792" s="156">
        <v>600036</v>
      </c>
      <c r="C792" s="133" t="s">
        <v>727</v>
      </c>
      <c r="D792" s="155" t="s">
        <v>2324</v>
      </c>
      <c r="E792" s="154">
        <v>25</v>
      </c>
      <c r="F792" s="154">
        <v>12</v>
      </c>
      <c r="G792" s="154">
        <v>13</v>
      </c>
      <c r="H792" s="154">
        <v>0</v>
      </c>
      <c r="I792" s="154">
        <v>0</v>
      </c>
      <c r="J792" s="154">
        <v>0</v>
      </c>
      <c r="K792" s="154">
        <v>3.194</v>
      </c>
      <c r="L792" s="154">
        <v>3.625</v>
      </c>
      <c r="M792" s="154">
        <v>4.1479999999999997</v>
      </c>
      <c r="N792" s="154">
        <v>4.7439999999999998</v>
      </c>
      <c r="O792" s="108">
        <f t="shared" si="60"/>
        <v>0.13494051346274261</v>
      </c>
      <c r="P792" s="108">
        <f t="shared" si="61"/>
        <v>0.14427586206896548</v>
      </c>
      <c r="Q792" s="108">
        <f t="shared" si="62"/>
        <v>0.14368370298939248</v>
      </c>
      <c r="S792" s="109">
        <f t="shared" si="63"/>
        <v>0.48528490920475886</v>
      </c>
      <c r="T792" s="109">
        <f t="shared" si="64"/>
        <v>0.30868965517241365</v>
      </c>
    </row>
    <row r="793" spans="1:20">
      <c r="A793" s="154">
        <v>305</v>
      </c>
      <c r="B793" s="156">
        <v>2242</v>
      </c>
      <c r="C793" s="133" t="s">
        <v>3066</v>
      </c>
      <c r="D793" s="155" t="s">
        <v>2324</v>
      </c>
      <c r="E793" s="154">
        <v>16</v>
      </c>
      <c r="F793" s="154">
        <v>11</v>
      </c>
      <c r="G793" s="154">
        <v>5</v>
      </c>
      <c r="H793" s="154">
        <v>0</v>
      </c>
      <c r="I793" s="154">
        <v>0</v>
      </c>
      <c r="J793" s="154">
        <v>0</v>
      </c>
      <c r="K793" s="154">
        <v>0.98299999999999998</v>
      </c>
      <c r="L793" s="154">
        <v>1.089</v>
      </c>
      <c r="M793" s="154">
        <v>1.2490000000000001</v>
      </c>
      <c r="N793" s="154">
        <v>1.425</v>
      </c>
      <c r="O793" s="108">
        <f t="shared" si="60"/>
        <v>0.10783316378433372</v>
      </c>
      <c r="P793" s="108">
        <f t="shared" si="61"/>
        <v>0.14692378328741973</v>
      </c>
      <c r="Q793" s="108">
        <f t="shared" si="62"/>
        <v>0.14091273018414729</v>
      </c>
      <c r="S793" s="109">
        <f t="shared" si="63"/>
        <v>0.44964394710071209</v>
      </c>
      <c r="T793" s="109">
        <f t="shared" si="64"/>
        <v>0.30853994490358128</v>
      </c>
    </row>
    <row r="794" spans="1:20">
      <c r="A794" s="154">
        <v>405</v>
      </c>
      <c r="B794" s="156">
        <v>603365</v>
      </c>
      <c r="C794" s="133" t="s">
        <v>3067</v>
      </c>
      <c r="D794" s="155" t="s">
        <v>2324</v>
      </c>
      <c r="E794" s="154">
        <v>12</v>
      </c>
      <c r="F794" s="154">
        <v>4</v>
      </c>
      <c r="G794" s="154">
        <v>8</v>
      </c>
      <c r="H794" s="154">
        <v>0</v>
      </c>
      <c r="I794" s="154">
        <v>0</v>
      </c>
      <c r="J794" s="154">
        <v>0</v>
      </c>
      <c r="K794" s="154">
        <v>1.069</v>
      </c>
      <c r="L794" s="154">
        <v>1.236</v>
      </c>
      <c r="M794" s="154">
        <v>1.4239999999999999</v>
      </c>
      <c r="N794" s="154">
        <v>1.6160000000000001</v>
      </c>
      <c r="O794" s="108">
        <f t="shared" si="60"/>
        <v>0.15622076707202992</v>
      </c>
      <c r="P794" s="108">
        <f t="shared" si="61"/>
        <v>0.15210355987055002</v>
      </c>
      <c r="Q794" s="108">
        <f t="shared" si="62"/>
        <v>0.13483146067415741</v>
      </c>
      <c r="S794" s="109">
        <f t="shared" si="63"/>
        <v>0.51169317118802637</v>
      </c>
      <c r="T794" s="109">
        <f t="shared" si="64"/>
        <v>0.30744336569579289</v>
      </c>
    </row>
    <row r="795" spans="1:20">
      <c r="A795" s="154">
        <v>136</v>
      </c>
      <c r="B795" s="156">
        <v>600305</v>
      </c>
      <c r="C795" s="133" t="s">
        <v>3068</v>
      </c>
      <c r="D795" s="155" t="s">
        <v>2324</v>
      </c>
      <c r="E795" s="154">
        <v>27</v>
      </c>
      <c r="F795" s="154">
        <v>12</v>
      </c>
      <c r="G795" s="154">
        <v>15</v>
      </c>
      <c r="H795" s="154">
        <v>0</v>
      </c>
      <c r="I795" s="154">
        <v>0</v>
      </c>
      <c r="J795" s="154">
        <v>0</v>
      </c>
      <c r="K795" s="154">
        <v>0.38900000000000001</v>
      </c>
      <c r="L795" s="154">
        <v>0.436</v>
      </c>
      <c r="M795" s="154">
        <v>0.496</v>
      </c>
      <c r="N795" s="154">
        <v>0.56999999999999995</v>
      </c>
      <c r="O795" s="108">
        <f t="shared" si="60"/>
        <v>0.12082262210796912</v>
      </c>
      <c r="P795" s="108">
        <f t="shared" si="61"/>
        <v>0.13761467889908263</v>
      </c>
      <c r="Q795" s="108">
        <f t="shared" si="62"/>
        <v>0.14919354838709675</v>
      </c>
      <c r="S795" s="109">
        <f t="shared" si="63"/>
        <v>0.46529562982005124</v>
      </c>
      <c r="T795" s="109">
        <f t="shared" si="64"/>
        <v>0.30733944954128423</v>
      </c>
    </row>
    <row r="796" spans="1:20">
      <c r="A796" s="154">
        <v>992</v>
      </c>
      <c r="B796" s="156">
        <v>600597</v>
      </c>
      <c r="C796" s="133" t="s">
        <v>3069</v>
      </c>
      <c r="D796" s="155" t="s">
        <v>2324</v>
      </c>
      <c r="E796" s="154">
        <v>3</v>
      </c>
      <c r="F796" s="154">
        <v>1</v>
      </c>
      <c r="G796" s="154">
        <v>2</v>
      </c>
      <c r="H796" s="154">
        <v>0</v>
      </c>
      <c r="I796" s="154">
        <v>0</v>
      </c>
      <c r="J796" s="154">
        <v>0</v>
      </c>
      <c r="K796" s="154">
        <v>0.27900000000000003</v>
      </c>
      <c r="L796" s="154">
        <v>0.38800000000000001</v>
      </c>
      <c r="M796" s="154">
        <v>0.45</v>
      </c>
      <c r="N796" s="154">
        <v>0.50700000000000001</v>
      </c>
      <c r="O796" s="108">
        <f t="shared" si="60"/>
        <v>0.39068100358422941</v>
      </c>
      <c r="P796" s="108">
        <f t="shared" si="61"/>
        <v>0.15979381443298979</v>
      </c>
      <c r="Q796" s="108">
        <f t="shared" si="62"/>
        <v>0.12666666666666671</v>
      </c>
      <c r="S796" s="109">
        <f t="shared" si="63"/>
        <v>0.81720430107526876</v>
      </c>
      <c r="T796" s="109">
        <f t="shared" si="64"/>
        <v>0.30670103092783507</v>
      </c>
    </row>
    <row r="797" spans="1:20">
      <c r="A797" s="154">
        <v>643</v>
      </c>
      <c r="B797" s="156">
        <v>603579</v>
      </c>
      <c r="C797" s="133" t="s">
        <v>3070</v>
      </c>
      <c r="D797" s="155" t="s">
        <v>2324</v>
      </c>
      <c r="E797" s="154">
        <v>7</v>
      </c>
      <c r="F797" s="154">
        <v>2</v>
      </c>
      <c r="G797" s="154">
        <v>5</v>
      </c>
      <c r="H797" s="154">
        <v>0</v>
      </c>
      <c r="I797" s="154">
        <v>0</v>
      </c>
      <c r="J797" s="154">
        <v>0</v>
      </c>
      <c r="K797" s="154">
        <v>1.78</v>
      </c>
      <c r="L797" s="154">
        <v>1.9219999999999999</v>
      </c>
      <c r="M797" s="154">
        <v>2.16</v>
      </c>
      <c r="N797" s="154">
        <v>2.5089999999999999</v>
      </c>
      <c r="O797" s="108">
        <f t="shared" si="60"/>
        <v>7.9775280898876311E-2</v>
      </c>
      <c r="P797" s="108">
        <f t="shared" si="61"/>
        <v>0.12382934443288263</v>
      </c>
      <c r="Q797" s="108">
        <f t="shared" si="62"/>
        <v>0.16157407407407387</v>
      </c>
      <c r="S797" s="109">
        <f t="shared" si="63"/>
        <v>0.40955056179775262</v>
      </c>
      <c r="T797" s="109">
        <f t="shared" si="64"/>
        <v>0.30541103017689908</v>
      </c>
    </row>
    <row r="798" spans="1:20">
      <c r="A798" s="154">
        <v>157</v>
      </c>
      <c r="B798" s="156">
        <v>601318</v>
      </c>
      <c r="C798" s="133" t="s">
        <v>3071</v>
      </c>
      <c r="D798" s="155" t="s">
        <v>2324</v>
      </c>
      <c r="E798" s="154">
        <v>25</v>
      </c>
      <c r="F798" s="154">
        <v>18</v>
      </c>
      <c r="G798" s="154">
        <v>7</v>
      </c>
      <c r="H798" s="154">
        <v>0</v>
      </c>
      <c r="I798" s="154">
        <v>0</v>
      </c>
      <c r="J798" s="154">
        <v>0</v>
      </c>
      <c r="K798" s="154">
        <v>5.875</v>
      </c>
      <c r="L798" s="154">
        <v>8.5839999999999996</v>
      </c>
      <c r="M798" s="154">
        <v>9.5370000000000008</v>
      </c>
      <c r="N798" s="154">
        <v>11.19</v>
      </c>
      <c r="O798" s="108">
        <f t="shared" si="60"/>
        <v>0.46110638297872342</v>
      </c>
      <c r="P798" s="108">
        <f t="shared" si="61"/>
        <v>0.11102050326188273</v>
      </c>
      <c r="Q798" s="108">
        <f t="shared" si="62"/>
        <v>0.1733249449512424</v>
      </c>
      <c r="S798" s="109">
        <f t="shared" si="63"/>
        <v>0.90468085106382978</v>
      </c>
      <c r="T798" s="109">
        <f t="shared" si="64"/>
        <v>0.30358807082945005</v>
      </c>
    </row>
    <row r="799" spans="1:20">
      <c r="A799" s="154">
        <v>620</v>
      </c>
      <c r="B799" s="156">
        <v>600114</v>
      </c>
      <c r="C799" s="133" t="s">
        <v>3072</v>
      </c>
      <c r="D799" s="155" t="s">
        <v>2324</v>
      </c>
      <c r="E799" s="154">
        <v>8</v>
      </c>
      <c r="F799" s="154">
        <v>7</v>
      </c>
      <c r="G799" s="154">
        <v>1</v>
      </c>
      <c r="H799" s="154">
        <v>0</v>
      </c>
      <c r="I799" s="154">
        <v>0</v>
      </c>
      <c r="J799" s="154">
        <v>0</v>
      </c>
      <c r="K799" s="154">
        <v>0.53200000000000003</v>
      </c>
      <c r="L799" s="154">
        <v>0.44500000000000001</v>
      </c>
      <c r="M799" s="154">
        <v>0.51900000000000002</v>
      </c>
      <c r="N799" s="154">
        <v>0.57999999999999996</v>
      </c>
      <c r="O799" s="108">
        <f t="shared" si="60"/>
        <v>-0.1635338345864662</v>
      </c>
      <c r="P799" s="108">
        <f t="shared" si="61"/>
        <v>0.16629213483146077</v>
      </c>
      <c r="Q799" s="108">
        <f t="shared" si="62"/>
        <v>0.11753371868978801</v>
      </c>
      <c r="S799" s="109">
        <f t="shared" si="63"/>
        <v>9.0225563909774209E-2</v>
      </c>
      <c r="T799" s="109">
        <f t="shared" si="64"/>
        <v>0.30337078651685379</v>
      </c>
    </row>
    <row r="800" spans="1:20">
      <c r="A800" s="154">
        <v>391</v>
      </c>
      <c r="B800" s="156">
        <v>601009</v>
      </c>
      <c r="C800" s="133" t="s">
        <v>750</v>
      </c>
      <c r="D800" s="155" t="s">
        <v>2324</v>
      </c>
      <c r="E800" s="154">
        <v>13</v>
      </c>
      <c r="F800" s="154">
        <v>4</v>
      </c>
      <c r="G800" s="154">
        <v>9</v>
      </c>
      <c r="H800" s="154">
        <v>0</v>
      </c>
      <c r="I800" s="154">
        <v>0</v>
      </c>
      <c r="J800" s="154">
        <v>0</v>
      </c>
      <c r="K800" s="154">
        <v>1.3049999999999999</v>
      </c>
      <c r="L800" s="154">
        <v>1.4590000000000001</v>
      </c>
      <c r="M800" s="154">
        <v>1.68</v>
      </c>
      <c r="N800" s="154">
        <v>1.901</v>
      </c>
      <c r="O800" s="108">
        <f t="shared" si="60"/>
        <v>0.11800766283524911</v>
      </c>
      <c r="P800" s="108">
        <f t="shared" si="61"/>
        <v>0.15147361206305687</v>
      </c>
      <c r="Q800" s="108">
        <f t="shared" si="62"/>
        <v>0.13154761904761902</v>
      </c>
      <c r="S800" s="109">
        <f t="shared" si="63"/>
        <v>0.456704980842912</v>
      </c>
      <c r="T800" s="109">
        <f t="shared" si="64"/>
        <v>0.30294722412611375</v>
      </c>
    </row>
    <row r="801" spans="1:20">
      <c r="A801" s="154">
        <v>829</v>
      </c>
      <c r="B801" s="156">
        <v>300418</v>
      </c>
      <c r="C801" s="133" t="s">
        <v>3073</v>
      </c>
      <c r="D801" s="155" t="s">
        <v>2324</v>
      </c>
      <c r="E801" s="154">
        <v>5</v>
      </c>
      <c r="F801" s="154">
        <v>2</v>
      </c>
      <c r="G801" s="154">
        <v>3</v>
      </c>
      <c r="H801" s="154">
        <v>0</v>
      </c>
      <c r="I801" s="154">
        <v>0</v>
      </c>
      <c r="J801" s="154">
        <v>0</v>
      </c>
      <c r="K801" s="154">
        <v>0.876</v>
      </c>
      <c r="L801" s="154">
        <v>1.0940000000000001</v>
      </c>
      <c r="M801" s="154">
        <v>1.2629999999999999</v>
      </c>
      <c r="N801" s="154">
        <v>1.425</v>
      </c>
      <c r="O801" s="108">
        <f t="shared" si="60"/>
        <v>0.24885844748858466</v>
      </c>
      <c r="P801" s="108">
        <f t="shared" si="61"/>
        <v>0.15447897623400353</v>
      </c>
      <c r="Q801" s="108">
        <f t="shared" si="62"/>
        <v>0.12826603325415697</v>
      </c>
      <c r="S801" s="109">
        <f t="shared" si="63"/>
        <v>0.62671232876712324</v>
      </c>
      <c r="T801" s="109">
        <f t="shared" si="64"/>
        <v>0.30255941499085925</v>
      </c>
    </row>
    <row r="802" spans="1:20">
      <c r="A802" s="154">
        <v>217</v>
      </c>
      <c r="B802" s="156">
        <v>600143</v>
      </c>
      <c r="C802" s="133" t="s">
        <v>3074</v>
      </c>
      <c r="D802" s="155" t="s">
        <v>2324</v>
      </c>
      <c r="E802" s="154">
        <v>21</v>
      </c>
      <c r="F802" s="154">
        <v>18</v>
      </c>
      <c r="G802" s="154">
        <v>3</v>
      </c>
      <c r="H802" s="154">
        <v>0</v>
      </c>
      <c r="I802" s="154">
        <v>0</v>
      </c>
      <c r="J802" s="154">
        <v>0</v>
      </c>
      <c r="K802" s="154">
        <v>0.24199999999999999</v>
      </c>
      <c r="L802" s="154">
        <v>0.42</v>
      </c>
      <c r="M802" s="154">
        <v>0.48299999999999998</v>
      </c>
      <c r="N802" s="154">
        <v>0.54700000000000004</v>
      </c>
      <c r="O802" s="108">
        <f t="shared" si="60"/>
        <v>0.73553719008264462</v>
      </c>
      <c r="P802" s="108">
        <f t="shared" si="61"/>
        <v>0.14999999999999991</v>
      </c>
      <c r="Q802" s="108">
        <f t="shared" si="62"/>
        <v>0.13250517598343703</v>
      </c>
      <c r="S802" s="109">
        <f t="shared" si="63"/>
        <v>1.2603305785123968</v>
      </c>
      <c r="T802" s="109">
        <f t="shared" si="64"/>
        <v>0.30238095238095264</v>
      </c>
    </row>
    <row r="803" spans="1:20">
      <c r="A803" s="154">
        <v>968</v>
      </c>
      <c r="B803" s="156">
        <v>600863</v>
      </c>
      <c r="C803" s="133" t="s">
        <v>3075</v>
      </c>
      <c r="D803" s="155" t="s">
        <v>2324</v>
      </c>
      <c r="E803" s="154">
        <v>3</v>
      </c>
      <c r="F803" s="154">
        <v>2</v>
      </c>
      <c r="G803" s="154">
        <v>1</v>
      </c>
      <c r="H803" s="154">
        <v>0</v>
      </c>
      <c r="I803" s="154">
        <v>0</v>
      </c>
      <c r="J803" s="154">
        <v>0</v>
      </c>
      <c r="K803" s="154">
        <v>0.13500000000000001</v>
      </c>
      <c r="L803" s="154">
        <v>0.23200000000000001</v>
      </c>
      <c r="M803" s="154">
        <v>0.27400000000000002</v>
      </c>
      <c r="N803" s="154">
        <v>0.30199999999999999</v>
      </c>
      <c r="O803" s="108">
        <f t="shared" si="60"/>
        <v>0.71851851851851856</v>
      </c>
      <c r="P803" s="108">
        <f t="shared" si="61"/>
        <v>0.18103448275862077</v>
      </c>
      <c r="Q803" s="108">
        <f t="shared" si="62"/>
        <v>0.10218978102189769</v>
      </c>
      <c r="S803" s="109">
        <f t="shared" si="63"/>
        <v>1.2370370370370369</v>
      </c>
      <c r="T803" s="109">
        <f t="shared" si="64"/>
        <v>0.30172413793103448</v>
      </c>
    </row>
    <row r="804" spans="1:20">
      <c r="A804" s="154">
        <v>115</v>
      </c>
      <c r="B804" s="156">
        <v>600258</v>
      </c>
      <c r="C804" s="133" t="s">
        <v>3076</v>
      </c>
      <c r="D804" s="155" t="s">
        <v>2324</v>
      </c>
      <c r="E804" s="154">
        <v>29</v>
      </c>
      <c r="F804" s="154">
        <v>18</v>
      </c>
      <c r="G804" s="154">
        <v>11</v>
      </c>
      <c r="H804" s="154">
        <v>0</v>
      </c>
      <c r="I804" s="154">
        <v>0</v>
      </c>
      <c r="J804" s="154">
        <v>0</v>
      </c>
      <c r="K804" s="154">
        <v>0.86799999999999999</v>
      </c>
      <c r="L804" s="154">
        <v>0.86299999999999999</v>
      </c>
      <c r="M804" s="154">
        <v>0.99199999999999999</v>
      </c>
      <c r="N804" s="154">
        <v>1.123</v>
      </c>
      <c r="O804" s="108">
        <f t="shared" si="60"/>
        <v>-5.7603686635945284E-3</v>
      </c>
      <c r="P804" s="108">
        <f t="shared" si="61"/>
        <v>0.14947856315179608</v>
      </c>
      <c r="Q804" s="108">
        <f t="shared" si="62"/>
        <v>0.13205645161290325</v>
      </c>
      <c r="S804" s="109">
        <f t="shared" si="63"/>
        <v>0.29377880184331806</v>
      </c>
      <c r="T804" s="109">
        <f t="shared" si="64"/>
        <v>0.30127462340672073</v>
      </c>
    </row>
    <row r="805" spans="1:20">
      <c r="A805" s="154">
        <v>550</v>
      </c>
      <c r="B805" s="156">
        <v>600378</v>
      </c>
      <c r="C805" s="133" t="s">
        <v>3077</v>
      </c>
      <c r="D805" s="155" t="s">
        <v>2324</v>
      </c>
      <c r="E805" s="154">
        <v>9</v>
      </c>
      <c r="F805" s="154">
        <v>9</v>
      </c>
      <c r="G805" s="154">
        <v>0</v>
      </c>
      <c r="H805" s="154">
        <v>0</v>
      </c>
      <c r="I805" s="154">
        <v>0</v>
      </c>
      <c r="J805" s="154">
        <v>0</v>
      </c>
      <c r="K805" s="154">
        <v>0.58499999999999996</v>
      </c>
      <c r="L805" s="154">
        <v>0.63100000000000001</v>
      </c>
      <c r="M805" s="154">
        <v>0.72299999999999998</v>
      </c>
      <c r="N805" s="154">
        <v>0.82099999999999995</v>
      </c>
      <c r="O805" s="108">
        <f t="shared" si="60"/>
        <v>7.8632478632478797E-2</v>
      </c>
      <c r="P805" s="108">
        <f t="shared" si="61"/>
        <v>0.14580031695721063</v>
      </c>
      <c r="Q805" s="108">
        <f t="shared" si="62"/>
        <v>0.13554633471645916</v>
      </c>
      <c r="S805" s="109">
        <f t="shared" si="63"/>
        <v>0.40341880341880332</v>
      </c>
      <c r="T805" s="109">
        <f t="shared" si="64"/>
        <v>0.30110935023771779</v>
      </c>
    </row>
    <row r="806" spans="1:20">
      <c r="A806" s="154">
        <v>484</v>
      </c>
      <c r="B806" s="156">
        <v>601985</v>
      </c>
      <c r="C806" s="133" t="s">
        <v>3078</v>
      </c>
      <c r="D806" s="155" t="s">
        <v>2324</v>
      </c>
      <c r="E806" s="154">
        <v>10</v>
      </c>
      <c r="F806" s="154">
        <v>3</v>
      </c>
      <c r="G806" s="154">
        <v>7</v>
      </c>
      <c r="H806" s="154">
        <v>0</v>
      </c>
      <c r="I806" s="154">
        <v>0</v>
      </c>
      <c r="J806" s="154">
        <v>0</v>
      </c>
      <c r="K806" s="154">
        <v>0.30399999999999999</v>
      </c>
      <c r="L806" s="154">
        <v>0.31900000000000001</v>
      </c>
      <c r="M806" s="154">
        <v>0.372</v>
      </c>
      <c r="N806" s="154">
        <v>0.41499999999999998</v>
      </c>
      <c r="O806" s="108">
        <f t="shared" si="60"/>
        <v>4.9342105263157965E-2</v>
      </c>
      <c r="P806" s="108">
        <f t="shared" si="61"/>
        <v>0.16614420062695912</v>
      </c>
      <c r="Q806" s="108">
        <f t="shared" si="62"/>
        <v>0.11559139784946226</v>
      </c>
      <c r="S806" s="109">
        <f t="shared" si="63"/>
        <v>0.36513157894736836</v>
      </c>
      <c r="T806" s="109">
        <f t="shared" si="64"/>
        <v>0.30094043887147337</v>
      </c>
    </row>
    <row r="807" spans="1:20">
      <c r="A807" s="154">
        <v>323</v>
      </c>
      <c r="B807" s="156">
        <v>603587</v>
      </c>
      <c r="C807" s="133" t="s">
        <v>3079</v>
      </c>
      <c r="D807" s="155" t="s">
        <v>2324</v>
      </c>
      <c r="E807" s="154">
        <v>15</v>
      </c>
      <c r="F807" s="154">
        <v>6</v>
      </c>
      <c r="G807" s="154">
        <v>9</v>
      </c>
      <c r="H807" s="154">
        <v>0</v>
      </c>
      <c r="I807" s="154">
        <v>0</v>
      </c>
      <c r="J807" s="154">
        <v>0</v>
      </c>
      <c r="K807" s="154">
        <v>1.4319999999999999</v>
      </c>
      <c r="L807" s="154">
        <v>1.6060000000000001</v>
      </c>
      <c r="M807" s="154">
        <v>1.84</v>
      </c>
      <c r="N807" s="154">
        <v>2.089</v>
      </c>
      <c r="O807" s="108">
        <f t="shared" si="60"/>
        <v>0.12150837988826835</v>
      </c>
      <c r="P807" s="108">
        <f t="shared" si="61"/>
        <v>0.14570361145703603</v>
      </c>
      <c r="Q807" s="108">
        <f t="shared" si="62"/>
        <v>0.1353260869565216</v>
      </c>
      <c r="S807" s="109">
        <f t="shared" si="63"/>
        <v>0.45879888268156432</v>
      </c>
      <c r="T807" s="109">
        <f t="shared" si="64"/>
        <v>0.30074719800747185</v>
      </c>
    </row>
    <row r="808" spans="1:20">
      <c r="A808" s="154">
        <v>764</v>
      </c>
      <c r="B808" s="156">
        <v>2478</v>
      </c>
      <c r="C808" s="133" t="s">
        <v>3080</v>
      </c>
      <c r="D808" s="155" t="s">
        <v>2324</v>
      </c>
      <c r="E808" s="154">
        <v>6</v>
      </c>
      <c r="F808" s="154">
        <v>6</v>
      </c>
      <c r="G808" s="154">
        <v>0</v>
      </c>
      <c r="H808" s="154">
        <v>0</v>
      </c>
      <c r="I808" s="154">
        <v>0</v>
      </c>
      <c r="J808" s="154">
        <v>0</v>
      </c>
      <c r="K808" s="154">
        <v>0.5</v>
      </c>
      <c r="L808" s="154">
        <v>0.68899999999999995</v>
      </c>
      <c r="M808" s="154">
        <v>0.78900000000000003</v>
      </c>
      <c r="N808" s="154">
        <v>0.89600000000000002</v>
      </c>
      <c r="O808" s="108">
        <f t="shared" si="60"/>
        <v>0.37799999999999989</v>
      </c>
      <c r="P808" s="108">
        <f t="shared" si="61"/>
        <v>0.1451378809869377</v>
      </c>
      <c r="Q808" s="108">
        <f t="shared" si="62"/>
        <v>0.13561470215462612</v>
      </c>
      <c r="S808" s="109">
        <f t="shared" si="63"/>
        <v>0.79200000000000004</v>
      </c>
      <c r="T808" s="109">
        <f t="shared" si="64"/>
        <v>0.300435413642961</v>
      </c>
    </row>
    <row r="809" spans="1:20">
      <c r="A809" s="154">
        <v>734</v>
      </c>
      <c r="B809" s="156">
        <v>2839</v>
      </c>
      <c r="C809" s="133" t="s">
        <v>3081</v>
      </c>
      <c r="D809" s="155" t="s">
        <v>2324</v>
      </c>
      <c r="E809" s="154">
        <v>6</v>
      </c>
      <c r="F809" s="154">
        <v>3</v>
      </c>
      <c r="G809" s="154">
        <v>3</v>
      </c>
      <c r="H809" s="154">
        <v>0</v>
      </c>
      <c r="I809" s="154">
        <v>0</v>
      </c>
      <c r="J809" s="154">
        <v>0</v>
      </c>
      <c r="K809" s="154">
        <v>0.46200000000000002</v>
      </c>
      <c r="L809" s="154">
        <v>0.55300000000000005</v>
      </c>
      <c r="M809" s="154">
        <v>0.60899999999999999</v>
      </c>
      <c r="N809" s="154">
        <v>0.71899999999999997</v>
      </c>
      <c r="O809" s="108">
        <f t="shared" si="60"/>
        <v>0.19696969696969702</v>
      </c>
      <c r="P809" s="108">
        <f t="shared" si="61"/>
        <v>0.10126582278481</v>
      </c>
      <c r="Q809" s="108">
        <f t="shared" si="62"/>
        <v>0.180623973727422</v>
      </c>
      <c r="S809" s="109">
        <f t="shared" si="63"/>
        <v>0.55627705627705604</v>
      </c>
      <c r="T809" s="109">
        <f t="shared" si="64"/>
        <v>0.30018083182640121</v>
      </c>
    </row>
    <row r="810" spans="1:20">
      <c r="A810" s="154">
        <v>15</v>
      </c>
      <c r="B810" s="156">
        <v>300144</v>
      </c>
      <c r="C810" s="133" t="s">
        <v>3082</v>
      </c>
      <c r="D810" s="155" t="s">
        <v>2324</v>
      </c>
      <c r="E810" s="154">
        <v>54</v>
      </c>
      <c r="F810" s="154">
        <v>34</v>
      </c>
      <c r="G810" s="154">
        <v>20</v>
      </c>
      <c r="H810" s="154">
        <v>0</v>
      </c>
      <c r="I810" s="154">
        <v>0</v>
      </c>
      <c r="J810" s="154">
        <v>0</v>
      </c>
      <c r="K810" s="154">
        <v>0.88600000000000001</v>
      </c>
      <c r="L810" s="154">
        <v>0.94099999999999995</v>
      </c>
      <c r="M810" s="154">
        <v>1.0189999999999999</v>
      </c>
      <c r="N810" s="154">
        <v>1.222</v>
      </c>
      <c r="O810" s="108">
        <f t="shared" si="60"/>
        <v>6.2076749435665768E-2</v>
      </c>
      <c r="P810" s="108">
        <f t="shared" si="61"/>
        <v>8.2890541976620602E-2</v>
      </c>
      <c r="Q810" s="108">
        <f t="shared" si="62"/>
        <v>0.19921491658488732</v>
      </c>
      <c r="S810" s="109">
        <f t="shared" si="63"/>
        <v>0.37923250564334077</v>
      </c>
      <c r="T810" s="109">
        <f t="shared" si="64"/>
        <v>0.29861849096705639</v>
      </c>
    </row>
    <row r="811" spans="1:20">
      <c r="A811" s="154">
        <v>397</v>
      </c>
      <c r="B811" s="156">
        <v>600612</v>
      </c>
      <c r="C811" s="133" t="s">
        <v>3083</v>
      </c>
      <c r="D811" s="155" t="s">
        <v>2324</v>
      </c>
      <c r="E811" s="154">
        <v>13</v>
      </c>
      <c r="F811" s="154">
        <v>12</v>
      </c>
      <c r="G811" s="154">
        <v>1</v>
      </c>
      <c r="H811" s="154">
        <v>0</v>
      </c>
      <c r="I811" s="154">
        <v>0</v>
      </c>
      <c r="J811" s="154">
        <v>0</v>
      </c>
      <c r="K811" s="154">
        <v>2.3029999999999999</v>
      </c>
      <c r="L811" s="154">
        <v>2.7050000000000001</v>
      </c>
      <c r="M811" s="154">
        <v>3.101</v>
      </c>
      <c r="N811" s="154">
        <v>3.5070000000000001</v>
      </c>
      <c r="O811" s="108">
        <f t="shared" si="60"/>
        <v>0.1745549283543204</v>
      </c>
      <c r="P811" s="108">
        <f t="shared" si="61"/>
        <v>0.14639556377079477</v>
      </c>
      <c r="Q811" s="108">
        <f t="shared" si="62"/>
        <v>0.13092550790067725</v>
      </c>
      <c r="S811" s="109">
        <f t="shared" si="63"/>
        <v>0.52279635258358681</v>
      </c>
      <c r="T811" s="109">
        <f t="shared" si="64"/>
        <v>0.29648798521256925</v>
      </c>
    </row>
    <row r="812" spans="1:20">
      <c r="A812" s="154">
        <v>438</v>
      </c>
      <c r="B812" s="156">
        <v>951</v>
      </c>
      <c r="C812" s="133" t="s">
        <v>3084</v>
      </c>
      <c r="D812" s="155" t="s">
        <v>2324</v>
      </c>
      <c r="E812" s="154">
        <v>12</v>
      </c>
      <c r="F812" s="154">
        <v>9</v>
      </c>
      <c r="G812" s="154">
        <v>3</v>
      </c>
      <c r="H812" s="154">
        <v>0</v>
      </c>
      <c r="I812" s="154">
        <v>0</v>
      </c>
      <c r="J812" s="154">
        <v>0</v>
      </c>
      <c r="K812" s="154">
        <v>1.349</v>
      </c>
      <c r="L812" s="154">
        <v>1.722</v>
      </c>
      <c r="M812" s="154">
        <v>1.978</v>
      </c>
      <c r="N812" s="154">
        <v>2.2320000000000002</v>
      </c>
      <c r="O812" s="108">
        <f t="shared" si="60"/>
        <v>0.27650111193476645</v>
      </c>
      <c r="P812" s="108">
        <f t="shared" si="61"/>
        <v>0.14866434378629512</v>
      </c>
      <c r="Q812" s="108">
        <f t="shared" si="62"/>
        <v>0.12841253791708818</v>
      </c>
      <c r="S812" s="109">
        <f t="shared" si="63"/>
        <v>0.65455893254262443</v>
      </c>
      <c r="T812" s="109">
        <f t="shared" si="64"/>
        <v>0.29616724738675981</v>
      </c>
    </row>
    <row r="813" spans="1:20">
      <c r="A813" s="154">
        <v>357</v>
      </c>
      <c r="B813" s="156">
        <v>2756</v>
      </c>
      <c r="C813" s="133" t="s">
        <v>3085</v>
      </c>
      <c r="D813" s="155" t="s">
        <v>2324</v>
      </c>
      <c r="E813" s="154">
        <v>14</v>
      </c>
      <c r="F813" s="154">
        <v>7</v>
      </c>
      <c r="G813" s="154">
        <v>7</v>
      </c>
      <c r="H813" s="154">
        <v>0</v>
      </c>
      <c r="I813" s="154">
        <v>0</v>
      </c>
      <c r="J813" s="154">
        <v>0</v>
      </c>
      <c r="K813" s="154">
        <v>1.0760000000000001</v>
      </c>
      <c r="L813" s="154">
        <v>1.27</v>
      </c>
      <c r="M813" s="154">
        <v>1.4379999999999999</v>
      </c>
      <c r="N813" s="154">
        <v>1.6459999999999999</v>
      </c>
      <c r="O813" s="108">
        <f t="shared" si="60"/>
        <v>0.18029739776951659</v>
      </c>
      <c r="P813" s="108">
        <f t="shared" si="61"/>
        <v>0.13228346456692908</v>
      </c>
      <c r="Q813" s="108">
        <f t="shared" si="62"/>
        <v>0.14464534075104307</v>
      </c>
      <c r="S813" s="109">
        <f t="shared" si="63"/>
        <v>0.52973977695167274</v>
      </c>
      <c r="T813" s="109">
        <f t="shared" si="64"/>
        <v>0.29606299212598408</v>
      </c>
    </row>
    <row r="814" spans="1:20">
      <c r="A814" s="154">
        <v>370</v>
      </c>
      <c r="B814" s="156">
        <v>600999</v>
      </c>
      <c r="C814" s="133" t="s">
        <v>3086</v>
      </c>
      <c r="D814" s="155" t="s">
        <v>2324</v>
      </c>
      <c r="E814" s="154">
        <v>14</v>
      </c>
      <c r="F814" s="154">
        <v>2</v>
      </c>
      <c r="G814" s="154">
        <v>12</v>
      </c>
      <c r="H814" s="154">
        <v>0</v>
      </c>
      <c r="I814" s="154">
        <v>0</v>
      </c>
      <c r="J814" s="154">
        <v>0</v>
      </c>
      <c r="K814" s="154">
        <v>0.66</v>
      </c>
      <c r="L814" s="154">
        <v>0.93700000000000006</v>
      </c>
      <c r="M814" s="154">
        <v>1.0660000000000001</v>
      </c>
      <c r="N814" s="154">
        <v>1.212</v>
      </c>
      <c r="O814" s="108">
        <f t="shared" si="60"/>
        <v>0.41969696969696968</v>
      </c>
      <c r="P814" s="108">
        <f t="shared" si="61"/>
        <v>0.13767342582710773</v>
      </c>
      <c r="Q814" s="108">
        <f t="shared" si="62"/>
        <v>0.13696060037523439</v>
      </c>
      <c r="S814" s="109">
        <f t="shared" si="63"/>
        <v>0.8363636363636362</v>
      </c>
      <c r="T814" s="109">
        <f t="shared" si="64"/>
        <v>0.29348986125933818</v>
      </c>
    </row>
    <row r="815" spans="1:20">
      <c r="A815" s="154">
        <v>339</v>
      </c>
      <c r="B815" s="156">
        <v>600461</v>
      </c>
      <c r="C815" s="133" t="s">
        <v>3087</v>
      </c>
      <c r="D815" s="155" t="s">
        <v>2324</v>
      </c>
      <c r="E815" s="154">
        <v>15</v>
      </c>
      <c r="F815" s="154">
        <v>15</v>
      </c>
      <c r="G815" s="154">
        <v>0</v>
      </c>
      <c r="H815" s="154">
        <v>0</v>
      </c>
      <c r="I815" s="154">
        <v>0</v>
      </c>
      <c r="J815" s="154">
        <v>0</v>
      </c>
      <c r="K815" s="154">
        <v>0.35399999999999998</v>
      </c>
      <c r="L815" s="154">
        <v>0.46899999999999997</v>
      </c>
      <c r="M815" s="154">
        <v>0.54100000000000004</v>
      </c>
      <c r="N815" s="154">
        <v>0.60599999999999998</v>
      </c>
      <c r="O815" s="108">
        <f t="shared" si="60"/>
        <v>0.32485875706214684</v>
      </c>
      <c r="P815" s="108">
        <f t="shared" si="61"/>
        <v>0.15351812366737749</v>
      </c>
      <c r="Q815" s="108">
        <f t="shared" si="62"/>
        <v>0.12014787430683915</v>
      </c>
      <c r="S815" s="109">
        <f t="shared" si="63"/>
        <v>0.71186440677966112</v>
      </c>
      <c r="T815" s="109">
        <f t="shared" si="64"/>
        <v>0.29211087420042658</v>
      </c>
    </row>
    <row r="816" spans="1:20">
      <c r="A816" s="154">
        <v>122</v>
      </c>
      <c r="B816" s="156">
        <v>601336</v>
      </c>
      <c r="C816" s="133" t="s">
        <v>3088</v>
      </c>
      <c r="D816" s="155" t="s">
        <v>2324</v>
      </c>
      <c r="E816" s="154">
        <v>28</v>
      </c>
      <c r="F816" s="154">
        <v>20</v>
      </c>
      <c r="G816" s="154">
        <v>8</v>
      </c>
      <c r="H816" s="154">
        <v>0</v>
      </c>
      <c r="I816" s="154">
        <v>0</v>
      </c>
      <c r="J816" s="154">
        <v>0</v>
      </c>
      <c r="K816" s="154">
        <v>2.5390000000000001</v>
      </c>
      <c r="L816" s="154">
        <v>4.399</v>
      </c>
      <c r="M816" s="154">
        <v>4.7770000000000001</v>
      </c>
      <c r="N816" s="154">
        <v>5.68</v>
      </c>
      <c r="O816" s="108">
        <f t="shared" si="60"/>
        <v>0.73257187869239848</v>
      </c>
      <c r="P816" s="108">
        <f t="shared" si="61"/>
        <v>8.5928620140941048E-2</v>
      </c>
      <c r="Q816" s="108">
        <f t="shared" si="62"/>
        <v>0.18903077245132915</v>
      </c>
      <c r="S816" s="109">
        <f t="shared" si="63"/>
        <v>1.2371012209531309</v>
      </c>
      <c r="T816" s="109">
        <f t="shared" si="64"/>
        <v>0.29120254603318929</v>
      </c>
    </row>
    <row r="817" spans="1:20">
      <c r="A817" s="154">
        <v>499</v>
      </c>
      <c r="B817" s="156">
        <v>2048</v>
      </c>
      <c r="C817" s="133" t="s">
        <v>3089</v>
      </c>
      <c r="D817" s="155" t="s">
        <v>2324</v>
      </c>
      <c r="E817" s="154">
        <v>10</v>
      </c>
      <c r="F817" s="154">
        <v>8</v>
      </c>
      <c r="G817" s="154">
        <v>2</v>
      </c>
      <c r="H817" s="154">
        <v>0</v>
      </c>
      <c r="I817" s="154">
        <v>0</v>
      </c>
      <c r="J817" s="154">
        <v>0</v>
      </c>
      <c r="K817" s="154">
        <v>1.169</v>
      </c>
      <c r="L817" s="154">
        <v>1.429</v>
      </c>
      <c r="M817" s="154">
        <v>1.6339999999999999</v>
      </c>
      <c r="N817" s="154">
        <v>1.845</v>
      </c>
      <c r="O817" s="108">
        <f t="shared" si="60"/>
        <v>0.2224123182207014</v>
      </c>
      <c r="P817" s="108">
        <f t="shared" si="61"/>
        <v>0.14345696291112664</v>
      </c>
      <c r="Q817" s="108">
        <f t="shared" si="62"/>
        <v>0.12913096695226445</v>
      </c>
      <c r="S817" s="109">
        <f t="shared" si="63"/>
        <v>0.57827202737382377</v>
      </c>
      <c r="T817" s="109">
        <f t="shared" si="64"/>
        <v>0.29111266620013998</v>
      </c>
    </row>
    <row r="818" spans="1:20">
      <c r="A818" s="154">
        <v>177</v>
      </c>
      <c r="B818" s="156">
        <v>600660</v>
      </c>
      <c r="C818" s="133" t="s">
        <v>3090</v>
      </c>
      <c r="D818" s="155" t="s">
        <v>2324</v>
      </c>
      <c r="E818" s="154">
        <v>24</v>
      </c>
      <c r="F818" s="154">
        <v>9</v>
      </c>
      <c r="G818" s="154">
        <v>15</v>
      </c>
      <c r="H818" s="154">
        <v>0</v>
      </c>
      <c r="I818" s="154">
        <v>0</v>
      </c>
      <c r="J818" s="154">
        <v>0</v>
      </c>
      <c r="K818" s="154">
        <v>1.643</v>
      </c>
      <c r="L818" s="154">
        <v>1.3169999999999999</v>
      </c>
      <c r="M818" s="154">
        <v>1.5129999999999999</v>
      </c>
      <c r="N818" s="154">
        <v>1.7</v>
      </c>
      <c r="O818" s="108">
        <f t="shared" si="60"/>
        <v>-0.19841752891052955</v>
      </c>
      <c r="P818" s="108">
        <f t="shared" si="61"/>
        <v>0.14882308276385725</v>
      </c>
      <c r="Q818" s="108">
        <f t="shared" si="62"/>
        <v>0.12359550561797761</v>
      </c>
      <c r="S818" s="109">
        <f t="shared" si="63"/>
        <v>3.4692635423006601E-2</v>
      </c>
      <c r="T818" s="109">
        <f t="shared" si="64"/>
        <v>0.29081245254365995</v>
      </c>
    </row>
    <row r="819" spans="1:20">
      <c r="A819" s="154">
        <v>778</v>
      </c>
      <c r="B819" s="156">
        <v>600641</v>
      </c>
      <c r="C819" s="133" t="s">
        <v>3091</v>
      </c>
      <c r="D819" s="155" t="s">
        <v>2324</v>
      </c>
      <c r="E819" s="154">
        <v>5</v>
      </c>
      <c r="F819" s="154">
        <v>2</v>
      </c>
      <c r="G819" s="154">
        <v>3</v>
      </c>
      <c r="H819" s="154">
        <v>0</v>
      </c>
      <c r="I819" s="154">
        <v>0</v>
      </c>
      <c r="J819" s="154">
        <v>0</v>
      </c>
      <c r="K819" s="154">
        <v>1.206</v>
      </c>
      <c r="L819" s="154">
        <v>0.85</v>
      </c>
      <c r="M819" s="154">
        <v>0.92300000000000004</v>
      </c>
      <c r="N819" s="154">
        <v>1.097</v>
      </c>
      <c r="O819" s="108">
        <f t="shared" si="60"/>
        <v>-0.29519071310116085</v>
      </c>
      <c r="P819" s="108">
        <f t="shared" si="61"/>
        <v>8.5882352941176521E-2</v>
      </c>
      <c r="Q819" s="108">
        <f t="shared" si="62"/>
        <v>0.18851570964247011</v>
      </c>
      <c r="S819" s="109">
        <f t="shared" si="63"/>
        <v>-9.0381426202321702E-2</v>
      </c>
      <c r="T819" s="109">
        <f t="shared" si="64"/>
        <v>0.29058823529411759</v>
      </c>
    </row>
    <row r="820" spans="1:20">
      <c r="A820" s="154">
        <v>848</v>
      </c>
      <c r="B820" s="156">
        <v>2429</v>
      </c>
      <c r="C820" s="133" t="s">
        <v>3092</v>
      </c>
      <c r="D820" s="155" t="s">
        <v>2324</v>
      </c>
      <c r="E820" s="154">
        <v>5</v>
      </c>
      <c r="F820" s="154">
        <v>2</v>
      </c>
      <c r="G820" s="154">
        <v>3</v>
      </c>
      <c r="H820" s="154">
        <v>0</v>
      </c>
      <c r="I820" s="154">
        <v>0</v>
      </c>
      <c r="J820" s="154">
        <v>0</v>
      </c>
      <c r="K820" s="154">
        <v>9.8000000000000004E-2</v>
      </c>
      <c r="L820" s="154">
        <v>0.14799999999999999</v>
      </c>
      <c r="M820" s="154">
        <v>0.16900000000000001</v>
      </c>
      <c r="N820" s="154">
        <v>0.191</v>
      </c>
      <c r="O820" s="108">
        <f t="shared" si="60"/>
        <v>0.51020408163265296</v>
      </c>
      <c r="P820" s="108">
        <f t="shared" si="61"/>
        <v>0.14189189189189211</v>
      </c>
      <c r="Q820" s="108">
        <f t="shared" si="62"/>
        <v>0.13017751479289941</v>
      </c>
      <c r="S820" s="109">
        <f t="shared" si="63"/>
        <v>0.94897959183673475</v>
      </c>
      <c r="T820" s="109">
        <f t="shared" si="64"/>
        <v>0.29054054054054057</v>
      </c>
    </row>
    <row r="821" spans="1:20">
      <c r="A821" s="154">
        <v>852</v>
      </c>
      <c r="B821" s="156">
        <v>2429</v>
      </c>
      <c r="C821" s="133" t="s">
        <v>3092</v>
      </c>
      <c r="D821" s="155" t="s">
        <v>2324</v>
      </c>
      <c r="E821" s="154">
        <v>5</v>
      </c>
      <c r="F821" s="154">
        <v>2</v>
      </c>
      <c r="G821" s="154">
        <v>3</v>
      </c>
      <c r="H821" s="154">
        <v>0</v>
      </c>
      <c r="I821" s="154">
        <v>0</v>
      </c>
      <c r="J821" s="154">
        <v>0</v>
      </c>
      <c r="K821" s="154">
        <v>9.8000000000000004E-2</v>
      </c>
      <c r="L821" s="154">
        <v>0.14799999999999999</v>
      </c>
      <c r="M821" s="154">
        <v>0.16900000000000001</v>
      </c>
      <c r="N821" s="154">
        <v>0.191</v>
      </c>
      <c r="O821" s="108">
        <f t="shared" si="60"/>
        <v>0.51020408163265296</v>
      </c>
      <c r="P821" s="108">
        <f t="shared" si="61"/>
        <v>0.14189189189189211</v>
      </c>
      <c r="Q821" s="108">
        <f t="shared" si="62"/>
        <v>0.13017751479289941</v>
      </c>
      <c r="S821" s="109">
        <f t="shared" si="63"/>
        <v>0.94897959183673475</v>
      </c>
      <c r="T821" s="109">
        <f t="shared" si="64"/>
        <v>0.29054054054054057</v>
      </c>
    </row>
    <row r="822" spans="1:20">
      <c r="A822" s="154">
        <v>670</v>
      </c>
      <c r="B822" s="156">
        <v>600655</v>
      </c>
      <c r="C822" s="133" t="s">
        <v>3093</v>
      </c>
      <c r="D822" s="155" t="s">
        <v>2324</v>
      </c>
      <c r="E822" s="154">
        <v>7</v>
      </c>
      <c r="F822" s="154">
        <v>6</v>
      </c>
      <c r="G822" s="154">
        <v>1</v>
      </c>
      <c r="H822" s="154">
        <v>0</v>
      </c>
      <c r="I822" s="154">
        <v>0</v>
      </c>
      <c r="J822" s="154">
        <v>0</v>
      </c>
      <c r="K822" s="154">
        <v>0.77800000000000002</v>
      </c>
      <c r="L822" s="154">
        <v>0.879</v>
      </c>
      <c r="M822" s="154">
        <v>1.0129999999999999</v>
      </c>
      <c r="N822" s="154">
        <v>1.1339999999999999</v>
      </c>
      <c r="O822" s="108">
        <f t="shared" si="60"/>
        <v>0.12982005141388164</v>
      </c>
      <c r="P822" s="108">
        <f t="shared" si="61"/>
        <v>0.15244596131968136</v>
      </c>
      <c r="Q822" s="108">
        <f t="shared" si="62"/>
        <v>0.11944718657453102</v>
      </c>
      <c r="S822" s="109">
        <f t="shared" si="63"/>
        <v>0.45758354755784048</v>
      </c>
      <c r="T822" s="109">
        <f t="shared" si="64"/>
        <v>0.29010238907849817</v>
      </c>
    </row>
    <row r="823" spans="1:20">
      <c r="A823" s="154">
        <v>666</v>
      </c>
      <c r="B823" s="156">
        <v>2713</v>
      </c>
      <c r="C823" s="133" t="s">
        <v>3094</v>
      </c>
      <c r="D823" s="155" t="s">
        <v>2324</v>
      </c>
      <c r="E823" s="154">
        <v>7</v>
      </c>
      <c r="F823" s="154">
        <v>6</v>
      </c>
      <c r="G823" s="154">
        <v>1</v>
      </c>
      <c r="H823" s="154">
        <v>0</v>
      </c>
      <c r="I823" s="154">
        <v>0</v>
      </c>
      <c r="J823" s="154">
        <v>0</v>
      </c>
      <c r="K823" s="154">
        <v>0.60199999999999998</v>
      </c>
      <c r="L823" s="154">
        <v>0.63100000000000001</v>
      </c>
      <c r="M823" s="154">
        <v>0.70699999999999996</v>
      </c>
      <c r="N823" s="154">
        <v>0.81399999999999995</v>
      </c>
      <c r="O823" s="108">
        <f t="shared" si="60"/>
        <v>4.8172757475083205E-2</v>
      </c>
      <c r="P823" s="108">
        <f t="shared" si="61"/>
        <v>0.12044374009508707</v>
      </c>
      <c r="Q823" s="108">
        <f t="shared" si="62"/>
        <v>0.15134370579915135</v>
      </c>
      <c r="S823" s="109">
        <f t="shared" si="63"/>
        <v>0.35215946843853807</v>
      </c>
      <c r="T823" s="109">
        <f t="shared" si="64"/>
        <v>0.2900158478605388</v>
      </c>
    </row>
    <row r="824" spans="1:20">
      <c r="A824" s="154">
        <v>11</v>
      </c>
      <c r="B824" s="156">
        <v>600031</v>
      </c>
      <c r="C824" s="133" t="s">
        <v>3095</v>
      </c>
      <c r="D824" s="155" t="s">
        <v>2324</v>
      </c>
      <c r="E824" s="154">
        <v>58</v>
      </c>
      <c r="F824" s="154">
        <v>50</v>
      </c>
      <c r="G824" s="154">
        <v>8</v>
      </c>
      <c r="H824" s="154">
        <v>0</v>
      </c>
      <c r="I824" s="154">
        <v>0</v>
      </c>
      <c r="J824" s="154">
        <v>0</v>
      </c>
      <c r="K824" s="154">
        <v>0.72599999999999998</v>
      </c>
      <c r="L824" s="154">
        <v>1.3180000000000001</v>
      </c>
      <c r="M824" s="154">
        <v>1.532</v>
      </c>
      <c r="N824" s="154">
        <v>1.6970000000000001</v>
      </c>
      <c r="O824" s="108">
        <f t="shared" si="60"/>
        <v>0.81542699724517931</v>
      </c>
      <c r="P824" s="108">
        <f t="shared" si="61"/>
        <v>0.16236722306525042</v>
      </c>
      <c r="Q824" s="108">
        <f t="shared" si="62"/>
        <v>0.10770234986945182</v>
      </c>
      <c r="S824" s="109">
        <f t="shared" si="63"/>
        <v>1.337465564738292</v>
      </c>
      <c r="T824" s="109">
        <f t="shared" si="64"/>
        <v>0.28755690440060699</v>
      </c>
    </row>
    <row r="825" spans="1:20">
      <c r="A825" s="154">
        <v>202</v>
      </c>
      <c r="B825" s="156">
        <v>600754</v>
      </c>
      <c r="C825" s="133" t="s">
        <v>3096</v>
      </c>
      <c r="D825" s="155" t="s">
        <v>2324</v>
      </c>
      <c r="E825" s="154">
        <v>22</v>
      </c>
      <c r="F825" s="154">
        <v>16</v>
      </c>
      <c r="G825" s="154">
        <v>6</v>
      </c>
      <c r="H825" s="154">
        <v>0</v>
      </c>
      <c r="I825" s="154">
        <v>0</v>
      </c>
      <c r="J825" s="154">
        <v>0</v>
      </c>
      <c r="K825" s="154">
        <v>1.1299999999999999</v>
      </c>
      <c r="L825" s="154">
        <v>1.19</v>
      </c>
      <c r="M825" s="154">
        <v>1.36</v>
      </c>
      <c r="N825" s="154">
        <v>1.5309999999999999</v>
      </c>
      <c r="O825" s="108">
        <f t="shared" si="60"/>
        <v>5.3097345132743445E-2</v>
      </c>
      <c r="P825" s="108">
        <f t="shared" si="61"/>
        <v>0.14285714285714302</v>
      </c>
      <c r="Q825" s="108">
        <f t="shared" si="62"/>
        <v>0.12573529411764683</v>
      </c>
      <c r="S825" s="109">
        <f t="shared" si="63"/>
        <v>0.35486725663716823</v>
      </c>
      <c r="T825" s="109">
        <f t="shared" si="64"/>
        <v>0.28655462184873959</v>
      </c>
    </row>
    <row r="826" spans="1:20">
      <c r="A826" s="154">
        <v>741</v>
      </c>
      <c r="B826" s="156">
        <v>2736</v>
      </c>
      <c r="C826" s="133" t="s">
        <v>3097</v>
      </c>
      <c r="D826" s="155" t="s">
        <v>2324</v>
      </c>
      <c r="E826" s="154">
        <v>6</v>
      </c>
      <c r="F826" s="154">
        <v>0</v>
      </c>
      <c r="G826" s="154">
        <v>6</v>
      </c>
      <c r="H826" s="154">
        <v>0</v>
      </c>
      <c r="I826" s="154">
        <v>0</v>
      </c>
      <c r="J826" s="154">
        <v>0</v>
      </c>
      <c r="K826" s="154">
        <v>0.41699999999999998</v>
      </c>
      <c r="L826" s="154">
        <v>0.64300000000000002</v>
      </c>
      <c r="M826" s="154">
        <v>0.73599999999999999</v>
      </c>
      <c r="N826" s="154">
        <v>0.82599999999999996</v>
      </c>
      <c r="O826" s="108">
        <f t="shared" si="60"/>
        <v>0.54196642685851337</v>
      </c>
      <c r="P826" s="108">
        <f t="shared" si="61"/>
        <v>0.14463452566096424</v>
      </c>
      <c r="Q826" s="108">
        <f t="shared" si="62"/>
        <v>0.12228260869565211</v>
      </c>
      <c r="S826" s="109">
        <f t="shared" si="63"/>
        <v>0.98081534772182244</v>
      </c>
      <c r="T826" s="109">
        <f t="shared" si="64"/>
        <v>0.28460342146189732</v>
      </c>
    </row>
    <row r="827" spans="1:20">
      <c r="A827" s="154">
        <v>922</v>
      </c>
      <c r="B827" s="156">
        <v>601811</v>
      </c>
      <c r="C827" s="133" t="s">
        <v>3098</v>
      </c>
      <c r="D827" s="155" t="s">
        <v>2324</v>
      </c>
      <c r="E827" s="154">
        <v>4</v>
      </c>
      <c r="F827" s="154">
        <v>2</v>
      </c>
      <c r="G827" s="154">
        <v>2</v>
      </c>
      <c r="H827" s="154">
        <v>0</v>
      </c>
      <c r="I827" s="154">
        <v>0</v>
      </c>
      <c r="J827" s="154">
        <v>0</v>
      </c>
      <c r="K827" s="154">
        <v>0.755</v>
      </c>
      <c r="L827" s="154">
        <v>0.92</v>
      </c>
      <c r="M827" s="154">
        <v>1.0469999999999999</v>
      </c>
      <c r="N827" s="154">
        <v>1.181</v>
      </c>
      <c r="O827" s="108">
        <f t="shared" si="60"/>
        <v>0.2185430463576159</v>
      </c>
      <c r="P827" s="108">
        <f t="shared" si="61"/>
        <v>0.13804347826086949</v>
      </c>
      <c r="Q827" s="108">
        <f t="shared" si="62"/>
        <v>0.12798471824259794</v>
      </c>
      <c r="S827" s="109">
        <f t="shared" si="63"/>
        <v>0.56423841059602653</v>
      </c>
      <c r="T827" s="109">
        <f t="shared" si="64"/>
        <v>0.28369565217391313</v>
      </c>
    </row>
    <row r="828" spans="1:20">
      <c r="A828" s="154">
        <v>554</v>
      </c>
      <c r="B828" s="156">
        <v>600511</v>
      </c>
      <c r="C828" s="133" t="s">
        <v>3099</v>
      </c>
      <c r="D828" s="155" t="s">
        <v>2324</v>
      </c>
      <c r="E828" s="154">
        <v>8</v>
      </c>
      <c r="F828" s="154">
        <v>5</v>
      </c>
      <c r="G828" s="154">
        <v>3</v>
      </c>
      <c r="H828" s="154">
        <v>0</v>
      </c>
      <c r="I828" s="154">
        <v>0</v>
      </c>
      <c r="J828" s="154">
        <v>0</v>
      </c>
      <c r="K828" s="154">
        <v>1.861</v>
      </c>
      <c r="L828" s="154">
        <v>2.0219999999999998</v>
      </c>
      <c r="M828" s="154">
        <v>2.29</v>
      </c>
      <c r="N828" s="154">
        <v>2.5939999999999999</v>
      </c>
      <c r="O828" s="108">
        <f t="shared" si="60"/>
        <v>8.6512627619559357E-2</v>
      </c>
      <c r="P828" s="108">
        <f t="shared" si="61"/>
        <v>0.13254203758654803</v>
      </c>
      <c r="Q828" s="108">
        <f t="shared" si="62"/>
        <v>0.13275109170305677</v>
      </c>
      <c r="S828" s="109">
        <f t="shared" si="63"/>
        <v>0.3938742611499193</v>
      </c>
      <c r="T828" s="109">
        <f t="shared" si="64"/>
        <v>0.28288822947576664</v>
      </c>
    </row>
    <row r="829" spans="1:20">
      <c r="A829" s="154">
        <v>987</v>
      </c>
      <c r="B829" s="156">
        <v>600039</v>
      </c>
      <c r="C829" s="133" t="s">
        <v>3100</v>
      </c>
      <c r="D829" s="155" t="s">
        <v>2324</v>
      </c>
      <c r="E829" s="154">
        <v>3</v>
      </c>
      <c r="F829" s="154">
        <v>2</v>
      </c>
      <c r="G829" s="154">
        <v>1</v>
      </c>
      <c r="H829" s="154">
        <v>0</v>
      </c>
      <c r="I829" s="154">
        <v>0</v>
      </c>
      <c r="J829" s="154">
        <v>0</v>
      </c>
      <c r="K829" s="154">
        <v>0.316</v>
      </c>
      <c r="L829" s="154">
        <v>0.38600000000000001</v>
      </c>
      <c r="M829" s="154">
        <v>0.441</v>
      </c>
      <c r="N829" s="154">
        <v>0.495</v>
      </c>
      <c r="O829" s="108">
        <f t="shared" si="60"/>
        <v>0.22151898734177222</v>
      </c>
      <c r="P829" s="108">
        <f t="shared" si="61"/>
        <v>0.14248704663212441</v>
      </c>
      <c r="Q829" s="108">
        <f t="shared" si="62"/>
        <v>0.12244897959183665</v>
      </c>
      <c r="S829" s="109">
        <f t="shared" si="63"/>
        <v>0.56645569620253156</v>
      </c>
      <c r="T829" s="109">
        <f t="shared" si="64"/>
        <v>0.28238341968911906</v>
      </c>
    </row>
    <row r="830" spans="1:20">
      <c r="A830" s="154">
        <v>374</v>
      </c>
      <c r="B830" s="156">
        <v>600170</v>
      </c>
      <c r="C830" s="133" t="s">
        <v>3101</v>
      </c>
      <c r="D830" s="155" t="s">
        <v>2324</v>
      </c>
      <c r="E830" s="154">
        <v>14</v>
      </c>
      <c r="F830" s="154">
        <v>12</v>
      </c>
      <c r="G830" s="154">
        <v>2</v>
      </c>
      <c r="H830" s="154">
        <v>0</v>
      </c>
      <c r="I830" s="154">
        <v>0</v>
      </c>
      <c r="J830" s="154">
        <v>0</v>
      </c>
      <c r="K830" s="154">
        <v>0.312</v>
      </c>
      <c r="L830" s="154">
        <v>0.38700000000000001</v>
      </c>
      <c r="M830" s="154">
        <v>0.439</v>
      </c>
      <c r="N830" s="154">
        <v>0.496</v>
      </c>
      <c r="O830" s="108">
        <f t="shared" si="60"/>
        <v>0.24038461538461542</v>
      </c>
      <c r="P830" s="108">
        <f t="shared" si="61"/>
        <v>0.13436692506459935</v>
      </c>
      <c r="Q830" s="108">
        <f t="shared" si="62"/>
        <v>0.12984054669703871</v>
      </c>
      <c r="S830" s="109">
        <f t="shared" si="63"/>
        <v>0.58974358974358965</v>
      </c>
      <c r="T830" s="109">
        <f t="shared" si="64"/>
        <v>0.28165374677002575</v>
      </c>
    </row>
    <row r="831" spans="1:20">
      <c r="A831" s="154">
        <v>161</v>
      </c>
      <c r="B831" s="156">
        <v>600315</v>
      </c>
      <c r="C831" s="133" t="s">
        <v>3102</v>
      </c>
      <c r="D831" s="155" t="s">
        <v>2324</v>
      </c>
      <c r="E831" s="154">
        <v>25</v>
      </c>
      <c r="F831" s="154">
        <v>15</v>
      </c>
      <c r="G831" s="154">
        <v>10</v>
      </c>
      <c r="H831" s="154">
        <v>0</v>
      </c>
      <c r="I831" s="154">
        <v>0</v>
      </c>
      <c r="J831" s="154">
        <v>0</v>
      </c>
      <c r="K831" s="154">
        <v>0.80500000000000005</v>
      </c>
      <c r="L831" s="154">
        <v>0.94299999999999995</v>
      </c>
      <c r="M831" s="154">
        <v>1.038</v>
      </c>
      <c r="N831" s="154">
        <v>1.206</v>
      </c>
      <c r="O831" s="108">
        <f t="shared" si="60"/>
        <v>0.17142857142857126</v>
      </c>
      <c r="P831" s="108">
        <f t="shared" si="61"/>
        <v>0.10074231177094384</v>
      </c>
      <c r="Q831" s="108">
        <f t="shared" si="62"/>
        <v>0.16184971098265888</v>
      </c>
      <c r="S831" s="109">
        <f t="shared" si="63"/>
        <v>0.49813664596273277</v>
      </c>
      <c r="T831" s="109">
        <f t="shared" si="64"/>
        <v>0.27889713679745487</v>
      </c>
    </row>
    <row r="832" spans="1:20">
      <c r="A832" s="154">
        <v>545</v>
      </c>
      <c r="B832" s="156">
        <v>600704</v>
      </c>
      <c r="C832" s="133" t="s">
        <v>3103</v>
      </c>
      <c r="D832" s="155" t="s">
        <v>2324</v>
      </c>
      <c r="E832" s="154">
        <v>9</v>
      </c>
      <c r="F832" s="154">
        <v>8</v>
      </c>
      <c r="G832" s="154">
        <v>1</v>
      </c>
      <c r="H832" s="154">
        <v>0</v>
      </c>
      <c r="I832" s="154">
        <v>0</v>
      </c>
      <c r="J832" s="154">
        <v>0</v>
      </c>
      <c r="K832" s="154">
        <v>0.47399999999999998</v>
      </c>
      <c r="L832" s="154">
        <v>0.59199999999999997</v>
      </c>
      <c r="M832" s="154">
        <v>0.66700000000000004</v>
      </c>
      <c r="N832" s="154">
        <v>0.75700000000000001</v>
      </c>
      <c r="O832" s="108">
        <f t="shared" si="60"/>
        <v>0.24894514767932496</v>
      </c>
      <c r="P832" s="108">
        <f t="shared" si="61"/>
        <v>0.12668918918918926</v>
      </c>
      <c r="Q832" s="108">
        <f t="shared" si="62"/>
        <v>0.1349325337331333</v>
      </c>
      <c r="S832" s="109">
        <f t="shared" si="63"/>
        <v>0.59704641350210985</v>
      </c>
      <c r="T832" s="109">
        <f t="shared" si="64"/>
        <v>0.27871621621621623</v>
      </c>
    </row>
    <row r="833" spans="1:20">
      <c r="A833" s="154">
        <v>497</v>
      </c>
      <c r="B833" s="156">
        <v>498</v>
      </c>
      <c r="C833" s="133" t="s">
        <v>3104</v>
      </c>
      <c r="D833" s="155" t="s">
        <v>2324</v>
      </c>
      <c r="E833" s="154">
        <v>10</v>
      </c>
      <c r="F833" s="154">
        <v>7</v>
      </c>
      <c r="G833" s="154">
        <v>3</v>
      </c>
      <c r="H833" s="154">
        <v>0</v>
      </c>
      <c r="I833" s="154">
        <v>0</v>
      </c>
      <c r="J833" s="154">
        <v>0</v>
      </c>
      <c r="K833" s="154">
        <v>0.59199999999999997</v>
      </c>
      <c r="L833" s="154">
        <v>0.60899999999999999</v>
      </c>
      <c r="M833" s="154">
        <v>0.71</v>
      </c>
      <c r="N833" s="154">
        <v>0.77700000000000002</v>
      </c>
      <c r="O833" s="108">
        <f t="shared" si="60"/>
        <v>2.8716216216216228E-2</v>
      </c>
      <c r="P833" s="108">
        <f t="shared" si="61"/>
        <v>0.1658456486042692</v>
      </c>
      <c r="Q833" s="108">
        <f t="shared" si="62"/>
        <v>9.4366197183098688E-2</v>
      </c>
      <c r="S833" s="109">
        <f t="shared" si="63"/>
        <v>0.3125</v>
      </c>
      <c r="T833" s="109">
        <f t="shared" si="64"/>
        <v>0.27586206896551735</v>
      </c>
    </row>
    <row r="834" spans="1:20">
      <c r="A834" s="154">
        <v>751</v>
      </c>
      <c r="B834" s="156">
        <v>2688</v>
      </c>
      <c r="C834" s="133" t="s">
        <v>3105</v>
      </c>
      <c r="D834" s="155" t="s">
        <v>2324</v>
      </c>
      <c r="E834" s="154">
        <v>6</v>
      </c>
      <c r="F834" s="154">
        <v>5</v>
      </c>
      <c r="G834" s="154">
        <v>1</v>
      </c>
      <c r="H834" s="154">
        <v>0</v>
      </c>
      <c r="I834" s="154">
        <v>0</v>
      </c>
      <c r="J834" s="154">
        <v>0</v>
      </c>
      <c r="K834" s="154">
        <v>0.25800000000000001</v>
      </c>
      <c r="L834" s="154">
        <v>0.32600000000000001</v>
      </c>
      <c r="M834" s="154">
        <v>0.36099999999999999</v>
      </c>
      <c r="N834" s="154">
        <v>0.41499999999999998</v>
      </c>
      <c r="O834" s="108">
        <f t="shared" si="60"/>
        <v>0.26356589147286824</v>
      </c>
      <c r="P834" s="108">
        <f t="shared" si="61"/>
        <v>0.10736196319018387</v>
      </c>
      <c r="Q834" s="108">
        <f t="shared" si="62"/>
        <v>0.14958448753462594</v>
      </c>
      <c r="S834" s="109">
        <f t="shared" si="63"/>
        <v>0.60852713178294571</v>
      </c>
      <c r="T834" s="109">
        <f t="shared" si="64"/>
        <v>0.27300613496932513</v>
      </c>
    </row>
    <row r="835" spans="1:20">
      <c r="A835" s="154">
        <v>691</v>
      </c>
      <c r="B835" s="156">
        <v>598</v>
      </c>
      <c r="C835" s="133" t="s">
        <v>3106</v>
      </c>
      <c r="D835" s="155" t="s">
        <v>2324</v>
      </c>
      <c r="E835" s="154">
        <v>7</v>
      </c>
      <c r="F835" s="154">
        <v>3</v>
      </c>
      <c r="G835" s="154">
        <v>4</v>
      </c>
      <c r="H835" s="154">
        <v>0</v>
      </c>
      <c r="I835" s="154">
        <v>0</v>
      </c>
      <c r="J835" s="154">
        <v>0</v>
      </c>
      <c r="K835" s="154">
        <v>0.33100000000000002</v>
      </c>
      <c r="L835" s="154">
        <v>0.37</v>
      </c>
      <c r="M835" s="154">
        <v>0.41299999999999998</v>
      </c>
      <c r="N835" s="154">
        <v>0.47099999999999997</v>
      </c>
      <c r="O835" s="108">
        <f t="shared" ref="O835:O898" si="65">L835/K835-1</f>
        <v>0.1178247734138973</v>
      </c>
      <c r="P835" s="108">
        <f t="shared" ref="P835:P898" si="66">M835/L835-1</f>
        <v>0.11621621621621614</v>
      </c>
      <c r="Q835" s="108">
        <f t="shared" ref="Q835:Q898" si="67">N835/M835-1</f>
        <v>0.1404358353510895</v>
      </c>
      <c r="S835" s="109">
        <f t="shared" ref="S835:S898" si="68">N835/K835-1</f>
        <v>0.42296072507552851</v>
      </c>
      <c r="T835" s="109">
        <f t="shared" ref="T835:T898" si="69">N835/L835-1</f>
        <v>0.27297297297297285</v>
      </c>
    </row>
    <row r="836" spans="1:20">
      <c r="A836" s="154">
        <v>765</v>
      </c>
      <c r="B836" s="156">
        <v>2444</v>
      </c>
      <c r="C836" s="133" t="s">
        <v>3107</v>
      </c>
      <c r="D836" s="155" t="s">
        <v>2324</v>
      </c>
      <c r="E836" s="154">
        <v>6</v>
      </c>
      <c r="F836" s="154">
        <v>4</v>
      </c>
      <c r="G836" s="154">
        <v>2</v>
      </c>
      <c r="H836" s="154">
        <v>0</v>
      </c>
      <c r="I836" s="154">
        <v>0</v>
      </c>
      <c r="J836" s="154">
        <v>0</v>
      </c>
      <c r="K836" s="154">
        <v>0.66700000000000004</v>
      </c>
      <c r="L836" s="154">
        <v>0.81399999999999995</v>
      </c>
      <c r="M836" s="154">
        <v>0.93500000000000005</v>
      </c>
      <c r="N836" s="154">
        <v>1.036</v>
      </c>
      <c r="O836" s="108">
        <f t="shared" si="65"/>
        <v>0.2203898050974511</v>
      </c>
      <c r="P836" s="108">
        <f t="shared" si="66"/>
        <v>0.14864864864864868</v>
      </c>
      <c r="Q836" s="108">
        <f t="shared" si="67"/>
        <v>0.10802139037433145</v>
      </c>
      <c r="S836" s="109">
        <f t="shared" si="68"/>
        <v>0.55322338830584705</v>
      </c>
      <c r="T836" s="109">
        <f t="shared" si="69"/>
        <v>0.27272727272727293</v>
      </c>
    </row>
    <row r="837" spans="1:20">
      <c r="A837" s="154">
        <v>364</v>
      </c>
      <c r="B837" s="156">
        <v>2419</v>
      </c>
      <c r="C837" s="133" t="s">
        <v>3108</v>
      </c>
      <c r="D837" s="155" t="s">
        <v>2324</v>
      </c>
      <c r="E837" s="154">
        <v>14</v>
      </c>
      <c r="F837" s="154">
        <v>8</v>
      </c>
      <c r="G837" s="154">
        <v>6</v>
      </c>
      <c r="H837" s="154">
        <v>0</v>
      </c>
      <c r="I837" s="154">
        <v>0</v>
      </c>
      <c r="J837" s="154">
        <v>0</v>
      </c>
      <c r="K837" s="154">
        <v>0.753</v>
      </c>
      <c r="L837" s="154">
        <v>0.80700000000000005</v>
      </c>
      <c r="M837" s="154">
        <v>0.90600000000000003</v>
      </c>
      <c r="N837" s="154">
        <v>1.026</v>
      </c>
      <c r="O837" s="108">
        <f t="shared" si="65"/>
        <v>7.1713147410358724E-2</v>
      </c>
      <c r="P837" s="108">
        <f t="shared" si="66"/>
        <v>0.12267657992565062</v>
      </c>
      <c r="Q837" s="108">
        <f t="shared" si="67"/>
        <v>0.13245033112582782</v>
      </c>
      <c r="S837" s="109">
        <f t="shared" si="68"/>
        <v>0.36254980079681287</v>
      </c>
      <c r="T837" s="109">
        <f t="shared" si="69"/>
        <v>0.27137546468401474</v>
      </c>
    </row>
    <row r="838" spans="1:20">
      <c r="A838" s="154">
        <v>314</v>
      </c>
      <c r="B838" s="156">
        <v>600138</v>
      </c>
      <c r="C838" s="133" t="s">
        <v>3109</v>
      </c>
      <c r="D838" s="155" t="s">
        <v>2324</v>
      </c>
      <c r="E838" s="154">
        <v>16</v>
      </c>
      <c r="F838" s="154">
        <v>15</v>
      </c>
      <c r="G838" s="154">
        <v>1</v>
      </c>
      <c r="H838" s="154">
        <v>0</v>
      </c>
      <c r="I838" s="154">
        <v>0</v>
      </c>
      <c r="J838" s="154">
        <v>0</v>
      </c>
      <c r="K838" s="154">
        <v>0.82499999999999996</v>
      </c>
      <c r="L838" s="154">
        <v>0.86699999999999999</v>
      </c>
      <c r="M838" s="154">
        <v>0.97599999999999998</v>
      </c>
      <c r="N838" s="154">
        <v>1.099</v>
      </c>
      <c r="O838" s="108">
        <f t="shared" si="65"/>
        <v>5.0909090909091015E-2</v>
      </c>
      <c r="P838" s="108">
        <f t="shared" si="66"/>
        <v>0.12572087658592856</v>
      </c>
      <c r="Q838" s="108">
        <f t="shared" si="67"/>
        <v>0.12602459016393452</v>
      </c>
      <c r="S838" s="109">
        <f t="shared" si="68"/>
        <v>0.33212121212121226</v>
      </c>
      <c r="T838" s="109">
        <f t="shared" si="69"/>
        <v>0.26758938869665516</v>
      </c>
    </row>
    <row r="839" spans="1:20">
      <c r="A839" s="154">
        <v>28</v>
      </c>
      <c r="B839" s="156">
        <v>333</v>
      </c>
      <c r="C839" s="133" t="s">
        <v>3110</v>
      </c>
      <c r="D839" s="155" t="s">
        <v>2324</v>
      </c>
      <c r="E839" s="154">
        <v>46</v>
      </c>
      <c r="F839" s="154">
        <v>35</v>
      </c>
      <c r="G839" s="154">
        <v>11</v>
      </c>
      <c r="H839" s="154">
        <v>0</v>
      </c>
      <c r="I839" s="154">
        <v>0</v>
      </c>
      <c r="J839" s="154">
        <v>0</v>
      </c>
      <c r="K839" s="154">
        <v>2.8959999999999999</v>
      </c>
      <c r="L839" s="154">
        <v>3.4220000000000002</v>
      </c>
      <c r="M839" s="154">
        <v>3.867</v>
      </c>
      <c r="N839" s="154">
        <v>4.3360000000000003</v>
      </c>
      <c r="O839" s="108">
        <f t="shared" si="65"/>
        <v>0.18162983425414381</v>
      </c>
      <c r="P839" s="108">
        <f t="shared" si="66"/>
        <v>0.13004091174751609</v>
      </c>
      <c r="Q839" s="108">
        <f t="shared" si="67"/>
        <v>0.12128264804758215</v>
      </c>
      <c r="S839" s="109">
        <f t="shared" si="68"/>
        <v>0.49723756906077354</v>
      </c>
      <c r="T839" s="109">
        <f t="shared" si="69"/>
        <v>0.26709526592635879</v>
      </c>
    </row>
    <row r="840" spans="1:20">
      <c r="A840" s="154">
        <v>266</v>
      </c>
      <c r="B840" s="156">
        <v>538</v>
      </c>
      <c r="C840" s="133" t="s">
        <v>3111</v>
      </c>
      <c r="D840" s="155" t="s">
        <v>2324</v>
      </c>
      <c r="E840" s="154">
        <v>18</v>
      </c>
      <c r="F840" s="154">
        <v>13</v>
      </c>
      <c r="G840" s="154">
        <v>5</v>
      </c>
      <c r="H840" s="154">
        <v>0</v>
      </c>
      <c r="I840" s="154">
        <v>0</v>
      </c>
      <c r="J840" s="154">
        <v>0</v>
      </c>
      <c r="K840" s="154">
        <v>2.5880000000000001</v>
      </c>
      <c r="L840" s="154">
        <v>2.9510000000000001</v>
      </c>
      <c r="M840" s="154">
        <v>3.319</v>
      </c>
      <c r="N840" s="154">
        <v>3.738</v>
      </c>
      <c r="O840" s="108">
        <f t="shared" si="65"/>
        <v>0.14026275115919629</v>
      </c>
      <c r="P840" s="108">
        <f t="shared" si="66"/>
        <v>0.12470349034225681</v>
      </c>
      <c r="Q840" s="108">
        <f t="shared" si="67"/>
        <v>0.12624284423018972</v>
      </c>
      <c r="S840" s="109">
        <f t="shared" si="68"/>
        <v>0.44435857805255008</v>
      </c>
      <c r="T840" s="109">
        <f t="shared" si="69"/>
        <v>0.26668925787868525</v>
      </c>
    </row>
    <row r="841" spans="1:20">
      <c r="A841" s="154">
        <v>98</v>
      </c>
      <c r="B841" s="156">
        <v>2304</v>
      </c>
      <c r="C841" s="133" t="s">
        <v>3112</v>
      </c>
      <c r="D841" s="155" t="s">
        <v>2324</v>
      </c>
      <c r="E841" s="154">
        <v>31</v>
      </c>
      <c r="F841" s="154">
        <v>24</v>
      </c>
      <c r="G841" s="154">
        <v>6</v>
      </c>
      <c r="H841" s="154">
        <v>1</v>
      </c>
      <c r="I841" s="154">
        <v>0</v>
      </c>
      <c r="J841" s="154">
        <v>0</v>
      </c>
      <c r="K841" s="154">
        <v>5.3849999999999998</v>
      </c>
      <c r="L841" s="154">
        <v>5.6070000000000002</v>
      </c>
      <c r="M841" s="154">
        <v>6.25</v>
      </c>
      <c r="N841" s="154">
        <v>7.1020000000000003</v>
      </c>
      <c r="O841" s="108">
        <f t="shared" si="65"/>
        <v>4.1225626740947208E-2</v>
      </c>
      <c r="P841" s="108">
        <f t="shared" si="66"/>
        <v>0.1146780809702157</v>
      </c>
      <c r="Q841" s="108">
        <f t="shared" si="67"/>
        <v>0.13632</v>
      </c>
      <c r="S841" s="109">
        <f t="shared" si="68"/>
        <v>0.31884865366759518</v>
      </c>
      <c r="T841" s="109">
        <f t="shared" si="69"/>
        <v>0.26663099696807557</v>
      </c>
    </row>
    <row r="842" spans="1:20">
      <c r="A842" s="154">
        <v>868</v>
      </c>
      <c r="B842" s="156">
        <v>885</v>
      </c>
      <c r="C842" s="133" t="s">
        <v>3113</v>
      </c>
      <c r="D842" s="155" t="s">
        <v>2324</v>
      </c>
      <c r="E842" s="154">
        <v>4</v>
      </c>
      <c r="F842" s="154">
        <v>4</v>
      </c>
      <c r="G842" s="154">
        <v>0</v>
      </c>
      <c r="H842" s="154">
        <v>0</v>
      </c>
      <c r="I842" s="154">
        <v>0</v>
      </c>
      <c r="J842" s="154">
        <v>0</v>
      </c>
      <c r="K842" s="154">
        <v>1.173</v>
      </c>
      <c r="L842" s="154">
        <v>1.3720000000000001</v>
      </c>
      <c r="M842" s="154">
        <v>1.3109999999999999</v>
      </c>
      <c r="N842" s="154">
        <v>1.7370000000000001</v>
      </c>
      <c r="O842" s="108">
        <f t="shared" si="65"/>
        <v>0.16965046888320545</v>
      </c>
      <c r="P842" s="108">
        <f t="shared" si="66"/>
        <v>-4.4460641399417078E-2</v>
      </c>
      <c r="Q842" s="108">
        <f t="shared" si="67"/>
        <v>0.32494279176201379</v>
      </c>
      <c r="S842" s="109">
        <f t="shared" si="68"/>
        <v>0.4808184143222507</v>
      </c>
      <c r="T842" s="109">
        <f t="shared" si="69"/>
        <v>0.2660349854227404</v>
      </c>
    </row>
    <row r="843" spans="1:20">
      <c r="A843" s="154">
        <v>248</v>
      </c>
      <c r="B843" s="156">
        <v>601766</v>
      </c>
      <c r="C843" s="133" t="s">
        <v>3114</v>
      </c>
      <c r="D843" s="155" t="s">
        <v>2324</v>
      </c>
      <c r="E843" s="154">
        <v>19</v>
      </c>
      <c r="F843" s="154">
        <v>7</v>
      </c>
      <c r="G843" s="154">
        <v>12</v>
      </c>
      <c r="H843" s="154">
        <v>0</v>
      </c>
      <c r="I843" s="154">
        <v>0</v>
      </c>
      <c r="J843" s="154">
        <v>0</v>
      </c>
      <c r="K843" s="154">
        <v>0.39400000000000002</v>
      </c>
      <c r="L843" s="154">
        <v>0.45300000000000001</v>
      </c>
      <c r="M843" s="154">
        <v>0.51400000000000001</v>
      </c>
      <c r="N843" s="154">
        <v>0.57299999999999995</v>
      </c>
      <c r="O843" s="108">
        <f t="shared" si="65"/>
        <v>0.14974619289340096</v>
      </c>
      <c r="P843" s="108">
        <f t="shared" si="66"/>
        <v>0.13465783664459163</v>
      </c>
      <c r="Q843" s="108">
        <f t="shared" si="67"/>
        <v>0.11478599221789865</v>
      </c>
      <c r="S843" s="109">
        <f t="shared" si="68"/>
        <v>0.45431472081218249</v>
      </c>
      <c r="T843" s="109">
        <f t="shared" si="69"/>
        <v>0.26490066225165543</v>
      </c>
    </row>
    <row r="844" spans="1:20">
      <c r="A844" s="154">
        <v>64</v>
      </c>
      <c r="B844" s="156">
        <v>601601</v>
      </c>
      <c r="C844" s="133" t="s">
        <v>3115</v>
      </c>
      <c r="D844" s="155" t="s">
        <v>2324</v>
      </c>
      <c r="E844" s="154">
        <v>35</v>
      </c>
      <c r="F844" s="154">
        <v>23</v>
      </c>
      <c r="G844" s="154">
        <v>12</v>
      </c>
      <c r="H844" s="154">
        <v>0</v>
      </c>
      <c r="I844" s="154">
        <v>0</v>
      </c>
      <c r="J844" s="154">
        <v>0</v>
      </c>
      <c r="K844" s="154">
        <v>1.988</v>
      </c>
      <c r="L844" s="154">
        <v>3.1819999999999999</v>
      </c>
      <c r="M844" s="154">
        <v>3.4009999999999998</v>
      </c>
      <c r="N844" s="154">
        <v>4.0220000000000002</v>
      </c>
      <c r="O844" s="108">
        <f t="shared" si="65"/>
        <v>0.60060362173038229</v>
      </c>
      <c r="P844" s="108">
        <f t="shared" si="66"/>
        <v>6.8824638592080323E-2</v>
      </c>
      <c r="Q844" s="108">
        <f t="shared" si="67"/>
        <v>0.18259335489561912</v>
      </c>
      <c r="S844" s="109">
        <f t="shared" si="68"/>
        <v>1.0231388329979882</v>
      </c>
      <c r="T844" s="109">
        <f t="shared" si="69"/>
        <v>0.26398491514770606</v>
      </c>
    </row>
    <row r="845" spans="1:20">
      <c r="A845" s="154">
        <v>437</v>
      </c>
      <c r="B845" s="156">
        <v>600546</v>
      </c>
      <c r="C845" s="133" t="s">
        <v>3116</v>
      </c>
      <c r="D845" s="155" t="s">
        <v>2324</v>
      </c>
      <c r="E845" s="154">
        <v>12</v>
      </c>
      <c r="F845" s="154">
        <v>10</v>
      </c>
      <c r="G845" s="154">
        <v>2</v>
      </c>
      <c r="H845" s="154">
        <v>0</v>
      </c>
      <c r="I845" s="154">
        <v>0</v>
      </c>
      <c r="J845" s="154">
        <v>0</v>
      </c>
      <c r="K845" s="154">
        <v>0.111</v>
      </c>
      <c r="L845" s="154">
        <v>0.51400000000000001</v>
      </c>
      <c r="M845" s="154">
        <v>0.59399999999999997</v>
      </c>
      <c r="N845" s="154">
        <v>0.64900000000000002</v>
      </c>
      <c r="O845" s="108">
        <f t="shared" si="65"/>
        <v>3.6306306306306304</v>
      </c>
      <c r="P845" s="108">
        <f t="shared" si="66"/>
        <v>0.15564202334630339</v>
      </c>
      <c r="Q845" s="108">
        <f t="shared" si="67"/>
        <v>9.2592592592592782E-2</v>
      </c>
      <c r="S845" s="109">
        <f t="shared" si="68"/>
        <v>4.8468468468468471</v>
      </c>
      <c r="T845" s="109">
        <f t="shared" si="69"/>
        <v>0.26264591439688711</v>
      </c>
    </row>
    <row r="846" spans="1:20">
      <c r="A846" s="154">
        <v>434</v>
      </c>
      <c r="B846" s="156">
        <v>601818</v>
      </c>
      <c r="C846" s="133" t="s">
        <v>3117</v>
      </c>
      <c r="D846" s="155" t="s">
        <v>2324</v>
      </c>
      <c r="E846" s="154">
        <v>12</v>
      </c>
      <c r="F846" s="154">
        <v>8</v>
      </c>
      <c r="G846" s="154">
        <v>4</v>
      </c>
      <c r="H846" s="154">
        <v>0</v>
      </c>
      <c r="I846" s="154">
        <v>0</v>
      </c>
      <c r="J846" s="154">
        <v>0</v>
      </c>
      <c r="K846" s="154">
        <v>0.64100000000000001</v>
      </c>
      <c r="L846" s="154">
        <v>0.70499999999999996</v>
      </c>
      <c r="M846" s="154">
        <v>0.78500000000000003</v>
      </c>
      <c r="N846" s="154">
        <v>0.89</v>
      </c>
      <c r="O846" s="108">
        <f t="shared" si="65"/>
        <v>9.9843993759750393E-2</v>
      </c>
      <c r="P846" s="108">
        <f t="shared" si="66"/>
        <v>0.1134751773049647</v>
      </c>
      <c r="Q846" s="108">
        <f t="shared" si="67"/>
        <v>0.13375796178343946</v>
      </c>
      <c r="S846" s="109">
        <f t="shared" si="68"/>
        <v>0.3884555382215289</v>
      </c>
      <c r="T846" s="109">
        <f t="shared" si="69"/>
        <v>0.26241134751773054</v>
      </c>
    </row>
    <row r="847" spans="1:20">
      <c r="A847" s="154">
        <v>519</v>
      </c>
      <c r="B847" s="156">
        <v>603898</v>
      </c>
      <c r="C847" s="133" t="s">
        <v>1387</v>
      </c>
      <c r="D847" s="155" t="s">
        <v>2324</v>
      </c>
      <c r="E847" s="154">
        <v>9</v>
      </c>
      <c r="F847" s="154">
        <v>5</v>
      </c>
      <c r="G847" s="154">
        <v>4</v>
      </c>
      <c r="H847" s="154">
        <v>0</v>
      </c>
      <c r="I847" s="154">
        <v>0</v>
      </c>
      <c r="J847" s="154">
        <v>0</v>
      </c>
      <c r="K847" s="154">
        <v>1.2350000000000001</v>
      </c>
      <c r="L847" s="154">
        <v>1.2609999999999999</v>
      </c>
      <c r="M847" s="154">
        <v>1.4059999999999999</v>
      </c>
      <c r="N847" s="154">
        <v>1.591</v>
      </c>
      <c r="O847" s="108">
        <f t="shared" si="65"/>
        <v>2.1052631578947212E-2</v>
      </c>
      <c r="P847" s="108">
        <f t="shared" si="66"/>
        <v>0.11498810467882636</v>
      </c>
      <c r="Q847" s="108">
        <f t="shared" si="67"/>
        <v>0.13157894736842102</v>
      </c>
      <c r="S847" s="109">
        <f t="shared" si="68"/>
        <v>0.28825910931174081</v>
      </c>
      <c r="T847" s="109">
        <f t="shared" si="69"/>
        <v>0.26169706582077734</v>
      </c>
    </row>
    <row r="848" spans="1:20">
      <c r="A848" s="154">
        <v>421</v>
      </c>
      <c r="B848" s="156">
        <v>601607</v>
      </c>
      <c r="C848" s="133" t="s">
        <v>3118</v>
      </c>
      <c r="D848" s="155" t="s">
        <v>2324</v>
      </c>
      <c r="E848" s="154">
        <v>12</v>
      </c>
      <c r="F848" s="154">
        <v>6</v>
      </c>
      <c r="G848" s="154">
        <v>6</v>
      </c>
      <c r="H848" s="154">
        <v>0</v>
      </c>
      <c r="I848" s="154">
        <v>0</v>
      </c>
      <c r="J848" s="154">
        <v>0</v>
      </c>
      <c r="K848" s="154">
        <v>1.3660000000000001</v>
      </c>
      <c r="L848" s="154">
        <v>1.5309999999999999</v>
      </c>
      <c r="M848" s="154">
        <v>1.718</v>
      </c>
      <c r="N848" s="154">
        <v>1.929</v>
      </c>
      <c r="O848" s="108">
        <f t="shared" si="65"/>
        <v>0.12079062957540243</v>
      </c>
      <c r="P848" s="108">
        <f t="shared" si="66"/>
        <v>0.12214239059438281</v>
      </c>
      <c r="Q848" s="108">
        <f t="shared" si="67"/>
        <v>0.12281722933643779</v>
      </c>
      <c r="S848" s="109">
        <f t="shared" si="68"/>
        <v>0.41215226939970706</v>
      </c>
      <c r="T848" s="109">
        <f t="shared" si="69"/>
        <v>0.25996080992815163</v>
      </c>
    </row>
    <row r="849" spans="1:20">
      <c r="A849" s="154">
        <v>862</v>
      </c>
      <c r="B849" s="156">
        <v>738</v>
      </c>
      <c r="C849" s="133" t="s">
        <v>3119</v>
      </c>
      <c r="D849" s="155" t="s">
        <v>2324</v>
      </c>
      <c r="E849" s="154">
        <v>4</v>
      </c>
      <c r="F849" s="154">
        <v>2</v>
      </c>
      <c r="G849" s="154">
        <v>2</v>
      </c>
      <c r="H849" s="154">
        <v>0</v>
      </c>
      <c r="I849" s="154">
        <v>0</v>
      </c>
      <c r="J849" s="154">
        <v>0</v>
      </c>
      <c r="K849" s="154">
        <v>0.22600000000000001</v>
      </c>
      <c r="L849" s="154">
        <v>0.25800000000000001</v>
      </c>
      <c r="M849" s="154">
        <v>0.28499999999999998</v>
      </c>
      <c r="N849" s="154">
        <v>0.32500000000000001</v>
      </c>
      <c r="O849" s="108">
        <f t="shared" si="65"/>
        <v>0.1415929203539823</v>
      </c>
      <c r="P849" s="108">
        <f t="shared" si="66"/>
        <v>0.10465116279069764</v>
      </c>
      <c r="Q849" s="108">
        <f t="shared" si="67"/>
        <v>0.14035087719298267</v>
      </c>
      <c r="S849" s="109">
        <f t="shared" si="68"/>
        <v>0.43805309734513265</v>
      </c>
      <c r="T849" s="109">
        <f t="shared" si="69"/>
        <v>0.25968992248062017</v>
      </c>
    </row>
    <row r="850" spans="1:20">
      <c r="A850" s="154">
        <v>366</v>
      </c>
      <c r="B850" s="156">
        <v>601390</v>
      </c>
      <c r="C850" s="133" t="s">
        <v>3120</v>
      </c>
      <c r="D850" s="155" t="s">
        <v>2324</v>
      </c>
      <c r="E850" s="154">
        <v>14</v>
      </c>
      <c r="F850" s="154">
        <v>9</v>
      </c>
      <c r="G850" s="154">
        <v>5</v>
      </c>
      <c r="H850" s="154">
        <v>0</v>
      </c>
      <c r="I850" s="154">
        <v>0</v>
      </c>
      <c r="J850" s="154">
        <v>0</v>
      </c>
      <c r="K850" s="154">
        <v>0.7</v>
      </c>
      <c r="L850" s="154">
        <v>0.80300000000000005</v>
      </c>
      <c r="M850" s="154">
        <v>0.90400000000000003</v>
      </c>
      <c r="N850" s="154">
        <v>1.0109999999999999</v>
      </c>
      <c r="O850" s="108">
        <f t="shared" si="65"/>
        <v>0.14714285714285724</v>
      </c>
      <c r="P850" s="108">
        <f t="shared" si="66"/>
        <v>0.12577833125778337</v>
      </c>
      <c r="Q850" s="108">
        <f t="shared" si="67"/>
        <v>0.1183628318584069</v>
      </c>
      <c r="S850" s="109">
        <f t="shared" si="68"/>
        <v>0.44428571428571417</v>
      </c>
      <c r="T850" s="109">
        <f t="shared" si="69"/>
        <v>0.25902864259028613</v>
      </c>
    </row>
    <row r="851" spans="1:20">
      <c r="A851" s="154">
        <v>80</v>
      </c>
      <c r="B851" s="156">
        <v>2572</v>
      </c>
      <c r="C851" s="133" t="s">
        <v>3121</v>
      </c>
      <c r="D851" s="155" t="s">
        <v>2324</v>
      </c>
      <c r="E851" s="154">
        <v>33</v>
      </c>
      <c r="F851" s="154">
        <v>25</v>
      </c>
      <c r="G851" s="154">
        <v>8</v>
      </c>
      <c r="H851" s="154">
        <v>0</v>
      </c>
      <c r="I851" s="154">
        <v>0</v>
      </c>
      <c r="J851" s="154">
        <v>0</v>
      </c>
      <c r="K851" s="154">
        <v>1.0509999999999999</v>
      </c>
      <c r="L851" s="154">
        <v>1.1299999999999999</v>
      </c>
      <c r="M851" s="154">
        <v>1.264</v>
      </c>
      <c r="N851" s="154">
        <v>1.4219999999999999</v>
      </c>
      <c r="O851" s="108">
        <f t="shared" si="65"/>
        <v>7.5166508087535666E-2</v>
      </c>
      <c r="P851" s="108">
        <f t="shared" si="66"/>
        <v>0.11858407079646027</v>
      </c>
      <c r="Q851" s="108">
        <f t="shared" si="67"/>
        <v>0.125</v>
      </c>
      <c r="S851" s="109">
        <f t="shared" si="68"/>
        <v>0.35299714557564221</v>
      </c>
      <c r="T851" s="109">
        <f t="shared" si="69"/>
        <v>0.25840707964601783</v>
      </c>
    </row>
    <row r="852" spans="1:20">
      <c r="A852" s="154">
        <v>819</v>
      </c>
      <c r="B852" s="156">
        <v>601900</v>
      </c>
      <c r="C852" s="133" t="s">
        <v>3122</v>
      </c>
      <c r="D852" s="155" t="s">
        <v>2324</v>
      </c>
      <c r="E852" s="154">
        <v>5</v>
      </c>
      <c r="F852" s="154">
        <v>4</v>
      </c>
      <c r="G852" s="154">
        <v>1</v>
      </c>
      <c r="H852" s="154">
        <v>0</v>
      </c>
      <c r="I852" s="154">
        <v>0</v>
      </c>
      <c r="J852" s="154">
        <v>0</v>
      </c>
      <c r="K852" s="154">
        <v>0.73199999999999998</v>
      </c>
      <c r="L852" s="154">
        <v>0.84799999999999998</v>
      </c>
      <c r="M852" s="154">
        <v>0.94399999999999995</v>
      </c>
      <c r="N852" s="154">
        <v>1.0660000000000001</v>
      </c>
      <c r="O852" s="108">
        <f t="shared" si="65"/>
        <v>0.15846994535519121</v>
      </c>
      <c r="P852" s="108">
        <f t="shared" si="66"/>
        <v>0.1132075471698113</v>
      </c>
      <c r="Q852" s="108">
        <f t="shared" si="67"/>
        <v>0.12923728813559343</v>
      </c>
      <c r="S852" s="109">
        <f t="shared" si="68"/>
        <v>0.45628415300546465</v>
      </c>
      <c r="T852" s="109">
        <f t="shared" si="69"/>
        <v>0.2570754716981134</v>
      </c>
    </row>
    <row r="853" spans="1:20">
      <c r="A853" s="154">
        <v>866</v>
      </c>
      <c r="B853" s="156">
        <v>528</v>
      </c>
      <c r="C853" s="133" t="s">
        <v>3123</v>
      </c>
      <c r="D853" s="155" t="s">
        <v>2324</v>
      </c>
      <c r="E853" s="154">
        <v>4</v>
      </c>
      <c r="F853" s="154">
        <v>2</v>
      </c>
      <c r="G853" s="154">
        <v>2</v>
      </c>
      <c r="H853" s="154">
        <v>0</v>
      </c>
      <c r="I853" s="154">
        <v>0</v>
      </c>
      <c r="J853" s="154">
        <v>0</v>
      </c>
      <c r="K853" s="154">
        <v>0.53500000000000003</v>
      </c>
      <c r="L853" s="154">
        <v>0.69</v>
      </c>
      <c r="M853" s="154">
        <v>0.78200000000000003</v>
      </c>
      <c r="N853" s="154">
        <v>0.86699999999999999</v>
      </c>
      <c r="O853" s="108">
        <f t="shared" si="65"/>
        <v>0.28971962616822422</v>
      </c>
      <c r="P853" s="108">
        <f t="shared" si="66"/>
        <v>0.13333333333333353</v>
      </c>
      <c r="Q853" s="108">
        <f t="shared" si="67"/>
        <v>0.10869565217391308</v>
      </c>
      <c r="S853" s="109">
        <f t="shared" si="68"/>
        <v>0.62056074766355129</v>
      </c>
      <c r="T853" s="109">
        <f t="shared" si="69"/>
        <v>0.25652173913043486</v>
      </c>
    </row>
    <row r="854" spans="1:20">
      <c r="A854" s="154">
        <v>895</v>
      </c>
      <c r="B854" s="156">
        <v>601658</v>
      </c>
      <c r="C854" s="133" t="s">
        <v>3124</v>
      </c>
      <c r="D854" s="155" t="s">
        <v>2324</v>
      </c>
      <c r="E854" s="154">
        <v>4</v>
      </c>
      <c r="F854" s="154">
        <v>2</v>
      </c>
      <c r="G854" s="154">
        <v>2</v>
      </c>
      <c r="H854" s="154">
        <v>0</v>
      </c>
      <c r="I854" s="154">
        <v>0</v>
      </c>
      <c r="J854" s="154">
        <v>0</v>
      </c>
      <c r="K854" s="154">
        <v>0.60099999999999998</v>
      </c>
      <c r="L854" s="154">
        <v>0.69199999999999995</v>
      </c>
      <c r="M854" s="154">
        <v>0.77200000000000002</v>
      </c>
      <c r="N854" s="154">
        <v>0.86899999999999999</v>
      </c>
      <c r="O854" s="108">
        <f t="shared" si="65"/>
        <v>0.15141430948419288</v>
      </c>
      <c r="P854" s="108">
        <f t="shared" si="66"/>
        <v>0.11560693641618514</v>
      </c>
      <c r="Q854" s="108">
        <f t="shared" si="67"/>
        <v>0.12564766839378239</v>
      </c>
      <c r="S854" s="109">
        <f t="shared" si="68"/>
        <v>0.44592346089850254</v>
      </c>
      <c r="T854" s="109">
        <f t="shared" si="69"/>
        <v>0.2557803468208093</v>
      </c>
    </row>
    <row r="855" spans="1:20">
      <c r="A855" s="154">
        <v>621</v>
      </c>
      <c r="B855" s="156">
        <v>600000</v>
      </c>
      <c r="C855" s="133" t="s">
        <v>3125</v>
      </c>
      <c r="D855" s="155" t="s">
        <v>2324</v>
      </c>
      <c r="E855" s="154">
        <v>8</v>
      </c>
      <c r="F855" s="154">
        <v>2</v>
      </c>
      <c r="G855" s="154">
        <v>6</v>
      </c>
      <c r="H855" s="154">
        <v>0</v>
      </c>
      <c r="I855" s="154">
        <v>0</v>
      </c>
      <c r="J855" s="154">
        <v>0</v>
      </c>
      <c r="K855" s="154">
        <v>1.905</v>
      </c>
      <c r="L855" s="154">
        <v>2.0649999999999999</v>
      </c>
      <c r="M855" s="154">
        <v>2.2639999999999998</v>
      </c>
      <c r="N855" s="154">
        <v>2.5910000000000002</v>
      </c>
      <c r="O855" s="108">
        <f t="shared" si="65"/>
        <v>8.3989501312335957E-2</v>
      </c>
      <c r="P855" s="108">
        <f t="shared" si="66"/>
        <v>9.6368038740920037E-2</v>
      </c>
      <c r="Q855" s="108">
        <f t="shared" si="67"/>
        <v>0.14443462897526516</v>
      </c>
      <c r="S855" s="109">
        <f t="shared" si="68"/>
        <v>0.36010498687664061</v>
      </c>
      <c r="T855" s="109">
        <f t="shared" si="69"/>
        <v>0.25472154963680405</v>
      </c>
    </row>
    <row r="856" spans="1:20">
      <c r="A856" s="154">
        <v>533</v>
      </c>
      <c r="B856" s="156">
        <v>2327</v>
      </c>
      <c r="C856" s="133" t="s">
        <v>3126</v>
      </c>
      <c r="D856" s="155" t="s">
        <v>2324</v>
      </c>
      <c r="E856" s="154">
        <v>9</v>
      </c>
      <c r="F856" s="154">
        <v>3</v>
      </c>
      <c r="G856" s="154">
        <v>6</v>
      </c>
      <c r="H856" s="154">
        <v>0</v>
      </c>
      <c r="I856" s="154">
        <v>0</v>
      </c>
      <c r="J856" s="154">
        <v>0</v>
      </c>
      <c r="K856" s="154">
        <v>0.63900000000000001</v>
      </c>
      <c r="L856" s="154">
        <v>0.58599999999999997</v>
      </c>
      <c r="M856" s="154">
        <v>0.65200000000000002</v>
      </c>
      <c r="N856" s="154">
        <v>0.73499999999999999</v>
      </c>
      <c r="O856" s="108">
        <f t="shared" si="65"/>
        <v>-8.2942097026604156E-2</v>
      </c>
      <c r="P856" s="108">
        <f t="shared" si="66"/>
        <v>0.11262798634812299</v>
      </c>
      <c r="Q856" s="108">
        <f t="shared" si="67"/>
        <v>0.12730061349693256</v>
      </c>
      <c r="S856" s="109">
        <f t="shared" si="68"/>
        <v>0.15023474178403751</v>
      </c>
      <c r="T856" s="109">
        <f t="shared" si="69"/>
        <v>0.25426621160409568</v>
      </c>
    </row>
    <row r="857" spans="1:20">
      <c r="A857" s="154">
        <v>630</v>
      </c>
      <c r="B857" s="156">
        <v>601377</v>
      </c>
      <c r="C857" s="133" t="s">
        <v>3127</v>
      </c>
      <c r="D857" s="155" t="s">
        <v>2324</v>
      </c>
      <c r="E857" s="154">
        <v>7</v>
      </c>
      <c r="F857" s="154">
        <v>1</v>
      </c>
      <c r="G857" s="154">
        <v>5</v>
      </c>
      <c r="H857" s="154">
        <v>1</v>
      </c>
      <c r="I857" s="154">
        <v>0</v>
      </c>
      <c r="J857" s="154">
        <v>0</v>
      </c>
      <c r="K857" s="154">
        <v>0.02</v>
      </c>
      <c r="L857" s="154">
        <v>0.311</v>
      </c>
      <c r="M857" s="154">
        <v>0.33600000000000002</v>
      </c>
      <c r="N857" s="154">
        <v>0.39</v>
      </c>
      <c r="O857" s="108">
        <f t="shared" si="65"/>
        <v>14.549999999999999</v>
      </c>
      <c r="P857" s="108">
        <f t="shared" si="66"/>
        <v>8.0385852090032239E-2</v>
      </c>
      <c r="Q857" s="108">
        <f t="shared" si="67"/>
        <v>0.16071428571428559</v>
      </c>
      <c r="S857" s="109">
        <f t="shared" si="68"/>
        <v>18.5</v>
      </c>
      <c r="T857" s="109">
        <f t="shared" si="69"/>
        <v>0.25401929260450173</v>
      </c>
    </row>
    <row r="858" spans="1:20">
      <c r="A858" s="154">
        <v>923</v>
      </c>
      <c r="B858" s="156">
        <v>300552</v>
      </c>
      <c r="C858" s="133" t="s">
        <v>3128</v>
      </c>
      <c r="D858" s="155" t="s">
        <v>2324</v>
      </c>
      <c r="E858" s="154">
        <v>4</v>
      </c>
      <c r="F858" s="154">
        <v>4</v>
      </c>
      <c r="G858" s="154">
        <v>0</v>
      </c>
      <c r="H858" s="154">
        <v>0</v>
      </c>
      <c r="I858" s="154">
        <v>0</v>
      </c>
      <c r="J858" s="154">
        <v>0</v>
      </c>
      <c r="K858" s="154">
        <v>0.06</v>
      </c>
      <c r="L858" s="154">
        <v>3.4590000000000001</v>
      </c>
      <c r="M858" s="154">
        <v>4.2320000000000002</v>
      </c>
      <c r="N858" s="154">
        <v>4.335</v>
      </c>
      <c r="O858" s="108">
        <f t="shared" si="65"/>
        <v>56.650000000000006</v>
      </c>
      <c r="P858" s="108">
        <f t="shared" si="66"/>
        <v>0.22347499277247773</v>
      </c>
      <c r="Q858" s="108">
        <f t="shared" si="67"/>
        <v>2.4338374291115183E-2</v>
      </c>
      <c r="S858" s="109">
        <f t="shared" si="68"/>
        <v>71.25</v>
      </c>
      <c r="T858" s="109">
        <f t="shared" si="69"/>
        <v>0.25325238508239378</v>
      </c>
    </row>
    <row r="859" spans="1:20">
      <c r="A859" s="154">
        <v>20</v>
      </c>
      <c r="B859" s="156">
        <v>600887</v>
      </c>
      <c r="C859" s="133" t="s">
        <v>3129</v>
      </c>
      <c r="D859" s="155" t="s">
        <v>2324</v>
      </c>
      <c r="E859" s="154">
        <v>51</v>
      </c>
      <c r="F859" s="154">
        <v>42</v>
      </c>
      <c r="G859" s="154">
        <v>9</v>
      </c>
      <c r="H859" s="154">
        <v>0</v>
      </c>
      <c r="I859" s="154">
        <v>0</v>
      </c>
      <c r="J859" s="154">
        <v>0</v>
      </c>
      <c r="K859" s="154">
        <v>1.056</v>
      </c>
      <c r="L859" s="154">
        <v>1.1579999999999999</v>
      </c>
      <c r="M859" s="154">
        <v>1.258</v>
      </c>
      <c r="N859" s="154">
        <v>1.4510000000000001</v>
      </c>
      <c r="O859" s="108">
        <f t="shared" si="65"/>
        <v>9.659090909090895E-2</v>
      </c>
      <c r="P859" s="108">
        <f t="shared" si="66"/>
        <v>8.6355785837651133E-2</v>
      </c>
      <c r="Q859" s="108">
        <f t="shared" si="67"/>
        <v>0.15341812400635946</v>
      </c>
      <c r="S859" s="109">
        <f t="shared" si="68"/>
        <v>0.37405303030303028</v>
      </c>
      <c r="T859" s="109">
        <f t="shared" si="69"/>
        <v>0.25302245250431787</v>
      </c>
    </row>
    <row r="860" spans="1:20">
      <c r="A860" s="154">
        <v>163</v>
      </c>
      <c r="B860" s="156">
        <v>600009</v>
      </c>
      <c r="C860" s="133" t="s">
        <v>3130</v>
      </c>
      <c r="D860" s="155" t="s">
        <v>2324</v>
      </c>
      <c r="E860" s="154">
        <v>25</v>
      </c>
      <c r="F860" s="154">
        <v>9</v>
      </c>
      <c r="G860" s="154">
        <v>16</v>
      </c>
      <c r="H860" s="154">
        <v>0</v>
      </c>
      <c r="I860" s="154">
        <v>0</v>
      </c>
      <c r="J860" s="154">
        <v>0</v>
      </c>
      <c r="K860" s="154">
        <v>2.1960000000000002</v>
      </c>
      <c r="L860" s="154">
        <v>2.7050000000000001</v>
      </c>
      <c r="M860" s="154">
        <v>2.9239999999999999</v>
      </c>
      <c r="N860" s="154">
        <v>3.3849999999999998</v>
      </c>
      <c r="O860" s="108">
        <f t="shared" si="65"/>
        <v>0.2317850637522767</v>
      </c>
      <c r="P860" s="108">
        <f t="shared" si="66"/>
        <v>8.0961182994454761E-2</v>
      </c>
      <c r="Q860" s="108">
        <f t="shared" si="67"/>
        <v>0.15766073871409025</v>
      </c>
      <c r="S860" s="109">
        <f t="shared" si="68"/>
        <v>0.54143897996356993</v>
      </c>
      <c r="T860" s="109">
        <f t="shared" si="69"/>
        <v>0.25138632162661723</v>
      </c>
    </row>
    <row r="861" spans="1:20">
      <c r="A861" s="154">
        <v>439</v>
      </c>
      <c r="B861" s="156">
        <v>921</v>
      </c>
      <c r="C861" s="133" t="s">
        <v>3131</v>
      </c>
      <c r="D861" s="155" t="s">
        <v>2324</v>
      </c>
      <c r="E861" s="154">
        <v>12</v>
      </c>
      <c r="F861" s="154">
        <v>4</v>
      </c>
      <c r="G861" s="154">
        <v>8</v>
      </c>
      <c r="H861" s="154">
        <v>0</v>
      </c>
      <c r="I861" s="154">
        <v>0</v>
      </c>
      <c r="J861" s="154">
        <v>0</v>
      </c>
      <c r="K861" s="154">
        <v>1.0109999999999999</v>
      </c>
      <c r="L861" s="154">
        <v>1.1719999999999999</v>
      </c>
      <c r="M861" s="154">
        <v>1.3340000000000001</v>
      </c>
      <c r="N861" s="154">
        <v>1.466</v>
      </c>
      <c r="O861" s="108">
        <f t="shared" si="65"/>
        <v>0.15924826904055389</v>
      </c>
      <c r="P861" s="108">
        <f t="shared" si="66"/>
        <v>0.13822525597269641</v>
      </c>
      <c r="Q861" s="108">
        <f t="shared" si="67"/>
        <v>9.8950524737630996E-2</v>
      </c>
      <c r="S861" s="109">
        <f t="shared" si="68"/>
        <v>0.45004945598417412</v>
      </c>
      <c r="T861" s="109">
        <f t="shared" si="69"/>
        <v>0.25085324232081918</v>
      </c>
    </row>
    <row r="862" spans="1:20">
      <c r="A862" s="154">
        <v>988</v>
      </c>
      <c r="B862" s="156">
        <v>2023</v>
      </c>
      <c r="C862" s="133" t="s">
        <v>3132</v>
      </c>
      <c r="D862" s="155" t="s">
        <v>2324</v>
      </c>
      <c r="E862" s="154">
        <v>3</v>
      </c>
      <c r="F862" s="154">
        <v>2</v>
      </c>
      <c r="G862" s="154">
        <v>1</v>
      </c>
      <c r="H862" s="154">
        <v>0</v>
      </c>
      <c r="I862" s="154">
        <v>0</v>
      </c>
      <c r="J862" s="154">
        <v>0</v>
      </c>
      <c r="K862" s="154">
        <v>8.5000000000000006E-2</v>
      </c>
      <c r="L862" s="154">
        <v>0.104</v>
      </c>
      <c r="M862" s="154">
        <v>0.12</v>
      </c>
      <c r="N862" s="154">
        <v>0.13</v>
      </c>
      <c r="O862" s="108">
        <f t="shared" si="65"/>
        <v>0.22352941176470575</v>
      </c>
      <c r="P862" s="108">
        <f t="shared" si="66"/>
        <v>0.15384615384615397</v>
      </c>
      <c r="Q862" s="108">
        <f t="shared" si="67"/>
        <v>8.3333333333333481E-2</v>
      </c>
      <c r="S862" s="109">
        <f t="shared" si="68"/>
        <v>0.52941176470588225</v>
      </c>
      <c r="T862" s="109">
        <f t="shared" si="69"/>
        <v>0.25</v>
      </c>
    </row>
    <row r="863" spans="1:20">
      <c r="A863" s="154">
        <v>536</v>
      </c>
      <c r="B863" s="156">
        <v>2233</v>
      </c>
      <c r="C863" s="133" t="s">
        <v>3133</v>
      </c>
      <c r="D863" s="155" t="s">
        <v>2324</v>
      </c>
      <c r="E863" s="154">
        <v>9</v>
      </c>
      <c r="F863" s="154">
        <v>3</v>
      </c>
      <c r="G863" s="154">
        <v>6</v>
      </c>
      <c r="H863" s="154">
        <v>0</v>
      </c>
      <c r="I863" s="154">
        <v>0</v>
      </c>
      <c r="J863" s="154">
        <v>0</v>
      </c>
      <c r="K863" s="154">
        <v>1.4450000000000001</v>
      </c>
      <c r="L863" s="154">
        <v>1.319</v>
      </c>
      <c r="M863" s="154">
        <v>1.522</v>
      </c>
      <c r="N863" s="154">
        <v>1.6479999999999999</v>
      </c>
      <c r="O863" s="108">
        <f t="shared" si="65"/>
        <v>-8.7197231833910149E-2</v>
      </c>
      <c r="P863" s="108">
        <f t="shared" si="66"/>
        <v>0.15390447308567112</v>
      </c>
      <c r="Q863" s="108">
        <f t="shared" si="67"/>
        <v>8.2785808147174622E-2</v>
      </c>
      <c r="S863" s="109">
        <f t="shared" si="68"/>
        <v>0.14048442906574388</v>
      </c>
      <c r="T863" s="109">
        <f t="shared" si="69"/>
        <v>0.24943138741470805</v>
      </c>
    </row>
    <row r="864" spans="1:20">
      <c r="A864" s="154">
        <v>876</v>
      </c>
      <c r="B864" s="156">
        <v>2015</v>
      </c>
      <c r="C864" s="133" t="s">
        <v>3134</v>
      </c>
      <c r="D864" s="155" t="s">
        <v>2324</v>
      </c>
      <c r="E864" s="154">
        <v>4</v>
      </c>
      <c r="F864" s="154">
        <v>0</v>
      </c>
      <c r="G864" s="154">
        <v>4</v>
      </c>
      <c r="H864" s="154">
        <v>0</v>
      </c>
      <c r="I864" s="154">
        <v>0</v>
      </c>
      <c r="J864" s="154">
        <v>0</v>
      </c>
      <c r="K864" s="154">
        <v>4.0000000000000001E-3</v>
      </c>
      <c r="L864" s="154">
        <v>0.377</v>
      </c>
      <c r="M864" s="154">
        <v>0.43</v>
      </c>
      <c r="N864" s="154">
        <v>0.47099999999999997</v>
      </c>
      <c r="O864" s="108">
        <f t="shared" si="65"/>
        <v>93.25</v>
      </c>
      <c r="P864" s="108">
        <f t="shared" si="66"/>
        <v>0.14058355437665782</v>
      </c>
      <c r="Q864" s="108">
        <f t="shared" si="67"/>
        <v>9.5348837209302317E-2</v>
      </c>
      <c r="S864" s="109">
        <f t="shared" si="68"/>
        <v>116.74999999999999</v>
      </c>
      <c r="T864" s="109">
        <f t="shared" si="69"/>
        <v>0.24933687002652505</v>
      </c>
    </row>
    <row r="865" spans="1:20">
      <c r="A865" s="154">
        <v>849</v>
      </c>
      <c r="B865" s="156">
        <v>2399</v>
      </c>
      <c r="C865" s="133" t="s">
        <v>3135</v>
      </c>
      <c r="D865" s="155" t="s">
        <v>2324</v>
      </c>
      <c r="E865" s="154">
        <v>5</v>
      </c>
      <c r="F865" s="154">
        <v>3</v>
      </c>
      <c r="G865" s="154">
        <v>2</v>
      </c>
      <c r="H865" s="154">
        <v>0</v>
      </c>
      <c r="I865" s="154">
        <v>0</v>
      </c>
      <c r="J865" s="154">
        <v>0</v>
      </c>
      <c r="K865" s="154">
        <v>0.49399999999999999</v>
      </c>
      <c r="L865" s="154">
        <v>0.75</v>
      </c>
      <c r="M865" s="154">
        <v>0.79400000000000004</v>
      </c>
      <c r="N865" s="154">
        <v>0.93700000000000006</v>
      </c>
      <c r="O865" s="108">
        <f t="shared" si="65"/>
        <v>0.51821862348178138</v>
      </c>
      <c r="P865" s="108">
        <f t="shared" si="66"/>
        <v>5.8666666666666645E-2</v>
      </c>
      <c r="Q865" s="108">
        <f t="shared" si="67"/>
        <v>0.18010075566750627</v>
      </c>
      <c r="S865" s="109">
        <f t="shared" si="68"/>
        <v>0.89676113360323906</v>
      </c>
      <c r="T865" s="109">
        <f t="shared" si="69"/>
        <v>0.24933333333333341</v>
      </c>
    </row>
    <row r="866" spans="1:20">
      <c r="A866" s="154">
        <v>853</v>
      </c>
      <c r="B866" s="156">
        <v>2399</v>
      </c>
      <c r="C866" s="133" t="s">
        <v>3135</v>
      </c>
      <c r="D866" s="155" t="s">
        <v>2324</v>
      </c>
      <c r="E866" s="154">
        <v>5</v>
      </c>
      <c r="F866" s="154">
        <v>3</v>
      </c>
      <c r="G866" s="154">
        <v>2</v>
      </c>
      <c r="H866" s="154">
        <v>0</v>
      </c>
      <c r="I866" s="154">
        <v>0</v>
      </c>
      <c r="J866" s="154">
        <v>0</v>
      </c>
      <c r="K866" s="154">
        <v>0.49399999999999999</v>
      </c>
      <c r="L866" s="154">
        <v>0.75</v>
      </c>
      <c r="M866" s="154">
        <v>0.79400000000000004</v>
      </c>
      <c r="N866" s="154">
        <v>0.93700000000000006</v>
      </c>
      <c r="O866" s="108">
        <f t="shared" si="65"/>
        <v>0.51821862348178138</v>
      </c>
      <c r="P866" s="108">
        <f t="shared" si="66"/>
        <v>5.8666666666666645E-2</v>
      </c>
      <c r="Q866" s="108">
        <f t="shared" si="67"/>
        <v>0.18010075566750627</v>
      </c>
      <c r="S866" s="109">
        <f t="shared" si="68"/>
        <v>0.89676113360323906</v>
      </c>
      <c r="T866" s="109">
        <f t="shared" si="69"/>
        <v>0.24933333333333341</v>
      </c>
    </row>
    <row r="867" spans="1:20">
      <c r="A867" s="154">
        <v>875</v>
      </c>
      <c r="B867" s="156">
        <v>600116</v>
      </c>
      <c r="C867" s="133" t="s">
        <v>3136</v>
      </c>
      <c r="D867" s="155" t="s">
        <v>2324</v>
      </c>
      <c r="E867" s="154">
        <v>4</v>
      </c>
      <c r="F867" s="154">
        <v>1</v>
      </c>
      <c r="G867" s="154">
        <v>3</v>
      </c>
      <c r="H867" s="154">
        <v>0</v>
      </c>
      <c r="I867" s="154">
        <v>0</v>
      </c>
      <c r="J867" s="154">
        <v>0</v>
      </c>
      <c r="K867" s="154">
        <v>0.215</v>
      </c>
      <c r="L867" s="154">
        <v>0.245</v>
      </c>
      <c r="M867" s="154">
        <v>0.28799999999999998</v>
      </c>
      <c r="N867" s="154">
        <v>0.30599999999999999</v>
      </c>
      <c r="O867" s="108">
        <f t="shared" si="65"/>
        <v>0.13953488372093026</v>
      </c>
      <c r="P867" s="108">
        <f t="shared" si="66"/>
        <v>0.17551020408163254</v>
      </c>
      <c r="Q867" s="108">
        <f t="shared" si="67"/>
        <v>6.25E-2</v>
      </c>
      <c r="S867" s="109">
        <f t="shared" si="68"/>
        <v>0.42325581395348832</v>
      </c>
      <c r="T867" s="109">
        <f t="shared" si="69"/>
        <v>0.24897959183673479</v>
      </c>
    </row>
    <row r="868" spans="1:20">
      <c r="A868" s="154">
        <v>598</v>
      </c>
      <c r="B868" s="156">
        <v>300193</v>
      </c>
      <c r="C868" s="133" t="s">
        <v>3137</v>
      </c>
      <c r="D868" s="155" t="s">
        <v>2324</v>
      </c>
      <c r="E868" s="154">
        <v>8</v>
      </c>
      <c r="F868" s="154">
        <v>2</v>
      </c>
      <c r="G868" s="154">
        <v>6</v>
      </c>
      <c r="H868" s="154">
        <v>0</v>
      </c>
      <c r="I868" s="154">
        <v>0</v>
      </c>
      <c r="J868" s="154">
        <v>0</v>
      </c>
      <c r="K868" s="154">
        <v>0.376</v>
      </c>
      <c r="L868" s="154">
        <v>0.46400000000000002</v>
      </c>
      <c r="M868" s="154">
        <v>0.52300000000000002</v>
      </c>
      <c r="N868" s="154">
        <v>0.57899999999999996</v>
      </c>
      <c r="O868" s="108">
        <f t="shared" si="65"/>
        <v>0.23404255319148937</v>
      </c>
      <c r="P868" s="108">
        <f t="shared" si="66"/>
        <v>0.12715517241379315</v>
      </c>
      <c r="Q868" s="108">
        <f t="shared" si="67"/>
        <v>0.10707456978967489</v>
      </c>
      <c r="S868" s="109">
        <f t="shared" si="68"/>
        <v>0.53989361702127647</v>
      </c>
      <c r="T868" s="109">
        <f t="shared" si="69"/>
        <v>0.24784482758620685</v>
      </c>
    </row>
    <row r="869" spans="1:20">
      <c r="A869" s="154">
        <v>318</v>
      </c>
      <c r="B869" s="156">
        <v>601166</v>
      </c>
      <c r="C869" s="133" t="s">
        <v>3138</v>
      </c>
      <c r="D869" s="155" t="s">
        <v>2324</v>
      </c>
      <c r="E869" s="154">
        <v>16</v>
      </c>
      <c r="F869" s="154">
        <v>9</v>
      </c>
      <c r="G869" s="154">
        <v>7</v>
      </c>
      <c r="H869" s="154">
        <v>0</v>
      </c>
      <c r="I869" s="154">
        <v>0</v>
      </c>
      <c r="J869" s="154">
        <v>0</v>
      </c>
      <c r="K869" s="154">
        <v>2.9180000000000001</v>
      </c>
      <c r="L869" s="154">
        <v>3.1739999999999999</v>
      </c>
      <c r="M869" s="154">
        <v>3.4830000000000001</v>
      </c>
      <c r="N869" s="154">
        <v>3.9569999999999999</v>
      </c>
      <c r="O869" s="108">
        <f t="shared" si="65"/>
        <v>8.7731322823851876E-2</v>
      </c>
      <c r="P869" s="108">
        <f t="shared" si="66"/>
        <v>9.73534971644614E-2</v>
      </c>
      <c r="Q869" s="108">
        <f t="shared" si="67"/>
        <v>0.13608957795004306</v>
      </c>
      <c r="S869" s="109">
        <f t="shared" si="68"/>
        <v>0.35606579849211784</v>
      </c>
      <c r="T869" s="109">
        <f t="shared" si="69"/>
        <v>0.24669187145557658</v>
      </c>
    </row>
    <row r="870" spans="1:20">
      <c r="A870" s="154">
        <v>984</v>
      </c>
      <c r="B870" s="156">
        <v>600118</v>
      </c>
      <c r="C870" s="133" t="s">
        <v>3139</v>
      </c>
      <c r="D870" s="155" t="s">
        <v>2324</v>
      </c>
      <c r="E870" s="154">
        <v>3</v>
      </c>
      <c r="F870" s="154">
        <v>2</v>
      </c>
      <c r="G870" s="154">
        <v>1</v>
      </c>
      <c r="H870" s="154">
        <v>0</v>
      </c>
      <c r="I870" s="154">
        <v>0</v>
      </c>
      <c r="J870" s="154">
        <v>0</v>
      </c>
      <c r="K870" s="154">
        <v>0.35299999999999998</v>
      </c>
      <c r="L870" s="154">
        <v>0.39100000000000001</v>
      </c>
      <c r="M870" s="154">
        <v>0.438</v>
      </c>
      <c r="N870" s="154">
        <v>0.48699999999999999</v>
      </c>
      <c r="O870" s="108">
        <f t="shared" si="65"/>
        <v>0.10764872521246471</v>
      </c>
      <c r="P870" s="108">
        <f t="shared" si="66"/>
        <v>0.12020460358056262</v>
      </c>
      <c r="Q870" s="108">
        <f t="shared" si="67"/>
        <v>0.11187214611872154</v>
      </c>
      <c r="S870" s="109">
        <f t="shared" si="68"/>
        <v>0.3796033994334278</v>
      </c>
      <c r="T870" s="109">
        <f t="shared" si="69"/>
        <v>0.24552429667519182</v>
      </c>
    </row>
    <row r="871" spans="1:20">
      <c r="A871" s="154">
        <v>884</v>
      </c>
      <c r="B871" s="156">
        <v>976</v>
      </c>
      <c r="C871" s="133" t="s">
        <v>3140</v>
      </c>
      <c r="D871" s="155" t="s">
        <v>2324</v>
      </c>
      <c r="E871" s="154">
        <v>4</v>
      </c>
      <c r="F871" s="154">
        <v>0</v>
      </c>
      <c r="G871" s="154">
        <v>4</v>
      </c>
      <c r="H871" s="154">
        <v>0</v>
      </c>
      <c r="I871" s="154">
        <v>0</v>
      </c>
      <c r="J871" s="154">
        <v>0</v>
      </c>
      <c r="K871" s="154">
        <v>9.0999999999999998E-2</v>
      </c>
      <c r="L871" s="154">
        <v>0.217</v>
      </c>
      <c r="M871" s="154">
        <v>0.246</v>
      </c>
      <c r="N871" s="154">
        <v>0.27</v>
      </c>
      <c r="O871" s="108">
        <f t="shared" si="65"/>
        <v>1.3846153846153846</v>
      </c>
      <c r="P871" s="108">
        <f t="shared" si="66"/>
        <v>0.13364055299539168</v>
      </c>
      <c r="Q871" s="108">
        <f t="shared" si="67"/>
        <v>9.7560975609756184E-2</v>
      </c>
      <c r="S871" s="109">
        <f t="shared" si="68"/>
        <v>1.9670329670329672</v>
      </c>
      <c r="T871" s="109">
        <f t="shared" si="69"/>
        <v>0.24423963133640569</v>
      </c>
    </row>
    <row r="872" spans="1:20">
      <c r="A872" s="154">
        <v>97</v>
      </c>
      <c r="B872" s="156">
        <v>601636</v>
      </c>
      <c r="C872" s="133" t="s">
        <v>3141</v>
      </c>
      <c r="D872" s="155" t="s">
        <v>2324</v>
      </c>
      <c r="E872" s="154">
        <v>31</v>
      </c>
      <c r="F872" s="154">
        <v>20</v>
      </c>
      <c r="G872" s="154">
        <v>11</v>
      </c>
      <c r="H872" s="154">
        <v>0</v>
      </c>
      <c r="I872" s="154">
        <v>0</v>
      </c>
      <c r="J872" s="154">
        <v>0</v>
      </c>
      <c r="K872" s="154">
        <v>0.44900000000000001</v>
      </c>
      <c r="L872" s="154">
        <v>0.48799999999999999</v>
      </c>
      <c r="M872" s="154">
        <v>0.55100000000000005</v>
      </c>
      <c r="N872" s="154">
        <v>0.60699999999999998</v>
      </c>
      <c r="O872" s="108">
        <f t="shared" si="65"/>
        <v>8.6859688195991103E-2</v>
      </c>
      <c r="P872" s="108">
        <f t="shared" si="66"/>
        <v>0.12909836065573788</v>
      </c>
      <c r="Q872" s="108">
        <f t="shared" si="67"/>
        <v>0.10163339382940095</v>
      </c>
      <c r="S872" s="109">
        <f t="shared" si="68"/>
        <v>0.35189309576837413</v>
      </c>
      <c r="T872" s="109">
        <f t="shared" si="69"/>
        <v>0.24385245901639352</v>
      </c>
    </row>
    <row r="873" spans="1:20">
      <c r="A873" s="154">
        <v>945</v>
      </c>
      <c r="B873" s="156">
        <v>300233</v>
      </c>
      <c r="C873" s="133" t="s">
        <v>3142</v>
      </c>
      <c r="D873" s="155" t="s">
        <v>2324</v>
      </c>
      <c r="E873" s="154">
        <v>4</v>
      </c>
      <c r="F873" s="154">
        <v>4</v>
      </c>
      <c r="G873" s="154">
        <v>0</v>
      </c>
      <c r="H873" s="154">
        <v>0</v>
      </c>
      <c r="I873" s="154">
        <v>0</v>
      </c>
      <c r="J873" s="154">
        <v>0</v>
      </c>
      <c r="K873" s="154">
        <v>0.67100000000000004</v>
      </c>
      <c r="L873" s="154">
        <v>1.409</v>
      </c>
      <c r="M873" s="154">
        <v>1.4770000000000001</v>
      </c>
      <c r="N873" s="154">
        <v>1.7509999999999999</v>
      </c>
      <c r="O873" s="108">
        <f t="shared" si="65"/>
        <v>1.0998509687034277</v>
      </c>
      <c r="P873" s="108">
        <f t="shared" si="66"/>
        <v>4.8261178140525329E-2</v>
      </c>
      <c r="Q873" s="108">
        <f t="shared" si="67"/>
        <v>0.18551117129316164</v>
      </c>
      <c r="S873" s="109">
        <f t="shared" si="68"/>
        <v>1.6095380029806257</v>
      </c>
      <c r="T873" s="109">
        <f t="shared" si="69"/>
        <v>0.24272533711852362</v>
      </c>
    </row>
    <row r="874" spans="1:20">
      <c r="A874" s="154">
        <v>696</v>
      </c>
      <c r="B874" s="156">
        <v>600068</v>
      </c>
      <c r="C874" s="133" t="s">
        <v>3143</v>
      </c>
      <c r="D874" s="155" t="s">
        <v>2324</v>
      </c>
      <c r="E874" s="154">
        <v>7</v>
      </c>
      <c r="F874" s="154">
        <v>7</v>
      </c>
      <c r="G874" s="154">
        <v>0</v>
      </c>
      <c r="H874" s="154">
        <v>0</v>
      </c>
      <c r="I874" s="154">
        <v>0</v>
      </c>
      <c r="J874" s="154">
        <v>0</v>
      </c>
      <c r="K874" s="154">
        <v>1.012</v>
      </c>
      <c r="L874" s="154">
        <v>1.121</v>
      </c>
      <c r="M874" s="154">
        <v>1.244</v>
      </c>
      <c r="N874" s="154">
        <v>1.3919999999999999</v>
      </c>
      <c r="O874" s="108">
        <f t="shared" si="65"/>
        <v>0.10770750988142286</v>
      </c>
      <c r="P874" s="108">
        <f t="shared" si="66"/>
        <v>0.10972346119536125</v>
      </c>
      <c r="Q874" s="108">
        <f t="shared" si="67"/>
        <v>0.11897106109324751</v>
      </c>
      <c r="S874" s="109">
        <f t="shared" si="68"/>
        <v>0.37549407114624489</v>
      </c>
      <c r="T874" s="109">
        <f t="shared" si="69"/>
        <v>0.24174843889384467</v>
      </c>
    </row>
    <row r="875" spans="1:20">
      <c r="A875" s="154">
        <v>5</v>
      </c>
      <c r="B875" s="156">
        <v>651</v>
      </c>
      <c r="C875" s="133" t="s">
        <v>3144</v>
      </c>
      <c r="D875" s="155" t="s">
        <v>2324</v>
      </c>
      <c r="E875" s="154">
        <v>69</v>
      </c>
      <c r="F875" s="154">
        <v>55</v>
      </c>
      <c r="G875" s="154">
        <v>14</v>
      </c>
      <c r="H875" s="154">
        <v>0</v>
      </c>
      <c r="I875" s="154">
        <v>0</v>
      </c>
      <c r="J875" s="154">
        <v>0</v>
      </c>
      <c r="K875" s="154">
        <v>4.3559999999999999</v>
      </c>
      <c r="L875" s="154">
        <v>4.7409999999999997</v>
      </c>
      <c r="M875" s="154">
        <v>5.2910000000000004</v>
      </c>
      <c r="N875" s="154">
        <v>5.8860000000000001</v>
      </c>
      <c r="O875" s="108">
        <f t="shared" si="65"/>
        <v>8.8383838383838231E-2</v>
      </c>
      <c r="P875" s="108">
        <f t="shared" si="66"/>
        <v>0.11600928074245953</v>
      </c>
      <c r="Q875" s="108">
        <f t="shared" si="67"/>
        <v>0.1124551124551123</v>
      </c>
      <c r="S875" s="109">
        <f t="shared" si="68"/>
        <v>0.35123966942148765</v>
      </c>
      <c r="T875" s="109">
        <f t="shared" si="69"/>
        <v>0.24151022990930193</v>
      </c>
    </row>
    <row r="876" spans="1:20">
      <c r="A876" s="154">
        <v>892</v>
      </c>
      <c r="B876" s="156">
        <v>959</v>
      </c>
      <c r="C876" s="133" t="s">
        <v>3145</v>
      </c>
      <c r="D876" s="155" t="s">
        <v>2324</v>
      </c>
      <c r="E876" s="154">
        <v>4</v>
      </c>
      <c r="F876" s="154">
        <v>0</v>
      </c>
      <c r="G876" s="154">
        <v>4</v>
      </c>
      <c r="H876" s="154">
        <v>0</v>
      </c>
      <c r="I876" s="154">
        <v>0</v>
      </c>
      <c r="J876" s="154">
        <v>0</v>
      </c>
      <c r="K876" s="154">
        <v>0.45400000000000001</v>
      </c>
      <c r="L876" s="154">
        <v>0.312</v>
      </c>
      <c r="M876" s="154">
        <v>0.35799999999999998</v>
      </c>
      <c r="N876" s="154">
        <v>0.38700000000000001</v>
      </c>
      <c r="O876" s="108">
        <f t="shared" si="65"/>
        <v>-0.31277533039647576</v>
      </c>
      <c r="P876" s="108">
        <f t="shared" si="66"/>
        <v>0.14743589743589736</v>
      </c>
      <c r="Q876" s="108">
        <f t="shared" si="67"/>
        <v>8.1005586592178824E-2</v>
      </c>
      <c r="S876" s="109">
        <f t="shared" si="68"/>
        <v>-0.14757709251101325</v>
      </c>
      <c r="T876" s="109">
        <f t="shared" si="69"/>
        <v>0.24038461538461542</v>
      </c>
    </row>
    <row r="877" spans="1:20">
      <c r="A877" s="154">
        <v>62</v>
      </c>
      <c r="B877" s="156">
        <v>600030</v>
      </c>
      <c r="C877" s="133" t="s">
        <v>3146</v>
      </c>
      <c r="D877" s="155" t="s">
        <v>2324</v>
      </c>
      <c r="E877" s="154">
        <v>36</v>
      </c>
      <c r="F877" s="154">
        <v>24</v>
      </c>
      <c r="G877" s="154">
        <v>12</v>
      </c>
      <c r="H877" s="154">
        <v>0</v>
      </c>
      <c r="I877" s="154">
        <v>0</v>
      </c>
      <c r="J877" s="154">
        <v>0</v>
      </c>
      <c r="K877" s="154">
        <v>0.77500000000000002</v>
      </c>
      <c r="L877" s="154">
        <v>1.1240000000000001</v>
      </c>
      <c r="M877" s="154">
        <v>1.25</v>
      </c>
      <c r="N877" s="154">
        <v>1.3939999999999999</v>
      </c>
      <c r="O877" s="108">
        <f t="shared" si="65"/>
        <v>0.4503225806451614</v>
      </c>
      <c r="P877" s="108">
        <f t="shared" si="66"/>
        <v>0.11209964412811368</v>
      </c>
      <c r="Q877" s="108">
        <f t="shared" si="67"/>
        <v>0.11519999999999997</v>
      </c>
      <c r="S877" s="109">
        <f t="shared" si="68"/>
        <v>0.79870967741935472</v>
      </c>
      <c r="T877" s="109">
        <f t="shared" si="69"/>
        <v>0.24021352313167244</v>
      </c>
    </row>
    <row r="878" spans="1:20">
      <c r="A878" s="154">
        <v>999</v>
      </c>
      <c r="B878" s="156">
        <v>2039</v>
      </c>
      <c r="C878" s="133" t="s">
        <v>3147</v>
      </c>
      <c r="D878" s="155" t="s">
        <v>2324</v>
      </c>
      <c r="E878" s="154">
        <v>3</v>
      </c>
      <c r="F878" s="154">
        <v>0</v>
      </c>
      <c r="G878" s="154">
        <v>3</v>
      </c>
      <c r="H878" s="154">
        <v>0</v>
      </c>
      <c r="I878" s="154">
        <v>0</v>
      </c>
      <c r="J878" s="154">
        <v>0</v>
      </c>
      <c r="K878" s="154">
        <v>1.204</v>
      </c>
      <c r="L878" s="154">
        <v>1.1160000000000001</v>
      </c>
      <c r="M878" s="154">
        <v>1.2390000000000001</v>
      </c>
      <c r="N878" s="154">
        <v>1.383</v>
      </c>
      <c r="O878" s="108">
        <f t="shared" si="65"/>
        <v>-7.3089700996677665E-2</v>
      </c>
      <c r="P878" s="108">
        <f t="shared" si="66"/>
        <v>0.11021505376344076</v>
      </c>
      <c r="Q878" s="108">
        <f t="shared" si="67"/>
        <v>0.11622276029055678</v>
      </c>
      <c r="S878" s="109">
        <f t="shared" si="68"/>
        <v>0.1486710963455149</v>
      </c>
      <c r="T878" s="109">
        <f t="shared" si="69"/>
        <v>0.23924731182795678</v>
      </c>
    </row>
    <row r="879" spans="1:20">
      <c r="A879" s="154">
        <v>767</v>
      </c>
      <c r="B879" s="156">
        <v>2293</v>
      </c>
      <c r="C879" s="133" t="s">
        <v>3148</v>
      </c>
      <c r="D879" s="155" t="s">
        <v>2324</v>
      </c>
      <c r="E879" s="154">
        <v>6</v>
      </c>
      <c r="F879" s="154">
        <v>4</v>
      </c>
      <c r="G879" s="154">
        <v>2</v>
      </c>
      <c r="H879" s="154">
        <v>0</v>
      </c>
      <c r="I879" s="154">
        <v>0</v>
      </c>
      <c r="J879" s="154">
        <v>0</v>
      </c>
      <c r="K879" s="154">
        <v>0.64300000000000002</v>
      </c>
      <c r="L879" s="154">
        <v>0.67500000000000004</v>
      </c>
      <c r="M879" s="154">
        <v>0.746</v>
      </c>
      <c r="N879" s="154">
        <v>0.83599999999999997</v>
      </c>
      <c r="O879" s="108">
        <f t="shared" si="65"/>
        <v>4.9766718506998542E-2</v>
      </c>
      <c r="P879" s="108">
        <f t="shared" si="66"/>
        <v>0.10518518518518505</v>
      </c>
      <c r="Q879" s="108">
        <f t="shared" si="67"/>
        <v>0.1206434316353886</v>
      </c>
      <c r="S879" s="109">
        <f t="shared" si="68"/>
        <v>0.30015552099533438</v>
      </c>
      <c r="T879" s="109">
        <f t="shared" si="69"/>
        <v>0.23851851851851835</v>
      </c>
    </row>
    <row r="880" spans="1:20">
      <c r="A880" s="154">
        <v>982</v>
      </c>
      <c r="B880" s="156">
        <v>600153</v>
      </c>
      <c r="C880" s="133" t="s">
        <v>3149</v>
      </c>
      <c r="D880" s="155" t="s">
        <v>2324</v>
      </c>
      <c r="E880" s="154">
        <v>3</v>
      </c>
      <c r="F880" s="154">
        <v>1</v>
      </c>
      <c r="G880" s="154">
        <v>2</v>
      </c>
      <c r="H880" s="154">
        <v>0</v>
      </c>
      <c r="I880" s="154">
        <v>0</v>
      </c>
      <c r="J880" s="154">
        <v>0</v>
      </c>
      <c r="K880" s="154">
        <v>1.6479999999999999</v>
      </c>
      <c r="L880" s="154">
        <v>1.708</v>
      </c>
      <c r="M880" s="154">
        <v>1.8640000000000001</v>
      </c>
      <c r="N880" s="154">
        <v>2.1139999999999999</v>
      </c>
      <c r="O880" s="108">
        <f t="shared" si="65"/>
        <v>3.6407766990291357E-2</v>
      </c>
      <c r="P880" s="108">
        <f t="shared" si="66"/>
        <v>9.133489461358324E-2</v>
      </c>
      <c r="Q880" s="108">
        <f t="shared" si="67"/>
        <v>0.13412017167381962</v>
      </c>
      <c r="S880" s="109">
        <f t="shared" si="68"/>
        <v>0.28276699029126218</v>
      </c>
      <c r="T880" s="109">
        <f t="shared" si="69"/>
        <v>0.23770491803278682</v>
      </c>
    </row>
    <row r="881" spans="1:20">
      <c r="A881" s="154">
        <v>667</v>
      </c>
      <c r="B881" s="156">
        <v>601928</v>
      </c>
      <c r="C881" s="133" t="s">
        <v>3150</v>
      </c>
      <c r="D881" s="155" t="s">
        <v>2324</v>
      </c>
      <c r="E881" s="154">
        <v>7</v>
      </c>
      <c r="F881" s="154">
        <v>4</v>
      </c>
      <c r="G881" s="154">
        <v>3</v>
      </c>
      <c r="H881" s="154">
        <v>0</v>
      </c>
      <c r="I881" s="154">
        <v>0</v>
      </c>
      <c r="J881" s="154">
        <v>0</v>
      </c>
      <c r="K881" s="154">
        <v>0.52100000000000002</v>
      </c>
      <c r="L881" s="154">
        <v>0.60199999999999998</v>
      </c>
      <c r="M881" s="154">
        <v>0.67200000000000004</v>
      </c>
      <c r="N881" s="154">
        <v>0.745</v>
      </c>
      <c r="O881" s="108">
        <f t="shared" si="65"/>
        <v>0.15547024952015343</v>
      </c>
      <c r="P881" s="108">
        <f t="shared" si="66"/>
        <v>0.11627906976744207</v>
      </c>
      <c r="Q881" s="108">
        <f t="shared" si="67"/>
        <v>0.10863095238095233</v>
      </c>
      <c r="S881" s="109">
        <f t="shared" si="68"/>
        <v>0.42994241842610359</v>
      </c>
      <c r="T881" s="109">
        <f t="shared" si="69"/>
        <v>0.2375415282392026</v>
      </c>
    </row>
    <row r="882" spans="1:20">
      <c r="A882" s="154">
        <v>792</v>
      </c>
      <c r="B882" s="156">
        <v>601577</v>
      </c>
      <c r="C882" s="133" t="s">
        <v>3151</v>
      </c>
      <c r="D882" s="155" t="s">
        <v>2324</v>
      </c>
      <c r="E882" s="154">
        <v>5</v>
      </c>
      <c r="F882" s="154">
        <v>2</v>
      </c>
      <c r="G882" s="154">
        <v>3</v>
      </c>
      <c r="H882" s="154">
        <v>0</v>
      </c>
      <c r="I882" s="154">
        <v>0</v>
      </c>
      <c r="J882" s="154">
        <v>0</v>
      </c>
      <c r="K882" s="154">
        <v>1.3089999999999999</v>
      </c>
      <c r="L882" s="154">
        <v>1.466</v>
      </c>
      <c r="M882" s="154">
        <v>1.631</v>
      </c>
      <c r="N882" s="154">
        <v>1.8140000000000001</v>
      </c>
      <c r="O882" s="108">
        <f t="shared" si="65"/>
        <v>0.1199388846447671</v>
      </c>
      <c r="P882" s="108">
        <f t="shared" si="66"/>
        <v>0.11255115961800821</v>
      </c>
      <c r="Q882" s="108">
        <f t="shared" si="67"/>
        <v>0.11220110361741265</v>
      </c>
      <c r="S882" s="109">
        <f t="shared" si="68"/>
        <v>0.38579067990832705</v>
      </c>
      <c r="T882" s="109">
        <f t="shared" si="69"/>
        <v>0.23738062755798106</v>
      </c>
    </row>
    <row r="883" spans="1:20">
      <c r="A883" s="154">
        <v>189</v>
      </c>
      <c r="B883" s="156">
        <v>600426</v>
      </c>
      <c r="C883" s="133" t="s">
        <v>3152</v>
      </c>
      <c r="D883" s="155" t="s">
        <v>2324</v>
      </c>
      <c r="E883" s="154">
        <v>23</v>
      </c>
      <c r="F883" s="154">
        <v>21</v>
      </c>
      <c r="G883" s="154">
        <v>2</v>
      </c>
      <c r="H883" s="154">
        <v>0</v>
      </c>
      <c r="I883" s="154">
        <v>0</v>
      </c>
      <c r="J883" s="154">
        <v>0</v>
      </c>
      <c r="K883" s="154">
        <v>1.8560000000000001</v>
      </c>
      <c r="L883" s="154">
        <v>1.5669999999999999</v>
      </c>
      <c r="M883" s="154">
        <v>1.734</v>
      </c>
      <c r="N883" s="154">
        <v>1.9379999999999999</v>
      </c>
      <c r="O883" s="108">
        <f t="shared" si="65"/>
        <v>-0.15571120689655182</v>
      </c>
      <c r="P883" s="108">
        <f t="shared" si="66"/>
        <v>0.10657306955966828</v>
      </c>
      <c r="Q883" s="108">
        <f t="shared" si="67"/>
        <v>0.11764705882352944</v>
      </c>
      <c r="S883" s="109">
        <f t="shared" si="68"/>
        <v>4.4181034482758452E-2</v>
      </c>
      <c r="T883" s="109">
        <f t="shared" si="69"/>
        <v>0.23675813656668798</v>
      </c>
    </row>
    <row r="884" spans="1:20">
      <c r="A884" s="154">
        <v>572</v>
      </c>
      <c r="B884" s="156">
        <v>603877</v>
      </c>
      <c r="C884" s="133" t="s">
        <v>3153</v>
      </c>
      <c r="D884" s="155" t="s">
        <v>2324</v>
      </c>
      <c r="E884" s="154">
        <v>8</v>
      </c>
      <c r="F884" s="154">
        <v>2</v>
      </c>
      <c r="G884" s="154">
        <v>6</v>
      </c>
      <c r="H884" s="154">
        <v>0</v>
      </c>
      <c r="I884" s="154">
        <v>0</v>
      </c>
      <c r="J884" s="154">
        <v>0</v>
      </c>
      <c r="K884" s="154">
        <v>1.194</v>
      </c>
      <c r="L884" s="154">
        <v>1.264</v>
      </c>
      <c r="M884" s="154">
        <v>1.4079999999999999</v>
      </c>
      <c r="N884" s="154">
        <v>1.5620000000000001</v>
      </c>
      <c r="O884" s="108">
        <f t="shared" si="65"/>
        <v>5.8626465661641536E-2</v>
      </c>
      <c r="P884" s="108">
        <f t="shared" si="66"/>
        <v>0.11392405063291133</v>
      </c>
      <c r="Q884" s="108">
        <f t="shared" si="67"/>
        <v>0.109375</v>
      </c>
      <c r="S884" s="109">
        <f t="shared" si="68"/>
        <v>0.30820770519262997</v>
      </c>
      <c r="T884" s="109">
        <f t="shared" si="69"/>
        <v>0.235759493670886</v>
      </c>
    </row>
    <row r="885" spans="1:20">
      <c r="A885" s="154">
        <v>399</v>
      </c>
      <c r="B885" s="156">
        <v>600352</v>
      </c>
      <c r="C885" s="133" t="s">
        <v>3154</v>
      </c>
      <c r="D885" s="155" t="s">
        <v>2324</v>
      </c>
      <c r="E885" s="154">
        <v>13</v>
      </c>
      <c r="F885" s="154">
        <v>12</v>
      </c>
      <c r="G885" s="154">
        <v>1</v>
      </c>
      <c r="H885" s="154">
        <v>0</v>
      </c>
      <c r="I885" s="154">
        <v>0</v>
      </c>
      <c r="J885" s="154">
        <v>0</v>
      </c>
      <c r="K885" s="154">
        <v>1.264</v>
      </c>
      <c r="L885" s="154">
        <v>1.6359999999999999</v>
      </c>
      <c r="M885" s="154">
        <v>1.8069999999999999</v>
      </c>
      <c r="N885" s="154">
        <v>2.0209999999999999</v>
      </c>
      <c r="O885" s="108">
        <f t="shared" si="65"/>
        <v>0.29430379746835444</v>
      </c>
      <c r="P885" s="108">
        <f t="shared" si="66"/>
        <v>0.10452322738386322</v>
      </c>
      <c r="Q885" s="108">
        <f t="shared" si="67"/>
        <v>0.11842833425567245</v>
      </c>
      <c r="S885" s="109">
        <f t="shared" si="68"/>
        <v>0.59889240506329111</v>
      </c>
      <c r="T885" s="109">
        <f t="shared" si="69"/>
        <v>0.2353300733496333</v>
      </c>
    </row>
    <row r="886" spans="1:20">
      <c r="A886" s="154">
        <v>43</v>
      </c>
      <c r="B886" s="156">
        <v>2508</v>
      </c>
      <c r="C886" s="133" t="s">
        <v>3155</v>
      </c>
      <c r="D886" s="155" t="s">
        <v>2324</v>
      </c>
      <c r="E886" s="154">
        <v>41</v>
      </c>
      <c r="F886" s="154">
        <v>22</v>
      </c>
      <c r="G886" s="154">
        <v>19</v>
      </c>
      <c r="H886" s="154">
        <v>0</v>
      </c>
      <c r="I886" s="154">
        <v>0</v>
      </c>
      <c r="J886" s="154">
        <v>0</v>
      </c>
      <c r="K886" s="154">
        <v>1.5529999999999999</v>
      </c>
      <c r="L886" s="154">
        <v>1.6890000000000001</v>
      </c>
      <c r="M886" s="154">
        <v>1.8740000000000001</v>
      </c>
      <c r="N886" s="154">
        <v>2.0830000000000002</v>
      </c>
      <c r="O886" s="108">
        <f t="shared" si="65"/>
        <v>8.7572440437862387E-2</v>
      </c>
      <c r="P886" s="108">
        <f t="shared" si="66"/>
        <v>0.10953226761397272</v>
      </c>
      <c r="Q886" s="108">
        <f t="shared" si="67"/>
        <v>0.11152614727854848</v>
      </c>
      <c r="S886" s="109">
        <f t="shared" si="68"/>
        <v>0.3412749517063749</v>
      </c>
      <c r="T886" s="109">
        <f t="shared" si="69"/>
        <v>0.23327412670219072</v>
      </c>
    </row>
    <row r="887" spans="1:20">
      <c r="A887" s="154">
        <v>505</v>
      </c>
      <c r="B887" s="156">
        <v>776</v>
      </c>
      <c r="C887" s="133" t="s">
        <v>3156</v>
      </c>
      <c r="D887" s="155" t="s">
        <v>2324</v>
      </c>
      <c r="E887" s="154">
        <v>9</v>
      </c>
      <c r="F887" s="154">
        <v>1</v>
      </c>
      <c r="G887" s="154">
        <v>8</v>
      </c>
      <c r="H887" s="154">
        <v>0</v>
      </c>
      <c r="I887" s="154">
        <v>0</v>
      </c>
      <c r="J887" s="154">
        <v>0</v>
      </c>
      <c r="K887" s="154">
        <v>0.56399999999999995</v>
      </c>
      <c r="L887" s="154">
        <v>0.91100000000000003</v>
      </c>
      <c r="M887" s="154">
        <v>1.0189999999999999</v>
      </c>
      <c r="N887" s="154">
        <v>1.1200000000000001</v>
      </c>
      <c r="O887" s="108">
        <f t="shared" si="65"/>
        <v>0.61524822695035475</v>
      </c>
      <c r="P887" s="108">
        <f t="shared" si="66"/>
        <v>0.11855104281009865</v>
      </c>
      <c r="Q887" s="108">
        <f t="shared" si="67"/>
        <v>9.9116781157998268E-2</v>
      </c>
      <c r="S887" s="109">
        <f t="shared" si="68"/>
        <v>0.98581560283687986</v>
      </c>
      <c r="T887" s="109">
        <f t="shared" si="69"/>
        <v>0.22941822173435789</v>
      </c>
    </row>
    <row r="888" spans="1:20">
      <c r="A888" s="154">
        <v>708</v>
      </c>
      <c r="B888" s="156">
        <v>600535</v>
      </c>
      <c r="C888" s="133" t="s">
        <v>3157</v>
      </c>
      <c r="D888" s="155" t="s">
        <v>2324</v>
      </c>
      <c r="E888" s="154">
        <v>6</v>
      </c>
      <c r="F888" s="154">
        <v>5</v>
      </c>
      <c r="G888" s="154">
        <v>1</v>
      </c>
      <c r="H888" s="154">
        <v>0</v>
      </c>
      <c r="I888" s="154">
        <v>0</v>
      </c>
      <c r="J888" s="154">
        <v>0</v>
      </c>
      <c r="K888" s="154">
        <v>1.022</v>
      </c>
      <c r="L888" s="154">
        <v>1.0609999999999999</v>
      </c>
      <c r="M888" s="154">
        <v>1.157</v>
      </c>
      <c r="N888" s="154">
        <v>1.302</v>
      </c>
      <c r="O888" s="108">
        <f t="shared" si="65"/>
        <v>3.8160469667319008E-2</v>
      </c>
      <c r="P888" s="108">
        <f t="shared" si="66"/>
        <v>9.0480678605089571E-2</v>
      </c>
      <c r="Q888" s="108">
        <f t="shared" si="67"/>
        <v>0.12532411408815913</v>
      </c>
      <c r="S888" s="109">
        <f t="shared" si="68"/>
        <v>0.27397260273972601</v>
      </c>
      <c r="T888" s="109">
        <f t="shared" si="69"/>
        <v>0.22714420358152698</v>
      </c>
    </row>
    <row r="889" spans="1:20">
      <c r="A889" s="154">
        <v>698</v>
      </c>
      <c r="B889" s="156">
        <v>600580</v>
      </c>
      <c r="C889" s="133" t="s">
        <v>3158</v>
      </c>
      <c r="D889" s="155" t="s">
        <v>2324</v>
      </c>
      <c r="E889" s="154">
        <v>6</v>
      </c>
      <c r="F889" s="154">
        <v>2</v>
      </c>
      <c r="G889" s="154">
        <v>4</v>
      </c>
      <c r="H889" s="154">
        <v>0</v>
      </c>
      <c r="I889" s="154">
        <v>0</v>
      </c>
      <c r="J889" s="154">
        <v>0</v>
      </c>
      <c r="K889" s="154">
        <v>0.48899999999999999</v>
      </c>
      <c r="L889" s="154">
        <v>0.70899999999999996</v>
      </c>
      <c r="M889" s="154">
        <v>0.73699999999999999</v>
      </c>
      <c r="N889" s="154">
        <v>0.87</v>
      </c>
      <c r="O889" s="108">
        <f t="shared" si="65"/>
        <v>0.44989775051124736</v>
      </c>
      <c r="P889" s="108">
        <f t="shared" si="66"/>
        <v>3.9492242595204452E-2</v>
      </c>
      <c r="Q889" s="108">
        <f t="shared" si="67"/>
        <v>0.18046132971506101</v>
      </c>
      <c r="S889" s="109">
        <f t="shared" si="68"/>
        <v>0.77914110429447847</v>
      </c>
      <c r="T889" s="109">
        <f t="shared" si="69"/>
        <v>0.22708039492242604</v>
      </c>
    </row>
    <row r="890" spans="1:20">
      <c r="A890" s="154">
        <v>905</v>
      </c>
      <c r="B890" s="156">
        <v>603323</v>
      </c>
      <c r="C890" s="133" t="s">
        <v>3159</v>
      </c>
      <c r="D890" s="155" t="s">
        <v>2324</v>
      </c>
      <c r="E890" s="154">
        <v>4</v>
      </c>
      <c r="F890" s="154">
        <v>0</v>
      </c>
      <c r="G890" s="154">
        <v>4</v>
      </c>
      <c r="H890" s="154">
        <v>0</v>
      </c>
      <c r="I890" s="154">
        <v>0</v>
      </c>
      <c r="J890" s="154">
        <v>0</v>
      </c>
      <c r="K890" s="154">
        <v>0.44500000000000001</v>
      </c>
      <c r="L890" s="154">
        <v>0.503</v>
      </c>
      <c r="M890" s="154">
        <v>0.56499999999999995</v>
      </c>
      <c r="N890" s="154">
        <v>0.61699999999999999</v>
      </c>
      <c r="O890" s="108">
        <f t="shared" si="65"/>
        <v>0.13033707865168531</v>
      </c>
      <c r="P890" s="108">
        <f t="shared" si="66"/>
        <v>0.12326043737574532</v>
      </c>
      <c r="Q890" s="108">
        <f t="shared" si="67"/>
        <v>9.203539823008855E-2</v>
      </c>
      <c r="S890" s="109">
        <f t="shared" si="68"/>
        <v>0.38651685393258428</v>
      </c>
      <c r="T890" s="109">
        <f t="shared" si="69"/>
        <v>0.22664015904572565</v>
      </c>
    </row>
    <row r="891" spans="1:20">
      <c r="A891" s="154">
        <v>661</v>
      </c>
      <c r="B891" s="156">
        <v>603355</v>
      </c>
      <c r="C891" s="133" t="s">
        <v>3160</v>
      </c>
      <c r="D891" s="155" t="s">
        <v>2324</v>
      </c>
      <c r="E891" s="154">
        <v>7</v>
      </c>
      <c r="F891" s="154">
        <v>0</v>
      </c>
      <c r="G891" s="154">
        <v>7</v>
      </c>
      <c r="H891" s="154">
        <v>0</v>
      </c>
      <c r="I891" s="154">
        <v>0</v>
      </c>
      <c r="J891" s="154">
        <v>0</v>
      </c>
      <c r="K891" s="154">
        <v>1.0549999999999999</v>
      </c>
      <c r="L891" s="154">
        <v>1.2310000000000001</v>
      </c>
      <c r="M891" s="154">
        <v>1.3759999999999999</v>
      </c>
      <c r="N891" s="154">
        <v>1.5089999999999999</v>
      </c>
      <c r="O891" s="108">
        <f t="shared" si="65"/>
        <v>0.1668246445497632</v>
      </c>
      <c r="P891" s="108">
        <f t="shared" si="66"/>
        <v>0.11779041429731918</v>
      </c>
      <c r="Q891" s="108">
        <f t="shared" si="67"/>
        <v>9.6656976744186052E-2</v>
      </c>
      <c r="S891" s="109">
        <f t="shared" si="68"/>
        <v>0.43033175355450237</v>
      </c>
      <c r="T891" s="109">
        <f t="shared" si="69"/>
        <v>0.22583265637692906</v>
      </c>
    </row>
    <row r="892" spans="1:20">
      <c r="A892" s="154">
        <v>712</v>
      </c>
      <c r="B892" s="156">
        <v>600373</v>
      </c>
      <c r="C892" s="133" t="s">
        <v>3161</v>
      </c>
      <c r="D892" s="155" t="s">
        <v>2324</v>
      </c>
      <c r="E892" s="154">
        <v>6</v>
      </c>
      <c r="F892" s="154">
        <v>3</v>
      </c>
      <c r="G892" s="154">
        <v>3</v>
      </c>
      <c r="H892" s="154">
        <v>0</v>
      </c>
      <c r="I892" s="154">
        <v>0</v>
      </c>
      <c r="J892" s="154">
        <v>0</v>
      </c>
      <c r="K892" s="154">
        <v>1.1950000000000001</v>
      </c>
      <c r="L892" s="154">
        <v>1.323</v>
      </c>
      <c r="M892" s="154">
        <v>1.466</v>
      </c>
      <c r="N892" s="154">
        <v>1.621</v>
      </c>
      <c r="O892" s="108">
        <f t="shared" si="65"/>
        <v>0.107112970711297</v>
      </c>
      <c r="P892" s="108">
        <f t="shared" si="66"/>
        <v>0.10808767951625087</v>
      </c>
      <c r="Q892" s="108">
        <f t="shared" si="67"/>
        <v>0.10572987721691685</v>
      </c>
      <c r="S892" s="109">
        <f t="shared" si="68"/>
        <v>0.35648535564853545</v>
      </c>
      <c r="T892" s="109">
        <f t="shared" si="69"/>
        <v>0.22524565381708239</v>
      </c>
    </row>
    <row r="893" spans="1:20">
      <c r="A893" s="154">
        <v>229</v>
      </c>
      <c r="B893" s="156">
        <v>601186</v>
      </c>
      <c r="C893" s="133" t="s">
        <v>3162</v>
      </c>
      <c r="D893" s="155" t="s">
        <v>2324</v>
      </c>
      <c r="E893" s="154">
        <v>20</v>
      </c>
      <c r="F893" s="154">
        <v>19</v>
      </c>
      <c r="G893" s="154">
        <v>1</v>
      </c>
      <c r="H893" s="154">
        <v>0</v>
      </c>
      <c r="I893" s="154">
        <v>0</v>
      </c>
      <c r="J893" s="154">
        <v>0</v>
      </c>
      <c r="K893" s="154">
        <v>1.321</v>
      </c>
      <c r="L893" s="154">
        <v>1.514</v>
      </c>
      <c r="M893" s="154">
        <v>1.6850000000000001</v>
      </c>
      <c r="N893" s="154">
        <v>1.853</v>
      </c>
      <c r="O893" s="108">
        <f t="shared" si="65"/>
        <v>0.14610143830431488</v>
      </c>
      <c r="P893" s="108">
        <f t="shared" si="66"/>
        <v>0.11294583883751663</v>
      </c>
      <c r="Q893" s="108">
        <f t="shared" si="67"/>
        <v>9.9703264094955335E-2</v>
      </c>
      <c r="S893" s="109">
        <f t="shared" si="68"/>
        <v>0.40272520817562452</v>
      </c>
      <c r="T893" s="109">
        <f t="shared" si="69"/>
        <v>0.2239101717305152</v>
      </c>
    </row>
    <row r="894" spans="1:20">
      <c r="A894" s="154">
        <v>212</v>
      </c>
      <c r="B894" s="156">
        <v>601668</v>
      </c>
      <c r="C894" s="133" t="s">
        <v>741</v>
      </c>
      <c r="D894" s="155" t="s">
        <v>2324</v>
      </c>
      <c r="E894" s="154">
        <v>21</v>
      </c>
      <c r="F894" s="154">
        <v>21</v>
      </c>
      <c r="G894" s="154">
        <v>0</v>
      </c>
      <c r="H894" s="154">
        <v>0</v>
      </c>
      <c r="I894" s="154">
        <v>0</v>
      </c>
      <c r="J894" s="154">
        <v>0</v>
      </c>
      <c r="K894" s="154">
        <v>0.91100000000000003</v>
      </c>
      <c r="L894" s="154">
        <v>1</v>
      </c>
      <c r="M894" s="154">
        <v>1.1080000000000001</v>
      </c>
      <c r="N894" s="154">
        <v>1.2230000000000001</v>
      </c>
      <c r="O894" s="108">
        <f t="shared" si="65"/>
        <v>9.7694840834247954E-2</v>
      </c>
      <c r="P894" s="108">
        <f t="shared" si="66"/>
        <v>0.1080000000000001</v>
      </c>
      <c r="Q894" s="108">
        <f t="shared" si="67"/>
        <v>0.10379061371841147</v>
      </c>
      <c r="S894" s="109">
        <f t="shared" si="68"/>
        <v>0.34248079034028556</v>
      </c>
      <c r="T894" s="109">
        <f t="shared" si="69"/>
        <v>0.22300000000000009</v>
      </c>
    </row>
    <row r="895" spans="1:20">
      <c r="A895" s="154">
        <v>673</v>
      </c>
      <c r="B895" s="156">
        <v>300182</v>
      </c>
      <c r="C895" s="133" t="s">
        <v>3163</v>
      </c>
      <c r="D895" s="155" t="s">
        <v>2324</v>
      </c>
      <c r="E895" s="154">
        <v>7</v>
      </c>
      <c r="F895" s="154">
        <v>5</v>
      </c>
      <c r="G895" s="154">
        <v>2</v>
      </c>
      <c r="H895" s="154">
        <v>0</v>
      </c>
      <c r="I895" s="154">
        <v>0</v>
      </c>
      <c r="J895" s="154">
        <v>0</v>
      </c>
      <c r="K895" s="154">
        <v>3.5999999999999997E-2</v>
      </c>
      <c r="L895" s="154">
        <v>0.27</v>
      </c>
      <c r="M895" s="154">
        <v>0.3</v>
      </c>
      <c r="N895" s="154">
        <v>0.33</v>
      </c>
      <c r="O895" s="108">
        <f t="shared" si="65"/>
        <v>6.5000000000000009</v>
      </c>
      <c r="P895" s="108">
        <f t="shared" si="66"/>
        <v>0.11111111111111094</v>
      </c>
      <c r="Q895" s="108">
        <f t="shared" si="67"/>
        <v>0.10000000000000009</v>
      </c>
      <c r="S895" s="109">
        <f t="shared" si="68"/>
        <v>8.1666666666666679</v>
      </c>
      <c r="T895" s="109">
        <f t="shared" si="69"/>
        <v>0.2222222222222221</v>
      </c>
    </row>
    <row r="896" spans="1:20">
      <c r="A896" s="154">
        <v>351</v>
      </c>
      <c r="B896" s="156">
        <v>600977</v>
      </c>
      <c r="C896" s="133" t="s">
        <v>3164</v>
      </c>
      <c r="D896" s="155" t="s">
        <v>2324</v>
      </c>
      <c r="E896" s="154">
        <v>14</v>
      </c>
      <c r="F896" s="154">
        <v>9</v>
      </c>
      <c r="G896" s="154">
        <v>5</v>
      </c>
      <c r="H896" s="154">
        <v>0</v>
      </c>
      <c r="I896" s="154">
        <v>0</v>
      </c>
      <c r="J896" s="154">
        <v>0</v>
      </c>
      <c r="K896" s="154">
        <v>0.80100000000000005</v>
      </c>
      <c r="L896" s="154">
        <v>0.68100000000000005</v>
      </c>
      <c r="M896" s="154">
        <v>0.755</v>
      </c>
      <c r="N896" s="154">
        <v>0.83199999999999996</v>
      </c>
      <c r="O896" s="108">
        <f t="shared" si="65"/>
        <v>-0.14981273408239704</v>
      </c>
      <c r="P896" s="108">
        <f t="shared" si="66"/>
        <v>0.10866372980910421</v>
      </c>
      <c r="Q896" s="108">
        <f t="shared" si="67"/>
        <v>0.10198675496688736</v>
      </c>
      <c r="S896" s="109">
        <f t="shared" si="68"/>
        <v>3.8701622971285765E-2</v>
      </c>
      <c r="T896" s="109">
        <f t="shared" si="69"/>
        <v>0.2217327459618208</v>
      </c>
    </row>
    <row r="897" spans="1:20">
      <c r="A897" s="154">
        <v>420</v>
      </c>
      <c r="B897" s="156">
        <v>2318</v>
      </c>
      <c r="C897" s="133" t="s">
        <v>3165</v>
      </c>
      <c r="D897" s="155" t="s">
        <v>2324</v>
      </c>
      <c r="E897" s="154">
        <v>12</v>
      </c>
      <c r="F897" s="154">
        <v>11</v>
      </c>
      <c r="G897" s="154">
        <v>1</v>
      </c>
      <c r="H897" s="154">
        <v>0</v>
      </c>
      <c r="I897" s="154">
        <v>0</v>
      </c>
      <c r="J897" s="154">
        <v>0</v>
      </c>
      <c r="K897" s="154">
        <v>0.36099999999999999</v>
      </c>
      <c r="L897" s="154">
        <v>0.58899999999999997</v>
      </c>
      <c r="M897" s="154">
        <v>0.64600000000000002</v>
      </c>
      <c r="N897" s="154">
        <v>0.71899999999999997</v>
      </c>
      <c r="O897" s="108">
        <f t="shared" si="65"/>
        <v>0.63157894736842102</v>
      </c>
      <c r="P897" s="108">
        <f t="shared" si="66"/>
        <v>9.6774193548387233E-2</v>
      </c>
      <c r="Q897" s="108">
        <f t="shared" si="67"/>
        <v>0.11300309597523217</v>
      </c>
      <c r="S897" s="109">
        <f t="shared" si="68"/>
        <v>0.99168975069252085</v>
      </c>
      <c r="T897" s="109">
        <f t="shared" si="69"/>
        <v>0.22071307300509346</v>
      </c>
    </row>
    <row r="898" spans="1:20">
      <c r="A898" s="154">
        <v>888</v>
      </c>
      <c r="B898" s="156">
        <v>600820</v>
      </c>
      <c r="C898" s="133" t="s">
        <v>3166</v>
      </c>
      <c r="D898" s="155" t="s">
        <v>2324</v>
      </c>
      <c r="E898" s="154">
        <v>4</v>
      </c>
      <c r="F898" s="154">
        <v>4</v>
      </c>
      <c r="G898" s="154">
        <v>0</v>
      </c>
      <c r="H898" s="154">
        <v>0</v>
      </c>
      <c r="I898" s="154">
        <v>0</v>
      </c>
      <c r="J898" s="154">
        <v>0</v>
      </c>
      <c r="K898" s="154">
        <v>0.629</v>
      </c>
      <c r="L898" s="154">
        <v>0.68700000000000006</v>
      </c>
      <c r="M898" s="154">
        <v>0.75700000000000001</v>
      </c>
      <c r="N898" s="154">
        <v>0.83799999999999997</v>
      </c>
      <c r="O898" s="108">
        <f t="shared" si="65"/>
        <v>9.2209856915739241E-2</v>
      </c>
      <c r="P898" s="108">
        <f t="shared" si="66"/>
        <v>0.10189228529839878</v>
      </c>
      <c r="Q898" s="108">
        <f t="shared" si="67"/>
        <v>0.10700132100396287</v>
      </c>
      <c r="S898" s="109">
        <f t="shared" si="68"/>
        <v>0.33227344992050867</v>
      </c>
      <c r="T898" s="109">
        <f t="shared" si="69"/>
        <v>0.21979621542940309</v>
      </c>
    </row>
    <row r="899" spans="1:20">
      <c r="A899" s="154">
        <v>485</v>
      </c>
      <c r="B899" s="156">
        <v>601828</v>
      </c>
      <c r="C899" s="133" t="s">
        <v>3167</v>
      </c>
      <c r="D899" s="155" t="s">
        <v>2324</v>
      </c>
      <c r="E899" s="154">
        <v>10</v>
      </c>
      <c r="F899" s="154">
        <v>8</v>
      </c>
      <c r="G899" s="154">
        <v>2</v>
      </c>
      <c r="H899" s="154">
        <v>0</v>
      </c>
      <c r="I899" s="154">
        <v>0</v>
      </c>
      <c r="J899" s="154">
        <v>0</v>
      </c>
      <c r="K899" s="154">
        <v>1.2609999999999999</v>
      </c>
      <c r="L899" s="154">
        <v>1.353</v>
      </c>
      <c r="M899" s="154">
        <v>1.5009999999999999</v>
      </c>
      <c r="N899" s="154">
        <v>1.6479999999999999</v>
      </c>
      <c r="O899" s="108">
        <f t="shared" ref="O899:O962" si="70">L899/K899-1</f>
        <v>7.2957969865186323E-2</v>
      </c>
      <c r="P899" s="108">
        <f t="shared" ref="P899:P962" si="71">M899/L899-1</f>
        <v>0.10938654841093864</v>
      </c>
      <c r="Q899" s="108">
        <f t="shared" ref="Q899:Q962" si="72">N899/M899-1</f>
        <v>9.7934710193204655E-2</v>
      </c>
      <c r="S899" s="109">
        <f t="shared" ref="S899:S962" si="73">N899/K899-1</f>
        <v>0.3068992862807296</v>
      </c>
      <c r="T899" s="109">
        <f t="shared" ref="T899:T962" si="74">N899/L899-1</f>
        <v>0.21803399852180338</v>
      </c>
    </row>
    <row r="900" spans="1:20">
      <c r="A900" s="154">
        <v>612</v>
      </c>
      <c r="B900" s="156">
        <v>600859</v>
      </c>
      <c r="C900" s="133" t="s">
        <v>3168</v>
      </c>
      <c r="D900" s="155" t="s">
        <v>2324</v>
      </c>
      <c r="E900" s="154">
        <v>8</v>
      </c>
      <c r="F900" s="154">
        <v>5</v>
      </c>
      <c r="G900" s="154">
        <v>3</v>
      </c>
      <c r="H900" s="154">
        <v>0</v>
      </c>
      <c r="I900" s="154">
        <v>0</v>
      </c>
      <c r="J900" s="154">
        <v>0</v>
      </c>
      <c r="K900" s="154">
        <v>1.548</v>
      </c>
      <c r="L900" s="154">
        <v>1.524</v>
      </c>
      <c r="M900" s="154">
        <v>1.677</v>
      </c>
      <c r="N900" s="154">
        <v>1.8540000000000001</v>
      </c>
      <c r="O900" s="108">
        <f t="shared" si="70"/>
        <v>-1.5503875968992276E-2</v>
      </c>
      <c r="P900" s="108">
        <f t="shared" si="71"/>
        <v>0.10039370078740162</v>
      </c>
      <c r="Q900" s="108">
        <f t="shared" si="72"/>
        <v>0.10554561717352406</v>
      </c>
      <c r="S900" s="109">
        <f t="shared" si="73"/>
        <v>0.19767441860465129</v>
      </c>
      <c r="T900" s="109">
        <f t="shared" si="74"/>
        <v>0.2165354330708662</v>
      </c>
    </row>
    <row r="901" spans="1:20">
      <c r="A901" s="154">
        <v>965</v>
      </c>
      <c r="B901" s="156">
        <v>601168</v>
      </c>
      <c r="C901" s="133" t="s">
        <v>3169</v>
      </c>
      <c r="D901" s="155" t="s">
        <v>2324</v>
      </c>
      <c r="E901" s="154">
        <v>3</v>
      </c>
      <c r="F901" s="154">
        <v>2</v>
      </c>
      <c r="G901" s="154">
        <v>1</v>
      </c>
      <c r="H901" s="154">
        <v>0</v>
      </c>
      <c r="I901" s="154">
        <v>0</v>
      </c>
      <c r="J901" s="154">
        <v>0</v>
      </c>
      <c r="K901" s="154">
        <v>-0.86599999999999999</v>
      </c>
      <c r="L901" s="154">
        <v>0.39300000000000002</v>
      </c>
      <c r="M901" s="154">
        <v>0.38200000000000001</v>
      </c>
      <c r="N901" s="154">
        <v>0.47799999999999998</v>
      </c>
      <c r="O901" s="108">
        <f t="shared" si="70"/>
        <v>-1.453810623556582</v>
      </c>
      <c r="P901" s="108">
        <f t="shared" si="71"/>
        <v>-2.7989821882951627E-2</v>
      </c>
      <c r="Q901" s="108">
        <f t="shared" si="72"/>
        <v>0.25130890052356003</v>
      </c>
      <c r="S901" s="109">
        <f t="shared" si="73"/>
        <v>-1.5519630484988451</v>
      </c>
      <c r="T901" s="109">
        <f t="shared" si="74"/>
        <v>0.21628498727735357</v>
      </c>
    </row>
    <row r="902" spans="1:20">
      <c r="A902" s="154">
        <v>769</v>
      </c>
      <c r="B902" s="156">
        <v>2461</v>
      </c>
      <c r="C902" s="133" t="s">
        <v>3170</v>
      </c>
      <c r="D902" s="155" t="s">
        <v>2324</v>
      </c>
      <c r="E902" s="154">
        <v>6</v>
      </c>
      <c r="F902" s="154">
        <v>3</v>
      </c>
      <c r="G902" s="154">
        <v>3</v>
      </c>
      <c r="H902" s="154">
        <v>0</v>
      </c>
      <c r="I902" s="154">
        <v>0</v>
      </c>
      <c r="J902" s="154">
        <v>0</v>
      </c>
      <c r="K902" s="154">
        <v>0.16600000000000001</v>
      </c>
      <c r="L902" s="154">
        <v>0.224</v>
      </c>
      <c r="M902" s="154">
        <v>0.248</v>
      </c>
      <c r="N902" s="154">
        <v>0.27200000000000002</v>
      </c>
      <c r="O902" s="108">
        <f t="shared" si="70"/>
        <v>0.34939759036144569</v>
      </c>
      <c r="P902" s="108">
        <f t="shared" si="71"/>
        <v>0.10714285714285721</v>
      </c>
      <c r="Q902" s="108">
        <f t="shared" si="72"/>
        <v>9.6774193548387233E-2</v>
      </c>
      <c r="S902" s="109">
        <f t="shared" si="73"/>
        <v>0.63855421686746983</v>
      </c>
      <c r="T902" s="109">
        <f t="shared" si="74"/>
        <v>0.21428571428571441</v>
      </c>
    </row>
    <row r="903" spans="1:20">
      <c r="A903" s="154">
        <v>957</v>
      </c>
      <c r="B903" s="156">
        <v>601992</v>
      </c>
      <c r="C903" s="133" t="s">
        <v>3171</v>
      </c>
      <c r="D903" s="155" t="s">
        <v>2324</v>
      </c>
      <c r="E903" s="154">
        <v>3</v>
      </c>
      <c r="F903" s="154">
        <v>1</v>
      </c>
      <c r="G903" s="154">
        <v>2</v>
      </c>
      <c r="H903" s="154">
        <v>0</v>
      </c>
      <c r="I903" s="154">
        <v>0</v>
      </c>
      <c r="J903" s="154">
        <v>0</v>
      </c>
      <c r="K903" s="154">
        <v>0.30499999999999999</v>
      </c>
      <c r="L903" s="154">
        <v>0.436</v>
      </c>
      <c r="M903" s="154">
        <v>0.46500000000000002</v>
      </c>
      <c r="N903" s="154">
        <v>0.52800000000000002</v>
      </c>
      <c r="O903" s="108">
        <f t="shared" si="70"/>
        <v>0.42950819672131146</v>
      </c>
      <c r="P903" s="108">
        <f t="shared" si="71"/>
        <v>6.6513761467889898E-2</v>
      </c>
      <c r="Q903" s="108">
        <f t="shared" si="72"/>
        <v>0.13548387096774195</v>
      </c>
      <c r="S903" s="109">
        <f t="shared" si="73"/>
        <v>0.73114754098360657</v>
      </c>
      <c r="T903" s="109">
        <f t="shared" si="74"/>
        <v>0.21100917431192667</v>
      </c>
    </row>
    <row r="904" spans="1:20">
      <c r="A904" s="154">
        <v>609</v>
      </c>
      <c r="B904" s="156">
        <v>601857</v>
      </c>
      <c r="C904" s="133" t="s">
        <v>3172</v>
      </c>
      <c r="D904" s="155" t="s">
        <v>2324</v>
      </c>
      <c r="E904" s="154">
        <v>8</v>
      </c>
      <c r="F904" s="154">
        <v>4</v>
      </c>
      <c r="G904" s="154">
        <v>4</v>
      </c>
      <c r="H904" s="154">
        <v>0</v>
      </c>
      <c r="I904" s="154">
        <v>0</v>
      </c>
      <c r="J904" s="154">
        <v>0</v>
      </c>
      <c r="K904" s="154">
        <v>0.28699999999999998</v>
      </c>
      <c r="L904" s="154">
        <v>0.30599999999999999</v>
      </c>
      <c r="M904" s="154">
        <v>0.33600000000000002</v>
      </c>
      <c r="N904" s="154">
        <v>0.37</v>
      </c>
      <c r="O904" s="108">
        <f t="shared" si="70"/>
        <v>6.6202090592334617E-2</v>
      </c>
      <c r="P904" s="108">
        <f t="shared" si="71"/>
        <v>9.8039215686274606E-2</v>
      </c>
      <c r="Q904" s="108">
        <f t="shared" si="72"/>
        <v>0.10119047619047605</v>
      </c>
      <c r="S904" s="109">
        <f t="shared" si="73"/>
        <v>0.28919860627177707</v>
      </c>
      <c r="T904" s="109">
        <f t="shared" si="74"/>
        <v>0.20915032679738554</v>
      </c>
    </row>
    <row r="905" spans="1:20">
      <c r="A905" s="154">
        <v>942</v>
      </c>
      <c r="B905" s="156">
        <v>601098</v>
      </c>
      <c r="C905" s="133" t="s">
        <v>3173</v>
      </c>
      <c r="D905" s="155" t="s">
        <v>2324</v>
      </c>
      <c r="E905" s="154">
        <v>4</v>
      </c>
      <c r="F905" s="154">
        <v>1</v>
      </c>
      <c r="G905" s="154">
        <v>3</v>
      </c>
      <c r="H905" s="154">
        <v>0</v>
      </c>
      <c r="I905" s="154">
        <v>0</v>
      </c>
      <c r="J905" s="154">
        <v>0</v>
      </c>
      <c r="K905" s="154">
        <v>0.68899999999999995</v>
      </c>
      <c r="L905" s="154">
        <v>0.747</v>
      </c>
      <c r="M905" s="154">
        <v>0.81499999999999995</v>
      </c>
      <c r="N905" s="154">
        <v>0.90300000000000002</v>
      </c>
      <c r="O905" s="108">
        <f t="shared" si="70"/>
        <v>8.4179970972423801E-2</v>
      </c>
      <c r="P905" s="108">
        <f t="shared" si="71"/>
        <v>9.1030789825970571E-2</v>
      </c>
      <c r="Q905" s="108">
        <f t="shared" si="72"/>
        <v>0.10797546012269943</v>
      </c>
      <c r="S905" s="109">
        <f t="shared" si="73"/>
        <v>0.31059506531204661</v>
      </c>
      <c r="T905" s="109">
        <f t="shared" si="74"/>
        <v>0.20883534136546178</v>
      </c>
    </row>
    <row r="906" spans="1:20">
      <c r="A906" s="154">
        <v>365</v>
      </c>
      <c r="B906" s="156">
        <v>601800</v>
      </c>
      <c r="C906" s="133" t="s">
        <v>3174</v>
      </c>
      <c r="D906" s="155" t="s">
        <v>2324</v>
      </c>
      <c r="E906" s="154">
        <v>14</v>
      </c>
      <c r="F906" s="154">
        <v>10</v>
      </c>
      <c r="G906" s="154">
        <v>4</v>
      </c>
      <c r="H906" s="154">
        <v>0</v>
      </c>
      <c r="I906" s="154">
        <v>0</v>
      </c>
      <c r="J906" s="154">
        <v>0</v>
      </c>
      <c r="K906" s="154">
        <v>1.2170000000000001</v>
      </c>
      <c r="L906" s="154">
        <v>1.3320000000000001</v>
      </c>
      <c r="M906" s="154">
        <v>1.464</v>
      </c>
      <c r="N906" s="154">
        <v>1.61</v>
      </c>
      <c r="O906" s="108">
        <f t="shared" si="70"/>
        <v>9.4494658997534842E-2</v>
      </c>
      <c r="P906" s="108">
        <f t="shared" si="71"/>
        <v>9.9099099099098975E-2</v>
      </c>
      <c r="Q906" s="108">
        <f t="shared" si="72"/>
        <v>9.9726775956284319E-2</v>
      </c>
      <c r="S906" s="109">
        <f t="shared" si="73"/>
        <v>0.32292522596548889</v>
      </c>
      <c r="T906" s="109">
        <f t="shared" si="74"/>
        <v>0.20870870870870872</v>
      </c>
    </row>
    <row r="907" spans="1:20">
      <c r="A907" s="154">
        <v>910</v>
      </c>
      <c r="B907" s="156">
        <v>601881</v>
      </c>
      <c r="C907" s="133" t="s">
        <v>3175</v>
      </c>
      <c r="D907" s="155" t="s">
        <v>2324</v>
      </c>
      <c r="E907" s="154">
        <v>4</v>
      </c>
      <c r="F907" s="154">
        <v>1</v>
      </c>
      <c r="G907" s="154">
        <v>3</v>
      </c>
      <c r="H907" s="154">
        <v>0</v>
      </c>
      <c r="I907" s="154">
        <v>0</v>
      </c>
      <c r="J907" s="154">
        <v>0</v>
      </c>
      <c r="K907" s="154">
        <v>0.28499999999999998</v>
      </c>
      <c r="L907" s="154">
        <v>0.48</v>
      </c>
      <c r="M907" s="154">
        <v>0.51100000000000001</v>
      </c>
      <c r="N907" s="154">
        <v>0.57999999999999996</v>
      </c>
      <c r="O907" s="108">
        <f t="shared" si="70"/>
        <v>0.6842105263157896</v>
      </c>
      <c r="P907" s="108">
        <f t="shared" si="71"/>
        <v>6.4583333333333437E-2</v>
      </c>
      <c r="Q907" s="108">
        <f t="shared" si="72"/>
        <v>0.13502935420743634</v>
      </c>
      <c r="S907" s="109">
        <f t="shared" si="73"/>
        <v>1.0350877192982457</v>
      </c>
      <c r="T907" s="109">
        <f t="shared" si="74"/>
        <v>0.20833333333333326</v>
      </c>
    </row>
    <row r="908" spans="1:20">
      <c r="A908" s="154">
        <v>766</v>
      </c>
      <c r="B908" s="156">
        <v>2317</v>
      </c>
      <c r="C908" s="133" t="s">
        <v>3176</v>
      </c>
      <c r="D908" s="155" t="s">
        <v>2324</v>
      </c>
      <c r="E908" s="154">
        <v>6</v>
      </c>
      <c r="F908" s="154">
        <v>3</v>
      </c>
      <c r="G908" s="154">
        <v>3</v>
      </c>
      <c r="H908" s="154">
        <v>0</v>
      </c>
      <c r="I908" s="154">
        <v>0</v>
      </c>
      <c r="J908" s="154">
        <v>0</v>
      </c>
      <c r="K908" s="154">
        <v>0.53500000000000003</v>
      </c>
      <c r="L908" s="154">
        <v>0.59099999999999997</v>
      </c>
      <c r="M908" s="154">
        <v>0.66</v>
      </c>
      <c r="N908" s="154">
        <v>0.71299999999999997</v>
      </c>
      <c r="O908" s="108">
        <f t="shared" si="70"/>
        <v>0.10467289719626161</v>
      </c>
      <c r="P908" s="108">
        <f t="shared" si="71"/>
        <v>0.11675126903553301</v>
      </c>
      <c r="Q908" s="108">
        <f t="shared" si="72"/>
        <v>8.0303030303030098E-2</v>
      </c>
      <c r="S908" s="109">
        <f t="shared" si="73"/>
        <v>0.33271028037383155</v>
      </c>
      <c r="T908" s="109">
        <f t="shared" si="74"/>
        <v>0.20642978003384105</v>
      </c>
    </row>
    <row r="909" spans="1:20">
      <c r="A909" s="154">
        <v>817</v>
      </c>
      <c r="B909" s="156">
        <v>603377</v>
      </c>
      <c r="C909" s="133" t="s">
        <v>3177</v>
      </c>
      <c r="D909" s="155" t="s">
        <v>2324</v>
      </c>
      <c r="E909" s="154">
        <v>5</v>
      </c>
      <c r="F909" s="154">
        <v>4</v>
      </c>
      <c r="G909" s="154">
        <v>1</v>
      </c>
      <c r="H909" s="154">
        <v>0</v>
      </c>
      <c r="I909" s="154">
        <v>0</v>
      </c>
      <c r="J909" s="154">
        <v>0</v>
      </c>
      <c r="K909" s="154">
        <v>0.38</v>
      </c>
      <c r="L909" s="154">
        <v>0.39300000000000002</v>
      </c>
      <c r="M909" s="154">
        <v>0.43</v>
      </c>
      <c r="N909" s="154">
        <v>0.47299999999999998</v>
      </c>
      <c r="O909" s="108">
        <f t="shared" si="70"/>
        <v>3.4210526315789469E-2</v>
      </c>
      <c r="P909" s="108">
        <f t="shared" si="71"/>
        <v>9.4147582697200916E-2</v>
      </c>
      <c r="Q909" s="108">
        <f t="shared" si="72"/>
        <v>9.9999999999999867E-2</v>
      </c>
      <c r="S909" s="109">
        <f t="shared" si="73"/>
        <v>0.24473684210526314</v>
      </c>
      <c r="T909" s="109">
        <f t="shared" si="74"/>
        <v>0.20356234096692094</v>
      </c>
    </row>
    <row r="910" spans="1:20">
      <c r="A910" s="154">
        <v>540</v>
      </c>
      <c r="B910" s="156">
        <v>672</v>
      </c>
      <c r="C910" s="133" t="s">
        <v>3178</v>
      </c>
      <c r="D910" s="155" t="s">
        <v>2324</v>
      </c>
      <c r="E910" s="154">
        <v>9</v>
      </c>
      <c r="F910" s="154">
        <v>7</v>
      </c>
      <c r="G910" s="154">
        <v>2</v>
      </c>
      <c r="H910" s="154">
        <v>0</v>
      </c>
      <c r="I910" s="154">
        <v>0</v>
      </c>
      <c r="J910" s="154">
        <v>0</v>
      </c>
      <c r="K910" s="154">
        <v>1.81</v>
      </c>
      <c r="L910" s="154">
        <v>2.5409999999999999</v>
      </c>
      <c r="M910" s="154">
        <v>2.8290000000000002</v>
      </c>
      <c r="N910" s="154">
        <v>3.056</v>
      </c>
      <c r="O910" s="108">
        <f t="shared" si="70"/>
        <v>0.403867403314917</v>
      </c>
      <c r="P910" s="108">
        <f t="shared" si="71"/>
        <v>0.11334120425029526</v>
      </c>
      <c r="Q910" s="108">
        <f t="shared" si="72"/>
        <v>8.0240367621067454E-2</v>
      </c>
      <c r="S910" s="109">
        <f t="shared" si="73"/>
        <v>0.6883977900552487</v>
      </c>
      <c r="T910" s="109">
        <f t="shared" si="74"/>
        <v>0.20267611176702083</v>
      </c>
    </row>
    <row r="911" spans="1:20">
      <c r="A911" s="154">
        <v>560</v>
      </c>
      <c r="B911" s="156">
        <v>923</v>
      </c>
      <c r="C911" s="133" t="s">
        <v>3179</v>
      </c>
      <c r="D911" s="155" t="s">
        <v>2324</v>
      </c>
      <c r="E911" s="154">
        <v>8</v>
      </c>
      <c r="F911" s="154">
        <v>1</v>
      </c>
      <c r="G911" s="154">
        <v>7</v>
      </c>
      <c r="H911" s="154">
        <v>0</v>
      </c>
      <c r="I911" s="154">
        <v>0</v>
      </c>
      <c r="J911" s="154">
        <v>0</v>
      </c>
      <c r="K911" s="154">
        <v>0.20499999999999999</v>
      </c>
      <c r="L911" s="154">
        <v>0.92800000000000005</v>
      </c>
      <c r="M911" s="154">
        <v>1.026</v>
      </c>
      <c r="N911" s="154">
        <v>1.1160000000000001</v>
      </c>
      <c r="O911" s="108">
        <f t="shared" si="70"/>
        <v>3.5268292682926834</v>
      </c>
      <c r="P911" s="108">
        <f t="shared" si="71"/>
        <v>0.1056034482758621</v>
      </c>
      <c r="Q911" s="108">
        <f t="shared" si="72"/>
        <v>8.7719298245614086E-2</v>
      </c>
      <c r="S911" s="109">
        <f t="shared" si="73"/>
        <v>4.4439024390243906</v>
      </c>
      <c r="T911" s="109">
        <f t="shared" si="74"/>
        <v>0.20258620689655182</v>
      </c>
    </row>
    <row r="912" spans="1:20">
      <c r="A912" s="154">
        <v>970</v>
      </c>
      <c r="B912" s="156">
        <v>2287</v>
      </c>
      <c r="C912" s="133" t="s">
        <v>3180</v>
      </c>
      <c r="D912" s="155" t="s">
        <v>2324</v>
      </c>
      <c r="E912" s="154">
        <v>3</v>
      </c>
      <c r="F912" s="154">
        <v>0</v>
      </c>
      <c r="G912" s="154">
        <v>3</v>
      </c>
      <c r="H912" s="154">
        <v>0</v>
      </c>
      <c r="I912" s="154">
        <v>0</v>
      </c>
      <c r="J912" s="154">
        <v>0</v>
      </c>
      <c r="K912" s="154">
        <v>0.60099999999999998</v>
      </c>
      <c r="L912" s="154">
        <v>0.73199999999999998</v>
      </c>
      <c r="M912" s="154">
        <v>0.80400000000000005</v>
      </c>
      <c r="N912" s="154">
        <v>0.88</v>
      </c>
      <c r="O912" s="108">
        <f t="shared" si="70"/>
        <v>0.21797004991680535</v>
      </c>
      <c r="P912" s="108">
        <f t="shared" si="71"/>
        <v>9.8360655737705027E-2</v>
      </c>
      <c r="Q912" s="108">
        <f t="shared" si="72"/>
        <v>9.4527363184079505E-2</v>
      </c>
      <c r="S912" s="109">
        <f t="shared" si="73"/>
        <v>0.46422628951747091</v>
      </c>
      <c r="T912" s="109">
        <f t="shared" si="74"/>
        <v>0.20218579234972678</v>
      </c>
    </row>
    <row r="913" spans="1:20">
      <c r="A913" s="154">
        <v>7</v>
      </c>
      <c r="B913" s="156">
        <v>600104</v>
      </c>
      <c r="C913" s="133" t="s">
        <v>3181</v>
      </c>
      <c r="D913" s="155" t="s">
        <v>2324</v>
      </c>
      <c r="E913" s="154">
        <v>61</v>
      </c>
      <c r="F913" s="154">
        <v>34</v>
      </c>
      <c r="G913" s="154">
        <v>27</v>
      </c>
      <c r="H913" s="154">
        <v>0</v>
      </c>
      <c r="I913" s="154">
        <v>0</v>
      </c>
      <c r="J913" s="154">
        <v>0</v>
      </c>
      <c r="K913" s="154">
        <v>3.0819999999999999</v>
      </c>
      <c r="L913" s="154">
        <v>2.59</v>
      </c>
      <c r="M913" s="154">
        <v>2.8570000000000002</v>
      </c>
      <c r="N913" s="154">
        <v>3.113</v>
      </c>
      <c r="O913" s="108">
        <f t="shared" si="70"/>
        <v>-0.15963659961064247</v>
      </c>
      <c r="P913" s="108">
        <f t="shared" si="71"/>
        <v>0.1030888030888033</v>
      </c>
      <c r="Q913" s="108">
        <f t="shared" si="72"/>
        <v>8.9604480224011018E-2</v>
      </c>
      <c r="S913" s="109">
        <f t="shared" si="73"/>
        <v>1.0058403634003898E-2</v>
      </c>
      <c r="T913" s="109">
        <f t="shared" si="74"/>
        <v>0.20193050193050199</v>
      </c>
    </row>
    <row r="914" spans="1:20">
      <c r="A914" s="154">
        <v>315</v>
      </c>
      <c r="B914" s="156">
        <v>600803</v>
      </c>
      <c r="C914" s="133" t="s">
        <v>3182</v>
      </c>
      <c r="D914" s="155" t="s">
        <v>2324</v>
      </c>
      <c r="E914" s="154">
        <v>16</v>
      </c>
      <c r="F914" s="154">
        <v>12</v>
      </c>
      <c r="G914" s="154">
        <v>4</v>
      </c>
      <c r="H914" s="154">
        <v>0</v>
      </c>
      <c r="I914" s="154">
        <v>0</v>
      </c>
      <c r="J914" s="154">
        <v>0</v>
      </c>
      <c r="K914" s="154">
        <v>1.075</v>
      </c>
      <c r="L914" s="154">
        <v>1.1220000000000001</v>
      </c>
      <c r="M914" s="154">
        <v>1.22</v>
      </c>
      <c r="N914" s="154">
        <v>1.34</v>
      </c>
      <c r="O914" s="108">
        <f t="shared" si="70"/>
        <v>4.3720930232558297E-2</v>
      </c>
      <c r="P914" s="108">
        <f t="shared" si="71"/>
        <v>8.734402852049894E-2</v>
      </c>
      <c r="Q914" s="108">
        <f t="shared" si="72"/>
        <v>9.8360655737705027E-2</v>
      </c>
      <c r="S914" s="109">
        <f t="shared" si="73"/>
        <v>0.24651162790697678</v>
      </c>
      <c r="T914" s="109">
        <f t="shared" si="74"/>
        <v>0.19429590017825316</v>
      </c>
    </row>
    <row r="915" spans="1:20">
      <c r="A915" s="154">
        <v>188</v>
      </c>
      <c r="B915" s="156">
        <v>601398</v>
      </c>
      <c r="C915" s="133" t="s">
        <v>3183</v>
      </c>
      <c r="D915" s="155" t="s">
        <v>2324</v>
      </c>
      <c r="E915" s="154">
        <v>23</v>
      </c>
      <c r="F915" s="154">
        <v>14</v>
      </c>
      <c r="G915" s="154">
        <v>9</v>
      </c>
      <c r="H915" s="154">
        <v>0</v>
      </c>
      <c r="I915" s="154">
        <v>0</v>
      </c>
      <c r="J915" s="154">
        <v>0</v>
      </c>
      <c r="K915" s="154">
        <v>0.83499999999999996</v>
      </c>
      <c r="L915" s="154">
        <v>0.82099999999999995</v>
      </c>
      <c r="M915" s="154">
        <v>0.92400000000000004</v>
      </c>
      <c r="N915" s="154">
        <v>0.98</v>
      </c>
      <c r="O915" s="108">
        <f t="shared" si="70"/>
        <v>-1.6766467065868262E-2</v>
      </c>
      <c r="P915" s="108">
        <f t="shared" si="71"/>
        <v>0.12545676004872108</v>
      </c>
      <c r="Q915" s="108">
        <f t="shared" si="72"/>
        <v>6.0606060606060552E-2</v>
      </c>
      <c r="S915" s="109">
        <f t="shared" si="73"/>
        <v>0.17365269461077837</v>
      </c>
      <c r="T915" s="109">
        <f t="shared" si="74"/>
        <v>0.19366626065773462</v>
      </c>
    </row>
    <row r="916" spans="1:20">
      <c r="A916" s="154">
        <v>504</v>
      </c>
      <c r="B916" s="156">
        <v>89</v>
      </c>
      <c r="C916" s="133" t="s">
        <v>3184</v>
      </c>
      <c r="D916" s="155" t="s">
        <v>2324</v>
      </c>
      <c r="E916" s="154">
        <v>10</v>
      </c>
      <c r="F916" s="154">
        <v>3</v>
      </c>
      <c r="G916" s="154">
        <v>5</v>
      </c>
      <c r="H916" s="154">
        <v>2</v>
      </c>
      <c r="I916" s="154">
        <v>0</v>
      </c>
      <c r="J916" s="154">
        <v>0</v>
      </c>
      <c r="K916" s="154">
        <v>0.32600000000000001</v>
      </c>
      <c r="L916" s="154">
        <v>0.32</v>
      </c>
      <c r="M916" s="154">
        <v>0.39100000000000001</v>
      </c>
      <c r="N916" s="154">
        <v>0.38100000000000001</v>
      </c>
      <c r="O916" s="108">
        <f t="shared" si="70"/>
        <v>-1.8404907975460127E-2</v>
      </c>
      <c r="P916" s="108">
        <f t="shared" si="71"/>
        <v>0.22187500000000004</v>
      </c>
      <c r="Q916" s="108">
        <f t="shared" si="72"/>
        <v>-2.5575447570332477E-2</v>
      </c>
      <c r="S916" s="109">
        <f t="shared" si="73"/>
        <v>0.16871165644171771</v>
      </c>
      <c r="T916" s="109">
        <f t="shared" si="74"/>
        <v>0.19062500000000004</v>
      </c>
    </row>
    <row r="917" spans="1:20">
      <c r="A917" s="154">
        <v>426</v>
      </c>
      <c r="B917" s="156">
        <v>600720</v>
      </c>
      <c r="C917" s="133" t="s">
        <v>3185</v>
      </c>
      <c r="D917" s="155" t="s">
        <v>2324</v>
      </c>
      <c r="E917" s="154">
        <v>12</v>
      </c>
      <c r="F917" s="154">
        <v>10</v>
      </c>
      <c r="G917" s="154">
        <v>2</v>
      </c>
      <c r="H917" s="154">
        <v>0</v>
      </c>
      <c r="I917" s="154">
        <v>0</v>
      </c>
      <c r="J917" s="154">
        <v>0</v>
      </c>
      <c r="K917" s="154">
        <v>0.84399999999999997</v>
      </c>
      <c r="L917" s="154">
        <v>1.484</v>
      </c>
      <c r="M917" s="154">
        <v>1.6419999999999999</v>
      </c>
      <c r="N917" s="154">
        <v>1.7649999999999999</v>
      </c>
      <c r="O917" s="108">
        <f t="shared" si="70"/>
        <v>0.7582938388625593</v>
      </c>
      <c r="P917" s="108">
        <f t="shared" si="71"/>
        <v>0.10646900269541781</v>
      </c>
      <c r="Q917" s="108">
        <f t="shared" si="72"/>
        <v>7.4908647990255872E-2</v>
      </c>
      <c r="S917" s="109">
        <f t="shared" si="73"/>
        <v>1.0912322274881516</v>
      </c>
      <c r="T917" s="109">
        <f t="shared" si="74"/>
        <v>0.18935309973045822</v>
      </c>
    </row>
    <row r="918" spans="1:20">
      <c r="A918" s="154">
        <v>359</v>
      </c>
      <c r="B918" s="156">
        <v>601169</v>
      </c>
      <c r="C918" s="133" t="s">
        <v>3186</v>
      </c>
      <c r="D918" s="155" t="s">
        <v>2324</v>
      </c>
      <c r="E918" s="154">
        <v>14</v>
      </c>
      <c r="F918" s="154">
        <v>4</v>
      </c>
      <c r="G918" s="154">
        <v>10</v>
      </c>
      <c r="H918" s="154">
        <v>0</v>
      </c>
      <c r="I918" s="154">
        <v>0</v>
      </c>
      <c r="J918" s="154">
        <v>0</v>
      </c>
      <c r="K918" s="154">
        <v>0.94599999999999995</v>
      </c>
      <c r="L918" s="154">
        <v>0.996</v>
      </c>
      <c r="M918" s="154">
        <v>1.083</v>
      </c>
      <c r="N918" s="154">
        <v>1.1830000000000001</v>
      </c>
      <c r="O918" s="108">
        <f t="shared" si="70"/>
        <v>5.2854122621564636E-2</v>
      </c>
      <c r="P918" s="108">
        <f t="shared" si="71"/>
        <v>8.7349397590361422E-2</v>
      </c>
      <c r="Q918" s="108">
        <f t="shared" si="72"/>
        <v>9.2336103416435833E-2</v>
      </c>
      <c r="S918" s="109">
        <f t="shared" si="73"/>
        <v>0.25052854122621571</v>
      </c>
      <c r="T918" s="109">
        <f t="shared" si="74"/>
        <v>0.18775100401606437</v>
      </c>
    </row>
    <row r="919" spans="1:20">
      <c r="A919" s="154">
        <v>843</v>
      </c>
      <c r="B919" s="156">
        <v>601618</v>
      </c>
      <c r="C919" s="133" t="s">
        <v>3187</v>
      </c>
      <c r="D919" s="155" t="s">
        <v>2324</v>
      </c>
      <c r="E919" s="154">
        <v>5</v>
      </c>
      <c r="F919" s="154">
        <v>4</v>
      </c>
      <c r="G919" s="154">
        <v>1</v>
      </c>
      <c r="H919" s="154">
        <v>0</v>
      </c>
      <c r="I919" s="154">
        <v>0</v>
      </c>
      <c r="J919" s="154">
        <v>0</v>
      </c>
      <c r="K919" s="154">
        <v>0.307</v>
      </c>
      <c r="L919" s="154">
        <v>0.34699999999999998</v>
      </c>
      <c r="M919" s="154">
        <v>0.38500000000000001</v>
      </c>
      <c r="N919" s="154">
        <v>0.41199999999999998</v>
      </c>
      <c r="O919" s="108">
        <f t="shared" si="70"/>
        <v>0.13029315960912036</v>
      </c>
      <c r="P919" s="108">
        <f t="shared" si="71"/>
        <v>0.10951008645533156</v>
      </c>
      <c r="Q919" s="108">
        <f t="shared" si="72"/>
        <v>7.0129870129870042E-2</v>
      </c>
      <c r="S919" s="109">
        <f t="shared" si="73"/>
        <v>0.3420195439739413</v>
      </c>
      <c r="T919" s="109">
        <f t="shared" si="74"/>
        <v>0.18731988472622474</v>
      </c>
    </row>
    <row r="920" spans="1:20">
      <c r="A920" s="154">
        <v>669</v>
      </c>
      <c r="B920" s="156">
        <v>600740</v>
      </c>
      <c r="C920" s="133" t="s">
        <v>3188</v>
      </c>
      <c r="D920" s="155" t="s">
        <v>2324</v>
      </c>
      <c r="E920" s="154">
        <v>7</v>
      </c>
      <c r="F920" s="154">
        <v>4</v>
      </c>
      <c r="G920" s="154">
        <v>3</v>
      </c>
      <c r="H920" s="154">
        <v>0</v>
      </c>
      <c r="I920" s="154">
        <v>0</v>
      </c>
      <c r="J920" s="154">
        <v>0</v>
      </c>
      <c r="K920" s="154">
        <v>1.0109999999999999</v>
      </c>
      <c r="L920" s="154">
        <v>0.89500000000000002</v>
      </c>
      <c r="M920" s="154">
        <v>1.0049999999999999</v>
      </c>
      <c r="N920" s="154">
        <v>1.0620000000000001</v>
      </c>
      <c r="O920" s="108">
        <f t="shared" si="70"/>
        <v>-0.11473788328387724</v>
      </c>
      <c r="P920" s="108">
        <f t="shared" si="71"/>
        <v>0.12290502793296065</v>
      </c>
      <c r="Q920" s="108">
        <f t="shared" si="72"/>
        <v>5.6716417910448014E-2</v>
      </c>
      <c r="S920" s="109">
        <f t="shared" si="73"/>
        <v>5.0445103857566842E-2</v>
      </c>
      <c r="T920" s="109">
        <f t="shared" si="74"/>
        <v>0.18659217877094969</v>
      </c>
    </row>
    <row r="921" spans="1:20">
      <c r="A921" s="154">
        <v>292</v>
      </c>
      <c r="B921" s="156">
        <v>600398</v>
      </c>
      <c r="C921" s="133" t="s">
        <v>3189</v>
      </c>
      <c r="D921" s="155" t="s">
        <v>2324</v>
      </c>
      <c r="E921" s="154">
        <v>17</v>
      </c>
      <c r="F921" s="154">
        <v>14</v>
      </c>
      <c r="G921" s="154">
        <v>3</v>
      </c>
      <c r="H921" s="154">
        <v>0</v>
      </c>
      <c r="I921" s="154">
        <v>0</v>
      </c>
      <c r="J921" s="154">
        <v>0</v>
      </c>
      <c r="K921" s="154">
        <v>0.78200000000000003</v>
      </c>
      <c r="L921" s="154">
        <v>0.81200000000000006</v>
      </c>
      <c r="M921" s="154">
        <v>0.88200000000000001</v>
      </c>
      <c r="N921" s="154">
        <v>0.96199999999999997</v>
      </c>
      <c r="O921" s="108">
        <f t="shared" si="70"/>
        <v>3.8363171355498826E-2</v>
      </c>
      <c r="P921" s="108">
        <f t="shared" si="71"/>
        <v>8.6206896551723977E-2</v>
      </c>
      <c r="Q921" s="108">
        <f t="shared" si="72"/>
        <v>9.0702947845805015E-2</v>
      </c>
      <c r="S921" s="109">
        <f t="shared" si="73"/>
        <v>0.23017902813299229</v>
      </c>
      <c r="T921" s="109">
        <f t="shared" si="74"/>
        <v>0.18472906403940881</v>
      </c>
    </row>
    <row r="922" spans="1:20">
      <c r="A922" s="154">
        <v>109</v>
      </c>
      <c r="B922" s="156">
        <v>600066</v>
      </c>
      <c r="C922" s="133" t="s">
        <v>3190</v>
      </c>
      <c r="D922" s="155" t="s">
        <v>2324</v>
      </c>
      <c r="E922" s="154">
        <v>30</v>
      </c>
      <c r="F922" s="154">
        <v>9</v>
      </c>
      <c r="G922" s="154">
        <v>21</v>
      </c>
      <c r="H922" s="154">
        <v>0</v>
      </c>
      <c r="I922" s="154">
        <v>0</v>
      </c>
      <c r="J922" s="154">
        <v>0</v>
      </c>
      <c r="K922" s="154">
        <v>1.04</v>
      </c>
      <c r="L922" s="154">
        <v>1.1000000000000001</v>
      </c>
      <c r="M922" s="154">
        <v>1.1970000000000001</v>
      </c>
      <c r="N922" s="154">
        <v>1.3029999999999999</v>
      </c>
      <c r="O922" s="108">
        <f t="shared" si="70"/>
        <v>5.7692307692307709E-2</v>
      </c>
      <c r="P922" s="108">
        <f t="shared" si="71"/>
        <v>8.8181818181818139E-2</v>
      </c>
      <c r="Q922" s="108">
        <f t="shared" si="72"/>
        <v>8.8554720133667386E-2</v>
      </c>
      <c r="S922" s="109">
        <f t="shared" si="73"/>
        <v>0.25288461538461537</v>
      </c>
      <c r="T922" s="109">
        <f t="shared" si="74"/>
        <v>0.18454545454545435</v>
      </c>
    </row>
    <row r="923" spans="1:20">
      <c r="A923" s="154">
        <v>293</v>
      </c>
      <c r="B923" s="156">
        <v>895</v>
      </c>
      <c r="C923" s="133" t="s">
        <v>3191</v>
      </c>
      <c r="D923" s="155" t="s">
        <v>2324</v>
      </c>
      <c r="E923" s="154">
        <v>17</v>
      </c>
      <c r="F923" s="154">
        <v>11</v>
      </c>
      <c r="G923" s="154">
        <v>6</v>
      </c>
      <c r="H923" s="154">
        <v>0</v>
      </c>
      <c r="I923" s="154">
        <v>0</v>
      </c>
      <c r="J923" s="154">
        <v>0</v>
      </c>
      <c r="K923" s="154">
        <v>1.4810000000000001</v>
      </c>
      <c r="L923" s="154">
        <v>1.587</v>
      </c>
      <c r="M923" s="154">
        <v>1.681</v>
      </c>
      <c r="N923" s="154">
        <v>1.8759999999999999</v>
      </c>
      <c r="O923" s="108">
        <f t="shared" si="70"/>
        <v>7.1573261309925584E-2</v>
      </c>
      <c r="P923" s="108">
        <f t="shared" si="71"/>
        <v>5.9231253938248241E-2</v>
      </c>
      <c r="Q923" s="108">
        <f t="shared" si="72"/>
        <v>0.11600237953599035</v>
      </c>
      <c r="S923" s="109">
        <f t="shared" si="73"/>
        <v>0.2667116812964212</v>
      </c>
      <c r="T923" s="109">
        <f t="shared" si="74"/>
        <v>0.18210459987397609</v>
      </c>
    </row>
    <row r="924" spans="1:20">
      <c r="A924" s="154">
        <v>108</v>
      </c>
      <c r="B924" s="156">
        <v>600741</v>
      </c>
      <c r="C924" s="133" t="s">
        <v>3192</v>
      </c>
      <c r="D924" s="155" t="s">
        <v>2324</v>
      </c>
      <c r="E924" s="154">
        <v>30</v>
      </c>
      <c r="F924" s="154">
        <v>19</v>
      </c>
      <c r="G924" s="154">
        <v>10</v>
      </c>
      <c r="H924" s="154">
        <v>1</v>
      </c>
      <c r="I924" s="154">
        <v>0</v>
      </c>
      <c r="J924" s="154">
        <v>0</v>
      </c>
      <c r="K924" s="154">
        <v>2.5459999999999998</v>
      </c>
      <c r="L924" s="154">
        <v>2.1789999999999998</v>
      </c>
      <c r="M924" s="154">
        <v>2.3580000000000001</v>
      </c>
      <c r="N924" s="154">
        <v>2.5739999999999998</v>
      </c>
      <c r="O924" s="108">
        <f t="shared" si="70"/>
        <v>-0.14414768263943445</v>
      </c>
      <c r="P924" s="108">
        <f t="shared" si="71"/>
        <v>8.2147774208352509E-2</v>
      </c>
      <c r="Q924" s="108">
        <f t="shared" si="72"/>
        <v>9.1603053435114434E-2</v>
      </c>
      <c r="S924" s="109">
        <f t="shared" si="73"/>
        <v>1.09976433621366E-2</v>
      </c>
      <c r="T924" s="109">
        <f t="shared" si="74"/>
        <v>0.18127581459385045</v>
      </c>
    </row>
    <row r="925" spans="1:20">
      <c r="A925" s="154">
        <v>154</v>
      </c>
      <c r="B925" s="156">
        <v>338</v>
      </c>
      <c r="C925" s="133" t="s">
        <v>3193</v>
      </c>
      <c r="D925" s="155" t="s">
        <v>2324</v>
      </c>
      <c r="E925" s="154">
        <v>25</v>
      </c>
      <c r="F925" s="154">
        <v>14</v>
      </c>
      <c r="G925" s="154">
        <v>11</v>
      </c>
      <c r="H925" s="154">
        <v>0</v>
      </c>
      <c r="I925" s="154">
        <v>0</v>
      </c>
      <c r="J925" s="154">
        <v>0</v>
      </c>
      <c r="K925" s="154">
        <v>1.091</v>
      </c>
      <c r="L925" s="154">
        <v>1.218</v>
      </c>
      <c r="M925" s="154">
        <v>1.335</v>
      </c>
      <c r="N925" s="154">
        <v>1.4350000000000001</v>
      </c>
      <c r="O925" s="108">
        <f t="shared" si="70"/>
        <v>0.11640696608615952</v>
      </c>
      <c r="P925" s="108">
        <f t="shared" si="71"/>
        <v>9.605911330049266E-2</v>
      </c>
      <c r="Q925" s="108">
        <f t="shared" si="72"/>
        <v>7.4906367041198463E-2</v>
      </c>
      <c r="S925" s="109">
        <f t="shared" si="73"/>
        <v>0.31530705774518797</v>
      </c>
      <c r="T925" s="109">
        <f t="shared" si="74"/>
        <v>0.17816091954023006</v>
      </c>
    </row>
    <row r="926" spans="1:20">
      <c r="A926" s="154">
        <v>871</v>
      </c>
      <c r="B926" s="156">
        <v>600987</v>
      </c>
      <c r="C926" s="133" t="s">
        <v>3194</v>
      </c>
      <c r="D926" s="155" t="s">
        <v>2324</v>
      </c>
      <c r="E926" s="154">
        <v>4</v>
      </c>
      <c r="F926" s="154">
        <v>4</v>
      </c>
      <c r="G926" s="154">
        <v>0</v>
      </c>
      <c r="H926" s="154">
        <v>0</v>
      </c>
      <c r="I926" s="154">
        <v>0</v>
      </c>
      <c r="J926" s="154">
        <v>0</v>
      </c>
      <c r="K926" s="154">
        <v>0.61199999999999999</v>
      </c>
      <c r="L926" s="154">
        <v>0.67100000000000004</v>
      </c>
      <c r="M926" s="154">
        <v>0.73099999999999998</v>
      </c>
      <c r="N926" s="154">
        <v>0.79</v>
      </c>
      <c r="O926" s="108">
        <f t="shared" si="70"/>
        <v>9.6405228758170036E-2</v>
      </c>
      <c r="P926" s="108">
        <f t="shared" si="71"/>
        <v>8.9418777943367944E-2</v>
      </c>
      <c r="Q926" s="108">
        <f t="shared" si="72"/>
        <v>8.0711354309165539E-2</v>
      </c>
      <c r="S926" s="109">
        <f t="shared" si="73"/>
        <v>0.29084967320261446</v>
      </c>
      <c r="T926" s="109">
        <f t="shared" si="74"/>
        <v>0.17734724292101345</v>
      </c>
    </row>
    <row r="927" spans="1:20">
      <c r="A927" s="154">
        <v>689</v>
      </c>
      <c r="B927" s="156">
        <v>629</v>
      </c>
      <c r="C927" s="133" t="s">
        <v>3195</v>
      </c>
      <c r="D927" s="155" t="s">
        <v>2324</v>
      </c>
      <c r="E927" s="154">
        <v>7</v>
      </c>
      <c r="F927" s="154">
        <v>2</v>
      </c>
      <c r="G927" s="154">
        <v>5</v>
      </c>
      <c r="H927" s="154">
        <v>0</v>
      </c>
      <c r="I927" s="154">
        <v>0</v>
      </c>
      <c r="J927" s="154">
        <v>0</v>
      </c>
      <c r="K927" s="154">
        <v>0.36</v>
      </c>
      <c r="L927" s="154">
        <v>0.23699999999999999</v>
      </c>
      <c r="M927" s="154">
        <v>0.26</v>
      </c>
      <c r="N927" s="154">
        <v>0.27900000000000003</v>
      </c>
      <c r="O927" s="108">
        <f t="shared" si="70"/>
        <v>-0.34166666666666667</v>
      </c>
      <c r="P927" s="108">
        <f t="shared" si="71"/>
        <v>9.7046413502109852E-2</v>
      </c>
      <c r="Q927" s="108">
        <f t="shared" si="72"/>
        <v>7.3076923076923039E-2</v>
      </c>
      <c r="S927" s="109">
        <f t="shared" si="73"/>
        <v>-0.22499999999999987</v>
      </c>
      <c r="T927" s="109">
        <f t="shared" si="74"/>
        <v>0.17721518987341778</v>
      </c>
    </row>
    <row r="928" spans="1:20">
      <c r="A928" s="154">
        <v>893</v>
      </c>
      <c r="B928" s="156">
        <v>910</v>
      </c>
      <c r="C928" s="133" t="s">
        <v>3196</v>
      </c>
      <c r="D928" s="155" t="s">
        <v>2324</v>
      </c>
      <c r="E928" s="154">
        <v>4</v>
      </c>
      <c r="F928" s="154">
        <v>3</v>
      </c>
      <c r="G928" s="154">
        <v>1</v>
      </c>
      <c r="H928" s="154">
        <v>0</v>
      </c>
      <c r="I928" s="154">
        <v>0</v>
      </c>
      <c r="J928" s="154">
        <v>0</v>
      </c>
      <c r="K928" s="154">
        <v>1.3089999999999999</v>
      </c>
      <c r="L928" s="154">
        <v>1.4339999999999999</v>
      </c>
      <c r="M928" s="154">
        <v>1.556</v>
      </c>
      <c r="N928" s="154">
        <v>1.6879999999999999</v>
      </c>
      <c r="O928" s="108">
        <f t="shared" si="70"/>
        <v>9.5492742551566145E-2</v>
      </c>
      <c r="P928" s="108">
        <f t="shared" si="71"/>
        <v>8.5076708507670906E-2</v>
      </c>
      <c r="Q928" s="108">
        <f t="shared" si="72"/>
        <v>8.4832904884318605E-2</v>
      </c>
      <c r="S928" s="109">
        <f t="shared" si="73"/>
        <v>0.28953399541634828</v>
      </c>
      <c r="T928" s="109">
        <f t="shared" si="74"/>
        <v>0.17712691771269173</v>
      </c>
    </row>
    <row r="929" spans="1:20">
      <c r="A929" s="154">
        <v>338</v>
      </c>
      <c r="B929" s="156">
        <v>601998</v>
      </c>
      <c r="C929" s="133" t="s">
        <v>3197</v>
      </c>
      <c r="D929" s="155" t="s">
        <v>2324</v>
      </c>
      <c r="E929" s="154">
        <v>15</v>
      </c>
      <c r="F929" s="154">
        <v>4</v>
      </c>
      <c r="G929" s="154">
        <v>11</v>
      </c>
      <c r="H929" s="154">
        <v>0</v>
      </c>
      <c r="I929" s="154">
        <v>0</v>
      </c>
      <c r="J929" s="154">
        <v>0</v>
      </c>
      <c r="K929" s="154">
        <v>0.91</v>
      </c>
      <c r="L929" s="154">
        <v>0.98299999999999998</v>
      </c>
      <c r="M929" s="154">
        <v>1.0660000000000001</v>
      </c>
      <c r="N929" s="154">
        <v>1.155</v>
      </c>
      <c r="O929" s="108">
        <f t="shared" si="70"/>
        <v>8.0219780219780157E-2</v>
      </c>
      <c r="P929" s="108">
        <f t="shared" si="71"/>
        <v>8.4435401831129298E-2</v>
      </c>
      <c r="Q929" s="108">
        <f t="shared" si="72"/>
        <v>8.3489681050656683E-2</v>
      </c>
      <c r="S929" s="109">
        <f t="shared" si="73"/>
        <v>0.26923076923076916</v>
      </c>
      <c r="T929" s="109">
        <f t="shared" si="74"/>
        <v>0.17497456765005093</v>
      </c>
    </row>
    <row r="930" spans="1:20">
      <c r="A930" s="154">
        <v>986</v>
      </c>
      <c r="B930" s="156">
        <v>600085</v>
      </c>
      <c r="C930" s="133" t="s">
        <v>3198</v>
      </c>
      <c r="D930" s="155" t="s">
        <v>2324</v>
      </c>
      <c r="E930" s="154">
        <v>3</v>
      </c>
      <c r="F930" s="154">
        <v>0</v>
      </c>
      <c r="G930" s="154">
        <v>3</v>
      </c>
      <c r="H930" s="154">
        <v>0</v>
      </c>
      <c r="I930" s="154">
        <v>0</v>
      </c>
      <c r="J930" s="154">
        <v>0</v>
      </c>
      <c r="K930" s="154">
        <v>0.82699999999999996</v>
      </c>
      <c r="L930" s="154">
        <v>0.85299999999999998</v>
      </c>
      <c r="M930" s="154">
        <v>0.92300000000000004</v>
      </c>
      <c r="N930" s="154">
        <v>0.997</v>
      </c>
      <c r="O930" s="108">
        <f t="shared" si="70"/>
        <v>3.1438935912938337E-2</v>
      </c>
      <c r="P930" s="108">
        <f t="shared" si="71"/>
        <v>8.2063305978897993E-2</v>
      </c>
      <c r="Q930" s="108">
        <f t="shared" si="72"/>
        <v>8.0173347778981441E-2</v>
      </c>
      <c r="S930" s="109">
        <f t="shared" si="73"/>
        <v>0.20556227327690446</v>
      </c>
      <c r="T930" s="109">
        <f t="shared" si="74"/>
        <v>0.16881594372801878</v>
      </c>
    </row>
    <row r="931" spans="1:20">
      <c r="A931" s="154">
        <v>124</v>
      </c>
      <c r="B931" s="156">
        <v>600690</v>
      </c>
      <c r="C931" s="133" t="s">
        <v>3199</v>
      </c>
      <c r="D931" s="155" t="s">
        <v>2324</v>
      </c>
      <c r="E931" s="154">
        <v>28</v>
      </c>
      <c r="F931" s="154">
        <v>21</v>
      </c>
      <c r="G931" s="154">
        <v>7</v>
      </c>
      <c r="H931" s="154">
        <v>0</v>
      </c>
      <c r="I931" s="154">
        <v>0</v>
      </c>
      <c r="J931" s="154">
        <v>0</v>
      </c>
      <c r="K931" s="154">
        <v>1.131</v>
      </c>
      <c r="L931" s="154">
        <v>1.395</v>
      </c>
      <c r="M931" s="154">
        <v>1.444</v>
      </c>
      <c r="N931" s="154">
        <v>1.6240000000000001</v>
      </c>
      <c r="O931" s="108">
        <f t="shared" si="70"/>
        <v>0.23342175066312998</v>
      </c>
      <c r="P931" s="108">
        <f t="shared" si="71"/>
        <v>3.5125448028673789E-2</v>
      </c>
      <c r="Q931" s="108">
        <f t="shared" si="72"/>
        <v>0.12465373961218851</v>
      </c>
      <c r="S931" s="109">
        <f t="shared" si="73"/>
        <v>0.4358974358974359</v>
      </c>
      <c r="T931" s="109">
        <f t="shared" si="74"/>
        <v>0.16415770609319003</v>
      </c>
    </row>
    <row r="932" spans="1:20">
      <c r="A932" s="154">
        <v>628</v>
      </c>
      <c r="B932" s="156">
        <v>888</v>
      </c>
      <c r="C932" s="133" t="s">
        <v>3200</v>
      </c>
      <c r="D932" s="155" t="s">
        <v>2324</v>
      </c>
      <c r="E932" s="154">
        <v>7</v>
      </c>
      <c r="F932" s="154">
        <v>3</v>
      </c>
      <c r="G932" s="154">
        <v>4</v>
      </c>
      <c r="H932" s="154">
        <v>0</v>
      </c>
      <c r="I932" s="154">
        <v>0</v>
      </c>
      <c r="J932" s="154">
        <v>0</v>
      </c>
      <c r="K932" s="154">
        <v>0.39700000000000002</v>
      </c>
      <c r="L932" s="154">
        <v>0.43099999999999999</v>
      </c>
      <c r="M932" s="154">
        <v>0.46600000000000003</v>
      </c>
      <c r="N932" s="154">
        <v>0.499</v>
      </c>
      <c r="O932" s="108">
        <f t="shared" si="70"/>
        <v>8.5642317380352662E-2</v>
      </c>
      <c r="P932" s="108">
        <f t="shared" si="71"/>
        <v>8.1206496519721671E-2</v>
      </c>
      <c r="Q932" s="108">
        <f t="shared" si="72"/>
        <v>7.0815450643776812E-2</v>
      </c>
      <c r="S932" s="109">
        <f t="shared" si="73"/>
        <v>0.25692695214105776</v>
      </c>
      <c r="T932" s="109">
        <f t="shared" si="74"/>
        <v>0.15777262180974483</v>
      </c>
    </row>
    <row r="933" spans="1:20">
      <c r="A933" s="154">
        <v>396</v>
      </c>
      <c r="B933" s="156">
        <v>600019</v>
      </c>
      <c r="C933" s="133" t="s">
        <v>3201</v>
      </c>
      <c r="D933" s="155" t="s">
        <v>2324</v>
      </c>
      <c r="E933" s="154">
        <v>13</v>
      </c>
      <c r="F933" s="154">
        <v>1</v>
      </c>
      <c r="G933" s="154">
        <v>12</v>
      </c>
      <c r="H933" s="154">
        <v>0</v>
      </c>
      <c r="I933" s="154">
        <v>0</v>
      </c>
      <c r="J933" s="154">
        <v>0</v>
      </c>
      <c r="K933" s="154">
        <v>0.96799999999999997</v>
      </c>
      <c r="L933" s="154">
        <v>0.55800000000000005</v>
      </c>
      <c r="M933" s="154">
        <v>0.59899999999999998</v>
      </c>
      <c r="N933" s="154">
        <v>0.64600000000000002</v>
      </c>
      <c r="O933" s="108">
        <f t="shared" si="70"/>
        <v>-0.42355371900826444</v>
      </c>
      <c r="P933" s="108">
        <f t="shared" si="71"/>
        <v>7.3476702508960434E-2</v>
      </c>
      <c r="Q933" s="108">
        <f t="shared" si="72"/>
        <v>7.8464106844741366E-2</v>
      </c>
      <c r="S933" s="109">
        <f t="shared" si="73"/>
        <v>-0.3326446280991735</v>
      </c>
      <c r="T933" s="109">
        <f t="shared" si="74"/>
        <v>0.15770609318996409</v>
      </c>
    </row>
    <row r="934" spans="1:20">
      <c r="A934" s="154">
        <v>940</v>
      </c>
      <c r="B934" s="156">
        <v>655</v>
      </c>
      <c r="C934" s="133" t="s">
        <v>3202</v>
      </c>
      <c r="D934" s="155" t="s">
        <v>2324</v>
      </c>
      <c r="E934" s="154">
        <v>4</v>
      </c>
      <c r="F934" s="154">
        <v>0</v>
      </c>
      <c r="G934" s="154">
        <v>4</v>
      </c>
      <c r="H934" s="154">
        <v>0</v>
      </c>
      <c r="I934" s="154">
        <v>0</v>
      </c>
      <c r="J934" s="154">
        <v>0</v>
      </c>
      <c r="K934" s="154">
        <v>0.16900000000000001</v>
      </c>
      <c r="L934" s="154">
        <v>0.34300000000000003</v>
      </c>
      <c r="M934" s="154">
        <v>0.374</v>
      </c>
      <c r="N934" s="154">
        <v>0.39700000000000002</v>
      </c>
      <c r="O934" s="108">
        <f t="shared" si="70"/>
        <v>1.029585798816568</v>
      </c>
      <c r="P934" s="108">
        <f t="shared" si="71"/>
        <v>9.0379008746355627E-2</v>
      </c>
      <c r="Q934" s="108">
        <f t="shared" si="72"/>
        <v>6.149732620320858E-2</v>
      </c>
      <c r="S934" s="109">
        <f t="shared" si="73"/>
        <v>1.3491124260355027</v>
      </c>
      <c r="T934" s="109">
        <f t="shared" si="74"/>
        <v>0.1574344023323615</v>
      </c>
    </row>
    <row r="935" spans="1:20">
      <c r="A935" s="154">
        <v>692</v>
      </c>
      <c r="B935" s="156">
        <v>877</v>
      </c>
      <c r="C935" s="133" t="s">
        <v>3203</v>
      </c>
      <c r="D935" s="155" t="s">
        <v>2324</v>
      </c>
      <c r="E935" s="154">
        <v>7</v>
      </c>
      <c r="F935" s="154">
        <v>6</v>
      </c>
      <c r="G935" s="154">
        <v>1</v>
      </c>
      <c r="H935" s="154">
        <v>0</v>
      </c>
      <c r="I935" s="154">
        <v>0</v>
      </c>
      <c r="J935" s="154">
        <v>0</v>
      </c>
      <c r="K935" s="154">
        <v>1.1830000000000001</v>
      </c>
      <c r="L935" s="154">
        <v>1.615</v>
      </c>
      <c r="M935" s="154">
        <v>1.746</v>
      </c>
      <c r="N935" s="154">
        <v>1.869</v>
      </c>
      <c r="O935" s="108">
        <f t="shared" si="70"/>
        <v>0.36517328825021123</v>
      </c>
      <c r="P935" s="108">
        <f t="shared" si="71"/>
        <v>8.1114551083591335E-2</v>
      </c>
      <c r="Q935" s="108">
        <f t="shared" si="72"/>
        <v>7.0446735395188975E-2</v>
      </c>
      <c r="S935" s="109">
        <f t="shared" si="73"/>
        <v>0.57988165680473358</v>
      </c>
      <c r="T935" s="109">
        <f t="shared" si="74"/>
        <v>0.15727554179566572</v>
      </c>
    </row>
    <row r="936" spans="1:20">
      <c r="A936" s="154">
        <v>647</v>
      </c>
      <c r="B936" s="156">
        <v>603156</v>
      </c>
      <c r="C936" s="133" t="s">
        <v>3204</v>
      </c>
      <c r="D936" s="155" t="s">
        <v>2324</v>
      </c>
      <c r="E936" s="154">
        <v>7</v>
      </c>
      <c r="F936" s="154">
        <v>6</v>
      </c>
      <c r="G936" s="154">
        <v>1</v>
      </c>
      <c r="H936" s="154">
        <v>0</v>
      </c>
      <c r="I936" s="154">
        <v>0</v>
      </c>
      <c r="J936" s="154">
        <v>0</v>
      </c>
      <c r="K936" s="154">
        <v>2.5390000000000001</v>
      </c>
      <c r="L936" s="154">
        <v>2.67</v>
      </c>
      <c r="M936" s="154">
        <v>2.8580000000000001</v>
      </c>
      <c r="N936" s="154">
        <v>3.089</v>
      </c>
      <c r="O936" s="108">
        <f t="shared" si="70"/>
        <v>5.1595116187475254E-2</v>
      </c>
      <c r="P936" s="108">
        <f t="shared" si="71"/>
        <v>7.0411985018726586E-2</v>
      </c>
      <c r="Q936" s="108">
        <f t="shared" si="72"/>
        <v>8.0825752274317653E-2</v>
      </c>
      <c r="S936" s="109">
        <f t="shared" si="73"/>
        <v>0.21662071681764461</v>
      </c>
      <c r="T936" s="109">
        <f t="shared" si="74"/>
        <v>0.15692883895131082</v>
      </c>
    </row>
    <row r="937" spans="1:20">
      <c r="A937" s="154">
        <v>757</v>
      </c>
      <c r="B937" s="156">
        <v>429</v>
      </c>
      <c r="C937" s="133" t="s">
        <v>3205</v>
      </c>
      <c r="D937" s="155" t="s">
        <v>2324</v>
      </c>
      <c r="E937" s="154">
        <v>6</v>
      </c>
      <c r="F937" s="154">
        <v>1</v>
      </c>
      <c r="G937" s="154">
        <v>5</v>
      </c>
      <c r="H937" s="154">
        <v>0</v>
      </c>
      <c r="I937" s="154">
        <v>0</v>
      </c>
      <c r="J937" s="154">
        <v>0</v>
      </c>
      <c r="K937" s="154">
        <v>0.80200000000000005</v>
      </c>
      <c r="L937" s="154">
        <v>0.67800000000000005</v>
      </c>
      <c r="M937" s="154">
        <v>0.73699999999999999</v>
      </c>
      <c r="N937" s="154">
        <v>0.78300000000000003</v>
      </c>
      <c r="O937" s="108">
        <f t="shared" si="70"/>
        <v>-0.15461346633416462</v>
      </c>
      <c r="P937" s="108">
        <f t="shared" si="71"/>
        <v>8.7020648967551573E-2</v>
      </c>
      <c r="Q937" s="108">
        <f t="shared" si="72"/>
        <v>6.2415196743555112E-2</v>
      </c>
      <c r="S937" s="109">
        <f t="shared" si="73"/>
        <v>-2.3690773067331694E-2</v>
      </c>
      <c r="T937" s="109">
        <f t="shared" si="74"/>
        <v>0.15486725663716805</v>
      </c>
    </row>
    <row r="938" spans="1:20">
      <c r="A938" s="154">
        <v>431</v>
      </c>
      <c r="B938" s="156">
        <v>600054</v>
      </c>
      <c r="C938" s="133" t="s">
        <v>3206</v>
      </c>
      <c r="D938" s="155" t="s">
        <v>2324</v>
      </c>
      <c r="E938" s="154">
        <v>12</v>
      </c>
      <c r="F938" s="154">
        <v>2</v>
      </c>
      <c r="G938" s="154">
        <v>10</v>
      </c>
      <c r="H938" s="154">
        <v>0</v>
      </c>
      <c r="I938" s="154">
        <v>0</v>
      </c>
      <c r="J938" s="154">
        <v>0</v>
      </c>
      <c r="K938" s="154">
        <v>0.79900000000000004</v>
      </c>
      <c r="L938" s="154">
        <v>0.55500000000000005</v>
      </c>
      <c r="M938" s="154">
        <v>0.60099999999999998</v>
      </c>
      <c r="N938" s="154">
        <v>0.63800000000000001</v>
      </c>
      <c r="O938" s="108">
        <f t="shared" si="70"/>
        <v>-0.30538172715894862</v>
      </c>
      <c r="P938" s="108">
        <f t="shared" si="71"/>
        <v>8.2882882882882702E-2</v>
      </c>
      <c r="Q938" s="108">
        <f t="shared" si="72"/>
        <v>6.1564059900166557E-2</v>
      </c>
      <c r="S938" s="109">
        <f t="shared" si="73"/>
        <v>-0.20150187734668334</v>
      </c>
      <c r="T938" s="109">
        <f t="shared" si="74"/>
        <v>0.14954954954954958</v>
      </c>
    </row>
    <row r="939" spans="1:20">
      <c r="A939" s="154">
        <v>588</v>
      </c>
      <c r="B939" s="156">
        <v>603868</v>
      </c>
      <c r="C939" s="133" t="s">
        <v>3207</v>
      </c>
      <c r="D939" s="155" t="s">
        <v>2324</v>
      </c>
      <c r="E939" s="154">
        <v>8</v>
      </c>
      <c r="F939" s="154">
        <v>3</v>
      </c>
      <c r="G939" s="154">
        <v>5</v>
      </c>
      <c r="H939" s="154">
        <v>0</v>
      </c>
      <c r="I939" s="154">
        <v>0</v>
      </c>
      <c r="J939" s="154">
        <v>0</v>
      </c>
      <c r="K939" s="154">
        <v>1.94</v>
      </c>
      <c r="L939" s="154">
        <v>1.806</v>
      </c>
      <c r="M939" s="154">
        <v>1.917</v>
      </c>
      <c r="N939" s="154">
        <v>2.0699999999999998</v>
      </c>
      <c r="O939" s="108">
        <f t="shared" si="70"/>
        <v>-6.9072164948453585E-2</v>
      </c>
      <c r="P939" s="108">
        <f t="shared" si="71"/>
        <v>6.1461794019933569E-2</v>
      </c>
      <c r="Q939" s="108">
        <f t="shared" si="72"/>
        <v>7.9812206572769773E-2</v>
      </c>
      <c r="S939" s="109">
        <f t="shared" si="73"/>
        <v>6.7010309278350499E-2</v>
      </c>
      <c r="T939" s="109">
        <f t="shared" si="74"/>
        <v>0.14617940199335533</v>
      </c>
    </row>
    <row r="940" spans="1:20">
      <c r="A940" s="154">
        <v>900</v>
      </c>
      <c r="B940" s="156">
        <v>3816</v>
      </c>
      <c r="C940" s="133" t="s">
        <v>3208</v>
      </c>
      <c r="D940" s="155" t="s">
        <v>2324</v>
      </c>
      <c r="E940" s="154">
        <v>4</v>
      </c>
      <c r="F940" s="154">
        <v>0</v>
      </c>
      <c r="G940" s="154">
        <v>4</v>
      </c>
      <c r="H940" s="154">
        <v>0</v>
      </c>
      <c r="I940" s="154">
        <v>0</v>
      </c>
      <c r="J940" s="154">
        <v>0</v>
      </c>
      <c r="K940" s="154">
        <v>0.17199999999999999</v>
      </c>
      <c r="L940" s="154">
        <v>0.193</v>
      </c>
      <c r="M940" s="154">
        <v>0.21099999999999999</v>
      </c>
      <c r="N940" s="154">
        <v>0.221</v>
      </c>
      <c r="O940" s="108">
        <f t="shared" si="70"/>
        <v>0.12209302325581417</v>
      </c>
      <c r="P940" s="108">
        <f t="shared" si="71"/>
        <v>9.32642487046631E-2</v>
      </c>
      <c r="Q940" s="108">
        <f t="shared" si="72"/>
        <v>4.7393364928909998E-2</v>
      </c>
      <c r="S940" s="109">
        <f t="shared" si="73"/>
        <v>0.28488372093023262</v>
      </c>
      <c r="T940" s="109">
        <f t="shared" si="74"/>
        <v>0.14507772020725396</v>
      </c>
    </row>
    <row r="941" spans="1:20">
      <c r="A941" s="154">
        <v>629</v>
      </c>
      <c r="B941" s="156">
        <v>581</v>
      </c>
      <c r="C941" s="133" t="s">
        <v>3209</v>
      </c>
      <c r="D941" s="155" t="s">
        <v>2324</v>
      </c>
      <c r="E941" s="154">
        <v>7</v>
      </c>
      <c r="F941" s="154">
        <v>3</v>
      </c>
      <c r="G941" s="154">
        <v>4</v>
      </c>
      <c r="H941" s="154">
        <v>0</v>
      </c>
      <c r="I941" s="154">
        <v>0</v>
      </c>
      <c r="J941" s="154">
        <v>0</v>
      </c>
      <c r="K941" s="154">
        <v>2.375</v>
      </c>
      <c r="L941" s="154">
        <v>2.085</v>
      </c>
      <c r="M941" s="154">
        <v>2.1920000000000002</v>
      </c>
      <c r="N941" s="154">
        <v>2.38</v>
      </c>
      <c r="O941" s="108">
        <f t="shared" si="70"/>
        <v>-0.12210526315789472</v>
      </c>
      <c r="P941" s="108">
        <f t="shared" si="71"/>
        <v>5.1318944844124692E-2</v>
      </c>
      <c r="Q941" s="108">
        <f t="shared" si="72"/>
        <v>8.5766423357664046E-2</v>
      </c>
      <c r="S941" s="109">
        <f t="shared" si="73"/>
        <v>2.1052631578946102E-3</v>
      </c>
      <c r="T941" s="109">
        <f t="shared" si="74"/>
        <v>0.14148681055155876</v>
      </c>
    </row>
    <row r="942" spans="1:20">
      <c r="A942" s="154">
        <v>993</v>
      </c>
      <c r="B942" s="156">
        <v>600581</v>
      </c>
      <c r="C942" s="133" t="s">
        <v>3210</v>
      </c>
      <c r="D942" s="155" t="s">
        <v>2324</v>
      </c>
      <c r="E942" s="154">
        <v>3</v>
      </c>
      <c r="F942" s="154">
        <v>0</v>
      </c>
      <c r="G942" s="154">
        <v>2</v>
      </c>
      <c r="H942" s="154">
        <v>1</v>
      </c>
      <c r="I942" s="154">
        <v>0</v>
      </c>
      <c r="J942" s="154">
        <v>0</v>
      </c>
      <c r="K942" s="154">
        <v>0.45700000000000002</v>
      </c>
      <c r="L942" s="154">
        <v>0.222</v>
      </c>
      <c r="M942" s="154">
        <v>0.22600000000000001</v>
      </c>
      <c r="N942" s="154">
        <v>0.253</v>
      </c>
      <c r="O942" s="108">
        <f t="shared" si="70"/>
        <v>-0.51422319474835887</v>
      </c>
      <c r="P942" s="108">
        <f t="shared" si="71"/>
        <v>1.8018018018018056E-2</v>
      </c>
      <c r="Q942" s="108">
        <f t="shared" si="72"/>
        <v>0.11946902654867264</v>
      </c>
      <c r="S942" s="109">
        <f t="shared" si="73"/>
        <v>-0.44638949671772432</v>
      </c>
      <c r="T942" s="109">
        <f t="shared" si="74"/>
        <v>0.13963963963963955</v>
      </c>
    </row>
    <row r="943" spans="1:20">
      <c r="A943" s="154">
        <v>966</v>
      </c>
      <c r="B943" s="156">
        <v>601158</v>
      </c>
      <c r="C943" s="133" t="s">
        <v>3211</v>
      </c>
      <c r="D943" s="155" t="s">
        <v>2324</v>
      </c>
      <c r="E943" s="154">
        <v>3</v>
      </c>
      <c r="F943" s="154">
        <v>0</v>
      </c>
      <c r="G943" s="154">
        <v>3</v>
      </c>
      <c r="H943" s="154">
        <v>0</v>
      </c>
      <c r="I943" s="154">
        <v>0</v>
      </c>
      <c r="J943" s="154">
        <v>0</v>
      </c>
      <c r="K943" s="154">
        <v>0.29599999999999999</v>
      </c>
      <c r="L943" s="154">
        <v>0.36599999999999999</v>
      </c>
      <c r="M943" s="154">
        <v>0.39200000000000002</v>
      </c>
      <c r="N943" s="154">
        <v>0.41699999999999998</v>
      </c>
      <c r="O943" s="108">
        <f t="shared" si="70"/>
        <v>0.23648648648648662</v>
      </c>
      <c r="P943" s="108">
        <f t="shared" si="71"/>
        <v>7.1038251366120297E-2</v>
      </c>
      <c r="Q943" s="108">
        <f t="shared" si="72"/>
        <v>6.3775510204081565E-2</v>
      </c>
      <c r="S943" s="109">
        <f t="shared" si="73"/>
        <v>0.40878378378378377</v>
      </c>
      <c r="T943" s="109">
        <f t="shared" si="74"/>
        <v>0.13934426229508201</v>
      </c>
    </row>
    <row r="944" spans="1:20">
      <c r="A944" s="154">
        <v>839</v>
      </c>
      <c r="B944" s="156">
        <v>898</v>
      </c>
      <c r="C944" s="133" t="s">
        <v>3212</v>
      </c>
      <c r="D944" s="155" t="s">
        <v>2324</v>
      </c>
      <c r="E944" s="154">
        <v>5</v>
      </c>
      <c r="F944" s="154">
        <v>0</v>
      </c>
      <c r="G944" s="154">
        <v>2</v>
      </c>
      <c r="H944" s="154">
        <v>3</v>
      </c>
      <c r="I944" s="154">
        <v>0</v>
      </c>
      <c r="J944" s="154">
        <v>0</v>
      </c>
      <c r="K944" s="154">
        <v>0.84599999999999997</v>
      </c>
      <c r="L944" s="154">
        <v>0.25900000000000001</v>
      </c>
      <c r="M944" s="154">
        <v>0.27800000000000002</v>
      </c>
      <c r="N944" s="154">
        <v>0.29499999999999998</v>
      </c>
      <c r="O944" s="108">
        <f t="shared" si="70"/>
        <v>-0.69385342789598115</v>
      </c>
      <c r="P944" s="108">
        <f t="shared" si="71"/>
        <v>7.3359073359073435E-2</v>
      </c>
      <c r="Q944" s="108">
        <f t="shared" si="72"/>
        <v>6.1151079136690489E-2</v>
      </c>
      <c r="S944" s="109">
        <f t="shared" si="73"/>
        <v>-0.65130023640661938</v>
      </c>
      <c r="T944" s="109">
        <f t="shared" si="74"/>
        <v>0.13899613899613894</v>
      </c>
    </row>
    <row r="945" spans="1:20">
      <c r="A945" s="154">
        <v>886</v>
      </c>
      <c r="B945" s="156">
        <v>156</v>
      </c>
      <c r="C945" s="133" t="s">
        <v>3213</v>
      </c>
      <c r="D945" s="155" t="s">
        <v>2324</v>
      </c>
      <c r="E945" s="154">
        <v>4</v>
      </c>
      <c r="F945" s="154">
        <v>2</v>
      </c>
      <c r="G945" s="154">
        <v>2</v>
      </c>
      <c r="H945" s="154">
        <v>0</v>
      </c>
      <c r="I945" s="154">
        <v>0</v>
      </c>
      <c r="J945" s="154">
        <v>0</v>
      </c>
      <c r="K945" s="154">
        <v>0.44900000000000001</v>
      </c>
      <c r="L945" s="154">
        <v>0.49199999999999999</v>
      </c>
      <c r="M945" s="154">
        <v>0.52900000000000003</v>
      </c>
      <c r="N945" s="154">
        <v>0.55800000000000005</v>
      </c>
      <c r="O945" s="108">
        <f t="shared" si="70"/>
        <v>9.5768374164810544E-2</v>
      </c>
      <c r="P945" s="108">
        <f t="shared" si="71"/>
        <v>7.5203252032520318E-2</v>
      </c>
      <c r="Q945" s="108">
        <f t="shared" si="72"/>
        <v>5.4820415879017093E-2</v>
      </c>
      <c r="S945" s="109">
        <f t="shared" si="73"/>
        <v>0.2427616926503342</v>
      </c>
      <c r="T945" s="109">
        <f t="shared" si="74"/>
        <v>0.13414634146341475</v>
      </c>
    </row>
    <row r="946" spans="1:20">
      <c r="A946" s="154">
        <v>997</v>
      </c>
      <c r="B946" s="156">
        <v>600231</v>
      </c>
      <c r="C946" s="133" t="s">
        <v>3214</v>
      </c>
      <c r="D946" s="155" t="s">
        <v>2324</v>
      </c>
      <c r="E946" s="154">
        <v>3</v>
      </c>
      <c r="F946" s="154">
        <v>1</v>
      </c>
      <c r="G946" s="154">
        <v>1</v>
      </c>
      <c r="H946" s="154">
        <v>1</v>
      </c>
      <c r="I946" s="154">
        <v>0</v>
      </c>
      <c r="J946" s="154">
        <v>0</v>
      </c>
      <c r="K946" s="154">
        <v>0.432</v>
      </c>
      <c r="L946" s="154">
        <v>0.19400000000000001</v>
      </c>
      <c r="M946" s="154">
        <v>0.20100000000000001</v>
      </c>
      <c r="N946" s="154">
        <v>0.22</v>
      </c>
      <c r="O946" s="108">
        <f t="shared" si="70"/>
        <v>-0.55092592592592593</v>
      </c>
      <c r="P946" s="108">
        <f t="shared" si="71"/>
        <v>3.6082474226804218E-2</v>
      </c>
      <c r="Q946" s="108">
        <f t="shared" si="72"/>
        <v>9.4527363184079505E-2</v>
      </c>
      <c r="S946" s="109">
        <f t="shared" si="73"/>
        <v>-0.4907407407407407</v>
      </c>
      <c r="T946" s="109">
        <f t="shared" si="74"/>
        <v>0.134020618556701</v>
      </c>
    </row>
    <row r="947" spans="1:20">
      <c r="A947" s="154">
        <v>935</v>
      </c>
      <c r="B947" s="156">
        <v>2608</v>
      </c>
      <c r="C947" s="133" t="s">
        <v>3215</v>
      </c>
      <c r="D947" s="155" t="s">
        <v>2324</v>
      </c>
      <c r="E947" s="154">
        <v>4</v>
      </c>
      <c r="F947" s="154">
        <v>4</v>
      </c>
      <c r="G947" s="154">
        <v>0</v>
      </c>
      <c r="H947" s="154">
        <v>0</v>
      </c>
      <c r="I947" s="154">
        <v>0</v>
      </c>
      <c r="J947" s="154">
        <v>0</v>
      </c>
      <c r="K947" s="154">
        <v>0.67700000000000005</v>
      </c>
      <c r="L947" s="154">
        <v>0.86299999999999999</v>
      </c>
      <c r="M947" s="154">
        <v>0.90300000000000002</v>
      </c>
      <c r="N947" s="154">
        <v>0.97799999999999998</v>
      </c>
      <c r="O947" s="108">
        <f t="shared" si="70"/>
        <v>0.27474150664697183</v>
      </c>
      <c r="P947" s="108">
        <f t="shared" si="71"/>
        <v>4.6349942062572369E-2</v>
      </c>
      <c r="Q947" s="108">
        <f t="shared" si="72"/>
        <v>8.3056478405315604E-2</v>
      </c>
      <c r="S947" s="109">
        <f t="shared" si="73"/>
        <v>0.44460856720827158</v>
      </c>
      <c r="T947" s="109">
        <f t="shared" si="74"/>
        <v>0.1332560834298957</v>
      </c>
    </row>
    <row r="948" spans="1:20">
      <c r="A948" s="154">
        <v>53</v>
      </c>
      <c r="B948" s="156">
        <v>601628</v>
      </c>
      <c r="C948" s="133" t="s">
        <v>3216</v>
      </c>
      <c r="D948" s="155" t="s">
        <v>2324</v>
      </c>
      <c r="E948" s="154">
        <v>38</v>
      </c>
      <c r="F948" s="154">
        <v>25</v>
      </c>
      <c r="G948" s="154">
        <v>13</v>
      </c>
      <c r="H948" s="154">
        <v>0</v>
      </c>
      <c r="I948" s="154">
        <v>0</v>
      </c>
      <c r="J948" s="154">
        <v>0</v>
      </c>
      <c r="K948" s="154">
        <v>0.40300000000000002</v>
      </c>
      <c r="L948" s="154">
        <v>2.0179999999999998</v>
      </c>
      <c r="M948" s="154">
        <v>1.99</v>
      </c>
      <c r="N948" s="154">
        <v>2.2850000000000001</v>
      </c>
      <c r="O948" s="108">
        <f t="shared" si="70"/>
        <v>4.0074441687344908</v>
      </c>
      <c r="P948" s="108">
        <f t="shared" si="71"/>
        <v>-1.3875123885034646E-2</v>
      </c>
      <c r="Q948" s="108">
        <f t="shared" si="72"/>
        <v>0.14824120603015079</v>
      </c>
      <c r="S948" s="109">
        <f t="shared" si="73"/>
        <v>4.6699751861042182</v>
      </c>
      <c r="T948" s="109">
        <f t="shared" si="74"/>
        <v>0.13230921704658094</v>
      </c>
    </row>
    <row r="949" spans="1:20">
      <c r="A949" s="154">
        <v>494</v>
      </c>
      <c r="B949" s="156">
        <v>601699</v>
      </c>
      <c r="C949" s="133" t="s">
        <v>3217</v>
      </c>
      <c r="D949" s="155" t="s">
        <v>2324</v>
      </c>
      <c r="E949" s="154">
        <v>10</v>
      </c>
      <c r="F949" s="154">
        <v>9</v>
      </c>
      <c r="G949" s="154">
        <v>1</v>
      </c>
      <c r="H949" s="154">
        <v>0</v>
      </c>
      <c r="I949" s="154">
        <v>0</v>
      </c>
      <c r="J949" s="154">
        <v>0</v>
      </c>
      <c r="K949" s="154">
        <v>0.89</v>
      </c>
      <c r="L949" s="154">
        <v>1.042</v>
      </c>
      <c r="M949" s="154">
        <v>1.137</v>
      </c>
      <c r="N949" s="154">
        <v>1.179</v>
      </c>
      <c r="O949" s="108">
        <f t="shared" si="70"/>
        <v>0.17078651685393265</v>
      </c>
      <c r="P949" s="108">
        <f t="shared" si="71"/>
        <v>9.1170825335892491E-2</v>
      </c>
      <c r="Q949" s="108">
        <f t="shared" si="72"/>
        <v>3.6939313984168942E-2</v>
      </c>
      <c r="S949" s="109">
        <f t="shared" si="73"/>
        <v>0.32471910112359548</v>
      </c>
      <c r="T949" s="109">
        <f t="shared" si="74"/>
        <v>0.13147792706333972</v>
      </c>
    </row>
    <row r="950" spans="1:20">
      <c r="A950" s="154">
        <v>556</v>
      </c>
      <c r="B950" s="156">
        <v>600377</v>
      </c>
      <c r="C950" s="133" t="s">
        <v>3218</v>
      </c>
      <c r="D950" s="155" t="s">
        <v>2324</v>
      </c>
      <c r="E950" s="154">
        <v>8</v>
      </c>
      <c r="F950" s="154">
        <v>0</v>
      </c>
      <c r="G950" s="154">
        <v>8</v>
      </c>
      <c r="H950" s="154">
        <v>0</v>
      </c>
      <c r="I950" s="154">
        <v>0</v>
      </c>
      <c r="J950" s="154">
        <v>0</v>
      </c>
      <c r="K950" s="154">
        <v>0.86899999999999999</v>
      </c>
      <c r="L950" s="154">
        <v>0.84499999999999997</v>
      </c>
      <c r="M950" s="154">
        <v>0.90500000000000003</v>
      </c>
      <c r="N950" s="154">
        <v>0.95499999999999996</v>
      </c>
      <c r="O950" s="108">
        <f t="shared" si="70"/>
        <v>-2.7617951668584606E-2</v>
      </c>
      <c r="P950" s="108">
        <f t="shared" si="71"/>
        <v>7.1005917159763454E-2</v>
      </c>
      <c r="Q950" s="108">
        <f t="shared" si="72"/>
        <v>5.5248618784530246E-2</v>
      </c>
      <c r="S950" s="109">
        <f t="shared" si="73"/>
        <v>9.8964326812428061E-2</v>
      </c>
      <c r="T950" s="109">
        <f t="shared" si="74"/>
        <v>0.13017751479289941</v>
      </c>
    </row>
    <row r="951" spans="1:20">
      <c r="A951" s="154">
        <v>551</v>
      </c>
      <c r="B951" s="156">
        <v>601328</v>
      </c>
      <c r="C951" s="133" t="s">
        <v>3219</v>
      </c>
      <c r="D951" s="155" t="s">
        <v>2324</v>
      </c>
      <c r="E951" s="154">
        <v>8</v>
      </c>
      <c r="F951" s="154">
        <v>0</v>
      </c>
      <c r="G951" s="154">
        <v>8</v>
      </c>
      <c r="H951" s="154">
        <v>0</v>
      </c>
      <c r="I951" s="154">
        <v>0</v>
      </c>
      <c r="J951" s="154">
        <v>0</v>
      </c>
      <c r="K951" s="154">
        <v>0.99199999999999999</v>
      </c>
      <c r="L951" s="154">
        <v>1.012</v>
      </c>
      <c r="M951" s="154">
        <v>1.0660000000000001</v>
      </c>
      <c r="N951" s="154">
        <v>1.141</v>
      </c>
      <c r="O951" s="108">
        <f t="shared" si="70"/>
        <v>2.0161290322580738E-2</v>
      </c>
      <c r="P951" s="108">
        <f t="shared" si="71"/>
        <v>5.3359683794466539E-2</v>
      </c>
      <c r="Q951" s="108">
        <f t="shared" si="72"/>
        <v>7.035647279549706E-2</v>
      </c>
      <c r="S951" s="109">
        <f t="shared" si="73"/>
        <v>0.15020161290322576</v>
      </c>
      <c r="T951" s="109">
        <f t="shared" si="74"/>
        <v>0.12747035573122534</v>
      </c>
    </row>
    <row r="952" spans="1:20">
      <c r="A952" s="154">
        <v>681</v>
      </c>
      <c r="B952" s="156">
        <v>601677</v>
      </c>
      <c r="C952" s="133" t="s">
        <v>1352</v>
      </c>
      <c r="D952" s="155" t="s">
        <v>2324</v>
      </c>
      <c r="E952" s="154">
        <v>7</v>
      </c>
      <c r="F952" s="154">
        <v>0</v>
      </c>
      <c r="G952" s="154">
        <v>7</v>
      </c>
      <c r="H952" s="154">
        <v>0</v>
      </c>
      <c r="I952" s="154">
        <v>0</v>
      </c>
      <c r="J952" s="154">
        <v>0</v>
      </c>
      <c r="K952" s="154">
        <v>0.80400000000000005</v>
      </c>
      <c r="L952" s="154">
        <v>1.2110000000000001</v>
      </c>
      <c r="M952" s="154">
        <v>1.157</v>
      </c>
      <c r="N952" s="154">
        <v>1.365</v>
      </c>
      <c r="O952" s="108">
        <f t="shared" si="70"/>
        <v>0.50621890547263693</v>
      </c>
      <c r="P952" s="108">
        <f t="shared" si="71"/>
        <v>-4.4591246903385673E-2</v>
      </c>
      <c r="Q952" s="108">
        <f t="shared" si="72"/>
        <v>0.1797752808988764</v>
      </c>
      <c r="S952" s="109">
        <f t="shared" si="73"/>
        <v>0.69776119402985071</v>
      </c>
      <c r="T952" s="109">
        <f t="shared" si="74"/>
        <v>0.12716763005780329</v>
      </c>
    </row>
    <row r="953" spans="1:20">
      <c r="A953" s="154">
        <v>623</v>
      </c>
      <c r="B953" s="156">
        <v>600507</v>
      </c>
      <c r="C953" s="133" t="s">
        <v>3220</v>
      </c>
      <c r="D953" s="155" t="s">
        <v>2324</v>
      </c>
      <c r="E953" s="154">
        <v>7</v>
      </c>
      <c r="F953" s="154">
        <v>5</v>
      </c>
      <c r="G953" s="154">
        <v>2</v>
      </c>
      <c r="H953" s="154">
        <v>0</v>
      </c>
      <c r="I953" s="154">
        <v>0</v>
      </c>
      <c r="J953" s="154">
        <v>0</v>
      </c>
      <c r="K953" s="154">
        <v>2.0219999999999998</v>
      </c>
      <c r="L953" s="154">
        <v>1.26</v>
      </c>
      <c r="M953" s="154">
        <v>1.319</v>
      </c>
      <c r="N953" s="154">
        <v>1.415</v>
      </c>
      <c r="O953" s="108">
        <f t="shared" si="70"/>
        <v>-0.3768545994065281</v>
      </c>
      <c r="P953" s="108">
        <f t="shared" si="71"/>
        <v>4.6825396825396881E-2</v>
      </c>
      <c r="Q953" s="108">
        <f t="shared" si="72"/>
        <v>7.2782410917361595E-2</v>
      </c>
      <c r="S953" s="109">
        <f t="shared" si="73"/>
        <v>-0.30019782393669625</v>
      </c>
      <c r="T953" s="109">
        <f t="shared" si="74"/>
        <v>0.12301587301587302</v>
      </c>
    </row>
    <row r="954" spans="1:20">
      <c r="A954" s="154">
        <v>216</v>
      </c>
      <c r="B954" s="156">
        <v>708</v>
      </c>
      <c r="C954" s="133" t="s">
        <v>3221</v>
      </c>
      <c r="D954" s="155" t="s">
        <v>2324</v>
      </c>
      <c r="E954" s="154">
        <v>21</v>
      </c>
      <c r="F954" s="154">
        <v>11</v>
      </c>
      <c r="G954" s="154">
        <v>10</v>
      </c>
      <c r="H954" s="154">
        <v>0</v>
      </c>
      <c r="I954" s="154">
        <v>0</v>
      </c>
      <c r="J954" s="154">
        <v>0</v>
      </c>
      <c r="K954" s="154">
        <v>0.17199999999999999</v>
      </c>
      <c r="L954" s="154">
        <v>1.286</v>
      </c>
      <c r="M954" s="154">
        <v>1.359</v>
      </c>
      <c r="N954" s="154">
        <v>1.4430000000000001</v>
      </c>
      <c r="O954" s="108">
        <f t="shared" si="70"/>
        <v>6.4767441860465125</v>
      </c>
      <c r="P954" s="108">
        <f t="shared" si="71"/>
        <v>5.6765163297045174E-2</v>
      </c>
      <c r="Q954" s="108">
        <f t="shared" si="72"/>
        <v>6.1810154525386407E-2</v>
      </c>
      <c r="S954" s="109">
        <f t="shared" si="73"/>
        <v>7.3895348837209305</v>
      </c>
      <c r="T954" s="109">
        <f t="shared" si="74"/>
        <v>0.12208398133748055</v>
      </c>
    </row>
    <row r="955" spans="1:20">
      <c r="A955" s="154">
        <v>881</v>
      </c>
      <c r="B955" s="156">
        <v>600236</v>
      </c>
      <c r="C955" s="133" t="s">
        <v>3222</v>
      </c>
      <c r="D955" s="155" t="s">
        <v>2324</v>
      </c>
      <c r="E955" s="154">
        <v>4</v>
      </c>
      <c r="F955" s="154">
        <v>0</v>
      </c>
      <c r="G955" s="154">
        <v>4</v>
      </c>
      <c r="H955" s="154">
        <v>0</v>
      </c>
      <c r="I955" s="154">
        <v>0</v>
      </c>
      <c r="J955" s="154">
        <v>0</v>
      </c>
      <c r="K955" s="154">
        <v>0.30199999999999999</v>
      </c>
      <c r="L955" s="154">
        <v>0.317</v>
      </c>
      <c r="M955" s="154">
        <v>0.33700000000000002</v>
      </c>
      <c r="N955" s="154">
        <v>0.35399999999999998</v>
      </c>
      <c r="O955" s="108">
        <f t="shared" si="70"/>
        <v>4.9668874172185573E-2</v>
      </c>
      <c r="P955" s="108">
        <f t="shared" si="71"/>
        <v>6.3091482649842323E-2</v>
      </c>
      <c r="Q955" s="108">
        <f t="shared" si="72"/>
        <v>5.044510385756662E-2</v>
      </c>
      <c r="S955" s="109">
        <f t="shared" si="73"/>
        <v>0.17218543046357615</v>
      </c>
      <c r="T955" s="109">
        <f t="shared" si="74"/>
        <v>0.11671924290220814</v>
      </c>
    </row>
    <row r="956" spans="1:20">
      <c r="A956" s="154">
        <v>251</v>
      </c>
      <c r="B956" s="156">
        <v>600132</v>
      </c>
      <c r="C956" s="133" t="s">
        <v>3223</v>
      </c>
      <c r="D956" s="155" t="s">
        <v>2324</v>
      </c>
      <c r="E956" s="154">
        <v>19</v>
      </c>
      <c r="F956" s="154">
        <v>14</v>
      </c>
      <c r="G956" s="154">
        <v>5</v>
      </c>
      <c r="H956" s="154">
        <v>0</v>
      </c>
      <c r="I956" s="154">
        <v>0</v>
      </c>
      <c r="J956" s="154">
        <v>0</v>
      </c>
      <c r="K956" s="154">
        <v>0.83499999999999996</v>
      </c>
      <c r="L956" s="154">
        <v>1.218</v>
      </c>
      <c r="M956" s="154">
        <v>1.1679999999999999</v>
      </c>
      <c r="N956" s="154">
        <v>1.3560000000000001</v>
      </c>
      <c r="O956" s="108">
        <f t="shared" si="70"/>
        <v>0.45868263473053905</v>
      </c>
      <c r="P956" s="108">
        <f t="shared" si="71"/>
        <v>-4.1050903119868698E-2</v>
      </c>
      <c r="Q956" s="108">
        <f t="shared" si="72"/>
        <v>0.16095890410958913</v>
      </c>
      <c r="S956" s="109">
        <f t="shared" si="73"/>
        <v>0.62395209580838351</v>
      </c>
      <c r="T956" s="109">
        <f t="shared" si="74"/>
        <v>0.11330049261083763</v>
      </c>
    </row>
    <row r="957" spans="1:20">
      <c r="A957" s="154">
        <v>435</v>
      </c>
      <c r="B957" s="156">
        <v>601288</v>
      </c>
      <c r="C957" s="133" t="s">
        <v>3224</v>
      </c>
      <c r="D957" s="155" t="s">
        <v>2324</v>
      </c>
      <c r="E957" s="154">
        <v>12</v>
      </c>
      <c r="F957" s="154">
        <v>6</v>
      </c>
      <c r="G957" s="154">
        <v>6</v>
      </c>
      <c r="H957" s="154">
        <v>0</v>
      </c>
      <c r="I957" s="154">
        <v>0</v>
      </c>
      <c r="J957" s="154">
        <v>0</v>
      </c>
      <c r="K957" s="154">
        <v>0.57899999999999996</v>
      </c>
      <c r="L957" s="154">
        <v>0.60899999999999999</v>
      </c>
      <c r="M957" s="154">
        <v>0.63800000000000001</v>
      </c>
      <c r="N957" s="154">
        <v>0.67800000000000005</v>
      </c>
      <c r="O957" s="108">
        <f t="shared" si="70"/>
        <v>5.1813471502590636E-2</v>
      </c>
      <c r="P957" s="108">
        <f t="shared" si="71"/>
        <v>4.7619047619047672E-2</v>
      </c>
      <c r="Q957" s="108">
        <f t="shared" si="72"/>
        <v>6.2695924764890387E-2</v>
      </c>
      <c r="S957" s="109">
        <f t="shared" si="73"/>
        <v>0.17098445595854939</v>
      </c>
      <c r="T957" s="109">
        <f t="shared" si="74"/>
        <v>0.11330049261083763</v>
      </c>
    </row>
    <row r="958" spans="1:20">
      <c r="A958" s="154">
        <v>226</v>
      </c>
      <c r="B958" s="156">
        <v>2110</v>
      </c>
      <c r="C958" s="133" t="s">
        <v>3225</v>
      </c>
      <c r="D958" s="155" t="s">
        <v>2324</v>
      </c>
      <c r="E958" s="154">
        <v>20</v>
      </c>
      <c r="F958" s="154">
        <v>7</v>
      </c>
      <c r="G958" s="154">
        <v>13</v>
      </c>
      <c r="H958" s="154">
        <v>0</v>
      </c>
      <c r="I958" s="154">
        <v>0</v>
      </c>
      <c r="J958" s="154">
        <v>0</v>
      </c>
      <c r="K958" s="154">
        <v>2.6539999999999999</v>
      </c>
      <c r="L958" s="154">
        <v>1.5740000000000001</v>
      </c>
      <c r="M958" s="154">
        <v>1.6459999999999999</v>
      </c>
      <c r="N958" s="154">
        <v>1.746</v>
      </c>
      <c r="O958" s="108">
        <f t="shared" si="70"/>
        <v>-0.40693293142426523</v>
      </c>
      <c r="P958" s="108">
        <f t="shared" si="71"/>
        <v>4.5743329097839736E-2</v>
      </c>
      <c r="Q958" s="108">
        <f t="shared" si="72"/>
        <v>6.0753341433778862E-2</v>
      </c>
      <c r="S958" s="109">
        <f t="shared" si="73"/>
        <v>-0.34212509419743786</v>
      </c>
      <c r="T958" s="109">
        <f t="shared" si="74"/>
        <v>0.10927573062261753</v>
      </c>
    </row>
    <row r="959" spans="1:20">
      <c r="A959" s="154">
        <v>682</v>
      </c>
      <c r="B959" s="156">
        <v>601666</v>
      </c>
      <c r="C959" s="133" t="s">
        <v>3226</v>
      </c>
      <c r="D959" s="155" t="s">
        <v>2324</v>
      </c>
      <c r="E959" s="154">
        <v>7</v>
      </c>
      <c r="F959" s="154">
        <v>0</v>
      </c>
      <c r="G959" s="154">
        <v>7</v>
      </c>
      <c r="H959" s="154">
        <v>0</v>
      </c>
      <c r="I959" s="154">
        <v>0</v>
      </c>
      <c r="J959" s="154">
        <v>0</v>
      </c>
      <c r="K959" s="154">
        <v>0.30299999999999999</v>
      </c>
      <c r="L959" s="154">
        <v>0.496</v>
      </c>
      <c r="M959" s="154">
        <v>0.53</v>
      </c>
      <c r="N959" s="154">
        <v>0.55000000000000004</v>
      </c>
      <c r="O959" s="108">
        <f t="shared" si="70"/>
        <v>0.63696369636963701</v>
      </c>
      <c r="P959" s="108">
        <f t="shared" si="71"/>
        <v>6.8548387096774244E-2</v>
      </c>
      <c r="Q959" s="108">
        <f t="shared" si="72"/>
        <v>3.7735849056603765E-2</v>
      </c>
      <c r="S959" s="109">
        <f t="shared" si="73"/>
        <v>0.81518151815181539</v>
      </c>
      <c r="T959" s="109">
        <f t="shared" si="74"/>
        <v>0.1088709677419355</v>
      </c>
    </row>
    <row r="960" spans="1:20">
      <c r="A960" s="154">
        <v>368</v>
      </c>
      <c r="B960" s="156">
        <v>600028</v>
      </c>
      <c r="C960" s="133" t="s">
        <v>3227</v>
      </c>
      <c r="D960" s="155" t="s">
        <v>2324</v>
      </c>
      <c r="E960" s="154">
        <v>14</v>
      </c>
      <c r="F960" s="154">
        <v>7</v>
      </c>
      <c r="G960" s="154">
        <v>7</v>
      </c>
      <c r="H960" s="154">
        <v>0</v>
      </c>
      <c r="I960" s="154">
        <v>0</v>
      </c>
      <c r="J960" s="154">
        <v>0</v>
      </c>
      <c r="K960" s="154">
        <v>0.52100000000000002</v>
      </c>
      <c r="L960" s="154">
        <v>0.48399999999999999</v>
      </c>
      <c r="M960" s="154">
        <v>0.52300000000000002</v>
      </c>
      <c r="N960" s="154">
        <v>0.53300000000000003</v>
      </c>
      <c r="O960" s="108">
        <f t="shared" si="70"/>
        <v>-7.101727447216899E-2</v>
      </c>
      <c r="P960" s="108">
        <f t="shared" si="71"/>
        <v>8.0578512396694224E-2</v>
      </c>
      <c r="Q960" s="108">
        <f t="shared" si="72"/>
        <v>1.9120458891013437E-2</v>
      </c>
      <c r="S960" s="109">
        <f t="shared" si="73"/>
        <v>2.303262955854124E-2</v>
      </c>
      <c r="T960" s="109">
        <f t="shared" si="74"/>
        <v>0.10123966942148765</v>
      </c>
    </row>
    <row r="961" spans="1:20">
      <c r="A961" s="154">
        <v>775</v>
      </c>
      <c r="B961" s="156">
        <v>600782</v>
      </c>
      <c r="C961" s="133" t="s">
        <v>3228</v>
      </c>
      <c r="D961" s="155" t="s">
        <v>2324</v>
      </c>
      <c r="E961" s="154">
        <v>6</v>
      </c>
      <c r="F961" s="154">
        <v>3</v>
      </c>
      <c r="G961" s="154">
        <v>3</v>
      </c>
      <c r="H961" s="154">
        <v>0</v>
      </c>
      <c r="I961" s="154">
        <v>0</v>
      </c>
      <c r="J961" s="154">
        <v>0</v>
      </c>
      <c r="K961" s="154">
        <v>1.8520000000000001</v>
      </c>
      <c r="L961" s="154">
        <v>1.1080000000000001</v>
      </c>
      <c r="M961" s="154">
        <v>1.131</v>
      </c>
      <c r="N961" s="154">
        <v>1.216</v>
      </c>
      <c r="O961" s="108">
        <f t="shared" si="70"/>
        <v>-0.40172786177105835</v>
      </c>
      <c r="P961" s="108">
        <f t="shared" si="71"/>
        <v>2.0758122743682161E-2</v>
      </c>
      <c r="Q961" s="108">
        <f t="shared" si="72"/>
        <v>7.5154730327144037E-2</v>
      </c>
      <c r="S961" s="109">
        <f t="shared" si="73"/>
        <v>-0.3434125269978402</v>
      </c>
      <c r="T961" s="109">
        <f t="shared" si="74"/>
        <v>9.7472924187725463E-2</v>
      </c>
    </row>
    <row r="962" spans="1:20">
      <c r="A962" s="154">
        <v>695</v>
      </c>
      <c r="B962" s="156">
        <v>600637</v>
      </c>
      <c r="C962" s="133" t="s">
        <v>3229</v>
      </c>
      <c r="D962" s="155" t="s">
        <v>2324</v>
      </c>
      <c r="E962" s="154">
        <v>7</v>
      </c>
      <c r="F962" s="154">
        <v>5</v>
      </c>
      <c r="G962" s="154">
        <v>2</v>
      </c>
      <c r="H962" s="154">
        <v>0</v>
      </c>
      <c r="I962" s="154">
        <v>0</v>
      </c>
      <c r="J962" s="154">
        <v>0</v>
      </c>
      <c r="K962" s="154">
        <v>0.59</v>
      </c>
      <c r="L962" s="154">
        <v>0.56799999999999995</v>
      </c>
      <c r="M962" s="154">
        <v>0.58799999999999997</v>
      </c>
      <c r="N962" s="154">
        <v>0.623</v>
      </c>
      <c r="O962" s="108">
        <f t="shared" si="70"/>
        <v>-3.7288135593220417E-2</v>
      </c>
      <c r="P962" s="108">
        <f t="shared" si="71"/>
        <v>3.5211267605633756E-2</v>
      </c>
      <c r="Q962" s="108">
        <f t="shared" si="72"/>
        <v>5.9523809523809534E-2</v>
      </c>
      <c r="S962" s="109">
        <f t="shared" si="73"/>
        <v>5.5932203389830626E-2</v>
      </c>
      <c r="T962" s="109">
        <f t="shared" si="74"/>
        <v>9.6830985915492995E-2</v>
      </c>
    </row>
    <row r="963" spans="1:20">
      <c r="A963" s="154">
        <v>249</v>
      </c>
      <c r="B963" s="156">
        <v>600886</v>
      </c>
      <c r="C963" s="133" t="s">
        <v>3230</v>
      </c>
      <c r="D963" s="155" t="s">
        <v>2324</v>
      </c>
      <c r="E963" s="154">
        <v>19</v>
      </c>
      <c r="F963" s="154">
        <v>15</v>
      </c>
      <c r="G963" s="154">
        <v>4</v>
      </c>
      <c r="H963" s="154">
        <v>0</v>
      </c>
      <c r="I963" s="154">
        <v>0</v>
      </c>
      <c r="J963" s="154">
        <v>0</v>
      </c>
      <c r="K963" s="154">
        <v>0.64300000000000002</v>
      </c>
      <c r="L963" s="154">
        <v>0.72799999999999998</v>
      </c>
      <c r="M963" s="154">
        <v>0.75800000000000001</v>
      </c>
      <c r="N963" s="154">
        <v>0.79800000000000004</v>
      </c>
      <c r="O963" s="108">
        <f t="shared" ref="O963:O1002" si="75">L963/K963-1</f>
        <v>0.13219284603421455</v>
      </c>
      <c r="P963" s="108">
        <f t="shared" ref="P963:P1002" si="76">M963/L963-1</f>
        <v>4.1208791208791284E-2</v>
      </c>
      <c r="Q963" s="108">
        <f t="shared" ref="Q963:Q1002" si="77">N963/M963-1</f>
        <v>5.2770448548812743E-2</v>
      </c>
      <c r="S963" s="109">
        <f t="shared" ref="S963:S1002" si="78">N963/K963-1</f>
        <v>0.24105754276827374</v>
      </c>
      <c r="T963" s="109">
        <f t="shared" ref="T963:T1002" si="79">N963/L963-1</f>
        <v>9.6153846153846256E-2</v>
      </c>
    </row>
    <row r="964" spans="1:20">
      <c r="A964" s="154">
        <v>844</v>
      </c>
      <c r="B964" s="156">
        <v>601566</v>
      </c>
      <c r="C964" s="133" t="s">
        <v>3231</v>
      </c>
      <c r="D964" s="155" t="s">
        <v>2324</v>
      </c>
      <c r="E964" s="154">
        <v>5</v>
      </c>
      <c r="F964" s="154">
        <v>0</v>
      </c>
      <c r="G964" s="154">
        <v>5</v>
      </c>
      <c r="H964" s="154">
        <v>0</v>
      </c>
      <c r="I964" s="154">
        <v>0</v>
      </c>
      <c r="J964" s="154">
        <v>0</v>
      </c>
      <c r="K964" s="154">
        <v>0.92900000000000005</v>
      </c>
      <c r="L964" s="154">
        <v>0.96799999999999997</v>
      </c>
      <c r="M964" s="154">
        <v>0.96</v>
      </c>
      <c r="N964" s="154">
        <v>1.0609999999999999</v>
      </c>
      <c r="O964" s="108">
        <f t="shared" si="75"/>
        <v>4.1980624327233595E-2</v>
      </c>
      <c r="P964" s="108">
        <f t="shared" si="76"/>
        <v>-8.2644628099173278E-3</v>
      </c>
      <c r="Q964" s="108">
        <f t="shared" si="77"/>
        <v>0.10520833333333335</v>
      </c>
      <c r="S964" s="109">
        <f t="shared" si="78"/>
        <v>0.14208826695371357</v>
      </c>
      <c r="T964" s="109">
        <f t="shared" si="79"/>
        <v>9.6074380165289242E-2</v>
      </c>
    </row>
    <row r="965" spans="1:20">
      <c r="A965" s="154">
        <v>624</v>
      </c>
      <c r="B965" s="156">
        <v>601939</v>
      </c>
      <c r="C965" s="133" t="s">
        <v>3232</v>
      </c>
      <c r="D965" s="155" t="s">
        <v>2324</v>
      </c>
      <c r="E965" s="154">
        <v>7</v>
      </c>
      <c r="F965" s="154">
        <v>2</v>
      </c>
      <c r="G965" s="154">
        <v>5</v>
      </c>
      <c r="H965" s="154">
        <v>0</v>
      </c>
      <c r="I965" s="154">
        <v>0</v>
      </c>
      <c r="J965" s="154">
        <v>0</v>
      </c>
      <c r="K965" s="154">
        <v>1.0189999999999999</v>
      </c>
      <c r="L965" s="154">
        <v>1.0629999999999999</v>
      </c>
      <c r="M965" s="154">
        <v>1.1200000000000001</v>
      </c>
      <c r="N965" s="154">
        <v>1.165</v>
      </c>
      <c r="O965" s="108">
        <f t="shared" si="75"/>
        <v>4.3179587831207122E-2</v>
      </c>
      <c r="P965" s="108">
        <f t="shared" si="76"/>
        <v>5.3621825023518532E-2</v>
      </c>
      <c r="Q965" s="108">
        <f t="shared" si="77"/>
        <v>4.0178571428571397E-2</v>
      </c>
      <c r="S965" s="109">
        <f t="shared" si="78"/>
        <v>0.1432777232580964</v>
      </c>
      <c r="T965" s="109">
        <f t="shared" si="79"/>
        <v>9.5954844778927573E-2</v>
      </c>
    </row>
    <row r="966" spans="1:20">
      <c r="A966" s="154">
        <v>716</v>
      </c>
      <c r="B966" s="156">
        <v>789</v>
      </c>
      <c r="C966" s="133" t="s">
        <v>3233</v>
      </c>
      <c r="D966" s="155" t="s">
        <v>2324</v>
      </c>
      <c r="E966" s="154">
        <v>6</v>
      </c>
      <c r="F966" s="154">
        <v>4</v>
      </c>
      <c r="G966" s="154">
        <v>2</v>
      </c>
      <c r="H966" s="154">
        <v>0</v>
      </c>
      <c r="I966" s="154">
        <v>0</v>
      </c>
      <c r="J966" s="154">
        <v>0</v>
      </c>
      <c r="K966" s="154">
        <v>1.427</v>
      </c>
      <c r="L966" s="154">
        <v>1.67</v>
      </c>
      <c r="M966" s="154">
        <v>1.7709999999999999</v>
      </c>
      <c r="N966" s="154">
        <v>1.83</v>
      </c>
      <c r="O966" s="108">
        <f t="shared" si="75"/>
        <v>0.17028731604765235</v>
      </c>
      <c r="P966" s="108">
        <f t="shared" si="76"/>
        <v>6.0479041916167597E-2</v>
      </c>
      <c r="Q966" s="108">
        <f t="shared" si="77"/>
        <v>3.3314511575381234E-2</v>
      </c>
      <c r="S966" s="109">
        <f t="shared" si="78"/>
        <v>0.28241065171688851</v>
      </c>
      <c r="T966" s="109">
        <f t="shared" si="79"/>
        <v>9.5808383233533023E-2</v>
      </c>
    </row>
    <row r="967" spans="1:20">
      <c r="A967" s="154">
        <v>457</v>
      </c>
      <c r="B967" s="156">
        <v>601225</v>
      </c>
      <c r="C967" s="133" t="s">
        <v>3234</v>
      </c>
      <c r="D967" s="155" t="s">
        <v>2324</v>
      </c>
      <c r="E967" s="154">
        <v>11</v>
      </c>
      <c r="F967" s="154">
        <v>9</v>
      </c>
      <c r="G967" s="154">
        <v>2</v>
      </c>
      <c r="H967" s="154">
        <v>0</v>
      </c>
      <c r="I967" s="154">
        <v>0</v>
      </c>
      <c r="J967" s="154">
        <v>0</v>
      </c>
      <c r="K967" s="154">
        <v>1.099</v>
      </c>
      <c r="L967" s="154">
        <v>1.133</v>
      </c>
      <c r="M967" s="154">
        <v>1.169</v>
      </c>
      <c r="N967" s="154">
        <v>1.2370000000000001</v>
      </c>
      <c r="O967" s="108">
        <f t="shared" si="75"/>
        <v>3.0937215650591376E-2</v>
      </c>
      <c r="P967" s="108">
        <f t="shared" si="76"/>
        <v>3.1774051191526986E-2</v>
      </c>
      <c r="Q967" s="108">
        <f t="shared" si="77"/>
        <v>5.8169375534645074E-2</v>
      </c>
      <c r="S967" s="109">
        <f t="shared" si="78"/>
        <v>0.12556869881710653</v>
      </c>
      <c r="T967" s="109">
        <f t="shared" si="79"/>
        <v>9.1791703442188899E-2</v>
      </c>
    </row>
    <row r="968" spans="1:20">
      <c r="A968" s="154">
        <v>710</v>
      </c>
      <c r="B968" s="156">
        <v>600395</v>
      </c>
      <c r="C968" s="133" t="s">
        <v>3235</v>
      </c>
      <c r="D968" s="155" t="s">
        <v>2324</v>
      </c>
      <c r="E968" s="154">
        <v>6</v>
      </c>
      <c r="F968" s="154">
        <v>2</v>
      </c>
      <c r="G968" s="154">
        <v>4</v>
      </c>
      <c r="H968" s="154">
        <v>0</v>
      </c>
      <c r="I968" s="154">
        <v>0</v>
      </c>
      <c r="J968" s="154">
        <v>0</v>
      </c>
      <c r="K968" s="154">
        <v>0.57099999999999995</v>
      </c>
      <c r="L968" s="154">
        <v>0.65700000000000003</v>
      </c>
      <c r="M968" s="154">
        <v>0.68200000000000005</v>
      </c>
      <c r="N968" s="154">
        <v>0.71699999999999997</v>
      </c>
      <c r="O968" s="108">
        <f t="shared" si="75"/>
        <v>0.15061295971979005</v>
      </c>
      <c r="P968" s="108">
        <f t="shared" si="76"/>
        <v>3.8051750380517557E-2</v>
      </c>
      <c r="Q968" s="108">
        <f t="shared" si="77"/>
        <v>5.1319648093841597E-2</v>
      </c>
      <c r="S968" s="109">
        <f t="shared" si="78"/>
        <v>0.25569176882662004</v>
      </c>
      <c r="T968" s="109">
        <f t="shared" si="79"/>
        <v>9.1324200913242004E-2</v>
      </c>
    </row>
    <row r="969" spans="1:20">
      <c r="A969" s="154">
        <v>896</v>
      </c>
      <c r="B969" s="156">
        <v>601319</v>
      </c>
      <c r="C969" s="133" t="s">
        <v>3236</v>
      </c>
      <c r="D969" s="155" t="s">
        <v>2324</v>
      </c>
      <c r="E969" s="154">
        <v>4</v>
      </c>
      <c r="F969" s="154">
        <v>1</v>
      </c>
      <c r="G969" s="154">
        <v>0</v>
      </c>
      <c r="H969" s="154">
        <v>3</v>
      </c>
      <c r="I969" s="154">
        <v>0</v>
      </c>
      <c r="J969" s="154">
        <v>0</v>
      </c>
      <c r="K969" s="154">
        <v>0.30399999999999999</v>
      </c>
      <c r="L969" s="154">
        <v>0.46200000000000002</v>
      </c>
      <c r="M969" s="154">
        <v>0.42899999999999999</v>
      </c>
      <c r="N969" s="154">
        <v>0.502</v>
      </c>
      <c r="O969" s="108">
        <f t="shared" si="75"/>
        <v>0.51973684210526327</v>
      </c>
      <c r="P969" s="108">
        <f t="shared" si="76"/>
        <v>-7.1428571428571508E-2</v>
      </c>
      <c r="Q969" s="108">
        <f t="shared" si="77"/>
        <v>0.17016317016317029</v>
      </c>
      <c r="S969" s="109">
        <f t="shared" si="78"/>
        <v>0.65131578947368429</v>
      </c>
      <c r="T969" s="109">
        <f t="shared" si="79"/>
        <v>8.6580086580086535E-2</v>
      </c>
    </row>
    <row r="970" spans="1:20">
      <c r="A970" s="154">
        <v>704</v>
      </c>
      <c r="B970" s="156">
        <v>983</v>
      </c>
      <c r="C970" s="133" t="s">
        <v>3237</v>
      </c>
      <c r="D970" s="155" t="s">
        <v>2324</v>
      </c>
      <c r="E970" s="154">
        <v>6</v>
      </c>
      <c r="F970" s="154">
        <v>6</v>
      </c>
      <c r="G970" s="154">
        <v>0</v>
      </c>
      <c r="H970" s="154">
        <v>0</v>
      </c>
      <c r="I970" s="154">
        <v>0</v>
      </c>
      <c r="J970" s="154">
        <v>0</v>
      </c>
      <c r="K970" s="154">
        <v>0.57199999999999995</v>
      </c>
      <c r="L970" s="154">
        <v>0.66300000000000003</v>
      </c>
      <c r="M970" s="154">
        <v>0.69599999999999995</v>
      </c>
      <c r="N970" s="154">
        <v>0.72</v>
      </c>
      <c r="O970" s="108">
        <f t="shared" si="75"/>
        <v>0.15909090909090917</v>
      </c>
      <c r="P970" s="108">
        <f t="shared" si="76"/>
        <v>4.977375565610842E-2</v>
      </c>
      <c r="Q970" s="108">
        <f t="shared" si="77"/>
        <v>3.4482758620689724E-2</v>
      </c>
      <c r="S970" s="109">
        <f t="shared" si="78"/>
        <v>0.25874125874125875</v>
      </c>
      <c r="T970" s="109">
        <f t="shared" si="79"/>
        <v>8.5972850678732948E-2</v>
      </c>
    </row>
    <row r="971" spans="1:20">
      <c r="A971" s="154">
        <v>228</v>
      </c>
      <c r="B971" s="156">
        <v>300251</v>
      </c>
      <c r="C971" s="133" t="s">
        <v>3238</v>
      </c>
      <c r="D971" s="155" t="s">
        <v>2324</v>
      </c>
      <c r="E971" s="154">
        <v>20</v>
      </c>
      <c r="F971" s="154">
        <v>12</v>
      </c>
      <c r="G971" s="154">
        <v>8</v>
      </c>
      <c r="H971" s="154">
        <v>0</v>
      </c>
      <c r="I971" s="154">
        <v>0</v>
      </c>
      <c r="J971" s="154">
        <v>0</v>
      </c>
      <c r="K971" s="154">
        <v>0.46800000000000003</v>
      </c>
      <c r="L971" s="154">
        <v>0.372</v>
      </c>
      <c r="M971" s="154">
        <v>0.34499999999999997</v>
      </c>
      <c r="N971" s="154">
        <v>0.40200000000000002</v>
      </c>
      <c r="O971" s="108">
        <f t="shared" si="75"/>
        <v>-0.20512820512820518</v>
      </c>
      <c r="P971" s="108">
        <f t="shared" si="76"/>
        <v>-7.2580645161290369E-2</v>
      </c>
      <c r="Q971" s="108">
        <f t="shared" si="77"/>
        <v>0.16521739130434798</v>
      </c>
      <c r="S971" s="109">
        <f t="shared" si="78"/>
        <v>-0.14102564102564097</v>
      </c>
      <c r="T971" s="109">
        <f t="shared" si="79"/>
        <v>8.0645161290322731E-2</v>
      </c>
    </row>
    <row r="972" spans="1:20">
      <c r="A972" s="154">
        <v>558</v>
      </c>
      <c r="B972" s="156">
        <v>600188</v>
      </c>
      <c r="C972" s="133" t="s">
        <v>3239</v>
      </c>
      <c r="D972" s="155" t="s">
        <v>2324</v>
      </c>
      <c r="E972" s="154">
        <v>8</v>
      </c>
      <c r="F972" s="154">
        <v>7</v>
      </c>
      <c r="G972" s="154">
        <v>1</v>
      </c>
      <c r="H972" s="154">
        <v>0</v>
      </c>
      <c r="I972" s="154">
        <v>0</v>
      </c>
      <c r="J972" s="154">
        <v>0</v>
      </c>
      <c r="K972" s="154">
        <v>1.61</v>
      </c>
      <c r="L972" s="154">
        <v>1.7929999999999999</v>
      </c>
      <c r="M972" s="154">
        <v>1.843</v>
      </c>
      <c r="N972" s="154">
        <v>1.9319999999999999</v>
      </c>
      <c r="O972" s="108">
        <f t="shared" si="75"/>
        <v>0.11366459627329184</v>
      </c>
      <c r="P972" s="108">
        <f t="shared" si="76"/>
        <v>2.7886224205242671E-2</v>
      </c>
      <c r="Q972" s="108">
        <f t="shared" si="77"/>
        <v>4.8290830168203902E-2</v>
      </c>
      <c r="S972" s="109">
        <f t="shared" si="78"/>
        <v>0.19999999999999996</v>
      </c>
      <c r="T972" s="109">
        <f t="shared" si="79"/>
        <v>7.7523703290574453E-2</v>
      </c>
    </row>
    <row r="973" spans="1:20">
      <c r="A973" s="154">
        <v>472</v>
      </c>
      <c r="B973" s="156">
        <v>600282</v>
      </c>
      <c r="C973" s="133" t="s">
        <v>3240</v>
      </c>
      <c r="D973" s="155" t="s">
        <v>2324</v>
      </c>
      <c r="E973" s="154">
        <v>11</v>
      </c>
      <c r="F973" s="154">
        <v>1</v>
      </c>
      <c r="G973" s="154">
        <v>10</v>
      </c>
      <c r="H973" s="154">
        <v>0</v>
      </c>
      <c r="I973" s="154">
        <v>0</v>
      </c>
      <c r="J973" s="154">
        <v>0</v>
      </c>
      <c r="K973" s="154">
        <v>0.90500000000000003</v>
      </c>
      <c r="L973" s="154">
        <v>0.76300000000000001</v>
      </c>
      <c r="M973" s="154">
        <v>0.78600000000000003</v>
      </c>
      <c r="N973" s="154">
        <v>0.82199999999999995</v>
      </c>
      <c r="O973" s="108">
        <f t="shared" si="75"/>
        <v>-0.15690607734806628</v>
      </c>
      <c r="P973" s="108">
        <f t="shared" si="76"/>
        <v>3.0144167758846763E-2</v>
      </c>
      <c r="Q973" s="108">
        <f t="shared" si="77"/>
        <v>4.5801526717557106E-2</v>
      </c>
      <c r="S973" s="109">
        <f t="shared" si="78"/>
        <v>-9.1712707182320496E-2</v>
      </c>
      <c r="T973" s="109">
        <f t="shared" si="79"/>
        <v>7.7326343381389107E-2</v>
      </c>
    </row>
    <row r="974" spans="1:20">
      <c r="A974" s="154">
        <v>779</v>
      </c>
      <c r="B974" s="156">
        <v>600348</v>
      </c>
      <c r="C974" s="133" t="s">
        <v>3241</v>
      </c>
      <c r="D974" s="155" t="s">
        <v>2324</v>
      </c>
      <c r="E974" s="154">
        <v>5</v>
      </c>
      <c r="F974" s="154">
        <v>3</v>
      </c>
      <c r="G974" s="154">
        <v>2</v>
      </c>
      <c r="H974" s="154">
        <v>0</v>
      </c>
      <c r="I974" s="154">
        <v>0</v>
      </c>
      <c r="J974" s="154">
        <v>0</v>
      </c>
      <c r="K974" s="154">
        <v>0.82</v>
      </c>
      <c r="L974" s="154">
        <v>0.84</v>
      </c>
      <c r="M974" s="154">
        <v>0.86299999999999999</v>
      </c>
      <c r="N974" s="154">
        <v>0.90400000000000003</v>
      </c>
      <c r="O974" s="108">
        <f t="shared" si="75"/>
        <v>2.4390243902439046E-2</v>
      </c>
      <c r="P974" s="108">
        <f t="shared" si="76"/>
        <v>2.7380952380952506E-2</v>
      </c>
      <c r="Q974" s="108">
        <f t="shared" si="77"/>
        <v>4.7508690614136873E-2</v>
      </c>
      <c r="S974" s="109">
        <f t="shared" si="78"/>
        <v>0.10243902439024399</v>
      </c>
      <c r="T974" s="109">
        <f t="shared" si="79"/>
        <v>7.6190476190476364E-2</v>
      </c>
    </row>
    <row r="975" spans="1:20">
      <c r="A975" s="154">
        <v>974</v>
      </c>
      <c r="B975" s="156">
        <v>717</v>
      </c>
      <c r="C975" s="133" t="s">
        <v>3242</v>
      </c>
      <c r="D975" s="155" t="s">
        <v>2324</v>
      </c>
      <c r="E975" s="154">
        <v>3</v>
      </c>
      <c r="F975" s="154">
        <v>0</v>
      </c>
      <c r="G975" s="154">
        <v>3</v>
      </c>
      <c r="H975" s="154">
        <v>0</v>
      </c>
      <c r="I975" s="154">
        <v>0</v>
      </c>
      <c r="J975" s="154">
        <v>0</v>
      </c>
      <c r="K975" s="154">
        <v>1.367</v>
      </c>
      <c r="L975" s="154">
        <v>0.78300000000000003</v>
      </c>
      <c r="M975" s="154">
        <v>0.77800000000000002</v>
      </c>
      <c r="N975" s="154">
        <v>0.84</v>
      </c>
      <c r="O975" s="108">
        <f t="shared" si="75"/>
        <v>-0.42721287490855886</v>
      </c>
      <c r="P975" s="108">
        <f t="shared" si="76"/>
        <v>-6.3856960408684715E-3</v>
      </c>
      <c r="Q975" s="108">
        <f t="shared" si="77"/>
        <v>7.9691516709511578E-2</v>
      </c>
      <c r="S975" s="109">
        <f t="shared" si="78"/>
        <v>-0.38551572787125088</v>
      </c>
      <c r="T975" s="109">
        <f t="shared" si="79"/>
        <v>7.2796934865900331E-2</v>
      </c>
    </row>
    <row r="976" spans="1:20">
      <c r="A976" s="154">
        <v>570</v>
      </c>
      <c r="B976" s="156">
        <v>600025</v>
      </c>
      <c r="C976" s="133" t="s">
        <v>3243</v>
      </c>
      <c r="D976" s="155" t="s">
        <v>2324</v>
      </c>
      <c r="E976" s="154">
        <v>8</v>
      </c>
      <c r="F976" s="154">
        <v>1</v>
      </c>
      <c r="G976" s="154">
        <v>7</v>
      </c>
      <c r="H976" s="154">
        <v>0</v>
      </c>
      <c r="I976" s="154">
        <v>0</v>
      </c>
      <c r="J976" s="154">
        <v>0</v>
      </c>
      <c r="K976" s="154">
        <v>0.32200000000000001</v>
      </c>
      <c r="L976" s="154">
        <v>0.27500000000000002</v>
      </c>
      <c r="M976" s="154">
        <v>0.28399999999999997</v>
      </c>
      <c r="N976" s="154">
        <v>0.29499999999999998</v>
      </c>
      <c r="O976" s="108">
        <f t="shared" si="75"/>
        <v>-0.14596273291925466</v>
      </c>
      <c r="P976" s="108">
        <f t="shared" si="76"/>
        <v>3.2727272727272494E-2</v>
      </c>
      <c r="Q976" s="108">
        <f t="shared" si="77"/>
        <v>3.8732394366197243E-2</v>
      </c>
      <c r="S976" s="109">
        <f t="shared" si="78"/>
        <v>-8.3850931677018736E-2</v>
      </c>
      <c r="T976" s="109">
        <f t="shared" si="79"/>
        <v>7.2727272727272529E-2</v>
      </c>
    </row>
    <row r="977" spans="1:20">
      <c r="A977" s="154">
        <v>967</v>
      </c>
      <c r="B977" s="156">
        <v>601116</v>
      </c>
      <c r="C977" s="133" t="s">
        <v>3244</v>
      </c>
      <c r="D977" s="155" t="s">
        <v>2324</v>
      </c>
      <c r="E977" s="154">
        <v>3</v>
      </c>
      <c r="F977" s="154">
        <v>0</v>
      </c>
      <c r="G977" s="154">
        <v>3</v>
      </c>
      <c r="H977" s="154">
        <v>0</v>
      </c>
      <c r="I977" s="154">
        <v>0</v>
      </c>
      <c r="J977" s="154">
        <v>0</v>
      </c>
      <c r="K977" s="154">
        <v>0.20399999999999999</v>
      </c>
      <c r="L977" s="154">
        <v>0.28999999999999998</v>
      </c>
      <c r="M977" s="154">
        <v>0.28000000000000003</v>
      </c>
      <c r="N977" s="154">
        <v>0.309</v>
      </c>
      <c r="O977" s="108">
        <f t="shared" si="75"/>
        <v>0.42156862745098045</v>
      </c>
      <c r="P977" s="108">
        <f t="shared" si="76"/>
        <v>-3.4482758620689502E-2</v>
      </c>
      <c r="Q977" s="108">
        <f t="shared" si="77"/>
        <v>0.10357142857142843</v>
      </c>
      <c r="S977" s="109">
        <f t="shared" si="78"/>
        <v>0.51470588235294135</v>
      </c>
      <c r="T977" s="109">
        <f t="shared" si="79"/>
        <v>6.5517241379310365E-2</v>
      </c>
    </row>
    <row r="978" spans="1:20">
      <c r="A978" s="154">
        <v>770</v>
      </c>
      <c r="B978" s="156">
        <v>2128</v>
      </c>
      <c r="C978" s="133" t="s">
        <v>3245</v>
      </c>
      <c r="D978" s="155" t="s">
        <v>2324</v>
      </c>
      <c r="E978" s="154">
        <v>6</v>
      </c>
      <c r="F978" s="154">
        <v>5</v>
      </c>
      <c r="G978" s="154">
        <v>1</v>
      </c>
      <c r="H978" s="154">
        <v>0</v>
      </c>
      <c r="I978" s="154">
        <v>0</v>
      </c>
      <c r="J978" s="154">
        <v>0</v>
      </c>
      <c r="K978" s="154">
        <v>1.0549999999999999</v>
      </c>
      <c r="L978" s="154">
        <v>1.361</v>
      </c>
      <c r="M978" s="154">
        <v>1.405</v>
      </c>
      <c r="N978" s="154">
        <v>1.444</v>
      </c>
      <c r="O978" s="108">
        <f t="shared" si="75"/>
        <v>0.29004739336492902</v>
      </c>
      <c r="P978" s="108">
        <f t="shared" si="76"/>
        <v>3.2329169728141149E-2</v>
      </c>
      <c r="Q978" s="108">
        <f t="shared" si="77"/>
        <v>2.77580071174377E-2</v>
      </c>
      <c r="S978" s="109">
        <f t="shared" si="78"/>
        <v>0.36872037914691957</v>
      </c>
      <c r="T978" s="109">
        <f t="shared" si="79"/>
        <v>6.098457016899328E-2</v>
      </c>
    </row>
    <row r="979" spans="1:20">
      <c r="A979" s="154">
        <v>145</v>
      </c>
      <c r="B979" s="156">
        <v>600801</v>
      </c>
      <c r="C979" s="133" t="s">
        <v>3246</v>
      </c>
      <c r="D979" s="155" t="s">
        <v>2324</v>
      </c>
      <c r="E979" s="154">
        <v>26</v>
      </c>
      <c r="F979" s="154">
        <v>18</v>
      </c>
      <c r="G979" s="154">
        <v>8</v>
      </c>
      <c r="H979" s="154">
        <v>0</v>
      </c>
      <c r="I979" s="154">
        <v>0</v>
      </c>
      <c r="J979" s="154">
        <v>0</v>
      </c>
      <c r="K979" s="154">
        <v>2.4710000000000001</v>
      </c>
      <c r="L979" s="154">
        <v>3.2290000000000001</v>
      </c>
      <c r="M979" s="154">
        <v>3.3090000000000002</v>
      </c>
      <c r="N979" s="154">
        <v>3.4009999999999998</v>
      </c>
      <c r="O979" s="108">
        <f t="shared" si="75"/>
        <v>0.30675839740995547</v>
      </c>
      <c r="P979" s="108">
        <f t="shared" si="76"/>
        <v>2.477547228244048E-2</v>
      </c>
      <c r="Q979" s="108">
        <f t="shared" si="77"/>
        <v>2.780296161982454E-2</v>
      </c>
      <c r="S979" s="109">
        <f t="shared" si="78"/>
        <v>0.37636584378794002</v>
      </c>
      <c r="T979" s="109">
        <f t="shared" si="79"/>
        <v>5.32672654072468E-2</v>
      </c>
    </row>
    <row r="980" spans="1:20">
      <c r="A980" s="154">
        <v>549</v>
      </c>
      <c r="B980" s="156">
        <v>601988</v>
      </c>
      <c r="C980" s="133" t="s">
        <v>3247</v>
      </c>
      <c r="D980" s="155" t="s">
        <v>2324</v>
      </c>
      <c r="E980" s="154">
        <v>9</v>
      </c>
      <c r="F980" s="154">
        <v>5</v>
      </c>
      <c r="G980" s="154">
        <v>4</v>
      </c>
      <c r="H980" s="154">
        <v>0</v>
      </c>
      <c r="I980" s="154">
        <v>0</v>
      </c>
      <c r="J980" s="154">
        <v>0</v>
      </c>
      <c r="K980" s="154">
        <v>0.61199999999999999</v>
      </c>
      <c r="L980" s="154">
        <v>0.56100000000000005</v>
      </c>
      <c r="M980" s="154">
        <v>0.58099999999999996</v>
      </c>
      <c r="N980" s="154">
        <v>0.58299999999999996</v>
      </c>
      <c r="O980" s="108">
        <f t="shared" si="75"/>
        <v>-8.3333333333333259E-2</v>
      </c>
      <c r="P980" s="108">
        <f t="shared" si="76"/>
        <v>3.5650623885917776E-2</v>
      </c>
      <c r="Q980" s="108">
        <f t="shared" si="77"/>
        <v>3.4423407917383297E-3</v>
      </c>
      <c r="S980" s="109">
        <f t="shared" si="78"/>
        <v>-4.7385620915032733E-2</v>
      </c>
      <c r="T980" s="109">
        <f t="shared" si="79"/>
        <v>3.9215686274509665E-2</v>
      </c>
    </row>
    <row r="981" spans="1:20">
      <c r="A981" s="154">
        <v>611</v>
      </c>
      <c r="B981" s="156">
        <v>601006</v>
      </c>
      <c r="C981" s="133" t="s">
        <v>3248</v>
      </c>
      <c r="D981" s="155" t="s">
        <v>2324</v>
      </c>
      <c r="E981" s="154">
        <v>8</v>
      </c>
      <c r="F981" s="154">
        <v>2</v>
      </c>
      <c r="G981" s="154">
        <v>6</v>
      </c>
      <c r="H981" s="154">
        <v>0</v>
      </c>
      <c r="I981" s="154">
        <v>0</v>
      </c>
      <c r="J981" s="154">
        <v>0</v>
      </c>
      <c r="K981" s="154">
        <v>0.97799999999999998</v>
      </c>
      <c r="L981" s="154">
        <v>0.93899999999999995</v>
      </c>
      <c r="M981" s="154">
        <v>0.96199999999999997</v>
      </c>
      <c r="N981" s="154">
        <v>0.97499999999999998</v>
      </c>
      <c r="O981" s="108">
        <f t="shared" si="75"/>
        <v>-3.9877300613496924E-2</v>
      </c>
      <c r="P981" s="108">
        <f t="shared" si="76"/>
        <v>2.4494142705005384E-2</v>
      </c>
      <c r="Q981" s="108">
        <f t="shared" si="77"/>
        <v>1.3513513513513598E-2</v>
      </c>
      <c r="S981" s="109">
        <f t="shared" si="78"/>
        <v>-3.0674846625766694E-3</v>
      </c>
      <c r="T981" s="109">
        <f t="shared" si="79"/>
        <v>3.833865814696491E-2</v>
      </c>
    </row>
    <row r="982" spans="1:20">
      <c r="A982" s="154">
        <v>864</v>
      </c>
      <c r="B982" s="156">
        <v>709</v>
      </c>
      <c r="C982" s="133" t="s">
        <v>3249</v>
      </c>
      <c r="D982" s="155" t="s">
        <v>2324</v>
      </c>
      <c r="E982" s="154">
        <v>4</v>
      </c>
      <c r="F982" s="154">
        <v>1</v>
      </c>
      <c r="G982" s="154">
        <v>3</v>
      </c>
      <c r="H982" s="154">
        <v>0</v>
      </c>
      <c r="I982" s="154">
        <v>0</v>
      </c>
      <c r="J982" s="154">
        <v>0</v>
      </c>
      <c r="K982" s="154">
        <v>0.34200000000000003</v>
      </c>
      <c r="L982" s="154">
        <v>0.222</v>
      </c>
      <c r="M982" s="154">
        <v>0.22</v>
      </c>
      <c r="N982" s="154">
        <v>0.23</v>
      </c>
      <c r="O982" s="108">
        <f t="shared" si="75"/>
        <v>-0.35087719298245623</v>
      </c>
      <c r="P982" s="108">
        <f t="shared" si="76"/>
        <v>-9.009009009009028E-3</v>
      </c>
      <c r="Q982" s="108">
        <f t="shared" si="77"/>
        <v>4.5454545454545414E-2</v>
      </c>
      <c r="S982" s="109">
        <f t="shared" si="78"/>
        <v>-0.32748538011695905</v>
      </c>
      <c r="T982" s="109">
        <f t="shared" si="79"/>
        <v>3.6036036036036112E-2</v>
      </c>
    </row>
    <row r="983" spans="1:20">
      <c r="A983" s="154">
        <v>278</v>
      </c>
      <c r="B983" s="156">
        <v>932</v>
      </c>
      <c r="C983" s="133" t="s">
        <v>3250</v>
      </c>
      <c r="D983" s="155" t="s">
        <v>2324</v>
      </c>
      <c r="E983" s="154">
        <v>18</v>
      </c>
      <c r="F983" s="154">
        <v>9</v>
      </c>
      <c r="G983" s="154">
        <v>9</v>
      </c>
      <c r="H983" s="154">
        <v>0</v>
      </c>
      <c r="I983" s="154">
        <v>0</v>
      </c>
      <c r="J983" s="154">
        <v>0</v>
      </c>
      <c r="K983" s="154">
        <v>1.1060000000000001</v>
      </c>
      <c r="L983" s="154">
        <v>1.014</v>
      </c>
      <c r="M983" s="154">
        <v>1.01</v>
      </c>
      <c r="N983" s="154">
        <v>1.042</v>
      </c>
      <c r="O983" s="108">
        <f t="shared" si="75"/>
        <v>-8.3182640144665476E-2</v>
      </c>
      <c r="P983" s="108">
        <f t="shared" si="76"/>
        <v>-3.9447731755424265E-3</v>
      </c>
      <c r="Q983" s="108">
        <f t="shared" si="77"/>
        <v>3.1683168316831711E-2</v>
      </c>
      <c r="S983" s="109">
        <f t="shared" si="78"/>
        <v>-5.7866184448462921E-2</v>
      </c>
      <c r="T983" s="109">
        <f t="shared" si="79"/>
        <v>2.7613412228796763E-2</v>
      </c>
    </row>
    <row r="984" spans="1:20">
      <c r="A984" s="154">
        <v>147</v>
      </c>
      <c r="B984" s="156">
        <v>600585</v>
      </c>
      <c r="C984" s="133" t="s">
        <v>3251</v>
      </c>
      <c r="D984" s="155" t="s">
        <v>2324</v>
      </c>
      <c r="E984" s="154">
        <v>26</v>
      </c>
      <c r="F984" s="154">
        <v>21</v>
      </c>
      <c r="G984" s="154">
        <v>5</v>
      </c>
      <c r="H984" s="154">
        <v>0</v>
      </c>
      <c r="I984" s="154">
        <v>0</v>
      </c>
      <c r="J984" s="154">
        <v>0</v>
      </c>
      <c r="K984" s="154">
        <v>5.6260000000000003</v>
      </c>
      <c r="L984" s="154">
        <v>6.2370000000000001</v>
      </c>
      <c r="M984" s="154">
        <v>6.3049999999999997</v>
      </c>
      <c r="N984" s="154">
        <v>6.407</v>
      </c>
      <c r="O984" s="108">
        <f t="shared" si="75"/>
        <v>0.10860291503732666</v>
      </c>
      <c r="P984" s="108">
        <f t="shared" si="76"/>
        <v>1.0902677569344155E-2</v>
      </c>
      <c r="Q984" s="108">
        <f t="shared" si="77"/>
        <v>1.617763679619344E-2</v>
      </c>
      <c r="S984" s="109">
        <f t="shared" si="78"/>
        <v>0.13881976537504448</v>
      </c>
      <c r="T984" s="109">
        <f t="shared" si="79"/>
        <v>2.7256693923360498E-2</v>
      </c>
    </row>
    <row r="985" spans="1:20">
      <c r="A985" s="154">
        <v>125</v>
      </c>
      <c r="B985" s="156">
        <v>600900</v>
      </c>
      <c r="C985" s="133" t="s">
        <v>729</v>
      </c>
      <c r="D985" s="155" t="s">
        <v>2324</v>
      </c>
      <c r="E985" s="154">
        <v>28</v>
      </c>
      <c r="F985" s="154">
        <v>8</v>
      </c>
      <c r="G985" s="154">
        <v>20</v>
      </c>
      <c r="H985" s="154">
        <v>0</v>
      </c>
      <c r="I985" s="154">
        <v>0</v>
      </c>
      <c r="J985" s="154">
        <v>0</v>
      </c>
      <c r="K985" s="154">
        <v>1.028</v>
      </c>
      <c r="L985" s="154">
        <v>0.99399999999999999</v>
      </c>
      <c r="M985" s="154">
        <v>1.0069999999999999</v>
      </c>
      <c r="N985" s="154">
        <v>1.0209999999999999</v>
      </c>
      <c r="O985" s="108">
        <f t="shared" si="75"/>
        <v>-3.3073929961089488E-2</v>
      </c>
      <c r="P985" s="108">
        <f t="shared" si="76"/>
        <v>1.3078470824949617E-2</v>
      </c>
      <c r="Q985" s="108">
        <f t="shared" si="77"/>
        <v>1.3902681231380276E-2</v>
      </c>
      <c r="S985" s="109">
        <f t="shared" si="78"/>
        <v>-6.809338521400865E-3</v>
      </c>
      <c r="T985" s="109">
        <f t="shared" si="79"/>
        <v>2.716297786720312E-2</v>
      </c>
    </row>
    <row r="986" spans="1:20">
      <c r="A986" s="154">
        <v>264</v>
      </c>
      <c r="B986" s="156">
        <v>601088</v>
      </c>
      <c r="C986" s="133" t="s">
        <v>3252</v>
      </c>
      <c r="D986" s="155" t="s">
        <v>2324</v>
      </c>
      <c r="E986" s="154">
        <v>18</v>
      </c>
      <c r="F986" s="154">
        <v>12</v>
      </c>
      <c r="G986" s="154">
        <v>6</v>
      </c>
      <c r="H986" s="154">
        <v>0</v>
      </c>
      <c r="I986" s="154">
        <v>0</v>
      </c>
      <c r="J986" s="154">
        <v>0</v>
      </c>
      <c r="K986" s="154">
        <v>2.2050000000000001</v>
      </c>
      <c r="L986" s="154">
        <v>2.2650000000000001</v>
      </c>
      <c r="M986" s="154">
        <v>2.2890000000000001</v>
      </c>
      <c r="N986" s="154">
        <v>2.3130000000000002</v>
      </c>
      <c r="O986" s="108">
        <f t="shared" si="75"/>
        <v>2.7210884353741527E-2</v>
      </c>
      <c r="P986" s="108">
        <f t="shared" si="76"/>
        <v>1.059602649006619E-2</v>
      </c>
      <c r="Q986" s="108">
        <f t="shared" si="77"/>
        <v>1.0484927916120546E-2</v>
      </c>
      <c r="S986" s="109">
        <f t="shared" si="78"/>
        <v>4.8979591836734837E-2</v>
      </c>
      <c r="T986" s="109">
        <f t="shared" si="79"/>
        <v>2.1192052980132381E-2</v>
      </c>
    </row>
    <row r="987" spans="1:20">
      <c r="A987" s="154">
        <v>911</v>
      </c>
      <c r="B987" s="156">
        <v>300682</v>
      </c>
      <c r="C987" s="133" t="s">
        <v>3253</v>
      </c>
      <c r="D987" s="155" t="s">
        <v>2324</v>
      </c>
      <c r="E987" s="154">
        <v>4</v>
      </c>
      <c r="F987" s="154">
        <v>0</v>
      </c>
      <c r="G987" s="154">
        <v>4</v>
      </c>
      <c r="H987" s="154">
        <v>0</v>
      </c>
      <c r="I987" s="154">
        <v>0</v>
      </c>
      <c r="J987" s="154">
        <v>0</v>
      </c>
      <c r="K987" s="154">
        <v>0.19700000000000001</v>
      </c>
      <c r="L987" s="154">
        <v>1.544</v>
      </c>
      <c r="M987" s="154">
        <v>1.125</v>
      </c>
      <c r="N987" s="154">
        <v>1.514</v>
      </c>
      <c r="O987" s="108">
        <f t="shared" si="75"/>
        <v>6.8375634517766493</v>
      </c>
      <c r="P987" s="108">
        <f t="shared" si="76"/>
        <v>-0.27137305699481862</v>
      </c>
      <c r="Q987" s="108">
        <f t="shared" si="77"/>
        <v>0.34577777777777774</v>
      </c>
      <c r="S987" s="109">
        <f t="shared" si="78"/>
        <v>6.6852791878172591</v>
      </c>
      <c r="T987" s="109">
        <f t="shared" si="79"/>
        <v>-1.9430051813471572E-2</v>
      </c>
    </row>
    <row r="988" spans="1:20">
      <c r="A988" s="154">
        <v>978</v>
      </c>
      <c r="B988" s="156">
        <v>600688</v>
      </c>
      <c r="C988" s="133" t="s">
        <v>3254</v>
      </c>
      <c r="D988" s="155" t="s">
        <v>2324</v>
      </c>
      <c r="E988" s="154">
        <v>3</v>
      </c>
      <c r="F988" s="154">
        <v>0</v>
      </c>
      <c r="G988" s="154">
        <v>3</v>
      </c>
      <c r="H988" s="154">
        <v>0</v>
      </c>
      <c r="I988" s="154">
        <v>0</v>
      </c>
      <c r="J988" s="154">
        <v>0</v>
      </c>
      <c r="K988" s="154">
        <v>0.48799999999999999</v>
      </c>
      <c r="L988" s="154">
        <v>0.221</v>
      </c>
      <c r="M988" s="154">
        <v>0.218</v>
      </c>
      <c r="N988" s="154">
        <v>0.21</v>
      </c>
      <c r="O988" s="108">
        <f t="shared" si="75"/>
        <v>-0.54713114754098358</v>
      </c>
      <c r="P988" s="108">
        <f t="shared" si="76"/>
        <v>-1.3574660633484226E-2</v>
      </c>
      <c r="Q988" s="108">
        <f t="shared" si="77"/>
        <v>-3.669724770642202E-2</v>
      </c>
      <c r="S988" s="109">
        <f t="shared" si="78"/>
        <v>-0.56967213114754101</v>
      </c>
      <c r="T988" s="109">
        <f t="shared" si="79"/>
        <v>-4.9773755656108642E-2</v>
      </c>
    </row>
    <row r="989" spans="1:20">
      <c r="A989" s="154">
        <v>971</v>
      </c>
      <c r="B989" s="156">
        <v>2182</v>
      </c>
      <c r="C989" s="133" t="s">
        <v>3255</v>
      </c>
      <c r="D989" s="155" t="s">
        <v>2324</v>
      </c>
      <c r="E989" s="154">
        <v>3</v>
      </c>
      <c r="F989" s="154">
        <v>1</v>
      </c>
      <c r="G989" s="154">
        <v>2</v>
      </c>
      <c r="H989" s="154">
        <v>0</v>
      </c>
      <c r="I989" s="154">
        <v>0</v>
      </c>
      <c r="J989" s="154">
        <v>0</v>
      </c>
      <c r="K989" s="154">
        <v>0.51</v>
      </c>
      <c r="L989" s="154">
        <v>0.90400000000000003</v>
      </c>
      <c r="M989" s="154">
        <v>0.73299999999999998</v>
      </c>
      <c r="N989" s="154">
        <v>0.85199999999999998</v>
      </c>
      <c r="O989" s="108">
        <f t="shared" si="75"/>
        <v>0.77254901960784306</v>
      </c>
      <c r="P989" s="108">
        <f t="shared" si="76"/>
        <v>-0.18915929203539827</v>
      </c>
      <c r="Q989" s="108">
        <f t="shared" si="77"/>
        <v>0.16234652114597536</v>
      </c>
      <c r="S989" s="109">
        <f t="shared" si="78"/>
        <v>0.67058823529411749</v>
      </c>
      <c r="T989" s="109">
        <f t="shared" si="79"/>
        <v>-5.7522123893805399E-2</v>
      </c>
    </row>
    <row r="990" spans="1:20">
      <c r="A990" s="154">
        <v>625</v>
      </c>
      <c r="B990" s="156">
        <v>600548</v>
      </c>
      <c r="C990" s="133" t="s">
        <v>3256</v>
      </c>
      <c r="D990" s="155" t="s">
        <v>2324</v>
      </c>
      <c r="E990" s="154">
        <v>7</v>
      </c>
      <c r="F990" s="154">
        <v>4</v>
      </c>
      <c r="G990" s="154">
        <v>3</v>
      </c>
      <c r="H990" s="154">
        <v>0</v>
      </c>
      <c r="I990" s="154">
        <v>0</v>
      </c>
      <c r="J990" s="154">
        <v>0</v>
      </c>
      <c r="K990" s="154">
        <v>1.577</v>
      </c>
      <c r="L990" s="154">
        <v>1.266</v>
      </c>
      <c r="M990" s="154">
        <v>1.08</v>
      </c>
      <c r="N990" s="154">
        <v>1.1919999999999999</v>
      </c>
      <c r="O990" s="108">
        <f t="shared" si="75"/>
        <v>-0.19720989220038043</v>
      </c>
      <c r="P990" s="108">
        <f t="shared" si="76"/>
        <v>-0.14691943127962082</v>
      </c>
      <c r="Q990" s="108">
        <f t="shared" si="77"/>
        <v>0.10370370370370363</v>
      </c>
      <c r="S990" s="109">
        <f t="shared" si="78"/>
        <v>-0.24413443246670896</v>
      </c>
      <c r="T990" s="109">
        <f t="shared" si="79"/>
        <v>-5.8451816745655694E-2</v>
      </c>
    </row>
    <row r="991" spans="1:20">
      <c r="A991" s="154">
        <v>668</v>
      </c>
      <c r="B991" s="156">
        <v>601919</v>
      </c>
      <c r="C991" s="133" t="s">
        <v>3257</v>
      </c>
      <c r="D991" s="155" t="s">
        <v>2324</v>
      </c>
      <c r="E991" s="154">
        <v>7</v>
      </c>
      <c r="F991" s="154">
        <v>5</v>
      </c>
      <c r="G991" s="154">
        <v>2</v>
      </c>
      <c r="H991" s="154">
        <v>0</v>
      </c>
      <c r="I991" s="154">
        <v>0</v>
      </c>
      <c r="J991" s="154">
        <v>0</v>
      </c>
      <c r="K991" s="154">
        <v>0.1</v>
      </c>
      <c r="L991" s="154">
        <v>0.38400000000000001</v>
      </c>
      <c r="M991" s="154">
        <v>0.255</v>
      </c>
      <c r="N991" s="154">
        <v>0.35899999999999999</v>
      </c>
      <c r="O991" s="108">
        <f t="shared" si="75"/>
        <v>2.84</v>
      </c>
      <c r="P991" s="108">
        <f t="shared" si="76"/>
        <v>-0.3359375</v>
      </c>
      <c r="Q991" s="108">
        <f t="shared" si="77"/>
        <v>0.40784313725490184</v>
      </c>
      <c r="S991" s="109">
        <f t="shared" si="78"/>
        <v>2.59</v>
      </c>
      <c r="T991" s="109">
        <f t="shared" si="79"/>
        <v>-6.5104166666666741E-2</v>
      </c>
    </row>
    <row r="992" spans="1:20">
      <c r="A992" s="154">
        <v>983</v>
      </c>
      <c r="B992" s="156">
        <v>600136</v>
      </c>
      <c r="C992" s="133" t="s">
        <v>3258</v>
      </c>
      <c r="D992" s="155" t="s">
        <v>2324</v>
      </c>
      <c r="E992" s="154">
        <v>3</v>
      </c>
      <c r="F992" s="154">
        <v>3</v>
      </c>
      <c r="G992" s="154">
        <v>0</v>
      </c>
      <c r="H992" s="154">
        <v>0</v>
      </c>
      <c r="I992" s="154">
        <v>0</v>
      </c>
      <c r="J992" s="154">
        <v>0</v>
      </c>
      <c r="K992" s="154">
        <v>0.30399999999999999</v>
      </c>
      <c r="L992" s="154">
        <v>0.89700000000000002</v>
      </c>
      <c r="M992" s="154">
        <v>0.68400000000000005</v>
      </c>
      <c r="N992" s="154">
        <v>0.83399999999999996</v>
      </c>
      <c r="O992" s="108">
        <f t="shared" si="75"/>
        <v>1.950657894736842</v>
      </c>
      <c r="P992" s="108">
        <f t="shared" si="76"/>
        <v>-0.23745819397993306</v>
      </c>
      <c r="Q992" s="108">
        <f t="shared" si="77"/>
        <v>0.21929824561403488</v>
      </c>
      <c r="S992" s="109">
        <f t="shared" si="78"/>
        <v>1.7434210526315788</v>
      </c>
      <c r="T992" s="109">
        <f t="shared" si="79"/>
        <v>-7.0234113712374646E-2</v>
      </c>
    </row>
    <row r="993" spans="1:20">
      <c r="A993" s="154">
        <v>961</v>
      </c>
      <c r="B993" s="156">
        <v>2299</v>
      </c>
      <c r="C993" s="133" t="s">
        <v>3259</v>
      </c>
      <c r="D993" s="155" t="s">
        <v>2324</v>
      </c>
      <c r="E993" s="154">
        <v>3</v>
      </c>
      <c r="F993" s="154">
        <v>2</v>
      </c>
      <c r="G993" s="154">
        <v>1</v>
      </c>
      <c r="H993" s="154">
        <v>0</v>
      </c>
      <c r="I993" s="154">
        <v>0</v>
      </c>
      <c r="J993" s="154">
        <v>0</v>
      </c>
      <c r="K993" s="154">
        <v>1.2150000000000001</v>
      </c>
      <c r="L993" s="154">
        <v>2.8690000000000002</v>
      </c>
      <c r="M993" s="154">
        <v>3.0960000000000001</v>
      </c>
      <c r="N993" s="154">
        <v>2.653</v>
      </c>
      <c r="O993" s="108">
        <f t="shared" si="75"/>
        <v>1.3613168724279836</v>
      </c>
      <c r="P993" s="108">
        <f t="shared" si="76"/>
        <v>7.9121645172533839E-2</v>
      </c>
      <c r="Q993" s="108">
        <f t="shared" si="77"/>
        <v>-0.14308785529715762</v>
      </c>
      <c r="S993" s="109">
        <f t="shared" si="78"/>
        <v>1.1835390946502056</v>
      </c>
      <c r="T993" s="109">
        <f t="shared" si="79"/>
        <v>-7.5287556639944242E-2</v>
      </c>
    </row>
    <row r="994" spans="1:20">
      <c r="A994" s="154">
        <v>638</v>
      </c>
      <c r="B994" s="156">
        <v>601360</v>
      </c>
      <c r="C994" s="133" t="s">
        <v>3260</v>
      </c>
      <c r="D994" s="155" t="s">
        <v>2324</v>
      </c>
      <c r="E994" s="154">
        <v>7</v>
      </c>
      <c r="F994" s="154">
        <v>3</v>
      </c>
      <c r="G994" s="154">
        <v>4</v>
      </c>
      <c r="H994" s="154">
        <v>0</v>
      </c>
      <c r="I994" s="154">
        <v>0</v>
      </c>
      <c r="J994" s="154">
        <v>0</v>
      </c>
      <c r="K994" s="154">
        <v>0.52300000000000002</v>
      </c>
      <c r="L994" s="154">
        <v>0.85799999999999998</v>
      </c>
      <c r="M994" s="154">
        <v>0.64200000000000002</v>
      </c>
      <c r="N994" s="154">
        <v>0.74399999999999999</v>
      </c>
      <c r="O994" s="108">
        <f t="shared" si="75"/>
        <v>0.64053537284894824</v>
      </c>
      <c r="P994" s="108">
        <f t="shared" si="76"/>
        <v>-0.25174825174825177</v>
      </c>
      <c r="Q994" s="108">
        <f t="shared" si="77"/>
        <v>0.1588785046728971</v>
      </c>
      <c r="S994" s="109">
        <f t="shared" si="78"/>
        <v>0.42256214149139582</v>
      </c>
      <c r="T994" s="109">
        <f t="shared" si="79"/>
        <v>-0.13286713286713281</v>
      </c>
    </row>
    <row r="995" spans="1:20">
      <c r="A995" s="154">
        <v>610</v>
      </c>
      <c r="B995" s="156">
        <v>601333</v>
      </c>
      <c r="C995" s="133" t="s">
        <v>3261</v>
      </c>
      <c r="D995" s="155" t="s">
        <v>2324</v>
      </c>
      <c r="E995" s="154">
        <v>8</v>
      </c>
      <c r="F995" s="154">
        <v>6</v>
      </c>
      <c r="G995" s="154">
        <v>2</v>
      </c>
      <c r="H995" s="154">
        <v>0</v>
      </c>
      <c r="I995" s="154">
        <v>0</v>
      </c>
      <c r="J995" s="154">
        <v>0</v>
      </c>
      <c r="K995" s="154">
        <v>0.111</v>
      </c>
      <c r="L995" s="154">
        <v>0.22</v>
      </c>
      <c r="M995" s="154">
        <v>0.16500000000000001</v>
      </c>
      <c r="N995" s="154">
        <v>0.18</v>
      </c>
      <c r="O995" s="108">
        <f t="shared" si="75"/>
        <v>0.98198198198198194</v>
      </c>
      <c r="P995" s="108">
        <f t="shared" si="76"/>
        <v>-0.25</v>
      </c>
      <c r="Q995" s="108">
        <f t="shared" si="77"/>
        <v>9.0909090909090828E-2</v>
      </c>
      <c r="S995" s="109">
        <f t="shared" si="78"/>
        <v>0.62162162162162149</v>
      </c>
      <c r="T995" s="109">
        <f t="shared" si="79"/>
        <v>-0.18181818181818188</v>
      </c>
    </row>
    <row r="996" spans="1:20">
      <c r="A996" s="154">
        <v>995</v>
      </c>
      <c r="B996" s="156">
        <v>600267</v>
      </c>
      <c r="C996" s="133" t="s">
        <v>3262</v>
      </c>
      <c r="D996" s="155" t="s">
        <v>2324</v>
      </c>
      <c r="E996" s="154">
        <v>3</v>
      </c>
      <c r="F996" s="154">
        <v>2</v>
      </c>
      <c r="G996" s="154">
        <v>1</v>
      </c>
      <c r="H996" s="154">
        <v>0</v>
      </c>
      <c r="I996" s="154">
        <v>0</v>
      </c>
      <c r="J996" s="154">
        <v>0</v>
      </c>
      <c r="K996" s="154">
        <v>-0.51</v>
      </c>
      <c r="L996" s="154">
        <v>0.57699999999999996</v>
      </c>
      <c r="M996" s="154">
        <v>0.245</v>
      </c>
      <c r="N996" s="154">
        <v>0.434</v>
      </c>
      <c r="O996" s="108">
        <f t="shared" si="75"/>
        <v>-2.1313725490196078</v>
      </c>
      <c r="P996" s="108">
        <f t="shared" si="76"/>
        <v>-0.57538994800693244</v>
      </c>
      <c r="Q996" s="108">
        <f t="shared" si="77"/>
        <v>0.77142857142857135</v>
      </c>
      <c r="S996" s="109">
        <f t="shared" si="78"/>
        <v>-1.8509803921568628</v>
      </c>
      <c r="T996" s="109">
        <f t="shared" si="79"/>
        <v>-0.24783362218370875</v>
      </c>
    </row>
    <row r="997" spans="1:20">
      <c r="A997" s="154">
        <v>733</v>
      </c>
      <c r="B997" s="156">
        <v>2869</v>
      </c>
      <c r="C997" s="133" t="s">
        <v>3263</v>
      </c>
      <c r="D997" s="155" t="s">
        <v>2324</v>
      </c>
      <c r="E997" s="154">
        <v>6</v>
      </c>
      <c r="F997" s="154">
        <v>3</v>
      </c>
      <c r="G997" s="154">
        <v>3</v>
      </c>
      <c r="H997" s="154">
        <v>0</v>
      </c>
      <c r="I997" s="154">
        <v>0</v>
      </c>
      <c r="J997" s="154">
        <v>0</v>
      </c>
      <c r="K997" s="154">
        <v>0.18</v>
      </c>
      <c r="L997" s="154">
        <v>5.4349999999999996</v>
      </c>
      <c r="M997" s="154">
        <v>4.7640000000000002</v>
      </c>
      <c r="N997" s="154">
        <v>3.948</v>
      </c>
      <c r="O997" s="108">
        <f t="shared" si="75"/>
        <v>29.194444444444443</v>
      </c>
      <c r="P997" s="108">
        <f t="shared" si="76"/>
        <v>-0.1234590616375344</v>
      </c>
      <c r="Q997" s="108">
        <f t="shared" si="77"/>
        <v>-0.17128463476070532</v>
      </c>
      <c r="S997" s="109">
        <f t="shared" si="78"/>
        <v>20.933333333333334</v>
      </c>
      <c r="T997" s="109">
        <f t="shared" si="79"/>
        <v>-0.2735970561177552</v>
      </c>
    </row>
    <row r="998" spans="1:20">
      <c r="A998" s="154">
        <v>784</v>
      </c>
      <c r="B998" s="156">
        <v>933</v>
      </c>
      <c r="C998" s="133" t="s">
        <v>3264</v>
      </c>
      <c r="D998" s="155" t="s">
        <v>2324</v>
      </c>
      <c r="E998" s="154">
        <v>5</v>
      </c>
      <c r="F998" s="154">
        <v>2</v>
      </c>
      <c r="G998" s="154">
        <v>3</v>
      </c>
      <c r="H998" s="154">
        <v>0</v>
      </c>
      <c r="I998" s="154">
        <v>0</v>
      </c>
      <c r="J998" s="154">
        <v>0</v>
      </c>
      <c r="K998" s="154">
        <v>0.126</v>
      </c>
      <c r="L998" s="154">
        <v>0.64400000000000002</v>
      </c>
      <c r="M998" s="154">
        <v>0.317</v>
      </c>
      <c r="N998" s="154">
        <v>0.44500000000000001</v>
      </c>
      <c r="O998" s="108">
        <f t="shared" si="75"/>
        <v>4.1111111111111116</v>
      </c>
      <c r="P998" s="108">
        <f t="shared" si="76"/>
        <v>-0.50776397515527949</v>
      </c>
      <c r="Q998" s="108">
        <f t="shared" si="77"/>
        <v>0.40378548895899047</v>
      </c>
      <c r="S998" s="109">
        <f t="shared" si="78"/>
        <v>2.5317460317460316</v>
      </c>
      <c r="T998" s="109">
        <f t="shared" si="79"/>
        <v>-0.30900621118012428</v>
      </c>
    </row>
    <row r="999" spans="1:20">
      <c r="A999" s="154">
        <v>252</v>
      </c>
      <c r="B999" s="156">
        <v>2024</v>
      </c>
      <c r="C999" s="133" t="s">
        <v>3265</v>
      </c>
      <c r="D999" s="155" t="s">
        <v>2324</v>
      </c>
      <c r="E999" s="154">
        <v>19</v>
      </c>
      <c r="F999" s="154">
        <v>13</v>
      </c>
      <c r="G999" s="154">
        <v>6</v>
      </c>
      <c r="H999" s="154">
        <v>0</v>
      </c>
      <c r="I999" s="154">
        <v>0</v>
      </c>
      <c r="J999" s="154">
        <v>0</v>
      </c>
      <c r="K999" s="154">
        <v>1.431</v>
      </c>
      <c r="L999" s="154">
        <v>1.389</v>
      </c>
      <c r="M999" s="154">
        <v>0.35599999999999998</v>
      </c>
      <c r="N999" s="154">
        <v>0.51400000000000001</v>
      </c>
      <c r="O999" s="108">
        <f t="shared" si="75"/>
        <v>-2.9350104821803003E-2</v>
      </c>
      <c r="P999" s="108">
        <f t="shared" si="76"/>
        <v>-0.74370050395968323</v>
      </c>
      <c r="Q999" s="108">
        <f t="shared" si="77"/>
        <v>0.44382022471910121</v>
      </c>
      <c r="S999" s="109">
        <f t="shared" si="78"/>
        <v>-0.64081062194269744</v>
      </c>
      <c r="T999" s="109">
        <f t="shared" si="79"/>
        <v>-0.62994960403167743</v>
      </c>
    </row>
    <row r="1000" spans="1:20">
      <c r="A1000" s="154">
        <v>973</v>
      </c>
      <c r="B1000" s="156">
        <v>2068</v>
      </c>
      <c r="C1000" s="133" t="s">
        <v>3266</v>
      </c>
      <c r="D1000" s="155" t="s">
        <v>2324</v>
      </c>
      <c r="E1000" s="154">
        <v>3</v>
      </c>
      <c r="F1000" s="154">
        <v>2</v>
      </c>
      <c r="G1000" s="154">
        <v>1</v>
      </c>
      <c r="H1000" s="154">
        <v>0</v>
      </c>
      <c r="I1000" s="154">
        <v>0</v>
      </c>
      <c r="J1000" s="154">
        <v>0</v>
      </c>
      <c r="K1000" s="154">
        <v>0.55200000000000005</v>
      </c>
      <c r="L1000" s="154">
        <v>-0.16700000000000001</v>
      </c>
      <c r="M1000" s="154">
        <v>0.32200000000000001</v>
      </c>
      <c r="N1000" s="154">
        <v>0.51800000000000002</v>
      </c>
      <c r="O1000" s="108">
        <f t="shared" si="75"/>
        <v>-1.3025362318840581</v>
      </c>
      <c r="P1000" s="108">
        <f t="shared" si="76"/>
        <v>-2.9281437125748502</v>
      </c>
      <c r="Q1000" s="108">
        <f t="shared" si="77"/>
        <v>0.60869565217391308</v>
      </c>
      <c r="S1000" s="109">
        <f t="shared" si="78"/>
        <v>-6.1594202898550776E-2</v>
      </c>
      <c r="T1000" s="109">
        <f t="shared" si="79"/>
        <v>-4.1017964071856285</v>
      </c>
    </row>
    <row r="1001" spans="1:20">
      <c r="A1001" s="154">
        <v>1</v>
      </c>
      <c r="B1001" s="156">
        <v>625</v>
      </c>
      <c r="C1001" s="133" t="s">
        <v>3267</v>
      </c>
      <c r="D1001" s="155" t="s">
        <v>2324</v>
      </c>
      <c r="E1001" s="154">
        <v>115</v>
      </c>
      <c r="F1001" s="154">
        <v>98</v>
      </c>
      <c r="G1001" s="154">
        <v>17</v>
      </c>
      <c r="H1001" s="154">
        <v>0</v>
      </c>
      <c r="I1001" s="154">
        <v>0</v>
      </c>
      <c r="J1001" s="154">
        <v>0</v>
      </c>
      <c r="K1001" s="154">
        <v>0.14199999999999999</v>
      </c>
      <c r="L1001" s="154">
        <v>-7.8E-2</v>
      </c>
      <c r="M1001" s="154">
        <v>0.63600000000000001</v>
      </c>
      <c r="N1001" s="154">
        <v>1.0860000000000001</v>
      </c>
      <c r="O1001" s="108">
        <f t="shared" si="75"/>
        <v>-1.5492957746478875</v>
      </c>
      <c r="P1001" s="108">
        <f t="shared" si="76"/>
        <v>-9.1538461538461533</v>
      </c>
      <c r="Q1001" s="108">
        <f t="shared" si="77"/>
        <v>0.70754716981132093</v>
      </c>
      <c r="S1001" s="109">
        <f t="shared" si="78"/>
        <v>6.6478873239436629</v>
      </c>
      <c r="T1001" s="109">
        <f t="shared" si="79"/>
        <v>-14.923076923076923</v>
      </c>
    </row>
    <row r="1002" spans="1:20">
      <c r="A1002" s="154">
        <v>398</v>
      </c>
      <c r="B1002" s="156">
        <v>600583</v>
      </c>
      <c r="C1002" s="133" t="s">
        <v>3268</v>
      </c>
      <c r="D1002" s="155" t="s">
        <v>2324</v>
      </c>
      <c r="E1002" s="154">
        <v>13</v>
      </c>
      <c r="F1002" s="154">
        <v>7</v>
      </c>
      <c r="G1002" s="154">
        <v>6</v>
      </c>
      <c r="H1002" s="154">
        <v>0</v>
      </c>
      <c r="I1002" s="154">
        <v>0</v>
      </c>
      <c r="J1002" s="154">
        <v>0</v>
      </c>
      <c r="K1002" s="154">
        <v>1.7999999999999999E-2</v>
      </c>
      <c r="L1002" s="154">
        <v>-4.0000000000000001E-3</v>
      </c>
      <c r="M1002" s="154">
        <v>0.221</v>
      </c>
      <c r="N1002" s="154">
        <v>0.36</v>
      </c>
      <c r="O1002" s="108">
        <f t="shared" si="75"/>
        <v>-1.2222222222222223</v>
      </c>
      <c r="P1002" s="108">
        <f t="shared" si="76"/>
        <v>-56.25</v>
      </c>
      <c r="Q1002" s="108">
        <f t="shared" si="77"/>
        <v>0.62895927601809953</v>
      </c>
      <c r="S1002" s="109">
        <f t="shared" si="78"/>
        <v>19</v>
      </c>
      <c r="T1002" s="109">
        <f t="shared" si="79"/>
        <v>-91</v>
      </c>
    </row>
  </sheetData>
  <autoFilter ref="A2:T2" xr:uid="{00000000-0009-0000-0000-000011000000}">
    <sortState xmlns:xlrd2="http://schemas.microsoft.com/office/spreadsheetml/2017/richdata2" ref="A3:T1002">
      <sortCondition descending="1" ref="T2:T1002"/>
    </sortState>
  </autoFilter>
  <conditionalFormatting sqref="O1:O1048576">
    <cfRule type="cellIs" dxfId="4" priority="4" operator="greaterThan">
      <formula>0.1</formula>
    </cfRule>
    <cfRule type="cellIs" dxfId="3" priority="8" operator="lessThan">
      <formula>0</formula>
    </cfRule>
  </conditionalFormatting>
  <conditionalFormatting sqref="S1:S1048576">
    <cfRule type="cellIs" dxfId="2" priority="5" operator="lessThan">
      <formula>0</formula>
    </cfRule>
  </conditionalFormatting>
  <conditionalFormatting sqref="P1:Q1048576">
    <cfRule type="cellIs" dxfId="1" priority="1" operator="between">
      <formula>0.1</formula>
      <formula>1</formula>
    </cfRule>
    <cfRule type="cellIs" dxfId="0" priority="2" operator="between">
      <formula>10</formula>
      <formula>100</formula>
    </cfRule>
  </conditionalFormatting>
  <hyperlinks>
    <hyperlink ref="B1" r:id="rId1" display="javascript:;" xr:uid="{00000000-0004-0000-1100-000000000000}"/>
    <hyperlink ref="E1" r:id="rId2" display="javascript:;" xr:uid="{00000000-0004-0000-1100-000001000000}"/>
    <hyperlink ref="F2" r:id="rId3" display="javascript:;" xr:uid="{00000000-0004-0000-1100-000002000000}"/>
    <hyperlink ref="G2" r:id="rId4" display="javascript:;" xr:uid="{00000000-0004-0000-1100-000003000000}"/>
    <hyperlink ref="H2" r:id="rId5" display="javascript:;" xr:uid="{00000000-0004-0000-1100-000004000000}"/>
    <hyperlink ref="I2" r:id="rId6" display="javascript:;" xr:uid="{00000000-0004-0000-1100-000005000000}"/>
    <hyperlink ref="J2" r:id="rId7" display="javascript:;" xr:uid="{00000000-0004-0000-1100-000006000000}"/>
    <hyperlink ref="K2" r:id="rId8" display="javascript:;" xr:uid="{00000000-0004-0000-1100-000007000000}"/>
    <hyperlink ref="L2" r:id="rId9" display="javascript:;" xr:uid="{00000000-0004-0000-1100-000008000000}"/>
    <hyperlink ref="M2" r:id="rId10" display="javascript:;" xr:uid="{00000000-0004-0000-1100-000009000000}"/>
    <hyperlink ref="N2" r:id="rId11" display="javascript:;" xr:uid="{00000000-0004-0000-1100-00000A000000}"/>
    <hyperlink ref="B3" r:id="rId12" display="http://quote.eastmoney.com/603290.html" xr:uid="{00000000-0004-0000-1100-00000B000000}"/>
    <hyperlink ref="C3" r:id="rId13" display="http://data.eastmoney.com/stockdata/603290.html" xr:uid="{00000000-0004-0000-1100-00000C000000}"/>
    <hyperlink ref="B4" r:id="rId14" display="http://quote.eastmoney.com/603195.html" xr:uid="{00000000-0004-0000-1100-00000D000000}"/>
    <hyperlink ref="C4" r:id="rId15" display="http://data.eastmoney.com/stockdata/603195.html" xr:uid="{00000000-0004-0000-1100-00000E000000}"/>
    <hyperlink ref="B5" r:id="rId16" display="http://quote.eastmoney.com/001914.html" xr:uid="{00000000-0004-0000-1100-00000F000000}"/>
    <hyperlink ref="C5" r:id="rId17" display="http://data.eastmoney.com/stockdata/001914.html" xr:uid="{00000000-0004-0000-1100-000010000000}"/>
    <hyperlink ref="B6" r:id="rId18" display="http://quote.eastmoney.com/300324.html" xr:uid="{00000000-0004-0000-1100-000011000000}"/>
    <hyperlink ref="C6" r:id="rId19" display="http://data.eastmoney.com/stockdata/300324.html" xr:uid="{00000000-0004-0000-1100-000012000000}"/>
    <hyperlink ref="B7" r:id="rId20" display="http://quote.eastmoney.com/600246.html" xr:uid="{00000000-0004-0000-1100-000013000000}"/>
    <hyperlink ref="C7" r:id="rId21" display="http://data.eastmoney.com/stockdata/600246.html" xr:uid="{00000000-0004-0000-1100-000014000000}"/>
    <hyperlink ref="B8" r:id="rId22" display="http://quote.eastmoney.com/002156.html" xr:uid="{00000000-0004-0000-1100-000015000000}"/>
    <hyperlink ref="C8" r:id="rId23" display="http://data.eastmoney.com/stockdata/002156.html" xr:uid="{00000000-0004-0000-1100-000016000000}"/>
    <hyperlink ref="B9" r:id="rId24" display="http://quote.eastmoney.com/600882.html" xr:uid="{00000000-0004-0000-1100-000017000000}"/>
    <hyperlink ref="C9" r:id="rId25" display="http://data.eastmoney.com/stockdata/600882.html" xr:uid="{00000000-0004-0000-1100-000018000000}"/>
    <hyperlink ref="B10" r:id="rId26" display="http://quote.eastmoney.com/002659.html" xr:uid="{00000000-0004-0000-1100-000019000000}"/>
    <hyperlink ref="C10" r:id="rId27" display="http://data.eastmoney.com/stockdata/002659.html" xr:uid="{00000000-0004-0000-1100-00001A000000}"/>
    <hyperlink ref="B11" r:id="rId28" display="http://quote.eastmoney.com/600584.html" xr:uid="{00000000-0004-0000-1100-00001B000000}"/>
    <hyperlink ref="C11" r:id="rId29" display="http://data.eastmoney.com/stockdata/600584.html" xr:uid="{00000000-0004-0000-1100-00001C000000}"/>
    <hyperlink ref="B12" r:id="rId30" display="http://quote.eastmoney.com/002570.html" xr:uid="{00000000-0004-0000-1100-00001D000000}"/>
    <hyperlink ref="C12" r:id="rId31" display="http://data.eastmoney.com/stockdata/002570.html" xr:uid="{00000000-0004-0000-1100-00001E000000}"/>
    <hyperlink ref="B13" r:id="rId32" display="http://quote.eastmoney.com/300409.html" xr:uid="{00000000-0004-0000-1100-00001F000000}"/>
    <hyperlink ref="C13" r:id="rId33" display="http://data.eastmoney.com/stockdata/300409.html" xr:uid="{00000000-0004-0000-1100-000020000000}"/>
    <hyperlink ref="B14" r:id="rId34" display="http://quote.eastmoney.com/300618.html" xr:uid="{00000000-0004-0000-1100-000021000000}"/>
    <hyperlink ref="C14" r:id="rId35" display="http://data.eastmoney.com/stockdata/300618.html" xr:uid="{00000000-0004-0000-1100-000022000000}"/>
    <hyperlink ref="B15" r:id="rId36" display="http://quote.eastmoney.com/000786.html" xr:uid="{00000000-0004-0000-1100-000023000000}"/>
    <hyperlink ref="C15" r:id="rId37" display="http://data.eastmoney.com/stockdata/000786.html" xr:uid="{00000000-0004-0000-1100-000024000000}"/>
    <hyperlink ref="B16" r:id="rId38" display="http://quote.eastmoney.com/603727.html" xr:uid="{00000000-0004-0000-1100-000025000000}"/>
    <hyperlink ref="C16" r:id="rId39" display="http://data.eastmoney.com/stockdata/603727.html" xr:uid="{00000000-0004-0000-1100-000026000000}"/>
    <hyperlink ref="B17" r:id="rId40" display="http://quote.eastmoney.com/002124.html" xr:uid="{00000000-0004-0000-1100-000027000000}"/>
    <hyperlink ref="C17" r:id="rId41" display="http://data.eastmoney.com/stockdata/002124.html" xr:uid="{00000000-0004-0000-1100-000028000000}"/>
    <hyperlink ref="B18" r:id="rId42" display="http://quote.eastmoney.com/300142.html" xr:uid="{00000000-0004-0000-1100-000029000000}"/>
    <hyperlink ref="C18" r:id="rId43" display="http://data.eastmoney.com/stockdata/300142.html" xr:uid="{00000000-0004-0000-1100-00002A000000}"/>
    <hyperlink ref="B19" r:id="rId44" display="http://quote.eastmoney.com/002714.html" xr:uid="{00000000-0004-0000-1100-00002B000000}"/>
    <hyperlink ref="C19" r:id="rId45" display="http://data.eastmoney.com/stockdata/002714.html" xr:uid="{00000000-0004-0000-1100-00002C000000}"/>
    <hyperlink ref="B20" r:id="rId46" display="http://quote.eastmoney.com/603799.html" xr:uid="{00000000-0004-0000-1100-00002D000000}"/>
    <hyperlink ref="C20" r:id="rId47" display="http://data.eastmoney.com/stockdata/603799.html" xr:uid="{00000000-0004-0000-1100-00002E000000}"/>
    <hyperlink ref="B21" r:id="rId48" display="http://quote.eastmoney.com/300772.html" xr:uid="{00000000-0004-0000-1100-00002F000000}"/>
    <hyperlink ref="C21" r:id="rId49" display="http://data.eastmoney.com/stockdata/300772.html" xr:uid="{00000000-0004-0000-1100-000030000000}"/>
    <hyperlink ref="B22" r:id="rId50" display="http://quote.eastmoney.com/002157.html" xr:uid="{00000000-0004-0000-1100-000031000000}"/>
    <hyperlink ref="C22" r:id="rId51" display="http://data.eastmoney.com/stockdata/002157.html" xr:uid="{00000000-0004-0000-1100-000032000000}"/>
    <hyperlink ref="B23" r:id="rId52" display="http://quote.eastmoney.com/002876.html" xr:uid="{00000000-0004-0000-1100-000033000000}"/>
    <hyperlink ref="C23" r:id="rId53" display="http://data.eastmoney.com/stockdata/002876.html" xr:uid="{00000000-0004-0000-1100-000034000000}"/>
    <hyperlink ref="B24" r:id="rId54" display="http://quote.eastmoney.com/300338.html" xr:uid="{00000000-0004-0000-1100-000035000000}"/>
    <hyperlink ref="C24" r:id="rId55" display="http://data.eastmoney.com/stockdata/300338.html" xr:uid="{00000000-0004-0000-1100-000036000000}"/>
    <hyperlink ref="B25" r:id="rId56" display="http://quote.eastmoney.com/002466.html" xr:uid="{00000000-0004-0000-1100-000037000000}"/>
    <hyperlink ref="C25" r:id="rId57" display="http://data.eastmoney.com/stockdata/002466.html" xr:uid="{00000000-0004-0000-1100-000038000000}"/>
    <hyperlink ref="B26" r:id="rId58" display="http://quote.eastmoney.com/600536.html" xr:uid="{00000000-0004-0000-1100-000039000000}"/>
    <hyperlink ref="C26" r:id="rId59" display="http://data.eastmoney.com/stockdata/600536.html" xr:uid="{00000000-0004-0000-1100-00003A000000}"/>
    <hyperlink ref="B27" r:id="rId60" display="http://quote.eastmoney.com/603501.html" xr:uid="{00000000-0004-0000-1100-00003B000000}"/>
    <hyperlink ref="C27" r:id="rId61" display="http://data.eastmoney.com/stockdata/603501.html" xr:uid="{00000000-0004-0000-1100-00003C000000}"/>
    <hyperlink ref="B28" r:id="rId62" display="http://quote.eastmoney.com/002456.html" xr:uid="{00000000-0004-0000-1100-00003D000000}"/>
    <hyperlink ref="C28" r:id="rId63" display="http://data.eastmoney.com/stockdata/002456.html" xr:uid="{00000000-0004-0000-1100-00003E000000}"/>
    <hyperlink ref="B29" r:id="rId64" display="http://quote.eastmoney.com/300598.html" xr:uid="{00000000-0004-0000-1100-00003F000000}"/>
    <hyperlink ref="C29" r:id="rId65" display="http://data.eastmoney.com/stockdata/300598.html" xr:uid="{00000000-0004-0000-1100-000040000000}"/>
    <hyperlink ref="B30" r:id="rId66" display="http://quote.eastmoney.com/300604.html" xr:uid="{00000000-0004-0000-1100-000041000000}"/>
    <hyperlink ref="C30" r:id="rId67" display="http://data.eastmoney.com/stockdata/300604.html" xr:uid="{00000000-0004-0000-1100-000042000000}"/>
    <hyperlink ref="B31" r:id="rId68" display="http://quote.eastmoney.com/002792.html" xr:uid="{00000000-0004-0000-1100-000043000000}"/>
    <hyperlink ref="C31" r:id="rId69" display="http://data.eastmoney.com/stockdata/002792.html" xr:uid="{00000000-0004-0000-1100-000044000000}"/>
    <hyperlink ref="B32" r:id="rId70" display="http://quote.eastmoney.com/002100.html" xr:uid="{00000000-0004-0000-1100-000045000000}"/>
    <hyperlink ref="C32" r:id="rId71" display="http://data.eastmoney.com/stockdata/002100.html" xr:uid="{00000000-0004-0000-1100-000046000000}"/>
    <hyperlink ref="B33" r:id="rId72" display="http://quote.eastmoney.com/603063.html" xr:uid="{00000000-0004-0000-1100-000047000000}"/>
    <hyperlink ref="C33" r:id="rId73" display="http://data.eastmoney.com/stockdata/603063.html" xr:uid="{00000000-0004-0000-1100-000048000000}"/>
    <hyperlink ref="B34" r:id="rId74" display="http://quote.eastmoney.com/002709.html" xr:uid="{00000000-0004-0000-1100-000049000000}"/>
    <hyperlink ref="C34" r:id="rId75" display="http://data.eastmoney.com/stockdata/002709.html" xr:uid="{00000000-0004-0000-1100-00004A000000}"/>
    <hyperlink ref="B35" r:id="rId76" display="http://quote.eastmoney.com/600988.html" xr:uid="{00000000-0004-0000-1100-00004B000000}"/>
    <hyperlink ref="C35" r:id="rId77" display="http://data.eastmoney.com/stockdata/600988.html" xr:uid="{00000000-0004-0000-1100-00004C000000}"/>
    <hyperlink ref="B36" r:id="rId78" display="http://quote.eastmoney.com/300379.html" xr:uid="{00000000-0004-0000-1100-00004D000000}"/>
    <hyperlink ref="C36" r:id="rId79" display="http://data.eastmoney.com/stockdata/300379.html" xr:uid="{00000000-0004-0000-1100-00004E000000}"/>
    <hyperlink ref="B37" r:id="rId80" display="http://quote.eastmoney.com/300133.html" xr:uid="{00000000-0004-0000-1100-00004F000000}"/>
    <hyperlink ref="C37" r:id="rId81" display="http://data.eastmoney.com/stockdata/300133.html" xr:uid="{00000000-0004-0000-1100-000050000000}"/>
    <hyperlink ref="B38" r:id="rId82" display="http://quote.eastmoney.com/002385.html" xr:uid="{00000000-0004-0000-1100-000051000000}"/>
    <hyperlink ref="C38" r:id="rId83" display="http://data.eastmoney.com/stockdata/002385.html" xr:uid="{00000000-0004-0000-1100-000052000000}"/>
    <hyperlink ref="B39" r:id="rId84" display="http://quote.eastmoney.com/002385.html" xr:uid="{00000000-0004-0000-1100-000053000000}"/>
    <hyperlink ref="C39" r:id="rId85" display="http://data.eastmoney.com/stockdata/002385.html" xr:uid="{00000000-0004-0000-1100-000054000000}"/>
    <hyperlink ref="B40" r:id="rId86" display="http://quote.eastmoney.com/300001.html" xr:uid="{00000000-0004-0000-1100-000055000000}"/>
    <hyperlink ref="C40" r:id="rId87" display="http://data.eastmoney.com/stockdata/300001.html" xr:uid="{00000000-0004-0000-1100-000056000000}"/>
    <hyperlink ref="B41" r:id="rId88" display="http://quote.eastmoney.com/002292.html" xr:uid="{00000000-0004-0000-1100-000057000000}"/>
    <hyperlink ref="C41" r:id="rId89" display="http://data.eastmoney.com/stockdata/002292.html" xr:uid="{00000000-0004-0000-1100-000058000000}"/>
    <hyperlink ref="B42" r:id="rId90" display="http://quote.eastmoney.com/600026.html" xr:uid="{00000000-0004-0000-1100-000059000000}"/>
    <hyperlink ref="C42" r:id="rId91" display="http://data.eastmoney.com/stockdata/600026.html" xr:uid="{00000000-0004-0000-1100-00005A000000}"/>
    <hyperlink ref="B43" r:id="rId92" display="http://quote.eastmoney.com/000852.html" xr:uid="{00000000-0004-0000-1100-00005B000000}"/>
    <hyperlink ref="C43" r:id="rId93" display="http://data.eastmoney.com/stockdata/000852.html" xr:uid="{00000000-0004-0000-1100-00005C000000}"/>
    <hyperlink ref="B44" r:id="rId94" display="http://quote.eastmoney.com/002159.html" xr:uid="{00000000-0004-0000-1100-00005D000000}"/>
    <hyperlink ref="C44" r:id="rId95" display="http://data.eastmoney.com/stockdata/002159.html" xr:uid="{00000000-0004-0000-1100-00005E000000}"/>
    <hyperlink ref="B45" r:id="rId96" display="http://quote.eastmoney.com/300659.html" xr:uid="{00000000-0004-0000-1100-00005F000000}"/>
    <hyperlink ref="C45" r:id="rId97" display="http://data.eastmoney.com/stockdata/300659.html" xr:uid="{00000000-0004-0000-1100-000060000000}"/>
    <hyperlink ref="B46" r:id="rId98" display="http://quote.eastmoney.com/000807.html" xr:uid="{00000000-0004-0000-1100-000061000000}"/>
    <hyperlink ref="C46" r:id="rId99" display="http://data.eastmoney.com/stockdata/000807.html" xr:uid="{00000000-0004-0000-1100-000062000000}"/>
    <hyperlink ref="B47" r:id="rId100" display="http://quote.eastmoney.com/300630.html" xr:uid="{00000000-0004-0000-1100-000063000000}"/>
    <hyperlink ref="C47" r:id="rId101" display="http://data.eastmoney.com/stockdata/300630.html" xr:uid="{00000000-0004-0000-1100-000064000000}"/>
    <hyperlink ref="B48" r:id="rId102" display="http://quote.eastmoney.com/002493.html" xr:uid="{00000000-0004-0000-1100-000065000000}"/>
    <hyperlink ref="C48" r:id="rId103" display="http://data.eastmoney.com/stockdata/002493.html" xr:uid="{00000000-0004-0000-1100-000066000000}"/>
    <hyperlink ref="B49" r:id="rId104" display="http://quote.eastmoney.com/600745.html" xr:uid="{00000000-0004-0000-1100-000067000000}"/>
    <hyperlink ref="C49" r:id="rId105" display="http://data.eastmoney.com/stockdata/600745.html" xr:uid="{00000000-0004-0000-1100-000068000000}"/>
    <hyperlink ref="B50" r:id="rId106" display="http://quote.eastmoney.com/300601.html" xr:uid="{00000000-0004-0000-1100-000069000000}"/>
    <hyperlink ref="C50" r:id="rId107" display="http://data.eastmoney.com/stockdata/300601.html" xr:uid="{00000000-0004-0000-1100-00006A000000}"/>
    <hyperlink ref="B51" r:id="rId108" display="http://quote.eastmoney.com/002123.html" xr:uid="{00000000-0004-0000-1100-00006B000000}"/>
    <hyperlink ref="C51" r:id="rId109" display="http://data.eastmoney.com/stockdata/002123.html" xr:uid="{00000000-0004-0000-1100-00006C000000}"/>
    <hyperlink ref="B52" r:id="rId110" display="http://quote.eastmoney.com/300214.html" xr:uid="{00000000-0004-0000-1100-00006D000000}"/>
    <hyperlink ref="C52" r:id="rId111" display="http://data.eastmoney.com/stockdata/300214.html" xr:uid="{00000000-0004-0000-1100-00006E000000}"/>
    <hyperlink ref="B53" r:id="rId112" display="http://quote.eastmoney.com/002967.html" xr:uid="{00000000-0004-0000-1100-00006F000000}"/>
    <hyperlink ref="C53" r:id="rId113" display="http://data.eastmoney.com/stockdata/002967.html" xr:uid="{00000000-0004-0000-1100-000070000000}"/>
    <hyperlink ref="B54" r:id="rId114" display="http://quote.eastmoney.com/002313.html" xr:uid="{00000000-0004-0000-1100-000071000000}"/>
    <hyperlink ref="C54" r:id="rId115" display="http://data.eastmoney.com/stockdata/002313.html" xr:uid="{00000000-0004-0000-1100-000072000000}"/>
    <hyperlink ref="B55" r:id="rId116" display="http://quote.eastmoney.com/002891.html" xr:uid="{00000000-0004-0000-1100-000073000000}"/>
    <hyperlink ref="C55" r:id="rId117" display="http://data.eastmoney.com/stockdata/002891.html" xr:uid="{00000000-0004-0000-1100-000074000000}"/>
    <hyperlink ref="B56" r:id="rId118" display="http://quote.eastmoney.com/300664.html" xr:uid="{00000000-0004-0000-1100-000075000000}"/>
    <hyperlink ref="C56" r:id="rId119" display="http://data.eastmoney.com/stockdata/300664.html" xr:uid="{00000000-0004-0000-1100-000076000000}"/>
    <hyperlink ref="B57" r:id="rId120" display="http://quote.eastmoney.com/300226.html" xr:uid="{00000000-0004-0000-1100-000077000000}"/>
    <hyperlink ref="C57" r:id="rId121" display="http://data.eastmoney.com/stockdata/300226.html" xr:uid="{00000000-0004-0000-1100-000078000000}"/>
    <hyperlink ref="B58" r:id="rId122" display="http://quote.eastmoney.com/603005.html" xr:uid="{00000000-0004-0000-1100-000079000000}"/>
    <hyperlink ref="C58" r:id="rId123" display="http://data.eastmoney.com/stockdata/603005.html" xr:uid="{00000000-0004-0000-1100-00007A000000}"/>
    <hyperlink ref="B59" r:id="rId124" display="http://quote.eastmoney.com/603429.html" xr:uid="{00000000-0004-0000-1100-00007B000000}"/>
    <hyperlink ref="C59" r:id="rId125" display="http://data.eastmoney.com/stockdata/603429.html" xr:uid="{00000000-0004-0000-1100-00007C000000}"/>
    <hyperlink ref="B60" r:id="rId126" display="http://quote.eastmoney.com/300387.html" xr:uid="{00000000-0004-0000-1100-00007D000000}"/>
    <hyperlink ref="C60" r:id="rId127" display="http://data.eastmoney.com/stockdata/300387.html" xr:uid="{00000000-0004-0000-1100-00007E000000}"/>
    <hyperlink ref="B61" r:id="rId128" display="http://quote.eastmoney.com/300261.html" xr:uid="{00000000-0004-0000-1100-00007F000000}"/>
    <hyperlink ref="C61" r:id="rId129" display="http://data.eastmoney.com/stockdata/300261.html" xr:uid="{00000000-0004-0000-1100-000080000000}"/>
    <hyperlink ref="B62" r:id="rId130" display="http://quote.eastmoney.com/601600.html" xr:uid="{00000000-0004-0000-1100-000081000000}"/>
    <hyperlink ref="C62" r:id="rId131" display="http://data.eastmoney.com/stockdata/601600.html" xr:uid="{00000000-0004-0000-1100-000082000000}"/>
    <hyperlink ref="B63" r:id="rId132" display="http://quote.eastmoney.com/603236.html" xr:uid="{00000000-0004-0000-1100-000083000000}"/>
    <hyperlink ref="C63" r:id="rId133" display="http://data.eastmoney.com/stockdata/603236.html" xr:uid="{00000000-0004-0000-1100-000084000000}"/>
    <hyperlink ref="B64" r:id="rId134" display="http://quote.eastmoney.com/000725.html" xr:uid="{00000000-0004-0000-1100-000085000000}"/>
    <hyperlink ref="C64" r:id="rId135" display="http://data.eastmoney.com/stockdata/000725.html" xr:uid="{00000000-0004-0000-1100-000086000000}"/>
    <hyperlink ref="B65" r:id="rId136" display="http://quote.eastmoney.com/300593.html" xr:uid="{00000000-0004-0000-1100-000087000000}"/>
    <hyperlink ref="C65" r:id="rId137" display="http://data.eastmoney.com/stockdata/300593.html" xr:uid="{00000000-0004-0000-1100-000088000000}"/>
    <hyperlink ref="B66" r:id="rId138" display="http://quote.eastmoney.com/603613.html" xr:uid="{00000000-0004-0000-1100-000089000000}"/>
    <hyperlink ref="C66" r:id="rId139" display="http://data.eastmoney.com/stockdata/603613.html" xr:uid="{00000000-0004-0000-1100-00008A000000}"/>
    <hyperlink ref="B67" r:id="rId140" display="http://quote.eastmoney.com/002897.html" xr:uid="{00000000-0004-0000-1100-00008B000000}"/>
    <hyperlink ref="C67" r:id="rId141" display="http://data.eastmoney.com/stockdata/002897.html" xr:uid="{00000000-0004-0000-1100-00008C000000}"/>
    <hyperlink ref="B68" r:id="rId142" display="http://quote.eastmoney.com/603881.html" xr:uid="{00000000-0004-0000-1100-00008D000000}"/>
    <hyperlink ref="C68" r:id="rId143" display="http://data.eastmoney.com/stockdata/603881.html" xr:uid="{00000000-0004-0000-1100-00008E000000}"/>
    <hyperlink ref="B69" r:id="rId144" display="http://quote.eastmoney.com/300550.html" xr:uid="{00000000-0004-0000-1100-00008F000000}"/>
    <hyperlink ref="C69" r:id="rId145" display="http://data.eastmoney.com/stockdata/300550.html" xr:uid="{00000000-0004-0000-1100-000090000000}"/>
    <hyperlink ref="B70" r:id="rId146" display="http://quote.eastmoney.com/002268.html" xr:uid="{00000000-0004-0000-1100-000091000000}"/>
    <hyperlink ref="C70" r:id="rId147" display="http://data.eastmoney.com/stockdata/002268.html" xr:uid="{00000000-0004-0000-1100-000092000000}"/>
    <hyperlink ref="B71" r:id="rId148" display="http://quote.eastmoney.com/000961.html" xr:uid="{00000000-0004-0000-1100-000093000000}"/>
    <hyperlink ref="C71" r:id="rId149" display="http://data.eastmoney.com/stockdata/000961.html" xr:uid="{00000000-0004-0000-1100-000094000000}"/>
    <hyperlink ref="B72" r:id="rId150" display="http://quote.eastmoney.com/002008.html" xr:uid="{00000000-0004-0000-1100-000095000000}"/>
    <hyperlink ref="C72" r:id="rId151" display="http://data.eastmoney.com/stockdata/002008.html" xr:uid="{00000000-0004-0000-1100-000096000000}"/>
    <hyperlink ref="B73" r:id="rId152" display="http://quote.eastmoney.com/603056.html" xr:uid="{00000000-0004-0000-1100-000097000000}"/>
    <hyperlink ref="C73" r:id="rId153" display="http://data.eastmoney.com/stockdata/603056.html" xr:uid="{00000000-0004-0000-1100-000098000000}"/>
    <hyperlink ref="B74" r:id="rId154" display="http://quote.eastmoney.com/002254.html" xr:uid="{00000000-0004-0000-1100-000099000000}"/>
    <hyperlink ref="C74" r:id="rId155" display="http://data.eastmoney.com/stockdata/002254.html" xr:uid="{00000000-0004-0000-1100-00009A000000}"/>
    <hyperlink ref="B75" r:id="rId156" display="http://quote.eastmoney.com/002185.html" xr:uid="{00000000-0004-0000-1100-00009B000000}"/>
    <hyperlink ref="C75" r:id="rId157" display="http://data.eastmoney.com/stockdata/002185.html" xr:uid="{00000000-0004-0000-1100-00009C000000}"/>
    <hyperlink ref="B76" r:id="rId158" display="http://quote.eastmoney.com/300679.html" xr:uid="{00000000-0004-0000-1100-00009D000000}"/>
    <hyperlink ref="C76" r:id="rId159" display="http://data.eastmoney.com/stockdata/300679.html" xr:uid="{00000000-0004-0000-1100-00009E000000}"/>
    <hyperlink ref="B77" r:id="rId160" display="http://quote.eastmoney.com/300348.html" xr:uid="{00000000-0004-0000-1100-00009F000000}"/>
    <hyperlink ref="C77" r:id="rId161" display="http://data.eastmoney.com/stockdata/300348.html" xr:uid="{00000000-0004-0000-1100-0000A0000000}"/>
    <hyperlink ref="B78" r:id="rId162" display="http://quote.eastmoney.com/300709.html" xr:uid="{00000000-0004-0000-1100-0000A1000000}"/>
    <hyperlink ref="C78" r:id="rId163" display="http://data.eastmoney.com/stockdata/300709.html" xr:uid="{00000000-0004-0000-1100-0000A2000000}"/>
    <hyperlink ref="B79" r:id="rId164" display="http://quote.eastmoney.com/002371.html" xr:uid="{00000000-0004-0000-1100-0000A3000000}"/>
    <hyperlink ref="C79" r:id="rId165" display="http://data.eastmoney.com/stockdata/002371.html" xr:uid="{00000000-0004-0000-1100-0000A4000000}"/>
    <hyperlink ref="B80" r:id="rId166" display="http://quote.eastmoney.com/002796.html" xr:uid="{00000000-0004-0000-1100-0000A5000000}"/>
    <hyperlink ref="C80" r:id="rId167" display="http://data.eastmoney.com/stockdata/002796.html" xr:uid="{00000000-0004-0000-1100-0000A6000000}"/>
    <hyperlink ref="B81" r:id="rId168" display="http://quote.eastmoney.com/603129.html" xr:uid="{00000000-0004-0000-1100-0000A7000000}"/>
    <hyperlink ref="C81" r:id="rId169" display="http://data.eastmoney.com/stockdata/603129.html" xr:uid="{00000000-0004-0000-1100-0000A8000000}"/>
    <hyperlink ref="B82" r:id="rId170" display="http://quote.eastmoney.com/002027.html" xr:uid="{00000000-0004-0000-1100-0000A9000000}"/>
    <hyperlink ref="C82" r:id="rId171" display="http://data.eastmoney.com/stockdata/002027.html" xr:uid="{00000000-0004-0000-1100-0000AA000000}"/>
    <hyperlink ref="B83" r:id="rId172" display="http://quote.eastmoney.com/603308.html" xr:uid="{00000000-0004-0000-1100-0000AB000000}"/>
    <hyperlink ref="C83" r:id="rId173" display="http://data.eastmoney.com/stockdata/603308.html" xr:uid="{00000000-0004-0000-1100-0000AC000000}"/>
    <hyperlink ref="B84" r:id="rId174" display="http://quote.eastmoney.com/002230.html" xr:uid="{00000000-0004-0000-1100-0000AD000000}"/>
    <hyperlink ref="C84" r:id="rId175" display="http://data.eastmoney.com/stockdata/002230.html" xr:uid="{00000000-0004-0000-1100-0000AE000000}"/>
    <hyperlink ref="B85" r:id="rId176" display="http://quote.eastmoney.com/300456.html" xr:uid="{00000000-0004-0000-1100-0000AF000000}"/>
    <hyperlink ref="C85" r:id="rId177" display="http://data.eastmoney.com/stockdata/300456.html" xr:uid="{00000000-0004-0000-1100-0000B0000000}"/>
    <hyperlink ref="B86" r:id="rId178" display="http://quote.eastmoney.com/600737.html" xr:uid="{00000000-0004-0000-1100-0000B1000000}"/>
    <hyperlink ref="C86" r:id="rId179" display="http://data.eastmoney.com/stockdata/600737.html" xr:uid="{00000000-0004-0000-1100-0000B2000000}"/>
    <hyperlink ref="B87" r:id="rId180" display="http://quote.eastmoney.com/603679.html" xr:uid="{00000000-0004-0000-1100-0000B3000000}"/>
    <hyperlink ref="C87" r:id="rId181" display="http://data.eastmoney.com/stockdata/603679.html" xr:uid="{00000000-0004-0000-1100-0000B4000000}"/>
    <hyperlink ref="B88" r:id="rId182" display="http://quote.eastmoney.com/300352.html" xr:uid="{00000000-0004-0000-1100-0000B5000000}"/>
    <hyperlink ref="C88" r:id="rId183" display="http://data.eastmoney.com/stockdata/300352.html" xr:uid="{00000000-0004-0000-1100-0000B6000000}"/>
    <hyperlink ref="B89" r:id="rId184" display="http://quote.eastmoney.com/600731.html" xr:uid="{00000000-0004-0000-1100-0000B7000000}"/>
    <hyperlink ref="C89" r:id="rId185" display="http://data.eastmoney.com/stockdata/600731.html" xr:uid="{00000000-0004-0000-1100-0000B8000000}"/>
    <hyperlink ref="B90" r:id="rId186" display="http://quote.eastmoney.com/603131.html" xr:uid="{00000000-0004-0000-1100-0000B9000000}"/>
    <hyperlink ref="C90" r:id="rId187" display="http://data.eastmoney.com/stockdata/603131.html" xr:uid="{00000000-0004-0000-1100-0000BA000000}"/>
    <hyperlink ref="B91" r:id="rId188" display="http://quote.eastmoney.com/601615.html" xr:uid="{00000000-0004-0000-1100-0000BB000000}"/>
    <hyperlink ref="C91" r:id="rId189" display="http://data.eastmoney.com/stockdata/601615.html" xr:uid="{00000000-0004-0000-1100-0000BC000000}"/>
    <hyperlink ref="B92" r:id="rId190" display="http://quote.eastmoney.com/002859.html" xr:uid="{00000000-0004-0000-1100-0000BD000000}"/>
    <hyperlink ref="C92" r:id="rId191" display="http://data.eastmoney.com/stockdata/002859.html" xr:uid="{00000000-0004-0000-1100-0000BE000000}"/>
    <hyperlink ref="B93" r:id="rId192" display="http://quote.eastmoney.com/603660.html" xr:uid="{00000000-0004-0000-1100-0000BF000000}"/>
    <hyperlink ref="C93" r:id="rId193" display="http://data.eastmoney.com/stockdata/603660.html" xr:uid="{00000000-0004-0000-1100-0000C0000000}"/>
    <hyperlink ref="B94" r:id="rId194" display="http://quote.eastmoney.com/300782.html" xr:uid="{00000000-0004-0000-1100-0000C1000000}"/>
    <hyperlink ref="C94" r:id="rId195" display="http://data.eastmoney.com/stockdata/300782.html" xr:uid="{00000000-0004-0000-1100-0000C2000000}"/>
    <hyperlink ref="B95" r:id="rId196" display="http://quote.eastmoney.com/300474.html" xr:uid="{00000000-0004-0000-1100-0000C3000000}"/>
    <hyperlink ref="C95" r:id="rId197" display="http://data.eastmoney.com/stockdata/300474.html" xr:uid="{00000000-0004-0000-1100-0000C4000000}"/>
    <hyperlink ref="B96" r:id="rId198" display="http://quote.eastmoney.com/300212.html" xr:uid="{00000000-0004-0000-1100-0000C5000000}"/>
    <hyperlink ref="C96" r:id="rId199" display="http://data.eastmoney.com/stockdata/300212.html" xr:uid="{00000000-0004-0000-1100-0000C6000000}"/>
    <hyperlink ref="B97" r:id="rId200" display="http://quote.eastmoney.com/601872.html" xr:uid="{00000000-0004-0000-1100-0000C7000000}"/>
    <hyperlink ref="C97" r:id="rId201" display="http://data.eastmoney.com/stockdata/601872.html" xr:uid="{00000000-0004-0000-1100-0000C8000000}"/>
    <hyperlink ref="B98" r:id="rId202" display="http://quote.eastmoney.com/600201.html" xr:uid="{00000000-0004-0000-1100-0000C9000000}"/>
    <hyperlink ref="C98" r:id="rId203" display="http://data.eastmoney.com/stockdata/600201.html" xr:uid="{00000000-0004-0000-1100-0000CA000000}"/>
    <hyperlink ref="B99" r:id="rId204" display="http://quote.eastmoney.com/002410.html" xr:uid="{00000000-0004-0000-1100-0000CB000000}"/>
    <hyperlink ref="C99" r:id="rId205" display="http://data.eastmoney.com/stockdata/002410.html" xr:uid="{00000000-0004-0000-1100-0000CC000000}"/>
    <hyperlink ref="B100" r:id="rId206" display="http://quote.eastmoney.com/600216.html" xr:uid="{00000000-0004-0000-1100-0000CD000000}"/>
    <hyperlink ref="C100" r:id="rId207" display="http://data.eastmoney.com/stockdata/600216.html" xr:uid="{00000000-0004-0000-1100-0000CE000000}"/>
    <hyperlink ref="B101" r:id="rId208" display="http://quote.eastmoney.com/000977.html" xr:uid="{00000000-0004-0000-1100-0000CF000000}"/>
    <hyperlink ref="C101" r:id="rId209" display="http://data.eastmoney.com/stockdata/000977.html" xr:uid="{00000000-0004-0000-1100-0000D0000000}"/>
    <hyperlink ref="B102" r:id="rId210" display="http://quote.eastmoney.com/603859.html" xr:uid="{00000000-0004-0000-1100-0000D1000000}"/>
    <hyperlink ref="C102" r:id="rId211" display="http://data.eastmoney.com/stockdata/603859.html" xr:uid="{00000000-0004-0000-1100-0000D2000000}"/>
    <hyperlink ref="B103" r:id="rId212" display="http://quote.eastmoney.com/688012.html" xr:uid="{00000000-0004-0000-1100-0000D3000000}"/>
    <hyperlink ref="C103" r:id="rId213" display="http://data.eastmoney.com/stockdata/688012.html" xr:uid="{00000000-0004-0000-1100-0000D4000000}"/>
    <hyperlink ref="B104" r:id="rId214" display="http://quote.eastmoney.com/000925.html" xr:uid="{00000000-0004-0000-1100-0000D5000000}"/>
    <hyperlink ref="C104" r:id="rId215" display="http://data.eastmoney.com/stockdata/000925.html" xr:uid="{00000000-0004-0000-1100-0000D6000000}"/>
    <hyperlink ref="B105" r:id="rId216" display="http://quote.eastmoney.com/002847.html" xr:uid="{00000000-0004-0000-1100-0000D7000000}"/>
    <hyperlink ref="C105" r:id="rId217" display="http://data.eastmoney.com/stockdata/002847.html" xr:uid="{00000000-0004-0000-1100-0000D8000000}"/>
    <hyperlink ref="B106" r:id="rId218" display="http://quote.eastmoney.com/300738.html" xr:uid="{00000000-0004-0000-1100-0000D9000000}"/>
    <hyperlink ref="C106" r:id="rId219" display="http://data.eastmoney.com/stockdata/300738.html" xr:uid="{00000000-0004-0000-1100-0000DA000000}"/>
    <hyperlink ref="B107" r:id="rId220" display="http://quote.eastmoney.com/300657.html" xr:uid="{00000000-0004-0000-1100-0000DB000000}"/>
    <hyperlink ref="C107" r:id="rId221" display="http://data.eastmoney.com/stockdata/300657.html" xr:uid="{00000000-0004-0000-1100-0000DC000000}"/>
    <hyperlink ref="B108" r:id="rId222" display="http://quote.eastmoney.com/600489.html" xr:uid="{00000000-0004-0000-1100-0000DD000000}"/>
    <hyperlink ref="C108" r:id="rId223" display="http://data.eastmoney.com/stockdata/600489.html" xr:uid="{00000000-0004-0000-1100-0000DE000000}"/>
    <hyperlink ref="B109" r:id="rId224" display="http://quote.eastmoney.com/300793.html" xr:uid="{00000000-0004-0000-1100-0000DF000000}"/>
    <hyperlink ref="C109" r:id="rId225" display="http://data.eastmoney.com/stockdata/300793.html" xr:uid="{00000000-0004-0000-1100-0000E0000000}"/>
    <hyperlink ref="B110" r:id="rId226" display="http://quote.eastmoney.com/300559.html" xr:uid="{00000000-0004-0000-1100-0000E1000000}"/>
    <hyperlink ref="C110" r:id="rId227" display="http://data.eastmoney.com/stockdata/300559.html" xr:uid="{00000000-0004-0000-1100-0000E2000000}"/>
    <hyperlink ref="B111" r:id="rId228" display="http://quote.eastmoney.com/002460.html" xr:uid="{00000000-0004-0000-1100-0000E3000000}"/>
    <hyperlink ref="C111" r:id="rId229" display="http://data.eastmoney.com/stockdata/002460.html" xr:uid="{00000000-0004-0000-1100-0000E4000000}"/>
    <hyperlink ref="B112" r:id="rId230" display="http://quote.eastmoney.com/603818.html" xr:uid="{00000000-0004-0000-1100-0000E5000000}"/>
    <hyperlink ref="C112" r:id="rId231" display="http://data.eastmoney.com/stockdata/603818.html" xr:uid="{00000000-0004-0000-1100-0000E6000000}"/>
    <hyperlink ref="B113" r:id="rId232" display="http://quote.eastmoney.com/002129.html" xr:uid="{00000000-0004-0000-1100-0000E7000000}"/>
    <hyperlink ref="C113" r:id="rId233" display="http://data.eastmoney.com/stockdata/002129.html" xr:uid="{00000000-0004-0000-1100-0000E8000000}"/>
    <hyperlink ref="B114" r:id="rId234" display="http://quote.eastmoney.com/002216.html" xr:uid="{00000000-0004-0000-1100-0000E9000000}"/>
    <hyperlink ref="C114" r:id="rId235" display="http://data.eastmoney.com/stockdata/002216.html" xr:uid="{00000000-0004-0000-1100-0000EA000000}"/>
    <hyperlink ref="B115" r:id="rId236" display="http://quote.eastmoney.com/603520.html" xr:uid="{00000000-0004-0000-1100-0000EB000000}"/>
    <hyperlink ref="C115" r:id="rId237" display="http://data.eastmoney.com/stockdata/603520.html" xr:uid="{00000000-0004-0000-1100-0000EC000000}"/>
    <hyperlink ref="B116" r:id="rId238" display="http://quote.eastmoney.com/000876.html" xr:uid="{00000000-0004-0000-1100-0000ED000000}"/>
    <hyperlink ref="C116" r:id="rId239" display="http://data.eastmoney.com/stockdata/000876.html" xr:uid="{00000000-0004-0000-1100-0000EE000000}"/>
    <hyperlink ref="B117" r:id="rId240" display="http://quote.eastmoney.com/300725.html" xr:uid="{00000000-0004-0000-1100-0000EF000000}"/>
    <hyperlink ref="C117" r:id="rId241" display="http://data.eastmoney.com/stockdata/300725.html" xr:uid="{00000000-0004-0000-1100-0000F0000000}"/>
    <hyperlink ref="B118" r:id="rId242" display="http://quote.eastmoney.com/603920.html" xr:uid="{00000000-0004-0000-1100-0000F1000000}"/>
    <hyperlink ref="C118" r:id="rId243" display="http://data.eastmoney.com/stockdata/603920.html" xr:uid="{00000000-0004-0000-1100-0000F2000000}"/>
    <hyperlink ref="B119" r:id="rId244" display="http://quote.eastmoney.com/002616.html" xr:uid="{00000000-0004-0000-1100-0000F3000000}"/>
    <hyperlink ref="C119" r:id="rId245" display="http://data.eastmoney.com/stockdata/002616.html" xr:uid="{00000000-0004-0000-1100-0000F4000000}"/>
    <hyperlink ref="B120" r:id="rId246" display="http://quote.eastmoney.com/002648.html" xr:uid="{00000000-0004-0000-1100-0000F5000000}"/>
    <hyperlink ref="C120" r:id="rId247" display="http://data.eastmoney.com/stockdata/002648.html" xr:uid="{00000000-0004-0000-1100-0000F6000000}"/>
    <hyperlink ref="B121" r:id="rId248" display="http://quote.eastmoney.com/300572.html" xr:uid="{00000000-0004-0000-1100-0000F7000000}"/>
    <hyperlink ref="C121" r:id="rId249" display="http://data.eastmoney.com/stockdata/300572.html" xr:uid="{00000000-0004-0000-1100-0000F8000000}"/>
    <hyperlink ref="B122" r:id="rId250" display="http://quote.eastmoney.com/300747.html" xr:uid="{00000000-0004-0000-1100-0000F9000000}"/>
    <hyperlink ref="C122" r:id="rId251" display="http://data.eastmoney.com/stockdata/300747.html" xr:uid="{00000000-0004-0000-1100-0000FA000000}"/>
    <hyperlink ref="B123" r:id="rId252" display="http://quote.eastmoney.com/600732.html" xr:uid="{00000000-0004-0000-1100-0000FB000000}"/>
    <hyperlink ref="C123" r:id="rId253" display="http://data.eastmoney.com/stockdata/600732.html" xr:uid="{00000000-0004-0000-1100-0000FC000000}"/>
    <hyperlink ref="B124" r:id="rId254" display="http://quote.eastmoney.com/300638.html" xr:uid="{00000000-0004-0000-1100-0000FD000000}"/>
    <hyperlink ref="C124" r:id="rId255" display="http://data.eastmoney.com/stockdata/300638.html" xr:uid="{00000000-0004-0000-1100-0000FE000000}"/>
    <hyperlink ref="B125" r:id="rId256" display="http://quote.eastmoney.com/300502.html" xr:uid="{00000000-0004-0000-1100-0000FF000000}"/>
    <hyperlink ref="C125" r:id="rId257" display="http://data.eastmoney.com/stockdata/300502.html" xr:uid="{00000000-0004-0000-1100-000000010000}"/>
    <hyperlink ref="B126" r:id="rId258" display="http://quote.eastmoney.com/300308.html" xr:uid="{00000000-0004-0000-1100-000001010000}"/>
    <hyperlink ref="C126" r:id="rId259" display="http://data.eastmoney.com/stockdata/300308.html" xr:uid="{00000000-0004-0000-1100-000002010000}"/>
    <hyperlink ref="B127" r:id="rId260" display="http://quote.eastmoney.com/300207.html" xr:uid="{00000000-0004-0000-1100-000003010000}"/>
    <hyperlink ref="C127" r:id="rId261" display="http://data.eastmoney.com/stockdata/300207.html" xr:uid="{00000000-0004-0000-1100-000004010000}"/>
    <hyperlink ref="B128" r:id="rId262" display="http://quote.eastmoney.com/300525.html" xr:uid="{00000000-0004-0000-1100-000005010000}"/>
    <hyperlink ref="C128" r:id="rId263" display="http://data.eastmoney.com/stockdata/300525.html" xr:uid="{00000000-0004-0000-1100-000006010000}"/>
    <hyperlink ref="B129" r:id="rId264" display="http://quote.eastmoney.com/300523.html" xr:uid="{00000000-0004-0000-1100-000007010000}"/>
    <hyperlink ref="C129" r:id="rId265" display="http://data.eastmoney.com/stockdata/300523.html" xr:uid="{00000000-0004-0000-1100-000008010000}"/>
    <hyperlink ref="B130" r:id="rId266" display="http://quote.eastmoney.com/002402.html" xr:uid="{00000000-0004-0000-1100-000009010000}"/>
    <hyperlink ref="C130" r:id="rId267" display="http://data.eastmoney.com/stockdata/002402.html" xr:uid="{00000000-0004-0000-1100-00000A010000}"/>
    <hyperlink ref="B131" r:id="rId268" display="http://quote.eastmoney.com/002850.html" xr:uid="{00000000-0004-0000-1100-00000B010000}"/>
    <hyperlink ref="C131" r:id="rId269" display="http://data.eastmoney.com/stockdata/002850.html" xr:uid="{00000000-0004-0000-1100-00000C010000}"/>
    <hyperlink ref="B132" r:id="rId270" display="http://quote.eastmoney.com/002241.html" xr:uid="{00000000-0004-0000-1100-00000D010000}"/>
    <hyperlink ref="C132" r:id="rId271" display="http://data.eastmoney.com/stockdata/002241.html" xr:uid="{00000000-0004-0000-1100-00000E010000}"/>
    <hyperlink ref="B133" r:id="rId272" display="http://quote.eastmoney.com/600703.html" xr:uid="{00000000-0004-0000-1100-00000F010000}"/>
    <hyperlink ref="C133" r:id="rId273" display="http://data.eastmoney.com/stockdata/600703.html" xr:uid="{00000000-0004-0000-1100-000010010000}"/>
    <hyperlink ref="B134" r:id="rId274" display="http://quote.eastmoney.com/002920.html" xr:uid="{00000000-0004-0000-1100-000011010000}"/>
    <hyperlink ref="C134" r:id="rId275" display="http://data.eastmoney.com/stockdata/002920.html" xr:uid="{00000000-0004-0000-1100-000012010000}"/>
    <hyperlink ref="B135" r:id="rId276" display="http://quote.eastmoney.com/002892.html" xr:uid="{00000000-0004-0000-1100-000013010000}"/>
    <hyperlink ref="C135" r:id="rId277" display="http://data.eastmoney.com/stockdata/002892.html" xr:uid="{00000000-0004-0000-1100-000014010000}"/>
    <hyperlink ref="B136" r:id="rId278" display="http://quote.eastmoney.com/600984.html" xr:uid="{00000000-0004-0000-1100-000015010000}"/>
    <hyperlink ref="C136" r:id="rId279" display="http://data.eastmoney.com/stockdata/600984.html" xr:uid="{00000000-0004-0000-1100-000016010000}"/>
    <hyperlink ref="B137" r:id="rId280" display="http://quote.eastmoney.com/603186.html" xr:uid="{00000000-0004-0000-1100-000017010000}"/>
    <hyperlink ref="C137" r:id="rId281" display="http://data.eastmoney.com/stockdata/603186.html" xr:uid="{00000000-0004-0000-1100-000018010000}"/>
    <hyperlink ref="B138" r:id="rId282" display="http://quote.eastmoney.com/600466.html" xr:uid="{00000000-0004-0000-1100-000019010000}"/>
    <hyperlink ref="C138" r:id="rId283" display="http://data.eastmoney.com/stockdata/600466.html" xr:uid="{00000000-0004-0000-1100-00001A010000}"/>
    <hyperlink ref="B139" r:id="rId284" display="http://quote.eastmoney.com/603019.html" xr:uid="{00000000-0004-0000-1100-00001B010000}"/>
    <hyperlink ref="C139" r:id="rId285" display="http://data.eastmoney.com/stockdata/603019.html" xr:uid="{00000000-0004-0000-1100-00001C010000}"/>
    <hyperlink ref="B140" r:id="rId286" display="http://quote.eastmoney.com/603127.html" xr:uid="{00000000-0004-0000-1100-00001D010000}"/>
    <hyperlink ref="C140" r:id="rId287" display="http://data.eastmoney.com/stockdata/603127.html" xr:uid="{00000000-0004-0000-1100-00001E010000}"/>
    <hyperlink ref="B141" r:id="rId288" display="http://quote.eastmoney.com/300685.html" xr:uid="{00000000-0004-0000-1100-00001F010000}"/>
    <hyperlink ref="C141" r:id="rId289" display="http://data.eastmoney.com/stockdata/300685.html" xr:uid="{00000000-0004-0000-1100-000020010000}"/>
    <hyperlink ref="B142" r:id="rId290" display="http://quote.eastmoney.com/300578.html" xr:uid="{00000000-0004-0000-1100-000021010000}"/>
    <hyperlink ref="C142" r:id="rId291" display="http://data.eastmoney.com/stockdata/300578.html" xr:uid="{00000000-0004-0000-1100-000022010000}"/>
    <hyperlink ref="B143" r:id="rId292" display="http://quote.eastmoney.com/300684.html" xr:uid="{00000000-0004-0000-1100-000023010000}"/>
    <hyperlink ref="C143" r:id="rId293" display="http://data.eastmoney.com/stockdata/300684.html" xr:uid="{00000000-0004-0000-1100-000024010000}"/>
    <hyperlink ref="B144" r:id="rId294" display="http://quote.eastmoney.com/300609.html" xr:uid="{00000000-0004-0000-1100-000025010000}"/>
    <hyperlink ref="C144" r:id="rId295" display="http://data.eastmoney.com/stockdata/300609.html" xr:uid="{00000000-0004-0000-1100-000026010000}"/>
    <hyperlink ref="B145" r:id="rId296" display="http://quote.eastmoney.com/300575.html" xr:uid="{00000000-0004-0000-1100-000027010000}"/>
    <hyperlink ref="C145" r:id="rId297" display="http://data.eastmoney.com/stockdata/300575.html" xr:uid="{00000000-0004-0000-1100-000028010000}"/>
    <hyperlink ref="B146" r:id="rId298" display="http://quote.eastmoney.com/300545.html" xr:uid="{00000000-0004-0000-1100-000029010000}"/>
    <hyperlink ref="C146" r:id="rId299" display="http://data.eastmoney.com/stockdata/300545.html" xr:uid="{00000000-0004-0000-1100-00002A010000}"/>
    <hyperlink ref="B147" r:id="rId300" display="http://quote.eastmoney.com/300661.html" xr:uid="{00000000-0004-0000-1100-00002B010000}"/>
    <hyperlink ref="C147" r:id="rId301" display="http://data.eastmoney.com/stockdata/300661.html" xr:uid="{00000000-0004-0000-1100-00002C010000}"/>
    <hyperlink ref="B148" r:id="rId302" display="http://quote.eastmoney.com/300751.html" xr:uid="{00000000-0004-0000-1100-00002D010000}"/>
    <hyperlink ref="C148" r:id="rId303" display="http://data.eastmoney.com/stockdata/300751.html" xr:uid="{00000000-0004-0000-1100-00002E010000}"/>
    <hyperlink ref="B149" r:id="rId304" display="http://quote.eastmoney.com/688018.html" xr:uid="{00000000-0004-0000-1100-00002F010000}"/>
    <hyperlink ref="C149" r:id="rId305" display="http://data.eastmoney.com/stockdata/688018.html" xr:uid="{00000000-0004-0000-1100-000030010000}"/>
    <hyperlink ref="B150" r:id="rId306" display="http://quote.eastmoney.com/002250.html" xr:uid="{00000000-0004-0000-1100-000031010000}"/>
    <hyperlink ref="C150" r:id="rId307" display="http://data.eastmoney.com/stockdata/002250.html" xr:uid="{00000000-0004-0000-1100-000032010000}"/>
    <hyperlink ref="B151" r:id="rId308" display="http://quote.eastmoney.com/603688.html" xr:uid="{00000000-0004-0000-1100-000033010000}"/>
    <hyperlink ref="C151" r:id="rId309" display="http://data.eastmoney.com/stockdata/603688.html" xr:uid="{00000000-0004-0000-1100-000034010000}"/>
    <hyperlink ref="B152" r:id="rId310" display="http://quote.eastmoney.com/002838.html" xr:uid="{00000000-0004-0000-1100-000035010000}"/>
    <hyperlink ref="C152" r:id="rId311" display="http://data.eastmoney.com/stockdata/002838.html" xr:uid="{00000000-0004-0000-1100-000036010000}"/>
    <hyperlink ref="B153" r:id="rId312" display="http://quote.eastmoney.com/603538.html" xr:uid="{00000000-0004-0000-1100-000037010000}"/>
    <hyperlink ref="C153" r:id="rId313" display="http://data.eastmoney.com/stockdata/603538.html" xr:uid="{00000000-0004-0000-1100-000038010000}"/>
    <hyperlink ref="B154" r:id="rId314" display="http://quote.eastmoney.com/603225.html" xr:uid="{00000000-0004-0000-1100-000039010000}"/>
    <hyperlink ref="C154" r:id="rId315" display="http://data.eastmoney.com/stockdata/603225.html" xr:uid="{00000000-0004-0000-1100-00003A010000}"/>
    <hyperlink ref="B155" r:id="rId316" display="http://quote.eastmoney.com/002747.html" xr:uid="{00000000-0004-0000-1100-00003B010000}"/>
    <hyperlink ref="C155" r:id="rId317" display="http://data.eastmoney.com/stockdata/002747.html" xr:uid="{00000000-0004-0000-1100-00003C010000}"/>
    <hyperlink ref="B156" r:id="rId318" display="http://quote.eastmoney.com/603713.html" xr:uid="{00000000-0004-0000-1100-00003D010000}"/>
    <hyperlink ref="C156" r:id="rId319" display="http://data.eastmoney.com/stockdata/603713.html" xr:uid="{00000000-0004-0000-1100-00003E010000}"/>
    <hyperlink ref="B157" r:id="rId320" display="http://quote.eastmoney.com/603986.html" xr:uid="{00000000-0004-0000-1100-00003F010000}"/>
    <hyperlink ref="C157" r:id="rId321" display="http://data.eastmoney.com/stockdata/603986.html" xr:uid="{00000000-0004-0000-1100-000040010000}"/>
    <hyperlink ref="B158" r:id="rId322" display="http://quote.eastmoney.com/300579.html" xr:uid="{00000000-0004-0000-1100-000041010000}"/>
    <hyperlink ref="C158" r:id="rId323" display="http://data.eastmoney.com/stockdata/300579.html" xr:uid="{00000000-0004-0000-1100-000042010000}"/>
    <hyperlink ref="B159" r:id="rId324" display="http://quote.eastmoney.com/002777.html" xr:uid="{00000000-0004-0000-1100-000043010000}"/>
    <hyperlink ref="C159" r:id="rId325" display="http://data.eastmoney.com/stockdata/002777.html" xr:uid="{00000000-0004-0000-1100-000044010000}"/>
    <hyperlink ref="B160" r:id="rId326" display="http://quote.eastmoney.com/603960.html" xr:uid="{00000000-0004-0000-1100-000045010000}"/>
    <hyperlink ref="C160" r:id="rId327" display="http://data.eastmoney.com/stockdata/603960.html" xr:uid="{00000000-0004-0000-1100-000046010000}"/>
    <hyperlink ref="B161" r:id="rId328" display="http://quote.eastmoney.com/603826.html" xr:uid="{00000000-0004-0000-1100-000047010000}"/>
    <hyperlink ref="C161" r:id="rId329" display="http://data.eastmoney.com/stockdata/603826.html" xr:uid="{00000000-0004-0000-1100-000048010000}"/>
    <hyperlink ref="B162" r:id="rId330" display="http://quote.eastmoney.com/002036.html" xr:uid="{00000000-0004-0000-1100-000049010000}"/>
    <hyperlink ref="C162" r:id="rId331" display="http://data.eastmoney.com/stockdata/002036.html" xr:uid="{00000000-0004-0000-1100-00004A010000}"/>
    <hyperlink ref="B163" r:id="rId332" display="http://quote.eastmoney.com/002036.html" xr:uid="{00000000-0004-0000-1100-00004B010000}"/>
    <hyperlink ref="C163" r:id="rId333" display="http://data.eastmoney.com/stockdata/002036.html" xr:uid="{00000000-0004-0000-1100-00004C010000}"/>
    <hyperlink ref="B164" r:id="rId334" display="http://quote.eastmoney.com/300595.html" xr:uid="{00000000-0004-0000-1100-00004D010000}"/>
    <hyperlink ref="C164" r:id="rId335" display="http://data.eastmoney.com/stockdata/300595.html" xr:uid="{00000000-0004-0000-1100-00004E010000}"/>
    <hyperlink ref="B165" r:id="rId336" display="http://quote.eastmoney.com/002609.html" xr:uid="{00000000-0004-0000-1100-00004F010000}"/>
    <hyperlink ref="C165" r:id="rId337" display="http://data.eastmoney.com/stockdata/002609.html" xr:uid="{00000000-0004-0000-1100-000050010000}"/>
    <hyperlink ref="B166" r:id="rId338" display="http://quote.eastmoney.com/300424.html" xr:uid="{00000000-0004-0000-1100-000051010000}"/>
    <hyperlink ref="C166" r:id="rId339" display="http://data.eastmoney.com/stockdata/300424.html" xr:uid="{00000000-0004-0000-1100-000052010000}"/>
    <hyperlink ref="B167" r:id="rId340" display="http://quote.eastmoney.com/002301.html" xr:uid="{00000000-0004-0000-1100-000053010000}"/>
    <hyperlink ref="C167" r:id="rId341" display="http://data.eastmoney.com/stockdata/002301.html" xr:uid="{00000000-0004-0000-1100-000054010000}"/>
    <hyperlink ref="B168" r:id="rId342" display="http://quote.eastmoney.com/002099.html" xr:uid="{00000000-0004-0000-1100-000055010000}"/>
    <hyperlink ref="C168" r:id="rId343" display="http://data.eastmoney.com/stockdata/002099.html" xr:uid="{00000000-0004-0000-1100-000056010000}"/>
    <hyperlink ref="B169" r:id="rId344" display="http://quote.eastmoney.com/300073.html" xr:uid="{00000000-0004-0000-1100-000057010000}"/>
    <hyperlink ref="C169" r:id="rId345" display="http://data.eastmoney.com/stockdata/300073.html" xr:uid="{00000000-0004-0000-1100-000058010000}"/>
    <hyperlink ref="B170" r:id="rId346" display="http://quote.eastmoney.com/300496.html" xr:uid="{00000000-0004-0000-1100-000059010000}"/>
    <hyperlink ref="C170" r:id="rId347" display="http://data.eastmoney.com/stockdata/300496.html" xr:uid="{00000000-0004-0000-1100-00005A010000}"/>
    <hyperlink ref="B171" r:id="rId348" display="http://quote.eastmoney.com/300759.html" xr:uid="{00000000-0004-0000-1100-00005B010000}"/>
    <hyperlink ref="C171" r:id="rId349" display="http://data.eastmoney.com/stockdata/300759.html" xr:uid="{00000000-0004-0000-1100-00005C010000}"/>
    <hyperlink ref="B172" r:id="rId350" display="http://quote.eastmoney.com/300253.html" xr:uid="{00000000-0004-0000-1100-00005D010000}"/>
    <hyperlink ref="C172" r:id="rId351" display="http://data.eastmoney.com/stockdata/300253.html" xr:uid="{00000000-0004-0000-1100-00005E010000}"/>
    <hyperlink ref="B173" r:id="rId352" display="http://quote.eastmoney.com/002912.html" xr:uid="{00000000-0004-0000-1100-00005F010000}"/>
    <hyperlink ref="C173" r:id="rId353" display="http://data.eastmoney.com/stockdata/002912.html" xr:uid="{00000000-0004-0000-1100-000060010000}"/>
    <hyperlink ref="B174" r:id="rId354" display="http://quote.eastmoney.com/600115.html" xr:uid="{00000000-0004-0000-1100-000061010000}"/>
    <hyperlink ref="C174" r:id="rId355" display="http://data.eastmoney.com/stockdata/600115.html" xr:uid="{00000000-0004-0000-1100-000062010000}"/>
    <hyperlink ref="B175" r:id="rId356" display="http://quote.eastmoney.com/600547.html" xr:uid="{00000000-0004-0000-1100-000063010000}"/>
    <hyperlink ref="C175" r:id="rId357" display="http://data.eastmoney.com/stockdata/600547.html" xr:uid="{00000000-0004-0000-1100-000064010000}"/>
    <hyperlink ref="B176" r:id="rId358" display="http://quote.eastmoney.com/002607.html" xr:uid="{00000000-0004-0000-1100-000065010000}"/>
    <hyperlink ref="C176" r:id="rId359" display="http://data.eastmoney.com/stockdata/002607.html" xr:uid="{00000000-0004-0000-1100-000066010000}"/>
    <hyperlink ref="B177" r:id="rId360" display="http://quote.eastmoney.com/600029.html" xr:uid="{00000000-0004-0000-1100-000067010000}"/>
    <hyperlink ref="C177" r:id="rId361" display="http://data.eastmoney.com/stockdata/600029.html" xr:uid="{00000000-0004-0000-1100-000068010000}"/>
    <hyperlink ref="B178" r:id="rId362" display="http://quote.eastmoney.com/300395.html" xr:uid="{00000000-0004-0000-1100-000069010000}"/>
    <hyperlink ref="C178" r:id="rId363" display="http://data.eastmoney.com/stockdata/300395.html" xr:uid="{00000000-0004-0000-1100-00006A010000}"/>
    <hyperlink ref="B179" r:id="rId364" display="http://quote.eastmoney.com/002434.html" xr:uid="{00000000-0004-0000-1100-00006B010000}"/>
    <hyperlink ref="C179" r:id="rId365" display="http://data.eastmoney.com/stockdata/002434.html" xr:uid="{00000000-0004-0000-1100-00006C010000}"/>
    <hyperlink ref="B180" r:id="rId366" display="http://quote.eastmoney.com/002364.html" xr:uid="{00000000-0004-0000-1100-00006D010000}"/>
    <hyperlink ref="C180" r:id="rId367" display="http://data.eastmoney.com/stockdata/002364.html" xr:uid="{00000000-0004-0000-1100-00006E010000}"/>
    <hyperlink ref="B181" r:id="rId368" display="http://quote.eastmoney.com/002683.html" xr:uid="{00000000-0004-0000-1100-00006F010000}"/>
    <hyperlink ref="C181" r:id="rId369" display="http://data.eastmoney.com/stockdata/002683.html" xr:uid="{00000000-0004-0000-1100-000070010000}"/>
    <hyperlink ref="B182" r:id="rId370" display="http://quote.eastmoney.com/002414.html" xr:uid="{00000000-0004-0000-1100-000071010000}"/>
    <hyperlink ref="C182" r:id="rId371" display="http://data.eastmoney.com/stockdata/002414.html" xr:uid="{00000000-0004-0000-1100-000072010000}"/>
    <hyperlink ref="B183" r:id="rId372" display="http://quote.eastmoney.com/688005.html" xr:uid="{00000000-0004-0000-1100-000073010000}"/>
    <hyperlink ref="C183" r:id="rId373" display="http://data.eastmoney.com/stockdata/688005.html" xr:uid="{00000000-0004-0000-1100-000074010000}"/>
    <hyperlink ref="B184" r:id="rId374" display="http://quote.eastmoney.com/603218.html" xr:uid="{00000000-0004-0000-1100-000075010000}"/>
    <hyperlink ref="C184" r:id="rId375" display="http://data.eastmoney.com/stockdata/603218.html" xr:uid="{00000000-0004-0000-1100-000076010000}"/>
    <hyperlink ref="B185" r:id="rId376" display="http://quote.eastmoney.com/002384.html" xr:uid="{00000000-0004-0000-1100-000077010000}"/>
    <hyperlink ref="C185" r:id="rId377" display="http://data.eastmoney.com/stockdata/002384.html" xr:uid="{00000000-0004-0000-1100-000078010000}"/>
    <hyperlink ref="B186" r:id="rId378" display="http://quote.eastmoney.com/002695.html" xr:uid="{00000000-0004-0000-1100-000079010000}"/>
    <hyperlink ref="C186" r:id="rId379" display="http://data.eastmoney.com/stockdata/002695.html" xr:uid="{00000000-0004-0000-1100-00007A010000}"/>
    <hyperlink ref="B187" r:id="rId380" display="http://quote.eastmoney.com/300347.html" xr:uid="{00000000-0004-0000-1100-00007B010000}"/>
    <hyperlink ref="C187" r:id="rId381" display="http://data.eastmoney.com/stockdata/300347.html" xr:uid="{00000000-0004-0000-1100-00007C010000}"/>
    <hyperlink ref="B188" r:id="rId382" display="http://quote.eastmoney.com/300602.html" xr:uid="{00000000-0004-0000-1100-00007D010000}"/>
    <hyperlink ref="C188" r:id="rId383" display="http://data.eastmoney.com/stockdata/300602.html" xr:uid="{00000000-0004-0000-1100-00007E010000}"/>
    <hyperlink ref="B189" r:id="rId384" display="http://quote.eastmoney.com/300498.html" xr:uid="{00000000-0004-0000-1100-00007F010000}"/>
    <hyperlink ref="C189" r:id="rId385" display="http://data.eastmoney.com/stockdata/300498.html" xr:uid="{00000000-0004-0000-1100-000080010000}"/>
    <hyperlink ref="B190" r:id="rId386" display="http://quote.eastmoney.com/300369.html" xr:uid="{00000000-0004-0000-1100-000081010000}"/>
    <hyperlink ref="C190" r:id="rId387" display="http://data.eastmoney.com/stockdata/300369.html" xr:uid="{00000000-0004-0000-1100-000082010000}"/>
    <hyperlink ref="B191" r:id="rId388" display="http://quote.eastmoney.com/603489.html" xr:uid="{00000000-0004-0000-1100-000083010000}"/>
    <hyperlink ref="C191" r:id="rId389" display="http://data.eastmoney.com/stockdata/603489.html" xr:uid="{00000000-0004-0000-1100-000084010000}"/>
    <hyperlink ref="B192" r:id="rId390" display="http://quote.eastmoney.com/300737.html" xr:uid="{00000000-0004-0000-1100-000085010000}"/>
    <hyperlink ref="C192" r:id="rId391" display="http://data.eastmoney.com/stockdata/300737.html" xr:uid="{00000000-0004-0000-1100-000086010000}"/>
    <hyperlink ref="B193" r:id="rId392" display="http://quote.eastmoney.com/300677.html" xr:uid="{00000000-0004-0000-1100-000087010000}"/>
    <hyperlink ref="C193" r:id="rId393" display="http://data.eastmoney.com/stockdata/300677.html" xr:uid="{00000000-0004-0000-1100-000088010000}"/>
    <hyperlink ref="B194" r:id="rId394" display="http://quote.eastmoney.com/002878.html" xr:uid="{00000000-0004-0000-1100-000089010000}"/>
    <hyperlink ref="C194" r:id="rId395" display="http://data.eastmoney.com/stockdata/002878.html" xr:uid="{00000000-0004-0000-1100-00008A010000}"/>
    <hyperlink ref="B195" r:id="rId396" display="http://quote.eastmoney.com/300078.html" xr:uid="{00000000-0004-0000-1100-00008B010000}"/>
    <hyperlink ref="C195" r:id="rId397" display="http://data.eastmoney.com/stockdata/300078.html" xr:uid="{00000000-0004-0000-1100-00008C010000}"/>
    <hyperlink ref="B196" r:id="rId398" display="http://quote.eastmoney.com/300115.html" xr:uid="{00000000-0004-0000-1100-00008D010000}"/>
    <hyperlink ref="C196" r:id="rId399" display="http://data.eastmoney.com/stockdata/300115.html" xr:uid="{00000000-0004-0000-1100-00008E010000}"/>
    <hyperlink ref="B197" r:id="rId400" display="http://quote.eastmoney.com/300248.html" xr:uid="{00000000-0004-0000-1100-00008F010000}"/>
    <hyperlink ref="C197" r:id="rId401" display="http://data.eastmoney.com/stockdata/300248.html" xr:uid="{00000000-0004-0000-1100-000090010000}"/>
    <hyperlink ref="B198" r:id="rId402" display="http://quote.eastmoney.com/300363.html" xr:uid="{00000000-0004-0000-1100-000091010000}"/>
    <hyperlink ref="C198" r:id="rId403" display="http://data.eastmoney.com/stockdata/300363.html" xr:uid="{00000000-0004-0000-1100-000092010000}"/>
    <hyperlink ref="B199" r:id="rId404" display="http://quote.eastmoney.com/603978.html" xr:uid="{00000000-0004-0000-1100-000093010000}"/>
    <hyperlink ref="C199" r:id="rId405" display="http://data.eastmoney.com/stockdata/603978.html" xr:uid="{00000000-0004-0000-1100-000094010000}"/>
    <hyperlink ref="B200" r:id="rId406" display="http://quote.eastmoney.com/603737.html" xr:uid="{00000000-0004-0000-1100-000095010000}"/>
    <hyperlink ref="C200" r:id="rId407" display="http://data.eastmoney.com/stockdata/603737.html" xr:uid="{00000000-0004-0000-1100-000096010000}"/>
    <hyperlink ref="B201" r:id="rId408" display="http://quote.eastmoney.com/300129.html" xr:uid="{00000000-0004-0000-1100-000097010000}"/>
    <hyperlink ref="C201" r:id="rId409" display="http://data.eastmoney.com/stockdata/300129.html" xr:uid="{00000000-0004-0000-1100-000098010000}"/>
    <hyperlink ref="B202" r:id="rId410" display="http://quote.eastmoney.com/603566.html" xr:uid="{00000000-0004-0000-1100-000099010000}"/>
    <hyperlink ref="C202" r:id="rId411" display="http://data.eastmoney.com/stockdata/603566.html" xr:uid="{00000000-0004-0000-1100-00009A010000}"/>
    <hyperlink ref="B203" r:id="rId412" display="http://quote.eastmoney.com/601155.html" xr:uid="{00000000-0004-0000-1100-00009B010000}"/>
    <hyperlink ref="C203" r:id="rId413" display="http://data.eastmoney.com/stockdata/601155.html" xr:uid="{00000000-0004-0000-1100-00009C010000}"/>
    <hyperlink ref="B204" r:id="rId414" display="http://quote.eastmoney.com/601808.html" xr:uid="{00000000-0004-0000-1100-00009D010000}"/>
    <hyperlink ref="C204" r:id="rId415" display="http://data.eastmoney.com/stockdata/601808.html" xr:uid="{00000000-0004-0000-1100-00009E010000}"/>
    <hyperlink ref="B205" r:id="rId416" display="http://quote.eastmoney.com/603260.html" xr:uid="{00000000-0004-0000-1100-00009F010000}"/>
    <hyperlink ref="C205" r:id="rId417" display="http://data.eastmoney.com/stockdata/603260.html" xr:uid="{00000000-0004-0000-1100-0000A0010000}"/>
    <hyperlink ref="B206" r:id="rId418" display="http://quote.eastmoney.com/002202.html" xr:uid="{00000000-0004-0000-1100-0000A1010000}"/>
    <hyperlink ref="C206" r:id="rId419" display="http://data.eastmoney.com/stockdata/002202.html" xr:uid="{00000000-0004-0000-1100-0000A2010000}"/>
    <hyperlink ref="B207" r:id="rId420" display="http://quote.eastmoney.com/300529.html" xr:uid="{00000000-0004-0000-1100-0000A3010000}"/>
    <hyperlink ref="C207" r:id="rId421" display="http://data.eastmoney.com/stockdata/300529.html" xr:uid="{00000000-0004-0000-1100-0000A4010000}"/>
    <hyperlink ref="B208" r:id="rId422" display="http://quote.eastmoney.com/603338.html" xr:uid="{00000000-0004-0000-1100-0000A5010000}"/>
    <hyperlink ref="C208" r:id="rId423" display="http://data.eastmoney.com/stockdata/603338.html" xr:uid="{00000000-0004-0000-1100-0000A6010000}"/>
    <hyperlink ref="B209" r:id="rId424" display="http://quote.eastmoney.com/002583.html" xr:uid="{00000000-0004-0000-1100-0000A7010000}"/>
    <hyperlink ref="C209" r:id="rId425" display="http://data.eastmoney.com/stockdata/002583.html" xr:uid="{00000000-0004-0000-1100-0000A8010000}"/>
    <hyperlink ref="B210" r:id="rId426" display="http://quote.eastmoney.com/603707.html" xr:uid="{00000000-0004-0000-1100-0000A9010000}"/>
    <hyperlink ref="C210" r:id="rId427" display="http://data.eastmoney.com/stockdata/603707.html" xr:uid="{00000000-0004-0000-1100-0000AA010000}"/>
    <hyperlink ref="B211" r:id="rId428" display="http://quote.eastmoney.com/603496.html" xr:uid="{00000000-0004-0000-1100-0000AB010000}"/>
    <hyperlink ref="C211" r:id="rId429" display="http://data.eastmoney.com/stockdata/603496.html" xr:uid="{00000000-0004-0000-1100-0000AC010000}"/>
    <hyperlink ref="B212" r:id="rId430" display="http://quote.eastmoney.com/002258.html" xr:uid="{00000000-0004-0000-1100-0000AD010000}"/>
    <hyperlink ref="C212" r:id="rId431" display="http://data.eastmoney.com/stockdata/002258.html" xr:uid="{00000000-0004-0000-1100-0000AE010000}"/>
    <hyperlink ref="B213" r:id="rId432" display="http://quote.eastmoney.com/300673.html" xr:uid="{00000000-0004-0000-1100-0000AF010000}"/>
    <hyperlink ref="C213" r:id="rId433" display="http://data.eastmoney.com/stockdata/300673.html" xr:uid="{00000000-0004-0000-1100-0000B0010000}"/>
    <hyperlink ref="B214" r:id="rId434" display="http://quote.eastmoney.com/300735.html" xr:uid="{00000000-0004-0000-1100-0000B1010000}"/>
    <hyperlink ref="C214" r:id="rId435" display="http://data.eastmoney.com/stockdata/300735.html" xr:uid="{00000000-0004-0000-1100-0000B2010000}"/>
    <hyperlink ref="B215" r:id="rId436" display="http://quote.eastmoney.com/300735.html" xr:uid="{00000000-0004-0000-1100-0000B3010000}"/>
    <hyperlink ref="C215" r:id="rId437" display="http://data.eastmoney.com/stockdata/300735.html" xr:uid="{00000000-0004-0000-1100-0000B4010000}"/>
    <hyperlink ref="B216" r:id="rId438" display="http://quote.eastmoney.com/603179.html" xr:uid="{00000000-0004-0000-1100-0000B5010000}"/>
    <hyperlink ref="C216" r:id="rId439" display="http://data.eastmoney.com/stockdata/603179.html" xr:uid="{00000000-0004-0000-1100-0000B6010000}"/>
    <hyperlink ref="B217" r:id="rId440" display="http://quote.eastmoney.com/002539.html" xr:uid="{00000000-0004-0000-1100-0000B7010000}"/>
    <hyperlink ref="C217" r:id="rId441" display="http://data.eastmoney.com/stockdata/002539.html" xr:uid="{00000000-0004-0000-1100-0000B8010000}"/>
    <hyperlink ref="B218" r:id="rId442" display="http://quote.eastmoney.com/000403.html" xr:uid="{00000000-0004-0000-1100-0000B9010000}"/>
    <hyperlink ref="C218" r:id="rId443" display="http://data.eastmoney.com/stockdata/000403.html" xr:uid="{00000000-0004-0000-1100-0000BA010000}"/>
    <hyperlink ref="B219" r:id="rId444" display="http://quote.eastmoney.com/002368.html" xr:uid="{00000000-0004-0000-1100-0000BB010000}"/>
    <hyperlink ref="C219" r:id="rId445" display="http://data.eastmoney.com/stockdata/002368.html" xr:uid="{00000000-0004-0000-1100-0000BC010000}"/>
    <hyperlink ref="B220" r:id="rId446" display="http://quote.eastmoney.com/002324.html" xr:uid="{00000000-0004-0000-1100-0000BD010000}"/>
    <hyperlink ref="C220" r:id="rId447" display="http://data.eastmoney.com/stockdata/002324.html" xr:uid="{00000000-0004-0000-1100-0000BE010000}"/>
    <hyperlink ref="B221" r:id="rId448" display="http://quote.eastmoney.com/601865.html" xr:uid="{00000000-0004-0000-1100-0000BF010000}"/>
    <hyperlink ref="C221" r:id="rId449" display="http://data.eastmoney.com/stockdata/601865.html" xr:uid="{00000000-0004-0000-1100-0000C0010000}"/>
    <hyperlink ref="B222" r:id="rId450" display="http://quote.eastmoney.com/300567.html" xr:uid="{00000000-0004-0000-1100-0000C1010000}"/>
    <hyperlink ref="C222" r:id="rId451" display="http://data.eastmoney.com/stockdata/300567.html" xr:uid="{00000000-0004-0000-1100-0000C2010000}"/>
    <hyperlink ref="B223" r:id="rId452" display="http://quote.eastmoney.com/600496.html" xr:uid="{00000000-0004-0000-1100-0000C3010000}"/>
    <hyperlink ref="C223" r:id="rId453" display="http://data.eastmoney.com/stockdata/600496.html" xr:uid="{00000000-0004-0000-1100-0000C4010000}"/>
    <hyperlink ref="B224" r:id="rId454" display="http://quote.eastmoney.com/300384.html" xr:uid="{00000000-0004-0000-1100-0000C5010000}"/>
    <hyperlink ref="C224" r:id="rId455" display="http://data.eastmoney.com/stockdata/300384.html" xr:uid="{00000000-0004-0000-1100-0000C6010000}"/>
    <hyperlink ref="B225" r:id="rId456" display="http://quote.eastmoney.com/688088.html" xr:uid="{00000000-0004-0000-1100-0000C7010000}"/>
    <hyperlink ref="C225" r:id="rId457" display="http://data.eastmoney.com/stockdata/688088.html" xr:uid="{00000000-0004-0000-1100-0000C8010000}"/>
    <hyperlink ref="B226" r:id="rId458" display="http://quote.eastmoney.com/300188.html" xr:uid="{00000000-0004-0000-1100-0000C9010000}"/>
    <hyperlink ref="C226" r:id="rId459" display="http://data.eastmoney.com/stockdata/300188.html" xr:uid="{00000000-0004-0000-1100-0000CA010000}"/>
    <hyperlink ref="B227" r:id="rId460" display="http://quote.eastmoney.com/002791.html" xr:uid="{00000000-0004-0000-1100-0000CB010000}"/>
    <hyperlink ref="C227" r:id="rId461" display="http://data.eastmoney.com/stockdata/002791.html" xr:uid="{00000000-0004-0000-1100-0000CC010000}"/>
    <hyperlink ref="B228" r:id="rId462" display="http://quote.eastmoney.com/002946.html" xr:uid="{00000000-0004-0000-1100-0000CD010000}"/>
    <hyperlink ref="C228" r:id="rId463" display="http://data.eastmoney.com/stockdata/002946.html" xr:uid="{00000000-0004-0000-1100-0000CE010000}"/>
    <hyperlink ref="B229" r:id="rId464" display="http://quote.eastmoney.com/603712.html" xr:uid="{00000000-0004-0000-1100-0000CF010000}"/>
    <hyperlink ref="C229" r:id="rId465" display="http://data.eastmoney.com/stockdata/603712.html" xr:uid="{00000000-0004-0000-1100-0000D0010000}"/>
    <hyperlink ref="B230" r:id="rId466" display="http://quote.eastmoney.com/600004.html" xr:uid="{00000000-0004-0000-1100-0000D1010000}"/>
    <hyperlink ref="C230" r:id="rId467" display="http://data.eastmoney.com/stockdata/600004.html" xr:uid="{00000000-0004-0000-1100-0000D2010000}"/>
    <hyperlink ref="B231" r:id="rId468" display="http://quote.eastmoney.com/603078.html" xr:uid="{00000000-0004-0000-1100-0000D3010000}"/>
    <hyperlink ref="C231" r:id="rId469" display="http://data.eastmoney.com/stockdata/603078.html" xr:uid="{00000000-0004-0000-1100-0000D4010000}"/>
    <hyperlink ref="B232" r:id="rId470" display="http://quote.eastmoney.com/600871.html" xr:uid="{00000000-0004-0000-1100-0000D5010000}"/>
    <hyperlink ref="C232" r:id="rId471" display="http://data.eastmoney.com/stockdata/600871.html" xr:uid="{00000000-0004-0000-1100-0000D6010000}"/>
    <hyperlink ref="B233" r:id="rId472" display="http://quote.eastmoney.com/000671.html" xr:uid="{00000000-0004-0000-1100-0000D7010000}"/>
    <hyperlink ref="C233" r:id="rId473" display="http://data.eastmoney.com/stockdata/000671.html" xr:uid="{00000000-0004-0000-1100-0000D8010000}"/>
    <hyperlink ref="B234" r:id="rId474" display="http://quote.eastmoney.com/300383.html" xr:uid="{00000000-0004-0000-1100-0000D9010000}"/>
    <hyperlink ref="C234" r:id="rId475" display="http://data.eastmoney.com/stockdata/300383.html" xr:uid="{00000000-0004-0000-1100-0000DA010000}"/>
    <hyperlink ref="B235" r:id="rId476" display="http://quote.eastmoney.com/300596.html" xr:uid="{00000000-0004-0000-1100-0000DB010000}"/>
    <hyperlink ref="C235" r:id="rId477" display="http://data.eastmoney.com/stockdata/300596.html" xr:uid="{00000000-0004-0000-1100-0000DC010000}"/>
    <hyperlink ref="B236" r:id="rId478" display="http://quote.eastmoney.com/002090.html" xr:uid="{00000000-0004-0000-1100-0000DD010000}"/>
    <hyperlink ref="C236" r:id="rId479" display="http://data.eastmoney.com/stockdata/002090.html" xr:uid="{00000000-0004-0000-1100-0000DE010000}"/>
    <hyperlink ref="B237" r:id="rId480" display="http://quote.eastmoney.com/603516.html" xr:uid="{00000000-0004-0000-1100-0000DF010000}"/>
    <hyperlink ref="C237" r:id="rId481" display="http://data.eastmoney.com/stockdata/603516.html" xr:uid="{00000000-0004-0000-1100-0000E0010000}"/>
    <hyperlink ref="B238" r:id="rId482" display="http://quote.eastmoney.com/688029.html" xr:uid="{00000000-0004-0000-1100-0000E1010000}"/>
    <hyperlink ref="C238" r:id="rId483" display="http://data.eastmoney.com/stockdata/688029.html" xr:uid="{00000000-0004-0000-1100-0000E2010000}"/>
    <hyperlink ref="B239" r:id="rId484" display="http://quote.eastmoney.com/600409.html" xr:uid="{00000000-0004-0000-1100-0000E3010000}"/>
    <hyperlink ref="C239" r:id="rId485" display="http://data.eastmoney.com/stockdata/600409.html" xr:uid="{00000000-0004-0000-1100-0000E4010000}"/>
    <hyperlink ref="B240" r:id="rId486" display="http://quote.eastmoney.com/002436.html" xr:uid="{00000000-0004-0000-1100-0000E5010000}"/>
    <hyperlink ref="C240" r:id="rId487" display="http://data.eastmoney.com/stockdata/002436.html" xr:uid="{00000000-0004-0000-1100-0000E6010000}"/>
    <hyperlink ref="B241" r:id="rId488" display="http://quote.eastmoney.com/002436.html" xr:uid="{00000000-0004-0000-1100-0000E7010000}"/>
    <hyperlink ref="C241" r:id="rId489" display="http://data.eastmoney.com/stockdata/002436.html" xr:uid="{00000000-0004-0000-1100-0000E8010000}"/>
    <hyperlink ref="B242" r:id="rId490" display="http://quote.eastmoney.com/300416.html" xr:uid="{00000000-0004-0000-1100-0000E9010000}"/>
    <hyperlink ref="C242" r:id="rId491" display="http://data.eastmoney.com/stockdata/300416.html" xr:uid="{00000000-0004-0000-1100-0000EA010000}"/>
    <hyperlink ref="B243" r:id="rId492" display="http://quote.eastmoney.com/603040.html" xr:uid="{00000000-0004-0000-1100-0000EB010000}"/>
    <hyperlink ref="C243" r:id="rId493" display="http://data.eastmoney.com/stockdata/603040.html" xr:uid="{00000000-0004-0000-1100-0000EC010000}"/>
    <hyperlink ref="B244" r:id="rId494" display="http://quote.eastmoney.com/688363.html" xr:uid="{00000000-0004-0000-1100-0000ED010000}"/>
    <hyperlink ref="C244" r:id="rId495" display="http://data.eastmoney.com/stockdata/688363.html" xr:uid="{00000000-0004-0000-1100-0000EE010000}"/>
    <hyperlink ref="B245" r:id="rId496" display="http://quote.eastmoney.com/002138.html" xr:uid="{00000000-0004-0000-1100-0000EF010000}"/>
    <hyperlink ref="C245" r:id="rId497" display="http://data.eastmoney.com/stockdata/002138.html" xr:uid="{00000000-0004-0000-1100-0000F0010000}"/>
    <hyperlink ref="B246" r:id="rId498" display="http://quote.eastmoney.com/300009.html" xr:uid="{00000000-0004-0000-1100-0000F1010000}"/>
    <hyperlink ref="C246" r:id="rId499" display="http://data.eastmoney.com/stockdata/300009.html" xr:uid="{00000000-0004-0000-1100-0000F2010000}"/>
    <hyperlink ref="B247" r:id="rId500" display="http://quote.eastmoney.com/300316.html" xr:uid="{00000000-0004-0000-1100-0000F3010000}"/>
    <hyperlink ref="C247" r:id="rId501" display="http://data.eastmoney.com/stockdata/300316.html" xr:uid="{00000000-0004-0000-1100-0000F4010000}"/>
    <hyperlink ref="B248" r:id="rId502" display="http://quote.eastmoney.com/002049.html" xr:uid="{00000000-0004-0000-1100-0000F5010000}"/>
    <hyperlink ref="C248" r:id="rId503" display="http://data.eastmoney.com/stockdata/002049.html" xr:uid="{00000000-0004-0000-1100-0000F6010000}"/>
    <hyperlink ref="B249" r:id="rId504" display="http://quote.eastmoney.com/603638.html" xr:uid="{00000000-0004-0000-1100-0000F7010000}"/>
    <hyperlink ref="C249" r:id="rId505" display="http://data.eastmoney.com/stockdata/603638.html" xr:uid="{00000000-0004-0000-1100-0000F8010000}"/>
    <hyperlink ref="B250" r:id="rId506" display="http://quote.eastmoney.com/300136.html" xr:uid="{00000000-0004-0000-1100-0000F9010000}"/>
    <hyperlink ref="C250" r:id="rId507" display="http://data.eastmoney.com/stockdata/300136.html" xr:uid="{00000000-0004-0000-1100-0000FA010000}"/>
    <hyperlink ref="B251" r:id="rId508" display="http://quote.eastmoney.com/300122.html" xr:uid="{00000000-0004-0000-1100-0000FB010000}"/>
    <hyperlink ref="C251" r:id="rId509" display="http://data.eastmoney.com/stockdata/300122.html" xr:uid="{00000000-0004-0000-1100-0000FC010000}"/>
    <hyperlink ref="B252" r:id="rId510" display="http://quote.eastmoney.com/300015.html" xr:uid="{00000000-0004-0000-1100-0000FD010000}"/>
    <hyperlink ref="C252" r:id="rId511" display="http://data.eastmoney.com/stockdata/300015.html" xr:uid="{00000000-0004-0000-1100-0000FE010000}"/>
    <hyperlink ref="B253" r:id="rId512" display="http://quote.eastmoney.com/300569.html" xr:uid="{00000000-0004-0000-1100-0000FF010000}"/>
    <hyperlink ref="C253" r:id="rId513" display="http://data.eastmoney.com/stockdata/300569.html" xr:uid="{00000000-0004-0000-1100-000000020000}"/>
    <hyperlink ref="B254" r:id="rId514" display="http://quote.eastmoney.com/002438.html" xr:uid="{00000000-0004-0000-1100-000001020000}"/>
    <hyperlink ref="C254" r:id="rId515" display="http://data.eastmoney.com/stockdata/002438.html" xr:uid="{00000000-0004-0000-1100-000002020000}"/>
    <hyperlink ref="B255" r:id="rId516" display="http://quote.eastmoney.com/600050.html" xr:uid="{00000000-0004-0000-1100-000003020000}"/>
    <hyperlink ref="C255" r:id="rId517" display="http://data.eastmoney.com/stockdata/600050.html" xr:uid="{00000000-0004-0000-1100-000004020000}"/>
    <hyperlink ref="B256" r:id="rId518" display="http://quote.eastmoney.com/300454.html" xr:uid="{00000000-0004-0000-1100-000005020000}"/>
    <hyperlink ref="C256" r:id="rId519" display="http://data.eastmoney.com/stockdata/300454.html" xr:uid="{00000000-0004-0000-1100-000006020000}"/>
    <hyperlink ref="B257" r:id="rId520" display="http://quote.eastmoney.com/000035.html" xr:uid="{00000000-0004-0000-1100-000007020000}"/>
    <hyperlink ref="C257" r:id="rId521" display="http://data.eastmoney.com/stockdata/000035.html" xr:uid="{00000000-0004-0000-1100-000008020000}"/>
    <hyperlink ref="B258" r:id="rId522" display="http://quote.eastmoney.com/300223.html" xr:uid="{00000000-0004-0000-1100-000009020000}"/>
    <hyperlink ref="C258" r:id="rId523" display="http://data.eastmoney.com/stockdata/300223.html" xr:uid="{00000000-0004-0000-1100-00000A020000}"/>
    <hyperlink ref="B259" r:id="rId524" display="http://quote.eastmoney.com/300450.html" xr:uid="{00000000-0004-0000-1100-00000B020000}"/>
    <hyperlink ref="C259" r:id="rId525" display="http://data.eastmoney.com/stockdata/300450.html" xr:uid="{00000000-0004-0000-1100-00000C020000}"/>
    <hyperlink ref="B260" r:id="rId526" display="http://quote.eastmoney.com/300357.html" xr:uid="{00000000-0004-0000-1100-00000D020000}"/>
    <hyperlink ref="C260" r:id="rId527" display="http://data.eastmoney.com/stockdata/300357.html" xr:uid="{00000000-0004-0000-1100-00000E020000}"/>
    <hyperlink ref="B261" r:id="rId528" display="http://quote.eastmoney.com/300770.html" xr:uid="{00000000-0004-0000-1100-00000F020000}"/>
    <hyperlink ref="C261" r:id="rId529" display="http://data.eastmoney.com/stockdata/300770.html" xr:uid="{00000000-0004-0000-1100-000010020000}"/>
    <hyperlink ref="B262" r:id="rId530" display="http://quote.eastmoney.com/300438.html" xr:uid="{00000000-0004-0000-1100-000011020000}"/>
    <hyperlink ref="C262" r:id="rId531" display="http://data.eastmoney.com/stockdata/300438.html" xr:uid="{00000000-0004-0000-1100-000012020000}"/>
    <hyperlink ref="B263" r:id="rId532" display="http://quote.eastmoney.com/300036.html" xr:uid="{00000000-0004-0000-1100-000013020000}"/>
    <hyperlink ref="C263" r:id="rId533" display="http://data.eastmoney.com/stockdata/300036.html" xr:uid="{00000000-0004-0000-1100-000014020000}"/>
    <hyperlink ref="B264" r:id="rId534" display="http://quote.eastmoney.com/603939.html" xr:uid="{00000000-0004-0000-1100-000015020000}"/>
    <hyperlink ref="C264" r:id="rId535" display="http://data.eastmoney.com/stockdata/603939.html" xr:uid="{00000000-0004-0000-1100-000016020000}"/>
    <hyperlink ref="B265" r:id="rId536" display="http://quote.eastmoney.com/002698.html" xr:uid="{00000000-0004-0000-1100-000017020000}"/>
    <hyperlink ref="C265" r:id="rId537" display="http://data.eastmoney.com/stockdata/002698.html" xr:uid="{00000000-0004-0000-1100-000018020000}"/>
    <hyperlink ref="B266" r:id="rId538" display="http://quote.eastmoney.com/002821.html" xr:uid="{00000000-0004-0000-1100-000019020000}"/>
    <hyperlink ref="C266" r:id="rId539" display="http://data.eastmoney.com/stockdata/002821.html" xr:uid="{00000000-0004-0000-1100-00001A020000}"/>
    <hyperlink ref="B267" r:id="rId540" display="http://quote.eastmoney.com/002281.html" xr:uid="{00000000-0004-0000-1100-00001B020000}"/>
    <hyperlink ref="C267" r:id="rId541" display="http://data.eastmoney.com/stockdata/002281.html" xr:uid="{00000000-0004-0000-1100-00001C020000}"/>
    <hyperlink ref="B268" r:id="rId542" display="http://quote.eastmoney.com/002916.html" xr:uid="{00000000-0004-0000-1100-00001D020000}"/>
    <hyperlink ref="C268" r:id="rId543" display="http://data.eastmoney.com/stockdata/002916.html" xr:uid="{00000000-0004-0000-1100-00001E020000}"/>
    <hyperlink ref="B269" r:id="rId544" display="http://quote.eastmoney.com/300433.html" xr:uid="{00000000-0004-0000-1100-00001F020000}"/>
    <hyperlink ref="C269" r:id="rId545" display="http://data.eastmoney.com/stockdata/300433.html" xr:uid="{00000000-0004-0000-1100-000020020000}"/>
    <hyperlink ref="B270" r:id="rId546" display="http://quote.eastmoney.com/002768.html" xr:uid="{00000000-0004-0000-1100-000021020000}"/>
    <hyperlink ref="C270" r:id="rId547" display="http://data.eastmoney.com/stockdata/002768.html" xr:uid="{00000000-0004-0000-1100-000022020000}"/>
    <hyperlink ref="B271" r:id="rId548" display="http://quote.eastmoney.com/002465.html" xr:uid="{00000000-0004-0000-1100-000023020000}"/>
    <hyperlink ref="C271" r:id="rId549" display="http://data.eastmoney.com/stockdata/002465.html" xr:uid="{00000000-0004-0000-1100-000024020000}"/>
    <hyperlink ref="B272" r:id="rId550" display="http://quote.eastmoney.com/002475.html" xr:uid="{00000000-0004-0000-1100-000025020000}"/>
    <hyperlink ref="C272" r:id="rId551" display="http://data.eastmoney.com/stockdata/002475.html" xr:uid="{00000000-0004-0000-1100-000026020000}"/>
    <hyperlink ref="B273" r:id="rId552" display="http://quote.eastmoney.com/300639.html" xr:uid="{00000000-0004-0000-1100-000027020000}"/>
    <hyperlink ref="C273" r:id="rId553" display="http://data.eastmoney.com/stockdata/300639.html" xr:uid="{00000000-0004-0000-1100-000028020000}"/>
    <hyperlink ref="B274" r:id="rId554" display="http://quote.eastmoney.com/300482.html" xr:uid="{00000000-0004-0000-1100-000029020000}"/>
    <hyperlink ref="C274" r:id="rId555" display="http://data.eastmoney.com/stockdata/300482.html" xr:uid="{00000000-0004-0000-1100-00002A020000}"/>
    <hyperlink ref="B275" r:id="rId556" display="http://quote.eastmoney.com/300558.html" xr:uid="{00000000-0004-0000-1100-00002B020000}"/>
    <hyperlink ref="C275" r:id="rId557" display="http://data.eastmoney.com/stockdata/300558.html" xr:uid="{00000000-0004-0000-1100-00002C020000}"/>
    <hyperlink ref="B276" r:id="rId558" display="http://quote.eastmoney.com/603600.html" xr:uid="{00000000-0004-0000-1100-00002D020000}"/>
    <hyperlink ref="C276" r:id="rId559" display="http://data.eastmoney.com/stockdata/603600.html" xr:uid="{00000000-0004-0000-1100-00002E020000}"/>
    <hyperlink ref="B277" r:id="rId560" display="http://quote.eastmoney.com/300577.html" xr:uid="{00000000-0004-0000-1100-00002F020000}"/>
    <hyperlink ref="C277" r:id="rId561" display="http://data.eastmoney.com/stockdata/300577.html" xr:uid="{00000000-0004-0000-1100-000030020000}"/>
    <hyperlink ref="B278" r:id="rId562" display="http://quote.eastmoney.com/603333.html" xr:uid="{00000000-0004-0000-1100-000031020000}"/>
    <hyperlink ref="C278" r:id="rId563" display="http://data.eastmoney.com/stockdata/603333.html" xr:uid="{00000000-0004-0000-1100-000032020000}"/>
    <hyperlink ref="B279" r:id="rId564" display="http://quote.eastmoney.com/002214.html" xr:uid="{00000000-0004-0000-1100-000033020000}"/>
    <hyperlink ref="C279" r:id="rId565" display="http://data.eastmoney.com/stockdata/002214.html" xr:uid="{00000000-0004-0000-1100-000034020000}"/>
    <hyperlink ref="B280" r:id="rId566" display="http://quote.eastmoney.com/600763.html" xr:uid="{00000000-0004-0000-1100-000035020000}"/>
    <hyperlink ref="C280" r:id="rId567" display="http://data.eastmoney.com/stockdata/600763.html" xr:uid="{00000000-0004-0000-1100-000036020000}"/>
    <hyperlink ref="B281" r:id="rId568" display="http://quote.eastmoney.com/000661.html" xr:uid="{00000000-0004-0000-1100-000037020000}"/>
    <hyperlink ref="C281" r:id="rId569" display="http://data.eastmoney.com/stockdata/000661.html" xr:uid="{00000000-0004-0000-1100-000038020000}"/>
    <hyperlink ref="B282" r:id="rId570" display="http://quote.eastmoney.com/000703.html" xr:uid="{00000000-0004-0000-1100-000039020000}"/>
    <hyperlink ref="C282" r:id="rId571" display="http://data.eastmoney.com/stockdata/000703.html" xr:uid="{00000000-0004-0000-1100-00003A020000}"/>
    <hyperlink ref="B283" r:id="rId572" display="http://quote.eastmoney.com/300003.html" xr:uid="{00000000-0004-0000-1100-00003B020000}"/>
    <hyperlink ref="C283" r:id="rId573" display="http://data.eastmoney.com/stockdata/300003.html" xr:uid="{00000000-0004-0000-1100-00003C020000}"/>
    <hyperlink ref="B284" r:id="rId574" display="http://quote.eastmoney.com/300607.html" xr:uid="{00000000-0004-0000-1100-00003D020000}"/>
    <hyperlink ref="C284" r:id="rId575" display="http://data.eastmoney.com/stockdata/300607.html" xr:uid="{00000000-0004-0000-1100-00003E020000}"/>
    <hyperlink ref="B285" r:id="rId576" display="http://quote.eastmoney.com/600141.html" xr:uid="{00000000-0004-0000-1100-00003F020000}"/>
    <hyperlink ref="C285" r:id="rId577" display="http://data.eastmoney.com/stockdata/600141.html" xr:uid="{00000000-0004-0000-1100-000040020000}"/>
    <hyperlink ref="B286" r:id="rId578" display="http://quote.eastmoney.com/603658.html" xr:uid="{00000000-0004-0000-1100-000041020000}"/>
    <hyperlink ref="C286" r:id="rId579" display="http://data.eastmoney.com/stockdata/603658.html" xr:uid="{00000000-0004-0000-1100-000042020000}"/>
    <hyperlink ref="B287" r:id="rId580" display="http://quote.eastmoney.com/000043.html" xr:uid="{00000000-0004-0000-1100-000043020000}"/>
    <hyperlink ref="C287" r:id="rId581" display="http://data.eastmoney.com/stockdata/000043.html" xr:uid="{00000000-0004-0000-1100-000044020000}"/>
    <hyperlink ref="B288" r:id="rId582" display="http://quote.eastmoney.com/002810.html" xr:uid="{00000000-0004-0000-1100-000045020000}"/>
    <hyperlink ref="C288" r:id="rId583" display="http://data.eastmoney.com/stockdata/002810.html" xr:uid="{00000000-0004-0000-1100-000046020000}"/>
    <hyperlink ref="B289" r:id="rId584" display="http://quote.eastmoney.com/603666.html" xr:uid="{00000000-0004-0000-1100-000047020000}"/>
    <hyperlink ref="C289" r:id="rId585" display="http://data.eastmoney.com/stockdata/603666.html" xr:uid="{00000000-0004-0000-1100-000048020000}"/>
    <hyperlink ref="B290" r:id="rId586" display="http://quote.eastmoney.com/000739.html" xr:uid="{00000000-0004-0000-1100-000049020000}"/>
    <hyperlink ref="C290" r:id="rId587" display="http://data.eastmoney.com/stockdata/000739.html" xr:uid="{00000000-0004-0000-1100-00004A020000}"/>
    <hyperlink ref="B291" r:id="rId588" display="http://quote.eastmoney.com/300047.html" xr:uid="{00000000-0004-0000-1100-00004B020000}"/>
    <hyperlink ref="C291" r:id="rId589" display="http://data.eastmoney.com/stockdata/300047.html" xr:uid="{00000000-0004-0000-1100-00004C020000}"/>
    <hyperlink ref="B292" r:id="rId590" display="http://quote.eastmoney.com/603486.html" xr:uid="{00000000-0004-0000-1100-00004D020000}"/>
    <hyperlink ref="C292" r:id="rId591" display="http://data.eastmoney.com/stockdata/603486.html" xr:uid="{00000000-0004-0000-1100-00004E020000}"/>
    <hyperlink ref="B293" r:id="rId592" display="http://quote.eastmoney.com/300590.html" xr:uid="{00000000-0004-0000-1100-00004F020000}"/>
    <hyperlink ref="C293" r:id="rId593" display="http://data.eastmoney.com/stockdata/300590.html" xr:uid="{00000000-0004-0000-1100-000050020000}"/>
    <hyperlink ref="B294" r:id="rId594" display="http://quote.eastmoney.com/000799.html" xr:uid="{00000000-0004-0000-1100-000051020000}"/>
    <hyperlink ref="C294" r:id="rId595" display="http://data.eastmoney.com/stockdata/000799.html" xr:uid="{00000000-0004-0000-1100-000052020000}"/>
    <hyperlink ref="B295" r:id="rId596" display="http://quote.eastmoney.com/300190.html" xr:uid="{00000000-0004-0000-1100-000053020000}"/>
    <hyperlink ref="C295" r:id="rId597" display="http://data.eastmoney.com/stockdata/300190.html" xr:uid="{00000000-0004-0000-1100-000054020000}"/>
    <hyperlink ref="B296" r:id="rId598" display="http://quote.eastmoney.com/002918.html" xr:uid="{00000000-0004-0000-1100-000055020000}"/>
    <hyperlink ref="C296" r:id="rId599" display="http://data.eastmoney.com/stockdata/002918.html" xr:uid="{00000000-0004-0000-1100-000056020000}"/>
    <hyperlink ref="B297" r:id="rId600" display="http://quote.eastmoney.com/002044.html" xr:uid="{00000000-0004-0000-1100-000057020000}"/>
    <hyperlink ref="C297" r:id="rId601" display="http://data.eastmoney.com/stockdata/002044.html" xr:uid="{00000000-0004-0000-1100-000058020000}"/>
    <hyperlink ref="B298" r:id="rId602" display="http://quote.eastmoney.com/002587.html" xr:uid="{00000000-0004-0000-1100-000059020000}"/>
    <hyperlink ref="C298" r:id="rId603" display="http://data.eastmoney.com/stockdata/002587.html" xr:uid="{00000000-0004-0000-1100-00005A020000}"/>
    <hyperlink ref="B299" r:id="rId604" display="http://quote.eastmoney.com/300724.html" xr:uid="{00000000-0004-0000-1100-00005B020000}"/>
    <hyperlink ref="C299" r:id="rId605" display="http://data.eastmoney.com/stockdata/300724.html" xr:uid="{00000000-0004-0000-1100-00005C020000}"/>
    <hyperlink ref="B300" r:id="rId606" display="http://quote.eastmoney.com/002851.html" xr:uid="{00000000-0004-0000-1100-00005D020000}"/>
    <hyperlink ref="C300" r:id="rId607" display="http://data.eastmoney.com/stockdata/002851.html" xr:uid="{00000000-0004-0000-1100-00005E020000}"/>
    <hyperlink ref="B301" r:id="rId608" display="http://quote.eastmoney.com/600588.html" xr:uid="{00000000-0004-0000-1100-00005F020000}"/>
    <hyperlink ref="C301" r:id="rId609" display="http://data.eastmoney.com/stockdata/600588.html" xr:uid="{00000000-0004-0000-1100-000060020000}"/>
    <hyperlink ref="B302" r:id="rId610" display="http://quote.eastmoney.com/603882.html" xr:uid="{00000000-0004-0000-1100-000061020000}"/>
    <hyperlink ref="C302" r:id="rId611" display="http://data.eastmoney.com/stockdata/603882.html" xr:uid="{00000000-0004-0000-1100-000062020000}"/>
    <hyperlink ref="B303" r:id="rId612" display="http://quote.eastmoney.com/603605.html" xr:uid="{00000000-0004-0000-1100-000063020000}"/>
    <hyperlink ref="C303" r:id="rId613" display="http://data.eastmoney.com/stockdata/603605.html" xr:uid="{00000000-0004-0000-1100-000064020000}"/>
    <hyperlink ref="B304" r:id="rId614" display="http://quote.eastmoney.com/603588.html" xr:uid="{00000000-0004-0000-1100-000065020000}"/>
    <hyperlink ref="C304" r:id="rId615" display="http://data.eastmoney.com/stockdata/603588.html" xr:uid="{00000000-0004-0000-1100-000066020000}"/>
    <hyperlink ref="B305" r:id="rId616" display="http://quote.eastmoney.com/300792.html" xr:uid="{00000000-0004-0000-1100-000067020000}"/>
    <hyperlink ref="C305" r:id="rId617" display="http://data.eastmoney.com/stockdata/300792.html" xr:uid="{00000000-0004-0000-1100-000068020000}"/>
    <hyperlink ref="B306" r:id="rId618" display="http://quote.eastmoney.com/603313.html" xr:uid="{00000000-0004-0000-1100-000069020000}"/>
    <hyperlink ref="C306" r:id="rId619" display="http://data.eastmoney.com/stockdata/603313.html" xr:uid="{00000000-0004-0000-1100-00006A020000}"/>
    <hyperlink ref="B307" r:id="rId620" display="http://quote.eastmoney.com/002127.html" xr:uid="{00000000-0004-0000-1100-00006B020000}"/>
    <hyperlink ref="C307" r:id="rId621" display="http://data.eastmoney.com/stockdata/002127.html" xr:uid="{00000000-0004-0000-1100-00006C020000}"/>
    <hyperlink ref="B308" r:id="rId622" display="http://quote.eastmoney.com/603030.html" xr:uid="{00000000-0004-0000-1100-00006D020000}"/>
    <hyperlink ref="C308" r:id="rId623" display="http://data.eastmoney.com/stockdata/603030.html" xr:uid="{00000000-0004-0000-1100-00006E020000}"/>
    <hyperlink ref="B309" r:id="rId624" display="http://quote.eastmoney.com/600456.html" xr:uid="{00000000-0004-0000-1100-00006F020000}"/>
    <hyperlink ref="C309" r:id="rId625" display="http://data.eastmoney.com/stockdata/600456.html" xr:uid="{00000000-0004-0000-1100-000070020000}"/>
    <hyperlink ref="B310" r:id="rId626" display="http://quote.eastmoney.com/002064.html" xr:uid="{00000000-0004-0000-1100-000071020000}"/>
    <hyperlink ref="C310" r:id="rId627" display="http://data.eastmoney.com/stockdata/002064.html" xr:uid="{00000000-0004-0000-1100-000072020000}"/>
    <hyperlink ref="B311" r:id="rId628" display="http://quote.eastmoney.com/300624.html" xr:uid="{00000000-0004-0000-1100-000073020000}"/>
    <hyperlink ref="C311" r:id="rId629" display="http://data.eastmoney.com/stockdata/300624.html" xr:uid="{00000000-0004-0000-1100-000074020000}"/>
    <hyperlink ref="B312" r:id="rId630" display="http://quote.eastmoney.com/002311.html" xr:uid="{00000000-0004-0000-1100-000075020000}"/>
    <hyperlink ref="C312" r:id="rId631" display="http://data.eastmoney.com/stockdata/002311.html" xr:uid="{00000000-0004-0000-1100-000076020000}"/>
    <hyperlink ref="B313" r:id="rId632" display="http://quote.eastmoney.com/300059.html" xr:uid="{00000000-0004-0000-1100-000077020000}"/>
    <hyperlink ref="C313" r:id="rId633" display="http://data.eastmoney.com/stockdata/300059.html" xr:uid="{00000000-0004-0000-1100-000078020000}"/>
    <hyperlink ref="B314" r:id="rId634" display="http://quote.eastmoney.com/603606.html" xr:uid="{00000000-0004-0000-1100-000079020000}"/>
    <hyperlink ref="C314" r:id="rId635" display="http://data.eastmoney.com/stockdata/603606.html" xr:uid="{00000000-0004-0000-1100-00007A020000}"/>
    <hyperlink ref="B315" r:id="rId636" display="http://quote.eastmoney.com/000759.html" xr:uid="{00000000-0004-0000-1100-00007B020000}"/>
    <hyperlink ref="C315" r:id="rId637" display="http://data.eastmoney.com/stockdata/000759.html" xr:uid="{00000000-0004-0000-1100-00007C020000}"/>
    <hyperlink ref="B316" r:id="rId638" display="http://quote.eastmoney.com/000860.html" xr:uid="{00000000-0004-0000-1100-00007D020000}"/>
    <hyperlink ref="C316" r:id="rId639" display="http://data.eastmoney.com/stockdata/000860.html" xr:uid="{00000000-0004-0000-1100-00007E020000}"/>
    <hyperlink ref="B317" r:id="rId640" display="http://quote.eastmoney.com/300057.html" xr:uid="{00000000-0004-0000-1100-00007F020000}"/>
    <hyperlink ref="C317" r:id="rId641" display="http://data.eastmoney.com/stockdata/300057.html" xr:uid="{00000000-0004-0000-1100-000080020000}"/>
    <hyperlink ref="B318" r:id="rId642" display="http://quote.eastmoney.com/002594.html" xr:uid="{00000000-0004-0000-1100-000081020000}"/>
    <hyperlink ref="C318" r:id="rId643" display="http://data.eastmoney.com/stockdata/002594.html" xr:uid="{00000000-0004-0000-1100-000082020000}"/>
    <hyperlink ref="B319" r:id="rId644" display="http://quote.eastmoney.com/601933.html" xr:uid="{00000000-0004-0000-1100-000083020000}"/>
    <hyperlink ref="C319" r:id="rId645" display="http://data.eastmoney.com/stockdata/601933.html" xr:uid="{00000000-0004-0000-1100-000084020000}"/>
    <hyperlink ref="B320" r:id="rId646" display="http://quote.eastmoney.com/300653.html" xr:uid="{00000000-0004-0000-1100-000085020000}"/>
    <hyperlink ref="C320" r:id="rId647" display="http://data.eastmoney.com/stockdata/300653.html" xr:uid="{00000000-0004-0000-1100-000086020000}"/>
    <hyperlink ref="B321" r:id="rId648" display="http://quote.eastmoney.com/300420.html" xr:uid="{00000000-0004-0000-1100-000087020000}"/>
    <hyperlink ref="C321" r:id="rId649" display="http://data.eastmoney.com/stockdata/300420.html" xr:uid="{00000000-0004-0000-1100-000088020000}"/>
    <hyperlink ref="B322" r:id="rId650" display="http://quote.eastmoney.com/000997.html" xr:uid="{00000000-0004-0000-1100-000089020000}"/>
    <hyperlink ref="C322" r:id="rId651" display="http://data.eastmoney.com/stockdata/000997.html" xr:uid="{00000000-0004-0000-1100-00008A020000}"/>
    <hyperlink ref="B323" r:id="rId652" display="http://quote.eastmoney.com/002822.html" xr:uid="{00000000-0004-0000-1100-00008B020000}"/>
    <hyperlink ref="C323" r:id="rId653" display="http://data.eastmoney.com/stockdata/002822.html" xr:uid="{00000000-0004-0000-1100-00008C020000}"/>
    <hyperlink ref="B324" r:id="rId654" display="http://quote.eastmoney.com/300326.html" xr:uid="{00000000-0004-0000-1100-00008D020000}"/>
    <hyperlink ref="C324" r:id="rId655" display="http://data.eastmoney.com/stockdata/300326.html" xr:uid="{00000000-0004-0000-1100-00008E020000}"/>
    <hyperlink ref="B325" r:id="rId656" display="http://quote.eastmoney.com/002010.html" xr:uid="{00000000-0004-0000-1100-00008F020000}"/>
    <hyperlink ref="C325" r:id="rId657" display="http://data.eastmoney.com/stockdata/002010.html" xr:uid="{00000000-0004-0000-1100-000090020000}"/>
    <hyperlink ref="B326" r:id="rId658" display="http://quote.eastmoney.com/600339.html" xr:uid="{00000000-0004-0000-1100-000091020000}"/>
    <hyperlink ref="C326" r:id="rId659" display="http://data.eastmoney.com/stockdata/600339.html" xr:uid="{00000000-0004-0000-1100-000092020000}"/>
    <hyperlink ref="B327" r:id="rId660" display="http://quote.eastmoney.com/002353.html" xr:uid="{00000000-0004-0000-1100-000093020000}"/>
    <hyperlink ref="C327" r:id="rId661" display="http://data.eastmoney.com/stockdata/002353.html" xr:uid="{00000000-0004-0000-1100-000094020000}"/>
    <hyperlink ref="B328" r:id="rId662" display="http://quote.eastmoney.com/300365.html" xr:uid="{00000000-0004-0000-1100-000095020000}"/>
    <hyperlink ref="C328" r:id="rId663" display="http://data.eastmoney.com/stockdata/300365.html" xr:uid="{00000000-0004-0000-1100-000096020000}"/>
    <hyperlink ref="B329" r:id="rId664" display="http://quote.eastmoney.com/300033.html" xr:uid="{00000000-0004-0000-1100-000097020000}"/>
    <hyperlink ref="C329" r:id="rId665" display="http://data.eastmoney.com/stockdata/300033.html" xr:uid="{00000000-0004-0000-1100-000098020000}"/>
    <hyperlink ref="B330" r:id="rId666" display="http://quote.eastmoney.com/603659.html" xr:uid="{00000000-0004-0000-1100-000099020000}"/>
    <hyperlink ref="C330" r:id="rId667" display="http://data.eastmoney.com/stockdata/603659.html" xr:uid="{00000000-0004-0000-1100-00009A020000}"/>
    <hyperlink ref="B331" r:id="rId668" display="http://quote.eastmoney.com/002063.html" xr:uid="{00000000-0004-0000-1100-00009B020000}"/>
    <hyperlink ref="C331" r:id="rId669" display="http://data.eastmoney.com/stockdata/002063.html" xr:uid="{00000000-0004-0000-1100-00009C020000}"/>
    <hyperlink ref="B332" r:id="rId670" display="http://quote.eastmoney.com/002669.html" xr:uid="{00000000-0004-0000-1100-00009D020000}"/>
    <hyperlink ref="C332" r:id="rId671" display="http://data.eastmoney.com/stockdata/002669.html" xr:uid="{00000000-0004-0000-1100-00009E020000}"/>
    <hyperlink ref="B333" r:id="rId672" display="http://quote.eastmoney.com/603359.html" xr:uid="{00000000-0004-0000-1100-00009F020000}"/>
    <hyperlink ref="C333" r:id="rId673" display="http://data.eastmoney.com/stockdata/603359.html" xr:uid="{00000000-0004-0000-1100-0000A0020000}"/>
    <hyperlink ref="B334" r:id="rId674" display="http://quote.eastmoney.com/000970.html" xr:uid="{00000000-0004-0000-1100-0000A1020000}"/>
    <hyperlink ref="C334" r:id="rId675" display="http://data.eastmoney.com/stockdata/000970.html" xr:uid="{00000000-0004-0000-1100-0000A2020000}"/>
    <hyperlink ref="B335" r:id="rId676" display="http://quote.eastmoney.com/603305.html" xr:uid="{00000000-0004-0000-1100-0000A3020000}"/>
    <hyperlink ref="C335" r:id="rId677" display="http://data.eastmoney.com/stockdata/603305.html" xr:uid="{00000000-0004-0000-1100-0000A4020000}"/>
    <hyperlink ref="B336" r:id="rId678" display="http://quote.eastmoney.com/000600.html" xr:uid="{00000000-0004-0000-1100-0000A5020000}"/>
    <hyperlink ref="C336" r:id="rId679" display="http://data.eastmoney.com/stockdata/000600.html" xr:uid="{00000000-0004-0000-1100-0000A6020000}"/>
    <hyperlink ref="B337" r:id="rId680" display="http://quote.eastmoney.com/300451.html" xr:uid="{00000000-0004-0000-1100-0000A7020000}"/>
    <hyperlink ref="C337" r:id="rId681" display="http://data.eastmoney.com/stockdata/300451.html" xr:uid="{00000000-0004-0000-1100-0000A8020000}"/>
    <hyperlink ref="B338" r:id="rId682" display="http://quote.eastmoney.com/300422.html" xr:uid="{00000000-0004-0000-1100-0000A9020000}"/>
    <hyperlink ref="C338" r:id="rId683" display="http://data.eastmoney.com/stockdata/300422.html" xr:uid="{00000000-0004-0000-1100-0000AA020000}"/>
    <hyperlink ref="B339" r:id="rId684" display="http://quote.eastmoney.com/002812.html" xr:uid="{00000000-0004-0000-1100-0000AB020000}"/>
    <hyperlink ref="C339" r:id="rId685" display="http://data.eastmoney.com/stockdata/002812.html" xr:uid="{00000000-0004-0000-1100-0000AC020000}"/>
    <hyperlink ref="B340" r:id="rId686" display="http://quote.eastmoney.com/600340.html" xr:uid="{00000000-0004-0000-1100-0000AD020000}"/>
    <hyperlink ref="C340" r:id="rId687" display="http://data.eastmoney.com/stockdata/600340.html" xr:uid="{00000000-0004-0000-1100-0000AE020000}"/>
    <hyperlink ref="B341" r:id="rId688" display="http://quote.eastmoney.com/600884.html" xr:uid="{00000000-0004-0000-1100-0000AF020000}"/>
    <hyperlink ref="C341" r:id="rId689" display="http://data.eastmoney.com/stockdata/600884.html" xr:uid="{00000000-0004-0000-1100-0000B0020000}"/>
    <hyperlink ref="B342" r:id="rId690" display="http://quote.eastmoney.com/002463.html" xr:uid="{00000000-0004-0000-1100-0000B1020000}"/>
    <hyperlink ref="C342" r:id="rId691" display="http://data.eastmoney.com/stockdata/002463.html" xr:uid="{00000000-0004-0000-1100-0000B2020000}"/>
    <hyperlink ref="B343" r:id="rId692" display="http://quote.eastmoney.com/600276.html" xr:uid="{00000000-0004-0000-1100-0000B3020000}"/>
    <hyperlink ref="C343" r:id="rId693" display="http://data.eastmoney.com/stockdata/600276.html" xr:uid="{00000000-0004-0000-1100-0000B4020000}"/>
    <hyperlink ref="B344" r:id="rId694" display="http://quote.eastmoney.com/000547.html" xr:uid="{00000000-0004-0000-1100-0000B5020000}"/>
    <hyperlink ref="C344" r:id="rId695" display="http://data.eastmoney.com/stockdata/000547.html" xr:uid="{00000000-0004-0000-1100-0000B6020000}"/>
    <hyperlink ref="B345" r:id="rId696" display="http://quote.eastmoney.com/300130.html" xr:uid="{00000000-0004-0000-1100-0000B7020000}"/>
    <hyperlink ref="C345" r:id="rId697" display="http://data.eastmoney.com/stockdata/300130.html" xr:uid="{00000000-0004-0000-1100-0000B8020000}"/>
    <hyperlink ref="B346" r:id="rId698" display="http://quote.eastmoney.com/300012.html" xr:uid="{00000000-0004-0000-1100-0000B9020000}"/>
    <hyperlink ref="C346" r:id="rId699" display="http://data.eastmoney.com/stockdata/300012.html" xr:uid="{00000000-0004-0000-1100-0000BA020000}"/>
    <hyperlink ref="B347" r:id="rId700" display="http://quote.eastmoney.com/300783.html" xr:uid="{00000000-0004-0000-1100-0000BB020000}"/>
    <hyperlink ref="C347" r:id="rId701" display="http://data.eastmoney.com/stockdata/300783.html" xr:uid="{00000000-0004-0000-1100-0000BC020000}"/>
    <hyperlink ref="B348" r:id="rId702" display="http://quote.eastmoney.com/603711.html" xr:uid="{00000000-0004-0000-1100-0000BD020000}"/>
    <hyperlink ref="C348" r:id="rId703" display="http://data.eastmoney.com/stockdata/603711.html" xr:uid="{00000000-0004-0000-1100-0000BE020000}"/>
    <hyperlink ref="B349" r:id="rId704" display="http://quote.eastmoney.com/603699.html" xr:uid="{00000000-0004-0000-1100-0000BF020000}"/>
    <hyperlink ref="C349" r:id="rId705" display="http://data.eastmoney.com/stockdata/603699.html" xr:uid="{00000000-0004-0000-1100-0000C0020000}"/>
    <hyperlink ref="B350" r:id="rId706" display="http://quote.eastmoney.com/000063.html" xr:uid="{00000000-0004-0000-1100-0000C1020000}"/>
    <hyperlink ref="C350" r:id="rId707" display="http://data.eastmoney.com/stockdata/000063.html" xr:uid="{00000000-0004-0000-1100-0000C2020000}"/>
    <hyperlink ref="B351" r:id="rId708" display="http://quote.eastmoney.com/000034.html" xr:uid="{00000000-0004-0000-1100-0000C3020000}"/>
    <hyperlink ref="C351" r:id="rId709" display="http://data.eastmoney.com/stockdata/000034.html" xr:uid="{00000000-0004-0000-1100-0000C4020000}"/>
    <hyperlink ref="B352" r:id="rId710" display="http://quote.eastmoney.com/603181.html" xr:uid="{00000000-0004-0000-1100-0000C5020000}"/>
    <hyperlink ref="C352" r:id="rId711" display="http://data.eastmoney.com/stockdata/603181.html" xr:uid="{00000000-0004-0000-1100-0000C6020000}"/>
    <hyperlink ref="B353" r:id="rId712" display="http://quote.eastmoney.com/603228.html" xr:uid="{00000000-0004-0000-1100-0000C7020000}"/>
    <hyperlink ref="C353" r:id="rId713" display="http://data.eastmoney.com/stockdata/603228.html" xr:uid="{00000000-0004-0000-1100-0000C8020000}"/>
    <hyperlink ref="B354" r:id="rId714" display="http://quote.eastmoney.com/603916.html" xr:uid="{00000000-0004-0000-1100-0000C9020000}"/>
    <hyperlink ref="C354" r:id="rId715" display="http://data.eastmoney.com/stockdata/603916.html" xr:uid="{00000000-0004-0000-1100-0000CA020000}"/>
    <hyperlink ref="B355" r:id="rId716" display="http://quote.eastmoney.com/300628.html" xr:uid="{00000000-0004-0000-1100-0000CB020000}"/>
    <hyperlink ref="C355" r:id="rId717" display="http://data.eastmoney.com/stockdata/300628.html" xr:uid="{00000000-0004-0000-1100-0000CC020000}"/>
    <hyperlink ref="B356" r:id="rId718" display="http://quote.eastmoney.com/300124.html" xr:uid="{00000000-0004-0000-1100-0000CD020000}"/>
    <hyperlink ref="C356" r:id="rId719" display="http://data.eastmoney.com/stockdata/300124.html" xr:uid="{00000000-0004-0000-1100-0000CE020000}"/>
    <hyperlink ref="B357" r:id="rId720" display="http://quote.eastmoney.com/002832.html" xr:uid="{00000000-0004-0000-1100-0000CF020000}"/>
    <hyperlink ref="C357" r:id="rId721" display="http://data.eastmoney.com/stockdata/002832.html" xr:uid="{00000000-0004-0000-1100-0000D0020000}"/>
    <hyperlink ref="B358" r:id="rId722" display="http://quote.eastmoney.com/300633.html" xr:uid="{00000000-0004-0000-1100-0000D1020000}"/>
    <hyperlink ref="C358" r:id="rId723" display="http://data.eastmoney.com/stockdata/300633.html" xr:uid="{00000000-0004-0000-1100-0000D2020000}"/>
    <hyperlink ref="B359" r:id="rId724" display="http://quote.eastmoney.com/000826.html" xr:uid="{00000000-0004-0000-1100-0000D3020000}"/>
    <hyperlink ref="C359" r:id="rId725" display="http://data.eastmoney.com/stockdata/000826.html" xr:uid="{00000000-0004-0000-1100-0000D4020000}"/>
    <hyperlink ref="B360" r:id="rId726" display="http://quote.eastmoney.com/603601.html" xr:uid="{00000000-0004-0000-1100-0000D5020000}"/>
    <hyperlink ref="C360" r:id="rId727" display="http://data.eastmoney.com/stockdata/603601.html" xr:uid="{00000000-0004-0000-1100-0000D6020000}"/>
    <hyperlink ref="B361" r:id="rId728" display="http://quote.eastmoney.com/002405.html" xr:uid="{00000000-0004-0000-1100-0000D7020000}"/>
    <hyperlink ref="C361" r:id="rId729" display="http://data.eastmoney.com/stockdata/002405.html" xr:uid="{00000000-0004-0000-1100-0000D8020000}"/>
    <hyperlink ref="B362" r:id="rId730" display="http://quote.eastmoney.com/300394.html" xr:uid="{00000000-0004-0000-1100-0000D9020000}"/>
    <hyperlink ref="C362" r:id="rId731" display="http://data.eastmoney.com/stockdata/300394.html" xr:uid="{00000000-0004-0000-1100-0000DA020000}"/>
    <hyperlink ref="B363" r:id="rId732" display="http://quote.eastmoney.com/002675.html" xr:uid="{00000000-0004-0000-1100-0000DB020000}"/>
    <hyperlink ref="C363" r:id="rId733" display="http://data.eastmoney.com/stockdata/002675.html" xr:uid="{00000000-0004-0000-1100-0000DC020000}"/>
    <hyperlink ref="B364" r:id="rId734" display="http://quote.eastmoney.com/603678.html" xr:uid="{00000000-0004-0000-1100-0000DD020000}"/>
    <hyperlink ref="C364" r:id="rId735" display="http://data.eastmoney.com/stockdata/603678.html" xr:uid="{00000000-0004-0000-1100-0000DE020000}"/>
    <hyperlink ref="B365" r:id="rId736" display="http://quote.eastmoney.com/603887.html" xr:uid="{00000000-0004-0000-1100-0000DF020000}"/>
    <hyperlink ref="C365" r:id="rId737" display="http://data.eastmoney.com/stockdata/603887.html" xr:uid="{00000000-0004-0000-1100-0000E0020000}"/>
    <hyperlink ref="B366" r:id="rId738" display="http://quote.eastmoney.com/000008.html" xr:uid="{00000000-0004-0000-1100-0000E1020000}"/>
    <hyperlink ref="C366" r:id="rId739" display="http://data.eastmoney.com/stockdata/000008.html" xr:uid="{00000000-0004-0000-1100-0000E2020000}"/>
    <hyperlink ref="B367" r:id="rId740" display="http://quote.eastmoney.com/300755.html" xr:uid="{00000000-0004-0000-1100-0000E3020000}"/>
    <hyperlink ref="C367" r:id="rId741" display="http://data.eastmoney.com/stockdata/300755.html" xr:uid="{00000000-0004-0000-1100-0000E4020000}"/>
    <hyperlink ref="B368" r:id="rId742" display="http://quote.eastmoney.com/300568.html" xr:uid="{00000000-0004-0000-1100-0000E5020000}"/>
    <hyperlink ref="C368" r:id="rId743" display="http://data.eastmoney.com/stockdata/300568.html" xr:uid="{00000000-0004-0000-1100-0000E6020000}"/>
    <hyperlink ref="B369" r:id="rId744" display="http://quote.eastmoney.com/603197.html" xr:uid="{00000000-0004-0000-1100-0000E7020000}"/>
    <hyperlink ref="C369" r:id="rId745" display="http://data.eastmoney.com/stockdata/603197.html" xr:uid="{00000000-0004-0000-1100-0000E8020000}"/>
    <hyperlink ref="B370" r:id="rId746" display="http://quote.eastmoney.com/002409.html" xr:uid="{00000000-0004-0000-1100-0000E9020000}"/>
    <hyperlink ref="C370" r:id="rId747" display="http://data.eastmoney.com/stockdata/002409.html" xr:uid="{00000000-0004-0000-1100-0000EA020000}"/>
    <hyperlink ref="B371" r:id="rId748" display="http://quote.eastmoney.com/300481.html" xr:uid="{00000000-0004-0000-1100-0000EB020000}"/>
    <hyperlink ref="C371" r:id="rId749" display="http://data.eastmoney.com/stockdata/300481.html" xr:uid="{00000000-0004-0000-1100-0000EC020000}"/>
    <hyperlink ref="B372" r:id="rId750" display="http://quote.eastmoney.com/000733.html" xr:uid="{00000000-0004-0000-1100-0000ED020000}"/>
    <hyperlink ref="C372" r:id="rId751" display="http://data.eastmoney.com/stockdata/000733.html" xr:uid="{00000000-0004-0000-1100-0000EE020000}"/>
    <hyperlink ref="B373" r:id="rId752" display="http://quote.eastmoney.com/002968.html" xr:uid="{00000000-0004-0000-1100-0000EF020000}"/>
    <hyperlink ref="C373" r:id="rId753" display="http://data.eastmoney.com/stockdata/002968.html" xr:uid="{00000000-0004-0000-1100-0000F0020000}"/>
    <hyperlink ref="B374" r:id="rId754" display="http://quote.eastmoney.com/002968.html" xr:uid="{00000000-0004-0000-1100-0000F1020000}"/>
    <hyperlink ref="C374" r:id="rId755" display="http://data.eastmoney.com/stockdata/002968.html" xr:uid="{00000000-0004-0000-1100-0000F2020000}"/>
    <hyperlink ref="B375" r:id="rId756" display="http://quote.eastmoney.com/603267.html" xr:uid="{00000000-0004-0000-1100-0000F3020000}"/>
    <hyperlink ref="C375" r:id="rId757" display="http://data.eastmoney.com/stockdata/603267.html" xr:uid="{00000000-0004-0000-1100-0000F4020000}"/>
    <hyperlink ref="B376" r:id="rId758" display="http://quote.eastmoney.com/300232.html" xr:uid="{00000000-0004-0000-1100-0000F5020000}"/>
    <hyperlink ref="C376" r:id="rId759" display="http://data.eastmoney.com/stockdata/300232.html" xr:uid="{00000000-0004-0000-1100-0000F6020000}"/>
    <hyperlink ref="B377" r:id="rId760" display="http://quote.eastmoney.com/600438.html" xr:uid="{00000000-0004-0000-1100-0000F7020000}"/>
    <hyperlink ref="C377" r:id="rId761" display="http://data.eastmoney.com/stockdata/600438.html" xr:uid="{00000000-0004-0000-1100-0000F8020000}"/>
    <hyperlink ref="B378" r:id="rId762" display="http://quote.eastmoney.com/603259.html" xr:uid="{00000000-0004-0000-1100-0000F9020000}"/>
    <hyperlink ref="C378" r:id="rId763" display="http://data.eastmoney.com/stockdata/603259.html" xr:uid="{00000000-0004-0000-1100-0000FA020000}"/>
    <hyperlink ref="B379" r:id="rId764" display="http://quote.eastmoney.com/002803.html" xr:uid="{00000000-0004-0000-1100-0000FB020000}"/>
    <hyperlink ref="C379" r:id="rId765" display="http://data.eastmoney.com/stockdata/002803.html" xr:uid="{00000000-0004-0000-1100-0000FC020000}"/>
    <hyperlink ref="B380" r:id="rId766" display="http://quote.eastmoney.com/300119.html" xr:uid="{00000000-0004-0000-1100-0000FD020000}"/>
    <hyperlink ref="C380" r:id="rId767" display="http://data.eastmoney.com/stockdata/300119.html" xr:uid="{00000000-0004-0000-1100-0000FE020000}"/>
    <hyperlink ref="B381" r:id="rId768" display="http://quote.eastmoney.com/603039.html" xr:uid="{00000000-0004-0000-1100-0000FF020000}"/>
    <hyperlink ref="C381" r:id="rId769" display="http://data.eastmoney.com/stockdata/603039.html" xr:uid="{00000000-0004-0000-1100-000000030000}"/>
    <hyperlink ref="B382" r:id="rId770" display="http://quote.eastmoney.com/300662.html" xr:uid="{00000000-0004-0000-1100-000001030000}"/>
    <hyperlink ref="C382" r:id="rId771" display="http://data.eastmoney.com/stockdata/300662.html" xr:uid="{00000000-0004-0000-1100-000002030000}"/>
    <hyperlink ref="B383" r:id="rId772" display="http://quote.eastmoney.com/600325.html" xr:uid="{00000000-0004-0000-1100-000003030000}"/>
    <hyperlink ref="C383" r:id="rId773" display="http://data.eastmoney.com/stockdata/600325.html" xr:uid="{00000000-0004-0000-1100-000004030000}"/>
    <hyperlink ref="B384" r:id="rId774" display="http://quote.eastmoney.com/002332.html" xr:uid="{00000000-0004-0000-1100-000005030000}"/>
    <hyperlink ref="C384" r:id="rId775" display="http://data.eastmoney.com/stockdata/002332.html" xr:uid="{00000000-0004-0000-1100-000006030000}"/>
    <hyperlink ref="B385" r:id="rId776" display="http://quote.eastmoney.com/002798.html" xr:uid="{00000000-0004-0000-1100-000007030000}"/>
    <hyperlink ref="C385" r:id="rId777" display="http://data.eastmoney.com/stockdata/002798.html" xr:uid="{00000000-0004-0000-1100-000008030000}"/>
    <hyperlink ref="B386" r:id="rId778" display="http://quote.eastmoney.com/300537.html" xr:uid="{00000000-0004-0000-1100-000009030000}"/>
    <hyperlink ref="C386" r:id="rId779" display="http://data.eastmoney.com/stockdata/300537.html" xr:uid="{00000000-0004-0000-1100-00000A030000}"/>
    <hyperlink ref="B387" r:id="rId780" display="http://quote.eastmoney.com/002340.html" xr:uid="{00000000-0004-0000-1100-00000B030000}"/>
    <hyperlink ref="C387" r:id="rId781" display="http://data.eastmoney.com/stockdata/002340.html" xr:uid="{00000000-0004-0000-1100-00000C030000}"/>
    <hyperlink ref="B388" r:id="rId782" display="http://quote.eastmoney.com/002599.html" xr:uid="{00000000-0004-0000-1100-00000D030000}"/>
    <hyperlink ref="C388" r:id="rId783" display="http://data.eastmoney.com/stockdata/002599.html" xr:uid="{00000000-0004-0000-1100-00000E030000}"/>
    <hyperlink ref="B389" r:id="rId784" display="http://quote.eastmoney.com/600060.html" xr:uid="{00000000-0004-0000-1100-00000F030000}"/>
    <hyperlink ref="C389" r:id="rId785" display="http://data.eastmoney.com/stockdata/600060.html" xr:uid="{00000000-0004-0000-1100-000010030000}"/>
    <hyperlink ref="B390" r:id="rId786" display="http://quote.eastmoney.com/603208.html" xr:uid="{00000000-0004-0000-1100-000011030000}"/>
    <hyperlink ref="C390" r:id="rId787" display="http://data.eastmoney.com/stockdata/603208.html" xr:uid="{00000000-0004-0000-1100-000012030000}"/>
    <hyperlink ref="B391" r:id="rId788" display="http://quote.eastmoney.com/002443.html" xr:uid="{00000000-0004-0000-1100-000013030000}"/>
    <hyperlink ref="C391" r:id="rId789" display="http://data.eastmoney.com/stockdata/002443.html" xr:uid="{00000000-0004-0000-1100-000014030000}"/>
    <hyperlink ref="B392" r:id="rId790" display="http://quote.eastmoney.com/002115.html" xr:uid="{00000000-0004-0000-1100-000015030000}"/>
    <hyperlink ref="C392" r:id="rId791" display="http://data.eastmoney.com/stockdata/002115.html" xr:uid="{00000000-0004-0000-1100-000016030000}"/>
    <hyperlink ref="B393" r:id="rId792" display="http://quote.eastmoney.com/000938.html" xr:uid="{00000000-0004-0000-1100-000017030000}"/>
    <hyperlink ref="C393" r:id="rId793" display="http://data.eastmoney.com/stockdata/000938.html" xr:uid="{00000000-0004-0000-1100-000018030000}"/>
    <hyperlink ref="B394" r:id="rId794" display="http://quote.eastmoney.com/603825.html" xr:uid="{00000000-0004-0000-1100-000019030000}"/>
    <hyperlink ref="C394" r:id="rId795" display="http://data.eastmoney.com/stockdata/603825.html" xr:uid="{00000000-0004-0000-1100-00001A030000}"/>
    <hyperlink ref="B395" r:id="rId796" display="http://quote.eastmoney.com/300088.html" xr:uid="{00000000-0004-0000-1100-00001B030000}"/>
    <hyperlink ref="C395" r:id="rId797" display="http://data.eastmoney.com/stockdata/300088.html" xr:uid="{00000000-0004-0000-1100-00001C030000}"/>
    <hyperlink ref="B396" r:id="rId798" display="http://quote.eastmoney.com/600636.html" xr:uid="{00000000-0004-0000-1100-00001D030000}"/>
    <hyperlink ref="C396" r:id="rId799" display="http://data.eastmoney.com/stockdata/600636.html" xr:uid="{00000000-0004-0000-1100-00001E030000}"/>
    <hyperlink ref="B397" r:id="rId800" display="http://quote.eastmoney.com/603990.html" xr:uid="{00000000-0004-0000-1100-00001F030000}"/>
    <hyperlink ref="C397" r:id="rId801" display="http://data.eastmoney.com/stockdata/603990.html" xr:uid="{00000000-0004-0000-1100-000020030000}"/>
    <hyperlink ref="B398" r:id="rId802" display="http://quote.eastmoney.com/603990.html" xr:uid="{00000000-0004-0000-1100-000021030000}"/>
    <hyperlink ref="C398" r:id="rId803" display="http://data.eastmoney.com/stockdata/603990.html" xr:uid="{00000000-0004-0000-1100-000022030000}"/>
    <hyperlink ref="B399" r:id="rId804" display="http://quote.eastmoney.com/600055.html" xr:uid="{00000000-0004-0000-1100-000023030000}"/>
    <hyperlink ref="C399" r:id="rId805" display="http://data.eastmoney.com/stockdata/600055.html" xr:uid="{00000000-0004-0000-1100-000024030000}"/>
    <hyperlink ref="B400" r:id="rId806" display="http://quote.eastmoney.com/601012.html" xr:uid="{00000000-0004-0000-1100-000025030000}"/>
    <hyperlink ref="C400" r:id="rId807" display="http://data.eastmoney.com/stockdata/601012.html" xr:uid="{00000000-0004-0000-1100-000026030000}"/>
    <hyperlink ref="B401" r:id="rId808" display="http://quote.eastmoney.com/603700.html" xr:uid="{00000000-0004-0000-1100-000027030000}"/>
    <hyperlink ref="C401" r:id="rId809" display="http://data.eastmoney.com/stockdata/603700.html" xr:uid="{00000000-0004-0000-1100-000028030000}"/>
    <hyperlink ref="B402" r:id="rId810" display="http://quote.eastmoney.com/002367.html" xr:uid="{00000000-0004-0000-1100-000029030000}"/>
    <hyperlink ref="C402" r:id="rId811" display="http://data.eastmoney.com/stockdata/002367.html" xr:uid="{00000000-0004-0000-1100-00002A030000}"/>
    <hyperlink ref="B403" r:id="rId812" display="http://quote.eastmoney.com/002367.html" xr:uid="{00000000-0004-0000-1100-00002B030000}"/>
    <hyperlink ref="C403" r:id="rId813" display="http://data.eastmoney.com/stockdata/002367.html" xr:uid="{00000000-0004-0000-1100-00002C030000}"/>
    <hyperlink ref="B404" r:id="rId814" display="http://quote.eastmoney.com/300339.html" xr:uid="{00000000-0004-0000-1100-00002D030000}"/>
    <hyperlink ref="C404" r:id="rId815" display="http://data.eastmoney.com/stockdata/300339.html" xr:uid="{00000000-0004-0000-1100-00002E030000}"/>
    <hyperlink ref="B405" r:id="rId816" display="http://quote.eastmoney.com/300470.html" xr:uid="{00000000-0004-0000-1100-00002F030000}"/>
    <hyperlink ref="C405" r:id="rId817" display="http://data.eastmoney.com/stockdata/300470.html" xr:uid="{00000000-0004-0000-1100-000030030000}"/>
    <hyperlink ref="B406" r:id="rId818" display="http://quote.eastmoney.com/002901.html" xr:uid="{00000000-0004-0000-1100-000031030000}"/>
    <hyperlink ref="C406" r:id="rId819" display="http://data.eastmoney.com/stockdata/002901.html" xr:uid="{00000000-0004-0000-1100-000032030000}"/>
    <hyperlink ref="B407" r:id="rId820" display="http://quote.eastmoney.com/002901.html" xr:uid="{00000000-0004-0000-1100-000033030000}"/>
    <hyperlink ref="C407" r:id="rId821" display="http://data.eastmoney.com/stockdata/002901.html" xr:uid="{00000000-0004-0000-1100-000034030000}"/>
    <hyperlink ref="B408" r:id="rId822" display="http://quote.eastmoney.com/603885.html" xr:uid="{00000000-0004-0000-1100-000035030000}"/>
    <hyperlink ref="C408" r:id="rId823" display="http://data.eastmoney.com/stockdata/603885.html" xr:uid="{00000000-0004-0000-1100-000036030000}"/>
    <hyperlink ref="B409" r:id="rId824" display="http://quote.eastmoney.com/002841.html" xr:uid="{00000000-0004-0000-1100-000037030000}"/>
    <hyperlink ref="C409" r:id="rId825" display="http://data.eastmoney.com/stockdata/002841.html" xr:uid="{00000000-0004-0000-1100-000038030000}"/>
    <hyperlink ref="B410" r:id="rId826" display="http://quote.eastmoney.com/002531.html" xr:uid="{00000000-0004-0000-1100-000039030000}"/>
    <hyperlink ref="C410" r:id="rId827" display="http://data.eastmoney.com/stockdata/002531.html" xr:uid="{00000000-0004-0000-1100-00003A030000}"/>
    <hyperlink ref="B411" r:id="rId828" display="http://quote.eastmoney.com/603317.html" xr:uid="{00000000-0004-0000-1100-00003B030000}"/>
    <hyperlink ref="C411" r:id="rId829" display="http://data.eastmoney.com/stockdata/603317.html" xr:uid="{00000000-0004-0000-1100-00003C030000}"/>
    <hyperlink ref="B412" r:id="rId830" display="http://quote.eastmoney.com/600845.html" xr:uid="{00000000-0004-0000-1100-00003D030000}"/>
    <hyperlink ref="C412" r:id="rId831" display="http://data.eastmoney.com/stockdata/600845.html" xr:uid="{00000000-0004-0000-1100-00003E030000}"/>
    <hyperlink ref="B413" r:id="rId832" display="http://quote.eastmoney.com/300014.html" xr:uid="{00000000-0004-0000-1100-00003F030000}"/>
    <hyperlink ref="C413" r:id="rId833" display="http://data.eastmoney.com/stockdata/300014.html" xr:uid="{00000000-0004-0000-1100-000040030000}"/>
    <hyperlink ref="B414" r:id="rId834" display="http://quote.eastmoney.com/603611.html" xr:uid="{00000000-0004-0000-1100-000041030000}"/>
    <hyperlink ref="C414" r:id="rId835" display="http://data.eastmoney.com/stockdata/603611.html" xr:uid="{00000000-0004-0000-1100-000042030000}"/>
    <hyperlink ref="B415" r:id="rId836" display="http://quote.eastmoney.com/603158.html" xr:uid="{00000000-0004-0000-1100-000043030000}"/>
    <hyperlink ref="C415" r:id="rId837" display="http://data.eastmoney.com/stockdata/603158.html" xr:uid="{00000000-0004-0000-1100-000044030000}"/>
    <hyperlink ref="B416" r:id="rId838" display="http://quote.eastmoney.com/300327.html" xr:uid="{00000000-0004-0000-1100-000045030000}"/>
    <hyperlink ref="C416" r:id="rId839" display="http://data.eastmoney.com/stockdata/300327.html" xr:uid="{00000000-0004-0000-1100-000046030000}"/>
    <hyperlink ref="B417" r:id="rId840" display="http://quote.eastmoney.com/002212.html" xr:uid="{00000000-0004-0000-1100-000047030000}"/>
    <hyperlink ref="C417" r:id="rId841" display="http://data.eastmoney.com/stockdata/002212.html" xr:uid="{00000000-0004-0000-1100-000048030000}"/>
    <hyperlink ref="B418" r:id="rId842" display="http://quote.eastmoney.com/000656.html" xr:uid="{00000000-0004-0000-1100-000049030000}"/>
    <hyperlink ref="C418" r:id="rId843" display="http://data.eastmoney.com/stockdata/000656.html" xr:uid="{00000000-0004-0000-1100-00004A030000}"/>
    <hyperlink ref="B419" r:id="rId844" display="http://quote.eastmoney.com/601231.html" xr:uid="{00000000-0004-0000-1100-00004B030000}"/>
    <hyperlink ref="C419" r:id="rId845" display="http://data.eastmoney.com/stockdata/601231.html" xr:uid="{00000000-0004-0000-1100-00004C030000}"/>
    <hyperlink ref="B420" r:id="rId846" display="http://quote.eastmoney.com/600578.html" xr:uid="{00000000-0004-0000-1100-00004D030000}"/>
    <hyperlink ref="C420" r:id="rId847" display="http://data.eastmoney.com/stockdata/600578.html" xr:uid="{00000000-0004-0000-1100-00004E030000}"/>
    <hyperlink ref="B421" r:id="rId848" display="http://quote.eastmoney.com/600436.html" xr:uid="{00000000-0004-0000-1100-00004F030000}"/>
    <hyperlink ref="C421" r:id="rId849" display="http://data.eastmoney.com/stockdata/600436.html" xr:uid="{00000000-0004-0000-1100-000050030000}"/>
    <hyperlink ref="B422" r:id="rId850" display="http://quote.eastmoney.com/600771.html" xr:uid="{00000000-0004-0000-1100-000051030000}"/>
    <hyperlink ref="C422" r:id="rId851" display="http://data.eastmoney.com/stockdata/600771.html" xr:uid="{00000000-0004-0000-1100-000052030000}"/>
    <hyperlink ref="B423" r:id="rId852" display="http://quote.eastmoney.com/603027.html" xr:uid="{00000000-0004-0000-1100-000053030000}"/>
    <hyperlink ref="C423" r:id="rId853" display="http://data.eastmoney.com/stockdata/603027.html" xr:uid="{00000000-0004-0000-1100-000054030000}"/>
    <hyperlink ref="B424" r:id="rId854" display="http://quote.eastmoney.com/300166.html" xr:uid="{00000000-0004-0000-1100-000055030000}"/>
    <hyperlink ref="C424" r:id="rId855" display="http://data.eastmoney.com/stockdata/300166.html" xr:uid="{00000000-0004-0000-1100-000056030000}"/>
    <hyperlink ref="B425" r:id="rId856" display="http://quote.eastmoney.com/603583.html" xr:uid="{00000000-0004-0000-1100-000057030000}"/>
    <hyperlink ref="C425" r:id="rId857" display="http://data.eastmoney.com/stockdata/603583.html" xr:uid="{00000000-0004-0000-1100-000058030000}"/>
    <hyperlink ref="B426" r:id="rId858" display="http://quote.eastmoney.com/603368.html" xr:uid="{00000000-0004-0000-1100-000059030000}"/>
    <hyperlink ref="C426" r:id="rId859" display="http://data.eastmoney.com/stockdata/603368.html" xr:uid="{00000000-0004-0000-1100-00005A030000}"/>
    <hyperlink ref="B427" r:id="rId860" display="http://quote.eastmoney.com/603337.html" xr:uid="{00000000-0004-0000-1100-00005B030000}"/>
    <hyperlink ref="C427" r:id="rId861" display="http://data.eastmoney.com/stockdata/603337.html" xr:uid="{00000000-0004-0000-1100-00005C030000}"/>
    <hyperlink ref="B428" r:id="rId862" display="http://quote.eastmoney.com/000966.html" xr:uid="{00000000-0004-0000-1100-00005D030000}"/>
    <hyperlink ref="C428" r:id="rId863" display="http://data.eastmoney.com/stockdata/000966.html" xr:uid="{00000000-0004-0000-1100-00005E030000}"/>
    <hyperlink ref="B429" r:id="rId864" display="http://quote.eastmoney.com/002271.html" xr:uid="{00000000-0004-0000-1100-00005F030000}"/>
    <hyperlink ref="C429" r:id="rId865" display="http://data.eastmoney.com/stockdata/002271.html" xr:uid="{00000000-0004-0000-1100-000060030000}"/>
    <hyperlink ref="B430" r:id="rId866" display="http://quote.eastmoney.com/300271.html" xr:uid="{00000000-0004-0000-1100-000061030000}"/>
    <hyperlink ref="C430" r:id="rId867" display="http://data.eastmoney.com/stockdata/300271.html" xr:uid="{00000000-0004-0000-1100-000062030000}"/>
    <hyperlink ref="B431" r:id="rId868" display="http://quote.eastmoney.com/002661.html" xr:uid="{00000000-0004-0000-1100-000063030000}"/>
    <hyperlink ref="C431" r:id="rId869" display="http://data.eastmoney.com/stockdata/002661.html" xr:uid="{00000000-0004-0000-1100-000064030000}"/>
    <hyperlink ref="B432" r:id="rId870" display="http://quote.eastmoney.com/600011.html" xr:uid="{00000000-0004-0000-1100-000065030000}"/>
    <hyperlink ref="C432" r:id="rId871" display="http://data.eastmoney.com/stockdata/600011.html" xr:uid="{00000000-0004-0000-1100-000066030000}"/>
    <hyperlink ref="B433" r:id="rId872" display="http://quote.eastmoney.com/603345.html" xr:uid="{00000000-0004-0000-1100-000067030000}"/>
    <hyperlink ref="C433" r:id="rId873" display="http://data.eastmoney.com/stockdata/603345.html" xr:uid="{00000000-0004-0000-1100-000068030000}"/>
    <hyperlink ref="B434" r:id="rId874" display="http://quote.eastmoney.com/601958.html" xr:uid="{00000000-0004-0000-1100-000069030000}"/>
    <hyperlink ref="C434" r:id="rId875" display="http://data.eastmoney.com/stockdata/601958.html" xr:uid="{00000000-0004-0000-1100-00006A030000}"/>
    <hyperlink ref="B435" r:id="rId876" display="http://quote.eastmoney.com/002724.html" xr:uid="{00000000-0004-0000-1100-00006B030000}"/>
    <hyperlink ref="C435" r:id="rId877" display="http://data.eastmoney.com/stockdata/002724.html" xr:uid="{00000000-0004-0000-1100-00006C030000}"/>
    <hyperlink ref="B436" r:id="rId878" display="http://quote.eastmoney.com/300785.html" xr:uid="{00000000-0004-0000-1100-00006D030000}"/>
    <hyperlink ref="C436" r:id="rId879" display="http://data.eastmoney.com/stockdata/300785.html" xr:uid="{00000000-0004-0000-1100-00006E030000}"/>
    <hyperlink ref="B437" r:id="rId880" display="http://quote.eastmoney.com/600529.html" xr:uid="{00000000-0004-0000-1100-00006F030000}"/>
    <hyperlink ref="C437" r:id="rId881" display="http://data.eastmoney.com/stockdata/600529.html" xr:uid="{00000000-0004-0000-1100-000070030000}"/>
    <hyperlink ref="B438" r:id="rId882" display="http://quote.eastmoney.com/000681.html" xr:uid="{00000000-0004-0000-1100-000071030000}"/>
    <hyperlink ref="C438" r:id="rId883" display="http://data.eastmoney.com/stockdata/000681.html" xr:uid="{00000000-0004-0000-1100-000072030000}"/>
    <hyperlink ref="B439" r:id="rId884" display="http://quote.eastmoney.com/300037.html" xr:uid="{00000000-0004-0000-1100-000073030000}"/>
    <hyperlink ref="C439" r:id="rId885" display="http://data.eastmoney.com/stockdata/300037.html" xr:uid="{00000000-0004-0000-1100-000074030000}"/>
    <hyperlink ref="B440" r:id="rId886" display="http://quote.eastmoney.com/601111.html" xr:uid="{00000000-0004-0000-1100-000075030000}"/>
    <hyperlink ref="C440" r:id="rId887" display="http://data.eastmoney.com/stockdata/601111.html" xr:uid="{00000000-0004-0000-1100-000076030000}"/>
    <hyperlink ref="B441" r:id="rId888" display="http://quote.eastmoney.com/300388.html" xr:uid="{00000000-0004-0000-1100-000077030000}"/>
    <hyperlink ref="C441" r:id="rId889" display="http://data.eastmoney.com/stockdata/300388.html" xr:uid="{00000000-0004-0000-1100-000078030000}"/>
    <hyperlink ref="B442" r:id="rId890" display="http://quote.eastmoney.com/300463.html" xr:uid="{00000000-0004-0000-1100-000079030000}"/>
    <hyperlink ref="C442" r:id="rId891" display="http://data.eastmoney.com/stockdata/300463.html" xr:uid="{00000000-0004-0000-1100-00007A030000}"/>
    <hyperlink ref="B443" r:id="rId892" display="http://quote.eastmoney.com/600183.html" xr:uid="{00000000-0004-0000-1100-00007B030000}"/>
    <hyperlink ref="C443" r:id="rId893" display="http://data.eastmoney.com/stockdata/600183.html" xr:uid="{00000000-0004-0000-1100-00007C030000}"/>
    <hyperlink ref="B444" r:id="rId894" display="http://quote.eastmoney.com/002065.html" xr:uid="{00000000-0004-0000-1100-00007D030000}"/>
    <hyperlink ref="C444" r:id="rId895" display="http://data.eastmoney.com/stockdata/002065.html" xr:uid="{00000000-0004-0000-1100-00007E030000}"/>
    <hyperlink ref="B445" r:id="rId896" display="http://quote.eastmoney.com/002568.html" xr:uid="{00000000-0004-0000-1100-00007F030000}"/>
    <hyperlink ref="C445" r:id="rId897" display="http://data.eastmoney.com/stockdata/002568.html" xr:uid="{00000000-0004-0000-1100-000080030000}"/>
    <hyperlink ref="B446" r:id="rId898" display="http://quote.eastmoney.com/002568.html" xr:uid="{00000000-0004-0000-1100-000081030000}"/>
    <hyperlink ref="C446" r:id="rId899" display="http://data.eastmoney.com/stockdata/002568.html" xr:uid="{00000000-0004-0000-1100-000082030000}"/>
    <hyperlink ref="B447" r:id="rId900" display="http://quote.eastmoney.com/603966.html" xr:uid="{00000000-0004-0000-1100-000083030000}"/>
    <hyperlink ref="C447" r:id="rId901" display="http://data.eastmoney.com/stockdata/603966.html" xr:uid="{00000000-0004-0000-1100-000084030000}"/>
    <hyperlink ref="B448" r:id="rId902" display="http://quote.eastmoney.com/601799.html" xr:uid="{00000000-0004-0000-1100-000085030000}"/>
    <hyperlink ref="C448" r:id="rId903" display="http://data.eastmoney.com/stockdata/601799.html" xr:uid="{00000000-0004-0000-1100-000086030000}"/>
    <hyperlink ref="B449" r:id="rId904" display="http://quote.eastmoney.com/000543.html" xr:uid="{00000000-0004-0000-1100-000087030000}"/>
    <hyperlink ref="C449" r:id="rId905" display="http://data.eastmoney.com/stockdata/000543.html" xr:uid="{00000000-0004-0000-1100-000088030000}"/>
    <hyperlink ref="B450" r:id="rId906" display="http://quote.eastmoney.com/300445.html" xr:uid="{00000000-0004-0000-1100-000089030000}"/>
    <hyperlink ref="C450" r:id="rId907" display="http://data.eastmoney.com/stockdata/300445.html" xr:uid="{00000000-0004-0000-1100-00008A030000}"/>
    <hyperlink ref="B451" r:id="rId908" display="http://quote.eastmoney.com/300274.html" xr:uid="{00000000-0004-0000-1100-00008B030000}"/>
    <hyperlink ref="C451" r:id="rId909" display="http://data.eastmoney.com/stockdata/300274.html" xr:uid="{00000000-0004-0000-1100-00008C030000}"/>
    <hyperlink ref="B452" r:id="rId910" display="http://quote.eastmoney.com/300699.html" xr:uid="{00000000-0004-0000-1100-00008D030000}"/>
    <hyperlink ref="C452" r:id="rId911" display="http://data.eastmoney.com/stockdata/300699.html" xr:uid="{00000000-0004-0000-1100-00008E030000}"/>
    <hyperlink ref="B453" r:id="rId912" display="http://quote.eastmoney.com/300041.html" xr:uid="{00000000-0004-0000-1100-00008F030000}"/>
    <hyperlink ref="C453" r:id="rId913" display="http://data.eastmoney.com/stockdata/300041.html" xr:uid="{00000000-0004-0000-1100-000090030000}"/>
    <hyperlink ref="B454" r:id="rId914" display="http://quote.eastmoney.com/300413.html" xr:uid="{00000000-0004-0000-1100-000091030000}"/>
    <hyperlink ref="C454" r:id="rId915" display="http://data.eastmoney.com/stockdata/300413.html" xr:uid="{00000000-0004-0000-1100-000092030000}"/>
    <hyperlink ref="B455" r:id="rId916" display="http://quote.eastmoney.com/600699.html" xr:uid="{00000000-0004-0000-1100-000093030000}"/>
    <hyperlink ref="C455" r:id="rId917" display="http://data.eastmoney.com/stockdata/600699.html" xr:uid="{00000000-0004-0000-1100-000094030000}"/>
    <hyperlink ref="B456" r:id="rId918" display="http://quote.eastmoney.com/300296.html" xr:uid="{00000000-0004-0000-1100-000095030000}"/>
    <hyperlink ref="C456" r:id="rId919" display="http://data.eastmoney.com/stockdata/300296.html" xr:uid="{00000000-0004-0000-1100-000096030000}"/>
    <hyperlink ref="B457" r:id="rId920" display="http://quote.eastmoney.com/603899.html" xr:uid="{00000000-0004-0000-1100-000097030000}"/>
    <hyperlink ref="C457" r:id="rId921" display="http://data.eastmoney.com/stockdata/603899.html" xr:uid="{00000000-0004-0000-1100-000098030000}"/>
    <hyperlink ref="B458" r:id="rId922" display="http://quote.eastmoney.com/002034.html" xr:uid="{00000000-0004-0000-1100-000099030000}"/>
    <hyperlink ref="C458" r:id="rId923" display="http://data.eastmoney.com/stockdata/002034.html" xr:uid="{00000000-0004-0000-1100-00009A030000}"/>
    <hyperlink ref="B459" r:id="rId924" display="http://quote.eastmoney.com/300114.html" xr:uid="{00000000-0004-0000-1100-00009B030000}"/>
    <hyperlink ref="C459" r:id="rId925" display="http://data.eastmoney.com/stockdata/300114.html" xr:uid="{00000000-0004-0000-1100-00009C030000}"/>
    <hyperlink ref="B460" r:id="rId926" display="http://quote.eastmoney.com/002439.html" xr:uid="{00000000-0004-0000-1100-00009D030000}"/>
    <hyperlink ref="C460" r:id="rId927" display="http://data.eastmoney.com/stockdata/002439.html" xr:uid="{00000000-0004-0000-1100-00009E030000}"/>
    <hyperlink ref="B461" r:id="rId928" display="http://quote.eastmoney.com/603232.html" xr:uid="{00000000-0004-0000-1100-00009F030000}"/>
    <hyperlink ref="C461" r:id="rId929" display="http://data.eastmoney.com/stockdata/603232.html" xr:uid="{00000000-0004-0000-1100-0000A0030000}"/>
    <hyperlink ref="B462" r:id="rId930" display="http://quote.eastmoney.com/600606.html" xr:uid="{00000000-0004-0000-1100-0000A1030000}"/>
    <hyperlink ref="C462" r:id="rId931" display="http://data.eastmoney.com/stockdata/600606.html" xr:uid="{00000000-0004-0000-1100-0000A2030000}"/>
    <hyperlink ref="B463" r:id="rId932" display="http://quote.eastmoney.com/002422.html" xr:uid="{00000000-0004-0000-1100-0000A3030000}"/>
    <hyperlink ref="C463" r:id="rId933" display="http://data.eastmoney.com/stockdata/002422.html" xr:uid="{00000000-0004-0000-1100-0000A4030000}"/>
    <hyperlink ref="B464" r:id="rId934" display="http://quote.eastmoney.com/603233.html" xr:uid="{00000000-0004-0000-1100-0000A5030000}"/>
    <hyperlink ref="C464" r:id="rId935" display="http://data.eastmoney.com/stockdata/603233.html" xr:uid="{00000000-0004-0000-1100-0000A6030000}"/>
    <hyperlink ref="B465" r:id="rId936" display="http://quote.eastmoney.com/603903.html" xr:uid="{00000000-0004-0000-1100-0000A7030000}"/>
    <hyperlink ref="C465" r:id="rId937" display="http://data.eastmoney.com/stockdata/603903.html" xr:uid="{00000000-0004-0000-1100-0000A8030000}"/>
    <hyperlink ref="B466" r:id="rId938" display="http://quote.eastmoney.com/601200.html" xr:uid="{00000000-0004-0000-1100-0000A9030000}"/>
    <hyperlink ref="C466" r:id="rId939" display="http://data.eastmoney.com/stockdata/601200.html" xr:uid="{00000000-0004-0000-1100-0000AA030000}"/>
    <hyperlink ref="B467" r:id="rId940" display="http://quote.eastmoney.com/601633.html" xr:uid="{00000000-0004-0000-1100-0000AB030000}"/>
    <hyperlink ref="C467" r:id="rId941" display="http://data.eastmoney.com/stockdata/601633.html" xr:uid="{00000000-0004-0000-1100-0000AC030000}"/>
    <hyperlink ref="B468" r:id="rId942" display="http://quote.eastmoney.com/603883.html" xr:uid="{00000000-0004-0000-1100-0000AD030000}"/>
    <hyperlink ref="C468" r:id="rId943" display="http://data.eastmoney.com/stockdata/603883.html" xr:uid="{00000000-0004-0000-1100-0000AE030000}"/>
    <hyperlink ref="B469" r:id="rId944" display="http://quote.eastmoney.com/002706.html" xr:uid="{00000000-0004-0000-1100-0000AF030000}"/>
    <hyperlink ref="C469" r:id="rId945" display="http://data.eastmoney.com/stockdata/002706.html" xr:uid="{00000000-0004-0000-1100-0000B0030000}"/>
    <hyperlink ref="B470" r:id="rId946" display="http://quote.eastmoney.com/002449.html" xr:uid="{00000000-0004-0000-1100-0000B1030000}"/>
    <hyperlink ref="C470" r:id="rId947" display="http://data.eastmoney.com/stockdata/002449.html" xr:uid="{00000000-0004-0000-1100-0000B2030000}"/>
    <hyperlink ref="B471" r:id="rId948" display="http://quote.eastmoney.com/603505.html" xr:uid="{00000000-0004-0000-1100-0000B3030000}"/>
    <hyperlink ref="C471" r:id="rId949" display="http://data.eastmoney.com/stockdata/603505.html" xr:uid="{00000000-0004-0000-1100-0000B4030000}"/>
    <hyperlink ref="B472" r:id="rId950" display="http://quote.eastmoney.com/002396.html" xr:uid="{00000000-0004-0000-1100-0000B5030000}"/>
    <hyperlink ref="C472" r:id="rId951" display="http://data.eastmoney.com/stockdata/002396.html" xr:uid="{00000000-0004-0000-1100-0000B6030000}"/>
    <hyperlink ref="B473" r:id="rId952" display="http://quote.eastmoney.com/002925.html" xr:uid="{00000000-0004-0000-1100-0000B7030000}"/>
    <hyperlink ref="C473" r:id="rId953" display="http://data.eastmoney.com/stockdata/002925.html" xr:uid="{00000000-0004-0000-1100-0000B8030000}"/>
    <hyperlink ref="B474" r:id="rId954" display="http://quote.eastmoney.com/300726.html" xr:uid="{00000000-0004-0000-1100-0000B9030000}"/>
    <hyperlink ref="C474" r:id="rId955" display="http://data.eastmoney.com/stockdata/300726.html" xr:uid="{00000000-0004-0000-1100-0000BA030000}"/>
    <hyperlink ref="B475" r:id="rId956" display="http://quote.eastmoney.com/000050.html" xr:uid="{00000000-0004-0000-1100-0000BB030000}"/>
    <hyperlink ref="C475" r:id="rId957" display="http://data.eastmoney.com/stockdata/000050.html" xr:uid="{00000000-0004-0000-1100-0000BC030000}"/>
    <hyperlink ref="B476" r:id="rId958" display="http://quote.eastmoney.com/002244.html" xr:uid="{00000000-0004-0000-1100-0000BD030000}"/>
    <hyperlink ref="C476" r:id="rId959" display="http://data.eastmoney.com/stockdata/002244.html" xr:uid="{00000000-0004-0000-1100-0000BE030000}"/>
    <hyperlink ref="B477" r:id="rId960" display="http://quote.eastmoney.com/600779.html" xr:uid="{00000000-0004-0000-1100-0000BF030000}"/>
    <hyperlink ref="C477" r:id="rId961" display="http://data.eastmoney.com/stockdata/600779.html" xr:uid="{00000000-0004-0000-1100-0000C0030000}"/>
    <hyperlink ref="B478" r:id="rId962" display="http://quote.eastmoney.com/600161.html" xr:uid="{00000000-0004-0000-1100-0000C1030000}"/>
    <hyperlink ref="C478" r:id="rId963" display="http://data.eastmoney.com/stockdata/600161.html" xr:uid="{00000000-0004-0000-1100-0000C2030000}"/>
    <hyperlink ref="B479" r:id="rId964" display="http://quote.eastmoney.com/002749.html" xr:uid="{00000000-0004-0000-1100-0000C3030000}"/>
    <hyperlink ref="C479" r:id="rId965" display="http://data.eastmoney.com/stockdata/002749.html" xr:uid="{00000000-0004-0000-1100-0000C4030000}"/>
    <hyperlink ref="B480" r:id="rId966" display="http://quote.eastmoney.com/002236.html" xr:uid="{00000000-0004-0000-1100-0000C5030000}"/>
    <hyperlink ref="C480" r:id="rId967" display="http://data.eastmoney.com/stockdata/002236.html" xr:uid="{00000000-0004-0000-1100-0000C6030000}"/>
    <hyperlink ref="B481" r:id="rId968" display="http://quote.eastmoney.com/300642.html" xr:uid="{00000000-0004-0000-1100-0000C7030000}"/>
    <hyperlink ref="C481" r:id="rId969" display="http://data.eastmoney.com/stockdata/300642.html" xr:uid="{00000000-0004-0000-1100-0000C8030000}"/>
    <hyperlink ref="B482" r:id="rId970" display="http://quote.eastmoney.com/002601.html" xr:uid="{00000000-0004-0000-1100-0000C9030000}"/>
    <hyperlink ref="C482" r:id="rId971" display="http://data.eastmoney.com/stockdata/002601.html" xr:uid="{00000000-0004-0000-1100-0000CA030000}"/>
    <hyperlink ref="B483" r:id="rId972" display="http://quote.eastmoney.com/601689.html" xr:uid="{00000000-0004-0000-1100-0000CB030000}"/>
    <hyperlink ref="C483" r:id="rId973" display="http://data.eastmoney.com/stockdata/601689.html" xr:uid="{00000000-0004-0000-1100-0000CC030000}"/>
    <hyperlink ref="B484" r:id="rId974" display="http://quote.eastmoney.com/600487.html" xr:uid="{00000000-0004-0000-1100-0000CD030000}"/>
    <hyperlink ref="C484" r:id="rId975" display="http://data.eastmoney.com/stockdata/600487.html" xr:uid="{00000000-0004-0000-1100-0000CE030000}"/>
    <hyperlink ref="B485" r:id="rId976" display="http://quote.eastmoney.com/600038.html" xr:uid="{00000000-0004-0000-1100-0000CF030000}"/>
    <hyperlink ref="C485" r:id="rId977" display="http://data.eastmoney.com/stockdata/600038.html" xr:uid="{00000000-0004-0000-1100-0000D0030000}"/>
    <hyperlink ref="B486" r:id="rId978" display="http://quote.eastmoney.com/000596.html" xr:uid="{00000000-0004-0000-1100-0000D1030000}"/>
    <hyperlink ref="C486" r:id="rId979" display="http://data.eastmoney.com/stockdata/000596.html" xr:uid="{00000000-0004-0000-1100-0000D2030000}"/>
    <hyperlink ref="B487" r:id="rId980" display="http://quote.eastmoney.com/002959.html" xr:uid="{00000000-0004-0000-1100-0000D3030000}"/>
    <hyperlink ref="C487" r:id="rId981" display="http://data.eastmoney.com/stockdata/002959.html" xr:uid="{00000000-0004-0000-1100-0000D4030000}"/>
    <hyperlink ref="B488" r:id="rId982" display="http://quote.eastmoney.com/300034.html" xr:uid="{00000000-0004-0000-1100-0000D5030000}"/>
    <hyperlink ref="C488" r:id="rId983" display="http://data.eastmoney.com/stockdata/300034.html" xr:uid="{00000000-0004-0000-1100-0000D6030000}"/>
    <hyperlink ref="B489" r:id="rId984" display="http://quote.eastmoney.com/600027.html" xr:uid="{00000000-0004-0000-1100-0000D7030000}"/>
    <hyperlink ref="C489" r:id="rId985" display="http://data.eastmoney.com/stockdata/600027.html" xr:uid="{00000000-0004-0000-1100-0000D8030000}"/>
    <hyperlink ref="B490" r:id="rId986" display="http://quote.eastmoney.com/002273.html" xr:uid="{00000000-0004-0000-1100-0000D9030000}"/>
    <hyperlink ref="C490" r:id="rId987" display="http://data.eastmoney.com/stockdata/002273.html" xr:uid="{00000000-0004-0000-1100-0000DA030000}"/>
    <hyperlink ref="B491" r:id="rId988" display="http://quote.eastmoney.com/002614.html" xr:uid="{00000000-0004-0000-1100-0000DB030000}"/>
    <hyperlink ref="C491" r:id="rId989" display="http://data.eastmoney.com/stockdata/002614.html" xr:uid="{00000000-0004-0000-1100-0000DC030000}"/>
    <hyperlink ref="B492" r:id="rId990" display="http://quote.eastmoney.com/600872.html" xr:uid="{00000000-0004-0000-1100-0000DD030000}"/>
    <hyperlink ref="C492" r:id="rId991" display="http://data.eastmoney.com/stockdata/600872.html" xr:uid="{00000000-0004-0000-1100-0000DE030000}"/>
    <hyperlink ref="B493" r:id="rId992" display="http://quote.eastmoney.com/002179.html" xr:uid="{00000000-0004-0000-1100-0000DF030000}"/>
    <hyperlink ref="C493" r:id="rId993" display="http://data.eastmoney.com/stockdata/002179.html" xr:uid="{00000000-0004-0000-1100-0000E0030000}"/>
    <hyperlink ref="B494" r:id="rId994" display="http://quote.eastmoney.com/300415.html" xr:uid="{00000000-0004-0000-1100-0000E1030000}"/>
    <hyperlink ref="C494" r:id="rId995" display="http://data.eastmoney.com/stockdata/300415.html" xr:uid="{00000000-0004-0000-1100-0000E2030000}"/>
    <hyperlink ref="B495" r:id="rId996" display="http://quote.eastmoney.com/000568.html" xr:uid="{00000000-0004-0000-1100-0000E3030000}"/>
    <hyperlink ref="C495" r:id="rId997" display="http://data.eastmoney.com/stockdata/000568.html" xr:uid="{00000000-0004-0000-1100-0000E4030000}"/>
    <hyperlink ref="B496" r:id="rId998" display="http://quote.eastmoney.com/002001.html" xr:uid="{00000000-0004-0000-1100-0000E5030000}"/>
    <hyperlink ref="C496" r:id="rId999" display="http://data.eastmoney.com/stockdata/002001.html" xr:uid="{00000000-0004-0000-1100-0000E6030000}"/>
    <hyperlink ref="B497" r:id="rId1000" display="http://quote.eastmoney.com/300259.html" xr:uid="{00000000-0004-0000-1100-0000E7030000}"/>
    <hyperlink ref="C497" r:id="rId1001" display="http://data.eastmoney.com/stockdata/300259.html" xr:uid="{00000000-0004-0000-1100-0000E8030000}"/>
    <hyperlink ref="B498" r:id="rId1002" display="http://quote.eastmoney.com/600809.html" xr:uid="{00000000-0004-0000-1100-0000E9030000}"/>
    <hyperlink ref="C498" r:id="rId1003" display="http://data.eastmoney.com/stockdata/600809.html" xr:uid="{00000000-0004-0000-1100-0000EA030000}"/>
    <hyperlink ref="B499" r:id="rId1004" display="http://quote.eastmoney.com/603369.html" xr:uid="{00000000-0004-0000-1100-0000EB030000}"/>
    <hyperlink ref="C499" r:id="rId1005" display="http://data.eastmoney.com/stockdata/603369.html" xr:uid="{00000000-0004-0000-1100-0000EC030000}"/>
    <hyperlink ref="B500" r:id="rId1006" display="http://quote.eastmoney.com/002773.html" xr:uid="{00000000-0004-0000-1100-0000ED030000}"/>
    <hyperlink ref="C500" r:id="rId1007" display="http://data.eastmoney.com/stockdata/002773.html" xr:uid="{00000000-0004-0000-1100-0000EE030000}"/>
    <hyperlink ref="B501" r:id="rId1008" display="http://quote.eastmoney.com/300244.html" xr:uid="{00000000-0004-0000-1100-0000EF030000}"/>
    <hyperlink ref="C501" r:id="rId1009" display="http://data.eastmoney.com/stockdata/300244.html" xr:uid="{00000000-0004-0000-1100-0000F0030000}"/>
    <hyperlink ref="B502" r:id="rId1010" display="http://quote.eastmoney.com/603214.html" xr:uid="{00000000-0004-0000-1100-0000F1030000}"/>
    <hyperlink ref="C502" r:id="rId1011" display="http://data.eastmoney.com/stockdata/603214.html" xr:uid="{00000000-0004-0000-1100-0000F2030000}"/>
    <hyperlink ref="B503" r:id="rId1012" display="http://quote.eastmoney.com/603060.html" xr:uid="{00000000-0004-0000-1100-0000F3030000}"/>
    <hyperlink ref="C503" r:id="rId1013" display="http://data.eastmoney.com/stockdata/603060.html" xr:uid="{00000000-0004-0000-1100-0000F4030000}"/>
    <hyperlink ref="B504" r:id="rId1014" display="http://quote.eastmoney.com/300146.html" xr:uid="{00000000-0004-0000-1100-0000F5030000}"/>
    <hyperlink ref="C504" r:id="rId1015" display="http://data.eastmoney.com/stockdata/300146.html" xr:uid="{00000000-0004-0000-1100-0000F6030000}"/>
    <hyperlink ref="B505" r:id="rId1016" display="http://quote.eastmoney.com/600989.html" xr:uid="{00000000-0004-0000-1100-0000F7030000}"/>
    <hyperlink ref="C505" r:id="rId1017" display="http://data.eastmoney.com/stockdata/600989.html" xr:uid="{00000000-0004-0000-1100-0000F8030000}"/>
    <hyperlink ref="B506" r:id="rId1018" display="http://quote.eastmoney.com/300487.html" xr:uid="{00000000-0004-0000-1100-0000F9030000}"/>
    <hyperlink ref="C506" r:id="rId1019" display="http://data.eastmoney.com/stockdata/300487.html" xr:uid="{00000000-0004-0000-1100-0000FA030000}"/>
    <hyperlink ref="B507" r:id="rId1020" display="http://quote.eastmoney.com/600498.html" xr:uid="{00000000-0004-0000-1100-0000FB030000}"/>
    <hyperlink ref="C507" r:id="rId1021" display="http://data.eastmoney.com/stockdata/600498.html" xr:uid="{00000000-0004-0000-1100-0000FC030000}"/>
    <hyperlink ref="B508" r:id="rId1022" display="http://quote.eastmoney.com/002111.html" xr:uid="{00000000-0004-0000-1100-0000FD030000}"/>
    <hyperlink ref="C508" r:id="rId1023" display="http://data.eastmoney.com/stockdata/002111.html" xr:uid="{00000000-0004-0000-1100-0000FE030000}"/>
    <hyperlink ref="B509" r:id="rId1024" display="http://quote.eastmoney.com/601117.html" xr:uid="{00000000-0004-0000-1100-0000FF030000}"/>
    <hyperlink ref="C509" r:id="rId1025" display="http://data.eastmoney.com/stockdata/601117.html" xr:uid="{00000000-0004-0000-1100-000000040000}"/>
    <hyperlink ref="B510" r:id="rId1026" display="http://quote.eastmoney.com/002373.html" xr:uid="{00000000-0004-0000-1100-000001040000}"/>
    <hyperlink ref="C510" r:id="rId1027" display="http://data.eastmoney.com/stockdata/002373.html" xr:uid="{00000000-0004-0000-1100-000002040000}"/>
    <hyperlink ref="B511" r:id="rId1028" display="http://quote.eastmoney.com/300285.html" xr:uid="{00000000-0004-0000-1100-000003040000}"/>
    <hyperlink ref="C511" r:id="rId1029" display="http://data.eastmoney.com/stockdata/300285.html" xr:uid="{00000000-0004-0000-1100-000004040000}"/>
    <hyperlink ref="B512" r:id="rId1030" display="http://quote.eastmoney.com/603556.html" xr:uid="{00000000-0004-0000-1100-000005040000}"/>
    <hyperlink ref="C512" r:id="rId1031" display="http://data.eastmoney.com/stockdata/603556.html" xr:uid="{00000000-0004-0000-1100-000006040000}"/>
    <hyperlink ref="B513" r:id="rId1032" display="http://quote.eastmoney.com/300408.html" xr:uid="{00000000-0004-0000-1100-000007040000}"/>
    <hyperlink ref="C513" r:id="rId1033" display="http://data.eastmoney.com/stockdata/300408.html" xr:uid="{00000000-0004-0000-1100-000008040000}"/>
    <hyperlink ref="B514" r:id="rId1034" display="http://quote.eastmoney.com/300137.html" xr:uid="{00000000-0004-0000-1100-000009040000}"/>
    <hyperlink ref="C514" r:id="rId1035" display="http://data.eastmoney.com/stockdata/300137.html" xr:uid="{00000000-0004-0000-1100-00000A040000}"/>
    <hyperlink ref="B515" r:id="rId1036" display="http://quote.eastmoney.com/300750.html" xr:uid="{00000000-0004-0000-1100-00000B040000}"/>
    <hyperlink ref="C515" r:id="rId1037" display="http://data.eastmoney.com/stockdata/300750.html" xr:uid="{00000000-0004-0000-1100-00000C040000}"/>
    <hyperlink ref="B516" r:id="rId1038" display="http://quote.eastmoney.com/600285.html" xr:uid="{00000000-0004-0000-1100-00000D040000}"/>
    <hyperlink ref="C516" r:id="rId1039" display="http://data.eastmoney.com/stockdata/600285.html" xr:uid="{00000000-0004-0000-1100-00000E040000}"/>
    <hyperlink ref="B517" r:id="rId1040" display="http://quote.eastmoney.com/600063.html" xr:uid="{00000000-0004-0000-1100-00000F040000}"/>
    <hyperlink ref="C517" r:id="rId1041" display="http://data.eastmoney.com/stockdata/600063.html" xr:uid="{00000000-0004-0000-1100-000010040000}"/>
    <hyperlink ref="B518" r:id="rId1042" display="http://quote.eastmoney.com/300457.html" xr:uid="{00000000-0004-0000-1100-000011040000}"/>
    <hyperlink ref="C518" r:id="rId1043" display="http://data.eastmoney.com/stockdata/300457.html" xr:uid="{00000000-0004-0000-1100-000012040000}"/>
    <hyperlink ref="B519" r:id="rId1044" display="http://quote.eastmoney.com/603416.html" xr:uid="{00000000-0004-0000-1100-000013040000}"/>
    <hyperlink ref="C519" r:id="rId1045" display="http://data.eastmoney.com/stockdata/603416.html" xr:uid="{00000000-0004-0000-1100-000014040000}"/>
    <hyperlink ref="B520" r:id="rId1046" display="http://quote.eastmoney.com/603416.html" xr:uid="{00000000-0004-0000-1100-000015040000}"/>
    <hyperlink ref="C520" r:id="rId1047" display="http://data.eastmoney.com/stockdata/603416.html" xr:uid="{00000000-0004-0000-1100-000016040000}"/>
    <hyperlink ref="B521" r:id="rId1048" display="http://quote.eastmoney.com/300031.html" xr:uid="{00000000-0004-0000-1100-000017040000}"/>
    <hyperlink ref="C521" r:id="rId1049" display="http://data.eastmoney.com/stockdata/300031.html" xr:uid="{00000000-0004-0000-1100-000018040000}"/>
    <hyperlink ref="B522" r:id="rId1050" display="http://quote.eastmoney.com/600667.html" xr:uid="{00000000-0004-0000-1100-000019040000}"/>
    <hyperlink ref="C522" r:id="rId1051" display="http://data.eastmoney.com/stockdata/600667.html" xr:uid="{00000000-0004-0000-1100-00001A040000}"/>
    <hyperlink ref="B523" r:id="rId1052" display="http://quote.eastmoney.com/002084.html" xr:uid="{00000000-0004-0000-1100-00001B040000}"/>
    <hyperlink ref="C523" r:id="rId1053" display="http://data.eastmoney.com/stockdata/002084.html" xr:uid="{00000000-0004-0000-1100-00001C040000}"/>
    <hyperlink ref="B524" r:id="rId1054" display="http://quote.eastmoney.com/603203.html" xr:uid="{00000000-0004-0000-1100-00001D040000}"/>
    <hyperlink ref="C524" r:id="rId1055" display="http://data.eastmoney.com/stockdata/603203.html" xr:uid="{00000000-0004-0000-1100-00001E040000}"/>
    <hyperlink ref="B525" r:id="rId1056" display="http://quote.eastmoney.com/300010.html" xr:uid="{00000000-0004-0000-1100-00001F040000}"/>
    <hyperlink ref="C525" r:id="rId1057" display="http://data.eastmoney.com/stockdata/300010.html" xr:uid="{00000000-0004-0000-1100-000020040000}"/>
    <hyperlink ref="B526" r:id="rId1058" display="http://quote.eastmoney.com/600570.html" xr:uid="{00000000-0004-0000-1100-000021040000}"/>
    <hyperlink ref="C526" r:id="rId1059" display="http://data.eastmoney.com/stockdata/600570.html" xr:uid="{00000000-0004-0000-1100-000022040000}"/>
    <hyperlink ref="B527" r:id="rId1060" display="http://quote.eastmoney.com/300229.html" xr:uid="{00000000-0004-0000-1100-000023040000}"/>
    <hyperlink ref="C527" r:id="rId1061" display="http://data.eastmoney.com/stockdata/300229.html" xr:uid="{00000000-0004-0000-1100-000024040000}"/>
    <hyperlink ref="B528" r:id="rId1062" display="http://quote.eastmoney.com/600502.html" xr:uid="{00000000-0004-0000-1100-000025040000}"/>
    <hyperlink ref="C528" r:id="rId1063" display="http://data.eastmoney.com/stockdata/600502.html" xr:uid="{00000000-0004-0000-1100-000026040000}"/>
    <hyperlink ref="B529" r:id="rId1064" display="http://quote.eastmoney.com/002146.html" xr:uid="{00000000-0004-0000-1100-000027040000}"/>
    <hyperlink ref="C529" r:id="rId1065" display="http://data.eastmoney.com/stockdata/002146.html" xr:uid="{00000000-0004-0000-1100-000028040000}"/>
    <hyperlink ref="B530" r:id="rId1066" display="http://quote.eastmoney.com/002739.html" xr:uid="{00000000-0004-0000-1100-000029040000}"/>
    <hyperlink ref="C530" r:id="rId1067" display="http://data.eastmoney.com/stockdata/002739.html" xr:uid="{00000000-0004-0000-1100-00002A040000}"/>
    <hyperlink ref="B531" r:id="rId1068" display="http://quote.eastmoney.com/002262.html" xr:uid="{00000000-0004-0000-1100-00002B040000}"/>
    <hyperlink ref="C531" r:id="rId1069" display="http://data.eastmoney.com/stockdata/002262.html" xr:uid="{00000000-0004-0000-1100-00002C040000}"/>
    <hyperlink ref="B532" r:id="rId1070" display="http://quote.eastmoney.com/002262.html" xr:uid="{00000000-0004-0000-1100-00002D040000}"/>
    <hyperlink ref="C532" r:id="rId1071" display="http://data.eastmoney.com/stockdata/002262.html" xr:uid="{00000000-0004-0000-1100-00002E040000}"/>
    <hyperlink ref="B533" r:id="rId1072" display="http://quote.eastmoney.com/603018.html" xr:uid="{00000000-0004-0000-1100-00002F040000}"/>
    <hyperlink ref="C533" r:id="rId1073" display="http://data.eastmoney.com/stockdata/603018.html" xr:uid="{00000000-0004-0000-1100-000030040000}"/>
    <hyperlink ref="B534" r:id="rId1074" display="http://quote.eastmoney.com/002088.html" xr:uid="{00000000-0004-0000-1100-000031040000}"/>
    <hyperlink ref="C534" r:id="rId1075" display="http://data.eastmoney.com/stockdata/002088.html" xr:uid="{00000000-0004-0000-1100-000032040000}"/>
    <hyperlink ref="B535" r:id="rId1076" display="http://quote.eastmoney.com/603136.html" xr:uid="{00000000-0004-0000-1100-000033040000}"/>
    <hyperlink ref="C535" r:id="rId1077" display="http://data.eastmoney.com/stockdata/603136.html" xr:uid="{00000000-0004-0000-1100-000034040000}"/>
    <hyperlink ref="B536" r:id="rId1078" display="http://quote.eastmoney.com/300760.html" xr:uid="{00000000-0004-0000-1100-000035040000}"/>
    <hyperlink ref="C536" r:id="rId1079" display="http://data.eastmoney.com/stockdata/300760.html" xr:uid="{00000000-0004-0000-1100-000036040000}"/>
    <hyperlink ref="B537" r:id="rId1080" display="http://quote.eastmoney.com/600163.html" xr:uid="{00000000-0004-0000-1100-000037040000}"/>
    <hyperlink ref="C537" r:id="rId1081" display="http://data.eastmoney.com/stockdata/600163.html" xr:uid="{00000000-0004-0000-1100-000038040000}"/>
    <hyperlink ref="B538" r:id="rId1082" display="http://quote.eastmoney.com/603558.html" xr:uid="{00000000-0004-0000-1100-000039040000}"/>
    <hyperlink ref="C538" r:id="rId1083" display="http://data.eastmoney.com/stockdata/603558.html" xr:uid="{00000000-0004-0000-1100-00003A040000}"/>
    <hyperlink ref="B539" r:id="rId1084" display="http://quote.eastmoney.com/002206.html" xr:uid="{00000000-0004-0000-1100-00003B040000}"/>
    <hyperlink ref="C539" r:id="rId1085" display="http://data.eastmoney.com/stockdata/002206.html" xr:uid="{00000000-0004-0000-1100-00003C040000}"/>
    <hyperlink ref="B540" r:id="rId1086" display="http://quote.eastmoney.com/002511.html" xr:uid="{00000000-0004-0000-1100-00003D040000}"/>
    <hyperlink ref="C540" r:id="rId1087" display="http://data.eastmoney.com/stockdata/002511.html" xr:uid="{00000000-0004-0000-1100-00003E040000}"/>
    <hyperlink ref="B541" r:id="rId1088" display="http://quote.eastmoney.com/002228.html" xr:uid="{00000000-0004-0000-1100-00003F040000}"/>
    <hyperlink ref="C541" r:id="rId1089" display="http://data.eastmoney.com/stockdata/002228.html" xr:uid="{00000000-0004-0000-1100-000040040000}"/>
    <hyperlink ref="B542" r:id="rId1090" display="http://quote.eastmoney.com/002415.html" xr:uid="{00000000-0004-0000-1100-000041040000}"/>
    <hyperlink ref="C542" r:id="rId1091" display="http://data.eastmoney.com/stockdata/002415.html" xr:uid="{00000000-0004-0000-1100-000042040000}"/>
    <hyperlink ref="B543" r:id="rId1092" display="http://quote.eastmoney.com/600958.html" xr:uid="{00000000-0004-0000-1100-000043040000}"/>
    <hyperlink ref="C543" r:id="rId1093" display="http://data.eastmoney.com/stockdata/600958.html" xr:uid="{00000000-0004-0000-1100-000044040000}"/>
    <hyperlink ref="B544" r:id="rId1094" display="http://quote.eastmoney.com/600933.html" xr:uid="{00000000-0004-0000-1100-000045040000}"/>
    <hyperlink ref="C544" r:id="rId1095" display="http://data.eastmoney.com/stockdata/600933.html" xr:uid="{00000000-0004-0000-1100-000046040000}"/>
    <hyperlink ref="B545" r:id="rId1096" display="http://quote.eastmoney.com/002203.html" xr:uid="{00000000-0004-0000-1100-000047040000}"/>
    <hyperlink ref="C545" r:id="rId1097" display="http://data.eastmoney.com/stockdata/002203.html" xr:uid="{00000000-0004-0000-1100-000048040000}"/>
    <hyperlink ref="B546" r:id="rId1098" display="http://quote.eastmoney.com/002376.html" xr:uid="{00000000-0004-0000-1100-000049040000}"/>
    <hyperlink ref="C546" r:id="rId1099" display="http://data.eastmoney.com/stockdata/002376.html" xr:uid="{00000000-0004-0000-1100-00004A040000}"/>
    <hyperlink ref="B547" r:id="rId1100" display="http://quote.eastmoney.com/002398.html" xr:uid="{00000000-0004-0000-1100-00004B040000}"/>
    <hyperlink ref="C547" r:id="rId1101" display="http://data.eastmoney.com/stockdata/002398.html" xr:uid="{00000000-0004-0000-1100-00004C040000}"/>
    <hyperlink ref="B548" r:id="rId1102" display="http://quote.eastmoney.com/002734.html" xr:uid="{00000000-0004-0000-1100-00004D040000}"/>
    <hyperlink ref="C548" r:id="rId1103" display="http://data.eastmoney.com/stockdata/002734.html" xr:uid="{00000000-0004-0000-1100-00004E040000}"/>
    <hyperlink ref="B549" r:id="rId1104" display="http://quote.eastmoney.com/600346.html" xr:uid="{00000000-0004-0000-1100-00004F040000}"/>
    <hyperlink ref="C549" r:id="rId1105" display="http://data.eastmoney.com/stockdata/600346.html" xr:uid="{00000000-0004-0000-1100-000050040000}"/>
    <hyperlink ref="B550" r:id="rId1106" display="http://quote.eastmoney.com/002833.html" xr:uid="{00000000-0004-0000-1100-000051040000}"/>
    <hyperlink ref="C550" r:id="rId1107" display="http://data.eastmoney.com/stockdata/002833.html" xr:uid="{00000000-0004-0000-1100-000052040000}"/>
    <hyperlink ref="B551" r:id="rId1108" display="http://quote.eastmoney.com/001979.html" xr:uid="{00000000-0004-0000-1100-000053040000}"/>
    <hyperlink ref="C551" r:id="rId1109" display="http://data.eastmoney.com/stockdata/001979.html" xr:uid="{00000000-0004-0000-1100-000054040000}"/>
    <hyperlink ref="B552" r:id="rId1110" display="http://quote.eastmoney.com/002938.html" xr:uid="{00000000-0004-0000-1100-000055040000}"/>
    <hyperlink ref="C552" r:id="rId1111" display="http://data.eastmoney.com/stockdata/002938.html" xr:uid="{00000000-0004-0000-1100-000056040000}"/>
    <hyperlink ref="B553" r:id="rId1112" display="http://quote.eastmoney.com/600567.html" xr:uid="{00000000-0004-0000-1100-000057040000}"/>
    <hyperlink ref="C553" r:id="rId1113" display="http://data.eastmoney.com/stockdata/600567.html" xr:uid="{00000000-0004-0000-1100-000058040000}"/>
    <hyperlink ref="B554" r:id="rId1114" display="http://quote.eastmoney.com/300294.html" xr:uid="{00000000-0004-0000-1100-000059040000}"/>
    <hyperlink ref="C554" r:id="rId1115" display="http://data.eastmoney.com/stockdata/300294.html" xr:uid="{00000000-0004-0000-1100-00005A040000}"/>
    <hyperlink ref="B555" r:id="rId1116" display="http://quote.eastmoney.com/603037.html" xr:uid="{00000000-0004-0000-1100-00005B040000}"/>
    <hyperlink ref="C555" r:id="rId1117" display="http://data.eastmoney.com/stockdata/603037.html" xr:uid="{00000000-0004-0000-1100-00005C040000}"/>
    <hyperlink ref="B556" r:id="rId1118" display="http://quote.eastmoney.com/600867.html" xr:uid="{00000000-0004-0000-1100-00005D040000}"/>
    <hyperlink ref="C556" r:id="rId1119" display="http://data.eastmoney.com/stockdata/600867.html" xr:uid="{00000000-0004-0000-1100-00005E040000}"/>
    <hyperlink ref="B557" r:id="rId1120" display="http://quote.eastmoney.com/300132.html" xr:uid="{00000000-0004-0000-1100-00005F040000}"/>
    <hyperlink ref="C557" r:id="rId1121" display="http://data.eastmoney.com/stockdata/300132.html" xr:uid="{00000000-0004-0000-1100-000060040000}"/>
    <hyperlink ref="B558" r:id="rId1122" display="http://quote.eastmoney.com/002019.html" xr:uid="{00000000-0004-0000-1100-000061040000}"/>
    <hyperlink ref="C558" r:id="rId1123" display="http://data.eastmoney.com/stockdata/002019.html" xr:uid="{00000000-0004-0000-1100-000062040000}"/>
    <hyperlink ref="B559" r:id="rId1124" display="http://quote.eastmoney.com/300497.html" xr:uid="{00000000-0004-0000-1100-000063040000}"/>
    <hyperlink ref="C559" r:id="rId1125" display="http://data.eastmoney.com/stockdata/300497.html" xr:uid="{00000000-0004-0000-1100-000064040000}"/>
    <hyperlink ref="B560" r:id="rId1126" display="http://quote.eastmoney.com/002643.html" xr:uid="{00000000-0004-0000-1100-000065040000}"/>
    <hyperlink ref="C560" r:id="rId1127" display="http://data.eastmoney.com/stockdata/002643.html" xr:uid="{00000000-0004-0000-1100-000066040000}"/>
    <hyperlink ref="B561" r:id="rId1128" display="http://quote.eastmoney.com/002672.html" xr:uid="{00000000-0004-0000-1100-000067040000}"/>
    <hyperlink ref="C561" r:id="rId1129" display="http://data.eastmoney.com/stockdata/002672.html" xr:uid="{00000000-0004-0000-1100-000068040000}"/>
    <hyperlink ref="B562" r:id="rId1130" display="http://quote.eastmoney.com/600998.html" xr:uid="{00000000-0004-0000-1100-000069040000}"/>
    <hyperlink ref="C562" r:id="rId1131" display="http://data.eastmoney.com/stockdata/600998.html" xr:uid="{00000000-0004-0000-1100-00006A040000}"/>
    <hyperlink ref="B563" r:id="rId1132" display="http://quote.eastmoney.com/601899.html" xr:uid="{00000000-0004-0000-1100-00006B040000}"/>
    <hyperlink ref="C563" r:id="rId1133" display="http://data.eastmoney.com/stockdata/601899.html" xr:uid="{00000000-0004-0000-1100-00006C040000}"/>
    <hyperlink ref="B564" r:id="rId1134" display="http://quote.eastmoney.com/603993.html" xr:uid="{00000000-0004-0000-1100-00006D040000}"/>
    <hyperlink ref="C564" r:id="rId1135" display="http://data.eastmoney.com/stockdata/603993.html" xr:uid="{00000000-0004-0000-1100-00006E040000}"/>
    <hyperlink ref="B565" r:id="rId1136" display="http://quote.eastmoney.com/002322.html" xr:uid="{00000000-0004-0000-1100-00006F040000}"/>
    <hyperlink ref="C565" r:id="rId1137" display="http://data.eastmoney.com/stockdata/002322.html" xr:uid="{00000000-0004-0000-1100-000070040000}"/>
    <hyperlink ref="B566" r:id="rId1138" display="http://quote.eastmoney.com/002120.html" xr:uid="{00000000-0004-0000-1100-000071040000}"/>
    <hyperlink ref="C566" r:id="rId1139" display="http://data.eastmoney.com/stockdata/002120.html" xr:uid="{00000000-0004-0000-1100-000072040000}"/>
    <hyperlink ref="B567" r:id="rId1140" display="http://quote.eastmoney.com/000858.html" xr:uid="{00000000-0004-0000-1100-000073040000}"/>
    <hyperlink ref="C567" r:id="rId1141" display="http://data.eastmoney.com/stockdata/000858.html" xr:uid="{00000000-0004-0000-1100-000074040000}"/>
    <hyperlink ref="B568" r:id="rId1142" display="http://quote.eastmoney.com/600481.html" xr:uid="{00000000-0004-0000-1100-000075040000}"/>
    <hyperlink ref="C568" r:id="rId1143" display="http://data.eastmoney.com/stockdata/600481.html" xr:uid="{00000000-0004-0000-1100-000076040000}"/>
    <hyperlink ref="B569" r:id="rId1144" display="http://quote.eastmoney.com/002541.html" xr:uid="{00000000-0004-0000-1100-000077040000}"/>
    <hyperlink ref="C569" r:id="rId1145" display="http://data.eastmoney.com/stockdata/002541.html" xr:uid="{00000000-0004-0000-1100-000078040000}"/>
    <hyperlink ref="B570" r:id="rId1146" display="http://quote.eastmoney.com/002582.html" xr:uid="{00000000-0004-0000-1100-000079040000}"/>
    <hyperlink ref="C570" r:id="rId1147" display="http://data.eastmoney.com/stockdata/002582.html" xr:uid="{00000000-0004-0000-1100-00007A040000}"/>
    <hyperlink ref="B571" r:id="rId1148" display="http://quote.eastmoney.com/603568.html" xr:uid="{00000000-0004-0000-1100-00007B040000}"/>
    <hyperlink ref="C571" r:id="rId1149" display="http://data.eastmoney.com/stockdata/603568.html" xr:uid="{00000000-0004-0000-1100-00007C040000}"/>
    <hyperlink ref="B572" r:id="rId1150" display="http://quote.eastmoney.com/601997.html" xr:uid="{00000000-0004-0000-1100-00007D040000}"/>
    <hyperlink ref="C572" r:id="rId1151" display="http://data.eastmoney.com/stockdata/601997.html" xr:uid="{00000000-0004-0000-1100-00007E040000}"/>
    <hyperlink ref="B573" r:id="rId1152" display="http://quote.eastmoney.com/002025.html" xr:uid="{00000000-0004-0000-1100-00007F040000}"/>
    <hyperlink ref="C573" r:id="rId1153" display="http://data.eastmoney.com/stockdata/002025.html" xr:uid="{00000000-0004-0000-1100-000080040000}"/>
    <hyperlink ref="B574" r:id="rId1154" display="http://quote.eastmoney.com/600557.html" xr:uid="{00000000-0004-0000-1100-000081040000}"/>
    <hyperlink ref="C574" r:id="rId1155" display="http://data.eastmoney.com/stockdata/600557.html" xr:uid="{00000000-0004-0000-1100-000082040000}"/>
    <hyperlink ref="B575" r:id="rId1156" display="http://quote.eastmoney.com/002153.html" xr:uid="{00000000-0004-0000-1100-000083040000}"/>
    <hyperlink ref="C575" r:id="rId1157" display="http://data.eastmoney.com/stockdata/002153.html" xr:uid="{00000000-0004-0000-1100-000084040000}"/>
    <hyperlink ref="B576" r:id="rId1158" display="http://quote.eastmoney.com/603187.html" xr:uid="{00000000-0004-0000-1100-000085040000}"/>
    <hyperlink ref="C576" r:id="rId1159" display="http://data.eastmoney.com/stockdata/603187.html" xr:uid="{00000000-0004-0000-1100-000086040000}"/>
    <hyperlink ref="B577" r:id="rId1160" display="http://quote.eastmoney.com/600760.html" xr:uid="{00000000-0004-0000-1100-000087040000}"/>
    <hyperlink ref="C577" r:id="rId1161" display="http://data.eastmoney.com/stockdata/600760.html" xr:uid="{00000000-0004-0000-1100-000088040000}"/>
    <hyperlink ref="B578" r:id="rId1162" display="http://quote.eastmoney.com/300192.html" xr:uid="{00000000-0004-0000-1100-000089040000}"/>
    <hyperlink ref="C578" r:id="rId1163" display="http://data.eastmoney.com/stockdata/300192.html" xr:uid="{00000000-0004-0000-1100-00008A040000}"/>
    <hyperlink ref="B579" r:id="rId1164" display="http://quote.eastmoney.com/603043.html" xr:uid="{00000000-0004-0000-1100-00008B040000}"/>
    <hyperlink ref="C579" r:id="rId1165" display="http://data.eastmoney.com/stockdata/603043.html" xr:uid="{00000000-0004-0000-1100-00008C040000}"/>
    <hyperlink ref="B580" r:id="rId1166" display="http://quote.eastmoney.com/600967.html" xr:uid="{00000000-0004-0000-1100-00008D040000}"/>
    <hyperlink ref="C580" r:id="rId1167" display="http://data.eastmoney.com/stockdata/600967.html" xr:uid="{00000000-0004-0000-1100-00008E040000}"/>
    <hyperlink ref="B581" r:id="rId1168" display="http://quote.eastmoney.com/600885.html" xr:uid="{00000000-0004-0000-1100-00008F040000}"/>
    <hyperlink ref="C581" r:id="rId1169" display="http://data.eastmoney.com/stockdata/600885.html" xr:uid="{00000000-0004-0000-1100-000090040000}"/>
    <hyperlink ref="B582" r:id="rId1170" display="http://quote.eastmoney.com/300024.html" xr:uid="{00000000-0004-0000-1100-000091040000}"/>
    <hyperlink ref="C582" r:id="rId1171" display="http://data.eastmoney.com/stockdata/300024.html" xr:uid="{00000000-0004-0000-1100-000092040000}"/>
    <hyperlink ref="B583" r:id="rId1172" display="http://quote.eastmoney.com/002717.html" xr:uid="{00000000-0004-0000-1100-000093040000}"/>
    <hyperlink ref="C583" r:id="rId1173" display="http://data.eastmoney.com/stockdata/002717.html" xr:uid="{00000000-0004-0000-1100-000094040000}"/>
    <hyperlink ref="B584" r:id="rId1174" display="http://quote.eastmoney.com/600893.html" xr:uid="{00000000-0004-0000-1100-000095040000}"/>
    <hyperlink ref="C584" r:id="rId1175" display="http://data.eastmoney.com/stockdata/600893.html" xr:uid="{00000000-0004-0000-1100-000096040000}"/>
    <hyperlink ref="B585" r:id="rId1176" display="http://quote.eastmoney.com/000963.html" xr:uid="{00000000-0004-0000-1100-000097040000}"/>
    <hyperlink ref="C585" r:id="rId1177" display="http://data.eastmoney.com/stockdata/000963.html" xr:uid="{00000000-0004-0000-1100-000098040000}"/>
    <hyperlink ref="B586" r:id="rId1178" display="http://quote.eastmoney.com/603160.html" xr:uid="{00000000-0004-0000-1100-000099040000}"/>
    <hyperlink ref="C586" r:id="rId1179" display="http://data.eastmoney.com/stockdata/603160.html" xr:uid="{00000000-0004-0000-1100-00009A040000}"/>
    <hyperlink ref="B587" r:id="rId1180" display="http://quote.eastmoney.com/000069.html" xr:uid="{00000000-0004-0000-1100-00009B040000}"/>
    <hyperlink ref="C587" r:id="rId1181" display="http://data.eastmoney.com/stockdata/000069.html" xr:uid="{00000000-0004-0000-1100-00009C040000}"/>
    <hyperlink ref="B588" r:id="rId1182" display="http://quote.eastmoney.com/600926.html" xr:uid="{00000000-0004-0000-1100-00009D040000}"/>
    <hyperlink ref="C588" r:id="rId1183" display="http://data.eastmoney.com/stockdata/600926.html" xr:uid="{00000000-0004-0000-1100-00009E040000}"/>
    <hyperlink ref="B589" r:id="rId1184" display="http://quote.eastmoney.com/002831.html" xr:uid="{00000000-0004-0000-1100-00009F040000}"/>
    <hyperlink ref="C589" r:id="rId1185" display="http://data.eastmoney.com/stockdata/002831.html" xr:uid="{00000000-0004-0000-1100-0000A0040000}"/>
    <hyperlink ref="B590" r:id="rId1186" display="http://quote.eastmoney.com/300284.html" xr:uid="{00000000-0004-0000-1100-0000A1040000}"/>
    <hyperlink ref="C590" r:id="rId1187" display="http://data.eastmoney.com/stockdata/300284.html" xr:uid="{00000000-0004-0000-1100-0000A2040000}"/>
    <hyperlink ref="B591" r:id="rId1188" display="http://quote.eastmoney.com/601100.html" xr:uid="{00000000-0004-0000-1100-0000A3040000}"/>
    <hyperlink ref="C591" r:id="rId1189" display="http://data.eastmoney.com/stockdata/601100.html" xr:uid="{00000000-0004-0000-1100-0000A4040000}"/>
    <hyperlink ref="B592" r:id="rId1190" display="http://quote.eastmoney.com/600048.html" xr:uid="{00000000-0004-0000-1100-0000A5040000}"/>
    <hyperlink ref="C592" r:id="rId1191" display="http://data.eastmoney.com/stockdata/600048.html" xr:uid="{00000000-0004-0000-1100-0000A6040000}"/>
    <hyperlink ref="B593" r:id="rId1192" display="http://quote.eastmoney.com/601233.html" xr:uid="{00000000-0004-0000-1100-0000A7040000}"/>
    <hyperlink ref="C593" r:id="rId1193" display="http://data.eastmoney.com/stockdata/601233.html" xr:uid="{00000000-0004-0000-1100-0000A8040000}"/>
    <hyperlink ref="B594" r:id="rId1194" display="http://quote.eastmoney.com/000796.html" xr:uid="{00000000-0004-0000-1100-0000A9040000}"/>
    <hyperlink ref="C594" r:id="rId1195" display="http://data.eastmoney.com/stockdata/000796.html" xr:uid="{00000000-0004-0000-1100-0000AA040000}"/>
    <hyperlink ref="B595" r:id="rId1196" display="http://quote.eastmoney.com/000887.html" xr:uid="{00000000-0004-0000-1100-0000AB040000}"/>
    <hyperlink ref="C595" r:id="rId1197" display="http://data.eastmoney.com/stockdata/000887.html" xr:uid="{00000000-0004-0000-1100-0000AC040000}"/>
    <hyperlink ref="B596" r:id="rId1198" display="http://quote.eastmoney.com/002468.html" xr:uid="{00000000-0004-0000-1100-0000AD040000}"/>
    <hyperlink ref="C596" r:id="rId1199" display="http://data.eastmoney.com/stockdata/002468.html" xr:uid="{00000000-0004-0000-1100-0000AE040000}"/>
    <hyperlink ref="B597" r:id="rId1200" display="http://quote.eastmoney.com/002727.html" xr:uid="{00000000-0004-0000-1100-0000AF040000}"/>
    <hyperlink ref="C597" r:id="rId1201" display="http://data.eastmoney.com/stockdata/002727.html" xr:uid="{00000000-0004-0000-1100-0000B0040000}"/>
    <hyperlink ref="B598" r:id="rId1202" display="http://quote.eastmoney.com/600919.html" xr:uid="{00000000-0004-0000-1100-0000B1040000}"/>
    <hyperlink ref="C598" r:id="rId1203" display="http://data.eastmoney.com/stockdata/600919.html" xr:uid="{00000000-0004-0000-1100-0000B2040000}"/>
    <hyperlink ref="B599" r:id="rId1204" display="http://quote.eastmoney.com/600160.html" xr:uid="{00000000-0004-0000-1100-0000B3040000}"/>
    <hyperlink ref="C599" r:id="rId1205" display="http://data.eastmoney.com/stockdata/600160.html" xr:uid="{00000000-0004-0000-1100-0000B4040000}"/>
    <hyperlink ref="B600" r:id="rId1206" display="http://quote.eastmoney.com/002602.html" xr:uid="{00000000-0004-0000-1100-0000B5040000}"/>
    <hyperlink ref="C600" r:id="rId1207" display="http://data.eastmoney.com/stockdata/002602.html" xr:uid="{00000000-0004-0000-1100-0000B6040000}"/>
    <hyperlink ref="B601" r:id="rId1208" display="http://quote.eastmoney.com/603997.html" xr:uid="{00000000-0004-0000-1100-0000B7040000}"/>
    <hyperlink ref="C601" r:id="rId1209" display="http://data.eastmoney.com/stockdata/603997.html" xr:uid="{00000000-0004-0000-1100-0000B8040000}"/>
    <hyperlink ref="B602" r:id="rId1210" display="http://quote.eastmoney.com/002074.html" xr:uid="{00000000-0004-0000-1100-0000B9040000}"/>
    <hyperlink ref="C602" r:id="rId1211" display="http://data.eastmoney.com/stockdata/002074.html" xr:uid="{00000000-0004-0000-1100-0000BA040000}"/>
    <hyperlink ref="B603" r:id="rId1212" display="http://quote.eastmoney.com/002677.html" xr:uid="{00000000-0004-0000-1100-0000BB040000}"/>
    <hyperlink ref="C603" r:id="rId1213" display="http://data.eastmoney.com/stockdata/002677.html" xr:uid="{00000000-0004-0000-1100-0000BC040000}"/>
    <hyperlink ref="B604" r:id="rId1214" display="http://quote.eastmoney.com/000090.html" xr:uid="{00000000-0004-0000-1100-0000BD040000}"/>
    <hyperlink ref="C604" r:id="rId1215" display="http://data.eastmoney.com/stockdata/000090.html" xr:uid="{00000000-0004-0000-1100-0000BE040000}"/>
    <hyperlink ref="B605" r:id="rId1216" display="http://quote.eastmoney.com/000710.html" xr:uid="{00000000-0004-0000-1100-0000BF040000}"/>
    <hyperlink ref="C605" r:id="rId1217" display="http://data.eastmoney.com/stockdata/000710.html" xr:uid="{00000000-0004-0000-1100-0000C0040000}"/>
    <hyperlink ref="B606" r:id="rId1218" display="http://quote.eastmoney.com/002020.html" xr:uid="{00000000-0004-0000-1100-0000C1040000}"/>
    <hyperlink ref="C606" r:id="rId1219" display="http://data.eastmoney.com/stockdata/002020.html" xr:uid="{00000000-0004-0000-1100-0000C2040000}"/>
    <hyperlink ref="B607" r:id="rId1220" display="http://quote.eastmoney.com/300571.html" xr:uid="{00000000-0004-0000-1100-0000C3040000}"/>
    <hyperlink ref="C607" r:id="rId1221" display="http://data.eastmoney.com/stockdata/300571.html" xr:uid="{00000000-0004-0000-1100-0000C4040000}"/>
    <hyperlink ref="B608" r:id="rId1222" display="http://quote.eastmoney.com/000902.html" xr:uid="{00000000-0004-0000-1100-0000C5040000}"/>
    <hyperlink ref="C608" r:id="rId1223" display="http://data.eastmoney.com/stockdata/000902.html" xr:uid="{00000000-0004-0000-1100-0000C6040000}"/>
    <hyperlink ref="B609" r:id="rId1224" display="http://quote.eastmoney.com/000878.html" xr:uid="{00000000-0004-0000-1100-0000C7040000}"/>
    <hyperlink ref="C609" r:id="rId1225" display="http://data.eastmoney.com/stockdata/000878.html" xr:uid="{00000000-0004-0000-1100-0000C8040000}"/>
    <hyperlink ref="B610" r:id="rId1226" display="http://quote.eastmoney.com/600196.html" xr:uid="{00000000-0004-0000-1100-0000C9040000}"/>
    <hyperlink ref="C610" r:id="rId1227" display="http://data.eastmoney.com/stockdata/600196.html" xr:uid="{00000000-0004-0000-1100-0000CA040000}"/>
    <hyperlink ref="B611" r:id="rId1228" display="http://quote.eastmoney.com/002690.html" xr:uid="{00000000-0004-0000-1100-0000CB040000}"/>
    <hyperlink ref="C611" r:id="rId1229" display="http://data.eastmoney.com/stockdata/002690.html" xr:uid="{00000000-0004-0000-1100-0000CC040000}"/>
    <hyperlink ref="B612" r:id="rId1230" display="http://quote.eastmoney.com/002126.html" xr:uid="{00000000-0004-0000-1100-0000CD040000}"/>
    <hyperlink ref="C612" r:id="rId1231" display="http://data.eastmoney.com/stockdata/002126.html" xr:uid="{00000000-0004-0000-1100-0000CE040000}"/>
    <hyperlink ref="B613" r:id="rId1232" display="http://quote.eastmoney.com/300118.html" xr:uid="{00000000-0004-0000-1100-0000CF040000}"/>
    <hyperlink ref="C613" r:id="rId1233" display="http://data.eastmoney.com/stockdata/300118.html" xr:uid="{00000000-0004-0000-1100-0000D0040000}"/>
    <hyperlink ref="B614" r:id="rId1234" display="http://quote.eastmoney.com/300788.html" xr:uid="{00000000-0004-0000-1100-0000D1040000}"/>
    <hyperlink ref="C614" r:id="rId1235" display="http://data.eastmoney.com/stockdata/300788.html" xr:uid="{00000000-0004-0000-1100-0000D2040000}"/>
    <hyperlink ref="B615" r:id="rId1236" display="http://quote.eastmoney.com/002223.html" xr:uid="{00000000-0004-0000-1100-0000D3040000}"/>
    <hyperlink ref="C615" r:id="rId1237" display="http://data.eastmoney.com/stockdata/002223.html" xr:uid="{00000000-0004-0000-1100-0000D4040000}"/>
    <hyperlink ref="B616" r:id="rId1238" display="http://quote.eastmoney.com/603385.html" xr:uid="{00000000-0004-0000-1100-0000D5040000}"/>
    <hyperlink ref="C616" r:id="rId1239" display="http://data.eastmoney.com/stockdata/603385.html" xr:uid="{00000000-0004-0000-1100-0000D6040000}"/>
    <hyperlink ref="B617" r:id="rId1240" display="http://quote.eastmoney.com/603385.html" xr:uid="{00000000-0004-0000-1100-0000D7040000}"/>
    <hyperlink ref="C617" r:id="rId1241" display="http://data.eastmoney.com/stockdata/603385.html" xr:uid="{00000000-0004-0000-1100-0000D8040000}"/>
    <hyperlink ref="B618" r:id="rId1242" display="http://quote.eastmoney.com/300495.html" xr:uid="{00000000-0004-0000-1100-0000D9040000}"/>
    <hyperlink ref="C618" r:id="rId1243" display="http://data.eastmoney.com/stockdata/300495.html" xr:uid="{00000000-0004-0000-1100-0000DA040000}"/>
    <hyperlink ref="B619" r:id="rId1244" display="http://quote.eastmoney.com/300398.html" xr:uid="{00000000-0004-0000-1100-0000DB040000}"/>
    <hyperlink ref="C619" r:id="rId1245" display="http://data.eastmoney.com/stockdata/300398.html" xr:uid="{00000000-0004-0000-1100-0000DC040000}"/>
    <hyperlink ref="B620" r:id="rId1246" display="http://quote.eastmoney.com/000582.html" xr:uid="{00000000-0004-0000-1100-0000DD040000}"/>
    <hyperlink ref="C620" r:id="rId1247" display="http://data.eastmoney.com/stockdata/000582.html" xr:uid="{00000000-0004-0000-1100-0000DE040000}"/>
    <hyperlink ref="B621" r:id="rId1248" display="http://quote.eastmoney.com/600217.html" xr:uid="{00000000-0004-0000-1100-0000DF040000}"/>
    <hyperlink ref="C621" r:id="rId1249" display="http://data.eastmoney.com/stockdata/600217.html" xr:uid="{00000000-0004-0000-1100-0000E0040000}"/>
    <hyperlink ref="B622" r:id="rId1250" display="http://quote.eastmoney.com/603586.html" xr:uid="{00000000-0004-0000-1100-0000E1040000}"/>
    <hyperlink ref="C622" r:id="rId1251" display="http://data.eastmoney.com/stockdata/603586.html" xr:uid="{00000000-0004-0000-1100-0000E2040000}"/>
    <hyperlink ref="B623" r:id="rId1252" display="http://quote.eastmoney.com/600765.html" xr:uid="{00000000-0004-0000-1100-0000E3040000}"/>
    <hyperlink ref="C623" r:id="rId1253" display="http://data.eastmoney.com/stockdata/600765.html" xr:uid="{00000000-0004-0000-1100-0000E4040000}"/>
    <hyperlink ref="B624" r:id="rId1254" display="http://quote.eastmoney.com/601128.html" xr:uid="{00000000-0004-0000-1100-0000E5040000}"/>
    <hyperlink ref="C624" r:id="rId1255" display="http://data.eastmoney.com/stockdata/601128.html" xr:uid="{00000000-0004-0000-1100-0000E6040000}"/>
    <hyperlink ref="B625" r:id="rId1256" display="http://quote.eastmoney.com/601021.html" xr:uid="{00000000-0004-0000-1100-0000E7040000}"/>
    <hyperlink ref="C625" r:id="rId1257" display="http://data.eastmoney.com/stockdata/601021.html" xr:uid="{00000000-0004-0000-1100-0000E8040000}"/>
    <hyperlink ref="B626" r:id="rId1258" display="http://quote.eastmoney.com/603866.html" xr:uid="{00000000-0004-0000-1100-0000E9040000}"/>
    <hyperlink ref="C626" r:id="rId1259" display="http://data.eastmoney.com/stockdata/603866.html" xr:uid="{00000000-0004-0000-1100-0000EA040000}"/>
    <hyperlink ref="B627" r:id="rId1260" display="http://quote.eastmoney.com/600406.html" xr:uid="{00000000-0004-0000-1100-0000EB040000}"/>
    <hyperlink ref="C627" r:id="rId1261" display="http://data.eastmoney.com/stockdata/600406.html" xr:uid="{00000000-0004-0000-1100-0000EC040000}"/>
    <hyperlink ref="B628" r:id="rId1262" display="http://quote.eastmoney.com/002142.html" xr:uid="{00000000-0004-0000-1100-0000ED040000}"/>
    <hyperlink ref="C628" r:id="rId1263" display="http://data.eastmoney.com/stockdata/002142.html" xr:uid="{00000000-0004-0000-1100-0000EE040000}"/>
    <hyperlink ref="B629" r:id="rId1264" display="http://quote.eastmoney.com/603103.html" xr:uid="{00000000-0004-0000-1100-0000EF040000}"/>
    <hyperlink ref="C629" r:id="rId1265" display="http://data.eastmoney.com/stockdata/603103.html" xr:uid="{00000000-0004-0000-1100-0000F0040000}"/>
    <hyperlink ref="B630" r:id="rId1266" display="http://quote.eastmoney.com/603517.html" xr:uid="{00000000-0004-0000-1100-0000F1040000}"/>
    <hyperlink ref="C630" r:id="rId1267" display="http://data.eastmoney.com/stockdata/603517.html" xr:uid="{00000000-0004-0000-1100-0000F2040000}"/>
    <hyperlink ref="B631" r:id="rId1268" display="http://quote.eastmoney.com/000988.html" xr:uid="{00000000-0004-0000-1100-0000F3040000}"/>
    <hyperlink ref="C631" r:id="rId1269" display="http://data.eastmoney.com/stockdata/000988.html" xr:uid="{00000000-0004-0000-1100-0000F4040000}"/>
    <hyperlink ref="B632" r:id="rId1270" display="http://quote.eastmoney.com/002745.html" xr:uid="{00000000-0004-0000-1100-0000F5040000}"/>
    <hyperlink ref="C632" r:id="rId1271" display="http://data.eastmoney.com/stockdata/002745.html" xr:uid="{00000000-0004-0000-1100-0000F6040000}"/>
    <hyperlink ref="B633" r:id="rId1272" display="http://quote.eastmoney.com/000031.html" xr:uid="{00000000-0004-0000-1100-0000F7040000}"/>
    <hyperlink ref="C633" r:id="rId1273" display="http://data.eastmoney.com/stockdata/000031.html" xr:uid="{00000000-0004-0000-1100-0000F8040000}"/>
    <hyperlink ref="B634" r:id="rId1274" display="http://quote.eastmoney.com/002171.html" xr:uid="{00000000-0004-0000-1100-0000F9040000}"/>
    <hyperlink ref="C634" r:id="rId1275" display="http://data.eastmoney.com/stockdata/002171.html" xr:uid="{00000000-0004-0000-1100-0000FA040000}"/>
    <hyperlink ref="B635" r:id="rId1276" display="http://quote.eastmoney.com/000066.html" xr:uid="{00000000-0004-0000-1100-0000FB040000}"/>
    <hyperlink ref="C635" r:id="rId1277" display="http://data.eastmoney.com/stockdata/000066.html" xr:uid="{00000000-0004-0000-1100-0000FC040000}"/>
    <hyperlink ref="B636" r:id="rId1278" display="http://quote.eastmoney.com/600309.html" xr:uid="{00000000-0004-0000-1100-0000FD040000}"/>
    <hyperlink ref="C636" r:id="rId1279" display="http://data.eastmoney.com/stockdata/600309.html" xr:uid="{00000000-0004-0000-1100-0000FE040000}"/>
    <hyperlink ref="B637" r:id="rId1280" display="http://quote.eastmoney.com/601996.html" xr:uid="{00000000-0004-0000-1100-0000FF040000}"/>
    <hyperlink ref="C637" r:id="rId1281" display="http://data.eastmoney.com/stockdata/601996.html" xr:uid="{00000000-0004-0000-1100-000000050000}"/>
    <hyperlink ref="B638" r:id="rId1282" display="http://quote.eastmoney.com/601996.html" xr:uid="{00000000-0004-0000-1100-000001050000}"/>
    <hyperlink ref="C638" r:id="rId1283" display="http://data.eastmoney.com/stockdata/601996.html" xr:uid="{00000000-0004-0000-1100-000002050000}"/>
    <hyperlink ref="B639" r:id="rId1284" display="http://quote.eastmoney.com/603599.html" xr:uid="{00000000-0004-0000-1100-000003050000}"/>
    <hyperlink ref="C639" r:id="rId1285" display="http://data.eastmoney.com/stockdata/603599.html" xr:uid="{00000000-0004-0000-1100-000004050000}"/>
    <hyperlink ref="B640" r:id="rId1286" display="http://quote.eastmoney.com/603983.html" xr:uid="{00000000-0004-0000-1100-000005050000}"/>
    <hyperlink ref="C640" r:id="rId1287" display="http://data.eastmoney.com/stockdata/603983.html" xr:uid="{00000000-0004-0000-1100-000006050000}"/>
    <hyperlink ref="B641" r:id="rId1288" display="http://quote.eastmoney.com/002621.html" xr:uid="{00000000-0004-0000-1100-000007050000}"/>
    <hyperlink ref="C641" r:id="rId1289" display="http://data.eastmoney.com/stockdata/002621.html" xr:uid="{00000000-0004-0000-1100-000008050000}"/>
    <hyperlink ref="B642" r:id="rId1290" display="http://quote.eastmoney.com/002707.html" xr:uid="{00000000-0004-0000-1100-000009050000}"/>
    <hyperlink ref="C642" r:id="rId1291" display="http://data.eastmoney.com/stockdata/002707.html" xr:uid="{00000000-0004-0000-1100-00000A050000}"/>
    <hyperlink ref="B643" r:id="rId1292" display="http://quote.eastmoney.com/000818.html" xr:uid="{00000000-0004-0000-1100-00000B050000}"/>
    <hyperlink ref="C643" r:id="rId1293" display="http://data.eastmoney.com/stockdata/000818.html" xr:uid="{00000000-0004-0000-1100-00000C050000}"/>
    <hyperlink ref="B644" r:id="rId1294" display="http://quote.eastmoney.com/603008.html" xr:uid="{00000000-0004-0000-1100-00000D050000}"/>
    <hyperlink ref="C644" r:id="rId1295" display="http://data.eastmoney.com/stockdata/603008.html" xr:uid="{00000000-0004-0000-1100-00000E050000}"/>
    <hyperlink ref="B645" r:id="rId1296" display="http://quote.eastmoney.com/300258.html" xr:uid="{00000000-0004-0000-1100-00000F050000}"/>
    <hyperlink ref="C645" r:id="rId1297" display="http://data.eastmoney.com/stockdata/300258.html" xr:uid="{00000000-0004-0000-1100-000010050000}"/>
    <hyperlink ref="B646" r:id="rId1298" display="http://quote.eastmoney.com/300170.html" xr:uid="{00000000-0004-0000-1100-000011050000}"/>
    <hyperlink ref="C646" r:id="rId1299" display="http://data.eastmoney.com/stockdata/300170.html" xr:uid="{00000000-0004-0000-1100-000012050000}"/>
    <hyperlink ref="B647" r:id="rId1300" display="http://quote.eastmoney.com/600323.html" xr:uid="{00000000-0004-0000-1100-000013050000}"/>
    <hyperlink ref="C647" r:id="rId1301" display="http://data.eastmoney.com/stockdata/600323.html" xr:uid="{00000000-0004-0000-1100-000014050000}"/>
    <hyperlink ref="B648" r:id="rId1302" display="http://quote.eastmoney.com/002518.html" xr:uid="{00000000-0004-0000-1100-000015050000}"/>
    <hyperlink ref="C648" r:id="rId1303" display="http://data.eastmoney.com/stockdata/002518.html" xr:uid="{00000000-0004-0000-1100-000016050000}"/>
    <hyperlink ref="B649" r:id="rId1304" display="http://quote.eastmoney.com/300406.html" xr:uid="{00000000-0004-0000-1100-000017050000}"/>
    <hyperlink ref="C649" r:id="rId1305" display="http://data.eastmoney.com/stockdata/300406.html" xr:uid="{00000000-0004-0000-1100-000018050000}"/>
    <hyperlink ref="B650" r:id="rId1306" display="http://quote.eastmoney.com/603806.html" xr:uid="{00000000-0004-0000-1100-000019050000}"/>
    <hyperlink ref="C650" r:id="rId1307" display="http://data.eastmoney.com/stockdata/603806.html" xr:uid="{00000000-0004-0000-1100-00001A050000}"/>
    <hyperlink ref="B651" r:id="rId1308" display="http://quote.eastmoney.com/603596.html" xr:uid="{00000000-0004-0000-1100-00001B050000}"/>
    <hyperlink ref="C651" r:id="rId1309" display="http://data.eastmoney.com/stockdata/603596.html" xr:uid="{00000000-0004-0000-1100-00001C050000}"/>
    <hyperlink ref="B652" r:id="rId1310" display="http://quote.eastmoney.com/000967.html" xr:uid="{00000000-0004-0000-1100-00001D050000}"/>
    <hyperlink ref="C652" r:id="rId1311" display="http://data.eastmoney.com/stockdata/000967.html" xr:uid="{00000000-0004-0000-1100-00001E050000}"/>
    <hyperlink ref="B653" r:id="rId1312" display="http://quote.eastmoney.com/600057.html" xr:uid="{00000000-0004-0000-1100-00001F050000}"/>
    <hyperlink ref="C653" r:id="rId1313" display="http://data.eastmoney.com/stockdata/600057.html" xr:uid="{00000000-0004-0000-1100-000020050000}"/>
    <hyperlink ref="B654" r:id="rId1314" display="http://quote.eastmoney.com/600180.html" xr:uid="{00000000-0004-0000-1100-000021050000}"/>
    <hyperlink ref="C654" r:id="rId1315" display="http://data.eastmoney.com/stockdata/600180.html" xr:uid="{00000000-0004-0000-1100-000022050000}"/>
    <hyperlink ref="B655" r:id="rId1316" display="http://quote.eastmoney.com/600519.html" xr:uid="{00000000-0004-0000-1100-000023050000}"/>
    <hyperlink ref="C655" r:id="rId1317" display="http://data.eastmoney.com/stockdata/600519.html" xr:uid="{00000000-0004-0000-1100-000024050000}"/>
    <hyperlink ref="B656" r:id="rId1318" display="http://quote.eastmoney.com/000968.html" xr:uid="{00000000-0004-0000-1100-000025050000}"/>
    <hyperlink ref="C656" r:id="rId1319" display="http://data.eastmoney.com/stockdata/000968.html" xr:uid="{00000000-0004-0000-1100-000026050000}"/>
    <hyperlink ref="B657" r:id="rId1320" display="http://quote.eastmoney.com/300203.html" xr:uid="{00000000-0004-0000-1100-000027050000}"/>
    <hyperlink ref="C657" r:id="rId1321" display="http://data.eastmoney.com/stockdata/300203.html" xr:uid="{00000000-0004-0000-1100-000028050000}"/>
    <hyperlink ref="B658" r:id="rId1322" display="http://quote.eastmoney.com/300203.html" xr:uid="{00000000-0004-0000-1100-000029050000}"/>
    <hyperlink ref="C658" r:id="rId1323" display="http://data.eastmoney.com/stockdata/300203.html" xr:uid="{00000000-0004-0000-1100-00002A050000}"/>
    <hyperlink ref="B659" r:id="rId1324" display="http://quote.eastmoney.com/000553.html" xr:uid="{00000000-0004-0000-1100-00002B050000}"/>
    <hyperlink ref="C659" r:id="rId1325" display="http://data.eastmoney.com/stockdata/000553.html" xr:uid="{00000000-0004-0000-1100-00002C050000}"/>
    <hyperlink ref="B660" r:id="rId1326" display="http://quote.eastmoney.com/000002.html" xr:uid="{00000000-0004-0000-1100-00002D050000}"/>
    <hyperlink ref="C660" r:id="rId1327" display="http://data.eastmoney.com/stockdata/000002.html" xr:uid="{00000000-0004-0000-1100-00002E050000}"/>
    <hyperlink ref="B661" r:id="rId1328" display="http://quote.eastmoney.com/603288.html" xr:uid="{00000000-0004-0000-1100-00002F050000}"/>
    <hyperlink ref="C661" r:id="rId1329" display="http://data.eastmoney.com/stockdata/603288.html" xr:uid="{00000000-0004-0000-1100-000030050000}"/>
    <hyperlink ref="B662" r:id="rId1330" display="http://quote.eastmoney.com/002597.html" xr:uid="{00000000-0004-0000-1100-000031050000}"/>
    <hyperlink ref="C662" r:id="rId1331" display="http://data.eastmoney.com/stockdata/002597.html" xr:uid="{00000000-0004-0000-1100-000032050000}"/>
    <hyperlink ref="B663" r:id="rId1332" display="http://quote.eastmoney.com/002867.html" xr:uid="{00000000-0004-0000-1100-000033050000}"/>
    <hyperlink ref="C663" r:id="rId1333" display="http://data.eastmoney.com/stockdata/002867.html" xr:uid="{00000000-0004-0000-1100-000034050000}"/>
    <hyperlink ref="B664" r:id="rId1334" display="http://quote.eastmoney.com/600219.html" xr:uid="{00000000-0004-0000-1100-000035050000}"/>
    <hyperlink ref="C664" r:id="rId1335" display="http://data.eastmoney.com/stockdata/600219.html" xr:uid="{00000000-0004-0000-1100-000036050000}"/>
    <hyperlink ref="B665" r:id="rId1336" display="http://quote.eastmoney.com/002600.html" xr:uid="{00000000-0004-0000-1100-000037050000}"/>
    <hyperlink ref="C665" r:id="rId1337" display="http://data.eastmoney.com/stockdata/002600.html" xr:uid="{00000000-0004-0000-1100-000038050000}"/>
    <hyperlink ref="B666" r:id="rId1338" display="http://quote.eastmoney.com/600383.html" xr:uid="{00000000-0004-0000-1100-000039050000}"/>
    <hyperlink ref="C666" r:id="rId1339" display="http://data.eastmoney.com/stockdata/600383.html" xr:uid="{00000000-0004-0000-1100-00003A050000}"/>
    <hyperlink ref="B667" r:id="rId1340" display="http://quote.eastmoney.com/603686.html" xr:uid="{00000000-0004-0000-1100-00003B050000}"/>
    <hyperlink ref="C667" r:id="rId1341" display="http://data.eastmoney.com/stockdata/603686.html" xr:uid="{00000000-0004-0000-1100-00003C050000}"/>
    <hyperlink ref="B668" r:id="rId1342" display="http://quote.eastmoney.com/601238.html" xr:uid="{00000000-0004-0000-1100-00003D050000}"/>
    <hyperlink ref="C668" r:id="rId1343" display="http://data.eastmoney.com/stockdata/601238.html" xr:uid="{00000000-0004-0000-1100-00003E050000}"/>
    <hyperlink ref="B669" r:id="rId1344" display="http://quote.eastmoney.com/000768.html" xr:uid="{00000000-0004-0000-1100-00003F050000}"/>
    <hyperlink ref="C669" r:id="rId1345" display="http://data.eastmoney.com/stockdata/000768.html" xr:uid="{00000000-0004-0000-1100-000040050000}"/>
    <hyperlink ref="B670" r:id="rId1346" display="http://quote.eastmoney.com/600600.html" xr:uid="{00000000-0004-0000-1100-000041050000}"/>
    <hyperlink ref="C670" r:id="rId1347" display="http://data.eastmoney.com/stockdata/600600.html" xr:uid="{00000000-0004-0000-1100-000042050000}"/>
    <hyperlink ref="B671" r:id="rId1348" display="http://quote.eastmoney.com/600167.html" xr:uid="{00000000-0004-0000-1100-000043050000}"/>
    <hyperlink ref="C671" r:id="rId1349" display="http://data.eastmoney.com/stockdata/600167.html" xr:uid="{00000000-0004-0000-1100-000044050000}"/>
    <hyperlink ref="B672" r:id="rId1350" display="http://quote.eastmoney.com/600764.html" xr:uid="{00000000-0004-0000-1100-000045050000}"/>
    <hyperlink ref="C672" r:id="rId1351" display="http://data.eastmoney.com/stockdata/600764.html" xr:uid="{00000000-0004-0000-1100-000046050000}"/>
    <hyperlink ref="B673" r:id="rId1352" display="http://quote.eastmoney.com/603816.html" xr:uid="{00000000-0004-0000-1100-000047050000}"/>
    <hyperlink ref="C673" r:id="rId1353" display="http://data.eastmoney.com/stockdata/603816.html" xr:uid="{00000000-0004-0000-1100-000048050000}"/>
    <hyperlink ref="B674" r:id="rId1354" display="http://quote.eastmoney.com/300623.html" xr:uid="{00000000-0004-0000-1100-000049050000}"/>
    <hyperlink ref="C674" r:id="rId1355" display="http://data.eastmoney.com/stockdata/300623.html" xr:uid="{00000000-0004-0000-1100-00004A050000}"/>
    <hyperlink ref="B675" r:id="rId1356" display="http://quote.eastmoney.com/002191.html" xr:uid="{00000000-0004-0000-1100-00004B050000}"/>
    <hyperlink ref="C675" r:id="rId1357" display="http://data.eastmoney.com/stockdata/002191.html" xr:uid="{00000000-0004-0000-1100-00004C050000}"/>
    <hyperlink ref="B676" r:id="rId1358" display="http://quote.eastmoney.com/600372.html" xr:uid="{00000000-0004-0000-1100-00004D050000}"/>
    <hyperlink ref="C676" r:id="rId1359" display="http://data.eastmoney.com/stockdata/600372.html" xr:uid="{00000000-0004-0000-1100-00004E050000}"/>
    <hyperlink ref="B677" r:id="rId1360" display="http://quote.eastmoney.com/600088.html" xr:uid="{00000000-0004-0000-1100-00004F050000}"/>
    <hyperlink ref="C677" r:id="rId1361" display="http://data.eastmoney.com/stockdata/600088.html" xr:uid="{00000000-0004-0000-1100-000050050000}"/>
    <hyperlink ref="B678" r:id="rId1362" display="http://quote.eastmoney.com/600195.html" xr:uid="{00000000-0004-0000-1100-000051050000}"/>
    <hyperlink ref="C678" r:id="rId1363" display="http://data.eastmoney.com/stockdata/600195.html" xr:uid="{00000000-0004-0000-1100-000052050000}"/>
    <hyperlink ref="B679" r:id="rId1364" display="http://quote.eastmoney.com/000488.html" xr:uid="{00000000-0004-0000-1100-000053050000}"/>
    <hyperlink ref="C679" r:id="rId1365" display="http://data.eastmoney.com/stockdata/000488.html" xr:uid="{00000000-0004-0000-1100-000054050000}"/>
    <hyperlink ref="B680" r:id="rId1366" display="http://quote.eastmoney.com/000810.html" xr:uid="{00000000-0004-0000-1100-000055050000}"/>
    <hyperlink ref="C680" r:id="rId1367" display="http://data.eastmoney.com/stockdata/000810.html" xr:uid="{00000000-0004-0000-1100-000056050000}"/>
    <hyperlink ref="B681" r:id="rId1368" display="http://quote.eastmoney.com/603833.html" xr:uid="{00000000-0004-0000-1100-000057050000}"/>
    <hyperlink ref="C681" r:id="rId1369" display="http://data.eastmoney.com/stockdata/603833.html" xr:uid="{00000000-0004-0000-1100-000058050000}"/>
    <hyperlink ref="B682" r:id="rId1370" display="http://quote.eastmoney.com/002955.html" xr:uid="{00000000-0004-0000-1100-000059050000}"/>
    <hyperlink ref="C682" r:id="rId1371" display="http://data.eastmoney.com/stockdata/002955.html" xr:uid="{00000000-0004-0000-1100-00005A050000}"/>
    <hyperlink ref="B683" r:id="rId1372" display="http://quote.eastmoney.com/002955.html" xr:uid="{00000000-0004-0000-1100-00005B050000}"/>
    <hyperlink ref="C683" r:id="rId1373" display="http://data.eastmoney.com/stockdata/002955.html" xr:uid="{00000000-0004-0000-1100-00005C050000}"/>
    <hyperlink ref="B684" r:id="rId1374" display="http://quote.eastmoney.com/603708.html" xr:uid="{00000000-0004-0000-1100-00005D050000}"/>
    <hyperlink ref="C684" r:id="rId1375" display="http://data.eastmoney.com/stockdata/603708.html" xr:uid="{00000000-0004-0000-1100-00005E050000}"/>
    <hyperlink ref="B685" r:id="rId1376" display="http://quote.eastmoney.com/600271.html" xr:uid="{00000000-0004-0000-1100-00005F050000}"/>
    <hyperlink ref="C685" r:id="rId1377" display="http://data.eastmoney.com/stockdata/600271.html" xr:uid="{00000000-0004-0000-1100-000060050000}"/>
    <hyperlink ref="B686" r:id="rId1378" display="http://quote.eastmoney.com/600362.html" xr:uid="{00000000-0004-0000-1100-000061050000}"/>
    <hyperlink ref="C686" r:id="rId1379" display="http://data.eastmoney.com/stockdata/600362.html" xr:uid="{00000000-0004-0000-1100-000062050000}"/>
    <hyperlink ref="B687" r:id="rId1380" display="http://quote.eastmoney.com/603026.html" xr:uid="{00000000-0004-0000-1100-000063050000}"/>
    <hyperlink ref="C687" r:id="rId1381" display="http://data.eastmoney.com/stockdata/603026.html" xr:uid="{00000000-0004-0000-1100-000064050000}"/>
    <hyperlink ref="B688" r:id="rId1382" display="http://quote.eastmoney.com/600380.html" xr:uid="{00000000-0004-0000-1100-000065050000}"/>
    <hyperlink ref="C688" r:id="rId1383" display="http://data.eastmoney.com/stockdata/600380.html" xr:uid="{00000000-0004-0000-1100-000066050000}"/>
    <hyperlink ref="B689" r:id="rId1384" display="http://quote.eastmoney.com/601966.html" xr:uid="{00000000-0004-0000-1100-000067050000}"/>
    <hyperlink ref="C689" r:id="rId1385" display="http://data.eastmoney.com/stockdata/601966.html" xr:uid="{00000000-0004-0000-1100-000068050000}"/>
    <hyperlink ref="B690" r:id="rId1386" display="http://quote.eastmoney.com/002174.html" xr:uid="{00000000-0004-0000-1100-000069050000}"/>
    <hyperlink ref="C690" r:id="rId1387" display="http://data.eastmoney.com/stockdata/002174.html" xr:uid="{00000000-0004-0000-1100-00006A050000}"/>
    <hyperlink ref="B691" r:id="rId1388" display="http://quote.eastmoney.com/603730.html" xr:uid="{00000000-0004-0000-1100-00006B050000}"/>
    <hyperlink ref="C691" r:id="rId1389" display="http://data.eastmoney.com/stockdata/603730.html" xr:uid="{00000000-0004-0000-1100-00006C050000}"/>
    <hyperlink ref="B692" r:id="rId1390" display="http://quote.eastmoney.com/600233.html" xr:uid="{00000000-0004-0000-1100-00006D050000}"/>
    <hyperlink ref="C692" r:id="rId1391" display="http://data.eastmoney.com/stockdata/600233.html" xr:uid="{00000000-0004-0000-1100-00006E050000}"/>
    <hyperlink ref="B693" r:id="rId1392" display="http://quote.eastmoney.com/300070.html" xr:uid="{00000000-0004-0000-1100-00006F050000}"/>
    <hyperlink ref="C693" r:id="rId1393" display="http://data.eastmoney.com/stockdata/300070.html" xr:uid="{00000000-0004-0000-1100-000070050000}"/>
    <hyperlink ref="B694" r:id="rId1394" display="http://quote.eastmoney.com/603360.html" xr:uid="{00000000-0004-0000-1100-000071050000}"/>
    <hyperlink ref="C694" r:id="rId1395" display="http://data.eastmoney.com/stockdata/603360.html" xr:uid="{00000000-0004-0000-1100-000072050000}"/>
    <hyperlink ref="B695" r:id="rId1396" display="http://quote.eastmoney.com/603360.html" xr:uid="{00000000-0004-0000-1100-000073050000}"/>
    <hyperlink ref="C695" r:id="rId1397" display="http://data.eastmoney.com/stockdata/603360.html" xr:uid="{00000000-0004-0000-1100-000074050000}"/>
    <hyperlink ref="B696" r:id="rId1398" display="http://quote.eastmoney.com/002352.html" xr:uid="{00000000-0004-0000-1100-000075050000}"/>
    <hyperlink ref="C696" r:id="rId1399" display="http://data.eastmoney.com/stockdata/002352.html" xr:uid="{00000000-0004-0000-1100-000076050000}"/>
    <hyperlink ref="B697" r:id="rId1400" display="http://quote.eastmoney.com/002080.html" xr:uid="{00000000-0004-0000-1100-000077050000}"/>
    <hyperlink ref="C697" r:id="rId1401" display="http://data.eastmoney.com/stockdata/002080.html" xr:uid="{00000000-0004-0000-1100-000078050000}"/>
    <hyperlink ref="B698" r:id="rId1402" display="http://quote.eastmoney.com/601877.html" xr:uid="{00000000-0004-0000-1100-000079050000}"/>
    <hyperlink ref="C698" r:id="rId1403" display="http://data.eastmoney.com/stockdata/601877.html" xr:uid="{00000000-0004-0000-1100-00007A050000}"/>
    <hyperlink ref="B699" r:id="rId1404" display="http://quote.eastmoney.com/300113.html" xr:uid="{00000000-0004-0000-1100-00007B050000}"/>
    <hyperlink ref="C699" r:id="rId1405" display="http://data.eastmoney.com/stockdata/300113.html" xr:uid="{00000000-0004-0000-1100-00007C050000}"/>
    <hyperlink ref="B700" r:id="rId1406" display="http://quote.eastmoney.com/000601.html" xr:uid="{00000000-0004-0000-1100-00007D050000}"/>
    <hyperlink ref="C700" r:id="rId1407" display="http://data.eastmoney.com/stockdata/000601.html" xr:uid="{00000000-0004-0000-1100-00007E050000}"/>
    <hyperlink ref="B701" r:id="rId1408" display="http://quote.eastmoney.com/601229.html" xr:uid="{00000000-0004-0000-1100-00007F050000}"/>
    <hyperlink ref="C701" r:id="rId1409" display="http://data.eastmoney.com/stockdata/601229.html" xr:uid="{00000000-0004-0000-1100-000080050000}"/>
    <hyperlink ref="B702" r:id="rId1410" display="http://quote.eastmoney.com/603808.html" xr:uid="{00000000-0004-0000-1100-000081050000}"/>
    <hyperlink ref="C702" r:id="rId1411" display="http://data.eastmoney.com/stockdata/603808.html" xr:uid="{00000000-0004-0000-1100-000082050000}"/>
    <hyperlink ref="B703" r:id="rId1412" display="http://quote.eastmoney.com/300428.html" xr:uid="{00000000-0004-0000-1100-000083050000}"/>
    <hyperlink ref="C703" r:id="rId1413" display="http://data.eastmoney.com/stockdata/300428.html" xr:uid="{00000000-0004-0000-1100-000084050000}"/>
    <hyperlink ref="B704" r:id="rId1414" display="http://quote.eastmoney.com/601838.html" xr:uid="{00000000-0004-0000-1100-000085050000}"/>
    <hyperlink ref="C704" r:id="rId1415" display="http://data.eastmoney.com/stockdata/601838.html" xr:uid="{00000000-0004-0000-1100-000086050000}"/>
    <hyperlink ref="B705" r:id="rId1416" display="http://quote.eastmoney.com/002007.html" xr:uid="{00000000-0004-0000-1100-000087050000}"/>
    <hyperlink ref="C705" r:id="rId1417" display="http://data.eastmoney.com/stockdata/002007.html" xr:uid="{00000000-0004-0000-1100-000088050000}"/>
    <hyperlink ref="B706" r:id="rId1418" display="http://quote.eastmoney.com/603113.html" xr:uid="{00000000-0004-0000-1100-000089050000}"/>
    <hyperlink ref="C706" r:id="rId1419" display="http://data.eastmoney.com/stockdata/603113.html" xr:uid="{00000000-0004-0000-1100-00008A050000}"/>
    <hyperlink ref="B707" r:id="rId1420" display="http://quote.eastmoney.com/600459.html" xr:uid="{00000000-0004-0000-1100-00008B050000}"/>
    <hyperlink ref="C707" r:id="rId1421" display="http://data.eastmoney.com/stockdata/600459.html" xr:uid="{00000000-0004-0000-1100-00008C050000}"/>
    <hyperlink ref="B708" r:id="rId1422" display="http://quote.eastmoney.com/603801.html" xr:uid="{00000000-0004-0000-1100-00008D050000}"/>
    <hyperlink ref="C708" r:id="rId1423" display="http://data.eastmoney.com/stockdata/603801.html" xr:uid="{00000000-0004-0000-1100-00008E050000}"/>
    <hyperlink ref="B709" r:id="rId1424" display="http://quote.eastmoney.com/002391.html" xr:uid="{00000000-0004-0000-1100-00008F050000}"/>
    <hyperlink ref="C709" r:id="rId1425" display="http://data.eastmoney.com/stockdata/002391.html" xr:uid="{00000000-0004-0000-1100-000090050000}"/>
    <hyperlink ref="B710" r:id="rId1426" display="http://quote.eastmoney.com/000425.html" xr:uid="{00000000-0004-0000-1100-000091050000}"/>
    <hyperlink ref="C710" r:id="rId1427" display="http://data.eastmoney.com/stockdata/000425.html" xr:uid="{00000000-0004-0000-1100-000092050000}"/>
    <hyperlink ref="B711" r:id="rId1428" display="http://quote.eastmoney.com/002530.html" xr:uid="{00000000-0004-0000-1100-000093050000}"/>
    <hyperlink ref="C711" r:id="rId1429" display="http://data.eastmoney.com/stockdata/002530.html" xr:uid="{00000000-0004-0000-1100-000094050000}"/>
    <hyperlink ref="B712" r:id="rId1430" display="http://quote.eastmoney.com/603788.html" xr:uid="{00000000-0004-0000-1100-000095050000}"/>
    <hyperlink ref="C712" r:id="rId1431" display="http://data.eastmoney.com/stockdata/603788.html" xr:uid="{00000000-0004-0000-1100-000096050000}"/>
    <hyperlink ref="B713" r:id="rId1432" display="http://quote.eastmoney.com/300349.html" xr:uid="{00000000-0004-0000-1100-000097050000}"/>
    <hyperlink ref="C713" r:id="rId1433" display="http://data.eastmoney.com/stockdata/300349.html" xr:uid="{00000000-0004-0000-1100-000098050000}"/>
    <hyperlink ref="B714" r:id="rId1434" display="http://quote.eastmoney.com/603886.html" xr:uid="{00000000-0004-0000-1100-000099050000}"/>
    <hyperlink ref="C714" r:id="rId1435" display="http://data.eastmoney.com/stockdata/603886.html" xr:uid="{00000000-0004-0000-1100-00009A050000}"/>
    <hyperlink ref="B715" r:id="rId1436" display="http://quote.eastmoney.com/300616.html" xr:uid="{00000000-0004-0000-1100-00009B050000}"/>
    <hyperlink ref="C715" r:id="rId1437" display="http://data.eastmoney.com/stockdata/300616.html" xr:uid="{00000000-0004-0000-1100-00009C050000}"/>
    <hyperlink ref="B716" r:id="rId1438" display="http://quote.eastmoney.com/002430.html" xr:uid="{00000000-0004-0000-1100-00009D050000}"/>
    <hyperlink ref="C716" r:id="rId1439" display="http://data.eastmoney.com/stockdata/002430.html" xr:uid="{00000000-0004-0000-1100-00009E050000}"/>
    <hyperlink ref="B717" r:id="rId1440" display="http://quote.eastmoney.com/601678.html" xr:uid="{00000000-0004-0000-1100-00009F050000}"/>
    <hyperlink ref="C717" r:id="rId1441" display="http://data.eastmoney.com/stockdata/601678.html" xr:uid="{00000000-0004-0000-1100-0000A0050000}"/>
    <hyperlink ref="B718" r:id="rId1442" display="http://quote.eastmoney.com/002013.html" xr:uid="{00000000-0004-0000-1100-0000A1050000}"/>
    <hyperlink ref="C718" r:id="rId1443" display="http://data.eastmoney.com/stockdata/002013.html" xr:uid="{00000000-0004-0000-1100-0000A2050000}"/>
    <hyperlink ref="B719" r:id="rId1444" display="http://quote.eastmoney.com/000157.html" xr:uid="{00000000-0004-0000-1100-0000A3050000}"/>
    <hyperlink ref="C719" r:id="rId1445" display="http://data.eastmoney.com/stockdata/000157.html" xr:uid="{00000000-0004-0000-1100-0000A4050000}"/>
    <hyperlink ref="B720" r:id="rId1446" display="http://quote.eastmoney.com/600299.html" xr:uid="{00000000-0004-0000-1100-0000A5050000}"/>
    <hyperlink ref="C720" r:id="rId1447" display="http://data.eastmoney.com/stockdata/600299.html" xr:uid="{00000000-0004-0000-1100-0000A6050000}"/>
    <hyperlink ref="B721" r:id="rId1448" display="http://quote.eastmoney.com/600298.html" xr:uid="{00000000-0004-0000-1100-0000A7050000}"/>
    <hyperlink ref="C721" r:id="rId1449" display="http://data.eastmoney.com/stockdata/600298.html" xr:uid="{00000000-0004-0000-1100-0000A8050000}"/>
    <hyperlink ref="B722" r:id="rId1450" display="http://quote.eastmoney.com/600491.html" xr:uid="{00000000-0004-0000-1100-0000A9050000}"/>
    <hyperlink ref="C722" r:id="rId1451" display="http://data.eastmoney.com/stockdata/600491.html" xr:uid="{00000000-0004-0000-1100-0000AA050000}"/>
    <hyperlink ref="B723" r:id="rId1452" display="http://quote.eastmoney.com/002557.html" xr:uid="{00000000-0004-0000-1100-0000AB050000}"/>
    <hyperlink ref="C723" r:id="rId1453" display="http://data.eastmoney.com/stockdata/002557.html" xr:uid="{00000000-0004-0000-1100-0000AC050000}"/>
    <hyperlink ref="B724" r:id="rId1454" display="http://quote.eastmoney.com/002697.html" xr:uid="{00000000-0004-0000-1100-0000AD050000}"/>
    <hyperlink ref="C724" r:id="rId1455" display="http://data.eastmoney.com/stockdata/002697.html" xr:uid="{00000000-0004-0000-1100-0000AE050000}"/>
    <hyperlink ref="B725" r:id="rId1456" display="http://quote.eastmoney.com/603848.html" xr:uid="{00000000-0004-0000-1100-0000AF050000}"/>
    <hyperlink ref="C725" r:id="rId1457" display="http://data.eastmoney.com/stockdata/603848.html" xr:uid="{00000000-0004-0000-1100-0000B0050000}"/>
    <hyperlink ref="B726" r:id="rId1458" display="http://quote.eastmoney.com/601137.html" xr:uid="{00000000-0004-0000-1100-0000B1050000}"/>
    <hyperlink ref="C726" r:id="rId1459" display="http://data.eastmoney.com/stockdata/601137.html" xr:uid="{00000000-0004-0000-1100-0000B2050000}"/>
    <hyperlink ref="B727" r:id="rId1460" display="http://quote.eastmoney.com/002078.html" xr:uid="{00000000-0004-0000-1100-0000B3050000}"/>
    <hyperlink ref="C727" r:id="rId1461" display="http://data.eastmoney.com/stockdata/002078.html" xr:uid="{00000000-0004-0000-1100-0000B4050000}"/>
    <hyperlink ref="B728" r:id="rId1462" display="http://quote.eastmoney.com/601139.html" xr:uid="{00000000-0004-0000-1100-0000B5050000}"/>
    <hyperlink ref="C728" r:id="rId1463" display="http://data.eastmoney.com/stockdata/601139.html" xr:uid="{00000000-0004-0000-1100-0000B6050000}"/>
    <hyperlink ref="B729" r:id="rId1464" display="http://quote.eastmoney.com/300043.html" xr:uid="{00000000-0004-0000-1100-0000B7050000}"/>
    <hyperlink ref="C729" r:id="rId1465" display="http://data.eastmoney.com/stockdata/300043.html" xr:uid="{00000000-0004-0000-1100-0000B8050000}"/>
    <hyperlink ref="B730" r:id="rId1466" display="http://quote.eastmoney.com/300196.html" xr:uid="{00000000-0004-0000-1100-0000B9050000}"/>
    <hyperlink ref="C730" r:id="rId1467" display="http://data.eastmoney.com/stockdata/300196.html" xr:uid="{00000000-0004-0000-1100-0000BA050000}"/>
    <hyperlink ref="B731" r:id="rId1468" display="http://quote.eastmoney.com/600483.html" xr:uid="{00000000-0004-0000-1100-0000BB050000}"/>
    <hyperlink ref="C731" r:id="rId1469" display="http://data.eastmoney.com/stockdata/600483.html" xr:uid="{00000000-0004-0000-1100-0000BC050000}"/>
    <hyperlink ref="B732" r:id="rId1470" display="http://quote.eastmoney.com/600705.html" xr:uid="{00000000-0004-0000-1100-0000BD050000}"/>
    <hyperlink ref="C732" r:id="rId1471" display="http://data.eastmoney.com/stockdata/600705.html" xr:uid="{00000000-0004-0000-1100-0000BE050000}"/>
    <hyperlink ref="B733" r:id="rId1472" display="http://quote.eastmoney.com/002705.html" xr:uid="{00000000-0004-0000-1100-0000BF050000}"/>
    <hyperlink ref="C733" r:id="rId1473" display="http://data.eastmoney.com/stockdata/002705.html" xr:uid="{00000000-0004-0000-1100-0000C0050000}"/>
    <hyperlink ref="B734" r:id="rId1474" display="http://quote.eastmoney.com/600681.html" xr:uid="{00000000-0004-0000-1100-0000C1050000}"/>
    <hyperlink ref="C734" r:id="rId1475" display="http://data.eastmoney.com/stockdata/600681.html" xr:uid="{00000000-0004-0000-1100-0000C2050000}"/>
    <hyperlink ref="B735" r:id="rId1476" display="http://quote.eastmoney.com/002563.html" xr:uid="{00000000-0004-0000-1100-0000C3050000}"/>
    <hyperlink ref="C735" r:id="rId1477" display="http://data.eastmoney.com/stockdata/002563.html" xr:uid="{00000000-0004-0000-1100-0000C4050000}"/>
    <hyperlink ref="B736" r:id="rId1478" display="http://quote.eastmoney.com/000513.html" xr:uid="{00000000-0004-0000-1100-0000C5050000}"/>
    <hyperlink ref="C736" r:id="rId1479" display="http://data.eastmoney.com/stockdata/000513.html" xr:uid="{00000000-0004-0000-1100-0000C6050000}"/>
    <hyperlink ref="B737" r:id="rId1480" display="http://quote.eastmoney.com/601717.html" xr:uid="{00000000-0004-0000-1100-0000C7050000}"/>
    <hyperlink ref="C737" r:id="rId1481" display="http://data.eastmoney.com/stockdata/601717.html" xr:uid="{00000000-0004-0000-1100-0000C8050000}"/>
    <hyperlink ref="B738" r:id="rId1482" display="http://quote.eastmoney.com/600990.html" xr:uid="{00000000-0004-0000-1100-0000C9050000}"/>
    <hyperlink ref="C738" r:id="rId1483" display="http://data.eastmoney.com/stockdata/600990.html" xr:uid="{00000000-0004-0000-1100-0000CA050000}"/>
    <hyperlink ref="B739" r:id="rId1484" display="http://quote.eastmoney.com/603096.html" xr:uid="{00000000-0004-0000-1100-0000CB050000}"/>
    <hyperlink ref="C739" r:id="rId1485" display="http://data.eastmoney.com/stockdata/603096.html" xr:uid="{00000000-0004-0000-1100-0000CC050000}"/>
    <hyperlink ref="B740" r:id="rId1486" display="http://quote.eastmoney.com/600297.html" xr:uid="{00000000-0004-0000-1100-0000CD050000}"/>
    <hyperlink ref="C740" r:id="rId1487" display="http://data.eastmoney.com/stockdata/600297.html" xr:uid="{00000000-0004-0000-1100-0000CE050000}"/>
    <hyperlink ref="B741" r:id="rId1488" display="http://quote.eastmoney.com/601222.html" xr:uid="{00000000-0004-0000-1100-0000CF050000}"/>
    <hyperlink ref="C741" r:id="rId1489" display="http://data.eastmoney.com/stockdata/601222.html" xr:uid="{00000000-0004-0000-1100-0000D0050000}"/>
    <hyperlink ref="B742" r:id="rId1490" display="http://quote.eastmoney.com/002550.html" xr:uid="{00000000-0004-0000-1100-0000D1050000}"/>
    <hyperlink ref="C742" r:id="rId1491" display="http://data.eastmoney.com/stockdata/002550.html" xr:uid="{00000000-0004-0000-1100-0000D2050000}"/>
    <hyperlink ref="B743" r:id="rId1492" display="http://quote.eastmoney.com/600176.html" xr:uid="{00000000-0004-0000-1100-0000D3050000}"/>
    <hyperlink ref="C743" r:id="rId1493" display="http://data.eastmoney.com/stockdata/600176.html" xr:uid="{00000000-0004-0000-1100-0000D4050000}"/>
    <hyperlink ref="B744" r:id="rId1494" display="http://quote.eastmoney.com/603515.html" xr:uid="{00000000-0004-0000-1100-0000D5050000}"/>
    <hyperlink ref="C744" r:id="rId1495" display="http://data.eastmoney.com/stockdata/603515.html" xr:uid="{00000000-0004-0000-1100-0000D6050000}"/>
    <hyperlink ref="B745" r:id="rId1496" display="http://quote.eastmoney.com/002042.html" xr:uid="{00000000-0004-0000-1100-0000D7050000}"/>
    <hyperlink ref="C745" r:id="rId1497" display="http://data.eastmoney.com/stockdata/002042.html" xr:uid="{00000000-0004-0000-1100-0000D8050000}"/>
    <hyperlink ref="B746" r:id="rId1498" display="http://quote.eastmoney.com/600835.html" xr:uid="{00000000-0004-0000-1100-0000D9050000}"/>
    <hyperlink ref="C746" r:id="rId1499" display="http://data.eastmoney.com/stockdata/600835.html" xr:uid="{00000000-0004-0000-1100-0000DA050000}"/>
    <hyperlink ref="B747" r:id="rId1500" display="http://quote.eastmoney.com/002595.html" xr:uid="{00000000-0004-0000-1100-0000DB050000}"/>
    <hyperlink ref="C747" r:id="rId1501" display="http://data.eastmoney.com/stockdata/002595.html" xr:uid="{00000000-0004-0000-1100-0000DC050000}"/>
    <hyperlink ref="B748" r:id="rId1502" display="http://quote.eastmoney.com/600728.html" xr:uid="{00000000-0004-0000-1100-0000DD050000}"/>
    <hyperlink ref="C748" r:id="rId1503" display="http://data.eastmoney.com/stockdata/600728.html" xr:uid="{00000000-0004-0000-1100-0000DE050000}"/>
    <hyperlink ref="B749" r:id="rId1504" display="http://quote.eastmoney.com/002555.html" xr:uid="{00000000-0004-0000-1100-0000DF050000}"/>
    <hyperlink ref="C749" r:id="rId1505" display="http://data.eastmoney.com/stockdata/002555.html" xr:uid="{00000000-0004-0000-1100-0000E0050000}"/>
    <hyperlink ref="B750" r:id="rId1506" display="http://quote.eastmoney.com/601138.html" xr:uid="{00000000-0004-0000-1100-0000E1050000}"/>
    <hyperlink ref="C750" r:id="rId1507" display="http://data.eastmoney.com/stockdata/601138.html" xr:uid="{00000000-0004-0000-1100-0000E2050000}"/>
    <hyperlink ref="B751" r:id="rId1508" display="http://quote.eastmoney.com/603180.html" xr:uid="{00000000-0004-0000-1100-0000E3050000}"/>
    <hyperlink ref="C751" r:id="rId1509" display="http://data.eastmoney.com/stockdata/603180.html" xr:uid="{00000000-0004-0000-1100-0000E4050000}"/>
    <hyperlink ref="B752" r:id="rId1510" display="http://quote.eastmoney.com/000603.html" xr:uid="{00000000-0004-0000-1100-0000E5050000}"/>
    <hyperlink ref="C752" r:id="rId1511" display="http://data.eastmoney.com/stockdata/000603.html" xr:uid="{00000000-0004-0000-1100-0000E6050000}"/>
    <hyperlink ref="B753" r:id="rId1512" display="http://quote.eastmoney.com/000301.html" xr:uid="{00000000-0004-0000-1100-0000E7050000}"/>
    <hyperlink ref="C753" r:id="rId1513" display="http://data.eastmoney.com/stockdata/000301.html" xr:uid="{00000000-0004-0000-1100-0000E8050000}"/>
    <hyperlink ref="B754" r:id="rId1514" display="http://quote.eastmoney.com/002032.html" xr:uid="{00000000-0004-0000-1100-0000E9050000}"/>
    <hyperlink ref="C754" r:id="rId1515" display="http://data.eastmoney.com/stockdata/002032.html" xr:uid="{00000000-0004-0000-1100-0000EA050000}"/>
    <hyperlink ref="B755" r:id="rId1516" display="http://quote.eastmoney.com/603444.html" xr:uid="{00000000-0004-0000-1100-0000EB050000}"/>
    <hyperlink ref="C755" r:id="rId1517" display="http://data.eastmoney.com/stockdata/603444.html" xr:uid="{00000000-0004-0000-1100-0000EC050000}"/>
    <hyperlink ref="B756" r:id="rId1518" display="http://quote.eastmoney.com/600894.html" xr:uid="{00000000-0004-0000-1100-0000ED050000}"/>
    <hyperlink ref="C756" r:id="rId1519" display="http://data.eastmoney.com/stockdata/600894.html" xr:uid="{00000000-0004-0000-1100-0000EE050000}"/>
    <hyperlink ref="B757" r:id="rId1520" display="http://quote.eastmoney.com/600486.html" xr:uid="{00000000-0004-0000-1100-0000EF050000}"/>
    <hyperlink ref="C757" r:id="rId1521" display="http://data.eastmoney.com/stockdata/600486.html" xr:uid="{00000000-0004-0000-1100-0000F0050000}"/>
    <hyperlink ref="B758" r:id="rId1522" display="http://quote.eastmoney.com/603589.html" xr:uid="{00000000-0004-0000-1100-0000F1050000}"/>
    <hyperlink ref="C758" r:id="rId1523" display="http://data.eastmoney.com/stockdata/603589.html" xr:uid="{00000000-0004-0000-1100-0000F2050000}"/>
    <hyperlink ref="B759" r:id="rId1524" display="http://quote.eastmoney.com/000960.html" xr:uid="{00000000-0004-0000-1100-0000F3050000}"/>
    <hyperlink ref="C759" r:id="rId1525" display="http://data.eastmoney.com/stockdata/000960.html" xr:uid="{00000000-0004-0000-1100-0000F4050000}"/>
    <hyperlink ref="B760" r:id="rId1526" display="http://quote.eastmoney.com/000001.html" xr:uid="{00000000-0004-0000-1100-0000F5050000}"/>
    <hyperlink ref="C760" r:id="rId1527" display="http://data.eastmoney.com/stockdata/000001.html" xr:uid="{00000000-0004-0000-1100-0000F6050000}"/>
    <hyperlink ref="B761" r:id="rId1528" display="http://quote.eastmoney.com/000975.html" xr:uid="{00000000-0004-0000-1100-0000F7050000}"/>
    <hyperlink ref="C761" r:id="rId1529" display="http://data.eastmoney.com/stockdata/000975.html" xr:uid="{00000000-0004-0000-1100-0000F8050000}"/>
    <hyperlink ref="B762" r:id="rId1530" display="http://quote.eastmoney.com/000630.html" xr:uid="{00000000-0004-0000-1100-0000F9050000}"/>
    <hyperlink ref="C762" r:id="rId1531" display="http://data.eastmoney.com/stockdata/000630.html" xr:uid="{00000000-0004-0000-1100-0000FA050000}"/>
    <hyperlink ref="B763" r:id="rId1532" display="http://quote.eastmoney.com/600862.html" xr:uid="{00000000-0004-0000-1100-0000FB050000}"/>
    <hyperlink ref="C763" r:id="rId1533" display="http://data.eastmoney.com/stockdata/600862.html" xr:uid="{00000000-0004-0000-1100-0000FC050000}"/>
    <hyperlink ref="B764" r:id="rId1534" display="http://quote.eastmoney.com/601965.html" xr:uid="{00000000-0004-0000-1100-0000FD050000}"/>
    <hyperlink ref="C764" r:id="rId1535" display="http://data.eastmoney.com/stockdata/601965.html" xr:uid="{00000000-0004-0000-1100-0000FE050000}"/>
    <hyperlink ref="B765" r:id="rId1536" display="http://quote.eastmoney.com/002507.html" xr:uid="{00000000-0004-0000-1100-0000FF050000}"/>
    <hyperlink ref="C765" r:id="rId1537" display="http://data.eastmoney.com/stockdata/002507.html" xr:uid="{00000000-0004-0000-1100-000000060000}"/>
    <hyperlink ref="B766" r:id="rId1538" display="http://quote.eastmoney.com/601058.html" xr:uid="{00000000-0004-0000-1100-000001060000}"/>
    <hyperlink ref="C766" r:id="rId1539" display="http://data.eastmoney.com/stockdata/601058.html" xr:uid="{00000000-0004-0000-1100-000002060000}"/>
    <hyperlink ref="B767" r:id="rId1540" display="http://quote.eastmoney.com/002035.html" xr:uid="{00000000-0004-0000-1100-000003060000}"/>
    <hyperlink ref="C767" r:id="rId1541" display="http://data.eastmoney.com/stockdata/002035.html" xr:uid="{00000000-0004-0000-1100-000004060000}"/>
    <hyperlink ref="B768" r:id="rId1542" display="http://quote.eastmoney.com/000028.html" xr:uid="{00000000-0004-0000-1100-000005060000}"/>
    <hyperlink ref="C768" r:id="rId1543" display="http://data.eastmoney.com/stockdata/000028.html" xr:uid="{00000000-0004-0000-1100-000006060000}"/>
    <hyperlink ref="B769" r:id="rId1544" display="http://quote.eastmoney.com/601888.html" xr:uid="{00000000-0004-0000-1100-000007060000}"/>
    <hyperlink ref="C769" r:id="rId1545" display="http://data.eastmoney.com/stockdata/601888.html" xr:uid="{00000000-0004-0000-1100-000008060000}"/>
    <hyperlink ref="B770" r:id="rId1546" display="http://quote.eastmoney.com/603839.html" xr:uid="{00000000-0004-0000-1100-000009060000}"/>
    <hyperlink ref="C770" r:id="rId1547" display="http://data.eastmoney.com/stockdata/603839.html" xr:uid="{00000000-0004-0000-1100-00000A060000}"/>
    <hyperlink ref="B771" r:id="rId1548" display="http://quote.eastmoney.com/601211.html" xr:uid="{00000000-0004-0000-1100-00000B060000}"/>
    <hyperlink ref="C771" r:id="rId1549" display="http://data.eastmoney.com/stockdata/601211.html" xr:uid="{00000000-0004-0000-1100-00000C060000}"/>
    <hyperlink ref="B772" r:id="rId1550" display="http://quote.eastmoney.com/600879.html" xr:uid="{00000000-0004-0000-1100-00000D060000}"/>
    <hyperlink ref="C772" r:id="rId1551" display="http://data.eastmoney.com/stockdata/600879.html" xr:uid="{00000000-0004-0000-1100-00000E060000}"/>
    <hyperlink ref="B773" r:id="rId1552" display="http://quote.eastmoney.com/002050.html" xr:uid="{00000000-0004-0000-1100-00000F060000}"/>
    <hyperlink ref="C773" r:id="rId1553" display="http://data.eastmoney.com/stockdata/002050.html" xr:uid="{00000000-0004-0000-1100-000010060000}"/>
    <hyperlink ref="B774" r:id="rId1554" display="http://quote.eastmoney.com/600875.html" xr:uid="{00000000-0004-0000-1100-000011060000}"/>
    <hyperlink ref="C774" r:id="rId1555" display="http://data.eastmoney.com/stockdata/600875.html" xr:uid="{00000000-0004-0000-1100-000012060000}"/>
    <hyperlink ref="B775" r:id="rId1556" display="http://quote.eastmoney.com/601066.html" xr:uid="{00000000-0004-0000-1100-000013060000}"/>
    <hyperlink ref="C775" r:id="rId1557" display="http://data.eastmoney.com/stockdata/601066.html" xr:uid="{00000000-0004-0000-1100-000014060000}"/>
    <hyperlink ref="B776" r:id="rId1558" display="http://quote.eastmoney.com/601688.html" xr:uid="{00000000-0004-0000-1100-000015060000}"/>
    <hyperlink ref="C776" r:id="rId1559" display="http://data.eastmoney.com/stockdata/601688.html" xr:uid="{00000000-0004-0000-1100-000016060000}"/>
    <hyperlink ref="B777" r:id="rId1560" display="http://quote.eastmoney.com/600376.html" xr:uid="{00000000-0004-0000-1100-000017060000}"/>
    <hyperlink ref="C777" r:id="rId1561" display="http://data.eastmoney.com/stockdata/600376.html" xr:uid="{00000000-0004-0000-1100-000018060000}"/>
    <hyperlink ref="B778" r:id="rId1562" display="http://quote.eastmoney.com/600273.html" xr:uid="{00000000-0004-0000-1100-000019060000}"/>
    <hyperlink ref="C778" r:id="rId1563" display="http://data.eastmoney.com/stockdata/600273.html" xr:uid="{00000000-0004-0000-1100-00001A060000}"/>
    <hyperlink ref="B779" r:id="rId1564" display="http://quote.eastmoney.com/600273.html" xr:uid="{00000000-0004-0000-1100-00001B060000}"/>
    <hyperlink ref="C779" r:id="rId1565" display="http://data.eastmoney.com/stockdata/600273.html" xr:uid="{00000000-0004-0000-1100-00001C060000}"/>
    <hyperlink ref="B780" r:id="rId1566" display="http://quote.eastmoney.com/600643.html" xr:uid="{00000000-0004-0000-1100-00001D060000}"/>
    <hyperlink ref="C780" r:id="rId1567" display="http://data.eastmoney.com/stockdata/600643.html" xr:uid="{00000000-0004-0000-1100-00001E060000}"/>
    <hyperlink ref="B781" r:id="rId1568" display="http://quote.eastmoney.com/000401.html" xr:uid="{00000000-0004-0000-1100-00001F060000}"/>
    <hyperlink ref="C781" r:id="rId1569" display="http://data.eastmoney.com/stockdata/000401.html" xr:uid="{00000000-0004-0000-1100-000020060000}"/>
    <hyperlink ref="B782" r:id="rId1570" display="http://quote.eastmoney.com/002624.html" xr:uid="{00000000-0004-0000-1100-000021060000}"/>
    <hyperlink ref="C782" r:id="rId1571" display="http://data.eastmoney.com/stockdata/002624.html" xr:uid="{00000000-0004-0000-1100-000022060000}"/>
    <hyperlink ref="B783" r:id="rId1572" display="http://quote.eastmoney.com/002372.html" xr:uid="{00000000-0004-0000-1100-000023060000}"/>
    <hyperlink ref="C783" r:id="rId1573" display="http://data.eastmoney.com/stockdata/002372.html" xr:uid="{00000000-0004-0000-1100-000024060000}"/>
    <hyperlink ref="B784" r:id="rId1574" display="http://quote.eastmoney.com/002081.html" xr:uid="{00000000-0004-0000-1100-000025060000}"/>
    <hyperlink ref="C784" r:id="rId1575" display="http://data.eastmoney.com/stockdata/002081.html" xr:uid="{00000000-0004-0000-1100-000026060000}"/>
    <hyperlink ref="B785" r:id="rId1576" display="http://quote.eastmoney.com/603298.html" xr:uid="{00000000-0004-0000-1100-000027060000}"/>
    <hyperlink ref="C785" r:id="rId1577" display="http://data.eastmoney.com/stockdata/603298.html" xr:uid="{00000000-0004-0000-1100-000028060000}"/>
    <hyperlink ref="B786" r:id="rId1578" display="http://quote.eastmoney.com/600970.html" xr:uid="{00000000-0004-0000-1100-000029060000}"/>
    <hyperlink ref="C786" r:id="rId1579" display="http://data.eastmoney.com/stockdata/600970.html" xr:uid="{00000000-0004-0000-1100-00002A060000}"/>
    <hyperlink ref="B787" r:id="rId1580" display="http://quote.eastmoney.com/600400.html" xr:uid="{00000000-0004-0000-1100-00002B060000}"/>
    <hyperlink ref="C787" r:id="rId1581" display="http://data.eastmoney.com/stockdata/600400.html" xr:uid="{00000000-0004-0000-1100-00002C060000}"/>
    <hyperlink ref="B788" r:id="rId1582" display="http://quote.eastmoney.com/000560.html" xr:uid="{00000000-0004-0000-1100-00002D060000}"/>
    <hyperlink ref="C788" r:id="rId1583" display="http://data.eastmoney.com/stockdata/000560.html" xr:uid="{00000000-0004-0000-1100-00002E060000}"/>
    <hyperlink ref="B789" r:id="rId1584" display="http://quote.eastmoney.com/600388.html" xr:uid="{00000000-0004-0000-1100-00002F060000}"/>
    <hyperlink ref="C789" r:id="rId1585" display="http://data.eastmoney.com/stockdata/600388.html" xr:uid="{00000000-0004-0000-1100-000030060000}"/>
    <hyperlink ref="B790" r:id="rId1586" display="http://quote.eastmoney.com/600837.html" xr:uid="{00000000-0004-0000-1100-000031060000}"/>
    <hyperlink ref="C790" r:id="rId1587" display="http://data.eastmoney.com/stockdata/600837.html" xr:uid="{00000000-0004-0000-1100-000032060000}"/>
    <hyperlink ref="B791" r:id="rId1588" display="http://quote.eastmoney.com/000100.html" xr:uid="{00000000-0004-0000-1100-000033060000}"/>
    <hyperlink ref="C791" r:id="rId1589" display="http://data.eastmoney.com/stockdata/000100.html" xr:uid="{00000000-0004-0000-1100-000034060000}"/>
    <hyperlink ref="B792" r:id="rId1590" display="http://quote.eastmoney.com/600036.html" xr:uid="{00000000-0004-0000-1100-000035060000}"/>
    <hyperlink ref="C792" r:id="rId1591" display="http://data.eastmoney.com/stockdata/600036.html" xr:uid="{00000000-0004-0000-1100-000036060000}"/>
    <hyperlink ref="B793" r:id="rId1592" display="http://quote.eastmoney.com/002242.html" xr:uid="{00000000-0004-0000-1100-000037060000}"/>
    <hyperlink ref="C793" r:id="rId1593" display="http://data.eastmoney.com/stockdata/002242.html" xr:uid="{00000000-0004-0000-1100-000038060000}"/>
    <hyperlink ref="B794" r:id="rId1594" display="http://quote.eastmoney.com/603365.html" xr:uid="{00000000-0004-0000-1100-000039060000}"/>
    <hyperlink ref="C794" r:id="rId1595" display="http://data.eastmoney.com/stockdata/603365.html" xr:uid="{00000000-0004-0000-1100-00003A060000}"/>
    <hyperlink ref="B795" r:id="rId1596" display="http://quote.eastmoney.com/600305.html" xr:uid="{00000000-0004-0000-1100-00003B060000}"/>
    <hyperlink ref="C795" r:id="rId1597" display="http://data.eastmoney.com/stockdata/600305.html" xr:uid="{00000000-0004-0000-1100-00003C060000}"/>
    <hyperlink ref="B796" r:id="rId1598" display="http://quote.eastmoney.com/600597.html" xr:uid="{00000000-0004-0000-1100-00003D060000}"/>
    <hyperlink ref="C796" r:id="rId1599" display="http://data.eastmoney.com/stockdata/600597.html" xr:uid="{00000000-0004-0000-1100-00003E060000}"/>
    <hyperlink ref="B797" r:id="rId1600" display="http://quote.eastmoney.com/603579.html" xr:uid="{00000000-0004-0000-1100-00003F060000}"/>
    <hyperlink ref="C797" r:id="rId1601" display="http://data.eastmoney.com/stockdata/603579.html" xr:uid="{00000000-0004-0000-1100-000040060000}"/>
    <hyperlink ref="B798" r:id="rId1602" display="http://quote.eastmoney.com/601318.html" xr:uid="{00000000-0004-0000-1100-000041060000}"/>
    <hyperlink ref="C798" r:id="rId1603" display="http://data.eastmoney.com/stockdata/601318.html" xr:uid="{00000000-0004-0000-1100-000042060000}"/>
    <hyperlink ref="B799" r:id="rId1604" display="http://quote.eastmoney.com/600114.html" xr:uid="{00000000-0004-0000-1100-000043060000}"/>
    <hyperlink ref="C799" r:id="rId1605" display="http://data.eastmoney.com/stockdata/600114.html" xr:uid="{00000000-0004-0000-1100-000044060000}"/>
    <hyperlink ref="B800" r:id="rId1606" display="http://quote.eastmoney.com/601009.html" xr:uid="{00000000-0004-0000-1100-000045060000}"/>
    <hyperlink ref="C800" r:id="rId1607" display="http://data.eastmoney.com/stockdata/601009.html" xr:uid="{00000000-0004-0000-1100-000046060000}"/>
    <hyperlink ref="B801" r:id="rId1608" display="http://quote.eastmoney.com/300418.html" xr:uid="{00000000-0004-0000-1100-000047060000}"/>
    <hyperlink ref="C801" r:id="rId1609" display="http://data.eastmoney.com/stockdata/300418.html" xr:uid="{00000000-0004-0000-1100-000048060000}"/>
    <hyperlink ref="B802" r:id="rId1610" display="http://quote.eastmoney.com/600143.html" xr:uid="{00000000-0004-0000-1100-000049060000}"/>
    <hyperlink ref="C802" r:id="rId1611" display="http://data.eastmoney.com/stockdata/600143.html" xr:uid="{00000000-0004-0000-1100-00004A060000}"/>
    <hyperlink ref="B803" r:id="rId1612" display="http://quote.eastmoney.com/600863.html" xr:uid="{00000000-0004-0000-1100-00004B060000}"/>
    <hyperlink ref="C803" r:id="rId1613" display="http://data.eastmoney.com/stockdata/600863.html" xr:uid="{00000000-0004-0000-1100-00004C060000}"/>
    <hyperlink ref="B804" r:id="rId1614" display="http://quote.eastmoney.com/600258.html" xr:uid="{00000000-0004-0000-1100-00004D060000}"/>
    <hyperlink ref="C804" r:id="rId1615" display="http://data.eastmoney.com/stockdata/600258.html" xr:uid="{00000000-0004-0000-1100-00004E060000}"/>
    <hyperlink ref="B805" r:id="rId1616" display="http://quote.eastmoney.com/600378.html" xr:uid="{00000000-0004-0000-1100-00004F060000}"/>
    <hyperlink ref="C805" r:id="rId1617" display="http://data.eastmoney.com/stockdata/600378.html" xr:uid="{00000000-0004-0000-1100-000050060000}"/>
    <hyperlink ref="B806" r:id="rId1618" display="http://quote.eastmoney.com/601985.html" xr:uid="{00000000-0004-0000-1100-000051060000}"/>
    <hyperlink ref="C806" r:id="rId1619" display="http://data.eastmoney.com/stockdata/601985.html" xr:uid="{00000000-0004-0000-1100-000052060000}"/>
    <hyperlink ref="B807" r:id="rId1620" display="http://quote.eastmoney.com/603587.html" xr:uid="{00000000-0004-0000-1100-000053060000}"/>
    <hyperlink ref="C807" r:id="rId1621" display="http://data.eastmoney.com/stockdata/603587.html" xr:uid="{00000000-0004-0000-1100-000054060000}"/>
    <hyperlink ref="B808" r:id="rId1622" display="http://quote.eastmoney.com/002478.html" xr:uid="{00000000-0004-0000-1100-000055060000}"/>
    <hyperlink ref="C808" r:id="rId1623" display="http://data.eastmoney.com/stockdata/002478.html" xr:uid="{00000000-0004-0000-1100-000056060000}"/>
    <hyperlink ref="B809" r:id="rId1624" display="http://quote.eastmoney.com/002839.html" xr:uid="{00000000-0004-0000-1100-000057060000}"/>
    <hyperlink ref="C809" r:id="rId1625" display="http://data.eastmoney.com/stockdata/002839.html" xr:uid="{00000000-0004-0000-1100-000058060000}"/>
    <hyperlink ref="B810" r:id="rId1626" display="http://quote.eastmoney.com/300144.html" xr:uid="{00000000-0004-0000-1100-000059060000}"/>
    <hyperlink ref="C810" r:id="rId1627" display="http://data.eastmoney.com/stockdata/300144.html" xr:uid="{00000000-0004-0000-1100-00005A060000}"/>
    <hyperlink ref="B811" r:id="rId1628" display="http://quote.eastmoney.com/600612.html" xr:uid="{00000000-0004-0000-1100-00005B060000}"/>
    <hyperlink ref="C811" r:id="rId1629" display="http://data.eastmoney.com/stockdata/600612.html" xr:uid="{00000000-0004-0000-1100-00005C060000}"/>
    <hyperlink ref="B812" r:id="rId1630" display="http://quote.eastmoney.com/000951.html" xr:uid="{00000000-0004-0000-1100-00005D060000}"/>
    <hyperlink ref="C812" r:id="rId1631" display="http://data.eastmoney.com/stockdata/000951.html" xr:uid="{00000000-0004-0000-1100-00005E060000}"/>
    <hyperlink ref="B813" r:id="rId1632" display="http://quote.eastmoney.com/002756.html" xr:uid="{00000000-0004-0000-1100-00005F060000}"/>
    <hyperlink ref="C813" r:id="rId1633" display="http://data.eastmoney.com/stockdata/002756.html" xr:uid="{00000000-0004-0000-1100-000060060000}"/>
    <hyperlink ref="B814" r:id="rId1634" display="http://quote.eastmoney.com/600999.html" xr:uid="{00000000-0004-0000-1100-000061060000}"/>
    <hyperlink ref="C814" r:id="rId1635" display="http://data.eastmoney.com/stockdata/600999.html" xr:uid="{00000000-0004-0000-1100-000062060000}"/>
    <hyperlink ref="B815" r:id="rId1636" display="http://quote.eastmoney.com/600461.html" xr:uid="{00000000-0004-0000-1100-000063060000}"/>
    <hyperlink ref="C815" r:id="rId1637" display="http://data.eastmoney.com/stockdata/600461.html" xr:uid="{00000000-0004-0000-1100-000064060000}"/>
    <hyperlink ref="B816" r:id="rId1638" display="http://quote.eastmoney.com/601336.html" xr:uid="{00000000-0004-0000-1100-000065060000}"/>
    <hyperlink ref="C816" r:id="rId1639" display="http://data.eastmoney.com/stockdata/601336.html" xr:uid="{00000000-0004-0000-1100-000066060000}"/>
    <hyperlink ref="B817" r:id="rId1640" display="http://quote.eastmoney.com/002048.html" xr:uid="{00000000-0004-0000-1100-000067060000}"/>
    <hyperlink ref="C817" r:id="rId1641" display="http://data.eastmoney.com/stockdata/002048.html" xr:uid="{00000000-0004-0000-1100-000068060000}"/>
    <hyperlink ref="B818" r:id="rId1642" display="http://quote.eastmoney.com/600660.html" xr:uid="{00000000-0004-0000-1100-000069060000}"/>
    <hyperlink ref="C818" r:id="rId1643" display="http://data.eastmoney.com/stockdata/600660.html" xr:uid="{00000000-0004-0000-1100-00006A060000}"/>
    <hyperlink ref="B819" r:id="rId1644" display="http://quote.eastmoney.com/600641.html" xr:uid="{00000000-0004-0000-1100-00006B060000}"/>
    <hyperlink ref="C819" r:id="rId1645" display="http://data.eastmoney.com/stockdata/600641.html" xr:uid="{00000000-0004-0000-1100-00006C060000}"/>
    <hyperlink ref="B820" r:id="rId1646" display="http://quote.eastmoney.com/002429.html" xr:uid="{00000000-0004-0000-1100-00006D060000}"/>
    <hyperlink ref="C820" r:id="rId1647" display="http://data.eastmoney.com/stockdata/002429.html" xr:uid="{00000000-0004-0000-1100-00006E060000}"/>
    <hyperlink ref="B821" r:id="rId1648" display="http://quote.eastmoney.com/002429.html" xr:uid="{00000000-0004-0000-1100-00006F060000}"/>
    <hyperlink ref="C821" r:id="rId1649" display="http://data.eastmoney.com/stockdata/002429.html" xr:uid="{00000000-0004-0000-1100-000070060000}"/>
    <hyperlink ref="B822" r:id="rId1650" display="http://quote.eastmoney.com/600655.html" xr:uid="{00000000-0004-0000-1100-000071060000}"/>
    <hyperlink ref="C822" r:id="rId1651" display="http://data.eastmoney.com/stockdata/600655.html" xr:uid="{00000000-0004-0000-1100-000072060000}"/>
    <hyperlink ref="B823" r:id="rId1652" display="http://quote.eastmoney.com/002713.html" xr:uid="{00000000-0004-0000-1100-000073060000}"/>
    <hyperlink ref="C823" r:id="rId1653" display="http://data.eastmoney.com/stockdata/002713.html" xr:uid="{00000000-0004-0000-1100-000074060000}"/>
    <hyperlink ref="B824" r:id="rId1654" display="http://quote.eastmoney.com/600031.html" xr:uid="{00000000-0004-0000-1100-000075060000}"/>
    <hyperlink ref="C824" r:id="rId1655" display="http://data.eastmoney.com/stockdata/600031.html" xr:uid="{00000000-0004-0000-1100-000076060000}"/>
    <hyperlink ref="B825" r:id="rId1656" display="http://quote.eastmoney.com/600754.html" xr:uid="{00000000-0004-0000-1100-000077060000}"/>
    <hyperlink ref="C825" r:id="rId1657" display="http://data.eastmoney.com/stockdata/600754.html" xr:uid="{00000000-0004-0000-1100-000078060000}"/>
    <hyperlink ref="B826" r:id="rId1658" display="http://quote.eastmoney.com/002736.html" xr:uid="{00000000-0004-0000-1100-000079060000}"/>
    <hyperlink ref="C826" r:id="rId1659" display="http://data.eastmoney.com/stockdata/002736.html" xr:uid="{00000000-0004-0000-1100-00007A060000}"/>
    <hyperlink ref="B827" r:id="rId1660" display="http://quote.eastmoney.com/601811.html" xr:uid="{00000000-0004-0000-1100-00007B060000}"/>
    <hyperlink ref="C827" r:id="rId1661" display="http://data.eastmoney.com/stockdata/601811.html" xr:uid="{00000000-0004-0000-1100-00007C060000}"/>
    <hyperlink ref="B828" r:id="rId1662" display="http://quote.eastmoney.com/600511.html" xr:uid="{00000000-0004-0000-1100-00007D060000}"/>
    <hyperlink ref="C828" r:id="rId1663" display="http://data.eastmoney.com/stockdata/600511.html" xr:uid="{00000000-0004-0000-1100-00007E060000}"/>
    <hyperlink ref="B829" r:id="rId1664" display="http://quote.eastmoney.com/600039.html" xr:uid="{00000000-0004-0000-1100-00007F060000}"/>
    <hyperlink ref="C829" r:id="rId1665" display="http://data.eastmoney.com/stockdata/600039.html" xr:uid="{00000000-0004-0000-1100-000080060000}"/>
    <hyperlink ref="B830" r:id="rId1666" display="http://quote.eastmoney.com/600170.html" xr:uid="{00000000-0004-0000-1100-000081060000}"/>
    <hyperlink ref="C830" r:id="rId1667" display="http://data.eastmoney.com/stockdata/600170.html" xr:uid="{00000000-0004-0000-1100-000082060000}"/>
    <hyperlink ref="B831" r:id="rId1668" display="http://quote.eastmoney.com/600315.html" xr:uid="{00000000-0004-0000-1100-000083060000}"/>
    <hyperlink ref="C831" r:id="rId1669" display="http://data.eastmoney.com/stockdata/600315.html" xr:uid="{00000000-0004-0000-1100-000084060000}"/>
    <hyperlink ref="B832" r:id="rId1670" display="http://quote.eastmoney.com/600704.html" xr:uid="{00000000-0004-0000-1100-000085060000}"/>
    <hyperlink ref="C832" r:id="rId1671" display="http://data.eastmoney.com/stockdata/600704.html" xr:uid="{00000000-0004-0000-1100-000086060000}"/>
    <hyperlink ref="B833" r:id="rId1672" display="http://quote.eastmoney.com/000498.html" xr:uid="{00000000-0004-0000-1100-000087060000}"/>
    <hyperlink ref="C833" r:id="rId1673" display="http://data.eastmoney.com/stockdata/000498.html" xr:uid="{00000000-0004-0000-1100-000088060000}"/>
    <hyperlink ref="B834" r:id="rId1674" display="http://quote.eastmoney.com/002688.html" xr:uid="{00000000-0004-0000-1100-000089060000}"/>
    <hyperlink ref="C834" r:id="rId1675" display="http://data.eastmoney.com/stockdata/002688.html" xr:uid="{00000000-0004-0000-1100-00008A060000}"/>
    <hyperlink ref="B835" r:id="rId1676" display="http://quote.eastmoney.com/000598.html" xr:uid="{00000000-0004-0000-1100-00008B060000}"/>
    <hyperlink ref="C835" r:id="rId1677" display="http://data.eastmoney.com/stockdata/000598.html" xr:uid="{00000000-0004-0000-1100-00008C060000}"/>
    <hyperlink ref="B836" r:id="rId1678" display="http://quote.eastmoney.com/002444.html" xr:uid="{00000000-0004-0000-1100-00008D060000}"/>
    <hyperlink ref="C836" r:id="rId1679" display="http://data.eastmoney.com/stockdata/002444.html" xr:uid="{00000000-0004-0000-1100-00008E060000}"/>
    <hyperlink ref="B837" r:id="rId1680" display="http://quote.eastmoney.com/002419.html" xr:uid="{00000000-0004-0000-1100-00008F060000}"/>
    <hyperlink ref="C837" r:id="rId1681" display="http://data.eastmoney.com/stockdata/002419.html" xr:uid="{00000000-0004-0000-1100-000090060000}"/>
    <hyperlink ref="B838" r:id="rId1682" display="http://quote.eastmoney.com/600138.html" xr:uid="{00000000-0004-0000-1100-000091060000}"/>
    <hyperlink ref="C838" r:id="rId1683" display="http://data.eastmoney.com/stockdata/600138.html" xr:uid="{00000000-0004-0000-1100-000092060000}"/>
    <hyperlink ref="B839" r:id="rId1684" display="http://quote.eastmoney.com/000333.html" xr:uid="{00000000-0004-0000-1100-000093060000}"/>
    <hyperlink ref="C839" r:id="rId1685" display="http://data.eastmoney.com/stockdata/000333.html" xr:uid="{00000000-0004-0000-1100-000094060000}"/>
    <hyperlink ref="B840" r:id="rId1686" display="http://quote.eastmoney.com/000538.html" xr:uid="{00000000-0004-0000-1100-000095060000}"/>
    <hyperlink ref="C840" r:id="rId1687" display="http://data.eastmoney.com/stockdata/000538.html" xr:uid="{00000000-0004-0000-1100-000096060000}"/>
    <hyperlink ref="B841" r:id="rId1688" display="http://quote.eastmoney.com/002304.html" xr:uid="{00000000-0004-0000-1100-000097060000}"/>
    <hyperlink ref="C841" r:id="rId1689" display="http://data.eastmoney.com/stockdata/002304.html" xr:uid="{00000000-0004-0000-1100-000098060000}"/>
    <hyperlink ref="B842" r:id="rId1690" display="http://quote.eastmoney.com/000885.html" xr:uid="{00000000-0004-0000-1100-000099060000}"/>
    <hyperlink ref="C842" r:id="rId1691" display="http://data.eastmoney.com/stockdata/000885.html" xr:uid="{00000000-0004-0000-1100-00009A060000}"/>
    <hyperlink ref="B843" r:id="rId1692" display="http://quote.eastmoney.com/601766.html" xr:uid="{00000000-0004-0000-1100-00009B060000}"/>
    <hyperlink ref="C843" r:id="rId1693" display="http://data.eastmoney.com/stockdata/601766.html" xr:uid="{00000000-0004-0000-1100-00009C060000}"/>
    <hyperlink ref="B844" r:id="rId1694" display="http://quote.eastmoney.com/601601.html" xr:uid="{00000000-0004-0000-1100-00009D060000}"/>
    <hyperlink ref="C844" r:id="rId1695" display="http://data.eastmoney.com/stockdata/601601.html" xr:uid="{00000000-0004-0000-1100-00009E060000}"/>
    <hyperlink ref="B845" r:id="rId1696" display="http://quote.eastmoney.com/600546.html" xr:uid="{00000000-0004-0000-1100-00009F060000}"/>
    <hyperlink ref="C845" r:id="rId1697" display="http://data.eastmoney.com/stockdata/600546.html" xr:uid="{00000000-0004-0000-1100-0000A0060000}"/>
    <hyperlink ref="B846" r:id="rId1698" display="http://quote.eastmoney.com/601818.html" xr:uid="{00000000-0004-0000-1100-0000A1060000}"/>
    <hyperlink ref="C846" r:id="rId1699" display="http://data.eastmoney.com/stockdata/601818.html" xr:uid="{00000000-0004-0000-1100-0000A2060000}"/>
    <hyperlink ref="B847" r:id="rId1700" display="http://quote.eastmoney.com/603898.html" xr:uid="{00000000-0004-0000-1100-0000A3060000}"/>
    <hyperlink ref="C847" r:id="rId1701" display="http://data.eastmoney.com/stockdata/603898.html" xr:uid="{00000000-0004-0000-1100-0000A4060000}"/>
    <hyperlink ref="B848" r:id="rId1702" display="http://quote.eastmoney.com/601607.html" xr:uid="{00000000-0004-0000-1100-0000A5060000}"/>
    <hyperlink ref="C848" r:id="rId1703" display="http://data.eastmoney.com/stockdata/601607.html" xr:uid="{00000000-0004-0000-1100-0000A6060000}"/>
    <hyperlink ref="B849" r:id="rId1704" display="http://quote.eastmoney.com/000738.html" xr:uid="{00000000-0004-0000-1100-0000A7060000}"/>
    <hyperlink ref="C849" r:id="rId1705" display="http://data.eastmoney.com/stockdata/000738.html" xr:uid="{00000000-0004-0000-1100-0000A8060000}"/>
    <hyperlink ref="B850" r:id="rId1706" display="http://quote.eastmoney.com/601390.html" xr:uid="{00000000-0004-0000-1100-0000A9060000}"/>
    <hyperlink ref="C850" r:id="rId1707" display="http://data.eastmoney.com/stockdata/601390.html" xr:uid="{00000000-0004-0000-1100-0000AA060000}"/>
    <hyperlink ref="B851" r:id="rId1708" display="http://quote.eastmoney.com/002572.html" xr:uid="{00000000-0004-0000-1100-0000AB060000}"/>
    <hyperlink ref="C851" r:id="rId1709" display="http://data.eastmoney.com/stockdata/002572.html" xr:uid="{00000000-0004-0000-1100-0000AC060000}"/>
    <hyperlink ref="B852" r:id="rId1710" display="http://quote.eastmoney.com/601900.html" xr:uid="{00000000-0004-0000-1100-0000AD060000}"/>
    <hyperlink ref="C852" r:id="rId1711" display="http://data.eastmoney.com/stockdata/601900.html" xr:uid="{00000000-0004-0000-1100-0000AE060000}"/>
    <hyperlink ref="B853" r:id="rId1712" display="http://quote.eastmoney.com/000528.html" xr:uid="{00000000-0004-0000-1100-0000AF060000}"/>
    <hyperlink ref="C853" r:id="rId1713" display="http://data.eastmoney.com/stockdata/000528.html" xr:uid="{00000000-0004-0000-1100-0000B0060000}"/>
    <hyperlink ref="B854" r:id="rId1714" display="http://quote.eastmoney.com/601658.html" xr:uid="{00000000-0004-0000-1100-0000B1060000}"/>
    <hyperlink ref="C854" r:id="rId1715" display="http://data.eastmoney.com/stockdata/601658.html" xr:uid="{00000000-0004-0000-1100-0000B2060000}"/>
    <hyperlink ref="B855" r:id="rId1716" display="http://quote.eastmoney.com/600000.html" xr:uid="{00000000-0004-0000-1100-0000B3060000}"/>
    <hyperlink ref="C855" r:id="rId1717" display="http://data.eastmoney.com/stockdata/600000.html" xr:uid="{00000000-0004-0000-1100-0000B4060000}"/>
    <hyperlink ref="B856" r:id="rId1718" display="http://quote.eastmoney.com/002327.html" xr:uid="{00000000-0004-0000-1100-0000B5060000}"/>
    <hyperlink ref="C856" r:id="rId1719" display="http://data.eastmoney.com/stockdata/002327.html" xr:uid="{00000000-0004-0000-1100-0000B6060000}"/>
    <hyperlink ref="B857" r:id="rId1720" display="http://quote.eastmoney.com/601377.html" xr:uid="{00000000-0004-0000-1100-0000B7060000}"/>
    <hyperlink ref="C857" r:id="rId1721" display="http://data.eastmoney.com/stockdata/601377.html" xr:uid="{00000000-0004-0000-1100-0000B8060000}"/>
    <hyperlink ref="B858" r:id="rId1722" display="http://quote.eastmoney.com/300552.html" xr:uid="{00000000-0004-0000-1100-0000B9060000}"/>
    <hyperlink ref="C858" r:id="rId1723" display="http://data.eastmoney.com/stockdata/300552.html" xr:uid="{00000000-0004-0000-1100-0000BA060000}"/>
    <hyperlink ref="B859" r:id="rId1724" display="http://quote.eastmoney.com/600887.html" xr:uid="{00000000-0004-0000-1100-0000BB060000}"/>
    <hyperlink ref="C859" r:id="rId1725" display="http://data.eastmoney.com/stockdata/600887.html" xr:uid="{00000000-0004-0000-1100-0000BC060000}"/>
    <hyperlink ref="B860" r:id="rId1726" display="http://quote.eastmoney.com/600009.html" xr:uid="{00000000-0004-0000-1100-0000BD060000}"/>
    <hyperlink ref="C860" r:id="rId1727" display="http://data.eastmoney.com/stockdata/600009.html" xr:uid="{00000000-0004-0000-1100-0000BE060000}"/>
    <hyperlink ref="B861" r:id="rId1728" display="http://quote.eastmoney.com/000921.html" xr:uid="{00000000-0004-0000-1100-0000BF060000}"/>
    <hyperlink ref="C861" r:id="rId1729" display="http://data.eastmoney.com/stockdata/000921.html" xr:uid="{00000000-0004-0000-1100-0000C0060000}"/>
    <hyperlink ref="B862" r:id="rId1730" display="http://quote.eastmoney.com/002023.html" xr:uid="{00000000-0004-0000-1100-0000C1060000}"/>
    <hyperlink ref="C862" r:id="rId1731" display="http://data.eastmoney.com/stockdata/002023.html" xr:uid="{00000000-0004-0000-1100-0000C2060000}"/>
    <hyperlink ref="B863" r:id="rId1732" display="http://quote.eastmoney.com/002233.html" xr:uid="{00000000-0004-0000-1100-0000C3060000}"/>
    <hyperlink ref="C863" r:id="rId1733" display="http://data.eastmoney.com/stockdata/002233.html" xr:uid="{00000000-0004-0000-1100-0000C4060000}"/>
    <hyperlink ref="B864" r:id="rId1734" display="http://quote.eastmoney.com/002015.html" xr:uid="{00000000-0004-0000-1100-0000C5060000}"/>
    <hyperlink ref="C864" r:id="rId1735" display="http://data.eastmoney.com/stockdata/002015.html" xr:uid="{00000000-0004-0000-1100-0000C6060000}"/>
    <hyperlink ref="B865" r:id="rId1736" display="http://quote.eastmoney.com/002399.html" xr:uid="{00000000-0004-0000-1100-0000C7060000}"/>
    <hyperlink ref="C865" r:id="rId1737" display="http://data.eastmoney.com/stockdata/002399.html" xr:uid="{00000000-0004-0000-1100-0000C8060000}"/>
    <hyperlink ref="B866" r:id="rId1738" display="http://quote.eastmoney.com/002399.html" xr:uid="{00000000-0004-0000-1100-0000C9060000}"/>
    <hyperlink ref="C866" r:id="rId1739" display="http://data.eastmoney.com/stockdata/002399.html" xr:uid="{00000000-0004-0000-1100-0000CA060000}"/>
    <hyperlink ref="B867" r:id="rId1740" display="http://quote.eastmoney.com/600116.html" xr:uid="{00000000-0004-0000-1100-0000CB060000}"/>
    <hyperlink ref="C867" r:id="rId1741" display="http://data.eastmoney.com/stockdata/600116.html" xr:uid="{00000000-0004-0000-1100-0000CC060000}"/>
    <hyperlink ref="B868" r:id="rId1742" display="http://quote.eastmoney.com/300193.html" xr:uid="{00000000-0004-0000-1100-0000CD060000}"/>
    <hyperlink ref="C868" r:id="rId1743" display="http://data.eastmoney.com/stockdata/300193.html" xr:uid="{00000000-0004-0000-1100-0000CE060000}"/>
    <hyperlink ref="B869" r:id="rId1744" display="http://quote.eastmoney.com/601166.html" xr:uid="{00000000-0004-0000-1100-0000CF060000}"/>
    <hyperlink ref="C869" r:id="rId1745" display="http://data.eastmoney.com/stockdata/601166.html" xr:uid="{00000000-0004-0000-1100-0000D0060000}"/>
    <hyperlink ref="B870" r:id="rId1746" display="http://quote.eastmoney.com/600118.html" xr:uid="{00000000-0004-0000-1100-0000D1060000}"/>
    <hyperlink ref="C870" r:id="rId1747" display="http://data.eastmoney.com/stockdata/600118.html" xr:uid="{00000000-0004-0000-1100-0000D2060000}"/>
    <hyperlink ref="B871" r:id="rId1748" display="http://quote.eastmoney.com/000976.html" xr:uid="{00000000-0004-0000-1100-0000D3060000}"/>
    <hyperlink ref="C871" r:id="rId1749" display="http://data.eastmoney.com/stockdata/000976.html" xr:uid="{00000000-0004-0000-1100-0000D4060000}"/>
    <hyperlink ref="B872" r:id="rId1750" display="http://quote.eastmoney.com/601636.html" xr:uid="{00000000-0004-0000-1100-0000D5060000}"/>
    <hyperlink ref="C872" r:id="rId1751" display="http://data.eastmoney.com/stockdata/601636.html" xr:uid="{00000000-0004-0000-1100-0000D6060000}"/>
    <hyperlink ref="B873" r:id="rId1752" display="http://quote.eastmoney.com/300233.html" xr:uid="{00000000-0004-0000-1100-0000D7060000}"/>
    <hyperlink ref="C873" r:id="rId1753" display="http://data.eastmoney.com/stockdata/300233.html" xr:uid="{00000000-0004-0000-1100-0000D8060000}"/>
    <hyperlink ref="B874" r:id="rId1754" display="http://quote.eastmoney.com/600068.html" xr:uid="{00000000-0004-0000-1100-0000D9060000}"/>
    <hyperlink ref="C874" r:id="rId1755" display="http://data.eastmoney.com/stockdata/600068.html" xr:uid="{00000000-0004-0000-1100-0000DA060000}"/>
    <hyperlink ref="B875" r:id="rId1756" display="http://quote.eastmoney.com/000651.html" xr:uid="{00000000-0004-0000-1100-0000DB060000}"/>
    <hyperlink ref="C875" r:id="rId1757" display="http://data.eastmoney.com/stockdata/000651.html" xr:uid="{00000000-0004-0000-1100-0000DC060000}"/>
    <hyperlink ref="B876" r:id="rId1758" display="http://quote.eastmoney.com/000959.html" xr:uid="{00000000-0004-0000-1100-0000DD060000}"/>
    <hyperlink ref="C876" r:id="rId1759" display="http://data.eastmoney.com/stockdata/000959.html" xr:uid="{00000000-0004-0000-1100-0000DE060000}"/>
    <hyperlink ref="B877" r:id="rId1760" display="http://quote.eastmoney.com/600030.html" xr:uid="{00000000-0004-0000-1100-0000DF060000}"/>
    <hyperlink ref="C877" r:id="rId1761" display="http://data.eastmoney.com/stockdata/600030.html" xr:uid="{00000000-0004-0000-1100-0000E0060000}"/>
    <hyperlink ref="B878" r:id="rId1762" display="http://quote.eastmoney.com/002039.html" xr:uid="{00000000-0004-0000-1100-0000E1060000}"/>
    <hyperlink ref="C878" r:id="rId1763" display="http://data.eastmoney.com/stockdata/002039.html" xr:uid="{00000000-0004-0000-1100-0000E2060000}"/>
    <hyperlink ref="B879" r:id="rId1764" display="http://quote.eastmoney.com/002293.html" xr:uid="{00000000-0004-0000-1100-0000E3060000}"/>
    <hyperlink ref="C879" r:id="rId1765" display="http://data.eastmoney.com/stockdata/002293.html" xr:uid="{00000000-0004-0000-1100-0000E4060000}"/>
    <hyperlink ref="B880" r:id="rId1766" display="http://quote.eastmoney.com/600153.html" xr:uid="{00000000-0004-0000-1100-0000E5060000}"/>
    <hyperlink ref="C880" r:id="rId1767" display="http://data.eastmoney.com/stockdata/600153.html" xr:uid="{00000000-0004-0000-1100-0000E6060000}"/>
    <hyperlink ref="B881" r:id="rId1768" display="http://quote.eastmoney.com/601928.html" xr:uid="{00000000-0004-0000-1100-0000E7060000}"/>
    <hyperlink ref="C881" r:id="rId1769" display="http://data.eastmoney.com/stockdata/601928.html" xr:uid="{00000000-0004-0000-1100-0000E8060000}"/>
    <hyperlink ref="B882" r:id="rId1770" display="http://quote.eastmoney.com/601577.html" xr:uid="{00000000-0004-0000-1100-0000E9060000}"/>
    <hyperlink ref="C882" r:id="rId1771" display="http://data.eastmoney.com/stockdata/601577.html" xr:uid="{00000000-0004-0000-1100-0000EA060000}"/>
    <hyperlink ref="B883" r:id="rId1772" display="http://quote.eastmoney.com/600426.html" xr:uid="{00000000-0004-0000-1100-0000EB060000}"/>
    <hyperlink ref="C883" r:id="rId1773" display="http://data.eastmoney.com/stockdata/600426.html" xr:uid="{00000000-0004-0000-1100-0000EC060000}"/>
    <hyperlink ref="B884" r:id="rId1774" display="http://quote.eastmoney.com/603877.html" xr:uid="{00000000-0004-0000-1100-0000ED060000}"/>
    <hyperlink ref="C884" r:id="rId1775" display="http://data.eastmoney.com/stockdata/603877.html" xr:uid="{00000000-0004-0000-1100-0000EE060000}"/>
    <hyperlink ref="B885" r:id="rId1776" display="http://quote.eastmoney.com/600352.html" xr:uid="{00000000-0004-0000-1100-0000EF060000}"/>
    <hyperlink ref="C885" r:id="rId1777" display="http://data.eastmoney.com/stockdata/600352.html" xr:uid="{00000000-0004-0000-1100-0000F0060000}"/>
    <hyperlink ref="B886" r:id="rId1778" display="http://quote.eastmoney.com/002508.html" xr:uid="{00000000-0004-0000-1100-0000F1060000}"/>
    <hyperlink ref="C886" r:id="rId1779" display="http://data.eastmoney.com/stockdata/002508.html" xr:uid="{00000000-0004-0000-1100-0000F2060000}"/>
    <hyperlink ref="B887" r:id="rId1780" display="http://quote.eastmoney.com/000776.html" xr:uid="{00000000-0004-0000-1100-0000F3060000}"/>
    <hyperlink ref="C887" r:id="rId1781" display="http://data.eastmoney.com/stockdata/000776.html" xr:uid="{00000000-0004-0000-1100-0000F4060000}"/>
    <hyperlink ref="B888" r:id="rId1782" display="http://quote.eastmoney.com/600535.html" xr:uid="{00000000-0004-0000-1100-0000F5060000}"/>
    <hyperlink ref="C888" r:id="rId1783" display="http://data.eastmoney.com/stockdata/600535.html" xr:uid="{00000000-0004-0000-1100-0000F6060000}"/>
    <hyperlink ref="B889" r:id="rId1784" display="http://quote.eastmoney.com/600580.html" xr:uid="{00000000-0004-0000-1100-0000F7060000}"/>
    <hyperlink ref="C889" r:id="rId1785" display="http://data.eastmoney.com/stockdata/600580.html" xr:uid="{00000000-0004-0000-1100-0000F8060000}"/>
    <hyperlink ref="B890" r:id="rId1786" display="http://quote.eastmoney.com/603323.html" xr:uid="{00000000-0004-0000-1100-0000F9060000}"/>
    <hyperlink ref="C890" r:id="rId1787" display="http://data.eastmoney.com/stockdata/603323.html" xr:uid="{00000000-0004-0000-1100-0000FA060000}"/>
    <hyperlink ref="B891" r:id="rId1788" display="http://quote.eastmoney.com/603355.html" xr:uid="{00000000-0004-0000-1100-0000FB060000}"/>
    <hyperlink ref="C891" r:id="rId1789" display="http://data.eastmoney.com/stockdata/603355.html" xr:uid="{00000000-0004-0000-1100-0000FC060000}"/>
    <hyperlink ref="B892" r:id="rId1790" display="http://quote.eastmoney.com/600373.html" xr:uid="{00000000-0004-0000-1100-0000FD060000}"/>
    <hyperlink ref="C892" r:id="rId1791" display="http://data.eastmoney.com/stockdata/600373.html" xr:uid="{00000000-0004-0000-1100-0000FE060000}"/>
    <hyperlink ref="B893" r:id="rId1792" display="http://quote.eastmoney.com/601186.html" xr:uid="{00000000-0004-0000-1100-0000FF060000}"/>
    <hyperlink ref="C893" r:id="rId1793" display="http://data.eastmoney.com/stockdata/601186.html" xr:uid="{00000000-0004-0000-1100-000000070000}"/>
    <hyperlink ref="B894" r:id="rId1794" display="http://quote.eastmoney.com/601668.html" xr:uid="{00000000-0004-0000-1100-000001070000}"/>
    <hyperlink ref="C894" r:id="rId1795" display="http://data.eastmoney.com/stockdata/601668.html" xr:uid="{00000000-0004-0000-1100-000002070000}"/>
    <hyperlink ref="B895" r:id="rId1796" display="http://quote.eastmoney.com/300182.html" xr:uid="{00000000-0004-0000-1100-000003070000}"/>
    <hyperlink ref="C895" r:id="rId1797" display="http://data.eastmoney.com/stockdata/300182.html" xr:uid="{00000000-0004-0000-1100-000004070000}"/>
    <hyperlink ref="B896" r:id="rId1798" display="http://quote.eastmoney.com/600977.html" xr:uid="{00000000-0004-0000-1100-000005070000}"/>
    <hyperlink ref="C896" r:id="rId1799" display="http://data.eastmoney.com/stockdata/600977.html" xr:uid="{00000000-0004-0000-1100-000006070000}"/>
    <hyperlink ref="B897" r:id="rId1800" display="http://quote.eastmoney.com/002318.html" xr:uid="{00000000-0004-0000-1100-000007070000}"/>
    <hyperlink ref="C897" r:id="rId1801" display="http://data.eastmoney.com/stockdata/002318.html" xr:uid="{00000000-0004-0000-1100-000008070000}"/>
    <hyperlink ref="B898" r:id="rId1802" display="http://quote.eastmoney.com/600820.html" xr:uid="{00000000-0004-0000-1100-000009070000}"/>
    <hyperlink ref="C898" r:id="rId1803" display="http://data.eastmoney.com/stockdata/600820.html" xr:uid="{00000000-0004-0000-1100-00000A070000}"/>
    <hyperlink ref="B899" r:id="rId1804" display="http://quote.eastmoney.com/601828.html" xr:uid="{00000000-0004-0000-1100-00000B070000}"/>
    <hyperlink ref="C899" r:id="rId1805" display="http://data.eastmoney.com/stockdata/601828.html" xr:uid="{00000000-0004-0000-1100-00000C070000}"/>
    <hyperlink ref="B900" r:id="rId1806" display="http://quote.eastmoney.com/600859.html" xr:uid="{00000000-0004-0000-1100-00000D070000}"/>
    <hyperlink ref="C900" r:id="rId1807" display="http://data.eastmoney.com/stockdata/600859.html" xr:uid="{00000000-0004-0000-1100-00000E070000}"/>
    <hyperlink ref="B901" r:id="rId1808" display="http://quote.eastmoney.com/601168.html" xr:uid="{00000000-0004-0000-1100-00000F070000}"/>
    <hyperlink ref="C901" r:id="rId1809" display="http://data.eastmoney.com/stockdata/601168.html" xr:uid="{00000000-0004-0000-1100-000010070000}"/>
    <hyperlink ref="B902" r:id="rId1810" display="http://quote.eastmoney.com/002461.html" xr:uid="{00000000-0004-0000-1100-000011070000}"/>
    <hyperlink ref="C902" r:id="rId1811" display="http://data.eastmoney.com/stockdata/002461.html" xr:uid="{00000000-0004-0000-1100-000012070000}"/>
    <hyperlink ref="B903" r:id="rId1812" display="http://quote.eastmoney.com/601992.html" xr:uid="{00000000-0004-0000-1100-000013070000}"/>
    <hyperlink ref="C903" r:id="rId1813" display="http://data.eastmoney.com/stockdata/601992.html" xr:uid="{00000000-0004-0000-1100-000014070000}"/>
    <hyperlink ref="B904" r:id="rId1814" display="http://quote.eastmoney.com/601857.html" xr:uid="{00000000-0004-0000-1100-000015070000}"/>
    <hyperlink ref="C904" r:id="rId1815" display="http://data.eastmoney.com/stockdata/601857.html" xr:uid="{00000000-0004-0000-1100-000016070000}"/>
    <hyperlink ref="B905" r:id="rId1816" display="http://quote.eastmoney.com/601098.html" xr:uid="{00000000-0004-0000-1100-000017070000}"/>
    <hyperlink ref="C905" r:id="rId1817" display="http://data.eastmoney.com/stockdata/601098.html" xr:uid="{00000000-0004-0000-1100-000018070000}"/>
    <hyperlink ref="B906" r:id="rId1818" display="http://quote.eastmoney.com/601800.html" xr:uid="{00000000-0004-0000-1100-000019070000}"/>
    <hyperlink ref="C906" r:id="rId1819" display="http://data.eastmoney.com/stockdata/601800.html" xr:uid="{00000000-0004-0000-1100-00001A070000}"/>
    <hyperlink ref="B907" r:id="rId1820" display="http://quote.eastmoney.com/601881.html" xr:uid="{00000000-0004-0000-1100-00001B070000}"/>
    <hyperlink ref="C907" r:id="rId1821" display="http://data.eastmoney.com/stockdata/601881.html" xr:uid="{00000000-0004-0000-1100-00001C070000}"/>
    <hyperlink ref="B908" r:id="rId1822" display="http://quote.eastmoney.com/002317.html" xr:uid="{00000000-0004-0000-1100-00001D070000}"/>
    <hyperlink ref="C908" r:id="rId1823" display="http://data.eastmoney.com/stockdata/002317.html" xr:uid="{00000000-0004-0000-1100-00001E070000}"/>
    <hyperlink ref="B909" r:id="rId1824" display="http://quote.eastmoney.com/603377.html" xr:uid="{00000000-0004-0000-1100-00001F070000}"/>
    <hyperlink ref="C909" r:id="rId1825" display="http://data.eastmoney.com/stockdata/603377.html" xr:uid="{00000000-0004-0000-1100-000020070000}"/>
    <hyperlink ref="B910" r:id="rId1826" display="http://quote.eastmoney.com/000672.html" xr:uid="{00000000-0004-0000-1100-000021070000}"/>
    <hyperlink ref="C910" r:id="rId1827" display="http://data.eastmoney.com/stockdata/000672.html" xr:uid="{00000000-0004-0000-1100-000022070000}"/>
    <hyperlink ref="B911" r:id="rId1828" display="http://quote.eastmoney.com/000923.html" xr:uid="{00000000-0004-0000-1100-000023070000}"/>
    <hyperlink ref="C911" r:id="rId1829" display="http://data.eastmoney.com/stockdata/000923.html" xr:uid="{00000000-0004-0000-1100-000024070000}"/>
    <hyperlink ref="B912" r:id="rId1830" display="http://quote.eastmoney.com/002287.html" xr:uid="{00000000-0004-0000-1100-000025070000}"/>
    <hyperlink ref="C912" r:id="rId1831" display="http://data.eastmoney.com/stockdata/002287.html" xr:uid="{00000000-0004-0000-1100-000026070000}"/>
    <hyperlink ref="B913" r:id="rId1832" display="http://quote.eastmoney.com/600104.html" xr:uid="{00000000-0004-0000-1100-000027070000}"/>
    <hyperlink ref="C913" r:id="rId1833" display="http://data.eastmoney.com/stockdata/600104.html" xr:uid="{00000000-0004-0000-1100-000028070000}"/>
    <hyperlink ref="B914" r:id="rId1834" display="http://quote.eastmoney.com/600803.html" xr:uid="{00000000-0004-0000-1100-000029070000}"/>
    <hyperlink ref="C914" r:id="rId1835" display="http://data.eastmoney.com/stockdata/600803.html" xr:uid="{00000000-0004-0000-1100-00002A070000}"/>
    <hyperlink ref="B915" r:id="rId1836" display="http://quote.eastmoney.com/601398.html" xr:uid="{00000000-0004-0000-1100-00002B070000}"/>
    <hyperlink ref="C915" r:id="rId1837" display="http://data.eastmoney.com/stockdata/601398.html" xr:uid="{00000000-0004-0000-1100-00002C070000}"/>
    <hyperlink ref="B916" r:id="rId1838" display="http://quote.eastmoney.com/000089.html" xr:uid="{00000000-0004-0000-1100-00002D070000}"/>
    <hyperlink ref="C916" r:id="rId1839" display="http://data.eastmoney.com/stockdata/000089.html" xr:uid="{00000000-0004-0000-1100-00002E070000}"/>
    <hyperlink ref="B917" r:id="rId1840" display="http://quote.eastmoney.com/600720.html" xr:uid="{00000000-0004-0000-1100-00002F070000}"/>
    <hyperlink ref="C917" r:id="rId1841" display="http://data.eastmoney.com/stockdata/600720.html" xr:uid="{00000000-0004-0000-1100-000030070000}"/>
    <hyperlink ref="B918" r:id="rId1842" display="http://quote.eastmoney.com/601169.html" xr:uid="{00000000-0004-0000-1100-000031070000}"/>
    <hyperlink ref="C918" r:id="rId1843" display="http://data.eastmoney.com/stockdata/601169.html" xr:uid="{00000000-0004-0000-1100-000032070000}"/>
    <hyperlink ref="B919" r:id="rId1844" display="http://quote.eastmoney.com/601618.html" xr:uid="{00000000-0004-0000-1100-000033070000}"/>
    <hyperlink ref="C919" r:id="rId1845" display="http://data.eastmoney.com/stockdata/601618.html" xr:uid="{00000000-0004-0000-1100-000034070000}"/>
    <hyperlink ref="B920" r:id="rId1846" display="http://quote.eastmoney.com/600740.html" xr:uid="{00000000-0004-0000-1100-000035070000}"/>
    <hyperlink ref="C920" r:id="rId1847" display="http://data.eastmoney.com/stockdata/600740.html" xr:uid="{00000000-0004-0000-1100-000036070000}"/>
    <hyperlink ref="B921" r:id="rId1848" display="http://quote.eastmoney.com/600398.html" xr:uid="{00000000-0004-0000-1100-000037070000}"/>
    <hyperlink ref="C921" r:id="rId1849" display="http://data.eastmoney.com/stockdata/600398.html" xr:uid="{00000000-0004-0000-1100-000038070000}"/>
    <hyperlink ref="B922" r:id="rId1850" display="http://quote.eastmoney.com/600066.html" xr:uid="{00000000-0004-0000-1100-000039070000}"/>
    <hyperlink ref="C922" r:id="rId1851" display="http://data.eastmoney.com/stockdata/600066.html" xr:uid="{00000000-0004-0000-1100-00003A070000}"/>
    <hyperlink ref="B923" r:id="rId1852" display="http://quote.eastmoney.com/000895.html" xr:uid="{00000000-0004-0000-1100-00003B070000}"/>
    <hyperlink ref="C923" r:id="rId1853" display="http://data.eastmoney.com/stockdata/000895.html" xr:uid="{00000000-0004-0000-1100-00003C070000}"/>
    <hyperlink ref="B924" r:id="rId1854" display="http://quote.eastmoney.com/600741.html" xr:uid="{00000000-0004-0000-1100-00003D070000}"/>
    <hyperlink ref="C924" r:id="rId1855" display="http://data.eastmoney.com/stockdata/600741.html" xr:uid="{00000000-0004-0000-1100-00003E070000}"/>
    <hyperlink ref="B925" r:id="rId1856" display="http://quote.eastmoney.com/000338.html" xr:uid="{00000000-0004-0000-1100-00003F070000}"/>
    <hyperlink ref="C925" r:id="rId1857" display="http://data.eastmoney.com/stockdata/000338.html" xr:uid="{00000000-0004-0000-1100-000040070000}"/>
    <hyperlink ref="B926" r:id="rId1858" display="http://quote.eastmoney.com/600987.html" xr:uid="{00000000-0004-0000-1100-000041070000}"/>
    <hyperlink ref="C926" r:id="rId1859" display="http://data.eastmoney.com/stockdata/600987.html" xr:uid="{00000000-0004-0000-1100-000042070000}"/>
    <hyperlink ref="B927" r:id="rId1860" display="http://quote.eastmoney.com/000629.html" xr:uid="{00000000-0004-0000-1100-000043070000}"/>
    <hyperlink ref="C927" r:id="rId1861" display="http://data.eastmoney.com/stockdata/000629.html" xr:uid="{00000000-0004-0000-1100-000044070000}"/>
    <hyperlink ref="B928" r:id="rId1862" display="http://quote.eastmoney.com/000910.html" xr:uid="{00000000-0004-0000-1100-000045070000}"/>
    <hyperlink ref="C928" r:id="rId1863" display="http://data.eastmoney.com/stockdata/000910.html" xr:uid="{00000000-0004-0000-1100-000046070000}"/>
    <hyperlink ref="B929" r:id="rId1864" display="http://quote.eastmoney.com/601998.html" xr:uid="{00000000-0004-0000-1100-000047070000}"/>
    <hyperlink ref="C929" r:id="rId1865" display="http://data.eastmoney.com/stockdata/601998.html" xr:uid="{00000000-0004-0000-1100-000048070000}"/>
    <hyperlink ref="B930" r:id="rId1866" display="http://quote.eastmoney.com/600085.html" xr:uid="{00000000-0004-0000-1100-000049070000}"/>
    <hyperlink ref="C930" r:id="rId1867" display="http://data.eastmoney.com/stockdata/600085.html" xr:uid="{00000000-0004-0000-1100-00004A070000}"/>
    <hyperlink ref="B931" r:id="rId1868" display="http://quote.eastmoney.com/600690.html" xr:uid="{00000000-0004-0000-1100-00004B070000}"/>
    <hyperlink ref="C931" r:id="rId1869" display="http://data.eastmoney.com/stockdata/600690.html" xr:uid="{00000000-0004-0000-1100-00004C070000}"/>
    <hyperlink ref="B932" r:id="rId1870" display="http://quote.eastmoney.com/000888.html" xr:uid="{00000000-0004-0000-1100-00004D070000}"/>
    <hyperlink ref="C932" r:id="rId1871" display="http://data.eastmoney.com/stockdata/000888.html" xr:uid="{00000000-0004-0000-1100-00004E070000}"/>
    <hyperlink ref="B933" r:id="rId1872" display="http://quote.eastmoney.com/600019.html" xr:uid="{00000000-0004-0000-1100-00004F070000}"/>
    <hyperlink ref="C933" r:id="rId1873" display="http://data.eastmoney.com/stockdata/600019.html" xr:uid="{00000000-0004-0000-1100-000050070000}"/>
    <hyperlink ref="B934" r:id="rId1874" display="http://quote.eastmoney.com/000655.html" xr:uid="{00000000-0004-0000-1100-000051070000}"/>
    <hyperlink ref="C934" r:id="rId1875" display="http://data.eastmoney.com/stockdata/000655.html" xr:uid="{00000000-0004-0000-1100-000052070000}"/>
    <hyperlink ref="B935" r:id="rId1876" display="http://quote.eastmoney.com/000877.html" xr:uid="{00000000-0004-0000-1100-000053070000}"/>
    <hyperlink ref="C935" r:id="rId1877" display="http://data.eastmoney.com/stockdata/000877.html" xr:uid="{00000000-0004-0000-1100-000054070000}"/>
    <hyperlink ref="B936" r:id="rId1878" display="http://quote.eastmoney.com/603156.html" xr:uid="{00000000-0004-0000-1100-000055070000}"/>
    <hyperlink ref="C936" r:id="rId1879" display="http://data.eastmoney.com/stockdata/603156.html" xr:uid="{00000000-0004-0000-1100-000056070000}"/>
    <hyperlink ref="B937" r:id="rId1880" display="http://quote.eastmoney.com/000429.html" xr:uid="{00000000-0004-0000-1100-000057070000}"/>
    <hyperlink ref="C937" r:id="rId1881" display="http://data.eastmoney.com/stockdata/000429.html" xr:uid="{00000000-0004-0000-1100-000058070000}"/>
    <hyperlink ref="B938" r:id="rId1882" display="http://quote.eastmoney.com/600054.html" xr:uid="{00000000-0004-0000-1100-000059070000}"/>
    <hyperlink ref="C938" r:id="rId1883" display="http://data.eastmoney.com/stockdata/600054.html" xr:uid="{00000000-0004-0000-1100-00005A070000}"/>
    <hyperlink ref="B939" r:id="rId1884" display="http://quote.eastmoney.com/603868.html" xr:uid="{00000000-0004-0000-1100-00005B070000}"/>
    <hyperlink ref="C939" r:id="rId1885" display="http://data.eastmoney.com/stockdata/603868.html" xr:uid="{00000000-0004-0000-1100-00005C070000}"/>
    <hyperlink ref="B940" r:id="rId1886" display="http://quote.eastmoney.com/003816.html" xr:uid="{00000000-0004-0000-1100-00005D070000}"/>
    <hyperlink ref="C940" r:id="rId1887" display="http://data.eastmoney.com/stockdata/003816.html" xr:uid="{00000000-0004-0000-1100-00005E070000}"/>
    <hyperlink ref="B941" r:id="rId1888" display="http://quote.eastmoney.com/000581.html" xr:uid="{00000000-0004-0000-1100-00005F070000}"/>
    <hyperlink ref="C941" r:id="rId1889" display="http://data.eastmoney.com/stockdata/000581.html" xr:uid="{00000000-0004-0000-1100-000060070000}"/>
    <hyperlink ref="B942" r:id="rId1890" display="http://quote.eastmoney.com/600581.html" xr:uid="{00000000-0004-0000-1100-000061070000}"/>
    <hyperlink ref="C942" r:id="rId1891" display="http://data.eastmoney.com/stockdata/600581.html" xr:uid="{00000000-0004-0000-1100-000062070000}"/>
    <hyperlink ref="B943" r:id="rId1892" display="http://quote.eastmoney.com/601158.html" xr:uid="{00000000-0004-0000-1100-000063070000}"/>
    <hyperlink ref="C943" r:id="rId1893" display="http://data.eastmoney.com/stockdata/601158.html" xr:uid="{00000000-0004-0000-1100-000064070000}"/>
    <hyperlink ref="B944" r:id="rId1894" display="http://quote.eastmoney.com/000898.html" xr:uid="{00000000-0004-0000-1100-000065070000}"/>
    <hyperlink ref="C944" r:id="rId1895" display="http://data.eastmoney.com/stockdata/000898.html" xr:uid="{00000000-0004-0000-1100-000066070000}"/>
    <hyperlink ref="B945" r:id="rId1896" display="http://quote.eastmoney.com/000156.html" xr:uid="{00000000-0004-0000-1100-000067070000}"/>
    <hyperlink ref="C945" r:id="rId1897" display="http://data.eastmoney.com/stockdata/000156.html" xr:uid="{00000000-0004-0000-1100-000068070000}"/>
    <hyperlink ref="B946" r:id="rId1898" display="http://quote.eastmoney.com/600231.html" xr:uid="{00000000-0004-0000-1100-000069070000}"/>
    <hyperlink ref="C946" r:id="rId1899" display="http://data.eastmoney.com/stockdata/600231.html" xr:uid="{00000000-0004-0000-1100-00006A070000}"/>
    <hyperlink ref="B947" r:id="rId1900" display="http://quote.eastmoney.com/002608.html" xr:uid="{00000000-0004-0000-1100-00006B070000}"/>
    <hyperlink ref="C947" r:id="rId1901" display="http://data.eastmoney.com/stockdata/002608.html" xr:uid="{00000000-0004-0000-1100-00006C070000}"/>
    <hyperlink ref="B948" r:id="rId1902" display="http://quote.eastmoney.com/601628.html" xr:uid="{00000000-0004-0000-1100-00006D070000}"/>
    <hyperlink ref="C948" r:id="rId1903" display="http://data.eastmoney.com/stockdata/601628.html" xr:uid="{00000000-0004-0000-1100-00006E070000}"/>
    <hyperlink ref="B949" r:id="rId1904" display="http://quote.eastmoney.com/601699.html" xr:uid="{00000000-0004-0000-1100-00006F070000}"/>
    <hyperlink ref="C949" r:id="rId1905" display="http://data.eastmoney.com/stockdata/601699.html" xr:uid="{00000000-0004-0000-1100-000070070000}"/>
    <hyperlink ref="B950" r:id="rId1906" display="http://quote.eastmoney.com/600377.html" xr:uid="{00000000-0004-0000-1100-000071070000}"/>
    <hyperlink ref="C950" r:id="rId1907" display="http://data.eastmoney.com/stockdata/600377.html" xr:uid="{00000000-0004-0000-1100-000072070000}"/>
    <hyperlink ref="B951" r:id="rId1908" display="http://quote.eastmoney.com/601328.html" xr:uid="{00000000-0004-0000-1100-000073070000}"/>
    <hyperlink ref="C951" r:id="rId1909" display="http://data.eastmoney.com/stockdata/601328.html" xr:uid="{00000000-0004-0000-1100-000074070000}"/>
    <hyperlink ref="B952" r:id="rId1910" display="http://quote.eastmoney.com/601677.html" xr:uid="{00000000-0004-0000-1100-000075070000}"/>
    <hyperlink ref="C952" r:id="rId1911" display="http://data.eastmoney.com/stockdata/601677.html" xr:uid="{00000000-0004-0000-1100-000076070000}"/>
    <hyperlink ref="B953" r:id="rId1912" display="http://quote.eastmoney.com/600507.html" xr:uid="{00000000-0004-0000-1100-000077070000}"/>
    <hyperlink ref="C953" r:id="rId1913" display="http://data.eastmoney.com/stockdata/600507.html" xr:uid="{00000000-0004-0000-1100-000078070000}"/>
    <hyperlink ref="B954" r:id="rId1914" display="http://quote.eastmoney.com/000708.html" xr:uid="{00000000-0004-0000-1100-000079070000}"/>
    <hyperlink ref="C954" r:id="rId1915" display="http://data.eastmoney.com/stockdata/000708.html" xr:uid="{00000000-0004-0000-1100-00007A070000}"/>
    <hyperlink ref="B955" r:id="rId1916" display="http://quote.eastmoney.com/600236.html" xr:uid="{00000000-0004-0000-1100-00007B070000}"/>
    <hyperlink ref="C955" r:id="rId1917" display="http://data.eastmoney.com/stockdata/600236.html" xr:uid="{00000000-0004-0000-1100-00007C070000}"/>
    <hyperlink ref="B956" r:id="rId1918" display="http://quote.eastmoney.com/600132.html" xr:uid="{00000000-0004-0000-1100-00007D070000}"/>
    <hyperlink ref="C956" r:id="rId1919" display="http://data.eastmoney.com/stockdata/600132.html" xr:uid="{00000000-0004-0000-1100-00007E070000}"/>
    <hyperlink ref="B957" r:id="rId1920" display="http://quote.eastmoney.com/601288.html" xr:uid="{00000000-0004-0000-1100-00007F070000}"/>
    <hyperlink ref="C957" r:id="rId1921" display="http://data.eastmoney.com/stockdata/601288.html" xr:uid="{00000000-0004-0000-1100-000080070000}"/>
    <hyperlink ref="B958" r:id="rId1922" display="http://quote.eastmoney.com/002110.html" xr:uid="{00000000-0004-0000-1100-000081070000}"/>
    <hyperlink ref="C958" r:id="rId1923" display="http://data.eastmoney.com/stockdata/002110.html" xr:uid="{00000000-0004-0000-1100-000082070000}"/>
    <hyperlink ref="B959" r:id="rId1924" display="http://quote.eastmoney.com/601666.html" xr:uid="{00000000-0004-0000-1100-000083070000}"/>
    <hyperlink ref="C959" r:id="rId1925" display="http://data.eastmoney.com/stockdata/601666.html" xr:uid="{00000000-0004-0000-1100-000084070000}"/>
    <hyperlink ref="B960" r:id="rId1926" display="http://quote.eastmoney.com/600028.html" xr:uid="{00000000-0004-0000-1100-000085070000}"/>
    <hyperlink ref="C960" r:id="rId1927" display="http://data.eastmoney.com/stockdata/600028.html" xr:uid="{00000000-0004-0000-1100-000086070000}"/>
    <hyperlink ref="B961" r:id="rId1928" display="http://quote.eastmoney.com/600782.html" xr:uid="{00000000-0004-0000-1100-000087070000}"/>
    <hyperlink ref="C961" r:id="rId1929" display="http://data.eastmoney.com/stockdata/600782.html" xr:uid="{00000000-0004-0000-1100-000088070000}"/>
    <hyperlink ref="B962" r:id="rId1930" display="http://quote.eastmoney.com/600637.html" xr:uid="{00000000-0004-0000-1100-000089070000}"/>
    <hyperlink ref="C962" r:id="rId1931" display="http://data.eastmoney.com/stockdata/600637.html" xr:uid="{00000000-0004-0000-1100-00008A070000}"/>
    <hyperlink ref="B963" r:id="rId1932" display="http://quote.eastmoney.com/600886.html" xr:uid="{00000000-0004-0000-1100-00008B070000}"/>
    <hyperlink ref="C963" r:id="rId1933" display="http://data.eastmoney.com/stockdata/600886.html" xr:uid="{00000000-0004-0000-1100-00008C070000}"/>
    <hyperlink ref="B964" r:id="rId1934" display="http://quote.eastmoney.com/601566.html" xr:uid="{00000000-0004-0000-1100-00008D070000}"/>
    <hyperlink ref="C964" r:id="rId1935" display="http://data.eastmoney.com/stockdata/601566.html" xr:uid="{00000000-0004-0000-1100-00008E070000}"/>
    <hyperlink ref="B965" r:id="rId1936" display="http://quote.eastmoney.com/601939.html" xr:uid="{00000000-0004-0000-1100-00008F070000}"/>
    <hyperlink ref="C965" r:id="rId1937" display="http://data.eastmoney.com/stockdata/601939.html" xr:uid="{00000000-0004-0000-1100-000090070000}"/>
    <hyperlink ref="B966" r:id="rId1938" display="http://quote.eastmoney.com/000789.html" xr:uid="{00000000-0004-0000-1100-000091070000}"/>
    <hyperlink ref="C966" r:id="rId1939" display="http://data.eastmoney.com/stockdata/000789.html" xr:uid="{00000000-0004-0000-1100-000092070000}"/>
    <hyperlink ref="B967" r:id="rId1940" display="http://quote.eastmoney.com/601225.html" xr:uid="{00000000-0004-0000-1100-000093070000}"/>
    <hyperlink ref="C967" r:id="rId1941" display="http://data.eastmoney.com/stockdata/601225.html" xr:uid="{00000000-0004-0000-1100-000094070000}"/>
    <hyperlink ref="B968" r:id="rId1942" display="http://quote.eastmoney.com/600395.html" xr:uid="{00000000-0004-0000-1100-000095070000}"/>
    <hyperlink ref="C968" r:id="rId1943" display="http://data.eastmoney.com/stockdata/600395.html" xr:uid="{00000000-0004-0000-1100-000096070000}"/>
    <hyperlink ref="B969" r:id="rId1944" display="http://quote.eastmoney.com/601319.html" xr:uid="{00000000-0004-0000-1100-000097070000}"/>
    <hyperlink ref="C969" r:id="rId1945" display="http://data.eastmoney.com/stockdata/601319.html" xr:uid="{00000000-0004-0000-1100-000098070000}"/>
    <hyperlink ref="B970" r:id="rId1946" display="http://quote.eastmoney.com/000983.html" xr:uid="{00000000-0004-0000-1100-000099070000}"/>
    <hyperlink ref="C970" r:id="rId1947" display="http://data.eastmoney.com/stockdata/000983.html" xr:uid="{00000000-0004-0000-1100-00009A070000}"/>
    <hyperlink ref="B971" r:id="rId1948" display="http://quote.eastmoney.com/300251.html" xr:uid="{00000000-0004-0000-1100-00009B070000}"/>
    <hyperlink ref="C971" r:id="rId1949" display="http://data.eastmoney.com/stockdata/300251.html" xr:uid="{00000000-0004-0000-1100-00009C070000}"/>
    <hyperlink ref="B972" r:id="rId1950" display="http://quote.eastmoney.com/600188.html" xr:uid="{00000000-0004-0000-1100-00009D070000}"/>
    <hyperlink ref="C972" r:id="rId1951" display="http://data.eastmoney.com/stockdata/600188.html" xr:uid="{00000000-0004-0000-1100-00009E070000}"/>
    <hyperlink ref="B973" r:id="rId1952" display="http://quote.eastmoney.com/600282.html" xr:uid="{00000000-0004-0000-1100-00009F070000}"/>
    <hyperlink ref="C973" r:id="rId1953" display="http://data.eastmoney.com/stockdata/600282.html" xr:uid="{00000000-0004-0000-1100-0000A0070000}"/>
    <hyperlink ref="B974" r:id="rId1954" display="http://quote.eastmoney.com/600348.html" xr:uid="{00000000-0004-0000-1100-0000A1070000}"/>
    <hyperlink ref="C974" r:id="rId1955" display="http://data.eastmoney.com/stockdata/600348.html" xr:uid="{00000000-0004-0000-1100-0000A2070000}"/>
    <hyperlink ref="B975" r:id="rId1956" display="http://quote.eastmoney.com/000717.html" xr:uid="{00000000-0004-0000-1100-0000A3070000}"/>
    <hyperlink ref="C975" r:id="rId1957" display="http://data.eastmoney.com/stockdata/000717.html" xr:uid="{00000000-0004-0000-1100-0000A4070000}"/>
    <hyperlink ref="B976" r:id="rId1958" display="http://quote.eastmoney.com/600025.html" xr:uid="{00000000-0004-0000-1100-0000A5070000}"/>
    <hyperlink ref="C976" r:id="rId1959" display="http://data.eastmoney.com/stockdata/600025.html" xr:uid="{00000000-0004-0000-1100-0000A6070000}"/>
    <hyperlink ref="B977" r:id="rId1960" display="http://quote.eastmoney.com/601116.html" xr:uid="{00000000-0004-0000-1100-0000A7070000}"/>
    <hyperlink ref="C977" r:id="rId1961" display="http://data.eastmoney.com/stockdata/601116.html" xr:uid="{00000000-0004-0000-1100-0000A8070000}"/>
    <hyperlink ref="B978" r:id="rId1962" display="http://quote.eastmoney.com/002128.html" xr:uid="{00000000-0004-0000-1100-0000A9070000}"/>
    <hyperlink ref="C978" r:id="rId1963" display="http://data.eastmoney.com/stockdata/002128.html" xr:uid="{00000000-0004-0000-1100-0000AA070000}"/>
    <hyperlink ref="B979" r:id="rId1964" display="http://quote.eastmoney.com/600801.html" xr:uid="{00000000-0004-0000-1100-0000AB070000}"/>
    <hyperlink ref="C979" r:id="rId1965" display="http://data.eastmoney.com/stockdata/600801.html" xr:uid="{00000000-0004-0000-1100-0000AC070000}"/>
    <hyperlink ref="B980" r:id="rId1966" display="http://quote.eastmoney.com/601988.html" xr:uid="{00000000-0004-0000-1100-0000AD070000}"/>
    <hyperlink ref="C980" r:id="rId1967" display="http://data.eastmoney.com/stockdata/601988.html" xr:uid="{00000000-0004-0000-1100-0000AE070000}"/>
    <hyperlink ref="B981" r:id="rId1968" display="http://quote.eastmoney.com/601006.html" xr:uid="{00000000-0004-0000-1100-0000AF070000}"/>
    <hyperlink ref="C981" r:id="rId1969" display="http://data.eastmoney.com/stockdata/601006.html" xr:uid="{00000000-0004-0000-1100-0000B0070000}"/>
    <hyperlink ref="B982" r:id="rId1970" display="http://quote.eastmoney.com/000709.html" xr:uid="{00000000-0004-0000-1100-0000B1070000}"/>
    <hyperlink ref="C982" r:id="rId1971" display="http://data.eastmoney.com/stockdata/000709.html" xr:uid="{00000000-0004-0000-1100-0000B2070000}"/>
    <hyperlink ref="B983" r:id="rId1972" display="http://quote.eastmoney.com/000932.html" xr:uid="{00000000-0004-0000-1100-0000B3070000}"/>
    <hyperlink ref="C983" r:id="rId1973" display="http://data.eastmoney.com/stockdata/000932.html" xr:uid="{00000000-0004-0000-1100-0000B4070000}"/>
    <hyperlink ref="B984" r:id="rId1974" display="http://quote.eastmoney.com/600585.html" xr:uid="{00000000-0004-0000-1100-0000B5070000}"/>
    <hyperlink ref="C984" r:id="rId1975" display="http://data.eastmoney.com/stockdata/600585.html" xr:uid="{00000000-0004-0000-1100-0000B6070000}"/>
    <hyperlink ref="B985" r:id="rId1976" display="http://quote.eastmoney.com/600900.html" xr:uid="{00000000-0004-0000-1100-0000B7070000}"/>
    <hyperlink ref="C985" r:id="rId1977" display="http://data.eastmoney.com/stockdata/600900.html" xr:uid="{00000000-0004-0000-1100-0000B8070000}"/>
    <hyperlink ref="B986" r:id="rId1978" display="http://quote.eastmoney.com/601088.html" xr:uid="{00000000-0004-0000-1100-0000B9070000}"/>
    <hyperlink ref="C986" r:id="rId1979" display="http://data.eastmoney.com/stockdata/601088.html" xr:uid="{00000000-0004-0000-1100-0000BA070000}"/>
    <hyperlink ref="B987" r:id="rId1980" display="http://quote.eastmoney.com/300682.html" xr:uid="{00000000-0004-0000-1100-0000BB070000}"/>
    <hyperlink ref="C987" r:id="rId1981" display="http://data.eastmoney.com/stockdata/300682.html" xr:uid="{00000000-0004-0000-1100-0000BC070000}"/>
    <hyperlink ref="B988" r:id="rId1982" display="http://quote.eastmoney.com/600688.html" xr:uid="{00000000-0004-0000-1100-0000BD070000}"/>
    <hyperlink ref="C988" r:id="rId1983" display="http://data.eastmoney.com/stockdata/600688.html" xr:uid="{00000000-0004-0000-1100-0000BE070000}"/>
    <hyperlink ref="B989" r:id="rId1984" display="http://quote.eastmoney.com/002182.html" xr:uid="{00000000-0004-0000-1100-0000BF070000}"/>
    <hyperlink ref="C989" r:id="rId1985" display="http://data.eastmoney.com/stockdata/002182.html" xr:uid="{00000000-0004-0000-1100-0000C0070000}"/>
    <hyperlink ref="B990" r:id="rId1986" display="http://quote.eastmoney.com/600548.html" xr:uid="{00000000-0004-0000-1100-0000C1070000}"/>
    <hyperlink ref="C990" r:id="rId1987" display="http://data.eastmoney.com/stockdata/600548.html" xr:uid="{00000000-0004-0000-1100-0000C2070000}"/>
    <hyperlink ref="B991" r:id="rId1988" display="http://quote.eastmoney.com/601919.html" xr:uid="{00000000-0004-0000-1100-0000C3070000}"/>
    <hyperlink ref="C991" r:id="rId1989" display="http://data.eastmoney.com/stockdata/601919.html" xr:uid="{00000000-0004-0000-1100-0000C4070000}"/>
    <hyperlink ref="B992" r:id="rId1990" display="http://quote.eastmoney.com/600136.html" xr:uid="{00000000-0004-0000-1100-0000C5070000}"/>
    <hyperlink ref="C992" r:id="rId1991" display="http://data.eastmoney.com/stockdata/600136.html" xr:uid="{00000000-0004-0000-1100-0000C6070000}"/>
    <hyperlink ref="B993" r:id="rId1992" display="http://quote.eastmoney.com/002299.html" xr:uid="{00000000-0004-0000-1100-0000C7070000}"/>
    <hyperlink ref="C993" r:id="rId1993" display="http://data.eastmoney.com/stockdata/002299.html" xr:uid="{00000000-0004-0000-1100-0000C8070000}"/>
    <hyperlink ref="B994" r:id="rId1994" display="http://quote.eastmoney.com/601360.html" xr:uid="{00000000-0004-0000-1100-0000C9070000}"/>
    <hyperlink ref="C994" r:id="rId1995" display="http://data.eastmoney.com/stockdata/601360.html" xr:uid="{00000000-0004-0000-1100-0000CA070000}"/>
    <hyperlink ref="B995" r:id="rId1996" display="http://quote.eastmoney.com/601333.html" xr:uid="{00000000-0004-0000-1100-0000CB070000}"/>
    <hyperlink ref="C995" r:id="rId1997" display="http://data.eastmoney.com/stockdata/601333.html" xr:uid="{00000000-0004-0000-1100-0000CC070000}"/>
    <hyperlink ref="B996" r:id="rId1998" display="http://quote.eastmoney.com/600267.html" xr:uid="{00000000-0004-0000-1100-0000CD070000}"/>
    <hyperlink ref="C996" r:id="rId1999" display="http://data.eastmoney.com/stockdata/600267.html" xr:uid="{00000000-0004-0000-1100-0000CE070000}"/>
    <hyperlink ref="B997" r:id="rId2000" display="http://quote.eastmoney.com/002869.html" xr:uid="{00000000-0004-0000-1100-0000CF070000}"/>
    <hyperlink ref="C997" r:id="rId2001" display="http://data.eastmoney.com/stockdata/002869.html" xr:uid="{00000000-0004-0000-1100-0000D0070000}"/>
    <hyperlink ref="B998" r:id="rId2002" display="http://quote.eastmoney.com/000933.html" xr:uid="{00000000-0004-0000-1100-0000D1070000}"/>
    <hyperlink ref="C998" r:id="rId2003" display="http://data.eastmoney.com/stockdata/000933.html" xr:uid="{00000000-0004-0000-1100-0000D2070000}"/>
    <hyperlink ref="B999" r:id="rId2004" display="http://quote.eastmoney.com/002024.html" xr:uid="{00000000-0004-0000-1100-0000D3070000}"/>
    <hyperlink ref="C999" r:id="rId2005" display="http://data.eastmoney.com/stockdata/002024.html" xr:uid="{00000000-0004-0000-1100-0000D4070000}"/>
    <hyperlink ref="B1000" r:id="rId2006" display="http://quote.eastmoney.com/002068.html" xr:uid="{00000000-0004-0000-1100-0000D5070000}"/>
    <hyperlink ref="C1000" r:id="rId2007" display="http://data.eastmoney.com/stockdata/002068.html" xr:uid="{00000000-0004-0000-1100-0000D6070000}"/>
    <hyperlink ref="B1001" r:id="rId2008" display="http://quote.eastmoney.com/000625.html" xr:uid="{00000000-0004-0000-1100-0000D7070000}"/>
    <hyperlink ref="C1001" r:id="rId2009" display="http://data.eastmoney.com/stockdata/000625.html" xr:uid="{00000000-0004-0000-1100-0000D8070000}"/>
    <hyperlink ref="B1002" r:id="rId2010" display="http://quote.eastmoney.com/600583.html" xr:uid="{00000000-0004-0000-1100-0000D9070000}"/>
    <hyperlink ref="C1002" r:id="rId2011" display="http://data.eastmoney.com/stockdata/600583.html" xr:uid="{00000000-0004-0000-1100-0000DA07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6"/>
  <sheetViews>
    <sheetView topLeftCell="A5" zoomScale="133" workbookViewId="0">
      <selection activeCell="A23" sqref="A23"/>
    </sheetView>
  </sheetViews>
  <sheetFormatPr baseColWidth="10" defaultRowHeight="16"/>
  <cols>
    <col min="1" max="1" width="32.5" style="182" customWidth="1"/>
    <col min="2" max="2" width="13.5" style="182" customWidth="1"/>
  </cols>
  <sheetData>
    <row r="1" spans="1:4" ht="18" customHeight="1">
      <c r="A1" s="62" t="s">
        <v>3269</v>
      </c>
      <c r="B1" t="s">
        <v>3270</v>
      </c>
      <c r="C1" t="s">
        <v>3271</v>
      </c>
      <c r="D1" t="s">
        <v>3272</v>
      </c>
    </row>
    <row r="2" spans="1:4" ht="18" customHeight="1">
      <c r="A2" s="62" t="s">
        <v>3273</v>
      </c>
      <c r="B2" s="109">
        <v>0.85</v>
      </c>
      <c r="C2" s="109">
        <v>0.8</v>
      </c>
      <c r="D2" s="109">
        <v>0.68</v>
      </c>
    </row>
    <row r="3" spans="1:4" ht="18" customHeight="1">
      <c r="A3" s="62" t="s">
        <v>3274</v>
      </c>
      <c r="B3" s="109">
        <v>0.35</v>
      </c>
      <c r="C3" s="109">
        <v>0.16</v>
      </c>
      <c r="D3" s="109">
        <v>5.6000000000000001E-2</v>
      </c>
    </row>
    <row r="4" spans="1:4" ht="18" customHeight="1">
      <c r="A4" s="62" t="s">
        <v>3275</v>
      </c>
      <c r="B4" s="109">
        <v>0.15</v>
      </c>
      <c r="C4" s="109">
        <v>0.28000000000000003</v>
      </c>
      <c r="D4" s="109">
        <v>4.2000000000000003E-2</v>
      </c>
    </row>
    <row r="5" spans="1:4" ht="18" customHeight="1">
      <c r="A5" s="62" t="s">
        <v>3276</v>
      </c>
      <c r="B5" s="109">
        <v>0.1</v>
      </c>
      <c r="C5" s="109">
        <v>0.5</v>
      </c>
      <c r="D5" s="109">
        <v>0.05</v>
      </c>
    </row>
    <row r="6" spans="1:4" ht="18" customHeight="1">
      <c r="A6" s="63">
        <v>50</v>
      </c>
      <c r="B6" s="109">
        <v>0.2</v>
      </c>
      <c r="C6" s="109">
        <v>0.25</v>
      </c>
      <c r="D6" s="109">
        <v>0.05</v>
      </c>
    </row>
    <row r="7" spans="1:4" ht="18" customHeight="1">
      <c r="A7" s="63">
        <v>500</v>
      </c>
      <c r="B7" s="109">
        <v>0.2</v>
      </c>
      <c r="C7" s="109">
        <v>0.15</v>
      </c>
      <c r="D7" s="109">
        <v>0.03</v>
      </c>
    </row>
    <row r="8" spans="1:4" ht="18" customHeight="1">
      <c r="A8" s="62" t="s">
        <v>3277</v>
      </c>
      <c r="B8" s="109">
        <v>0.1</v>
      </c>
      <c r="C8" s="109">
        <v>0.245</v>
      </c>
      <c r="D8" s="109">
        <v>2.4500000000000001E-2</v>
      </c>
    </row>
    <row r="9" spans="1:4" ht="18" customHeight="1">
      <c r="A9" s="62" t="s">
        <v>3278</v>
      </c>
      <c r="B9" s="109">
        <v>0.15</v>
      </c>
      <c r="C9" s="109">
        <v>0.15</v>
      </c>
      <c r="D9" s="109">
        <v>2.2499999999999999E-2</v>
      </c>
    </row>
    <row r="10" spans="1:4" ht="18" customHeight="1">
      <c r="A10" s="62" t="s">
        <v>3279</v>
      </c>
      <c r="B10" s="109">
        <v>0.15</v>
      </c>
      <c r="C10" s="109">
        <v>0.2</v>
      </c>
      <c r="D10" s="109">
        <v>0.03</v>
      </c>
    </row>
    <row r="11" spans="1:4" ht="18" customHeight="1">
      <c r="A11" s="62" t="s">
        <v>3280</v>
      </c>
      <c r="B11" s="109">
        <v>0.1</v>
      </c>
      <c r="C11" s="109">
        <v>0.15</v>
      </c>
      <c r="D11" s="109">
        <v>1.4999999999999999E-2</v>
      </c>
    </row>
    <row r="13" spans="1:4" ht="19" customHeight="1">
      <c r="A13" s="64" t="s">
        <v>3281</v>
      </c>
    </row>
    <row r="14" spans="1:4" ht="19" customHeight="1">
      <c r="A14" s="64" t="s">
        <v>3282</v>
      </c>
    </row>
    <row r="15" spans="1:4" ht="19" customHeight="1">
      <c r="A15" s="64" t="s">
        <v>3283</v>
      </c>
    </row>
    <row r="16" spans="1:4" ht="18" customHeight="1">
      <c r="A16" s="6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32"/>
  <sheetViews>
    <sheetView workbookViewId="0">
      <selection activeCell="D1" sqref="D1:D5"/>
    </sheetView>
  </sheetViews>
  <sheetFormatPr baseColWidth="10" defaultRowHeight="16"/>
  <sheetData>
    <row r="1" spans="1:4">
      <c r="A1" s="11">
        <v>-1000</v>
      </c>
      <c r="B1" s="11"/>
      <c r="C1" s="11"/>
      <c r="D1" s="11">
        <v>-30096</v>
      </c>
    </row>
    <row r="2" spans="1:4">
      <c r="A2" s="11">
        <v>-1000</v>
      </c>
      <c r="B2" s="11"/>
      <c r="C2" s="11"/>
      <c r="D2" s="11">
        <v>-30096</v>
      </c>
    </row>
    <row r="3" spans="1:4">
      <c r="A3" s="11">
        <v>-1000</v>
      </c>
      <c r="B3" s="11"/>
      <c r="C3" s="11"/>
      <c r="D3" s="11">
        <v>-30096</v>
      </c>
    </row>
    <row r="4" spans="1:4">
      <c r="A4" s="11">
        <v>-1000</v>
      </c>
      <c r="B4" s="11"/>
      <c r="C4" s="11"/>
      <c r="D4" s="11">
        <v>-30096</v>
      </c>
    </row>
    <row r="5" spans="1:4">
      <c r="A5" s="11">
        <v>-1000</v>
      </c>
      <c r="B5" s="11"/>
      <c r="C5" s="11"/>
      <c r="D5" s="11">
        <v>-30096</v>
      </c>
    </row>
    <row r="6" spans="1:4">
      <c r="A6" s="11">
        <v>-1000</v>
      </c>
      <c r="B6" s="11"/>
      <c r="C6" s="11"/>
      <c r="D6" s="11">
        <v>0</v>
      </c>
    </row>
    <row r="7" spans="1:4">
      <c r="A7" s="11">
        <v>-1000</v>
      </c>
      <c r="B7" s="11"/>
      <c r="C7" s="11"/>
      <c r="D7" s="11">
        <v>0</v>
      </c>
    </row>
    <row r="8" spans="1:4">
      <c r="A8" s="11">
        <v>-1000</v>
      </c>
      <c r="B8" s="11"/>
      <c r="C8" s="11"/>
      <c r="D8" s="11">
        <v>0</v>
      </c>
    </row>
    <row r="9" spans="1:4">
      <c r="A9" s="11">
        <v>-1000</v>
      </c>
      <c r="B9" s="11"/>
      <c r="C9" s="11"/>
      <c r="D9" s="11">
        <v>0</v>
      </c>
    </row>
    <row r="10" spans="1:4">
      <c r="A10" s="11">
        <v>-1000</v>
      </c>
      <c r="B10" s="11"/>
      <c r="C10" s="11"/>
      <c r="D10" s="11">
        <v>0</v>
      </c>
    </row>
    <row r="11" spans="1:4">
      <c r="A11" s="11">
        <v>-1000</v>
      </c>
      <c r="D11" s="11">
        <v>0</v>
      </c>
    </row>
    <row r="12" spans="1:4">
      <c r="A12" s="11">
        <v>-1000</v>
      </c>
      <c r="D12" s="11">
        <v>0</v>
      </c>
    </row>
    <row r="13" spans="1:4">
      <c r="A13" s="11">
        <v>15000</v>
      </c>
      <c r="D13" s="11">
        <v>0</v>
      </c>
    </row>
    <row r="14" spans="1:4">
      <c r="A14" s="129">
        <f>IRR(A1:A13)</f>
        <v>3.387493073073955E-2</v>
      </c>
      <c r="D14" s="11">
        <v>0</v>
      </c>
    </row>
    <row r="15" spans="1:4">
      <c r="D15" s="11">
        <v>0</v>
      </c>
    </row>
    <row r="16" spans="1:4">
      <c r="D16" s="11">
        <v>0</v>
      </c>
    </row>
    <row r="17" spans="4:4">
      <c r="D17" s="11">
        <v>0</v>
      </c>
    </row>
    <row r="18" spans="4:4">
      <c r="D18" s="11">
        <v>0</v>
      </c>
    </row>
    <row r="19" spans="4:4">
      <c r="D19" s="11">
        <v>0</v>
      </c>
    </row>
    <row r="20" spans="4:4">
      <c r="D20" s="11">
        <v>0</v>
      </c>
    </row>
    <row r="21" spans="4:4">
      <c r="D21" s="11">
        <v>0</v>
      </c>
    </row>
    <row r="22" spans="4:4">
      <c r="D22" s="11">
        <v>0</v>
      </c>
    </row>
    <row r="23" spans="4:4">
      <c r="D23" s="11">
        <v>0</v>
      </c>
    </row>
    <row r="24" spans="4:4">
      <c r="D24" s="11">
        <v>0</v>
      </c>
    </row>
    <row r="25" spans="4:4">
      <c r="D25" s="11">
        <v>0</v>
      </c>
    </row>
    <row r="26" spans="4:4">
      <c r="D26" s="11">
        <v>0</v>
      </c>
    </row>
    <row r="27" spans="4:4">
      <c r="D27" s="11">
        <v>0</v>
      </c>
    </row>
    <row r="28" spans="4:4">
      <c r="D28" s="11">
        <v>0</v>
      </c>
    </row>
    <row r="29" spans="4:4">
      <c r="D29" s="11">
        <v>0</v>
      </c>
    </row>
    <row r="30" spans="4:4">
      <c r="D30" s="11">
        <v>0</v>
      </c>
    </row>
    <row r="31" spans="4:4">
      <c r="D31" s="11">
        <v>600000</v>
      </c>
    </row>
    <row r="32" spans="4:4">
      <c r="D32" s="129">
        <f>IRR(D1:D31)</f>
        <v>5.0545568487856629E-2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marked</vt:lpstr>
      <vt:lpstr>港股指数</vt:lpstr>
      <vt:lpstr>国证C1</vt:lpstr>
      <vt:lpstr>国证C2</vt:lpstr>
      <vt:lpstr>国证C3</vt:lpstr>
      <vt:lpstr>申万一级</vt:lpstr>
      <vt:lpstr>申万二级</vt:lpstr>
      <vt:lpstr>个股预期</vt:lpstr>
      <vt:lpstr>指数净资产增幅</vt:lpstr>
      <vt:lpstr>全指数估值</vt:lpstr>
      <vt:lpstr>portfolio</vt:lpstr>
      <vt:lpstr>可转债</vt:lpstr>
      <vt:lpstr>可转债轮动</vt:lpstr>
      <vt:lpstr>各指数涨势</vt:lpstr>
      <vt:lpstr>指数年度表现</vt:lpstr>
      <vt:lpstr>Sheet3</vt:lpstr>
      <vt:lpstr>基金公司列表</vt:lpstr>
      <vt:lpstr>盈利预测</vt:lpstr>
      <vt:lpstr>指数配置</vt:lpstr>
      <vt:lpstr>IRR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Ren</dc:creator>
  <cp:lastModifiedBy>Microsoft Office User</cp:lastModifiedBy>
  <dcterms:created xsi:type="dcterms:W3CDTF">2018-09-12T12:02:31Z</dcterms:created>
  <dcterms:modified xsi:type="dcterms:W3CDTF">2020-04-11T14:39:46Z</dcterms:modified>
</cp:coreProperties>
</file>