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6020" windowWidth="28800" xWindow="0" yWindow="460"/>
  </bookViews>
  <sheets>
    <sheet name="marked" sheetId="1" state="visible" r:id="rId1"/>
    <sheet name="港股指数" sheetId="2" state="visible" r:id="rId2"/>
    <sheet name="国证C1" sheetId="3" state="visible" r:id="rId3"/>
    <sheet name="国证C2" sheetId="4" state="visible" r:id="rId4"/>
    <sheet name="国证C3" sheetId="5" state="visible" r:id="rId5"/>
    <sheet name="申万一级" sheetId="6" state="visible" r:id="rId6"/>
    <sheet name="申万二级" sheetId="7" state="visible" r:id="rId7"/>
    <sheet name="Sheet7" sheetId="8" state="visible" r:id="rId8"/>
    <sheet name="指数净资产增幅" sheetId="9" state="visible" r:id="rId9"/>
    <sheet name="Sheet5" sheetId="10" state="visible" r:id="rId10"/>
    <sheet name="分批卖出" sheetId="11" state="visible" r:id="rId11"/>
    <sheet name="基金公司列表" sheetId="12" state="visible" r:id="rId12"/>
    <sheet name="指数配置" sheetId="13" state="visible" r:id="rId13"/>
    <sheet name="IRR" sheetId="14" state="visible" r:id="rId14"/>
  </sheets>
  <definedNames>
    <definedName hidden="1" localSheetId="7" name="_xlnm._FilterDatabase">Sheet7!$H$1:$R$29</definedName>
    <definedName hidden="1" localSheetId="5" name="_xlnm._FilterDatabase">申万一级!$B$2:$Q$30</definedName>
    <definedName hidden="1" localSheetId="6" name="_xlnm._FilterDatabase">申万二级!$J$1:$J$105</definedName>
    <definedName hidden="1" localSheetId="5" name="_xlnm._FilterDatabase">申万一级!$B$2:$Q$30</definedName>
    <definedName hidden="1" localSheetId="6" name="_xlnm._FilterDatabase">申万二级!$J$1:$J$105</definedName>
    <definedName hidden="1" localSheetId="7" name="_xlnm._FilterDatabase">Sheet7!$H$1:$R$29</definedName>
    <definedName hidden="1" localSheetId="5" name="_xlnm._FilterDatabase">申万一级!$B$2:$Q$30</definedName>
    <definedName hidden="1" localSheetId="6" name="_xlnm._FilterDatabase">申万二级!$J$1:$J$105</definedName>
    <definedName hidden="1" localSheetId="7" name="_xlnm._FilterDatabase">Sheet7!$H$1:$R$29</definedName>
  </definedNames>
  <calcPr calcId="191029" fullCalcOnLoad="1"/>
</workbook>
</file>

<file path=xl/sharedStrings.xml><?xml version="1.0" encoding="utf-8"?>
<sst xmlns="http://schemas.openxmlformats.org/spreadsheetml/2006/main" uniqueCount="1006">
  <si>
    <t>2019-04-08T00:00:00+08:00</t>
  </si>
  <si>
    <t>current</t>
  </si>
  <si>
    <t>lowest_y_10</t>
  </si>
  <si>
    <t>falling_to_lowest_y_10</t>
  </si>
  <si>
    <t>highest_y_10</t>
  </si>
  <si>
    <t>rising_to_highest_y_10</t>
  </si>
  <si>
    <t>rising_to_chance_y_10_col</t>
  </si>
  <si>
    <t>rising_to_median_y_10_col</t>
  </si>
  <si>
    <t>rising_to_risk_y_10_col</t>
  </si>
  <si>
    <t>highest_to_lowest_y_10</t>
  </si>
  <si>
    <t>lowest_y_5</t>
  </si>
  <si>
    <t>falling_to_lowest_y_5</t>
  </si>
  <si>
    <t>highest_y_5</t>
  </si>
  <si>
    <t>rising_to_highest_y_5</t>
  </si>
  <si>
    <t>highest_to_lowest_y_5</t>
  </si>
  <si>
    <t>roe_weighted</t>
  </si>
  <si>
    <t>roe_equal</t>
  </si>
  <si>
    <t>dividend</t>
  </si>
  <si>
    <t>close_point</t>
  </si>
  <si>
    <t>dividend ratio</t>
  </si>
  <si>
    <t>return</t>
  </si>
  <si>
    <t>3 yrs return</t>
  </si>
  <si>
    <t>5yrs return</t>
  </si>
  <si>
    <t>上证50</t>
  </si>
  <si>
    <t>pe weighted</t>
  </si>
  <si>
    <t>000016</t>
  </si>
  <si>
    <t>pe equal</t>
  </si>
  <si>
    <t>2004-01-01T16:00:00.000Z</t>
  </si>
  <si>
    <t>pb weighted</t>
  </si>
  <si>
    <t>pb equal</t>
  </si>
  <si>
    <t>沪深300</t>
  </si>
  <si>
    <t>000300</t>
  </si>
  <si>
    <t>2005-04-07T16:00:00.000Z</t>
  </si>
  <si>
    <t>中证200</t>
  </si>
  <si>
    <t>399904</t>
  </si>
  <si>
    <t>2007-01-14T16:00:00.000Z</t>
  </si>
  <si>
    <t>中证500</t>
  </si>
  <si>
    <t>000905</t>
  </si>
  <si>
    <t>300地产（招商等权重）</t>
  </si>
  <si>
    <t>000952</t>
  </si>
  <si>
    <t>2009-10-27T16:00:00.000Z</t>
  </si>
  <si>
    <t>创业成长</t>
  </si>
  <si>
    <t>399958</t>
  </si>
  <si>
    <t>2010-03-23T16:00:00.000Z</t>
  </si>
  <si>
    <t>沪深A股</t>
  </si>
  <si>
    <t>1000002</t>
  </si>
  <si>
    <t>1993-12-31T16:00:00.000Z</t>
  </si>
  <si>
    <t>全指医药</t>
  </si>
  <si>
    <t>000991</t>
  </si>
  <si>
    <t>2011-08-01T16:00:00.000Z</t>
  </si>
  <si>
    <t>中证红利</t>
  </si>
  <si>
    <t>000922</t>
  </si>
  <si>
    <t>2008-05-25T16:00:00.000Z</t>
  </si>
  <si>
    <t>中证环保（等权）</t>
  </si>
  <si>
    <t>000827</t>
  </si>
  <si>
    <t>2012-09-24T16:00:00.000Z</t>
  </si>
  <si>
    <t>中证1000</t>
  </si>
  <si>
    <t>000852</t>
  </si>
  <si>
    <t>2014-10-16T16:00:00.000Z</t>
  </si>
  <si>
    <t>中证消费</t>
  </si>
  <si>
    <t>000932</t>
  </si>
  <si>
    <t>2009-07-02T16:00:00.000Z</t>
  </si>
  <si>
    <t>全指金融</t>
  </si>
  <si>
    <t>000992</t>
  </si>
  <si>
    <t>全指信息</t>
  </si>
  <si>
    <t>000993</t>
  </si>
  <si>
    <t>证券公司</t>
  </si>
  <si>
    <t>399975</t>
  </si>
  <si>
    <t>2013-07-14T16:00:00.000Z</t>
  </si>
  <si>
    <t>中小板指</t>
  </si>
  <si>
    <t>399005</t>
  </si>
  <si>
    <t>2006-01-23T16:00:00.000Z</t>
  </si>
  <si>
    <t>创业板指</t>
  </si>
  <si>
    <t>399006</t>
  </si>
  <si>
    <t>2010-05-31T16:00:00.000Z</t>
  </si>
  <si>
    <t>创业板50</t>
  </si>
  <si>
    <t>399673</t>
  </si>
  <si>
    <t>2014-06-17T16:00:00.000Z</t>
  </si>
  <si>
    <t>养老产业（等权）</t>
  </si>
  <si>
    <t>399812</t>
  </si>
  <si>
    <t>2014-06-05T16:00:00.000Z</t>
  </si>
  <si>
    <t>中证军工（max 10%）</t>
  </si>
  <si>
    <t>399967</t>
  </si>
  <si>
    <t>2013-12-25T16:00:00.000Z</t>
  </si>
  <si>
    <t>中证银行</t>
  </si>
  <si>
    <t>399986</t>
  </si>
  <si>
    <t>中证传媒（max 10%）</t>
  </si>
  <si>
    <t>399971</t>
  </si>
  <si>
    <t>2014-04-14T16:00:00.000Z</t>
  </si>
  <si>
    <t>中证医药</t>
  </si>
  <si>
    <t>000933</t>
  </si>
  <si>
    <t>中证医疗</t>
  </si>
  <si>
    <t>399989</t>
  </si>
  <si>
    <t>2014-10-30T16:00:00.000Z</t>
  </si>
  <si>
    <t>食品饮料</t>
  </si>
  <si>
    <t>000807</t>
  </si>
  <si>
    <t>2012-02-16T16:00:00.000Z</t>
  </si>
  <si>
    <t>环境治理</t>
  </si>
  <si>
    <t>399806</t>
  </si>
  <si>
    <t>2014-07-20T16:00:00.000Z</t>
  </si>
  <si>
    <t>中证信息</t>
  </si>
  <si>
    <t>000935</t>
  </si>
  <si>
    <t>全指可选</t>
  </si>
  <si>
    <t>000989</t>
  </si>
  <si>
    <t>中证白酒</t>
  </si>
  <si>
    <t>399997</t>
  </si>
  <si>
    <t>2015-01-20T16:00:00.000Z</t>
  </si>
  <si>
    <t>中证可选</t>
  </si>
  <si>
    <t>000931</t>
  </si>
  <si>
    <t>中证金融</t>
  </si>
  <si>
    <t>000934</t>
  </si>
  <si>
    <t>中证煤炭</t>
  </si>
  <si>
    <t>399998</t>
  </si>
  <si>
    <t>2015-02-12T16:00:00.000Z</t>
  </si>
  <si>
    <t>移动互联</t>
  </si>
  <si>
    <t>399970</t>
  </si>
  <si>
    <t>2014-05-04T16:00:00.000Z</t>
  </si>
  <si>
    <t>全指能源</t>
  </si>
  <si>
    <t>000986</t>
  </si>
  <si>
    <t>中证材料</t>
  </si>
  <si>
    <t>000929</t>
  </si>
  <si>
    <t>全指材料</t>
  </si>
  <si>
    <t>000987</t>
  </si>
  <si>
    <t>中证能源</t>
  </si>
  <si>
    <t>000928</t>
  </si>
  <si>
    <t>全指工业</t>
  </si>
  <si>
    <t>000988</t>
  </si>
  <si>
    <t>中证工业</t>
  </si>
  <si>
    <t>000930</t>
  </si>
  <si>
    <t>中证公用</t>
  </si>
  <si>
    <t>000937</t>
  </si>
  <si>
    <t>全指公用</t>
  </si>
  <si>
    <t>000995</t>
  </si>
  <si>
    <t>全指电信</t>
  </si>
  <si>
    <t>000994</t>
  </si>
  <si>
    <t>中证电信</t>
  </si>
  <si>
    <t>000936</t>
  </si>
  <si>
    <t>医药生物</t>
  </si>
  <si>
    <t>000808</t>
  </si>
  <si>
    <t>全指消费</t>
  </si>
  <si>
    <t>000990</t>
  </si>
  <si>
    <t>CS新能车（等权）</t>
  </si>
  <si>
    <t>399976</t>
  </si>
  <si>
    <t>2014-11-27T16:00:00.000Z</t>
  </si>
  <si>
    <t>红利指数</t>
  </si>
  <si>
    <t>000015</t>
  </si>
  <si>
    <t>2005-01-03T16:00:00.000Z</t>
  </si>
  <si>
    <t>医药100（等权）</t>
  </si>
  <si>
    <t>000978</t>
  </si>
  <si>
    <t>2011-03-17T16:00:00.000Z</t>
  </si>
  <si>
    <t>国企改革（max 3%）</t>
  </si>
  <si>
    <t>399974</t>
  </si>
  <si>
    <t>2014-08-07T</t>
  </si>
  <si>
    <t>保险主题</t>
  </si>
  <si>
    <t>399809</t>
  </si>
  <si>
    <t>2015-02-13T</t>
  </si>
  <si>
    <t>大宗商品（等权）</t>
  </si>
  <si>
    <t>000979</t>
  </si>
  <si>
    <t>2011-08-22T</t>
  </si>
  <si>
    <t>中国互联（max 10%）</t>
  </si>
  <si>
    <t>价值指数（等权）</t>
  </si>
  <si>
    <t>.</t>
  </si>
  <si>
    <t>2008-12-11T</t>
  </si>
  <si>
    <t>标普红利</t>
  </si>
  <si>
    <t>CSPSAPRP</t>
  </si>
  <si>
    <t>2009-01-06T</t>
  </si>
  <si>
    <t>中证中药（max 10%）</t>
  </si>
  <si>
    <t>SAP</t>
  </si>
  <si>
    <t>布伦特原油</t>
  </si>
  <si>
    <t>WTI原油</t>
  </si>
  <si>
    <t>恒生指数</t>
  </si>
  <si>
    <t>10001</t>
  </si>
  <si>
    <t>1969-11-23T16:00:00.000Z</t>
  </si>
  <si>
    <t>国企指数</t>
  </si>
  <si>
    <t>10002</t>
  </si>
  <si>
    <t>1994-07-10T16:00:00.000Z</t>
  </si>
  <si>
    <t>香港中小</t>
  </si>
  <si>
    <t>2011-06-01T16:00:00.000Z</t>
  </si>
  <si>
    <t>香港大盘</t>
  </si>
  <si>
    <t>2008-09-10T16:00:00.000Z</t>
  </si>
  <si>
    <t>标普生物</t>
  </si>
  <si>
    <t>IBB</t>
  </si>
  <si>
    <t>能源</t>
  </si>
  <si>
    <t>C01</t>
  </si>
  <si>
    <t>原材料</t>
  </si>
  <si>
    <t>C02</t>
  </si>
  <si>
    <t>工业</t>
  </si>
  <si>
    <t>C03</t>
  </si>
  <si>
    <t>可选消费</t>
  </si>
  <si>
    <t>C04</t>
  </si>
  <si>
    <t>主要消费</t>
  </si>
  <si>
    <t>C05</t>
  </si>
  <si>
    <t>医药卫生</t>
  </si>
  <si>
    <t>C06</t>
  </si>
  <si>
    <t>金融地产</t>
  </si>
  <si>
    <t>C07</t>
  </si>
  <si>
    <t>信息技术</t>
  </si>
  <si>
    <t>C08</t>
  </si>
  <si>
    <t>电信业务</t>
  </si>
  <si>
    <t>C09</t>
  </si>
  <si>
    <t>公用事业</t>
  </si>
  <si>
    <t>C10</t>
  </si>
  <si>
    <t>C0101</t>
  </si>
  <si>
    <t>基础化工</t>
  </si>
  <si>
    <t>C0201</t>
  </si>
  <si>
    <t>基础材料</t>
  </si>
  <si>
    <t>C0202</t>
  </si>
  <si>
    <t>工业品</t>
  </si>
  <si>
    <t>C0301</t>
  </si>
  <si>
    <t>工业服务</t>
  </si>
  <si>
    <t>C0302</t>
  </si>
  <si>
    <t>运输</t>
  </si>
  <si>
    <t>C0303</t>
  </si>
  <si>
    <t>汽车与汽车零配件</t>
  </si>
  <si>
    <t>C0401</t>
  </si>
  <si>
    <t>耐用消费品</t>
  </si>
  <si>
    <t>C0402</t>
  </si>
  <si>
    <t>纺织服装与奢侈品</t>
  </si>
  <si>
    <t>C0403</t>
  </si>
  <si>
    <t>消费者服务</t>
  </si>
  <si>
    <t>C0404</t>
  </si>
  <si>
    <t>传媒</t>
  </si>
  <si>
    <t>C0405</t>
  </si>
  <si>
    <t>零售业</t>
  </si>
  <si>
    <t>C0406</t>
  </si>
  <si>
    <t>食品与主要用品零售</t>
  </si>
  <si>
    <t>C0501</t>
  </si>
  <si>
    <t>农牧渔产品</t>
  </si>
  <si>
    <t>C0502</t>
  </si>
  <si>
    <t>C0503</t>
  </si>
  <si>
    <t>家庭与个人用品</t>
  </si>
  <si>
    <t>C0504</t>
  </si>
  <si>
    <t>医疗保健设备与服务</t>
  </si>
  <si>
    <t>C0601</t>
  </si>
  <si>
    <t>制药</t>
  </si>
  <si>
    <t>C0602</t>
  </si>
  <si>
    <t>生物科技</t>
  </si>
  <si>
    <t>C0603</t>
  </si>
  <si>
    <t>银行</t>
  </si>
  <si>
    <t>C0701</t>
  </si>
  <si>
    <t>综合金融</t>
  </si>
  <si>
    <t>C0702</t>
  </si>
  <si>
    <t>房地产</t>
  </si>
  <si>
    <t>C0703</t>
  </si>
  <si>
    <t>软件与互联网</t>
  </si>
  <si>
    <t>C0801</t>
  </si>
  <si>
    <t>技术硬件与设备</t>
  </si>
  <si>
    <t>C0802</t>
  </si>
  <si>
    <t>半导体</t>
  </si>
  <si>
    <t>C0803</t>
  </si>
  <si>
    <t>电信服务</t>
  </si>
  <si>
    <t>C0901</t>
  </si>
  <si>
    <t>通信设备及技术服务</t>
  </si>
  <si>
    <t>C0902</t>
  </si>
  <si>
    <t>C1001</t>
  </si>
  <si>
    <t>能源设备与服务</t>
  </si>
  <si>
    <t>C010101</t>
  </si>
  <si>
    <t>石油天然气</t>
  </si>
  <si>
    <t>C010102</t>
  </si>
  <si>
    <t>煤炭</t>
  </si>
  <si>
    <t>C010103</t>
  </si>
  <si>
    <t>可替代能源</t>
  </si>
  <si>
    <t>C010104</t>
  </si>
  <si>
    <t>化学原料</t>
  </si>
  <si>
    <t>C020101</t>
  </si>
  <si>
    <t>化学制品</t>
  </si>
  <si>
    <t>C020102</t>
  </si>
  <si>
    <t>农用化工</t>
  </si>
  <si>
    <t>C020103</t>
  </si>
  <si>
    <t>合成纤维</t>
  </si>
  <si>
    <t>C020104</t>
  </si>
  <si>
    <t>建筑材料</t>
  </si>
  <si>
    <t>C020201</t>
  </si>
  <si>
    <t>容器与包装</t>
  </si>
  <si>
    <t>C020202</t>
  </si>
  <si>
    <t>黑色金属</t>
  </si>
  <si>
    <t>C020203</t>
  </si>
  <si>
    <t>有色金属</t>
  </si>
  <si>
    <t>C020204</t>
  </si>
  <si>
    <t>非金属材料与制品</t>
  </si>
  <si>
    <t>C020205</t>
  </si>
  <si>
    <t>纸类与林业产品</t>
  </si>
  <si>
    <t>C020206</t>
  </si>
  <si>
    <t>航天航空</t>
  </si>
  <si>
    <t>C030101</t>
  </si>
  <si>
    <t>建筑产品</t>
  </si>
  <si>
    <t>C030102</t>
  </si>
  <si>
    <t>电气部件与设备</t>
  </si>
  <si>
    <t>C030103</t>
  </si>
  <si>
    <t>重型电气设备</t>
  </si>
  <si>
    <t>C030104</t>
  </si>
  <si>
    <t>通用机械</t>
  </si>
  <si>
    <t>C030105</t>
  </si>
  <si>
    <t>专用设备</t>
  </si>
  <si>
    <t>C030106</t>
  </si>
  <si>
    <t>工业集团企业</t>
  </si>
  <si>
    <t>C030107</t>
  </si>
  <si>
    <t>建筑与工程</t>
  </si>
  <si>
    <t>C030201</t>
  </si>
  <si>
    <t>工业贸易经销商</t>
  </si>
  <si>
    <t>C030202</t>
  </si>
  <si>
    <t>商业用品与服务</t>
  </si>
  <si>
    <t>C030203</t>
  </si>
  <si>
    <t>物流</t>
  </si>
  <si>
    <t>C030301</t>
  </si>
  <si>
    <t>航空运输</t>
  </si>
  <si>
    <t>C030302</t>
  </si>
  <si>
    <t>水上运输</t>
  </si>
  <si>
    <t>C030303</t>
  </si>
  <si>
    <t>陆运</t>
  </si>
  <si>
    <t>C030304</t>
  </si>
  <si>
    <t>交通基本设施</t>
  </si>
  <si>
    <t>C030305</t>
  </si>
  <si>
    <t>汽车零配件与设备</t>
  </si>
  <si>
    <t>C040101</t>
  </si>
  <si>
    <t>汽车</t>
  </si>
  <si>
    <t>C040102</t>
  </si>
  <si>
    <t>家用电器</t>
  </si>
  <si>
    <t>C040201</t>
  </si>
  <si>
    <t>耐用家居用品</t>
  </si>
  <si>
    <t>C040202</t>
  </si>
  <si>
    <t>休闲设备与用品</t>
  </si>
  <si>
    <t>C040203</t>
  </si>
  <si>
    <t>服装与配饰</t>
  </si>
  <si>
    <t>C040301</t>
  </si>
  <si>
    <t>纺织品</t>
  </si>
  <si>
    <t>C040302</t>
  </si>
  <si>
    <t>酒店餐饮与休闲</t>
  </si>
  <si>
    <t>C040401</t>
  </si>
  <si>
    <t>其他消费者服务</t>
  </si>
  <si>
    <t>C040402</t>
  </si>
  <si>
    <t>C040501</t>
  </si>
  <si>
    <t>消费品经销商</t>
  </si>
  <si>
    <t>C040601</t>
  </si>
  <si>
    <t>网络零售</t>
  </si>
  <si>
    <t>C040602</t>
  </si>
  <si>
    <t>百货商店</t>
  </si>
  <si>
    <t>C040603</t>
  </si>
  <si>
    <t>专营零售</t>
  </si>
  <si>
    <t>C040604</t>
  </si>
  <si>
    <t>C050101</t>
  </si>
  <si>
    <t>C050201</t>
  </si>
  <si>
    <t>食品</t>
  </si>
  <si>
    <t>C050301</t>
  </si>
  <si>
    <t>饮料</t>
  </si>
  <si>
    <t>C050302</t>
  </si>
  <si>
    <t>家常用品</t>
  </si>
  <si>
    <t>C050401</t>
  </si>
  <si>
    <t>个人用品</t>
  </si>
  <si>
    <t>C050402</t>
  </si>
  <si>
    <t>医疗保健设备与用品</t>
  </si>
  <si>
    <t>C060101</t>
  </si>
  <si>
    <t>医疗保健提供商与服务</t>
  </si>
  <si>
    <t>C060102</t>
  </si>
  <si>
    <t>化学原料药</t>
  </si>
  <si>
    <t>C060201</t>
  </si>
  <si>
    <t>化学制剂</t>
  </si>
  <si>
    <t>C060202</t>
  </si>
  <si>
    <t>中药</t>
  </si>
  <si>
    <t>C060203</t>
  </si>
  <si>
    <t>C060301</t>
  </si>
  <si>
    <t>C070101</t>
  </si>
  <si>
    <t>证券</t>
  </si>
  <si>
    <t>C070201</t>
  </si>
  <si>
    <t>保险</t>
  </si>
  <si>
    <t>C070202</t>
  </si>
  <si>
    <t>投资信托</t>
  </si>
  <si>
    <t>C070203</t>
  </si>
  <si>
    <t>其他金融服务</t>
  </si>
  <si>
    <t>C070204</t>
  </si>
  <si>
    <t>房地产开发和管理</t>
  </si>
  <si>
    <t>C070301</t>
  </si>
  <si>
    <t>房地产服务</t>
  </si>
  <si>
    <t>C070302</t>
  </si>
  <si>
    <t>互联网软件与服务</t>
  </si>
  <si>
    <t>C080101</t>
  </si>
  <si>
    <t>信息技术服务</t>
  </si>
  <si>
    <t>C080102</t>
  </si>
  <si>
    <t>计算机软件</t>
  </si>
  <si>
    <t>C080103</t>
  </si>
  <si>
    <t>电脑与外围设备</t>
  </si>
  <si>
    <t>C080201</t>
  </si>
  <si>
    <t>电子设备及服务</t>
  </si>
  <si>
    <t>C080202</t>
  </si>
  <si>
    <t>电子元器件</t>
  </si>
  <si>
    <t>C080203</t>
  </si>
  <si>
    <t>光电子器件</t>
  </si>
  <si>
    <t>C080204</t>
  </si>
  <si>
    <t>C080301</t>
  </si>
  <si>
    <t>电信运营</t>
  </si>
  <si>
    <t>C090101</t>
  </si>
  <si>
    <t>电信增值服务</t>
  </si>
  <si>
    <t>C090102</t>
  </si>
  <si>
    <t>通信设备</t>
  </si>
  <si>
    <t>C090201</t>
  </si>
  <si>
    <t>通信技术服务</t>
  </si>
  <si>
    <t>C090202</t>
  </si>
  <si>
    <t>电力公用事业</t>
  </si>
  <si>
    <t>C100101</t>
  </si>
  <si>
    <t>燃气公用事业</t>
  </si>
  <si>
    <t>C100102</t>
  </si>
  <si>
    <t>水公用事业</t>
  </si>
  <si>
    <t>C100103</t>
  </si>
  <si>
    <t>复合型公用事业</t>
  </si>
  <si>
    <t>C100104</t>
  </si>
  <si>
    <t>指数代码</t>
  </si>
  <si>
    <t>指数名称</t>
  </si>
  <si>
    <t>点位</t>
  </si>
  <si>
    <t>涨跌幅(%)</t>
  </si>
  <si>
    <t>今年收益(%)</t>
  </si>
  <si>
    <t>最新PE</t>
  </si>
  <si>
    <t>pe分位</t>
  </si>
  <si>
    <t>最新PB</t>
  </si>
  <si>
    <t>PB分位</t>
  </si>
  <si>
    <t>基期</t>
  </si>
  <si>
    <t>查看基金</t>
  </si>
  <si>
    <t>roe</t>
  </si>
  <si>
    <t xml:space="preserve"> lowest pe</t>
  </si>
  <si>
    <t>to lowest pe</t>
  </si>
  <si>
    <t>lowest pb</t>
  </si>
  <si>
    <t>to lowest pb</t>
  </si>
  <si>
    <t>si801760</t>
  </si>
  <si>
    <t>传媒(申万)</t>
  </si>
  <si>
    <t>si801200</t>
  </si>
  <si>
    <t>商业贸易(申万)</t>
  </si>
  <si>
    <t>si801160</t>
  </si>
  <si>
    <t>公用事业(申万)</t>
  </si>
  <si>
    <t>si801020</t>
  </si>
  <si>
    <t>采掘(申万)</t>
  </si>
  <si>
    <t>si801780</t>
  </si>
  <si>
    <t>银行(申万)</t>
  </si>
  <si>
    <t>si801030</t>
  </si>
  <si>
    <t>化工(申万)</t>
  </si>
  <si>
    <t>si801730</t>
  </si>
  <si>
    <t>电气设备(申万)</t>
  </si>
  <si>
    <t>si801180</t>
  </si>
  <si>
    <t>房地产(申万)</t>
  </si>
  <si>
    <t>si801720</t>
  </si>
  <si>
    <t>建筑装饰(申万)</t>
  </si>
  <si>
    <t>si801230</t>
  </si>
  <si>
    <t>综合(申万)</t>
  </si>
  <si>
    <t>si801050</t>
  </si>
  <si>
    <t>有色金属(申万)</t>
  </si>
  <si>
    <t>si801880</t>
  </si>
  <si>
    <t>汽车(申万)</t>
  </si>
  <si>
    <t>si801130</t>
  </si>
  <si>
    <t>纺织服装(申万)</t>
  </si>
  <si>
    <t>si801170</t>
  </si>
  <si>
    <t>交通运输(申万)</t>
  </si>
  <si>
    <t>si801150</t>
  </si>
  <si>
    <t>医药生物(申万)</t>
  </si>
  <si>
    <t>si801890</t>
  </si>
  <si>
    <t>机械设备(申万)</t>
  </si>
  <si>
    <t>si801710</t>
  </si>
  <si>
    <t>建筑材料(申万)</t>
  </si>
  <si>
    <t>si801740</t>
  </si>
  <si>
    <t>国防军工(申万)</t>
  </si>
  <si>
    <t>si801140</t>
  </si>
  <si>
    <t>轻工制造(申万)</t>
  </si>
  <si>
    <t>si801210</t>
  </si>
  <si>
    <t>休闲服务(申万)</t>
  </si>
  <si>
    <t>si801790</t>
  </si>
  <si>
    <t>非银金融(申万)</t>
  </si>
  <si>
    <t>si801040</t>
  </si>
  <si>
    <t>钢铁(申万)</t>
  </si>
  <si>
    <t>si801080</t>
  </si>
  <si>
    <t>电子(申万)</t>
  </si>
  <si>
    <t>si801750</t>
  </si>
  <si>
    <t>计算机(申万)</t>
  </si>
  <si>
    <t>si801010</t>
  </si>
  <si>
    <t>农林牧渔(申万)</t>
  </si>
  <si>
    <t>si801110</t>
  </si>
  <si>
    <t>家用电器(申万)</t>
  </si>
  <si>
    <t>si801770</t>
  </si>
  <si>
    <t>通信(申万)</t>
  </si>
  <si>
    <t>si801120</t>
  </si>
  <si>
    <t>食品饮料(申万)</t>
  </si>
  <si>
    <t>si801761</t>
  </si>
  <si>
    <t>文化传媒(申万)</t>
  </si>
  <si>
    <t>si801752</t>
  </si>
  <si>
    <t>互联网传媒(申万)</t>
  </si>
  <si>
    <t>si801751</t>
  </si>
  <si>
    <t>营销传播(申万)</t>
  </si>
  <si>
    <t>si801085</t>
  </si>
  <si>
    <t>电子制造Ⅱ(申万)</t>
  </si>
  <si>
    <t>si801084</t>
  </si>
  <si>
    <t>光学光电子(申万)</t>
  </si>
  <si>
    <t>si801083</t>
  </si>
  <si>
    <t>元件Ⅱ(申万)</t>
  </si>
  <si>
    <t>si801082</t>
  </si>
  <si>
    <t>其他电子Ⅱ(申万)</t>
  </si>
  <si>
    <t>si801081</t>
  </si>
  <si>
    <t>半导体(申万)</t>
  </si>
  <si>
    <t>si801222</t>
  </si>
  <si>
    <t>计算机应用(申万)</t>
  </si>
  <si>
    <t>si801101</t>
  </si>
  <si>
    <t>计算机设备Ⅱ(申万)</t>
  </si>
  <si>
    <t>si801223</t>
  </si>
  <si>
    <t>通信运营Ⅱ(申万)</t>
  </si>
  <si>
    <t>si801102</t>
  </si>
  <si>
    <t>通信设备(申万)</t>
  </si>
  <si>
    <t>si801881</t>
  </si>
  <si>
    <t>其他交运设备Ⅱ(申万)</t>
  </si>
  <si>
    <t>si801172</t>
  </si>
  <si>
    <t>公交Ⅱ(申万)</t>
  </si>
  <si>
    <t>si801174</t>
  </si>
  <si>
    <t>机场Ⅱ(申万)</t>
  </si>
  <si>
    <t>si801171</t>
  </si>
  <si>
    <t>港口Ⅱ(申万)</t>
  </si>
  <si>
    <t>si801178</t>
  </si>
  <si>
    <t>物流Ⅱ(申万)</t>
  </si>
  <si>
    <t>si801173</t>
  </si>
  <si>
    <t>航空运输Ⅱ(申万)</t>
  </si>
  <si>
    <t>si801176</t>
  </si>
  <si>
    <t>航运Ⅱ(申万)</t>
  </si>
  <si>
    <t>si801076</t>
  </si>
  <si>
    <t>运输设备Ⅱ(申万)</t>
  </si>
  <si>
    <t>si801177</t>
  </si>
  <si>
    <t>铁路运输Ⅱ(申万)</t>
  </si>
  <si>
    <t>si801175</t>
  </si>
  <si>
    <t>高速公路Ⅱ(申万)</t>
  </si>
  <si>
    <t>si801743</t>
  </si>
  <si>
    <t>地面兵装Ⅱ(申万)</t>
  </si>
  <si>
    <t>si801742</t>
  </si>
  <si>
    <t>航空装备Ⅱ(申万)</t>
  </si>
  <si>
    <t>si801741</t>
  </si>
  <si>
    <t>航天装备Ⅱ(申万)</t>
  </si>
  <si>
    <t>si801744</t>
  </si>
  <si>
    <t>船舶制造Ⅱ(申万)</t>
  </si>
  <si>
    <t>si801155</t>
  </si>
  <si>
    <t>中药Ⅱ(申万)</t>
  </si>
  <si>
    <t>si801156</t>
  </si>
  <si>
    <t>医疗服务Ⅱ(申万)</t>
  </si>
  <si>
    <t>si801153</t>
  </si>
  <si>
    <t>医疗器械Ⅱ(申万)</t>
  </si>
  <si>
    <t>si801154</t>
  </si>
  <si>
    <t>医药商业Ⅱ(申万)</t>
  </si>
  <si>
    <t>si801152</t>
  </si>
  <si>
    <t>生物制品Ⅱ(申万)</t>
  </si>
  <si>
    <t>si801151</t>
  </si>
  <si>
    <t>化学制药(申万)</t>
  </si>
  <si>
    <t>si801182</t>
  </si>
  <si>
    <t>园区开发Ⅱ(申万)</t>
  </si>
  <si>
    <t>si801181</t>
  </si>
  <si>
    <t>房地产开发Ⅱ(申万)</t>
  </si>
  <si>
    <t>si801013</t>
  </si>
  <si>
    <t>农业综合Ⅱ(申万)</t>
  </si>
  <si>
    <t>si801012</t>
  </si>
  <si>
    <t>农产品加工(申万)</t>
  </si>
  <si>
    <t>si801018</t>
  </si>
  <si>
    <t>动物保健Ⅱ(申万)</t>
  </si>
  <si>
    <t>si801011</t>
  </si>
  <si>
    <t>林业Ⅱ(申万)</t>
  </si>
  <si>
    <t>si801015</t>
  </si>
  <si>
    <t>渔业(申万)</t>
  </si>
  <si>
    <t>si801017</t>
  </si>
  <si>
    <t>畜禽养殖Ⅱ(申万)</t>
  </si>
  <si>
    <t>si801016</t>
  </si>
  <si>
    <t>种植业(申万)</t>
  </si>
  <si>
    <t>si801014</t>
  </si>
  <si>
    <t>饲料Ⅱ(申万)</t>
  </si>
  <si>
    <t>si801205</t>
  </si>
  <si>
    <t>商业物业经营(申万)</t>
  </si>
  <si>
    <t>si801202</t>
  </si>
  <si>
    <t>贸易Ⅱ(申万)</t>
  </si>
  <si>
    <t>si801112</t>
  </si>
  <si>
    <t>视听器材(申万)</t>
  </si>
  <si>
    <t>si801111</t>
  </si>
  <si>
    <t>白色家电(申万)</t>
  </si>
  <si>
    <t>si801094</t>
  </si>
  <si>
    <t>汽车整车(申万)</t>
  </si>
  <si>
    <t>si801093</t>
  </si>
  <si>
    <t>汽车零部件Ⅱ(申万)</t>
  </si>
  <si>
    <t>si801092</t>
  </si>
  <si>
    <t>汽车服务Ⅱ(申万)</t>
  </si>
  <si>
    <t>si801132</t>
  </si>
  <si>
    <t>服装家纺(申万)</t>
  </si>
  <si>
    <t>si801131</t>
  </si>
  <si>
    <t>纺织制造(申万)</t>
  </si>
  <si>
    <t>si801123</t>
  </si>
  <si>
    <t>饮料制造(申万)</t>
  </si>
  <si>
    <t>si801204</t>
  </si>
  <si>
    <t>专业零售(申万)</t>
  </si>
  <si>
    <t>---</t>
  </si>
  <si>
    <t>si801203</t>
  </si>
  <si>
    <t>一般零售(申万)</t>
  </si>
  <si>
    <t>si801124</t>
  </si>
  <si>
    <t>食品加工(申万)</t>
  </si>
  <si>
    <t>si801725</t>
  </si>
  <si>
    <t>园林工程Ⅱ(申万)</t>
  </si>
  <si>
    <t>si801724</t>
  </si>
  <si>
    <t>专业工程(申万)</t>
  </si>
  <si>
    <t>si801723</t>
  </si>
  <si>
    <t>基础建设(申万)</t>
  </si>
  <si>
    <t>si801711</t>
  </si>
  <si>
    <t>水泥制造Ⅱ(申万)</t>
  </si>
  <si>
    <t>si801712</t>
  </si>
  <si>
    <t>玻璃制造Ⅱ(申万)</t>
  </si>
  <si>
    <t>si801713</t>
  </si>
  <si>
    <t>其他建材Ⅱ(申万)</t>
  </si>
  <si>
    <t>si801721</t>
  </si>
  <si>
    <t>房屋建设Ⅱ(申万)</t>
  </si>
  <si>
    <t>si801074</t>
  </si>
  <si>
    <t>专用设备(申万)</t>
  </si>
  <si>
    <t>si801072</t>
  </si>
  <si>
    <t>通用机械(申万)</t>
  </si>
  <si>
    <t>si801722</t>
  </si>
  <si>
    <t>装修装饰Ⅱ(申万)</t>
  </si>
  <si>
    <t>si801215</t>
  </si>
  <si>
    <t>其他休闲服务Ⅱ(申万)</t>
  </si>
  <si>
    <t>si801214</t>
  </si>
  <si>
    <t>旅游综合Ⅱ(申万)</t>
  </si>
  <si>
    <t>si801212</t>
  </si>
  <si>
    <t>景点(申万)</t>
  </si>
  <si>
    <t>si801213</t>
  </si>
  <si>
    <t>酒店Ⅱ(申万)</t>
  </si>
  <si>
    <t>si801211</t>
  </si>
  <si>
    <t>餐饮Ⅱ(申万)</t>
  </si>
  <si>
    <t>si801162</t>
  </si>
  <si>
    <t>环保工程及服务Ⅱ(申万)</t>
  </si>
  <si>
    <t>si801164</t>
  </si>
  <si>
    <t>水务Ⅱ(申万)</t>
  </si>
  <si>
    <t>si801163</t>
  </si>
  <si>
    <t>燃气Ⅱ(申万)</t>
  </si>
  <si>
    <t>si801161</t>
  </si>
  <si>
    <t>电力(申万)</t>
  </si>
  <si>
    <t>si801734</t>
  </si>
  <si>
    <t>高低压设备(申万)</t>
  </si>
  <si>
    <t>si801733</t>
  </si>
  <si>
    <t>电源设备(申万)</t>
  </si>
  <si>
    <t>si801731</t>
  </si>
  <si>
    <t>电机Ⅱ(申万)</t>
  </si>
  <si>
    <t>si801732</t>
  </si>
  <si>
    <t>电气自动化设备(申万)</t>
  </si>
  <si>
    <t>si801231</t>
  </si>
  <si>
    <t>综合Ⅱ(申万)</t>
  </si>
  <si>
    <t>si801037</t>
  </si>
  <si>
    <t>橡胶(申万)</t>
  </si>
  <si>
    <t>si801036</t>
  </si>
  <si>
    <t>塑料Ⅱ(申万)</t>
  </si>
  <si>
    <t>si801035</t>
  </si>
  <si>
    <t>石油化工(申万)</t>
  </si>
  <si>
    <t>si801034</t>
  </si>
  <si>
    <t>化学制品(申万)</t>
  </si>
  <si>
    <t>si801033</t>
  </si>
  <si>
    <t>化学原料(申万)</t>
  </si>
  <si>
    <t>si801032</t>
  </si>
  <si>
    <t>化学纤维(申万)</t>
  </si>
  <si>
    <t>si801055</t>
  </si>
  <si>
    <t>工业金属(申万)</t>
  </si>
  <si>
    <t>si801054</t>
  </si>
  <si>
    <t>稀有金属(申万)</t>
  </si>
  <si>
    <t>si801053</t>
  </si>
  <si>
    <t>黄金Ⅱ(申万)</t>
  </si>
  <si>
    <t>si801051</t>
  </si>
  <si>
    <t>金属非金属新材料(申万)</t>
  </si>
  <si>
    <t>si801021</t>
  </si>
  <si>
    <t>煤炭开采Ⅱ(申万)</t>
  </si>
  <si>
    <t>si801023</t>
  </si>
  <si>
    <t>石油开采Ⅱ(申万)</t>
  </si>
  <si>
    <t>si801024</t>
  </si>
  <si>
    <t>采掘服务Ⅱ(申万)</t>
  </si>
  <si>
    <t>si801075</t>
  </si>
  <si>
    <t>金属制品Ⅱ(申万)</t>
  </si>
  <si>
    <t>si801041</t>
  </si>
  <si>
    <t>钢铁Ⅱ(申万)</t>
  </si>
  <si>
    <t>si801022</t>
  </si>
  <si>
    <t>其他采掘Ⅱ(申万)</t>
  </si>
  <si>
    <t>si801144</t>
  </si>
  <si>
    <t>其他轻工制造Ⅱ(申万)</t>
  </si>
  <si>
    <t>si801141</t>
  </si>
  <si>
    <t>包装印刷Ⅱ(申万)</t>
  </si>
  <si>
    <t>si801142</t>
  </si>
  <si>
    <t>家用轻工(申万)</t>
  </si>
  <si>
    <t>si801143</t>
  </si>
  <si>
    <t>造纸Ⅱ(申万)</t>
  </si>
  <si>
    <t>si801194</t>
  </si>
  <si>
    <t>保险Ⅱ(申万)</t>
  </si>
  <si>
    <t>si801193</t>
  </si>
  <si>
    <t>券商Ⅱ(申万)</t>
  </si>
  <si>
    <t>si801192</t>
  </si>
  <si>
    <t>银行Ⅱ(申万)</t>
  </si>
  <si>
    <t>si801191</t>
  </si>
  <si>
    <t>多元金融Ⅱ(申万)</t>
  </si>
  <si>
    <t>si801073</t>
  </si>
  <si>
    <t>仪器仪表Ⅱ(申万)</t>
  </si>
  <si>
    <t>oil</t>
  </si>
  <si>
    <t>gold</t>
  </si>
  <si>
    <t>dollar index</t>
  </si>
  <si>
    <t>earning icrease ytoy</t>
  </si>
  <si>
    <t>book icrease ytoy</t>
  </si>
  <si>
    <t>中证环保</t>
  </si>
  <si>
    <t>300地产</t>
  </si>
  <si>
    <t>养老产业</t>
  </si>
  <si>
    <t>中证军工</t>
  </si>
  <si>
    <t>中证传媒</t>
  </si>
  <si>
    <t>CS新能车</t>
  </si>
  <si>
    <t>军工指数</t>
  </si>
  <si>
    <t>海外互联</t>
  </si>
  <si>
    <t>价值指数</t>
  </si>
  <si>
    <t>中证中药</t>
  </si>
  <si>
    <t>(a1+a2)/(a1/b1 + a2/b2)</t>
  </si>
  <si>
    <t>SUM</t>
  </si>
  <si>
    <t>STOCKS</t>
  </si>
  <si>
    <t>AVERAGE PRICE</t>
  </si>
  <si>
    <t>CURRENT PRICE</t>
  </si>
  <si>
    <t>PE22.22，PB 5.12</t>
  </si>
  <si>
    <t>序号</t>
  </si>
  <si>
    <t>基金公司</t>
  </si>
  <si>
    <t>相关链接</t>
  </si>
  <si>
    <t>成立时间</t>
  </si>
  <si>
    <t>天相评级</t>
  </si>
  <si>
    <t>全部管理规模(亿元) </t>
  </si>
  <si>
    <t>全部基金数</t>
  </si>
  <si>
    <t>全部经理数*</t>
  </si>
  <si>
    <t>天弘基金管理有限公司</t>
  </si>
  <si>
    <t>详情 公司吧</t>
  </si>
  <si>
    <t xml:space="preserve">    </t>
  </si>
  <si>
    <t>15,967.67   11-16</t>
  </si>
  <si>
    <t>易方达基金管理有限公司</t>
  </si>
  <si>
    <t>7,243.86   11-16</t>
  </si>
  <si>
    <t>建信基金管理有限责任公司</t>
  </si>
  <si>
    <t>6,690.01   09-30</t>
  </si>
  <si>
    <t>工银瑞信基金管理有限公司</t>
  </si>
  <si>
    <t>6,495.67   11-16</t>
  </si>
  <si>
    <t>博时基金管理有限公司</t>
  </si>
  <si>
    <t>5,433.04   11-16</t>
  </si>
  <si>
    <t>南方基金管理股份有限公司</t>
  </si>
  <si>
    <t>5,422.07   11-21</t>
  </si>
  <si>
    <t>汇添富基金管理股份有限公司</t>
  </si>
  <si>
    <t>4,615.22   11-16</t>
  </si>
  <si>
    <t>广发基金管理有限公司</t>
  </si>
  <si>
    <t>4,558.15   11-16</t>
  </si>
  <si>
    <t>中银基金管理有限公司</t>
  </si>
  <si>
    <t>4,485.44   11-16</t>
  </si>
  <si>
    <t>华夏基金管理有限公司</t>
  </si>
  <si>
    <t>4,354.35   11-16</t>
  </si>
  <si>
    <t>嘉实基金管理有限公司</t>
  </si>
  <si>
    <t>4,077.05   11-16</t>
  </si>
  <si>
    <t>招商基金管理有限公司</t>
  </si>
  <si>
    <t>4,030.07   11-16</t>
  </si>
  <si>
    <t>鹏华基金管理有限公司</t>
  </si>
  <si>
    <t>3,504.60   11-16</t>
  </si>
  <si>
    <t>华安基金管理有限公司</t>
  </si>
  <si>
    <t>2,762.42   11-16</t>
  </si>
  <si>
    <t>平安基金管理有限公司</t>
  </si>
  <si>
    <t>2,668.45   11-16</t>
  </si>
  <si>
    <t>银华基金管理股份有限公司</t>
  </si>
  <si>
    <t>2,640.25   11-16</t>
  </si>
  <si>
    <t>农银汇理基金管理有限公司</t>
  </si>
  <si>
    <t>2,337.19   11-16</t>
  </si>
  <si>
    <t>富国基金管理有限公司</t>
  </si>
  <si>
    <t>2,127.65   11-16</t>
  </si>
  <si>
    <t>华宝基金管理有限公司</t>
  </si>
  <si>
    <t>1,965.01   11-16</t>
  </si>
  <si>
    <t>兴全基金管理有限公司</t>
  </si>
  <si>
    <t>1,961.93   11-16</t>
  </si>
  <si>
    <t>兴业基金管理有限公司</t>
  </si>
  <si>
    <t>暂无评级</t>
  </si>
  <si>
    <t>1,858.95   11-16</t>
  </si>
  <si>
    <t>国泰基金管理有限公司</t>
  </si>
  <si>
    <t>1,807.21   11-16</t>
  </si>
  <si>
    <t>中欧基金管理有限公司</t>
  </si>
  <si>
    <t>1,800.49   11-16</t>
  </si>
  <si>
    <t>交银施罗德基金管理有限公司</t>
  </si>
  <si>
    <t>1,569.82   11-16</t>
  </si>
  <si>
    <t>大成基金管理有限公司</t>
  </si>
  <si>
    <t>1,542.46   09-30</t>
  </si>
  <si>
    <t>国寿安保基金管理有限公司</t>
  </si>
  <si>
    <t>1,456.92   11-16</t>
  </si>
  <si>
    <t>民生加银基金管理有限公司</t>
  </si>
  <si>
    <t>1,350.52   11-16</t>
  </si>
  <si>
    <t>景顺长城基金管理有限公司</t>
  </si>
  <si>
    <t>1,182.70   09-30</t>
  </si>
  <si>
    <t>浦银安盛基金管理有限公司</t>
  </si>
  <si>
    <t>1,110.94   11-16</t>
  </si>
  <si>
    <t>光大保德信基金管理有限公司</t>
  </si>
  <si>
    <t>1,064.85   11-16</t>
  </si>
  <si>
    <t>永赢基金管理有限公司</t>
  </si>
  <si>
    <t>1,060.48   11-16</t>
  </si>
  <si>
    <t>中信保诚基金管理有限公司</t>
  </si>
  <si>
    <t>1,021.30   09-30</t>
  </si>
  <si>
    <t>上投摩根基金管理有限公司</t>
  </si>
  <si>
    <t>981.06   11-16</t>
  </si>
  <si>
    <t>华泰柏瑞基金管理有限公司</t>
  </si>
  <si>
    <t>980.44   09-30</t>
  </si>
  <si>
    <t>上海东方证券资产管理有限公司</t>
  </si>
  <si>
    <t>923.25   11-16</t>
  </si>
  <si>
    <t>诺安基金管理有限公司</t>
  </si>
  <si>
    <t>910.51   11-16</t>
  </si>
  <si>
    <t>海富通基金管理有限公司</t>
  </si>
  <si>
    <t>805.21   11-16</t>
  </si>
  <si>
    <t>万家基金管理有限公司</t>
  </si>
  <si>
    <t>773.51   11-16</t>
  </si>
  <si>
    <t>银河基金管理有限公司</t>
  </si>
  <si>
    <t>770.60   11-20</t>
  </si>
  <si>
    <t>融通基金管理有限公司</t>
  </si>
  <si>
    <t>757.40   11-16</t>
  </si>
  <si>
    <t>中加基金管理有限公司</t>
  </si>
  <si>
    <t>713.74   11-16</t>
  </si>
  <si>
    <t>中融基金管理有限公司</t>
  </si>
  <si>
    <t>697.30   11-16</t>
  </si>
  <si>
    <t>长城基金管理有限公司</t>
  </si>
  <si>
    <t>661.56   11-16</t>
  </si>
  <si>
    <t>金鹰基金管理有限公司</t>
  </si>
  <si>
    <t>659.77   11-16</t>
  </si>
  <si>
    <t>上银基金管理有限公司</t>
  </si>
  <si>
    <t>648.77   11-16</t>
  </si>
  <si>
    <t>国投瑞银基金管理有限公司</t>
  </si>
  <si>
    <t>640.67   11-16</t>
  </si>
  <si>
    <t>中银国际证券股份有限公司</t>
  </si>
  <si>
    <t>579.87   11-16</t>
  </si>
  <si>
    <t>前海开源基金管理有限公司</t>
  </si>
  <si>
    <t>480.76   11-16</t>
  </si>
  <si>
    <t>华富基金管理有限公司</t>
  </si>
  <si>
    <t>441.36   11-20</t>
  </si>
  <si>
    <t>长信基金管理有限责任公司</t>
  </si>
  <si>
    <t>437.49   11-16</t>
  </si>
  <si>
    <t>国金基金管理有限公司</t>
  </si>
  <si>
    <t>429.81   11-16</t>
  </si>
  <si>
    <t>泰康资产管理有限责任公司</t>
  </si>
  <si>
    <t>403.23   11-21</t>
  </si>
  <si>
    <t>泰达宏利基金管理有限公司</t>
  </si>
  <si>
    <t>394.49   10-25</t>
  </si>
  <si>
    <t>安信基金管理有限责任公司</t>
  </si>
  <si>
    <t>378.42   11-16</t>
  </si>
  <si>
    <t>新华基金管理股份有限公司</t>
  </si>
  <si>
    <t>369.29   11-16</t>
  </si>
  <si>
    <t>中邮创业基金管理股份有限公司</t>
  </si>
  <si>
    <t>364.90   11-16</t>
  </si>
  <si>
    <t>兴银基金管理有限责任公司</t>
  </si>
  <si>
    <t>358.14   11-16</t>
  </si>
  <si>
    <t>鑫元基金管理有限公司</t>
  </si>
  <si>
    <t>352.89   11-16</t>
  </si>
  <si>
    <t>嘉合基金管理有限公司</t>
  </si>
  <si>
    <t>345.02   11-16</t>
  </si>
  <si>
    <t>长盛基金管理有限公司</t>
  </si>
  <si>
    <t>330.23   11-16</t>
  </si>
  <si>
    <t>宝盈基金管理有限公司</t>
  </si>
  <si>
    <t>321.60   09-30</t>
  </si>
  <si>
    <t>申万菱信基金管理有限公司</t>
  </si>
  <si>
    <t>298.93   09-30</t>
  </si>
  <si>
    <t>东吴基金管理有限公司</t>
  </si>
  <si>
    <t>293.90   11-16</t>
  </si>
  <si>
    <t>浙商基金管理有限公司</t>
  </si>
  <si>
    <t>289.01   11-16</t>
  </si>
  <si>
    <t>西部利得基金管理有限公司</t>
  </si>
  <si>
    <t>274.78   09-30</t>
  </si>
  <si>
    <t>国海富兰克林基金管理有限公司</t>
  </si>
  <si>
    <t>272.82   11-20</t>
  </si>
  <si>
    <t>鹏扬基金管理有限公司</t>
  </si>
  <si>
    <t>260.54   11-16</t>
  </si>
  <si>
    <t>国联安基金管理有限公司</t>
  </si>
  <si>
    <t>237.32   11-16</t>
  </si>
  <si>
    <t>汇丰晋信基金管理有限公司</t>
  </si>
  <si>
    <t>234.28   11-16</t>
  </si>
  <si>
    <t>方正富邦基金管理有限公司</t>
  </si>
  <si>
    <t>233.75   11-16</t>
  </si>
  <si>
    <t>新疆前海联合基金管理有限公司</t>
  </si>
  <si>
    <t>232.40   11-16</t>
  </si>
  <si>
    <t>财通证券资产管理有限公司</t>
  </si>
  <si>
    <t>219.96   11-16</t>
  </si>
  <si>
    <t>泓德基金管理有限公司</t>
  </si>
  <si>
    <t>207.24   11-16</t>
  </si>
  <si>
    <t>华商基金管理有限公司</t>
  </si>
  <si>
    <t>203.82   11-16</t>
  </si>
  <si>
    <t>金元顺安基金管理有限公司</t>
  </si>
  <si>
    <t>201.97   11-16</t>
  </si>
  <si>
    <t>诺德基金管理有限公司</t>
  </si>
  <si>
    <t>200.94   09-30</t>
  </si>
  <si>
    <t>财通基金管理有限公司</t>
  </si>
  <si>
    <t>176.84   11-02</t>
  </si>
  <si>
    <t>东方基金管理有限责任公司</t>
  </si>
  <si>
    <t>174.78   11-19</t>
  </si>
  <si>
    <t>圆信永丰基金管理有限公司</t>
  </si>
  <si>
    <t>172.25   11-16</t>
  </si>
  <si>
    <t>摩根士丹利华鑫基金管理有限公司</t>
  </si>
  <si>
    <t>169.64   11-16</t>
  </si>
  <si>
    <t>中国人保资产管理有限公司</t>
  </si>
  <si>
    <t>150.20   11-16</t>
  </si>
  <si>
    <t>中金基金管理有限公司</t>
  </si>
  <si>
    <t>145.60   11-16</t>
  </si>
  <si>
    <t>太平基金管理有限公司</t>
  </si>
  <si>
    <t>144.20   09-30</t>
  </si>
  <si>
    <t>信达澳银基金管理有限公司</t>
  </si>
  <si>
    <t>133.05   11-16</t>
  </si>
  <si>
    <t>创金合信基金管理有限公司</t>
  </si>
  <si>
    <t>132.61   11-16</t>
  </si>
  <si>
    <t>中海基金管理有限公司</t>
  </si>
  <si>
    <t>127.51   09-30</t>
  </si>
  <si>
    <t>长江证券(上海)资产管理有限公司</t>
  </si>
  <si>
    <t>126.01   11-16</t>
  </si>
  <si>
    <t>德邦基金管理有限公司</t>
  </si>
  <si>
    <t>107.55   11-16</t>
  </si>
  <si>
    <t>东兴证券股份有限公司</t>
  </si>
  <si>
    <t>104.76   11-19</t>
  </si>
  <si>
    <t>红土创新基金管理有限公司</t>
  </si>
  <si>
    <t>102.70   10-12</t>
  </si>
  <si>
    <t>九泰基金管理有限公司</t>
  </si>
  <si>
    <t>101.55   09-30</t>
  </si>
  <si>
    <t>汇安基金管理有限责任公司</t>
  </si>
  <si>
    <t>99.80   11-16</t>
  </si>
  <si>
    <t>华泰保兴基金管理有限公司</t>
  </si>
  <si>
    <t>95.33   11-16</t>
  </si>
  <si>
    <t>中信建投基金管理有限公司</t>
  </si>
  <si>
    <t>93.12   11-16</t>
  </si>
  <si>
    <t>北信瑞丰基金管理有限公司</t>
  </si>
  <si>
    <t>75.68   11-09</t>
  </si>
  <si>
    <t>长安基金管理有限公司</t>
  </si>
  <si>
    <t>72.99   09-30</t>
  </si>
  <si>
    <t>富荣基金管理有限公司</t>
  </si>
  <si>
    <t>60.44   11-16</t>
  </si>
  <si>
    <t>华润元大基金管理有限公司</t>
  </si>
  <si>
    <t>42.67   09-30</t>
  </si>
  <si>
    <t>先锋基金管理有限公司</t>
  </si>
  <si>
    <t>40.35   10-10</t>
  </si>
  <si>
    <t>南华基金管理有限公司</t>
  </si>
  <si>
    <t>36.59   11-16</t>
  </si>
  <si>
    <t>山西证券股份有限公司</t>
  </si>
  <si>
    <t>34.03   11-09</t>
  </si>
  <si>
    <t>金信基金管理有限公司</t>
  </si>
  <si>
    <t>30.09   09-30</t>
  </si>
  <si>
    <t>富安达基金管理有限公司</t>
  </si>
  <si>
    <t>29.76   09-30</t>
  </si>
  <si>
    <t>新沃基金管理有限公司</t>
  </si>
  <si>
    <t>26.27   09-30</t>
  </si>
  <si>
    <t>泰信基金管理有限公司</t>
  </si>
  <si>
    <t>24.77   11-16</t>
  </si>
  <si>
    <t>江信基金管理有限公司</t>
  </si>
  <si>
    <t>21.45   11-16</t>
  </si>
  <si>
    <t>英大基金管理有限公司</t>
  </si>
  <si>
    <t>17.38   09-30</t>
  </si>
  <si>
    <t>华泰证券(上海)资产管理有限公司</t>
  </si>
  <si>
    <t>16.78   09-30</t>
  </si>
  <si>
    <t>格林基金管理有限公司</t>
  </si>
  <si>
    <t>16.28   11-16</t>
  </si>
  <si>
    <t>天治基金管理有限公司</t>
  </si>
  <si>
    <t>16.26   11-16</t>
  </si>
  <si>
    <t>博道基金管理有限公司</t>
  </si>
  <si>
    <t>14.64   11-16</t>
  </si>
  <si>
    <t>益民基金管理有限公司</t>
  </si>
  <si>
    <t>14.62   11-16</t>
  </si>
  <si>
    <t>华融证券股份有限公司</t>
  </si>
  <si>
    <t>13.88   09-30</t>
  </si>
  <si>
    <t>红塔红土基金管理有限公司</t>
  </si>
  <si>
    <t>13.34   11-16</t>
  </si>
  <si>
    <t>东方阿尔法基金管理有限公司</t>
  </si>
  <si>
    <t>10.51   09-30</t>
  </si>
  <si>
    <t>浙江浙商证券资产管理有限公司</t>
  </si>
  <si>
    <t>8.56   11-16</t>
  </si>
  <si>
    <t>中航基金管理有限公司</t>
  </si>
  <si>
    <t>6.46   11-16</t>
  </si>
  <si>
    <t>中科沃土基金管理有限公司</t>
  </si>
  <si>
    <t>6.41   09-30</t>
  </si>
  <si>
    <t>国开泰富基金管理有限责任公司</t>
  </si>
  <si>
    <t>5.83   09-30</t>
  </si>
  <si>
    <t>国都证券股份有限公司</t>
  </si>
  <si>
    <t>5.47   11-09</t>
  </si>
  <si>
    <t>凯石基金管理有限公司</t>
  </si>
  <si>
    <t>5.04   11-16</t>
  </si>
  <si>
    <t>弘毅远方基金管理有限公司</t>
  </si>
  <si>
    <t>4.94   11-16</t>
  </si>
  <si>
    <t>渤海汇金证券资产管理有限公司</t>
  </si>
  <si>
    <t>4.41   11-02</t>
  </si>
  <si>
    <t>东海基金管理有限责任公司</t>
  </si>
  <si>
    <t>4.24   09-30</t>
  </si>
  <si>
    <t>恒越基金管理有限公司</t>
  </si>
  <si>
    <t>4.19   11-16</t>
  </si>
  <si>
    <t>合煦智远基金管理有限公司</t>
  </si>
  <si>
    <t>4.06   10-19</t>
  </si>
  <si>
    <t>国融基金管理有限公司</t>
  </si>
  <si>
    <t>3.84   11-16</t>
  </si>
  <si>
    <t>恒生前海基金管理有限公司</t>
  </si>
  <si>
    <t>2.67   09-30</t>
  </si>
  <si>
    <t>华宸未来基金管理有限公司</t>
  </si>
  <si>
    <t>0.13   09-30</t>
  </si>
  <si>
    <t>北京高华证券有限责任公司</t>
  </si>
  <si>
    <t xml:space="preserve">-  </t>
  </si>
  <si>
    <t>华融基金管理有限公司</t>
  </si>
  <si>
    <t>-</t>
  </si>
  <si>
    <t>蜂巢基金管理有限公司</t>
  </si>
  <si>
    <t>中庚基金管理有限公司</t>
  </si>
  <si>
    <t>湘财基金管理有限公司</t>
  </si>
  <si>
    <t>明亚基金管理有限责任公司</t>
  </si>
  <si>
    <t>惠升基金管理有限责任公司</t>
  </si>
  <si>
    <t>朱雀基金管理有限公司</t>
  </si>
  <si>
    <t>同泰基金管理有限公司</t>
  </si>
  <si>
    <t>西藏东财基金管理有限公司</t>
  </si>
  <si>
    <t>淳厚基金管理有限公司</t>
  </si>
  <si>
    <t>睿远基金管理有限公司</t>
  </si>
  <si>
    <t>中泰证券(上海)资产管理有限公司</t>
  </si>
  <si>
    <t>大类资产</t>
  </si>
  <si>
    <t>最大分配</t>
  </si>
  <si>
    <t>时点比例</t>
  </si>
  <si>
    <t>应配比例</t>
  </si>
  <si>
    <t>债券现金</t>
  </si>
  <si>
    <t>医药</t>
  </si>
  <si>
    <t>美股欧股</t>
  </si>
  <si>
    <t>港股</t>
  </si>
  <si>
    <t>黄金</t>
  </si>
  <si>
    <t>创业</t>
  </si>
  <si>
    <t>消费</t>
  </si>
  <si>
    <t>信息</t>
  </si>
  <si>
    <t>1. 最大配比顾名思义就是无论嘛时候的最大可配置比例，所有累加和肯定大于100%，因为是对应的不同时刻</t>
  </si>
  <si>
    <t>2. 时点比例就是当前应该配置的比例，就是最大比例当前时段应该的配比，与最大比例的乘积等于应配比例</t>
  </si>
  <si>
    <t>3. 应配比例就是当前对应项占你资产的比例，简单的话看这个就OK了。当然它的值也等于最大比例与应配比例的乘积。</t>
  </si>
</sst>
</file>

<file path=xl/styles.xml><?xml version="1.0" encoding="utf-8"?>
<styleSheet xmlns="http://schemas.openxmlformats.org/spreadsheetml/2006/main">
  <numFmts count="3">
    <numFmt formatCode="0.000" numFmtId="164"/>
    <numFmt formatCode="0.0000" numFmtId="165"/>
    <numFmt formatCode="0.0%" numFmtId="166"/>
  </numFmts>
  <fonts count="46"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4"/>
      <sz val="12"/>
      <scheme val="minor"/>
    </font>
    <font>
      <name val="Calibri"/>
      <family val="2"/>
      <color rgb="FFC00000"/>
      <sz val="12"/>
      <scheme val="minor"/>
    </font>
    <font>
      <name val="Helvetica"/>
      <family val="2"/>
      <color rgb="FF7E7E7E"/>
      <sz val="12"/>
    </font>
    <font>
      <name val="Calibri"/>
      <family val="2"/>
      <color rgb="FF000000"/>
      <sz val="12"/>
      <scheme val="minor"/>
    </font>
    <font>
      <name val="Calibri"/>
      <family val="2"/>
      <color rgb="FFFFFFFF"/>
      <sz val="12"/>
    </font>
    <font>
      <name val="Menlo"/>
      <family val="2"/>
      <color rgb="FF333333"/>
      <sz val="13"/>
    </font>
    <font>
      <name val="Calibri"/>
      <family val="2"/>
      <color theme="1"/>
      <sz val="12"/>
    </font>
    <font>
      <name val="Arial"/>
      <family val="2"/>
      <color rgb="FF666666"/>
      <sz val="12"/>
    </font>
    <font>
      <name val="Calibri"/>
      <family val="2"/>
      <color rgb="FF008000"/>
      <sz val="12"/>
    </font>
    <font>
      <name val="Helvetica Neue"/>
      <family val="2"/>
      <color rgb="FF333333"/>
      <sz val="14"/>
    </font>
    <font>
      <name val="Arial"/>
      <family val="2"/>
      <b val="1"/>
      <color rgb="FF797979"/>
      <sz val="13"/>
    </font>
    <font>
      <name val="Arial"/>
      <family val="2"/>
      <color rgb="FF797979"/>
      <sz val="13"/>
    </font>
    <font>
      <name val="Calibri"/>
      <family val="2"/>
      <color theme="10"/>
      <sz val="12"/>
      <u val="single"/>
      <scheme val="minor"/>
    </font>
    <font>
      <name val="Calibri"/>
      <family val="2"/>
      <color rgb="FF008000"/>
      <sz val="12"/>
    </font>
    <font>
      <name val="Calibri"/>
      <family val="2"/>
      <color rgb="FF00FF00"/>
      <sz val="12"/>
    </font>
    <font>
      <name val="Calibri"/>
      <family val="2"/>
      <color rgb="FFFF0000"/>
      <sz val="12"/>
    </font>
    <font>
      <name val="Calibri"/>
      <family val="2"/>
      <color rgb="FF800000"/>
      <sz val="12"/>
    </font>
    <font>
      <name val="Calibri"/>
      <family val="2"/>
      <color rgb="FF00FF00"/>
      <sz val="12"/>
    </font>
    <font>
      <name val="Calibri"/>
      <family val="2"/>
      <color rgb="FF008000"/>
      <sz val="12"/>
    </font>
    <font>
      <name val="Calibri"/>
      <family val="2"/>
      <color rgb="FF800000"/>
      <sz val="12"/>
    </font>
    <font>
      <name val="Calibri"/>
      <family val="2"/>
      <color rgb="FFFF0000"/>
      <sz val="12"/>
    </font>
    <font>
      <name val="Helvetica"/>
      <family val="2"/>
      <color rgb="FF000000"/>
      <sz val="12"/>
    </font>
    <font>
      <name val="Helvetica"/>
      <family val="2"/>
      <color rgb="FF4A90E2"/>
      <sz val="12"/>
    </font>
    <font>
      <name val="Helvetica"/>
      <family val="2"/>
      <color rgb="FF333333"/>
      <sz val="12"/>
    </font>
    <font>
      <name val="Helvetica"/>
      <family val="2"/>
      <color rgb="FF4A90E2"/>
      <sz val="12"/>
      <u val="single"/>
    </font>
    <font>
      <name val="Iconfont"/>
      <color rgb="FF333333"/>
      <sz val="12"/>
    </font>
    <font>
      <name val="Arial"/>
      <family val="2"/>
      <b val="1"/>
      <color rgb="FF333333"/>
      <sz val="12"/>
    </font>
    <font>
      <name val="Iconfont"/>
      <color rgb="FF999999"/>
      <sz val="12"/>
    </font>
    <font>
      <name val="Helvetica Neue"/>
      <family val="2"/>
      <color rgb="FF33353C"/>
      <sz val="14"/>
    </font>
    <font>
      <name val="Helvetica Neue"/>
      <family val="2"/>
      <color rgb="FF33353C"/>
      <sz val="15"/>
    </font>
    <font>
      <name val="Helvetica"/>
      <family val="2"/>
      <color rgb="FF222222"/>
      <sz val="20"/>
    </font>
    <font>
      <name val="Calibri"/>
      <family val="2"/>
      <color rgb="FF00FF00"/>
      <sz val="12"/>
    </font>
    <font>
      <name val="Calibri"/>
      <family val="2"/>
      <color rgb="FF008000"/>
      <sz val="12"/>
    </font>
    <font>
      <name val="Calibri"/>
      <family val="2"/>
      <color rgb="FFFF0000"/>
      <sz val="12"/>
      <scheme val="minor"/>
    </font>
    <font>
      <name val="Helvetica Neue"/>
      <family val="2"/>
      <color rgb="FF777777"/>
      <sz val="14"/>
    </font>
    <font>
      <name val="Arial"/>
      <family val="2"/>
      <b val="1"/>
      <color rgb="FF003366"/>
      <sz val="14"/>
    </font>
    <font>
      <name val="Arial"/>
      <family val="2"/>
      <b val="1"/>
      <color rgb="FF000000"/>
      <sz val="14"/>
    </font>
    <font>
      <name val="Arial"/>
      <family val="2"/>
      <b val="1"/>
      <color rgb="FFB6B6B6"/>
      <sz val="11"/>
    </font>
    <font>
      <name val="Helvetica Neue"/>
      <family val="2"/>
      <color rgb="FF33353C"/>
      <sz val="16"/>
    </font>
    <font>
      <name val="Arial"/>
      <family val="2"/>
      <color rgb="FF414042"/>
      <sz val="14"/>
    </font>
    <font>
      <name val="Calibri"/>
      <family val="2"/>
      <color rgb="FF800000"/>
      <sz val="12"/>
    </font>
    <font>
      <name val="Calibri"/>
      <family val="2"/>
      <color rgb="FF008000"/>
      <sz val="12"/>
    </font>
    <font>
      <name val="Calibri"/>
      <family val="2"/>
      <color rgb="FF00FF00"/>
      <sz val="12"/>
    </font>
    <font>
      <name val="Calibri"/>
      <family val="2"/>
      <color rgb="FFFF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borderId="0" fillId="0" fontId="1" numFmtId="0"/>
    <xf borderId="0" fillId="0" fontId="1" numFmtId="0"/>
    <xf borderId="0" fillId="0" fontId="14" numFmtId="0"/>
  </cellStyleXfs>
  <cellXfs count="133">
    <xf borderId="0" fillId="0" fontId="0" numFmtId="0" pivotButton="0" quotePrefix="0" xfId="0"/>
    <xf borderId="0" fillId="0" fontId="0" numFmtId="164" pivotButton="0" quotePrefix="0" xfId="0"/>
    <xf applyAlignment="1" borderId="0" fillId="0" fontId="0" numFmtId="0" pivotButton="0" quotePrefix="0" xfId="0">
      <alignment horizontal="right"/>
    </xf>
    <xf applyAlignment="1" borderId="0" fillId="0" fontId="0" numFmtId="10" pivotButton="0" quotePrefix="0" xfId="0">
      <alignment horizontal="right"/>
    </xf>
    <xf borderId="0" fillId="0" fontId="2" numFmtId="0" pivotButton="0" quotePrefix="0" xfId="0"/>
    <xf borderId="0" fillId="0" fontId="2" numFmtId="2" pivotButton="0" quotePrefix="0" xfId="1"/>
    <xf applyAlignment="1" borderId="0" fillId="0" fontId="2" numFmtId="0" pivotButton="0" quotePrefix="0" xfId="0">
      <alignment horizontal="right"/>
    </xf>
    <xf applyAlignment="1" borderId="0" fillId="0" fontId="2" numFmtId="9" pivotButton="0" quotePrefix="0" xfId="1">
      <alignment horizontal="right"/>
    </xf>
    <xf applyAlignment="1" borderId="0" fillId="0" fontId="2" numFmtId="2" pivotButton="0" quotePrefix="0" xfId="0">
      <alignment horizontal="right"/>
    </xf>
    <xf borderId="0" fillId="0" fontId="3" numFmtId="2" pivotButton="0" quotePrefix="0" xfId="0"/>
    <xf applyAlignment="1" borderId="0" fillId="0" fontId="3" numFmtId="0" pivotButton="0" quotePrefix="0" xfId="0">
      <alignment horizontal="right"/>
    </xf>
    <xf applyAlignment="1" borderId="0" fillId="0" fontId="3" numFmtId="9" pivotButton="0" quotePrefix="0" xfId="1">
      <alignment horizontal="right"/>
    </xf>
    <xf applyAlignment="1" borderId="0" fillId="0" fontId="3" numFmtId="2" pivotButton="0" quotePrefix="0" xfId="0">
      <alignment horizontal="right"/>
    </xf>
    <xf borderId="0" fillId="0" fontId="4" numFmtId="0" pivotButton="0" quotePrefix="0" xfId="0"/>
    <xf borderId="0" fillId="0" fontId="5" numFmtId="0" pivotButton="0" quotePrefix="0" xfId="0"/>
    <xf borderId="0" fillId="0" fontId="7" numFmtId="0" pivotButton="0" quotePrefix="0" xfId="0"/>
    <xf borderId="0" fillId="0" fontId="2" numFmtId="10" pivotButton="0" quotePrefix="0" xfId="0"/>
    <xf applyAlignment="1" borderId="0" fillId="0" fontId="2" numFmtId="10" pivotButton="0" quotePrefix="0" xfId="0">
      <alignment horizontal="right"/>
    </xf>
    <xf borderId="0" fillId="0" fontId="3" numFmtId="10" pivotButton="0" quotePrefix="0" xfId="0"/>
    <xf applyAlignment="1" borderId="0" fillId="0" fontId="3" numFmtId="10" pivotButton="0" quotePrefix="0" xfId="0">
      <alignment horizontal="right"/>
    </xf>
    <xf borderId="0" fillId="0" fontId="2" numFmtId="10" pivotButton="0" quotePrefix="0" xfId="1"/>
    <xf borderId="0" fillId="0" fontId="9" numFmtId="14" pivotButton="0" quotePrefix="0" xfId="0"/>
    <xf borderId="0" fillId="2" fontId="0" numFmtId="0" pivotButton="0" quotePrefix="0" xfId="0"/>
    <xf borderId="0" fillId="2" fontId="7" numFmtId="0" pivotButton="0" quotePrefix="0" xfId="0"/>
    <xf borderId="0" fillId="2" fontId="2" numFmtId="164" pivotButton="0" quotePrefix="0" xfId="0"/>
    <xf borderId="0" fillId="2" fontId="2" numFmtId="2" pivotButton="0" quotePrefix="0" xfId="0"/>
    <xf borderId="0" fillId="2" fontId="2" numFmtId="9" pivotButton="0" quotePrefix="0" xfId="0"/>
    <xf borderId="0" fillId="2" fontId="3" numFmtId="164" pivotButton="0" quotePrefix="0" xfId="0"/>
    <xf borderId="0" fillId="2" fontId="3" numFmtId="2" pivotButton="0" quotePrefix="0" xfId="1"/>
    <xf borderId="0" fillId="2" fontId="3" numFmtId="9" pivotButton="0" quotePrefix="0" xfId="0"/>
    <xf borderId="0" fillId="2" fontId="3" numFmtId="165" pivotButton="0" quotePrefix="0" xfId="0"/>
    <xf borderId="0" fillId="2" fontId="1" numFmtId="10" pivotButton="0" quotePrefix="0" xfId="1"/>
    <xf borderId="0" fillId="2" fontId="0" numFmtId="10" pivotButton="0" quotePrefix="0" xfId="0"/>
    <xf borderId="0" fillId="0" fontId="0" numFmtId="9" pivotButton="0" quotePrefix="0" xfId="0"/>
    <xf applyAlignment="1" borderId="0" fillId="0" fontId="2" numFmtId="166" pivotButton="0" quotePrefix="0" xfId="1">
      <alignment horizontal="right"/>
    </xf>
    <xf borderId="0" fillId="2" fontId="2" numFmtId="166" pivotButton="0" quotePrefix="0" xfId="1"/>
    <xf borderId="0" fillId="0" fontId="3" numFmtId="166" pivotButton="0" quotePrefix="0" xfId="0"/>
    <xf applyAlignment="1" borderId="0" fillId="0" fontId="3" numFmtId="166" pivotButton="0" quotePrefix="0" xfId="1">
      <alignment horizontal="right"/>
    </xf>
    <xf borderId="0" fillId="2" fontId="3" numFmtId="166" pivotButton="0" quotePrefix="0" xfId="1"/>
    <xf borderId="0" fillId="2" fontId="3" numFmtId="0" pivotButton="0" quotePrefix="0" xfId="0"/>
    <xf borderId="0" fillId="2" fontId="3" numFmtId="2" pivotButton="0" quotePrefix="0" xfId="0"/>
    <xf borderId="0" fillId="2" fontId="8" numFmtId="10" pivotButton="0" quotePrefix="0" xfId="1"/>
    <xf borderId="0" fillId="2" fontId="8" numFmtId="10" pivotButton="0" quotePrefix="0" xfId="0"/>
    <xf borderId="0" fillId="2" fontId="6" numFmtId="0" pivotButton="0" quotePrefix="0" xfId="0"/>
    <xf borderId="0" fillId="0" fontId="11" numFmtId="0" pivotButton="0" quotePrefix="0" xfId="0"/>
    <xf borderId="0" fillId="0" fontId="12" numFmtId="0" pivotButton="0" quotePrefix="0" xfId="0"/>
    <xf borderId="0" fillId="0" fontId="13" numFmtId="0" pivotButton="0" quotePrefix="0" xfId="0"/>
    <xf borderId="0" fillId="0" fontId="13" numFmtId="14" pivotButton="0" quotePrefix="0" xfId="0"/>
    <xf borderId="0" fillId="0" fontId="14" numFmtId="0" pivotButton="0" quotePrefix="0" xfId="2"/>
    <xf borderId="0" fillId="0" fontId="13" numFmtId="10" pivotButton="0" quotePrefix="0" xfId="0"/>
    <xf borderId="0" fillId="0" fontId="8" numFmtId="10" pivotButton="0" quotePrefix="0" xfId="0"/>
    <xf borderId="0" fillId="2" fontId="13" numFmtId="0" pivotButton="0" quotePrefix="0" xfId="0"/>
    <xf borderId="0" fillId="2" fontId="13" numFmtId="10" pivotButton="0" quotePrefix="0" xfId="0"/>
    <xf applyAlignment="1" borderId="0" fillId="2" fontId="2" numFmtId="9" pivotButton="0" quotePrefix="0" xfId="0">
      <alignment horizontal="right"/>
    </xf>
    <xf borderId="0" fillId="2" fontId="15" numFmtId="164" pivotButton="0" quotePrefix="0" xfId="0"/>
    <xf borderId="0" fillId="2" fontId="16" numFmtId="164" pivotButton="0" quotePrefix="0" xfId="0"/>
    <xf borderId="0" fillId="0" fontId="15" numFmtId="164" pivotButton="0" quotePrefix="0" xfId="0"/>
    <xf borderId="0" fillId="0" fontId="16" numFmtId="164" pivotButton="0" quotePrefix="0" xfId="0"/>
    <xf borderId="0" fillId="0" fontId="17" numFmtId="164" pivotButton="0" quotePrefix="0" xfId="0"/>
    <xf borderId="0" fillId="0" fontId="18" numFmtId="164" pivotButton="0" quotePrefix="0" xfId="0"/>
    <xf borderId="0" fillId="2" fontId="18" numFmtId="164" pivotButton="0" quotePrefix="0" xfId="0"/>
    <xf borderId="0" fillId="2" fontId="17" numFmtId="164" pivotButton="0" quotePrefix="0" xfId="0"/>
    <xf borderId="0" fillId="2" fontId="19" numFmtId="164" pivotButton="0" quotePrefix="0" xfId="0"/>
    <xf borderId="0" fillId="2" fontId="20" numFmtId="164" pivotButton="0" quotePrefix="0" xfId="0"/>
    <xf borderId="0" fillId="0" fontId="21" numFmtId="164" pivotButton="0" quotePrefix="0" xfId="0"/>
    <xf borderId="0" fillId="0" fontId="22" numFmtId="164" pivotButton="0" quotePrefix="0" xfId="0"/>
    <xf borderId="0" fillId="0" fontId="19" numFmtId="164" pivotButton="0" quotePrefix="0" xfId="0"/>
    <xf borderId="0" fillId="2" fontId="22" numFmtId="164" pivotButton="0" quotePrefix="0" xfId="0"/>
    <xf borderId="0" fillId="2" fontId="21" numFmtId="164" pivotButton="0" quotePrefix="0" xfId="0"/>
    <xf borderId="0" fillId="0" fontId="20" numFmtId="164" pivotButton="0" quotePrefix="0" xfId="0"/>
    <xf borderId="0" fillId="0" fontId="0" numFmtId="2" pivotButton="0" quotePrefix="0" xfId="0"/>
    <xf borderId="0" fillId="0" fontId="0" numFmtId="14" pivotButton="0" quotePrefix="0" xfId="0"/>
    <xf borderId="0" fillId="0" fontId="23" numFmtId="0" pivotButton="0" quotePrefix="0" xfId="0"/>
    <xf borderId="0" fillId="0" fontId="24" numFmtId="0" pivotButton="0" quotePrefix="0" xfId="0"/>
    <xf borderId="0" fillId="0" fontId="25" numFmtId="0" pivotButton="0" quotePrefix="0" xfId="0"/>
    <xf borderId="0" fillId="0" fontId="26" numFmtId="0" pivotButton="0" quotePrefix="0" xfId="0"/>
    <xf borderId="0" fillId="0" fontId="25" numFmtId="14" pivotButton="0" quotePrefix="0" xfId="0"/>
    <xf borderId="0" fillId="0" fontId="27" numFmtId="0" pivotButton="0" quotePrefix="0" xfId="0"/>
    <xf borderId="0" fillId="0" fontId="28" numFmtId="0" pivotButton="0" quotePrefix="0" xfId="0"/>
    <xf borderId="0" fillId="0" fontId="29" numFmtId="0" pivotButton="0" quotePrefix="0" xfId="0"/>
    <xf borderId="0" fillId="0" fontId="1" numFmtId="0" pivotButton="0" quotePrefix="0" xfId="1"/>
    <xf borderId="0" fillId="0" fontId="30" numFmtId="0" pivotButton="0" quotePrefix="0" xfId="0"/>
    <xf applyAlignment="1" borderId="0" fillId="0" fontId="30" numFmtId="0" pivotButton="0" quotePrefix="0" xfId="0">
      <alignment horizontal="left"/>
    </xf>
    <xf borderId="0" fillId="0" fontId="31" numFmtId="0" pivotButton="0" quotePrefix="0" xfId="0"/>
    <xf borderId="0" fillId="0" fontId="32" numFmtId="0" pivotButton="0" quotePrefix="0" xfId="0"/>
    <xf borderId="0" fillId="0" fontId="3" numFmtId="0" pivotButton="0" quotePrefix="0" xfId="0"/>
    <xf borderId="0" fillId="0" fontId="2" numFmtId="164" pivotButton="0" quotePrefix="0" xfId="0"/>
    <xf borderId="0" fillId="0" fontId="2" numFmtId="166" pivotButton="0" quotePrefix="0" xfId="1"/>
    <xf borderId="0" fillId="0" fontId="2" numFmtId="2" pivotButton="0" quotePrefix="0" xfId="0"/>
    <xf applyAlignment="1" borderId="0" fillId="0" fontId="2" numFmtId="9" pivotButton="0" quotePrefix="0" xfId="0">
      <alignment horizontal="right"/>
    </xf>
    <xf borderId="0" fillId="0" fontId="2" numFmtId="9" pivotButton="0" quotePrefix="0" xfId="0"/>
    <xf borderId="0" fillId="0" fontId="3" numFmtId="164" pivotButton="0" quotePrefix="0" xfId="0"/>
    <xf borderId="0" fillId="0" fontId="3" numFmtId="166" pivotButton="0" quotePrefix="0" xfId="1"/>
    <xf borderId="0" fillId="0" fontId="3" numFmtId="2" pivotButton="0" quotePrefix="0" xfId="1"/>
    <xf borderId="0" fillId="0" fontId="3" numFmtId="9" pivotButton="0" quotePrefix="0" xfId="0"/>
    <xf borderId="0" fillId="0" fontId="3" numFmtId="165" pivotButton="0" quotePrefix="0" xfId="0"/>
    <xf borderId="0" fillId="0" fontId="1" numFmtId="10" pivotButton="0" quotePrefix="0" xfId="1"/>
    <xf borderId="0" fillId="0" fontId="0" numFmtId="10" pivotButton="0" quotePrefix="0" xfId="0"/>
    <xf borderId="0" fillId="0" fontId="10" numFmtId="164" pivotButton="0" quotePrefix="0" xfId="0"/>
    <xf borderId="0" fillId="2" fontId="0" numFmtId="2" pivotButton="0" quotePrefix="0" xfId="0"/>
    <xf borderId="0" fillId="2" fontId="2" numFmtId="10" pivotButton="0" quotePrefix="0" xfId="0"/>
    <xf borderId="0" fillId="2" fontId="33" numFmtId="164" pivotButton="0" quotePrefix="0" xfId="0"/>
    <xf borderId="0" fillId="2" fontId="10" numFmtId="164" pivotButton="0" quotePrefix="0" xfId="0"/>
    <xf borderId="0" fillId="2" fontId="34" numFmtId="164" pivotButton="0" quotePrefix="0" xfId="0"/>
    <xf borderId="0" fillId="0" fontId="34" numFmtId="164" pivotButton="0" quotePrefix="0" xfId="0"/>
    <xf borderId="0" fillId="0" fontId="2" numFmtId="0" pivotButton="0" quotePrefix="0" xfId="1"/>
    <xf borderId="0" fillId="0" fontId="35" numFmtId="0" pivotButton="0" quotePrefix="0" xfId="0"/>
    <xf borderId="0" fillId="0" fontId="0" numFmtId="0" pivotButton="0" quotePrefix="0" xfId="0"/>
    <xf applyAlignment="1" borderId="0" fillId="0" fontId="0" numFmtId="0" pivotButton="0" quotePrefix="0" xfId="0">
      <alignment horizontal="left"/>
    </xf>
    <xf borderId="0" fillId="0" fontId="36" numFmtId="0" pivotButton="0" quotePrefix="0" xfId="0"/>
    <xf borderId="0" fillId="0" fontId="37" numFmtId="0" pivotButton="0" quotePrefix="0" xfId="0"/>
    <xf borderId="0" fillId="0" fontId="39" numFmtId="0" pivotButton="0" quotePrefix="0" xfId="0"/>
    <xf borderId="0" fillId="0" fontId="38" numFmtId="2" pivotButton="0" quotePrefix="0" xfId="0"/>
    <xf borderId="0" fillId="0" fontId="40" numFmtId="0" pivotButton="0" quotePrefix="0" xfId="0"/>
    <xf borderId="0" fillId="0" fontId="41" numFmtId="0" pivotButton="0" quotePrefix="0" xfId="0"/>
    <xf borderId="0" fillId="2" fontId="42" numFmtId="164" pivotButton="0" quotePrefix="0" xfId="0"/>
    <xf borderId="0" fillId="2" fontId="43" numFmtId="164" pivotButton="0" quotePrefix="0" xfId="0"/>
    <xf borderId="0" fillId="0" fontId="44" numFmtId="164" pivotButton="0" quotePrefix="0" xfId="0"/>
    <xf borderId="0" fillId="0" fontId="43" numFmtId="164" pivotButton="0" quotePrefix="0" xfId="0"/>
    <xf borderId="0" fillId="2" fontId="44" numFmtId="164" pivotButton="0" quotePrefix="0" xfId="0"/>
    <xf borderId="0" fillId="0" fontId="42" numFmtId="164" pivotButton="0" quotePrefix="0" xfId="0"/>
    <xf borderId="0" fillId="0" fontId="45" numFmtId="164" pivotButton="0" quotePrefix="0" xfId="0"/>
    <xf borderId="0" fillId="2" fontId="45" numFmtId="164" pivotButton="0" quotePrefix="0" xfId="0"/>
    <xf borderId="0" fillId="0" fontId="43" numFmtId="2" pivotButton="0" quotePrefix="0" xfId="0"/>
    <xf borderId="0" fillId="0" fontId="44" numFmtId="2" pivotButton="0" quotePrefix="0" xfId="0"/>
    <xf borderId="0" fillId="0" fontId="42" numFmtId="2" pivotButton="0" quotePrefix="0" xfId="0"/>
    <xf borderId="0" fillId="0" fontId="45" numFmtId="2" pivotButton="0" quotePrefix="0" xfId="0"/>
    <xf borderId="0" fillId="0" fontId="5" numFmtId="0" pivotButton="0" quotePrefix="0" xfId="0"/>
    <xf applyAlignment="1" borderId="0" fillId="0" fontId="0" numFmtId="10" pivotButton="0" quotePrefix="0" xfId="0">
      <alignment horizontal="right"/>
    </xf>
    <xf borderId="0" fillId="0" fontId="8" numFmtId="10" pivotButton="0" quotePrefix="0" xfId="0"/>
    <xf borderId="0" fillId="0" fontId="0" numFmtId="0" pivotButton="0" quotePrefix="0" xfId="0"/>
    <xf borderId="0" fillId="0" fontId="0" numFmtId="10" pivotButton="0" quotePrefix="0" xfId="0"/>
    <xf applyAlignment="1" borderId="0" fillId="0" fontId="0" numFmtId="0" pivotButton="0" quotePrefix="0" xfId="0">
      <alignment horizontal="right"/>
    </xf>
  </cellXfs>
  <cellStyles count="3">
    <cellStyle builtinId="0" name="Normal" xfId="0"/>
    <cellStyle builtinId="5" name="Percent" xfId="1"/>
    <cellStyle builtinId="8" name="Hyperlink" xfId="2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haredStrings.xml" Type="http://schemas.openxmlformats.org/officeDocument/2006/relationships/sharedStrings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Relationships xmlns="http://schemas.openxmlformats.org/package/2006/relationships"><Relationship Id="rId1" Target="http://discuss.jiucaishuo.com/?/invest/showData/search_gu-si801760" TargetMode="External" Type="http://schemas.openxmlformats.org/officeDocument/2006/relationships/hyperlink" /><Relationship Id="rId2" Target="http://discuss.jiucaishuo.com/?/invest/showData/search_gu-si801200" TargetMode="External" Type="http://schemas.openxmlformats.org/officeDocument/2006/relationships/hyperlink" /><Relationship Id="rId3" Target="http://discuss.jiucaishuo.com/?/invest/showData/search_gu-si801160" TargetMode="External" Type="http://schemas.openxmlformats.org/officeDocument/2006/relationships/hyperlink" /><Relationship Id="rId4" Target="http://discuss.jiucaishuo.com/?/invest/showData/search_gu-si801020" TargetMode="External" Type="http://schemas.openxmlformats.org/officeDocument/2006/relationships/hyperlink" /><Relationship Id="rId5" Target="http://discuss.jiucaishuo.com/?/invest/showData/search_gu-si801780" TargetMode="External" Type="http://schemas.openxmlformats.org/officeDocument/2006/relationships/hyperlink" /><Relationship Id="rId6" Target="http://discuss.jiucaishuo.com/?/invest/showData/search_gu-si801030" TargetMode="External" Type="http://schemas.openxmlformats.org/officeDocument/2006/relationships/hyperlink" /><Relationship Id="rId7" Target="http://discuss.jiucaishuo.com/?/invest/showData/search_gu-si801730" TargetMode="External" Type="http://schemas.openxmlformats.org/officeDocument/2006/relationships/hyperlink" /><Relationship Id="rId8" Target="http://discuss.jiucaishuo.com/?/invest/showData/search_gu-si801180" TargetMode="External" Type="http://schemas.openxmlformats.org/officeDocument/2006/relationships/hyperlink" /><Relationship Id="rId9" Target="http://discuss.jiucaishuo.com/?/invest/showData/search_gu-si801720" TargetMode="External" Type="http://schemas.openxmlformats.org/officeDocument/2006/relationships/hyperlink" /><Relationship Id="rId10" Target="http://discuss.jiucaishuo.com/?/invest/showData/search_gu-si801230" TargetMode="External" Type="http://schemas.openxmlformats.org/officeDocument/2006/relationships/hyperlink" /><Relationship Id="rId11" Target="http://discuss.jiucaishuo.com/?/invest/showData/search_gu-si801050" TargetMode="External" Type="http://schemas.openxmlformats.org/officeDocument/2006/relationships/hyperlink" /><Relationship Id="rId12" Target="http://discuss.jiucaishuo.com/?/invest/showData/search_gu-si801880" TargetMode="External" Type="http://schemas.openxmlformats.org/officeDocument/2006/relationships/hyperlink" /><Relationship Id="rId13" Target="http://discuss.jiucaishuo.com/?/invest/showData/search_gu-si801130" TargetMode="External" Type="http://schemas.openxmlformats.org/officeDocument/2006/relationships/hyperlink" /><Relationship Id="rId14" Target="http://discuss.jiucaishuo.com/?/invest/showData/search_gu-si801170" TargetMode="External" Type="http://schemas.openxmlformats.org/officeDocument/2006/relationships/hyperlink" /><Relationship Id="rId15" Target="http://discuss.jiucaishuo.com/?/invest/showData/search_gu-si801150" TargetMode="External" Type="http://schemas.openxmlformats.org/officeDocument/2006/relationships/hyperlink" /><Relationship Id="rId16" Target="http://discuss.jiucaishuo.com/?/invest/showData/search_gu-si801890" TargetMode="External" Type="http://schemas.openxmlformats.org/officeDocument/2006/relationships/hyperlink" /><Relationship Id="rId17" Target="http://discuss.jiucaishuo.com/?/invest/showData/search_gu-si801710" TargetMode="External" Type="http://schemas.openxmlformats.org/officeDocument/2006/relationships/hyperlink" /><Relationship Id="rId18" Target="http://discuss.jiucaishuo.com/?/invest/showData/search_gu-si801740" TargetMode="External" Type="http://schemas.openxmlformats.org/officeDocument/2006/relationships/hyperlink" /><Relationship Id="rId19" Target="http://discuss.jiucaishuo.com/?/invest/showData/search_gu-si801140" TargetMode="External" Type="http://schemas.openxmlformats.org/officeDocument/2006/relationships/hyperlink" /><Relationship Id="rId20" Target="http://discuss.jiucaishuo.com/?/invest/showData/search_gu-si801210" TargetMode="External" Type="http://schemas.openxmlformats.org/officeDocument/2006/relationships/hyperlink" /><Relationship Id="rId21" Target="http://discuss.jiucaishuo.com/?/invest/showData/search_gu-si801790" TargetMode="External" Type="http://schemas.openxmlformats.org/officeDocument/2006/relationships/hyperlink" /><Relationship Id="rId22" Target="http://discuss.jiucaishuo.com/?/invest/showData/search_gu-si801040" TargetMode="External" Type="http://schemas.openxmlformats.org/officeDocument/2006/relationships/hyperlink" /><Relationship Id="rId23" Target="http://discuss.jiucaishuo.com/?/invest/showData/search_gu-si801080" TargetMode="External" Type="http://schemas.openxmlformats.org/officeDocument/2006/relationships/hyperlink" /><Relationship Id="rId24" Target="http://discuss.jiucaishuo.com/?/invest/showData/search_gu-si801750" TargetMode="External" Type="http://schemas.openxmlformats.org/officeDocument/2006/relationships/hyperlink" /><Relationship Id="rId25" Target="http://discuss.jiucaishuo.com/?/invest/showData/search_gu-si801010" TargetMode="External" Type="http://schemas.openxmlformats.org/officeDocument/2006/relationships/hyperlink" /><Relationship Id="rId26" Target="http://discuss.jiucaishuo.com/?/invest/showData/search_gu-si801110" TargetMode="External" Type="http://schemas.openxmlformats.org/officeDocument/2006/relationships/hyperlink" /><Relationship Id="rId27" Target="http://discuss.jiucaishuo.com/?/invest/showData/search_gu-si801770" TargetMode="External" Type="http://schemas.openxmlformats.org/officeDocument/2006/relationships/hyperlink" /><Relationship Id="rId28" Target="http://discuss.jiucaishuo.com/?/invest/showData/search_gu-si801120" TargetMode="External" Type="http://schemas.openxmlformats.org/officeDocument/2006/relationships/hyperlink" /></Relationships>
</file>

<file path=xl/worksheets/_rels/sheet7.xml.rels><Relationships xmlns="http://schemas.openxmlformats.org/package/2006/relationships"><Relationship Id="rId1" Target="http://discuss.jiucaishuo.com/?/invest/showData/search_gu-si801761" TargetMode="External" Type="http://schemas.openxmlformats.org/officeDocument/2006/relationships/hyperlink" /><Relationship Id="rId2" Target="http://discuss.jiucaishuo.com/?/invest/showData/search_gu-si801752" TargetMode="External" Type="http://schemas.openxmlformats.org/officeDocument/2006/relationships/hyperlink" /><Relationship Id="rId3" Target="http://discuss.jiucaishuo.com/?/invest/showData/search_gu-si801751" TargetMode="External" Type="http://schemas.openxmlformats.org/officeDocument/2006/relationships/hyperlink" /><Relationship Id="rId4" Target="http://discuss.jiucaishuo.com/?/invest/showData/search_gu-si801085" TargetMode="External" Type="http://schemas.openxmlformats.org/officeDocument/2006/relationships/hyperlink" /><Relationship Id="rId5" Target="http://discuss.jiucaishuo.com/?/invest/showData/search_gu-si801084" TargetMode="External" Type="http://schemas.openxmlformats.org/officeDocument/2006/relationships/hyperlink" /><Relationship Id="rId6" Target="http://discuss.jiucaishuo.com/?/invest/showData/search_gu-si801083" TargetMode="External" Type="http://schemas.openxmlformats.org/officeDocument/2006/relationships/hyperlink" /><Relationship Id="rId7" Target="http://discuss.jiucaishuo.com/?/invest/showData/search_gu-si801082" TargetMode="External" Type="http://schemas.openxmlformats.org/officeDocument/2006/relationships/hyperlink" /><Relationship Id="rId8" Target="http://discuss.jiucaishuo.com/?/invest/showData/search_gu-si801081" TargetMode="External" Type="http://schemas.openxmlformats.org/officeDocument/2006/relationships/hyperlink" /><Relationship Id="rId9" Target="http://discuss.jiucaishuo.com/?/invest/showData/search_gu-si801222" TargetMode="External" Type="http://schemas.openxmlformats.org/officeDocument/2006/relationships/hyperlink" /><Relationship Id="rId10" Target="http://discuss.jiucaishuo.com/?/invest/showData/search_gu-si801101" TargetMode="External" Type="http://schemas.openxmlformats.org/officeDocument/2006/relationships/hyperlink" /><Relationship Id="rId11" Target="http://discuss.jiucaishuo.com/?/invest/showData/search_gu-si801223" TargetMode="External" Type="http://schemas.openxmlformats.org/officeDocument/2006/relationships/hyperlink" /><Relationship Id="rId12" Target="http://discuss.jiucaishuo.com/?/invest/showData/search_gu-si801102" TargetMode="External" Type="http://schemas.openxmlformats.org/officeDocument/2006/relationships/hyperlink" /><Relationship Id="rId13" Target="http://discuss.jiucaishuo.com/?/invest/showData/search_gu-si801881" TargetMode="External" Type="http://schemas.openxmlformats.org/officeDocument/2006/relationships/hyperlink" /><Relationship Id="rId14" Target="http://discuss.jiucaishuo.com/?/invest/showData/search_gu-si801172" TargetMode="External" Type="http://schemas.openxmlformats.org/officeDocument/2006/relationships/hyperlink" /><Relationship Id="rId15" Target="http://discuss.jiucaishuo.com/?/invest/showData/search_gu-si801174" TargetMode="External" Type="http://schemas.openxmlformats.org/officeDocument/2006/relationships/hyperlink" /><Relationship Id="rId16" Target="http://discuss.jiucaishuo.com/?/invest/showData/search_gu-si801171" TargetMode="External" Type="http://schemas.openxmlformats.org/officeDocument/2006/relationships/hyperlink" /><Relationship Id="rId17" Target="http://discuss.jiucaishuo.com/?/invest/showData/search_gu-si801178" TargetMode="External" Type="http://schemas.openxmlformats.org/officeDocument/2006/relationships/hyperlink" /><Relationship Id="rId18" Target="http://discuss.jiucaishuo.com/?/invest/showData/search_gu-si801173" TargetMode="External" Type="http://schemas.openxmlformats.org/officeDocument/2006/relationships/hyperlink" /><Relationship Id="rId19" Target="http://discuss.jiucaishuo.com/?/invest/showData/search_gu-si801176" TargetMode="External" Type="http://schemas.openxmlformats.org/officeDocument/2006/relationships/hyperlink" /><Relationship Id="rId20" Target="http://discuss.jiucaishuo.com/?/invest/showData/search_gu-si801076" TargetMode="External" Type="http://schemas.openxmlformats.org/officeDocument/2006/relationships/hyperlink" /><Relationship Id="rId21" Target="http://discuss.jiucaishuo.com/?/invest/showData/search_gu-si801177" TargetMode="External" Type="http://schemas.openxmlformats.org/officeDocument/2006/relationships/hyperlink" /><Relationship Id="rId22" Target="http://discuss.jiucaishuo.com/?/invest/showData/search_gu-si801175" TargetMode="External" Type="http://schemas.openxmlformats.org/officeDocument/2006/relationships/hyperlink" /><Relationship Id="rId23" Target="http://discuss.jiucaishuo.com/?/invest/showData/search_gu-si801743" TargetMode="External" Type="http://schemas.openxmlformats.org/officeDocument/2006/relationships/hyperlink" /><Relationship Id="rId24" Target="http://discuss.jiucaishuo.com/?/invest/showData/search_gu-si801742" TargetMode="External" Type="http://schemas.openxmlformats.org/officeDocument/2006/relationships/hyperlink" /><Relationship Id="rId25" Target="http://discuss.jiucaishuo.com/?/invest/showData/search_gu-si801741" TargetMode="External" Type="http://schemas.openxmlformats.org/officeDocument/2006/relationships/hyperlink" /><Relationship Id="rId26" Target="http://discuss.jiucaishuo.com/?/invest/showData/search_gu-si801744" TargetMode="External" Type="http://schemas.openxmlformats.org/officeDocument/2006/relationships/hyperlink" /><Relationship Id="rId27" Target="http://discuss.jiucaishuo.com/?/invest/showData/search_gu-si801155" TargetMode="External" Type="http://schemas.openxmlformats.org/officeDocument/2006/relationships/hyperlink" /><Relationship Id="rId28" Target="http://discuss.jiucaishuo.com/?/invest/showData/search_gu-si801156" TargetMode="External" Type="http://schemas.openxmlformats.org/officeDocument/2006/relationships/hyperlink" /><Relationship Id="rId29" Target="http://discuss.jiucaishuo.com/?/invest/showData/search_gu-si801153" TargetMode="External" Type="http://schemas.openxmlformats.org/officeDocument/2006/relationships/hyperlink" /><Relationship Id="rId30" Target="http://discuss.jiucaishuo.com/?/invest/showData/search_gu-si801154" TargetMode="External" Type="http://schemas.openxmlformats.org/officeDocument/2006/relationships/hyperlink" /><Relationship Id="rId31" Target="http://discuss.jiucaishuo.com/?/invest/showData/search_gu-si801152" TargetMode="External" Type="http://schemas.openxmlformats.org/officeDocument/2006/relationships/hyperlink" /><Relationship Id="rId32" Target="http://discuss.jiucaishuo.com/?/invest/showData/search_gu-si801151" TargetMode="External" Type="http://schemas.openxmlformats.org/officeDocument/2006/relationships/hyperlink" /><Relationship Id="rId33" Target="http://discuss.jiucaishuo.com/?/invest/showData/search_gu-si801182" TargetMode="External" Type="http://schemas.openxmlformats.org/officeDocument/2006/relationships/hyperlink" /><Relationship Id="rId34" Target="http://discuss.jiucaishuo.com/?/invest/showData/search_gu-si801181" TargetMode="External" Type="http://schemas.openxmlformats.org/officeDocument/2006/relationships/hyperlink" /><Relationship Id="rId35" Target="http://discuss.jiucaishuo.com/?/invest/showData/search_gu-si801013" TargetMode="External" Type="http://schemas.openxmlformats.org/officeDocument/2006/relationships/hyperlink" /><Relationship Id="rId36" Target="http://discuss.jiucaishuo.com/?/invest/showData/search_gu-si801012" TargetMode="External" Type="http://schemas.openxmlformats.org/officeDocument/2006/relationships/hyperlink" /><Relationship Id="rId37" Target="http://discuss.jiucaishuo.com/?/invest/showData/search_gu-si801018" TargetMode="External" Type="http://schemas.openxmlformats.org/officeDocument/2006/relationships/hyperlink" /><Relationship Id="rId38" Target="http://discuss.jiucaishuo.com/?/invest/showData/search_gu-si801011" TargetMode="External" Type="http://schemas.openxmlformats.org/officeDocument/2006/relationships/hyperlink" /><Relationship Id="rId39" Target="http://discuss.jiucaishuo.com/?/invest/showData/search_gu-si801015" TargetMode="External" Type="http://schemas.openxmlformats.org/officeDocument/2006/relationships/hyperlink" /><Relationship Id="rId40" Target="http://discuss.jiucaishuo.com/?/invest/showData/search_gu-si801017" TargetMode="External" Type="http://schemas.openxmlformats.org/officeDocument/2006/relationships/hyperlink" /><Relationship Id="rId41" Target="http://discuss.jiucaishuo.com/?/invest/showData/search_gu-si801016" TargetMode="External" Type="http://schemas.openxmlformats.org/officeDocument/2006/relationships/hyperlink" /><Relationship Id="rId42" Target="http://discuss.jiucaishuo.com/?/invest/showData/search_gu-si801014" TargetMode="External" Type="http://schemas.openxmlformats.org/officeDocument/2006/relationships/hyperlink" /><Relationship Id="rId43" Target="http://discuss.jiucaishuo.com/?/invest/showData/search_gu-si801205" TargetMode="External" Type="http://schemas.openxmlformats.org/officeDocument/2006/relationships/hyperlink" /><Relationship Id="rId44" Target="http://discuss.jiucaishuo.com/?/invest/showData/search_gu-si801202" TargetMode="External" Type="http://schemas.openxmlformats.org/officeDocument/2006/relationships/hyperlink" /><Relationship Id="rId45" Target="http://discuss.jiucaishuo.com/?/invest/showData/search_gu-si801112" TargetMode="External" Type="http://schemas.openxmlformats.org/officeDocument/2006/relationships/hyperlink" /><Relationship Id="rId46" Target="http://discuss.jiucaishuo.com/?/invest/showData/search_gu-si801111" TargetMode="External" Type="http://schemas.openxmlformats.org/officeDocument/2006/relationships/hyperlink" /><Relationship Id="rId47" Target="http://discuss.jiucaishuo.com/?/invest/showData/search_gu-si801094" TargetMode="External" Type="http://schemas.openxmlformats.org/officeDocument/2006/relationships/hyperlink" /><Relationship Id="rId48" Target="http://discuss.jiucaishuo.com/?/invest/showData/search_gu-si801093" TargetMode="External" Type="http://schemas.openxmlformats.org/officeDocument/2006/relationships/hyperlink" /><Relationship Id="rId49" Target="http://discuss.jiucaishuo.com/?/invest/showData/search_gu-si801092" TargetMode="External" Type="http://schemas.openxmlformats.org/officeDocument/2006/relationships/hyperlink" /><Relationship Id="rId50" Target="http://discuss.jiucaishuo.com/?/invest/showData/search_gu-si801132" TargetMode="External" Type="http://schemas.openxmlformats.org/officeDocument/2006/relationships/hyperlink" /><Relationship Id="rId51" Target="http://discuss.jiucaishuo.com/?/invest/showData/search_gu-si801131" TargetMode="External" Type="http://schemas.openxmlformats.org/officeDocument/2006/relationships/hyperlink" /><Relationship Id="rId52" Target="http://discuss.jiucaishuo.com/?/invest/showData/search_gu-si801123" TargetMode="External" Type="http://schemas.openxmlformats.org/officeDocument/2006/relationships/hyperlink" /><Relationship Id="rId53" Target="http://discuss.jiucaishuo.com/?/invest/showData/search_gu-si801204" TargetMode="External" Type="http://schemas.openxmlformats.org/officeDocument/2006/relationships/hyperlink" /><Relationship Id="rId54" Target="http://discuss.jiucaishuo.com/?/invest/showData/search_gu-si801203" TargetMode="External" Type="http://schemas.openxmlformats.org/officeDocument/2006/relationships/hyperlink" /><Relationship Id="rId55" Target="http://discuss.jiucaishuo.com/?/invest/showData/search_gu-si801124" TargetMode="External" Type="http://schemas.openxmlformats.org/officeDocument/2006/relationships/hyperlink" /><Relationship Id="rId56" Target="http://discuss.jiucaishuo.com/?/invest/showData/search_gu-si801725" TargetMode="External" Type="http://schemas.openxmlformats.org/officeDocument/2006/relationships/hyperlink" /><Relationship Id="rId57" Target="http://discuss.jiucaishuo.com/?/invest/showData/search_gu-si801724" TargetMode="External" Type="http://schemas.openxmlformats.org/officeDocument/2006/relationships/hyperlink" /><Relationship Id="rId58" Target="http://discuss.jiucaishuo.com/?/invest/showData/search_gu-si801723" TargetMode="External" Type="http://schemas.openxmlformats.org/officeDocument/2006/relationships/hyperlink" /><Relationship Id="rId59" Target="http://discuss.jiucaishuo.com/?/invest/showData/search_gu-si801711" TargetMode="External" Type="http://schemas.openxmlformats.org/officeDocument/2006/relationships/hyperlink" /><Relationship Id="rId60" Target="http://discuss.jiucaishuo.com/?/invest/showData/search_gu-si801712" TargetMode="External" Type="http://schemas.openxmlformats.org/officeDocument/2006/relationships/hyperlink" /><Relationship Id="rId61" Target="http://discuss.jiucaishuo.com/?/invest/showData/search_gu-si801713" TargetMode="External" Type="http://schemas.openxmlformats.org/officeDocument/2006/relationships/hyperlink" /><Relationship Id="rId62" Target="http://discuss.jiucaishuo.com/?/invest/showData/search_gu-si801721" TargetMode="External" Type="http://schemas.openxmlformats.org/officeDocument/2006/relationships/hyperlink" /><Relationship Id="rId63" Target="http://discuss.jiucaishuo.com/?/invest/showData/search_gu-si801074" TargetMode="External" Type="http://schemas.openxmlformats.org/officeDocument/2006/relationships/hyperlink" /><Relationship Id="rId64" Target="http://discuss.jiucaishuo.com/?/invest/showData/search_gu-si801072" TargetMode="External" Type="http://schemas.openxmlformats.org/officeDocument/2006/relationships/hyperlink" /><Relationship Id="rId65" Target="http://discuss.jiucaishuo.com/?/invest/showData/search_gu-si801722" TargetMode="External" Type="http://schemas.openxmlformats.org/officeDocument/2006/relationships/hyperlink" /><Relationship Id="rId66" Target="http://discuss.jiucaishuo.com/?/invest/showData/search_gu-si801215" TargetMode="External" Type="http://schemas.openxmlformats.org/officeDocument/2006/relationships/hyperlink" /><Relationship Id="rId67" Target="http://discuss.jiucaishuo.com/?/invest/showData/search_gu-si801214" TargetMode="External" Type="http://schemas.openxmlformats.org/officeDocument/2006/relationships/hyperlink" /><Relationship Id="rId68" Target="http://discuss.jiucaishuo.com/?/invest/showData/search_gu-si801212" TargetMode="External" Type="http://schemas.openxmlformats.org/officeDocument/2006/relationships/hyperlink" /><Relationship Id="rId69" Target="http://discuss.jiucaishuo.com/?/invest/showData/search_gu-si801213" TargetMode="External" Type="http://schemas.openxmlformats.org/officeDocument/2006/relationships/hyperlink" /><Relationship Id="rId70" Target="http://discuss.jiucaishuo.com/?/invest/showData/search_gu-si801211" TargetMode="External" Type="http://schemas.openxmlformats.org/officeDocument/2006/relationships/hyperlink" /><Relationship Id="rId71" Target="http://discuss.jiucaishuo.com/?/invest/showData/search_gu-si801162" TargetMode="External" Type="http://schemas.openxmlformats.org/officeDocument/2006/relationships/hyperlink" /><Relationship Id="rId72" Target="http://discuss.jiucaishuo.com/?/invest/showData/search_gu-si801164" TargetMode="External" Type="http://schemas.openxmlformats.org/officeDocument/2006/relationships/hyperlink" /><Relationship Id="rId73" Target="http://discuss.jiucaishuo.com/?/invest/showData/search_gu-si801163" TargetMode="External" Type="http://schemas.openxmlformats.org/officeDocument/2006/relationships/hyperlink" /><Relationship Id="rId74" Target="http://discuss.jiucaishuo.com/?/invest/showData/search_gu-si801161" TargetMode="External" Type="http://schemas.openxmlformats.org/officeDocument/2006/relationships/hyperlink" /><Relationship Id="rId75" Target="http://discuss.jiucaishuo.com/?/invest/showData/search_gu-si801734" TargetMode="External" Type="http://schemas.openxmlformats.org/officeDocument/2006/relationships/hyperlink" /><Relationship Id="rId76" Target="http://discuss.jiucaishuo.com/?/invest/showData/search_gu-si801733" TargetMode="External" Type="http://schemas.openxmlformats.org/officeDocument/2006/relationships/hyperlink" /><Relationship Id="rId77" Target="http://discuss.jiucaishuo.com/?/invest/showData/search_gu-si801731" TargetMode="External" Type="http://schemas.openxmlformats.org/officeDocument/2006/relationships/hyperlink" /><Relationship Id="rId78" Target="http://discuss.jiucaishuo.com/?/invest/showData/search_gu-si801732" TargetMode="External" Type="http://schemas.openxmlformats.org/officeDocument/2006/relationships/hyperlink" /><Relationship Id="rId79" Target="http://discuss.jiucaishuo.com/?/invest/showData/search_gu-si801231" TargetMode="External" Type="http://schemas.openxmlformats.org/officeDocument/2006/relationships/hyperlink" /><Relationship Id="rId80" Target="http://discuss.jiucaishuo.com/?/invest/showData/search_gu-si801037" TargetMode="External" Type="http://schemas.openxmlformats.org/officeDocument/2006/relationships/hyperlink" /><Relationship Id="rId81" Target="http://discuss.jiucaishuo.com/?/invest/showData/search_gu-si801036" TargetMode="External" Type="http://schemas.openxmlformats.org/officeDocument/2006/relationships/hyperlink" /><Relationship Id="rId82" Target="http://discuss.jiucaishuo.com/?/invest/showData/search_gu-si801035" TargetMode="External" Type="http://schemas.openxmlformats.org/officeDocument/2006/relationships/hyperlink" /><Relationship Id="rId83" Target="http://discuss.jiucaishuo.com/?/invest/showData/search_gu-si801034" TargetMode="External" Type="http://schemas.openxmlformats.org/officeDocument/2006/relationships/hyperlink" /><Relationship Id="rId84" Target="http://discuss.jiucaishuo.com/?/invest/showData/search_gu-si801033" TargetMode="External" Type="http://schemas.openxmlformats.org/officeDocument/2006/relationships/hyperlink" /><Relationship Id="rId85" Target="http://discuss.jiucaishuo.com/?/invest/showData/search_gu-si801032" TargetMode="External" Type="http://schemas.openxmlformats.org/officeDocument/2006/relationships/hyperlink" /><Relationship Id="rId86" Target="http://discuss.jiucaishuo.com/?/invest/showData/search_gu-si801055" TargetMode="External" Type="http://schemas.openxmlformats.org/officeDocument/2006/relationships/hyperlink" /><Relationship Id="rId87" Target="http://discuss.jiucaishuo.com/?/invest/showData/search_gu-si801054" TargetMode="External" Type="http://schemas.openxmlformats.org/officeDocument/2006/relationships/hyperlink" /><Relationship Id="rId88" Target="http://discuss.jiucaishuo.com/?/invest/showData/search_gu-si801053" TargetMode="External" Type="http://schemas.openxmlformats.org/officeDocument/2006/relationships/hyperlink" /><Relationship Id="rId89" Target="http://discuss.jiucaishuo.com/?/invest/showData/search_gu-si801051" TargetMode="External" Type="http://schemas.openxmlformats.org/officeDocument/2006/relationships/hyperlink" /><Relationship Id="rId90" Target="http://discuss.jiucaishuo.com/?/invest/showData/search_gu-si801021" TargetMode="External" Type="http://schemas.openxmlformats.org/officeDocument/2006/relationships/hyperlink" /><Relationship Id="rId91" Target="http://discuss.jiucaishuo.com/?/invest/showData/search_gu-si801023" TargetMode="External" Type="http://schemas.openxmlformats.org/officeDocument/2006/relationships/hyperlink" /><Relationship Id="rId92" Target="http://discuss.jiucaishuo.com/?/invest/showData/search_gu-si801024" TargetMode="External" Type="http://schemas.openxmlformats.org/officeDocument/2006/relationships/hyperlink" /><Relationship Id="rId93" Target="http://discuss.jiucaishuo.com/?/invest/showData/search_gu-si801075" TargetMode="External" Type="http://schemas.openxmlformats.org/officeDocument/2006/relationships/hyperlink" /><Relationship Id="rId94" Target="http://discuss.jiucaishuo.com/?/invest/showData/search_gu-si801041" TargetMode="External" Type="http://schemas.openxmlformats.org/officeDocument/2006/relationships/hyperlink" /><Relationship Id="rId95" Target="http://discuss.jiucaishuo.com/?/invest/showData/search_gu-si801022" TargetMode="External" Type="http://schemas.openxmlformats.org/officeDocument/2006/relationships/hyperlink" /><Relationship Id="rId96" Target="http://discuss.jiucaishuo.com/?/invest/showData/search_gu-si801144" TargetMode="External" Type="http://schemas.openxmlformats.org/officeDocument/2006/relationships/hyperlink" /><Relationship Id="rId97" Target="http://discuss.jiucaishuo.com/?/invest/showData/search_gu-si801141" TargetMode="External" Type="http://schemas.openxmlformats.org/officeDocument/2006/relationships/hyperlink" /><Relationship Id="rId98" Target="http://discuss.jiucaishuo.com/?/invest/showData/search_gu-si801142" TargetMode="External" Type="http://schemas.openxmlformats.org/officeDocument/2006/relationships/hyperlink" /><Relationship Id="rId99" Target="http://discuss.jiucaishuo.com/?/invest/showData/search_gu-si801143" TargetMode="External" Type="http://schemas.openxmlformats.org/officeDocument/2006/relationships/hyperlink" /><Relationship Id="rId100" Target="http://discuss.jiucaishuo.com/?/invest/showData/search_gu-si801194" TargetMode="External" Type="http://schemas.openxmlformats.org/officeDocument/2006/relationships/hyperlink" /><Relationship Id="rId101" Target="http://discuss.jiucaishuo.com/?/invest/showData/search_gu-si801193" TargetMode="External" Type="http://schemas.openxmlformats.org/officeDocument/2006/relationships/hyperlink" /><Relationship Id="rId102" Target="http://discuss.jiucaishuo.com/?/invest/showData/search_gu-si801192" TargetMode="External" Type="http://schemas.openxmlformats.org/officeDocument/2006/relationships/hyperlink" /><Relationship Id="rId103" Target="http://discuss.jiucaishuo.com/?/invest/showData/search_gu-si801191" TargetMode="External" Type="http://schemas.openxmlformats.org/officeDocument/2006/relationships/hyperlink" /><Relationship Id="rId104" Target="http://discuss.jiucaishuo.com/?/invest/showData/search_gu-si801073" TargetMode="External" Type="http://schemas.openxmlformats.org/officeDocument/2006/relationships/hyperlink" /></Relationships>
</file>

<file path=xl/worksheets/_rels/sheet8.xml.rels><Relationships xmlns="http://schemas.openxmlformats.org/package/2006/relationships"><Relationship Id="rId1" Target="http://discuss.jiucaishuo.com/?/invest/showData/search_gu-si801010" TargetMode="External" Type="http://schemas.openxmlformats.org/officeDocument/2006/relationships/hyperlink" /><Relationship Id="rId2" Target="http://discuss.jiucaishuo.com/?/invest/showData/search_gu-si801020" TargetMode="External" Type="http://schemas.openxmlformats.org/officeDocument/2006/relationships/hyperlink" /><Relationship Id="rId3" Target="http://discuss.jiucaishuo.com/?/invest/showData/search_gu-si801030" TargetMode="External" Type="http://schemas.openxmlformats.org/officeDocument/2006/relationships/hyperlink" /><Relationship Id="rId4" Target="http://discuss.jiucaishuo.com/?/invest/showData/search_gu-si801040" TargetMode="External" Type="http://schemas.openxmlformats.org/officeDocument/2006/relationships/hyperlink" /><Relationship Id="rId5" Target="http://discuss.jiucaishuo.com/?/invest/showData/search_gu-si801050" TargetMode="External" Type="http://schemas.openxmlformats.org/officeDocument/2006/relationships/hyperlink" /><Relationship Id="rId6" Target="http://discuss.jiucaishuo.com/?/invest/showData/search_gu-si801080" TargetMode="External" Type="http://schemas.openxmlformats.org/officeDocument/2006/relationships/hyperlink" /><Relationship Id="rId7" Target="http://discuss.jiucaishuo.com/?/invest/showData/search_gu-si801110" TargetMode="External" Type="http://schemas.openxmlformats.org/officeDocument/2006/relationships/hyperlink" /><Relationship Id="rId8" Target="http://discuss.jiucaishuo.com/?/invest/showData/search_gu-si801120" TargetMode="External" Type="http://schemas.openxmlformats.org/officeDocument/2006/relationships/hyperlink" /><Relationship Id="rId9" Target="http://discuss.jiucaishuo.com/?/invest/showData/search_gu-si801130" TargetMode="External" Type="http://schemas.openxmlformats.org/officeDocument/2006/relationships/hyperlink" /><Relationship Id="rId10" Target="http://discuss.jiucaishuo.com/?/invest/showData/search_gu-si801140" TargetMode="External" Type="http://schemas.openxmlformats.org/officeDocument/2006/relationships/hyperlink" /><Relationship Id="rId11" Target="http://discuss.jiucaishuo.com/?/invest/showData/search_gu-si801150" TargetMode="External" Type="http://schemas.openxmlformats.org/officeDocument/2006/relationships/hyperlink" /><Relationship Id="rId12" Target="http://discuss.jiucaishuo.com/?/invest/showData/search_gu-si801160" TargetMode="External" Type="http://schemas.openxmlformats.org/officeDocument/2006/relationships/hyperlink" /><Relationship Id="rId13" Target="http://discuss.jiucaishuo.com/?/invest/showData/search_gu-si801170" TargetMode="External" Type="http://schemas.openxmlformats.org/officeDocument/2006/relationships/hyperlink" /><Relationship Id="rId14" Target="http://discuss.jiucaishuo.com/?/invest/showData/search_gu-si801180" TargetMode="External" Type="http://schemas.openxmlformats.org/officeDocument/2006/relationships/hyperlink" /><Relationship Id="rId15" Target="http://discuss.jiucaishuo.com/?/invest/showData/search_gu-si801200" TargetMode="External" Type="http://schemas.openxmlformats.org/officeDocument/2006/relationships/hyperlink" /><Relationship Id="rId16" Target="http://discuss.jiucaishuo.com/?/invest/showData/search_gu-si801210" TargetMode="External" Type="http://schemas.openxmlformats.org/officeDocument/2006/relationships/hyperlink" /><Relationship Id="rId17" Target="http://discuss.jiucaishuo.com/?/invest/showData/search_gu-si801230" TargetMode="External" Type="http://schemas.openxmlformats.org/officeDocument/2006/relationships/hyperlink" /><Relationship Id="rId18" Target="http://discuss.jiucaishuo.com/?/invest/showData/search_gu-si801710" TargetMode="External" Type="http://schemas.openxmlformats.org/officeDocument/2006/relationships/hyperlink" /><Relationship Id="rId19" Target="http://discuss.jiucaishuo.com/?/invest/showData/search_gu-si801720" TargetMode="External" Type="http://schemas.openxmlformats.org/officeDocument/2006/relationships/hyperlink" /><Relationship Id="rId20" Target="http://discuss.jiucaishuo.com/?/invest/showData/search_gu-si801730" TargetMode="External" Type="http://schemas.openxmlformats.org/officeDocument/2006/relationships/hyperlink" /><Relationship Id="rId21" Target="http://discuss.jiucaishuo.com/?/invest/showData/search_gu-si801740" TargetMode="External" Type="http://schemas.openxmlformats.org/officeDocument/2006/relationships/hyperlink" /><Relationship Id="rId22" Target="http://discuss.jiucaishuo.com/?/invest/showData/search_gu-si801750" TargetMode="External" Type="http://schemas.openxmlformats.org/officeDocument/2006/relationships/hyperlink" /><Relationship Id="rId23" Target="http://discuss.jiucaishuo.com/?/invest/showData/search_gu-si801760" TargetMode="External" Type="http://schemas.openxmlformats.org/officeDocument/2006/relationships/hyperlink" /><Relationship Id="rId24" Target="http://discuss.jiucaishuo.com/?/invest/showData/search_gu-si801770" TargetMode="External" Type="http://schemas.openxmlformats.org/officeDocument/2006/relationships/hyperlink" /><Relationship Id="rId25" Target="http://discuss.jiucaishuo.com/?/invest/showData/search_gu-si801780" TargetMode="External" Type="http://schemas.openxmlformats.org/officeDocument/2006/relationships/hyperlink" /><Relationship Id="rId26" Target="http://discuss.jiucaishuo.com/?/invest/showData/search_gu-si801790" TargetMode="External" Type="http://schemas.openxmlformats.org/officeDocument/2006/relationships/hyperlink" /><Relationship Id="rId27" Target="http://discuss.jiucaishuo.com/?/invest/showData/search_gu-si801880" TargetMode="External" Type="http://schemas.openxmlformats.org/officeDocument/2006/relationships/hyperlink" /><Relationship Id="rId28" Target="http://discuss.jiucaishuo.com/?/invest/showData/search_gu-si801890" TargetMode="External" Type="http://schemas.openxmlformats.org/officeDocument/2006/relationships/hyperlink" /></Relationships>
</file>

<file path=xl/worksheets/_rels/sheet12.xml.rels><Relationships xmlns="http://schemas.openxmlformats.org/package/2006/relationships"><Relationship Id="rId1" Target="http://fund.eastmoney.com/Company/80041198.html" TargetMode="External" Type="http://schemas.openxmlformats.org/officeDocument/2006/relationships/hyperlink" /><Relationship Id="rId2" Target="http://fund.eastmoney.com/Company/80041198.html" TargetMode="External" Type="http://schemas.openxmlformats.org/officeDocument/2006/relationships/hyperlink" /><Relationship Id="rId3" Target="http://fund.eastmoney.com/Company/f10/jjjl_80041198.html" TargetMode="External" Type="http://schemas.openxmlformats.org/officeDocument/2006/relationships/hyperlink" /><Relationship Id="rId4" Target="http://fund.eastmoney.com/Company/80000229.html" TargetMode="External" Type="http://schemas.openxmlformats.org/officeDocument/2006/relationships/hyperlink" /><Relationship Id="rId5" Target="http://fund.eastmoney.com/Company/80000229.html" TargetMode="External" Type="http://schemas.openxmlformats.org/officeDocument/2006/relationships/hyperlink" /><Relationship Id="rId6" Target="http://fund.eastmoney.com/Company/f10/jjjl_80000229.html" TargetMode="External" Type="http://schemas.openxmlformats.org/officeDocument/2006/relationships/hyperlink" /><Relationship Id="rId7" Target="http://fund.eastmoney.com/Company/80065990.html" TargetMode="External" Type="http://schemas.openxmlformats.org/officeDocument/2006/relationships/hyperlink" /><Relationship Id="rId8" Target="http://fund.eastmoney.com/Company/80065990.html" TargetMode="External" Type="http://schemas.openxmlformats.org/officeDocument/2006/relationships/hyperlink" /><Relationship Id="rId9" Target="http://fund.eastmoney.com/Company/f10/jjjl_80065990.html" TargetMode="External" Type="http://schemas.openxmlformats.org/officeDocument/2006/relationships/hyperlink" /><Relationship Id="rId10" Target="http://fund.eastmoney.com/Company/80064225.html" TargetMode="External" Type="http://schemas.openxmlformats.org/officeDocument/2006/relationships/hyperlink" /><Relationship Id="rId11" Target="http://fund.eastmoney.com/Company/80064225.html" TargetMode="External" Type="http://schemas.openxmlformats.org/officeDocument/2006/relationships/hyperlink" /><Relationship Id="rId12" Target="http://fund.eastmoney.com/Company/f10/jjjl_80064225.html" TargetMode="External" Type="http://schemas.openxmlformats.org/officeDocument/2006/relationships/hyperlink" /><Relationship Id="rId13" Target="http://fund.eastmoney.com/Company/80000226.html" TargetMode="External" Type="http://schemas.openxmlformats.org/officeDocument/2006/relationships/hyperlink" /><Relationship Id="rId14" Target="http://fund.eastmoney.com/Company/80000226.html" TargetMode="External" Type="http://schemas.openxmlformats.org/officeDocument/2006/relationships/hyperlink" /><Relationship Id="rId15" Target="http://fund.eastmoney.com/Company/f10/jjjl_80000226.html" TargetMode="External" Type="http://schemas.openxmlformats.org/officeDocument/2006/relationships/hyperlink" /><Relationship Id="rId16" Target="http://fund.eastmoney.com/Company/80000220.html" TargetMode="External" Type="http://schemas.openxmlformats.org/officeDocument/2006/relationships/hyperlink" /><Relationship Id="rId17" Target="http://fund.eastmoney.com/Company/80000220.html" TargetMode="External" Type="http://schemas.openxmlformats.org/officeDocument/2006/relationships/hyperlink" /><Relationship Id="rId18" Target="http://fund.eastmoney.com/Company/f10/jjjl_80000220.html" TargetMode="External" Type="http://schemas.openxmlformats.org/officeDocument/2006/relationships/hyperlink" /><Relationship Id="rId19" Target="http://fund.eastmoney.com/Company/80053708.html" TargetMode="External" Type="http://schemas.openxmlformats.org/officeDocument/2006/relationships/hyperlink" /><Relationship Id="rId20" Target="http://fund.eastmoney.com/Company/80053708.html" TargetMode="External" Type="http://schemas.openxmlformats.org/officeDocument/2006/relationships/hyperlink" /><Relationship Id="rId21" Target="http://fund.eastmoney.com/Company/f10/jjjl_80053708.html" TargetMode="External" Type="http://schemas.openxmlformats.org/officeDocument/2006/relationships/hyperlink" /><Relationship Id="rId22" Target="http://fund.eastmoney.com/Company/80000248.html" TargetMode="External" Type="http://schemas.openxmlformats.org/officeDocument/2006/relationships/hyperlink" /><Relationship Id="rId23" Target="http://fund.eastmoney.com/Company/80000248.html" TargetMode="External" Type="http://schemas.openxmlformats.org/officeDocument/2006/relationships/hyperlink" /><Relationship Id="rId24" Target="http://fund.eastmoney.com/Company/f10/jjjl_80000248.html" TargetMode="External" Type="http://schemas.openxmlformats.org/officeDocument/2006/relationships/hyperlink" /><Relationship Id="rId25" Target="http://fund.eastmoney.com/Company/80048752.html" TargetMode="External" Type="http://schemas.openxmlformats.org/officeDocument/2006/relationships/hyperlink" /><Relationship Id="rId26" Target="http://fund.eastmoney.com/Company/80048752.html" TargetMode="External" Type="http://schemas.openxmlformats.org/officeDocument/2006/relationships/hyperlink" /><Relationship Id="rId27" Target="http://fund.eastmoney.com/Company/f10/jjjl_80048752.html" TargetMode="External" Type="http://schemas.openxmlformats.org/officeDocument/2006/relationships/hyperlink" /><Relationship Id="rId28" Target="http://fund.eastmoney.com/Company/80000222.html" TargetMode="External" Type="http://schemas.openxmlformats.org/officeDocument/2006/relationships/hyperlink" /><Relationship Id="rId29" Target="http://fund.eastmoney.com/Company/80000222.html" TargetMode="External" Type="http://schemas.openxmlformats.org/officeDocument/2006/relationships/hyperlink" /><Relationship Id="rId30" Target="http://fund.eastmoney.com/Company/f10/jjjl_80000222.html" TargetMode="External" Type="http://schemas.openxmlformats.org/officeDocument/2006/relationships/hyperlink" /><Relationship Id="rId31" Target="http://fund.eastmoney.com/Company/80000223.html" TargetMode="External" Type="http://schemas.openxmlformats.org/officeDocument/2006/relationships/hyperlink" /><Relationship Id="rId32" Target="http://fund.eastmoney.com/Company/80000223.html" TargetMode="External" Type="http://schemas.openxmlformats.org/officeDocument/2006/relationships/hyperlink" /><Relationship Id="rId33" Target="http://fund.eastmoney.com/Company/f10/jjjl_80000223.html" TargetMode="External" Type="http://schemas.openxmlformats.org/officeDocument/2006/relationships/hyperlink" /><Relationship Id="rId34" Target="http://fund.eastmoney.com/Company/80036782.html" TargetMode="External" Type="http://schemas.openxmlformats.org/officeDocument/2006/relationships/hyperlink" /><Relationship Id="rId35" Target="http://fund.eastmoney.com/Company/80036782.html" TargetMode="External" Type="http://schemas.openxmlformats.org/officeDocument/2006/relationships/hyperlink" /><Relationship Id="rId36" Target="http://fund.eastmoney.com/Company/f10/jjjl_80036782.html" TargetMode="External" Type="http://schemas.openxmlformats.org/officeDocument/2006/relationships/hyperlink" /><Relationship Id="rId37" Target="http://fund.eastmoney.com/Company/80000230.html" TargetMode="External" Type="http://schemas.openxmlformats.org/officeDocument/2006/relationships/hyperlink" /><Relationship Id="rId38" Target="http://fund.eastmoney.com/Company/80000230.html" TargetMode="External" Type="http://schemas.openxmlformats.org/officeDocument/2006/relationships/hyperlink" /><Relationship Id="rId39" Target="http://fund.eastmoney.com/Company/f10/jjjl_80000230.html" TargetMode="External" Type="http://schemas.openxmlformats.org/officeDocument/2006/relationships/hyperlink" /><Relationship Id="rId40" Target="http://fund.eastmoney.com/Company/80000228.html" TargetMode="External" Type="http://schemas.openxmlformats.org/officeDocument/2006/relationships/hyperlink" /><Relationship Id="rId41" Target="http://fund.eastmoney.com/Company/80000228.html" TargetMode="External" Type="http://schemas.openxmlformats.org/officeDocument/2006/relationships/hyperlink" /><Relationship Id="rId42" Target="http://fund.eastmoney.com/Company/f10/jjjl_80000228.html" TargetMode="External" Type="http://schemas.openxmlformats.org/officeDocument/2006/relationships/hyperlink" /><Relationship Id="rId43" Target="http://fund.eastmoney.com/Company/80168726.html" TargetMode="External" Type="http://schemas.openxmlformats.org/officeDocument/2006/relationships/hyperlink" /><Relationship Id="rId44" Target="http://fund.eastmoney.com/Company/80168726.html" TargetMode="External" Type="http://schemas.openxmlformats.org/officeDocument/2006/relationships/hyperlink" /><Relationship Id="rId45" Target="http://fund.eastmoney.com/Company/f10/jjjl_80168726.html" TargetMode="External" Type="http://schemas.openxmlformats.org/officeDocument/2006/relationships/hyperlink" /><Relationship Id="rId46" Target="http://fund.eastmoney.com/Company/80000235.html" TargetMode="External" Type="http://schemas.openxmlformats.org/officeDocument/2006/relationships/hyperlink" /><Relationship Id="rId47" Target="http://fund.eastmoney.com/Company/80000235.html" TargetMode="External" Type="http://schemas.openxmlformats.org/officeDocument/2006/relationships/hyperlink" /><Relationship Id="rId48" Target="http://fund.eastmoney.com/Company/f10/jjjl_80000235.html" TargetMode="External" Type="http://schemas.openxmlformats.org/officeDocument/2006/relationships/hyperlink" /><Relationship Id="rId49" Target="http://fund.eastmoney.com/Company/80092233.html" TargetMode="External" Type="http://schemas.openxmlformats.org/officeDocument/2006/relationships/hyperlink" /><Relationship Id="rId50" Target="http://fund.eastmoney.com/Company/80092233.html" TargetMode="External" Type="http://schemas.openxmlformats.org/officeDocument/2006/relationships/hyperlink" /><Relationship Id="rId51" Target="http://fund.eastmoney.com/Company/f10/jjjl_80092233.html" TargetMode="External" Type="http://schemas.openxmlformats.org/officeDocument/2006/relationships/hyperlink" /><Relationship Id="rId52" Target="http://fund.eastmoney.com/Company/80000221.html" TargetMode="External" Type="http://schemas.openxmlformats.org/officeDocument/2006/relationships/hyperlink" /><Relationship Id="rId53" Target="http://fund.eastmoney.com/Company/80000221.html" TargetMode="External" Type="http://schemas.openxmlformats.org/officeDocument/2006/relationships/hyperlink" /><Relationship Id="rId54" Target="http://fund.eastmoney.com/Company/f10/jjjl_80000221.html" TargetMode="External" Type="http://schemas.openxmlformats.org/officeDocument/2006/relationships/hyperlink" /><Relationship Id="rId55" Target="http://fund.eastmoney.com/Company/80000250.html" TargetMode="External" Type="http://schemas.openxmlformats.org/officeDocument/2006/relationships/hyperlink" /><Relationship Id="rId56" Target="http://fund.eastmoney.com/Company/80000250.html" TargetMode="External" Type="http://schemas.openxmlformats.org/officeDocument/2006/relationships/hyperlink" /><Relationship Id="rId57" Target="http://fund.eastmoney.com/Company/f10/jjjl_80000250.html" TargetMode="External" Type="http://schemas.openxmlformats.org/officeDocument/2006/relationships/hyperlink" /><Relationship Id="rId58" Target="http://fund.eastmoney.com/Company/80036742.html" TargetMode="External" Type="http://schemas.openxmlformats.org/officeDocument/2006/relationships/hyperlink" /><Relationship Id="rId59" Target="http://fund.eastmoney.com/Company/80036742.html" TargetMode="External" Type="http://schemas.openxmlformats.org/officeDocument/2006/relationships/hyperlink" /><Relationship Id="rId60" Target="http://fund.eastmoney.com/Company/f10/jjjl_80036742.html" TargetMode="External" Type="http://schemas.openxmlformats.org/officeDocument/2006/relationships/hyperlink" /><Relationship Id="rId61" Target="http://fund.eastmoney.com/Company/80280395.html" TargetMode="External" Type="http://schemas.openxmlformats.org/officeDocument/2006/relationships/hyperlink" /><Relationship Id="rId62" Target="http://fund.eastmoney.com/Company/80280395.html" TargetMode="External" Type="http://schemas.openxmlformats.org/officeDocument/2006/relationships/hyperlink" /><Relationship Id="rId63" Target="http://fund.eastmoney.com/Company/f10/jjjl_80280395.html" TargetMode="External" Type="http://schemas.openxmlformats.org/officeDocument/2006/relationships/hyperlink" /><Relationship Id="rId64" Target="http://fund.eastmoney.com/Company/80000224.html" TargetMode="External" Type="http://schemas.openxmlformats.org/officeDocument/2006/relationships/hyperlink" /><Relationship Id="rId65" Target="http://fund.eastmoney.com/Company/80000224.html" TargetMode="External" Type="http://schemas.openxmlformats.org/officeDocument/2006/relationships/hyperlink" /><Relationship Id="rId66" Target="http://fund.eastmoney.com/Company/f10/jjjl_80000224.html" TargetMode="External" Type="http://schemas.openxmlformats.org/officeDocument/2006/relationships/hyperlink" /><Relationship Id="rId67" Target="http://fund.eastmoney.com/Company/80065113.html" TargetMode="External" Type="http://schemas.openxmlformats.org/officeDocument/2006/relationships/hyperlink" /><Relationship Id="rId68" Target="http://fund.eastmoney.com/Company/80065113.html" TargetMode="External" Type="http://schemas.openxmlformats.org/officeDocument/2006/relationships/hyperlink" /><Relationship Id="rId69" Target="http://fund.eastmoney.com/Company/f10/jjjl_80065113.html" TargetMode="External" Type="http://schemas.openxmlformats.org/officeDocument/2006/relationships/hyperlink" /><Relationship Id="rId70" Target="http://fund.eastmoney.com/Company/80064562.html" TargetMode="External" Type="http://schemas.openxmlformats.org/officeDocument/2006/relationships/hyperlink" /><Relationship Id="rId71" Target="http://fund.eastmoney.com/Company/80064562.html" TargetMode="External" Type="http://schemas.openxmlformats.org/officeDocument/2006/relationships/hyperlink" /><Relationship Id="rId72" Target="http://fund.eastmoney.com/Company/f10/jjjl_80064562.html" TargetMode="External" Type="http://schemas.openxmlformats.org/officeDocument/2006/relationships/hyperlink" /><Relationship Id="rId73" Target="http://fund.eastmoney.com/Company/80000225.html" TargetMode="External" Type="http://schemas.openxmlformats.org/officeDocument/2006/relationships/hyperlink" /><Relationship Id="rId74" Target="http://fund.eastmoney.com/Company/80000225.html" TargetMode="External" Type="http://schemas.openxmlformats.org/officeDocument/2006/relationships/hyperlink" /><Relationship Id="rId75" Target="http://fund.eastmoney.com/Company/f10/jjjl_80000225.html" TargetMode="External" Type="http://schemas.openxmlformats.org/officeDocument/2006/relationships/hyperlink" /><Relationship Id="rId76" Target="http://fund.eastmoney.com/Company/80355783.html" TargetMode="External" Type="http://schemas.openxmlformats.org/officeDocument/2006/relationships/hyperlink" /><Relationship Id="rId77" Target="http://fund.eastmoney.com/Company/80355783.html" TargetMode="External" Type="http://schemas.openxmlformats.org/officeDocument/2006/relationships/hyperlink" /><Relationship Id="rId78" Target="http://fund.eastmoney.com/Company/f10/jjjl_80355783.html" TargetMode="External" Type="http://schemas.openxmlformats.org/officeDocument/2006/relationships/hyperlink" /><Relationship Id="rId79" Target="http://fund.eastmoney.com/Company/80106677.html" TargetMode="External" Type="http://schemas.openxmlformats.org/officeDocument/2006/relationships/hyperlink" /><Relationship Id="rId80" Target="http://fund.eastmoney.com/Company/80106677.html" TargetMode="External" Type="http://schemas.openxmlformats.org/officeDocument/2006/relationships/hyperlink" /><Relationship Id="rId81" Target="http://fund.eastmoney.com/Company/f10/jjjl_80106677.html" TargetMode="External" Type="http://schemas.openxmlformats.org/officeDocument/2006/relationships/hyperlink" /><Relationship Id="rId82" Target="http://fund.eastmoney.com/Company/80000251.html" TargetMode="External" Type="http://schemas.openxmlformats.org/officeDocument/2006/relationships/hyperlink" /><Relationship Id="rId83" Target="http://fund.eastmoney.com/Company/80000251.html" TargetMode="External" Type="http://schemas.openxmlformats.org/officeDocument/2006/relationships/hyperlink" /><Relationship Id="rId84" Target="http://fund.eastmoney.com/Company/f10/jjjl_80000251.html" TargetMode="External" Type="http://schemas.openxmlformats.org/officeDocument/2006/relationships/hyperlink" /><Relationship Id="rId85" Target="http://fund.eastmoney.com/Company/80091787.html" TargetMode="External" Type="http://schemas.openxmlformats.org/officeDocument/2006/relationships/hyperlink" /><Relationship Id="rId86" Target="http://fund.eastmoney.com/Company/80091787.html" TargetMode="External" Type="http://schemas.openxmlformats.org/officeDocument/2006/relationships/hyperlink" /><Relationship Id="rId87" Target="http://fund.eastmoney.com/Company/f10/jjjl_80091787.html" TargetMode="External" Type="http://schemas.openxmlformats.org/officeDocument/2006/relationships/hyperlink" /><Relationship Id="rId88" Target="http://fund.eastmoney.com/Company/80048088.html" TargetMode="External" Type="http://schemas.openxmlformats.org/officeDocument/2006/relationships/hyperlink" /><Relationship Id="rId89" Target="http://fund.eastmoney.com/Company/80048088.html" TargetMode="External" Type="http://schemas.openxmlformats.org/officeDocument/2006/relationships/hyperlink" /><Relationship Id="rId90" Target="http://fund.eastmoney.com/Company/f10/jjjl_80048088.html" TargetMode="External" Type="http://schemas.openxmlformats.org/officeDocument/2006/relationships/hyperlink" /><Relationship Id="rId91" Target="http://fund.eastmoney.com/Company/80356155.html" TargetMode="External" Type="http://schemas.openxmlformats.org/officeDocument/2006/relationships/hyperlink" /><Relationship Id="rId92" Target="http://fund.eastmoney.com/Company/80356155.html" TargetMode="External" Type="http://schemas.openxmlformats.org/officeDocument/2006/relationships/hyperlink" /><Relationship Id="rId93" Target="http://fund.eastmoney.com/Company/f10/jjjl_80356155.html" TargetMode="External" Type="http://schemas.openxmlformats.org/officeDocument/2006/relationships/hyperlink" /><Relationship Id="rId94" Target="http://fund.eastmoney.com/Company/80066470.html" TargetMode="External" Type="http://schemas.openxmlformats.org/officeDocument/2006/relationships/hyperlink" /><Relationship Id="rId95" Target="http://fund.eastmoney.com/Company/80066470.html" TargetMode="External" Type="http://schemas.openxmlformats.org/officeDocument/2006/relationships/hyperlink" /><Relationship Id="rId96" Target="http://fund.eastmoney.com/Company/f10/jjjl_80066470.html" TargetMode="External" Type="http://schemas.openxmlformats.org/officeDocument/2006/relationships/hyperlink" /><Relationship Id="rId97" Target="http://fund.eastmoney.com/Company/80050229.html" TargetMode="External" Type="http://schemas.openxmlformats.org/officeDocument/2006/relationships/hyperlink" /><Relationship Id="rId98" Target="http://fund.eastmoney.com/Company/80050229.html" TargetMode="External" Type="http://schemas.openxmlformats.org/officeDocument/2006/relationships/hyperlink" /><Relationship Id="rId99" Target="http://fund.eastmoney.com/Company/f10/jjjl_80050229.html" TargetMode="External" Type="http://schemas.openxmlformats.org/officeDocument/2006/relationships/hyperlink" /><Relationship Id="rId100" Target="http://fund.eastmoney.com/Company/80055334.html" TargetMode="External" Type="http://schemas.openxmlformats.org/officeDocument/2006/relationships/hyperlink" /><Relationship Id="rId101" Target="http://fund.eastmoney.com/Company/80055334.html" TargetMode="External" Type="http://schemas.openxmlformats.org/officeDocument/2006/relationships/hyperlink" /><Relationship Id="rId102" Target="http://fund.eastmoney.com/Company/f10/jjjl_80055334.html" TargetMode="External" Type="http://schemas.openxmlformats.org/officeDocument/2006/relationships/hyperlink" /><Relationship Id="rId103" Target="http://fund.eastmoney.com/Company/80145102.html" TargetMode="External" Type="http://schemas.openxmlformats.org/officeDocument/2006/relationships/hyperlink" /><Relationship Id="rId104" Target="http://fund.eastmoney.com/Company/80145102.html" TargetMode="External" Type="http://schemas.openxmlformats.org/officeDocument/2006/relationships/hyperlink" /><Relationship Id="rId105" Target="http://fund.eastmoney.com/Company/f10/jjjl_80145102.html" TargetMode="External" Type="http://schemas.openxmlformats.org/officeDocument/2006/relationships/hyperlink" /><Relationship Id="rId106" Target="http://fund.eastmoney.com/Company/80049689.html" TargetMode="External" Type="http://schemas.openxmlformats.org/officeDocument/2006/relationships/hyperlink" /><Relationship Id="rId107" Target="http://fund.eastmoney.com/Company/80049689.html" TargetMode="External" Type="http://schemas.openxmlformats.org/officeDocument/2006/relationships/hyperlink" /><Relationship Id="rId108" Target="http://fund.eastmoney.com/Company/f10/jjjl_80049689.html" TargetMode="External" Type="http://schemas.openxmlformats.org/officeDocument/2006/relationships/hyperlink" /><Relationship Id="rId109" Target="http://fund.eastmoney.com/Company/80000246.html" TargetMode="External" Type="http://schemas.openxmlformats.org/officeDocument/2006/relationships/hyperlink" /><Relationship Id="rId110" Target="http://fund.eastmoney.com/Company/80000246.html" TargetMode="External" Type="http://schemas.openxmlformats.org/officeDocument/2006/relationships/hyperlink" /><Relationship Id="rId111" Target="http://fund.eastmoney.com/Company/f10/jjjl_80000246.html" TargetMode="External" Type="http://schemas.openxmlformats.org/officeDocument/2006/relationships/hyperlink" /><Relationship Id="rId112" Target="http://fund.eastmoney.com/Company/80000240.html" TargetMode="External" Type="http://schemas.openxmlformats.org/officeDocument/2006/relationships/hyperlink" /><Relationship Id="rId113" Target="http://fund.eastmoney.com/Company/80000240.html" TargetMode="External" Type="http://schemas.openxmlformats.org/officeDocument/2006/relationships/hyperlink" /><Relationship Id="rId114" Target="http://fund.eastmoney.com/Company/f10/jjjl_80000240.html" TargetMode="External" Type="http://schemas.openxmlformats.org/officeDocument/2006/relationships/hyperlink" /><Relationship Id="rId115" Target="http://fund.eastmoney.com/Company/80000237.html" TargetMode="External" Type="http://schemas.openxmlformats.org/officeDocument/2006/relationships/hyperlink" /><Relationship Id="rId116" Target="http://fund.eastmoney.com/Company/80000237.html" TargetMode="External" Type="http://schemas.openxmlformats.org/officeDocument/2006/relationships/hyperlink" /><Relationship Id="rId117" Target="http://fund.eastmoney.com/Company/f10/jjjl_80000237.html" TargetMode="External" Type="http://schemas.openxmlformats.org/officeDocument/2006/relationships/hyperlink" /><Relationship Id="rId118" Target="http://fund.eastmoney.com/Company/80000231.html" TargetMode="External" Type="http://schemas.openxmlformats.org/officeDocument/2006/relationships/hyperlink" /><Relationship Id="rId119" Target="http://fund.eastmoney.com/Company/80000231.html" TargetMode="External" Type="http://schemas.openxmlformats.org/officeDocument/2006/relationships/hyperlink" /><Relationship Id="rId120" Target="http://fund.eastmoney.com/Company/f10/jjjl_80000231.html" TargetMode="External" Type="http://schemas.openxmlformats.org/officeDocument/2006/relationships/hyperlink" /><Relationship Id="rId121" Target="http://fund.eastmoney.com/Company/80351345.html" TargetMode="External" Type="http://schemas.openxmlformats.org/officeDocument/2006/relationships/hyperlink" /><Relationship Id="rId122" Target="http://fund.eastmoney.com/Company/80351345.html" TargetMode="External" Type="http://schemas.openxmlformats.org/officeDocument/2006/relationships/hyperlink" /><Relationship Id="rId123" Target="http://fund.eastmoney.com/Company/f10/jjjl_80351345.html" TargetMode="External" Type="http://schemas.openxmlformats.org/officeDocument/2006/relationships/hyperlink" /><Relationship Id="rId124" Target="http://fund.eastmoney.com/Company/80341238.html" TargetMode="External" Type="http://schemas.openxmlformats.org/officeDocument/2006/relationships/hyperlink" /><Relationship Id="rId125" Target="http://fund.eastmoney.com/Company/80341238.html" TargetMode="External" Type="http://schemas.openxmlformats.org/officeDocument/2006/relationships/hyperlink" /><Relationship Id="rId126" Target="http://fund.eastmoney.com/Company/f10/jjjl_80341238.html" TargetMode="External" Type="http://schemas.openxmlformats.org/officeDocument/2006/relationships/hyperlink" /><Relationship Id="rId127" Target="http://fund.eastmoney.com/Company/80000239.html" TargetMode="External" Type="http://schemas.openxmlformats.org/officeDocument/2006/relationships/hyperlink" /><Relationship Id="rId128" Target="http://fund.eastmoney.com/Company/80000239.html" TargetMode="External" Type="http://schemas.openxmlformats.org/officeDocument/2006/relationships/hyperlink" /><Relationship Id="rId129" Target="http://fund.eastmoney.com/Company/f10/jjjl_80000239.html" TargetMode="External" Type="http://schemas.openxmlformats.org/officeDocument/2006/relationships/hyperlink" /><Relationship Id="rId130" Target="http://fund.eastmoney.com/Company/80000245.html" TargetMode="External" Type="http://schemas.openxmlformats.org/officeDocument/2006/relationships/hyperlink" /><Relationship Id="rId131" Target="http://fund.eastmoney.com/Company/80000245.html" TargetMode="External" Type="http://schemas.openxmlformats.org/officeDocument/2006/relationships/hyperlink" /><Relationship Id="rId132" Target="http://fund.eastmoney.com/Company/f10/jjjl_80000245.html" TargetMode="External" Type="http://schemas.openxmlformats.org/officeDocument/2006/relationships/hyperlink" /><Relationship Id="rId133" Target="http://fund.eastmoney.com/Company/80366080.html" TargetMode="External" Type="http://schemas.openxmlformats.org/officeDocument/2006/relationships/hyperlink" /><Relationship Id="rId134" Target="http://fund.eastmoney.com/Company/80366080.html" TargetMode="External" Type="http://schemas.openxmlformats.org/officeDocument/2006/relationships/hyperlink" /><Relationship Id="rId135" Target="http://fund.eastmoney.com/Company/f10/jjjl_80366080.html" TargetMode="External" Type="http://schemas.openxmlformats.org/officeDocument/2006/relationships/hyperlink" /><Relationship Id="rId136" Target="http://fund.eastmoney.com/Company/80000233.html" TargetMode="External" Type="http://schemas.openxmlformats.org/officeDocument/2006/relationships/hyperlink" /><Relationship Id="rId137" Target="http://fund.eastmoney.com/Company/80000233.html" TargetMode="External" Type="http://schemas.openxmlformats.org/officeDocument/2006/relationships/hyperlink" /><Relationship Id="rId138" Target="http://fund.eastmoney.com/Company/f10/jjjl_80000233.html" TargetMode="External" Type="http://schemas.openxmlformats.org/officeDocument/2006/relationships/hyperlink" /><Relationship Id="rId139" Target="http://fund.eastmoney.com/Company/80000200.html" TargetMode="External" Type="http://schemas.openxmlformats.org/officeDocument/2006/relationships/hyperlink" /><Relationship Id="rId140" Target="http://fund.eastmoney.com/Company/80000200.html" TargetMode="External" Type="http://schemas.openxmlformats.org/officeDocument/2006/relationships/hyperlink" /><Relationship Id="rId141" Target="http://fund.eastmoney.com/Company/f10/jjjl_80000200.html" TargetMode="External" Type="http://schemas.openxmlformats.org/officeDocument/2006/relationships/hyperlink" /><Relationship Id="rId142" Target="http://fund.eastmoney.com/Company/80280038.html" TargetMode="External" Type="http://schemas.openxmlformats.org/officeDocument/2006/relationships/hyperlink" /><Relationship Id="rId143" Target="http://fund.eastmoney.com/Company/80280038.html" TargetMode="External" Type="http://schemas.openxmlformats.org/officeDocument/2006/relationships/hyperlink" /><Relationship Id="rId144" Target="http://fund.eastmoney.com/Company/f10/jjjl_80280038.html" TargetMode="External" Type="http://schemas.openxmlformats.org/officeDocument/2006/relationships/hyperlink" /><Relationship Id="rId145" Target="http://fund.eastmoney.com/Company/80037023.html" TargetMode="External" Type="http://schemas.openxmlformats.org/officeDocument/2006/relationships/hyperlink" /><Relationship Id="rId146" Target="http://fund.eastmoney.com/Company/80037023.html" TargetMode="External" Type="http://schemas.openxmlformats.org/officeDocument/2006/relationships/hyperlink" /><Relationship Id="rId147" Target="http://fund.eastmoney.com/Company/f10/jjjl_80037023.html" TargetMode="External" Type="http://schemas.openxmlformats.org/officeDocument/2006/relationships/hyperlink" /><Relationship Id="rId148" Target="http://fund.eastmoney.com/Company/80000243.html" TargetMode="External" Type="http://schemas.openxmlformats.org/officeDocument/2006/relationships/hyperlink" /><Relationship Id="rId149" Target="http://fund.eastmoney.com/Company/80000243.html" TargetMode="External" Type="http://schemas.openxmlformats.org/officeDocument/2006/relationships/hyperlink" /><Relationship Id="rId150" Target="http://fund.eastmoney.com/Company/f10/jjjl_80000243.html" TargetMode="External" Type="http://schemas.openxmlformats.org/officeDocument/2006/relationships/hyperlink" /><Relationship Id="rId151" Target="http://fund.eastmoney.com/Company/80102419.html" TargetMode="External" Type="http://schemas.openxmlformats.org/officeDocument/2006/relationships/hyperlink" /><Relationship Id="rId152" Target="http://fund.eastmoney.com/Company/80102419.html" TargetMode="External" Type="http://schemas.openxmlformats.org/officeDocument/2006/relationships/hyperlink" /><Relationship Id="rId153" Target="http://fund.eastmoney.com/Company/f10/jjjl_80102419.html" TargetMode="External" Type="http://schemas.openxmlformats.org/officeDocument/2006/relationships/hyperlink" /><Relationship Id="rId154" Target="http://fund.eastmoney.com/Company/80061674.html" TargetMode="External" Type="http://schemas.openxmlformats.org/officeDocument/2006/relationships/hyperlink" /><Relationship Id="rId155" Target="http://fund.eastmoney.com/Company/80061674.html" TargetMode="External" Type="http://schemas.openxmlformats.org/officeDocument/2006/relationships/hyperlink" /><Relationship Id="rId156" Target="http://fund.eastmoney.com/Company/f10/jjjl_80061674.html" TargetMode="External" Type="http://schemas.openxmlformats.org/officeDocument/2006/relationships/hyperlink" /><Relationship Id="rId157" Target="http://fund.eastmoney.com/Company/80000238.html" TargetMode="External" Type="http://schemas.openxmlformats.org/officeDocument/2006/relationships/hyperlink" /><Relationship Id="rId158" Target="http://fund.eastmoney.com/Company/80000238.html" TargetMode="External" Type="http://schemas.openxmlformats.org/officeDocument/2006/relationships/hyperlink" /><Relationship Id="rId159" Target="http://fund.eastmoney.com/Company/f10/jjjl_80000238.html" TargetMode="External" Type="http://schemas.openxmlformats.org/officeDocument/2006/relationships/hyperlink" /><Relationship Id="rId160" Target="http://fund.eastmoney.com/Company/80163340.html" TargetMode="External" Type="http://schemas.openxmlformats.org/officeDocument/2006/relationships/hyperlink" /><Relationship Id="rId161" Target="http://fund.eastmoney.com/Company/80163340.html" TargetMode="External" Type="http://schemas.openxmlformats.org/officeDocument/2006/relationships/hyperlink" /><Relationship Id="rId162" Target="http://fund.eastmoney.com/Company/f10/jjjl_80163340.html" TargetMode="External" Type="http://schemas.openxmlformats.org/officeDocument/2006/relationships/hyperlink" /><Relationship Id="rId163" Target="http://fund.eastmoney.com/Company/80000249.html" TargetMode="External" Type="http://schemas.openxmlformats.org/officeDocument/2006/relationships/hyperlink" /><Relationship Id="rId164" Target="http://fund.eastmoney.com/Company/80000249.html" TargetMode="External" Type="http://schemas.openxmlformats.org/officeDocument/2006/relationships/hyperlink" /><Relationship Id="rId165" Target="http://fund.eastmoney.com/Company/f10/jjjl_80000249.html" TargetMode="External" Type="http://schemas.openxmlformats.org/officeDocument/2006/relationships/hyperlink" /><Relationship Id="rId166" Target="http://fund.eastmoney.com/Company/80075936.html" TargetMode="External" Type="http://schemas.openxmlformats.org/officeDocument/2006/relationships/hyperlink" /><Relationship Id="rId167" Target="http://fund.eastmoney.com/Company/80075936.html" TargetMode="External" Type="http://schemas.openxmlformats.org/officeDocument/2006/relationships/hyperlink" /><Relationship Id="rId168" Target="http://fund.eastmoney.com/Company/f10/jjjl_80075936.html" TargetMode="External" Type="http://schemas.openxmlformats.org/officeDocument/2006/relationships/hyperlink" /><Relationship Id="rId169" Target="http://fund.eastmoney.com/Company/80368700.html" TargetMode="External" Type="http://schemas.openxmlformats.org/officeDocument/2006/relationships/hyperlink" /><Relationship Id="rId170" Target="http://fund.eastmoney.com/Company/80368700.html" TargetMode="External" Type="http://schemas.openxmlformats.org/officeDocument/2006/relationships/hyperlink" /><Relationship Id="rId171" Target="http://fund.eastmoney.com/Company/f10/jjjl_80368700.html" TargetMode="External" Type="http://schemas.openxmlformats.org/officeDocument/2006/relationships/hyperlink" /><Relationship Id="rId172" Target="http://fund.eastmoney.com/Company/80351991.html" TargetMode="External" Type="http://schemas.openxmlformats.org/officeDocument/2006/relationships/hyperlink" /><Relationship Id="rId173" Target="http://fund.eastmoney.com/Company/80351991.html" TargetMode="External" Type="http://schemas.openxmlformats.org/officeDocument/2006/relationships/hyperlink" /><Relationship Id="rId174" Target="http://fund.eastmoney.com/Company/f10/jjjl_80351991.html" TargetMode="External" Type="http://schemas.openxmlformats.org/officeDocument/2006/relationships/hyperlink" /><Relationship Id="rId175" Target="http://fund.eastmoney.com/Company/80365987.html" TargetMode="External" Type="http://schemas.openxmlformats.org/officeDocument/2006/relationships/hyperlink" /><Relationship Id="rId176" Target="http://fund.eastmoney.com/Company/80365987.html" TargetMode="External" Type="http://schemas.openxmlformats.org/officeDocument/2006/relationships/hyperlink" /><Relationship Id="rId177" Target="http://fund.eastmoney.com/Company/f10/jjjl_80365987.html" TargetMode="External" Type="http://schemas.openxmlformats.org/officeDocument/2006/relationships/hyperlink" /><Relationship Id="rId178" Target="http://fund.eastmoney.com/Company/80000227.html" TargetMode="External" Type="http://schemas.openxmlformats.org/officeDocument/2006/relationships/hyperlink" /><Relationship Id="rId179" Target="http://fund.eastmoney.com/Company/80000227.html" TargetMode="External" Type="http://schemas.openxmlformats.org/officeDocument/2006/relationships/hyperlink" /><Relationship Id="rId180" Target="http://fund.eastmoney.com/Company/f10/jjjl_80000227.html" TargetMode="External" Type="http://schemas.openxmlformats.org/officeDocument/2006/relationships/hyperlink" /><Relationship Id="rId181" Target="http://fund.eastmoney.com/Company/80000236.html" TargetMode="External" Type="http://schemas.openxmlformats.org/officeDocument/2006/relationships/hyperlink" /><Relationship Id="rId182" Target="http://fund.eastmoney.com/Company/80000236.html" TargetMode="External" Type="http://schemas.openxmlformats.org/officeDocument/2006/relationships/hyperlink" /><Relationship Id="rId183" Target="http://fund.eastmoney.com/Company/f10/jjjl_80000236.html" TargetMode="External" Type="http://schemas.openxmlformats.org/officeDocument/2006/relationships/hyperlink" /><Relationship Id="rId184" Target="http://fund.eastmoney.com/Company/80045188.html" TargetMode="External" Type="http://schemas.openxmlformats.org/officeDocument/2006/relationships/hyperlink" /><Relationship Id="rId185" Target="http://fund.eastmoney.com/Company/80045188.html" TargetMode="External" Type="http://schemas.openxmlformats.org/officeDocument/2006/relationships/hyperlink" /><Relationship Id="rId186" Target="http://fund.eastmoney.com/Company/f10/jjjl_80045188.html" TargetMode="External" Type="http://schemas.openxmlformats.org/officeDocument/2006/relationships/hyperlink" /><Relationship Id="rId187" Target="http://fund.eastmoney.com/Company/80048161.html" TargetMode="External" Type="http://schemas.openxmlformats.org/officeDocument/2006/relationships/hyperlink" /><Relationship Id="rId188" Target="http://fund.eastmoney.com/Company/80048161.html" TargetMode="External" Type="http://schemas.openxmlformats.org/officeDocument/2006/relationships/hyperlink" /><Relationship Id="rId189" Target="http://fund.eastmoney.com/Company/f10/jjjl_80048161.html" TargetMode="External" Type="http://schemas.openxmlformats.org/officeDocument/2006/relationships/hyperlink" /><Relationship Id="rId190" Target="http://fund.eastmoney.com/Company/80156777.html" TargetMode="External" Type="http://schemas.openxmlformats.org/officeDocument/2006/relationships/hyperlink" /><Relationship Id="rId191" Target="http://fund.eastmoney.com/Company/80156777.html" TargetMode="External" Type="http://schemas.openxmlformats.org/officeDocument/2006/relationships/hyperlink" /><Relationship Id="rId192" Target="http://fund.eastmoney.com/Company/f10/jjjl_80156777.html" TargetMode="External" Type="http://schemas.openxmlformats.org/officeDocument/2006/relationships/hyperlink" /><Relationship Id="rId193" Target="http://fund.eastmoney.com/Company/80147736.html" TargetMode="External" Type="http://schemas.openxmlformats.org/officeDocument/2006/relationships/hyperlink" /><Relationship Id="rId194" Target="http://fund.eastmoney.com/Company/80147736.html" TargetMode="External" Type="http://schemas.openxmlformats.org/officeDocument/2006/relationships/hyperlink" /><Relationship Id="rId195" Target="http://fund.eastmoney.com/Company/f10/jjjl_80147736.html" TargetMode="External" Type="http://schemas.openxmlformats.org/officeDocument/2006/relationships/hyperlink" /><Relationship Id="rId196" Target="http://fund.eastmoney.com/Company/80044515.html" TargetMode="External" Type="http://schemas.openxmlformats.org/officeDocument/2006/relationships/hyperlink" /><Relationship Id="rId197" Target="http://fund.eastmoney.com/Company/80044515.html" TargetMode="External" Type="http://schemas.openxmlformats.org/officeDocument/2006/relationships/hyperlink" /><Relationship Id="rId198" Target="http://fund.eastmoney.com/Company/f10/jjjl_80044515.html" TargetMode="External" Type="http://schemas.openxmlformats.org/officeDocument/2006/relationships/hyperlink" /><Relationship Id="rId199" Target="http://fund.eastmoney.com/Company/80522693.html" TargetMode="External" Type="http://schemas.openxmlformats.org/officeDocument/2006/relationships/hyperlink" /><Relationship Id="rId200" Target="http://fund.eastmoney.com/Company/80522693.html" TargetMode="External" Type="http://schemas.openxmlformats.org/officeDocument/2006/relationships/hyperlink" /><Relationship Id="rId201" Target="http://fund.eastmoney.com/Company/f10/jjjl_80522693.html" TargetMode="External" Type="http://schemas.openxmlformats.org/officeDocument/2006/relationships/hyperlink" /><Relationship Id="rId202" Target="http://fund.eastmoney.com/Company/80043374.html" TargetMode="External" Type="http://schemas.openxmlformats.org/officeDocument/2006/relationships/hyperlink" /><Relationship Id="rId203" Target="http://fund.eastmoney.com/Company/80043374.html" TargetMode="External" Type="http://schemas.openxmlformats.org/officeDocument/2006/relationships/hyperlink" /><Relationship Id="rId204" Target="http://fund.eastmoney.com/Company/f10/jjjl_80043374.html" TargetMode="External" Type="http://schemas.openxmlformats.org/officeDocument/2006/relationships/hyperlink" /><Relationship Id="rId205" Target="http://fund.eastmoney.com/Company/80067635.html" TargetMode="External" Type="http://schemas.openxmlformats.org/officeDocument/2006/relationships/hyperlink" /><Relationship Id="rId206" Target="http://fund.eastmoney.com/Company/80067635.html" TargetMode="External" Type="http://schemas.openxmlformats.org/officeDocument/2006/relationships/hyperlink" /><Relationship Id="rId207" Target="http://fund.eastmoney.com/Company/f10/jjjl_80067635.html" TargetMode="External" Type="http://schemas.openxmlformats.org/officeDocument/2006/relationships/hyperlink" /><Relationship Id="rId208" Target="http://fund.eastmoney.com/Company/80174741.html" TargetMode="External" Type="http://schemas.openxmlformats.org/officeDocument/2006/relationships/hyperlink" /><Relationship Id="rId209" Target="http://fund.eastmoney.com/Company/80174741.html" TargetMode="External" Type="http://schemas.openxmlformats.org/officeDocument/2006/relationships/hyperlink" /><Relationship Id="rId210" Target="http://fund.eastmoney.com/Company/f10/jjjl_80174741.html" TargetMode="External" Type="http://schemas.openxmlformats.org/officeDocument/2006/relationships/hyperlink" /><Relationship Id="rId211" Target="http://fund.eastmoney.com/Company/80468996.html" TargetMode="External" Type="http://schemas.openxmlformats.org/officeDocument/2006/relationships/hyperlink" /><Relationship Id="rId212" Target="http://fund.eastmoney.com/Company/80468996.html" TargetMode="External" Type="http://schemas.openxmlformats.org/officeDocument/2006/relationships/hyperlink" /><Relationship Id="rId213" Target="http://fund.eastmoney.com/Company/f10/jjjl_80468996.html" TargetMode="External" Type="http://schemas.openxmlformats.org/officeDocument/2006/relationships/hyperlink" /><Relationship Id="rId214" Target="http://fund.eastmoney.com/Company/80404701.html" TargetMode="External" Type="http://schemas.openxmlformats.org/officeDocument/2006/relationships/hyperlink" /><Relationship Id="rId215" Target="http://fund.eastmoney.com/Company/80404701.html" TargetMode="External" Type="http://schemas.openxmlformats.org/officeDocument/2006/relationships/hyperlink" /><Relationship Id="rId216" Target="http://fund.eastmoney.com/Company/f10/jjjl_80404701.html" TargetMode="External" Type="http://schemas.openxmlformats.org/officeDocument/2006/relationships/hyperlink" /><Relationship Id="rId217" Target="http://fund.eastmoney.com/Company/80424273.html" TargetMode="External" Type="http://schemas.openxmlformats.org/officeDocument/2006/relationships/hyperlink" /><Relationship Id="rId218" Target="http://fund.eastmoney.com/Company/80424273.html" TargetMode="External" Type="http://schemas.openxmlformats.org/officeDocument/2006/relationships/hyperlink" /><Relationship Id="rId219" Target="http://fund.eastmoney.com/Company/f10/jjjl_80424273.html" TargetMode="External" Type="http://schemas.openxmlformats.org/officeDocument/2006/relationships/hyperlink" /><Relationship Id="rId220" Target="http://fund.eastmoney.com/Company/80053204.html" TargetMode="External" Type="http://schemas.openxmlformats.org/officeDocument/2006/relationships/hyperlink" /><Relationship Id="rId221" Target="http://fund.eastmoney.com/Company/80053204.html" TargetMode="External" Type="http://schemas.openxmlformats.org/officeDocument/2006/relationships/hyperlink" /><Relationship Id="rId222" Target="http://fund.eastmoney.com/Company/f10/jjjl_80053204.html" TargetMode="External" Type="http://schemas.openxmlformats.org/officeDocument/2006/relationships/hyperlink" /><Relationship Id="rId223" Target="http://fund.eastmoney.com/Company/80086876.html" TargetMode="External" Type="http://schemas.openxmlformats.org/officeDocument/2006/relationships/hyperlink" /><Relationship Id="rId224" Target="http://fund.eastmoney.com/Company/80086876.html" TargetMode="External" Type="http://schemas.openxmlformats.org/officeDocument/2006/relationships/hyperlink" /><Relationship Id="rId225" Target="http://fund.eastmoney.com/Company/f10/jjjl_80086876.html" TargetMode="External" Type="http://schemas.openxmlformats.org/officeDocument/2006/relationships/hyperlink" /><Relationship Id="rId226" Target="http://fund.eastmoney.com/Company/80068180.html" TargetMode="External" Type="http://schemas.openxmlformats.org/officeDocument/2006/relationships/hyperlink" /><Relationship Id="rId227" Target="http://fund.eastmoney.com/Company/80068180.html" TargetMode="External" Type="http://schemas.openxmlformats.org/officeDocument/2006/relationships/hyperlink" /><Relationship Id="rId228" Target="http://fund.eastmoney.com/Company/f10/jjjl_80068180.html" TargetMode="External" Type="http://schemas.openxmlformats.org/officeDocument/2006/relationships/hyperlink" /><Relationship Id="rId229" Target="http://fund.eastmoney.com/Company/80161341.html" TargetMode="External" Type="http://schemas.openxmlformats.org/officeDocument/2006/relationships/hyperlink" /><Relationship Id="rId230" Target="http://fund.eastmoney.com/Company/80161341.html" TargetMode="External" Type="http://schemas.openxmlformats.org/officeDocument/2006/relationships/hyperlink" /><Relationship Id="rId231" Target="http://fund.eastmoney.com/Company/f10/jjjl_80161341.html" TargetMode="External" Type="http://schemas.openxmlformats.org/officeDocument/2006/relationships/hyperlink" /><Relationship Id="rId232" Target="http://fund.eastmoney.com/Company/80042861.html" TargetMode="External" Type="http://schemas.openxmlformats.org/officeDocument/2006/relationships/hyperlink" /><Relationship Id="rId233" Target="http://fund.eastmoney.com/Company/80042861.html" TargetMode="External" Type="http://schemas.openxmlformats.org/officeDocument/2006/relationships/hyperlink" /><Relationship Id="rId234" Target="http://fund.eastmoney.com/Company/f10/jjjl_80042861.html" TargetMode="External" Type="http://schemas.openxmlformats.org/officeDocument/2006/relationships/hyperlink" /><Relationship Id="rId235" Target="http://fund.eastmoney.com/Company/80280036.html" TargetMode="External" Type="http://schemas.openxmlformats.org/officeDocument/2006/relationships/hyperlink" /><Relationship Id="rId236" Target="http://fund.eastmoney.com/Company/80280036.html" TargetMode="External" Type="http://schemas.openxmlformats.org/officeDocument/2006/relationships/hyperlink" /><Relationship Id="rId237" Target="http://fund.eastmoney.com/Company/f10/jjjl_80280036.html" TargetMode="External" Type="http://schemas.openxmlformats.org/officeDocument/2006/relationships/hyperlink" /><Relationship Id="rId238" Target="http://fund.eastmoney.com/Company/80036797.html" TargetMode="External" Type="http://schemas.openxmlformats.org/officeDocument/2006/relationships/hyperlink" /><Relationship Id="rId239" Target="http://fund.eastmoney.com/Company/80036797.html" TargetMode="External" Type="http://schemas.openxmlformats.org/officeDocument/2006/relationships/hyperlink" /><Relationship Id="rId240" Target="http://fund.eastmoney.com/Company/f10/jjjl_80036797.html" TargetMode="External" Type="http://schemas.openxmlformats.org/officeDocument/2006/relationships/hyperlink" /><Relationship Id="rId241" Target="http://fund.eastmoney.com/Company/80061431.html" TargetMode="External" Type="http://schemas.openxmlformats.org/officeDocument/2006/relationships/hyperlink" /><Relationship Id="rId242" Target="http://fund.eastmoney.com/Company/80061431.html" TargetMode="External" Type="http://schemas.openxmlformats.org/officeDocument/2006/relationships/hyperlink" /><Relationship Id="rId243" Target="http://fund.eastmoney.com/Company/f10/jjjl_80061431.html" TargetMode="External" Type="http://schemas.openxmlformats.org/officeDocument/2006/relationships/hyperlink" /><Relationship Id="rId244" Target="http://fund.eastmoney.com/Company/80365986.html" TargetMode="External" Type="http://schemas.openxmlformats.org/officeDocument/2006/relationships/hyperlink" /><Relationship Id="rId245" Target="http://fund.eastmoney.com/Company/80365986.html" TargetMode="External" Type="http://schemas.openxmlformats.org/officeDocument/2006/relationships/hyperlink" /><Relationship Id="rId246" Target="http://fund.eastmoney.com/Company/f10/jjjl_80365986.html" TargetMode="External" Type="http://schemas.openxmlformats.org/officeDocument/2006/relationships/hyperlink" /><Relationship Id="rId247" Target="http://fund.eastmoney.com/Company/80294346.html" TargetMode="External" Type="http://schemas.openxmlformats.org/officeDocument/2006/relationships/hyperlink" /><Relationship Id="rId248" Target="http://fund.eastmoney.com/Company/80294346.html" TargetMode="External" Type="http://schemas.openxmlformats.org/officeDocument/2006/relationships/hyperlink" /><Relationship Id="rId249" Target="http://fund.eastmoney.com/Company/f10/jjjl_80294346.html" TargetMode="External" Type="http://schemas.openxmlformats.org/officeDocument/2006/relationships/hyperlink" /><Relationship Id="rId250" Target="http://fund.eastmoney.com/Company/80074234.html" TargetMode="External" Type="http://schemas.openxmlformats.org/officeDocument/2006/relationships/hyperlink" /><Relationship Id="rId251" Target="http://fund.eastmoney.com/Company/80074234.html" TargetMode="External" Type="http://schemas.openxmlformats.org/officeDocument/2006/relationships/hyperlink" /><Relationship Id="rId252" Target="http://fund.eastmoney.com/Company/f10/jjjl_80074234.html" TargetMode="External" Type="http://schemas.openxmlformats.org/officeDocument/2006/relationships/hyperlink" /><Relationship Id="rId253" Target="http://fund.eastmoney.com/Company/80380794.html" TargetMode="External" Type="http://schemas.openxmlformats.org/officeDocument/2006/relationships/hyperlink" /><Relationship Id="rId254" Target="http://fund.eastmoney.com/Company/80380794.html" TargetMode="External" Type="http://schemas.openxmlformats.org/officeDocument/2006/relationships/hyperlink" /><Relationship Id="rId255" Target="http://fund.eastmoney.com/Company/f10/jjjl_80380794.html" TargetMode="External" Type="http://schemas.openxmlformats.org/officeDocument/2006/relationships/hyperlink" /><Relationship Id="rId256" Target="http://fund.eastmoney.com/Company/80046614.html" TargetMode="External" Type="http://schemas.openxmlformats.org/officeDocument/2006/relationships/hyperlink" /><Relationship Id="rId257" Target="http://fund.eastmoney.com/Company/80046614.html" TargetMode="External" Type="http://schemas.openxmlformats.org/officeDocument/2006/relationships/hyperlink" /><Relationship Id="rId258" Target="http://fund.eastmoney.com/Company/f10/jjjl_80046614.html" TargetMode="External" Type="http://schemas.openxmlformats.org/officeDocument/2006/relationships/hyperlink" /><Relationship Id="rId259" Target="http://fund.eastmoney.com/Company/80404004.html" TargetMode="External" Type="http://schemas.openxmlformats.org/officeDocument/2006/relationships/hyperlink" /><Relationship Id="rId260" Target="http://fund.eastmoney.com/Company/80404004.html" TargetMode="External" Type="http://schemas.openxmlformats.org/officeDocument/2006/relationships/hyperlink" /><Relationship Id="rId261" Target="http://fund.eastmoney.com/Company/f10/jjjl_80404004.html" TargetMode="External" Type="http://schemas.openxmlformats.org/officeDocument/2006/relationships/hyperlink" /><Relationship Id="rId262" Target="http://fund.eastmoney.com/Company/80175511.html" TargetMode="External" Type="http://schemas.openxmlformats.org/officeDocument/2006/relationships/hyperlink" /><Relationship Id="rId263" Target="http://fund.eastmoney.com/Company/80175511.html" TargetMode="External" Type="http://schemas.openxmlformats.org/officeDocument/2006/relationships/hyperlink" /><Relationship Id="rId264" Target="http://fund.eastmoney.com/Company/f10/jjjl_80175511.html" TargetMode="External" Type="http://schemas.openxmlformats.org/officeDocument/2006/relationships/hyperlink" /><Relationship Id="rId265" Target="http://fund.eastmoney.com/Company/80114781.html" TargetMode="External" Type="http://schemas.openxmlformats.org/officeDocument/2006/relationships/hyperlink" /><Relationship Id="rId266" Target="http://fund.eastmoney.com/Company/80114781.html" TargetMode="External" Type="http://schemas.openxmlformats.org/officeDocument/2006/relationships/hyperlink" /><Relationship Id="rId267" Target="http://fund.eastmoney.com/Company/f10/jjjl_80114781.html" TargetMode="External" Type="http://schemas.openxmlformats.org/officeDocument/2006/relationships/hyperlink" /><Relationship Id="rId268" Target="http://fund.eastmoney.com/Company/80385906.html" TargetMode="External" Type="http://schemas.openxmlformats.org/officeDocument/2006/relationships/hyperlink" /><Relationship Id="rId269" Target="http://fund.eastmoney.com/Company/80385906.html" TargetMode="External" Type="http://schemas.openxmlformats.org/officeDocument/2006/relationships/hyperlink" /><Relationship Id="rId270" Target="http://fund.eastmoney.com/Company/f10/jjjl_80385906.html" TargetMode="External" Type="http://schemas.openxmlformats.org/officeDocument/2006/relationships/hyperlink" /><Relationship Id="rId271" Target="http://fund.eastmoney.com/Company/80384640.html" TargetMode="External" Type="http://schemas.openxmlformats.org/officeDocument/2006/relationships/hyperlink" /><Relationship Id="rId272" Target="http://fund.eastmoney.com/Company/80384640.html" TargetMode="External" Type="http://schemas.openxmlformats.org/officeDocument/2006/relationships/hyperlink" /><Relationship Id="rId273" Target="http://fund.eastmoney.com/Company/f10/jjjl_80384640.html" TargetMode="External" Type="http://schemas.openxmlformats.org/officeDocument/2006/relationships/hyperlink" /><Relationship Id="rId274" Target="http://fund.eastmoney.com/Company/80498278.html" TargetMode="External" Type="http://schemas.openxmlformats.org/officeDocument/2006/relationships/hyperlink" /><Relationship Id="rId275" Target="http://fund.eastmoney.com/Company/80498278.html" TargetMode="External" Type="http://schemas.openxmlformats.org/officeDocument/2006/relationships/hyperlink" /><Relationship Id="rId276" Target="http://fund.eastmoney.com/Company/f10/jjjl_80498278.html" TargetMode="External" Type="http://schemas.openxmlformats.org/officeDocument/2006/relationships/hyperlink" /><Relationship Id="rId277" Target="http://fund.eastmoney.com/Company/80523667.html" TargetMode="External" Type="http://schemas.openxmlformats.org/officeDocument/2006/relationships/hyperlink" /><Relationship Id="rId278" Target="http://fund.eastmoney.com/Company/80523667.html" TargetMode="External" Type="http://schemas.openxmlformats.org/officeDocument/2006/relationships/hyperlink" /><Relationship Id="rId279" Target="http://fund.eastmoney.com/Company/f10/jjjl_80523667.html" TargetMode="External" Type="http://schemas.openxmlformats.org/officeDocument/2006/relationships/hyperlink" /><Relationship Id="rId280" Target="http://fund.eastmoney.com/Company/80355113.html" TargetMode="External" Type="http://schemas.openxmlformats.org/officeDocument/2006/relationships/hyperlink" /><Relationship Id="rId281" Target="http://fund.eastmoney.com/Company/80355113.html" TargetMode="External" Type="http://schemas.openxmlformats.org/officeDocument/2006/relationships/hyperlink" /><Relationship Id="rId282" Target="http://fund.eastmoney.com/Company/f10/jjjl_80355113.html" TargetMode="External" Type="http://schemas.openxmlformats.org/officeDocument/2006/relationships/hyperlink" /><Relationship Id="rId283" Target="http://fund.eastmoney.com/Company/80365985.html" TargetMode="External" Type="http://schemas.openxmlformats.org/officeDocument/2006/relationships/hyperlink" /><Relationship Id="rId284" Target="http://fund.eastmoney.com/Company/80365985.html" TargetMode="External" Type="http://schemas.openxmlformats.org/officeDocument/2006/relationships/hyperlink" /><Relationship Id="rId285" Target="http://fund.eastmoney.com/Company/f10/jjjl_80365985.html" TargetMode="External" Type="http://schemas.openxmlformats.org/officeDocument/2006/relationships/hyperlink" /><Relationship Id="rId286" Target="http://fund.eastmoney.com/Company/80139382.html" TargetMode="External" Type="http://schemas.openxmlformats.org/officeDocument/2006/relationships/hyperlink" /><Relationship Id="rId287" Target="http://fund.eastmoney.com/Company/80139382.html" TargetMode="External" Type="http://schemas.openxmlformats.org/officeDocument/2006/relationships/hyperlink" /><Relationship Id="rId288" Target="http://fund.eastmoney.com/Company/f10/jjjl_80139382.html" TargetMode="External" Type="http://schemas.openxmlformats.org/officeDocument/2006/relationships/hyperlink" /><Relationship Id="rId289" Target="http://fund.eastmoney.com/Company/80488954.html" TargetMode="External" Type="http://schemas.openxmlformats.org/officeDocument/2006/relationships/hyperlink" /><Relationship Id="rId290" Target="http://fund.eastmoney.com/Company/80488954.html" TargetMode="External" Type="http://schemas.openxmlformats.org/officeDocument/2006/relationships/hyperlink" /><Relationship Id="rId291" Target="http://fund.eastmoney.com/Company/f10/jjjl_80488954.html" TargetMode="External" Type="http://schemas.openxmlformats.org/officeDocument/2006/relationships/hyperlink" /><Relationship Id="rId292" Target="http://fund.eastmoney.com/Company/80199117.html" TargetMode="External" Type="http://schemas.openxmlformats.org/officeDocument/2006/relationships/hyperlink" /><Relationship Id="rId293" Target="http://fund.eastmoney.com/Company/80199117.html" TargetMode="External" Type="http://schemas.openxmlformats.org/officeDocument/2006/relationships/hyperlink" /><Relationship Id="rId294" Target="http://fund.eastmoney.com/Company/f10/jjjl_80199117.html" TargetMode="External" Type="http://schemas.openxmlformats.org/officeDocument/2006/relationships/hyperlink" /><Relationship Id="rId295" Target="http://fund.eastmoney.com/Company/80501166.html" TargetMode="External" Type="http://schemas.openxmlformats.org/officeDocument/2006/relationships/hyperlink" /><Relationship Id="rId296" Target="http://fund.eastmoney.com/Company/80501166.html" TargetMode="External" Type="http://schemas.openxmlformats.org/officeDocument/2006/relationships/hyperlink" /><Relationship Id="rId297" Target="http://fund.eastmoney.com/Company/f10/jjjl_80501166.html" TargetMode="External" Type="http://schemas.openxmlformats.org/officeDocument/2006/relationships/hyperlink" /><Relationship Id="rId298" Target="http://fund.eastmoney.com/Company/80555446.html" TargetMode="External" Type="http://schemas.openxmlformats.org/officeDocument/2006/relationships/hyperlink" /><Relationship Id="rId299" Target="http://fund.eastmoney.com/Company/80555446.html" TargetMode="External" Type="http://schemas.openxmlformats.org/officeDocument/2006/relationships/hyperlink" /><Relationship Id="rId300" Target="http://fund.eastmoney.com/Company/f10/jjjl_80555446.html" TargetMode="External" Type="http://schemas.openxmlformats.org/officeDocument/2006/relationships/hyperlink" /><Relationship Id="rId301" Target="http://fund.eastmoney.com/Company/80000080.html" TargetMode="External" Type="http://schemas.openxmlformats.org/officeDocument/2006/relationships/hyperlink" /><Relationship Id="rId302" Target="http://fund.eastmoney.com/Company/80000080.html" TargetMode="External" Type="http://schemas.openxmlformats.org/officeDocument/2006/relationships/hyperlink" /><Relationship Id="rId303" Target="http://fund.eastmoney.com/Company/f10/jjjl_80000080.html" TargetMode="External" Type="http://schemas.openxmlformats.org/officeDocument/2006/relationships/hyperlink" /><Relationship Id="rId304" Target="http://fund.eastmoney.com/Company/80446423.html" TargetMode="External" Type="http://schemas.openxmlformats.org/officeDocument/2006/relationships/hyperlink" /><Relationship Id="rId305" Target="http://fund.eastmoney.com/Company/80446423.html" TargetMode="External" Type="http://schemas.openxmlformats.org/officeDocument/2006/relationships/hyperlink" /><Relationship Id="rId306" Target="http://fund.eastmoney.com/Company/f10/jjjl_80446423.html" TargetMode="External" Type="http://schemas.openxmlformats.org/officeDocument/2006/relationships/hyperlink" /><Relationship Id="rId307" Target="http://fund.eastmoney.com/Company/80128562.html" TargetMode="External" Type="http://schemas.openxmlformats.org/officeDocument/2006/relationships/hyperlink" /><Relationship Id="rId308" Target="http://fund.eastmoney.com/Company/80128562.html" TargetMode="External" Type="http://schemas.openxmlformats.org/officeDocument/2006/relationships/hyperlink" /><Relationship Id="rId309" Target="http://fund.eastmoney.com/Company/f10/jjjl_80128562.html" TargetMode="External" Type="http://schemas.openxmlformats.org/officeDocument/2006/relationships/hyperlink" /><Relationship Id="rId310" Target="http://fund.eastmoney.com/Company/80452130.html" TargetMode="External" Type="http://schemas.openxmlformats.org/officeDocument/2006/relationships/hyperlink" /><Relationship Id="rId311" Target="http://fund.eastmoney.com/Company/80452130.html" TargetMode="External" Type="http://schemas.openxmlformats.org/officeDocument/2006/relationships/hyperlink" /><Relationship Id="rId312" Target="http://fund.eastmoney.com/Company/f10/jjjl_80452130.html" TargetMode="External" Type="http://schemas.openxmlformats.org/officeDocument/2006/relationships/hyperlink" /><Relationship Id="rId313" Target="http://fund.eastmoney.com/Company/80000247.html" TargetMode="External" Type="http://schemas.openxmlformats.org/officeDocument/2006/relationships/hyperlink" /><Relationship Id="rId314" Target="http://fund.eastmoney.com/Company/80000247.html" TargetMode="External" Type="http://schemas.openxmlformats.org/officeDocument/2006/relationships/hyperlink" /><Relationship Id="rId315" Target="http://fund.eastmoney.com/Company/f10/jjjl_80000247.html" TargetMode="External" Type="http://schemas.openxmlformats.org/officeDocument/2006/relationships/hyperlink" /><Relationship Id="rId316" Target="http://fund.eastmoney.com/Company/80205264.html" TargetMode="External" Type="http://schemas.openxmlformats.org/officeDocument/2006/relationships/hyperlink" /><Relationship Id="rId317" Target="http://fund.eastmoney.com/Company/80205264.html" TargetMode="External" Type="http://schemas.openxmlformats.org/officeDocument/2006/relationships/hyperlink" /><Relationship Id="rId318" Target="http://fund.eastmoney.com/Company/f10/jjjl_80205264.html" TargetMode="External" Type="http://schemas.openxmlformats.org/officeDocument/2006/relationships/hyperlink" /><Relationship Id="rId319" Target="http://fund.eastmoney.com/Company/80175498.html" TargetMode="External" Type="http://schemas.openxmlformats.org/officeDocument/2006/relationships/hyperlink" /><Relationship Id="rId320" Target="http://fund.eastmoney.com/Company/80175498.html" TargetMode="External" Type="http://schemas.openxmlformats.org/officeDocument/2006/relationships/hyperlink" /><Relationship Id="rId321" Target="http://fund.eastmoney.com/Company/f10/jjjl_80175498.html" TargetMode="External" Type="http://schemas.openxmlformats.org/officeDocument/2006/relationships/hyperlink" /><Relationship Id="rId322" Target="http://fund.eastmoney.com/Company/80391977.html" TargetMode="External" Type="http://schemas.openxmlformats.org/officeDocument/2006/relationships/hyperlink" /><Relationship Id="rId323" Target="http://fund.eastmoney.com/Company/80391977.html" TargetMode="External" Type="http://schemas.openxmlformats.org/officeDocument/2006/relationships/hyperlink" /><Relationship Id="rId324" Target="http://fund.eastmoney.com/Company/f10/jjjl_80391977.html" TargetMode="External" Type="http://schemas.openxmlformats.org/officeDocument/2006/relationships/hyperlink" /><Relationship Id="rId325" Target="http://fund.eastmoney.com/Company/80548351.html" TargetMode="External" Type="http://schemas.openxmlformats.org/officeDocument/2006/relationships/hyperlink" /><Relationship Id="rId326" Target="http://fund.eastmoney.com/Company/80548351.html" TargetMode="External" Type="http://schemas.openxmlformats.org/officeDocument/2006/relationships/hyperlink" /><Relationship Id="rId327" Target="http://fund.eastmoney.com/Company/f10/jjjl_80548351.html" TargetMode="External" Type="http://schemas.openxmlformats.org/officeDocument/2006/relationships/hyperlink" /><Relationship Id="rId328" Target="http://fund.eastmoney.com/Company/80000252.html" TargetMode="External" Type="http://schemas.openxmlformats.org/officeDocument/2006/relationships/hyperlink" /><Relationship Id="rId329" Target="http://fund.eastmoney.com/Company/80000252.html" TargetMode="External" Type="http://schemas.openxmlformats.org/officeDocument/2006/relationships/hyperlink" /><Relationship Id="rId330" Target="http://fund.eastmoney.com/Company/f10/jjjl_80000252.html" TargetMode="External" Type="http://schemas.openxmlformats.org/officeDocument/2006/relationships/hyperlink" /><Relationship Id="rId331" Target="http://fund.eastmoney.com/Company/80560392.html" TargetMode="External" Type="http://schemas.openxmlformats.org/officeDocument/2006/relationships/hyperlink" /><Relationship Id="rId332" Target="http://fund.eastmoney.com/Company/80560392.html" TargetMode="External" Type="http://schemas.openxmlformats.org/officeDocument/2006/relationships/hyperlink" /><Relationship Id="rId333" Target="http://fund.eastmoney.com/Company/f10/jjjl_80560392.html" TargetMode="External" Type="http://schemas.openxmlformats.org/officeDocument/2006/relationships/hyperlink" /><Relationship Id="rId334" Target="http://fund.eastmoney.com/Company/80046522.html" TargetMode="External" Type="http://schemas.openxmlformats.org/officeDocument/2006/relationships/hyperlink" /><Relationship Id="rId335" Target="http://fund.eastmoney.com/Company/80046522.html" TargetMode="External" Type="http://schemas.openxmlformats.org/officeDocument/2006/relationships/hyperlink" /><Relationship Id="rId336" Target="http://fund.eastmoney.com/Company/f10/jjjl_80046522.html" TargetMode="External" Type="http://schemas.openxmlformats.org/officeDocument/2006/relationships/hyperlink" /><Relationship Id="rId337" Target="http://fund.eastmoney.com/Company/80092743.html" TargetMode="External" Type="http://schemas.openxmlformats.org/officeDocument/2006/relationships/hyperlink" /><Relationship Id="rId338" Target="http://fund.eastmoney.com/Company/80092743.html" TargetMode="External" Type="http://schemas.openxmlformats.org/officeDocument/2006/relationships/hyperlink" /><Relationship Id="rId339" Target="http://fund.eastmoney.com/Company/f10/jjjl_80092743.html" TargetMode="External" Type="http://schemas.openxmlformats.org/officeDocument/2006/relationships/hyperlink" /><Relationship Id="rId340" Target="http://fund.eastmoney.com/Company/80205263.html" TargetMode="External" Type="http://schemas.openxmlformats.org/officeDocument/2006/relationships/hyperlink" /><Relationship Id="rId341" Target="http://fund.eastmoney.com/Company/80205263.html" TargetMode="External" Type="http://schemas.openxmlformats.org/officeDocument/2006/relationships/hyperlink" /><Relationship Id="rId342" Target="http://fund.eastmoney.com/Company/f10/jjjl_80205263.html" TargetMode="External" Type="http://schemas.openxmlformats.org/officeDocument/2006/relationships/hyperlink" /><Relationship Id="rId343" Target="http://fund.eastmoney.com/Company/80560388.html" TargetMode="External" Type="http://schemas.openxmlformats.org/officeDocument/2006/relationships/hyperlink" /><Relationship Id="rId344" Target="http://fund.eastmoney.com/Company/80560388.html" TargetMode="External" Type="http://schemas.openxmlformats.org/officeDocument/2006/relationships/hyperlink" /><Relationship Id="rId345" Target="http://fund.eastmoney.com/Company/f10/jjjl_80560388.html" TargetMode="External" Type="http://schemas.openxmlformats.org/officeDocument/2006/relationships/hyperlink" /><Relationship Id="rId346" Target="http://fund.eastmoney.com/Company/80403111.html" TargetMode="External" Type="http://schemas.openxmlformats.org/officeDocument/2006/relationships/hyperlink" /><Relationship Id="rId347" Target="http://fund.eastmoney.com/Company/80403111.html" TargetMode="External" Type="http://schemas.openxmlformats.org/officeDocument/2006/relationships/hyperlink" /><Relationship Id="rId348" Target="http://fund.eastmoney.com/Company/f10/jjjl_80403111.html" TargetMode="External" Type="http://schemas.openxmlformats.org/officeDocument/2006/relationships/hyperlink" /><Relationship Id="rId349" Target="http://fund.eastmoney.com/Company/80508391.html" TargetMode="External" Type="http://schemas.openxmlformats.org/officeDocument/2006/relationships/hyperlink" /><Relationship Id="rId350" Target="http://fund.eastmoney.com/Company/80508391.html" TargetMode="External" Type="http://schemas.openxmlformats.org/officeDocument/2006/relationships/hyperlink" /><Relationship Id="rId351" Target="http://fund.eastmoney.com/Company/f10/jjjl_80508391.html" TargetMode="External" Type="http://schemas.openxmlformats.org/officeDocument/2006/relationships/hyperlink" /><Relationship Id="rId352" Target="http://fund.eastmoney.com/Company/80455765.html" TargetMode="External" Type="http://schemas.openxmlformats.org/officeDocument/2006/relationships/hyperlink" /><Relationship Id="rId353" Target="http://fund.eastmoney.com/Company/80455765.html" TargetMode="External" Type="http://schemas.openxmlformats.org/officeDocument/2006/relationships/hyperlink" /><Relationship Id="rId354" Target="http://fund.eastmoney.com/Company/f10/jjjl_80455765.html" TargetMode="External" Type="http://schemas.openxmlformats.org/officeDocument/2006/relationships/hyperlink" /><Relationship Id="rId355" Target="http://fund.eastmoney.com/Company/80280039.html" TargetMode="External" Type="http://schemas.openxmlformats.org/officeDocument/2006/relationships/hyperlink" /><Relationship Id="rId356" Target="http://fund.eastmoney.com/Company/80280039.html" TargetMode="External" Type="http://schemas.openxmlformats.org/officeDocument/2006/relationships/hyperlink" /><Relationship Id="rId357" Target="http://fund.eastmoney.com/Company/f10/jjjl_80280039.html" TargetMode="External" Type="http://schemas.openxmlformats.org/officeDocument/2006/relationships/hyperlink" /><Relationship Id="rId358" Target="http://fund.eastmoney.com/Company/80000095.html" TargetMode="External" Type="http://schemas.openxmlformats.org/officeDocument/2006/relationships/hyperlink" /><Relationship Id="rId359" Target="http://fund.eastmoney.com/Company/80000095.html" TargetMode="External" Type="http://schemas.openxmlformats.org/officeDocument/2006/relationships/hyperlink" /><Relationship Id="rId360" Target="http://fund.eastmoney.com/Company/f10/jjjl_80000095.html" TargetMode="External" Type="http://schemas.openxmlformats.org/officeDocument/2006/relationships/hyperlink" /><Relationship Id="rId361" Target="http://fund.eastmoney.com/Company/80560381.html" TargetMode="External" Type="http://schemas.openxmlformats.org/officeDocument/2006/relationships/hyperlink" /><Relationship Id="rId362" Target="http://fund.eastmoney.com/Company/80560381.html" TargetMode="External" Type="http://schemas.openxmlformats.org/officeDocument/2006/relationships/hyperlink" /><Relationship Id="rId363" Target="http://fund.eastmoney.com/Company/f10/jjjl_80560381.html" TargetMode="External" Type="http://schemas.openxmlformats.org/officeDocument/2006/relationships/hyperlink" /><Relationship Id="rId364" Target="http://fund.eastmoney.com/Company/80560379.html" TargetMode="External" Type="http://schemas.openxmlformats.org/officeDocument/2006/relationships/hyperlink" /><Relationship Id="rId365" Target="http://fund.eastmoney.com/Company/80560379.html" TargetMode="External" Type="http://schemas.openxmlformats.org/officeDocument/2006/relationships/hyperlink" /><Relationship Id="rId366" Target="http://fund.eastmoney.com/Company/f10/jjjl_80560379.html" TargetMode="External" Type="http://schemas.openxmlformats.org/officeDocument/2006/relationships/hyperlink" /><Relationship Id="rId367" Target="http://fund.eastmoney.com/Company/80538609.html" TargetMode="External" Type="http://schemas.openxmlformats.org/officeDocument/2006/relationships/hyperlink" /><Relationship Id="rId368" Target="http://fund.eastmoney.com/Company/80538609.html" TargetMode="External" Type="http://schemas.openxmlformats.org/officeDocument/2006/relationships/hyperlink" /><Relationship Id="rId369" Target="http://fund.eastmoney.com/Company/f10/jjjl_80538609.html" TargetMode="External" Type="http://schemas.openxmlformats.org/officeDocument/2006/relationships/hyperlink" /><Relationship Id="rId370" Target="http://fund.eastmoney.com/Company/80205268.html" TargetMode="External" Type="http://schemas.openxmlformats.org/officeDocument/2006/relationships/hyperlink" /><Relationship Id="rId371" Target="http://fund.eastmoney.com/Company/80205268.html" TargetMode="External" Type="http://schemas.openxmlformats.org/officeDocument/2006/relationships/hyperlink" /><Relationship Id="rId372" Target="http://fund.eastmoney.com/Company/f10/jjjl_80205268.html" TargetMode="External" Type="http://schemas.openxmlformats.org/officeDocument/2006/relationships/hyperlink" /><Relationship Id="rId373" Target="http://fund.eastmoney.com/Company/80560380.html" TargetMode="External" Type="http://schemas.openxmlformats.org/officeDocument/2006/relationships/hyperlink" /><Relationship Id="rId374" Target="http://fund.eastmoney.com/Company/80560380.html" TargetMode="External" Type="http://schemas.openxmlformats.org/officeDocument/2006/relationships/hyperlink" /><Relationship Id="rId375" Target="http://fund.eastmoney.com/Company/f10/jjjl_80560380.html" TargetMode="External" Type="http://schemas.openxmlformats.org/officeDocument/2006/relationships/hyperlink" /><Relationship Id="rId376" Target="http://fund.eastmoney.com/Company/80560396.html" TargetMode="External" Type="http://schemas.openxmlformats.org/officeDocument/2006/relationships/hyperlink" /><Relationship Id="rId377" Target="http://fund.eastmoney.com/Company/80560396.html" TargetMode="External" Type="http://schemas.openxmlformats.org/officeDocument/2006/relationships/hyperlink" /><Relationship Id="rId378" Target="http://fund.eastmoney.com/Company/f10/jjjl_80560396.html" TargetMode="External" Type="http://schemas.openxmlformats.org/officeDocument/2006/relationships/hyperlink" /><Relationship Id="rId379" Target="http://fund.eastmoney.com/Company/80560389.html" TargetMode="External" Type="http://schemas.openxmlformats.org/officeDocument/2006/relationships/hyperlink" /><Relationship Id="rId380" Target="http://fund.eastmoney.com/Company/80560389.html" TargetMode="External" Type="http://schemas.openxmlformats.org/officeDocument/2006/relationships/hyperlink" /><Relationship Id="rId381" Target="http://fund.eastmoney.com/Company/f10/jjjl_80560389.html" TargetMode="External" Type="http://schemas.openxmlformats.org/officeDocument/2006/relationships/hyperlink" /><Relationship Id="rId382" Target="http://fund.eastmoney.com/Company/80508384.html" TargetMode="External" Type="http://schemas.openxmlformats.org/officeDocument/2006/relationships/hyperlink" /><Relationship Id="rId383" Target="http://fund.eastmoney.com/Company/80508384.html" TargetMode="External" Type="http://schemas.openxmlformats.org/officeDocument/2006/relationships/hyperlink" /><Relationship Id="rId384" Target="http://fund.eastmoney.com/Company/f10/jjjl_80508384.html" TargetMode="External" Type="http://schemas.openxmlformats.org/officeDocument/2006/relationships/hyperlink" /><Relationship Id="rId385" Target="http://fund.eastmoney.com/Company/80201857.html" TargetMode="External" Type="http://schemas.openxmlformats.org/officeDocument/2006/relationships/hyperlink" /><Relationship Id="rId386" Target="http://fund.eastmoney.com/Company/80201857.html" TargetMode="External" Type="http://schemas.openxmlformats.org/officeDocument/2006/relationships/hyperlink" /><Relationship Id="rId387" Target="http://fund.eastmoney.com/Company/f10/jjjl_80201857.html" TargetMode="External" Type="http://schemas.openxmlformats.org/officeDocument/2006/relationships/hyperlink" /><Relationship Id="rId388" Target="http://fund.eastmoney.com/Company/80056613.html" TargetMode="External" Type="http://schemas.openxmlformats.org/officeDocument/2006/relationships/hyperlink" /><Relationship Id="rId389" Target="http://fund.eastmoney.com/Company/80056613.html" TargetMode="External" Type="http://schemas.openxmlformats.org/officeDocument/2006/relationships/hyperlink" /><Relationship Id="rId390" Target="http://fund.eastmoney.com/Company/f10/jjjl_80056613.html" TargetMode="External" Type="http://schemas.openxmlformats.org/officeDocument/2006/relationships/hyperlink" /><Relationship Id="rId391" Target="http://fund.eastmoney.com/Company/80560393.html" TargetMode="External" Type="http://schemas.openxmlformats.org/officeDocument/2006/relationships/hyperlink" /><Relationship Id="rId392" Target="http://fund.eastmoney.com/Company/80560393.html" TargetMode="External" Type="http://schemas.openxmlformats.org/officeDocument/2006/relationships/hyperlink" /><Relationship Id="rId393" Target="http://fund.eastmoney.com/Company/f10/jjjl_80560393.html" TargetMode="External" Type="http://schemas.openxmlformats.org/officeDocument/2006/relationships/hyperlink" /><Relationship Id="rId394" Target="http://fund.eastmoney.com/Company/80560383.html" TargetMode="External" Type="http://schemas.openxmlformats.org/officeDocument/2006/relationships/hyperlink" /><Relationship Id="rId395" Target="http://fund.eastmoney.com/Company/80560383.html" TargetMode="External" Type="http://schemas.openxmlformats.org/officeDocument/2006/relationships/hyperlink" /><Relationship Id="rId396" Target="http://fund.eastmoney.com/Company/f10/jjjl_80560383.html" TargetMode="External" Type="http://schemas.openxmlformats.org/officeDocument/2006/relationships/hyperlink" /><Relationship Id="rId397" Target="http://fund.eastmoney.com/Company/80560391.html" TargetMode="External" Type="http://schemas.openxmlformats.org/officeDocument/2006/relationships/hyperlink" /><Relationship Id="rId398" Target="http://fund.eastmoney.com/Company/80560391.html" TargetMode="External" Type="http://schemas.openxmlformats.org/officeDocument/2006/relationships/hyperlink" /><Relationship Id="rId399" Target="http://fund.eastmoney.com/Company/f10/jjjl_80560391.html" TargetMode="External" Type="http://schemas.openxmlformats.org/officeDocument/2006/relationships/hyperlink" /><Relationship Id="rId400" Target="http://fund.eastmoney.com/Company/80280397.html" TargetMode="External" Type="http://schemas.openxmlformats.org/officeDocument/2006/relationships/hyperlink" /><Relationship Id="rId401" Target="http://fund.eastmoney.com/Company/80280397.html" TargetMode="External" Type="http://schemas.openxmlformats.org/officeDocument/2006/relationships/hyperlink" /><Relationship Id="rId402" Target="http://fund.eastmoney.com/Company/f10/jjjl_80280397.html" TargetMode="External" Type="http://schemas.openxmlformats.org/officeDocument/2006/relationships/hyperlink" /><Relationship Id="rId403" Target="http://fund.eastmoney.com/Company/80664536.html" TargetMode="External" Type="http://schemas.openxmlformats.org/officeDocument/2006/relationships/hyperlink" /><Relationship Id="rId404" Target="http://fund.eastmoney.com/Company/80664536.html" TargetMode="External" Type="http://schemas.openxmlformats.org/officeDocument/2006/relationships/hyperlink" /><Relationship Id="rId405" Target="http://fund.eastmoney.com/Company/f10/jjjl_80664536.html" TargetMode="External" Type="http://schemas.openxmlformats.org/officeDocument/2006/relationships/hyperlink" /><Relationship Id="rId406" Target="http://fund.eastmoney.com/Company/80924817.html" TargetMode="External" Type="http://schemas.openxmlformats.org/officeDocument/2006/relationships/hyperlink" /><Relationship Id="rId407" Target="http://fund.eastmoney.com/Company/80924817.html" TargetMode="External" Type="http://schemas.openxmlformats.org/officeDocument/2006/relationships/hyperlink" /><Relationship Id="rId408" Target="http://fund.eastmoney.com/Company/f10/jjjl_80924817.html" TargetMode="External" Type="http://schemas.openxmlformats.org/officeDocument/2006/relationships/hyperlink" /><Relationship Id="rId409" Target="http://fund.eastmoney.com/Company/80560407.html" TargetMode="External" Type="http://schemas.openxmlformats.org/officeDocument/2006/relationships/hyperlink" /><Relationship Id="rId410" Target="http://fund.eastmoney.com/Company/80560407.html" TargetMode="External" Type="http://schemas.openxmlformats.org/officeDocument/2006/relationships/hyperlink" /><Relationship Id="rId411" Target="http://fund.eastmoney.com/Company/f10/jjjl_80560407.html" TargetMode="External" Type="http://schemas.openxmlformats.org/officeDocument/2006/relationships/hyperlink" /><Relationship Id="rId412" Target="http://fund.eastmoney.com/Company/80560408.html" TargetMode="External" Type="http://schemas.openxmlformats.org/officeDocument/2006/relationships/hyperlink" /><Relationship Id="rId413" Target="http://fund.eastmoney.com/Company/80560408.html" TargetMode="External" Type="http://schemas.openxmlformats.org/officeDocument/2006/relationships/hyperlink" /><Relationship Id="rId414" Target="http://fund.eastmoney.com/Company/f10/jjjl_80560408.html" TargetMode="External" Type="http://schemas.openxmlformats.org/officeDocument/2006/relationships/hyperlink" /><Relationship Id="rId415" Target="http://fund.eastmoney.com/Company/80560384.html" TargetMode="External" Type="http://schemas.openxmlformats.org/officeDocument/2006/relationships/hyperlink" /><Relationship Id="rId416" Target="http://fund.eastmoney.com/Company/80560384.html" TargetMode="External" Type="http://schemas.openxmlformats.org/officeDocument/2006/relationships/hyperlink" /><Relationship Id="rId417" Target="http://fund.eastmoney.com/Company/f10/jjjl_80560384.html" TargetMode="External" Type="http://schemas.openxmlformats.org/officeDocument/2006/relationships/hyperlink" /><Relationship Id="rId418" Target="http://fund.eastmoney.com/Company/80965167.html" TargetMode="External" Type="http://schemas.openxmlformats.org/officeDocument/2006/relationships/hyperlink" /><Relationship Id="rId419" Target="http://fund.eastmoney.com/Company/80965167.html" TargetMode="External" Type="http://schemas.openxmlformats.org/officeDocument/2006/relationships/hyperlink" /><Relationship Id="rId420" Target="http://fund.eastmoney.com/Company/f10/jjjl_80965167.html" TargetMode="External" Type="http://schemas.openxmlformats.org/officeDocument/2006/relationships/hyperlink" /><Relationship Id="rId421" Target="http://fund.eastmoney.com/Company/80672691.html" TargetMode="External" Type="http://schemas.openxmlformats.org/officeDocument/2006/relationships/hyperlink" /><Relationship Id="rId422" Target="http://fund.eastmoney.com/Company/80672691.html" TargetMode="External" Type="http://schemas.openxmlformats.org/officeDocument/2006/relationships/hyperlink" /><Relationship Id="rId423" Target="http://fund.eastmoney.com/Company/f10/jjjl_80672691.html" TargetMode="External" Type="http://schemas.openxmlformats.org/officeDocument/2006/relationships/hyperlink" /><Relationship Id="rId424" Target="http://fund.eastmoney.com/Company/80381452.html" TargetMode="External" Type="http://schemas.openxmlformats.org/officeDocument/2006/relationships/hyperlink" /><Relationship Id="rId425" Target="http://fund.eastmoney.com/Company/80381452.html" TargetMode="External" Type="http://schemas.openxmlformats.org/officeDocument/2006/relationships/hyperlink" /><Relationship Id="rId426" Target="http://fund.eastmoney.com/Company/f10/jjjl_80381452.html" TargetMode="External" Type="http://schemas.openxmlformats.org/officeDocument/2006/relationships/hyperlink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287"/>
  <sheetViews>
    <sheetView tabSelected="1" workbookViewId="0" zoomScale="116">
      <pane activePane="topRight" state="frozen" topLeftCell="P1" xSplit="1"/>
      <selection activeCell="T1" pane="topRight" sqref="T1:T1048576"/>
    </sheetView>
  </sheetViews>
  <sheetFormatPr baseColWidth="10" defaultRowHeight="16" outlineLevelCol="0"/>
  <cols>
    <col customWidth="1" max="1" min="1" style="130" width="17.5"/>
    <col bestFit="1" customWidth="1" max="3" min="3" style="130" width="20.6640625"/>
    <col bestFit="1" customWidth="1" max="4" min="4" style="4" width="13.6640625"/>
    <col customWidth="1" max="5" min="5" style="87" width="19.6640625"/>
    <col customWidth="1" max="6" min="6" style="5" width="15"/>
    <col customWidth="1" max="7" min="7" style="89" width="21"/>
    <col customWidth="1" max="8" min="8" style="90" width="25.83203125"/>
    <col customWidth="1" max="9" min="9" style="90" width="25.33203125"/>
    <col customWidth="1" max="10" min="10" style="90" width="21"/>
    <col customWidth="1" max="11" min="11" style="4" width="21.6640625"/>
    <col bestFit="1" customWidth="1" max="12" min="12" style="85" width="13.6640625"/>
    <col customWidth="1" max="13" min="13" style="36" width="19.6640625"/>
    <col customWidth="1" max="14" min="14" style="9" width="10.83203125"/>
    <col customWidth="1" max="15" min="15" style="94" width="21.83203125"/>
    <col customWidth="1" max="16" min="16" style="85" width="19.33203125"/>
    <col customWidth="1" max="17" min="17" style="130" width="16.6640625"/>
    <col customWidth="1" max="18" min="18" style="130" width="18.6640625"/>
    <col customWidth="1" max="19" min="19" style="131" width="10.83203125"/>
    <col customWidth="1" max="21" min="21" style="130" width="15.1640625"/>
    <col customWidth="1" max="22" min="22" style="131" width="19.1640625"/>
    <col bestFit="1" customWidth="1" max="24" min="23" style="130" width="20.33203125"/>
  </cols>
  <sheetData>
    <row customFormat="1" r="1" s="132" spans="1:114">
      <c r="A1" t="s">
        <v>0</v>
      </c>
      <c r="C1" s="132" t="s">
        <v>1</v>
      </c>
      <c r="D1" s="6" t="s">
        <v>2</v>
      </c>
      <c r="E1" s="34" t="s">
        <v>3</v>
      </c>
      <c r="F1" s="8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6" t="s">
        <v>9</v>
      </c>
      <c r="L1" s="10" t="s">
        <v>10</v>
      </c>
      <c r="M1" s="37" t="s">
        <v>11</v>
      </c>
      <c r="N1" s="12" t="s">
        <v>12</v>
      </c>
      <c r="O1" s="11" t="s">
        <v>13</v>
      </c>
      <c r="P1" s="10" t="s">
        <v>14</v>
      </c>
      <c r="Q1" s="132" t="s">
        <v>15</v>
      </c>
      <c r="R1" s="132" t="s">
        <v>16</v>
      </c>
      <c r="S1" s="128" t="s">
        <v>17</v>
      </c>
      <c r="T1" s="132" t="s">
        <v>18</v>
      </c>
      <c r="U1" s="127" t="s">
        <v>19</v>
      </c>
      <c r="V1" s="128" t="s">
        <v>20</v>
      </c>
      <c r="W1" s="132" t="s">
        <v>21</v>
      </c>
      <c r="X1" s="132" t="s">
        <v>22</v>
      </c>
    </row>
    <row customFormat="1" r="2" s="22" spans="1:114">
      <c r="A2" s="39" t="s">
        <v>23</v>
      </c>
      <c r="B2" s="22" t="s">
        <v>24</v>
      </c>
      <c r="C2" s="115" t="n">
        <v>10.49872798834857</v>
      </c>
      <c r="D2" s="24" t="n">
        <v>6.939849715892305</v>
      </c>
      <c r="E2" s="35" t="n">
        <v>0.3389818534593798</v>
      </c>
      <c r="F2" s="24" t="n">
        <v>27.61041838384445</v>
      </c>
      <c r="G2" s="53" t="n">
        <v>1.62988224997222</v>
      </c>
      <c r="H2" s="26" t="n">
        <v>-0.1434312021988103</v>
      </c>
      <c r="I2" s="26" t="n">
        <v>-0.02244701986244713</v>
      </c>
      <c r="J2" s="26" t="n">
        <v>0.2195493465402962</v>
      </c>
      <c r="K2" s="24" t="n">
        <v>3.978532607214303</v>
      </c>
      <c r="L2" s="27" t="n">
        <v>6.939849715892305</v>
      </c>
      <c r="M2" s="38" t="n">
        <v>0.3389818534593798</v>
      </c>
      <c r="N2" s="40" t="n">
        <v>14.9549092837828</v>
      </c>
      <c r="O2" s="29" t="n">
        <v>0.4244496381256544</v>
      </c>
      <c r="P2" s="30" t="n">
        <v>2.154932728519459</v>
      </c>
      <c r="Q2" s="41" t="n">
        <v>0.122395054650749</v>
      </c>
      <c r="R2" s="41" t="n">
        <v>0.1238431265893075</v>
      </c>
      <c r="S2" s="42" t="n">
        <v>0.03179472814270947</v>
      </c>
      <c r="T2" t="n">
        <v>2962.27</v>
      </c>
      <c r="U2" s="42">
        <f>C2*S2</f>
        <v/>
      </c>
      <c r="V2" s="42">
        <f>Q2*(1-U2)+S2</f>
        <v/>
      </c>
      <c r="W2" s="42">
        <f>V2+I4/3</f>
        <v/>
      </c>
      <c r="X2" s="42">
        <f>V2+I4/5</f>
        <v/>
      </c>
      <c r="Z2" s="43" t="n"/>
      <c r="AA2" s="43" t="n"/>
      <c r="AB2" s="43" t="n"/>
      <c r="AC2" s="43" t="n"/>
      <c r="AE2" s="43" t="n"/>
      <c r="AF2" s="43" t="n"/>
      <c r="AG2" s="43" t="n"/>
      <c r="AH2" s="43" t="n"/>
      <c r="AK2" s="43" t="n"/>
      <c r="AM2" s="43" t="n"/>
      <c r="AO2" s="43" t="n"/>
      <c r="AP2" s="43" t="n"/>
      <c r="AQ2" s="43" t="n"/>
      <c r="AR2" s="43" t="n"/>
      <c r="AT2" s="43" t="n"/>
      <c r="AU2" s="43" t="n"/>
      <c r="AV2" s="43" t="n"/>
      <c r="AW2" s="43" t="n"/>
      <c r="AZ2" s="43" t="n"/>
      <c r="BA2" s="43" t="n"/>
      <c r="BB2" s="43" t="n"/>
      <c r="BD2" s="43" t="n"/>
      <c r="BE2" s="43" t="n"/>
      <c r="BF2" s="43" t="n"/>
      <c r="BG2" s="43" t="n"/>
      <c r="BI2" s="43" t="n"/>
      <c r="BJ2" s="43" t="n"/>
      <c r="BK2" s="43" t="n"/>
      <c r="BL2" s="43" t="n"/>
      <c r="BN2" s="43" t="n"/>
      <c r="BO2" s="43" t="n"/>
      <c r="BP2" s="43" t="n"/>
      <c r="BQ2" s="43" t="n"/>
      <c r="BS2" s="43" t="n"/>
      <c r="BT2" s="43" t="n"/>
      <c r="BU2" s="43" t="n"/>
      <c r="BV2" s="43" t="n"/>
      <c r="BX2" s="43" t="n"/>
      <c r="BY2" s="43" t="n"/>
      <c r="BZ2" s="43" t="n"/>
      <c r="CA2" s="43" t="n"/>
      <c r="CC2" s="43" t="n"/>
      <c r="CD2" s="43" t="n"/>
      <c r="CE2" s="43" t="n"/>
      <c r="CF2" s="43" t="n"/>
      <c r="CH2" s="43" t="n"/>
      <c r="CI2" s="43" t="n"/>
      <c r="CJ2" s="43" t="n"/>
      <c r="CK2" s="43" t="n"/>
      <c r="CM2" s="43" t="n"/>
      <c r="CN2" s="43" t="n"/>
      <c r="CO2" s="43" t="n"/>
      <c r="CP2" s="43" t="n"/>
      <c r="CR2" s="43" t="n"/>
      <c r="CS2" s="43" t="n"/>
      <c r="CT2" s="43" t="n"/>
      <c r="CU2" s="43" t="n"/>
      <c r="CW2" s="43" t="n"/>
      <c r="CX2" s="43" t="n"/>
      <c r="CY2" s="43" t="n"/>
      <c r="CZ2" s="43" t="n"/>
      <c r="DD2" s="43" t="n"/>
      <c r="DE2" s="43" t="n"/>
      <c r="DH2" s="43" t="n"/>
      <c r="DI2" s="43" t="n"/>
      <c r="DJ2" s="43" t="n"/>
    </row>
    <row customFormat="1" r="3" s="22" spans="1:114">
      <c r="A3" s="22" t="s">
        <v>25</v>
      </c>
      <c r="B3" s="22" t="s">
        <v>26</v>
      </c>
      <c r="C3" s="116" t="n">
        <v>12.22746544307255</v>
      </c>
      <c r="D3" s="24" t="n">
        <v>9.578742980228741</v>
      </c>
      <c r="E3" s="35" t="n">
        <v>0.2166207277522456</v>
      </c>
      <c r="F3" s="24" t="n">
        <v>39.53213911240128</v>
      </c>
      <c r="G3" s="53" t="n">
        <v>2.233060792234595</v>
      </c>
      <c r="H3" s="26" t="n">
        <v>-0.1075699024570556</v>
      </c>
      <c r="I3" s="26" t="n">
        <v>0.05160142046141769</v>
      </c>
      <c r="J3" s="26" t="n">
        <v>0.3192750380836453</v>
      </c>
      <c r="K3" s="24" t="n">
        <v>4.127069615919192</v>
      </c>
      <c r="L3" s="27" t="n">
        <v>9.600391117075199</v>
      </c>
      <c r="M3" s="38" t="n">
        <v>0.2148502760631981</v>
      </c>
      <c r="N3" s="40" t="n">
        <v>19.70050410963026</v>
      </c>
      <c r="O3" s="29" t="n">
        <v>0.6111682507998044</v>
      </c>
      <c r="P3" s="30" t="n">
        <v>2.052052241349944</v>
      </c>
      <c r="Q3" s="31" t="n"/>
      <c r="S3" s="32" t="n"/>
      <c r="V3" s="32" t="n"/>
    </row>
    <row customFormat="1" r="4" s="22" spans="1:114">
      <c r="A4" s="22" t="s">
        <v>27</v>
      </c>
      <c r="B4" s="22" t="s">
        <v>28</v>
      </c>
      <c r="C4" s="116" t="n">
        <v>1.284992385897271</v>
      </c>
      <c r="D4" s="24" t="n">
        <v>1.061810923873729</v>
      </c>
      <c r="E4" s="35" t="n">
        <v>0.1736831007505942</v>
      </c>
      <c r="F4" s="25" t="n">
        <v>3.729705607906427</v>
      </c>
      <c r="G4" s="53" t="n">
        <v>1.902511834964755</v>
      </c>
      <c r="H4" s="26" t="n">
        <v>-0.06374630700938877</v>
      </c>
      <c r="I4" s="26" t="n">
        <v>0.08858691712787703</v>
      </c>
      <c r="J4" s="26" t="n">
        <v>0.6016648816316821</v>
      </c>
      <c r="K4" s="24" t="n">
        <v>3.512589222852981</v>
      </c>
      <c r="L4" s="27" t="n">
        <v>1.061810923873729</v>
      </c>
      <c r="M4" s="38" t="n">
        <v>0.1736831007505942</v>
      </c>
      <c r="N4" s="28" t="n">
        <v>2.067119667541824</v>
      </c>
      <c r="O4" s="29" t="n">
        <v>0.6086629697018917</v>
      </c>
      <c r="P4" s="30" t="n">
        <v>1.946786966553799</v>
      </c>
      <c r="Q4" s="31" t="n"/>
      <c r="S4" s="32" t="n"/>
      <c r="V4" s="32" t="n"/>
    </row>
    <row customFormat="1" r="5" s="22" spans="1:114">
      <c r="A5" s="22" t="n">
        <v>2.49</v>
      </c>
      <c r="B5" s="22" t="s">
        <v>29</v>
      </c>
      <c r="C5" s="116" t="n">
        <v>1.514287550732817</v>
      </c>
      <c r="D5" s="24" t="n">
        <v>1.258034719895051</v>
      </c>
      <c r="E5" s="35" t="n">
        <v>0.1692233623090653</v>
      </c>
      <c r="F5" s="25" t="n">
        <v>3.858298571370144</v>
      </c>
      <c r="G5" s="53" t="n">
        <v>1.547929928832193</v>
      </c>
      <c r="H5" s="26" t="n">
        <v>-0.03905063045298129</v>
      </c>
      <c r="I5" s="26" t="n">
        <v>0.08265217240109668</v>
      </c>
      <c r="J5" s="26" t="n">
        <v>0.5219425905603312</v>
      </c>
      <c r="K5" s="24" t="n">
        <v>3.066925348206619</v>
      </c>
      <c r="L5" s="27" t="n">
        <v>1.258034719895051</v>
      </c>
      <c r="M5" s="38" t="n">
        <v>0.1692233623090653</v>
      </c>
      <c r="N5" s="28" t="n">
        <v>2.785034658730494</v>
      </c>
      <c r="O5" s="29" t="n">
        <v>0.8391716007852785</v>
      </c>
      <c r="P5" s="30" t="n">
        <v>2.213797929967172</v>
      </c>
      <c r="S5" s="32" t="n"/>
      <c r="V5" s="32" t="n"/>
    </row>
    <row r="6" spans="1:114">
      <c r="C6" s="1" t="n"/>
      <c r="D6" s="86" t="n"/>
      <c r="K6" s="86" t="n"/>
      <c r="L6" s="91" t="n"/>
      <c r="M6" s="92" t="n"/>
      <c r="N6" s="93" t="n"/>
      <c r="P6" s="95" t="n"/>
    </row>
    <row customFormat="1" r="7" s="22" spans="1:114">
      <c r="A7" s="39" t="s">
        <v>30</v>
      </c>
      <c r="B7" s="22" t="s">
        <v>24</v>
      </c>
      <c r="C7" s="115" t="n">
        <v>13.26100770572035</v>
      </c>
      <c r="D7" s="24" t="n">
        <v>8.011307841787573</v>
      </c>
      <c r="E7" s="35" t="n">
        <v>0.3958748822435442</v>
      </c>
      <c r="F7" s="25" t="n">
        <v>31.91991746270647</v>
      </c>
      <c r="G7" s="53" t="n">
        <v>1.407050668475013</v>
      </c>
      <c r="H7" s="26" t="n">
        <v>-0.2201212225776683</v>
      </c>
      <c r="I7" s="26" t="n">
        <v>-0.04334987990392813</v>
      </c>
      <c r="J7" s="26" t="n">
        <v>0.173195660128747</v>
      </c>
      <c r="K7" s="24" t="n">
        <v>3.984357871783408</v>
      </c>
      <c r="L7" s="27" t="n">
        <v>8.011307841787573</v>
      </c>
      <c r="M7" s="38" t="n">
        <v>0.3958748822435442</v>
      </c>
      <c r="N7" s="28" t="n">
        <v>19.01219329479966</v>
      </c>
      <c r="O7" s="29" t="n">
        <v>0.4336914446251654</v>
      </c>
      <c r="P7" s="30" t="n">
        <v>2.373169733364964</v>
      </c>
      <c r="Q7" s="31" t="n">
        <v>0.1195032217159527</v>
      </c>
      <c r="R7" s="31" t="n">
        <v>0.1063523956286799</v>
      </c>
      <c r="S7" s="32" t="n">
        <v>0.02503388947588614</v>
      </c>
      <c r="T7" t="n">
        <v>4057.23</v>
      </c>
      <c r="U7" s="42">
        <f>C7*S7</f>
        <v/>
      </c>
      <c r="V7" s="42">
        <f>Q7*(1-U7)+S7</f>
        <v/>
      </c>
      <c r="W7" s="42">
        <f>V7+I9/3</f>
        <v/>
      </c>
      <c r="X7" s="42">
        <f>V7+I9/5</f>
        <v/>
      </c>
    </row>
    <row customFormat="1" customHeight="1" ht="17" r="8" s="22" spans="1:114">
      <c r="A8" s="22" t="s">
        <v>31</v>
      </c>
      <c r="B8" s="22" t="s">
        <v>26</v>
      </c>
      <c r="C8" s="116" t="n">
        <v>18.98528397661296</v>
      </c>
      <c r="D8" s="24" t="n">
        <v>13.64144195154361</v>
      </c>
      <c r="E8" s="35" t="n">
        <v>0.2814728519021454</v>
      </c>
      <c r="F8" s="25" t="n">
        <v>57.64559115694791</v>
      </c>
      <c r="G8" s="53" t="n">
        <v>2.03633020332794</v>
      </c>
      <c r="H8" s="26" t="n">
        <v>-0.08662399120536179</v>
      </c>
      <c r="I8" s="26" t="n">
        <v>0.1455440697876333</v>
      </c>
      <c r="J8" s="26" t="n">
        <v>0.3275250607272946</v>
      </c>
      <c r="K8" s="24" t="n">
        <v>4.225769633570517</v>
      </c>
      <c r="L8" s="27" t="n">
        <v>13.64144195154361</v>
      </c>
      <c r="M8" s="38" t="n">
        <v>0.2814728519021454</v>
      </c>
      <c r="N8" s="28" t="n">
        <v>36.41282603347769</v>
      </c>
      <c r="O8" s="29" t="n">
        <v>0.9179500332116639</v>
      </c>
      <c r="P8" s="30" t="n">
        <v>2.669279843202894</v>
      </c>
      <c r="Q8" s="31" t="n"/>
      <c r="R8" s="31" t="n"/>
      <c r="S8" s="32" t="n"/>
      <c r="V8" s="32" t="n"/>
    </row>
    <row customFormat="1" r="9" s="22" spans="1:114">
      <c r="A9" s="22" t="s">
        <v>32</v>
      </c>
      <c r="B9" s="22" t="s">
        <v>28</v>
      </c>
      <c r="C9" s="116" t="n">
        <v>1.584733144033657</v>
      </c>
      <c r="D9" s="24" t="n">
        <v>1.170066885588465</v>
      </c>
      <c r="E9" s="35" t="n">
        <v>0.2616631449947039</v>
      </c>
      <c r="F9" s="25" t="n">
        <v>3.896781200441059</v>
      </c>
      <c r="G9" s="53" t="n">
        <v>1.458951032299668</v>
      </c>
      <c r="H9" s="26" t="n">
        <v>-0.1069964770117168</v>
      </c>
      <c r="I9" s="26" t="n">
        <v>0.04228481373378168</v>
      </c>
      <c r="J9" s="26" t="n">
        <v>0.4807619969528829</v>
      </c>
      <c r="K9" s="24" t="n">
        <v>3.33039183352432</v>
      </c>
      <c r="L9" s="27" t="n">
        <v>1.170066885588465</v>
      </c>
      <c r="M9" s="38" t="n">
        <v>0.2616631449947039</v>
      </c>
      <c r="N9" s="28" t="n">
        <v>2.530007995934247</v>
      </c>
      <c r="O9" s="29" t="n">
        <v>0.5964883459776462</v>
      </c>
      <c r="P9" s="30" t="n">
        <v>2.162276385304096</v>
      </c>
      <c r="Q9" s="31" t="n"/>
      <c r="R9" s="31" t="n"/>
      <c r="S9" s="32" t="n"/>
      <c r="V9" s="32" t="n"/>
    </row>
    <row customFormat="1" r="10" s="22" spans="1:114">
      <c r="A10" s="22" t="n">
        <v>2.66</v>
      </c>
      <c r="B10" s="22" t="s">
        <v>29</v>
      </c>
      <c r="C10" s="116" t="n">
        <v>2.019130432603578</v>
      </c>
      <c r="D10" s="24" t="n">
        <v>1.477120459258986</v>
      </c>
      <c r="E10" s="35" t="n">
        <v>0.2684373255895582</v>
      </c>
      <c r="F10" s="25" t="n">
        <v>4.160793818980316</v>
      </c>
      <c r="G10" s="53" t="n">
        <v>1.060686002149529</v>
      </c>
      <c r="H10" s="26" t="n">
        <v>-0.1111153357644031</v>
      </c>
      <c r="I10" s="26" t="n">
        <v>0.08895625618481406</v>
      </c>
      <c r="J10" s="26" t="n">
        <v>0.4134895625319115</v>
      </c>
      <c r="K10" s="24" t="n">
        <v>2.816827695330701</v>
      </c>
      <c r="L10" s="27" t="n">
        <v>1.477120459258986</v>
      </c>
      <c r="M10" s="38" t="n">
        <v>0.2684373255895582</v>
      </c>
      <c r="N10" s="28" t="n">
        <v>4.014765315865202</v>
      </c>
      <c r="O10" s="29" t="n">
        <v>0.9883635306751049</v>
      </c>
      <c r="P10" s="30" t="n">
        <v>2.717967441788231</v>
      </c>
      <c r="Q10" s="31" t="n"/>
      <c r="R10" s="31" t="n"/>
      <c r="S10" s="32" t="n"/>
      <c r="V10" s="32" t="n"/>
    </row>
    <row r="11" spans="1:114">
      <c r="C11" s="1" t="n"/>
      <c r="D11" s="86" t="n"/>
      <c r="K11" s="86" t="n"/>
      <c r="L11" s="91" t="n"/>
      <c r="M11" s="92" t="n"/>
      <c r="N11" s="93" t="n"/>
      <c r="P11" s="95" t="n"/>
      <c r="Q11" s="96" t="n"/>
      <c r="R11" s="96" t="n"/>
    </row>
    <row r="12" spans="1:114">
      <c r="A12" t="s">
        <v>33</v>
      </c>
      <c r="B12" t="s">
        <v>24</v>
      </c>
      <c r="C12" s="117" t="n">
        <v>16.9631707239201</v>
      </c>
      <c r="D12" s="86" t="n">
        <v>11.92450592721041</v>
      </c>
      <c r="E12" s="87" t="n">
        <v>0.2970355530056988</v>
      </c>
      <c r="F12" s="88" t="n">
        <v>57.08840418419783</v>
      </c>
      <c r="G12" s="89" t="n">
        <v>2.365432389576576</v>
      </c>
      <c r="H12" s="90" t="n">
        <v>0.101693380918253</v>
      </c>
      <c r="I12" s="90" t="n">
        <v>0.360178084929424</v>
      </c>
      <c r="J12" s="90" t="n">
        <v>0.7990364911763517</v>
      </c>
      <c r="K12" s="86" t="n">
        <v>4.787485916202898</v>
      </c>
      <c r="L12" s="91" t="n">
        <v>11.92450592721041</v>
      </c>
      <c r="M12" s="92" t="n">
        <v>0.2970355530056988</v>
      </c>
      <c r="N12" s="93" t="n">
        <v>52.14850409410686</v>
      </c>
      <c r="O12" s="94" t="n">
        <v>2.074219138794095</v>
      </c>
      <c r="P12" s="95" t="n">
        <v>4.373221365516679</v>
      </c>
      <c r="Q12" s="96" t="n">
        <v>0.1126635331437058</v>
      </c>
      <c r="R12" s="96" t="n">
        <v>0.0983601146849034</v>
      </c>
      <c r="S12" s="131" t="n">
        <v>0.01880726825602109</v>
      </c>
      <c r="T12" t="n">
        <v>4186.98</v>
      </c>
      <c r="U12" s="42">
        <f>C12*S12</f>
        <v/>
      </c>
      <c r="V12" s="42">
        <f>Q12*(1-U12)+S12</f>
        <v/>
      </c>
      <c r="W12" s="42">
        <f>V12+I14/3</f>
        <v/>
      </c>
      <c r="X12" s="42">
        <f>V12+I14/5</f>
        <v/>
      </c>
    </row>
    <row customHeight="1" ht="17" r="13" s="130" spans="1:114">
      <c r="A13" t="s">
        <v>34</v>
      </c>
      <c r="B13" t="s">
        <v>26</v>
      </c>
      <c r="C13" s="118" t="n">
        <v>22.54804377546958</v>
      </c>
      <c r="D13" s="86" t="n">
        <v>15.07988177516129</v>
      </c>
      <c r="E13" s="87" t="n">
        <v>0.3312110830844243</v>
      </c>
      <c r="F13" s="88" t="n">
        <v>65.47424066944239</v>
      </c>
      <c r="G13" s="89" t="n">
        <v>1.903765901886043</v>
      </c>
      <c r="H13" s="90" t="n">
        <v>-0.04112946105283988</v>
      </c>
      <c r="I13" s="90" t="n">
        <v>0.1949747539882958</v>
      </c>
      <c r="J13" s="90" t="n">
        <v>0.5103708170661949</v>
      </c>
      <c r="K13" s="86" t="n">
        <v>4.341827187086293</v>
      </c>
      <c r="L13" s="91" t="n">
        <v>15.07988177516129</v>
      </c>
      <c r="M13" s="92" t="n">
        <v>0.3312110830844243</v>
      </c>
      <c r="N13" s="93" t="n">
        <v>53.60564197214831</v>
      </c>
      <c r="O13" s="94" t="n">
        <v>1.37739657178007</v>
      </c>
      <c r="P13" s="95" t="n">
        <v>3.554778662817133</v>
      </c>
      <c r="Q13" s="96" t="n"/>
      <c r="R13" s="96" t="n"/>
      <c r="U13" s="22" t="n"/>
      <c r="V13" s="32" t="n"/>
      <c r="W13" s="22" t="n"/>
      <c r="X13" s="22" t="n"/>
    </row>
    <row r="14" spans="1:114">
      <c r="A14" t="s">
        <v>35</v>
      </c>
      <c r="B14" t="s">
        <v>28</v>
      </c>
      <c r="C14" s="117" t="n">
        <v>1.911130747076711</v>
      </c>
      <c r="D14" s="86" t="n">
        <v>1.411896142167432</v>
      </c>
      <c r="E14" s="87" t="n">
        <v>0.261224725557325</v>
      </c>
      <c r="F14" s="88" t="n">
        <v>5.005453774073755</v>
      </c>
      <c r="G14" s="89" t="n">
        <v>1.619105878407407</v>
      </c>
      <c r="H14" s="90" t="n">
        <v>0.02685708809942722</v>
      </c>
      <c r="I14" s="90" t="n">
        <v>0.1690755459567825</v>
      </c>
      <c r="J14" s="90" t="n">
        <v>0.7003816963547433</v>
      </c>
      <c r="K14" s="86" t="n">
        <v>3.545199696055388</v>
      </c>
      <c r="L14" s="91" t="n">
        <v>1.411896142167432</v>
      </c>
      <c r="M14" s="92" t="n">
        <v>0.261224725557325</v>
      </c>
      <c r="N14" s="93" t="n">
        <v>5.005453774073755</v>
      </c>
      <c r="O14" s="94" t="n">
        <v>1.619105878407407</v>
      </c>
      <c r="P14" s="95" t="n">
        <v>3.545199696055388</v>
      </c>
      <c r="Q14" s="96" t="n"/>
      <c r="R14" s="96" t="n"/>
      <c r="U14" s="22" t="n"/>
      <c r="V14" s="32" t="n"/>
      <c r="W14" s="22" t="n"/>
      <c r="X14" s="22" t="n"/>
    </row>
    <row r="15" spans="1:114">
      <c r="A15" t="n">
        <v>2.93</v>
      </c>
      <c r="B15" t="s">
        <v>29</v>
      </c>
      <c r="C15" s="118" t="n">
        <v>2.21782817167541</v>
      </c>
      <c r="D15" s="86" t="n">
        <v>1.507547827713974</v>
      </c>
      <c r="E15" s="87" t="n">
        <v>0.3202594110006595</v>
      </c>
      <c r="F15" s="88" t="n">
        <v>4.862517331565622</v>
      </c>
      <c r="G15" s="89" t="n">
        <v>1.192468016082751</v>
      </c>
      <c r="H15" s="90" t="n">
        <v>-0.1177797389340368</v>
      </c>
      <c r="I15" s="90" t="n">
        <v>0.09764009088395365</v>
      </c>
      <c r="J15" s="90" t="n">
        <v>0.3765743234641039</v>
      </c>
      <c r="K15" s="86" t="n">
        <v>3.225448136487372</v>
      </c>
      <c r="L15" s="91" t="n">
        <v>1.507547827713974</v>
      </c>
      <c r="M15" s="92" t="n">
        <v>0.3202594110006595</v>
      </c>
      <c r="N15" s="93" t="n">
        <v>4.862517331565622</v>
      </c>
      <c r="O15" s="94" t="n">
        <v>1.192468016082751</v>
      </c>
      <c r="P15" s="95" t="n">
        <v>3.225448136487372</v>
      </c>
      <c r="Q15" s="96" t="n"/>
      <c r="R15" s="96" t="n"/>
      <c r="U15" s="22" t="n"/>
      <c r="V15" s="32" t="n"/>
      <c r="W15" s="22" t="n"/>
      <c r="X15" s="22" t="n"/>
    </row>
    <row r="16" spans="1:114">
      <c r="C16" s="1" t="n"/>
      <c r="D16" s="86" t="n"/>
      <c r="K16" s="86" t="n"/>
      <c r="L16" s="91" t="n"/>
      <c r="M16" s="92" t="n"/>
      <c r="N16" s="93" t="n"/>
      <c r="P16" s="95" t="n"/>
      <c r="Q16" s="96" t="n"/>
      <c r="R16" s="96" t="n"/>
    </row>
    <row customFormat="1" r="17" s="22" spans="1:114">
      <c r="A17" s="22" t="s">
        <v>36</v>
      </c>
      <c r="B17" s="22" t="s">
        <v>24</v>
      </c>
      <c r="C17" s="119" t="n">
        <v>23.07896765064575</v>
      </c>
      <c r="D17" s="24" t="n">
        <v>15.99894621668674</v>
      </c>
      <c r="E17" s="35" t="n">
        <v>0.3067737492045454</v>
      </c>
      <c r="F17" s="25" t="n">
        <v>93.01328551281777</v>
      </c>
      <c r="G17" s="53" t="n">
        <v>3.030218635460294</v>
      </c>
      <c r="H17" s="26" t="n">
        <v>0.2024135265903753</v>
      </c>
      <c r="I17" s="26" t="n">
        <v>0.4792848975165021</v>
      </c>
      <c r="J17" s="26" t="n">
        <v>1.075167436197216</v>
      </c>
      <c r="K17" s="24" t="n">
        <v>5.813713244176411</v>
      </c>
      <c r="L17" s="27" t="n">
        <v>15.99894621668674</v>
      </c>
      <c r="M17" s="38" t="n">
        <v>0.3067737492045454</v>
      </c>
      <c r="N17" s="28" t="n">
        <v>81.43928125370681</v>
      </c>
      <c r="O17" s="29" t="n">
        <v>2.528722882517153</v>
      </c>
      <c r="P17" s="30" t="n">
        <v>5.090290332294916</v>
      </c>
      <c r="Q17" s="31" t="n">
        <v>0.09372832831871439</v>
      </c>
      <c r="R17" s="31" t="n">
        <v>0.08136053203741406</v>
      </c>
      <c r="S17" s="32" t="n">
        <v>0.0133055832914863</v>
      </c>
      <c r="T17" s="22" t="n">
        <v>5847.63</v>
      </c>
      <c r="U17" s="42">
        <f>C17*S17</f>
        <v/>
      </c>
      <c r="V17" s="42">
        <f>Q17*(1-U17)+S17</f>
        <v/>
      </c>
      <c r="W17" s="42">
        <f>V17+I19/3</f>
        <v/>
      </c>
      <c r="X17" s="42">
        <f>V17+I19/5</f>
        <v/>
      </c>
    </row>
    <row customFormat="1" r="18" s="22" spans="1:114">
      <c r="A18" s="22" t="s">
        <v>37</v>
      </c>
      <c r="B18" s="22" t="s">
        <v>26</v>
      </c>
      <c r="C18" s="119" t="n">
        <v>24.31570260395483</v>
      </c>
      <c r="D18" s="24" t="n">
        <v>17.03118575985616</v>
      </c>
      <c r="E18" s="35" t="n">
        <v>0.2995807673233297</v>
      </c>
      <c r="F18" s="25" t="n">
        <v>125.4394028154468</v>
      </c>
      <c r="G18" s="53" t="n">
        <v>4.158781749331179</v>
      </c>
      <c r="H18" s="26" t="n">
        <v>0.2021625262235507</v>
      </c>
      <c r="I18" s="26" t="n">
        <v>0.5096302010328733</v>
      </c>
      <c r="J18" s="26" t="n">
        <v>1.132973701955628</v>
      </c>
      <c r="K18" s="24" t="n">
        <v>7.365277120699214</v>
      </c>
      <c r="L18" s="27" t="n">
        <v>17.03118575985616</v>
      </c>
      <c r="M18" s="38" t="n">
        <v>0.2995807673233297</v>
      </c>
      <c r="N18" s="28" t="n">
        <v>81.51189346761312</v>
      </c>
      <c r="O18" s="29" t="n">
        <v>2.352232703091031</v>
      </c>
      <c r="P18" s="30" t="n">
        <v>4.786037485407684</v>
      </c>
      <c r="Q18" s="31" t="n"/>
      <c r="R18" s="31" t="n"/>
      <c r="S18" s="32" t="n"/>
      <c r="V18" s="32" t="n"/>
    </row>
    <row customFormat="1" r="19" s="22" spans="1:114">
      <c r="A19" s="22" t="s">
        <v>35</v>
      </c>
      <c r="B19" s="22" t="s">
        <v>28</v>
      </c>
      <c r="C19" s="119" t="n">
        <v>2.163153057216713</v>
      </c>
      <c r="D19" s="24" t="n">
        <v>1.534883554112553</v>
      </c>
      <c r="E19" s="35" t="n">
        <v>0.2904415390340168</v>
      </c>
      <c r="F19" s="25" t="n">
        <v>5.864903495150546</v>
      </c>
      <c r="G19" s="53" t="n">
        <v>1.711275318953529</v>
      </c>
      <c r="H19" s="26" t="n">
        <v>0.04796637951929217</v>
      </c>
      <c r="I19" s="26" t="n">
        <v>0.283428653127842</v>
      </c>
      <c r="J19" s="26" t="n">
        <v>0.6564003785425303</v>
      </c>
      <c r="K19" s="24" t="n">
        <v>3.821073904555286</v>
      </c>
      <c r="L19" s="27" t="n">
        <v>1.534883554112553</v>
      </c>
      <c r="M19" s="38" t="n">
        <v>0.2904415390340168</v>
      </c>
      <c r="N19" s="28" t="n">
        <v>5.864903495150546</v>
      </c>
      <c r="O19" s="29" t="n">
        <v>1.711275318953529</v>
      </c>
      <c r="P19" s="30" t="n">
        <v>3.821073904555286</v>
      </c>
      <c r="Q19" s="31" t="n"/>
      <c r="R19" s="31" t="n"/>
      <c r="S19" s="32" t="n"/>
      <c r="V19" s="32" t="n"/>
    </row>
    <row customFormat="1" r="20" s="22" spans="1:114">
      <c r="A20" s="22" t="n">
        <v>3.41</v>
      </c>
      <c r="B20" s="22" t="s">
        <v>29</v>
      </c>
      <c r="C20" s="119" t="n">
        <v>1.9783385007213</v>
      </c>
      <c r="D20" s="24" t="n">
        <v>1.373530862886305</v>
      </c>
      <c r="E20" s="35" t="n">
        <v>0.3057149409034309</v>
      </c>
      <c r="F20" s="25" t="n">
        <v>5.485663354670264</v>
      </c>
      <c r="G20" s="53" t="n">
        <v>1.772863871713662</v>
      </c>
      <c r="H20" s="26" t="n">
        <v>0.04749167512108143</v>
      </c>
      <c r="I20" s="26" t="n">
        <v>0.3252145579610817</v>
      </c>
      <c r="J20" s="26" t="n">
        <v>0.6890815547622469</v>
      </c>
      <c r="K20" s="24" t="n">
        <v>3.993840621202221</v>
      </c>
      <c r="L20" s="27" t="n">
        <v>1.373530862886305</v>
      </c>
      <c r="M20" s="38" t="n">
        <v>0.3057149409034309</v>
      </c>
      <c r="N20" s="28" t="n">
        <v>5.485663354670264</v>
      </c>
      <c r="O20" s="29" t="n">
        <v>1.772863871713662</v>
      </c>
      <c r="P20" s="30" t="n">
        <v>3.993840621202221</v>
      </c>
      <c r="Q20" s="31" t="n"/>
      <c r="R20" s="31" t="n"/>
      <c r="S20" s="32" t="n"/>
      <c r="V20" s="32" t="n"/>
    </row>
    <row r="21" spans="1:114">
      <c r="C21" s="1" t="n"/>
      <c r="D21" s="86" t="n"/>
      <c r="K21" s="86" t="n"/>
      <c r="L21" s="91" t="n"/>
      <c r="M21" s="92" t="n"/>
      <c r="N21" s="93" t="n"/>
      <c r="P21" s="95" t="n"/>
      <c r="Q21" s="96" t="n"/>
      <c r="R21" s="96" t="n"/>
    </row>
    <row r="22" spans="1:114">
      <c r="A22" s="85" t="s">
        <v>38</v>
      </c>
      <c r="B22" t="s">
        <v>24</v>
      </c>
      <c r="C22" s="118" t="n">
        <v>9.603333788225509</v>
      </c>
      <c r="D22" s="86" t="n">
        <v>6.831599574385236</v>
      </c>
      <c r="E22" s="87" t="n">
        <v>0.2886220842639721</v>
      </c>
      <c r="F22" s="88" t="n">
        <v>38.01283873323111</v>
      </c>
      <c r="G22" s="89" t="n">
        <v>2.95829610544601</v>
      </c>
      <c r="H22" s="90" t="n">
        <v>-0.001254986337873576</v>
      </c>
      <c r="I22" s="90" t="n">
        <v>0.3968715130084612</v>
      </c>
      <c r="J22" s="90" t="n">
        <v>0.7136632786064505</v>
      </c>
      <c r="K22" s="86" t="n">
        <v>5.564266218962609</v>
      </c>
      <c r="L22" s="91" t="n">
        <v>6.831599574385236</v>
      </c>
      <c r="M22" s="92" t="n">
        <v>0.2886220842639721</v>
      </c>
      <c r="N22" s="93" t="n">
        <v>18.92308828279188</v>
      </c>
      <c r="O22" s="94" t="n">
        <v>0.9704707448566636</v>
      </c>
      <c r="P22" s="95" t="n">
        <v>2.769935221868554</v>
      </c>
      <c r="Q22" s="96" t="n">
        <v>0.1985372584317672</v>
      </c>
      <c r="R22" s="96" t="n">
        <v>0.1766798941343844</v>
      </c>
      <c r="S22" s="131" t="n">
        <v>0.03055897864711183</v>
      </c>
      <c r="T22" t="n">
        <v>9869.08</v>
      </c>
      <c r="U22" s="42">
        <f>C22*S22</f>
        <v/>
      </c>
      <c r="V22" s="42">
        <f>Q22*(1-U22)+S22</f>
        <v/>
      </c>
      <c r="W22" s="42">
        <f>V22+I24/3</f>
        <v/>
      </c>
      <c r="X22" s="42">
        <f>V22+I24/5</f>
        <v/>
      </c>
    </row>
    <row r="23" spans="1:114">
      <c r="A23" t="s">
        <v>39</v>
      </c>
      <c r="B23" t="s">
        <v>26</v>
      </c>
      <c r="C23" s="117" t="n">
        <v>9.267123686518751</v>
      </c>
      <c r="D23" s="86" t="n">
        <v>6.325961682709325</v>
      </c>
      <c r="E23" s="87" t="n">
        <v>0.3173759305800623</v>
      </c>
      <c r="F23" s="88" t="n">
        <v>43.81142698871079</v>
      </c>
      <c r="G23" s="89" t="n">
        <v>3.727618673358703</v>
      </c>
      <c r="H23" s="90" t="n">
        <v>0.1671401856871346</v>
      </c>
      <c r="I23" s="90" t="n">
        <v>0.5327553260316895</v>
      </c>
      <c r="J23" s="90" t="n">
        <v>0.8449970149638872</v>
      </c>
      <c r="K23" s="86" t="n">
        <v>6.925654815213319</v>
      </c>
      <c r="L23" s="91" t="n">
        <v>6.325961682709325</v>
      </c>
      <c r="M23" s="92" t="n">
        <v>0.3173759305800623</v>
      </c>
      <c r="N23" s="93" t="n">
        <v>19.55772528168835</v>
      </c>
      <c r="O23" s="94" t="n">
        <v>1.110441809483965</v>
      </c>
      <c r="P23" s="95" t="n">
        <v>3.09166040874785</v>
      </c>
      <c r="Q23" s="96" t="n"/>
      <c r="R23" s="96" t="n"/>
      <c r="U23" s="22" t="n"/>
      <c r="V23" s="32" t="n"/>
      <c r="W23" s="22" t="n"/>
      <c r="X23" s="22" t="n"/>
    </row>
    <row r="24" spans="1:114">
      <c r="A24" t="s">
        <v>40</v>
      </c>
      <c r="B24" t="s">
        <v>28</v>
      </c>
      <c r="C24" s="118" t="n">
        <v>1.906619562119449</v>
      </c>
      <c r="D24" s="86" t="n">
        <v>1.246000877174523</v>
      </c>
      <c r="E24" s="87" t="n">
        <v>0.3464868912865685</v>
      </c>
      <c r="F24" s="88" t="n">
        <v>4.056915531314404</v>
      </c>
      <c r="G24" s="89" t="n">
        <v>1.12780546886062</v>
      </c>
      <c r="H24" s="90" t="n">
        <v>-0.1068659308584082</v>
      </c>
      <c r="I24" s="90" t="n">
        <v>0.1194807415363968</v>
      </c>
      <c r="J24" s="90" t="n">
        <v>0.2781299048418475</v>
      </c>
      <c r="K24" s="86" t="n">
        <v>3.255949177591282</v>
      </c>
      <c r="L24" s="91" t="n">
        <v>1.28122070004468</v>
      </c>
      <c r="M24" s="92" t="n">
        <v>0.3280144998510135</v>
      </c>
      <c r="N24" s="93" t="n">
        <v>3.364404383374157</v>
      </c>
      <c r="O24" s="94" t="n">
        <v>0.7645913480685127</v>
      </c>
      <c r="P24" s="95" t="n">
        <v>2.625936642497916</v>
      </c>
      <c r="Q24" s="96" t="n"/>
      <c r="R24" s="96" t="n"/>
      <c r="U24" s="22" t="n"/>
      <c r="V24" s="32" t="n"/>
      <c r="W24" s="22" t="n"/>
      <c r="X24" s="22" t="n"/>
    </row>
    <row r="25" spans="1:114">
      <c r="A25" t="n">
        <v>4.3</v>
      </c>
      <c r="B25" t="s">
        <v>29</v>
      </c>
      <c r="C25" s="118" t="n">
        <v>1.637314431864379</v>
      </c>
      <c r="D25" s="86" t="n">
        <v>1.138565714345481</v>
      </c>
      <c r="E25" s="87" t="n">
        <v>0.3046138895575375</v>
      </c>
      <c r="F25" s="88" t="n">
        <v>4.102103504300503</v>
      </c>
      <c r="G25" s="89" t="n">
        <v>1.505385297086471</v>
      </c>
      <c r="H25" s="90" t="n">
        <v>-0.04313593162378926</v>
      </c>
      <c r="I25" s="90" t="n">
        <v>0.2239443197546527</v>
      </c>
      <c r="J25" s="90" t="n">
        <v>0.4287204081337479</v>
      </c>
      <c r="K25" s="86" t="n">
        <v>3.602869340447908</v>
      </c>
      <c r="L25" s="91" t="n">
        <v>1.138565714345481</v>
      </c>
      <c r="M25" s="92" t="n">
        <v>0.3046138895575375</v>
      </c>
      <c r="N25" s="93" t="n">
        <v>3.152764349282944</v>
      </c>
      <c r="O25" s="94" t="n">
        <v>0.9255704878219091</v>
      </c>
      <c r="P25" s="95" t="n">
        <v>2.769066650751337</v>
      </c>
      <c r="Q25" s="96" t="n"/>
      <c r="R25" s="96" t="n"/>
      <c r="U25" s="22" t="n"/>
      <c r="V25" s="32" t="n"/>
      <c r="W25" s="22" t="n"/>
      <c r="X25" s="22" t="n"/>
    </row>
    <row r="26" spans="1:114">
      <c r="C26" s="1" t="n"/>
      <c r="D26" s="86" t="n"/>
      <c r="K26" s="86" t="n"/>
      <c r="L26" s="91" t="n"/>
      <c r="M26" s="92" t="n"/>
      <c r="N26" s="93" t="n"/>
      <c r="P26" s="95" t="n"/>
      <c r="Q26" s="96" t="n"/>
      <c r="R26" s="96" t="n"/>
    </row>
    <row customFormat="1" r="27" s="22" spans="1:114">
      <c r="A27" s="39" t="s">
        <v>41</v>
      </c>
      <c r="B27" s="22" t="s">
        <v>24</v>
      </c>
      <c r="C27" s="119" t="n">
        <v>20.3858368247822</v>
      </c>
      <c r="D27" s="24" t="n">
        <v>12.67892556360255</v>
      </c>
      <c r="E27" s="35" t="n">
        <v>0.3780522392787273</v>
      </c>
      <c r="F27" s="25" t="n">
        <v>66.31178950631028</v>
      </c>
      <c r="G27" s="53" t="n">
        <v>2.25283627433424</v>
      </c>
      <c r="H27" s="26" t="n">
        <v>0.202793000902002</v>
      </c>
      <c r="I27" s="26" t="n">
        <v>0.4213442079389731</v>
      </c>
      <c r="J27" s="26" t="n">
        <v>0.7211346090915727</v>
      </c>
      <c r="K27" s="24" t="n">
        <v>5.230079565785279</v>
      </c>
      <c r="L27" s="27" t="n">
        <v>12.67892556360255</v>
      </c>
      <c r="M27" s="38" t="n">
        <v>0.3780522392787273</v>
      </c>
      <c r="N27" s="28" t="n">
        <v>66.31178950631028</v>
      </c>
      <c r="O27" s="29" t="n">
        <v>2.25283627433424</v>
      </c>
      <c r="P27" s="30" t="n">
        <v>5.230079565785279</v>
      </c>
      <c r="Q27" s="31" t="n">
        <v>0.1890483714999069</v>
      </c>
      <c r="R27" s="31" t="n">
        <v>0.1833511201406077</v>
      </c>
      <c r="S27" s="32" t="n">
        <v>0.01052991414187874</v>
      </c>
      <c r="T27" s="22" t="n">
        <v>1034</v>
      </c>
      <c r="U27" s="42">
        <f>C27*S27</f>
        <v/>
      </c>
      <c r="V27" s="42">
        <f>Q27*(1-U27)+S27</f>
        <v/>
      </c>
      <c r="W27" s="42">
        <f>V27+I29/3</f>
        <v/>
      </c>
      <c r="X27" s="42">
        <f>V27+I29/5</f>
        <v/>
      </c>
    </row>
    <row customFormat="1" r="28" s="22" spans="1:114">
      <c r="A28" s="22" t="s">
        <v>42</v>
      </c>
      <c r="B28" s="22" t="s">
        <v>26</v>
      </c>
      <c r="C28" s="119" t="n">
        <v>17.71285384350121</v>
      </c>
      <c r="D28" s="24" t="n">
        <v>10.45905808533378</v>
      </c>
      <c r="E28" s="35" t="n">
        <v>0.4095215724274053</v>
      </c>
      <c r="F28" s="25" t="n">
        <v>69.70580720002464</v>
      </c>
      <c r="G28" s="53" t="n">
        <v>2.935323342917973</v>
      </c>
      <c r="H28" s="26" t="n">
        <v>0.2159730599948984</v>
      </c>
      <c r="I28" s="26" t="n">
        <v>0.5778978141296638</v>
      </c>
      <c r="J28" s="26" t="n">
        <v>1.158138482204393</v>
      </c>
      <c r="K28" s="24" t="n">
        <v>6.664635250259258</v>
      </c>
      <c r="L28" s="27" t="n">
        <v>10.45905808533378</v>
      </c>
      <c r="M28" s="38" t="n">
        <v>0.4095215724274053</v>
      </c>
      <c r="N28" s="28" t="n">
        <v>69.70580720002464</v>
      </c>
      <c r="O28" s="29" t="n">
        <v>2.935323342917973</v>
      </c>
      <c r="P28" s="30" t="n">
        <v>6.664635250259258</v>
      </c>
      <c r="Q28" s="31" t="n"/>
      <c r="R28" s="31" t="n"/>
      <c r="S28" s="32" t="n"/>
      <c r="V28" s="32" t="n"/>
    </row>
    <row customFormat="1" r="29" s="22" spans="1:114">
      <c r="A29" s="22" t="s">
        <v>43</v>
      </c>
      <c r="B29" s="22" t="s">
        <v>28</v>
      </c>
      <c r="C29" s="119" t="n">
        <v>3.853909253387908</v>
      </c>
      <c r="D29" s="24" t="n">
        <v>2.681475065544565</v>
      </c>
      <c r="E29" s="35" t="n">
        <v>0.3042194589332055</v>
      </c>
      <c r="F29" s="25" t="n">
        <v>10.88760150471214</v>
      </c>
      <c r="G29" s="53" t="n">
        <v>1.82507988353411</v>
      </c>
      <c r="H29" s="26" t="n">
        <v>0.1523953756996193</v>
      </c>
      <c r="I29" s="26" t="n">
        <v>0.4109253390778211</v>
      </c>
      <c r="J29" s="26" t="n">
        <v>0.646959003913663</v>
      </c>
      <c r="K29" s="24" t="n">
        <v>4.060303093849966</v>
      </c>
      <c r="L29" s="27" t="n">
        <v>2.681475065544565</v>
      </c>
      <c r="M29" s="38" t="n">
        <v>0.3042194589332055</v>
      </c>
      <c r="N29" s="28" t="n">
        <v>10.88760150471214</v>
      </c>
      <c r="O29" s="29" t="n">
        <v>1.82507988353411</v>
      </c>
      <c r="P29" s="30" t="n">
        <v>4.060303093849966</v>
      </c>
      <c r="Q29" s="31" t="n"/>
      <c r="R29" s="31" t="n"/>
      <c r="S29" s="32" t="n"/>
      <c r="V29" s="32" t="n"/>
    </row>
    <row customFormat="1" r="30" s="22" spans="1:114">
      <c r="A30" s="22" t="n">
        <v>5.04</v>
      </c>
      <c r="B30" s="22" t="s">
        <v>29</v>
      </c>
      <c r="C30" s="119" t="n">
        <v>3.247671593092815</v>
      </c>
      <c r="D30" s="24" t="n">
        <v>2.200940486360262</v>
      </c>
      <c r="E30" s="35" t="n">
        <v>0.3223020175311917</v>
      </c>
      <c r="F30" s="25" t="n">
        <v>10.27852329283846</v>
      </c>
      <c r="G30" s="53" t="n">
        <v>2.164889982933907</v>
      </c>
      <c r="H30" s="26" t="n">
        <v>0.007841818874141371</v>
      </c>
      <c r="I30" s="26" t="n">
        <v>0.3798234487618029</v>
      </c>
      <c r="J30" s="26" t="n">
        <v>0.7954633394199164</v>
      </c>
      <c r="K30" s="24" t="n">
        <v>4.670059620665278</v>
      </c>
      <c r="L30" s="27" t="n">
        <v>2.200940486360262</v>
      </c>
      <c r="M30" s="38" t="n">
        <v>0.3223020175311917</v>
      </c>
      <c r="N30" s="28" t="n">
        <v>10.27852329283846</v>
      </c>
      <c r="O30" s="29" t="n">
        <v>2.164889982933907</v>
      </c>
      <c r="P30" s="30" t="n">
        <v>4.670059620665278</v>
      </c>
      <c r="Q30" s="31" t="n"/>
      <c r="R30" s="31" t="n"/>
      <c r="S30" s="32" t="n"/>
      <c r="V30" s="32" t="n"/>
    </row>
    <row r="31" spans="1:114">
      <c r="M31" s="92" t="n"/>
      <c r="N31" s="93" t="n"/>
      <c r="P31" s="95" t="n"/>
      <c r="Q31" s="96" t="n"/>
      <c r="R31" s="96" t="n"/>
    </row>
    <row customFormat="1" r="32" s="22" spans="1:114">
      <c r="A32" s="22" t="s">
        <v>44</v>
      </c>
      <c r="B32" s="22" t="s">
        <v>24</v>
      </c>
      <c r="C32" s="116" t="n">
        <v>17.5755061587069</v>
      </c>
      <c r="D32" s="24" t="n">
        <v>11.44987372576019</v>
      </c>
      <c r="E32" s="35" t="n">
        <v>0.3485323482369282</v>
      </c>
      <c r="F32" s="25" t="n">
        <v>38.32574685844853</v>
      </c>
      <c r="G32" s="53" t="n">
        <v>1.180634031951448</v>
      </c>
      <c r="H32" s="26" t="n">
        <v>-0.2374188190719289</v>
      </c>
      <c r="I32" s="26" t="n">
        <v>0.04861682536903578</v>
      </c>
      <c r="J32" s="26" t="n">
        <v>0.2463851898774889</v>
      </c>
      <c r="K32" s="24" t="n">
        <v>3.347263714552797</v>
      </c>
      <c r="L32" s="27" t="n">
        <v>11.44987372576019</v>
      </c>
      <c r="M32" s="38" t="n">
        <v>0.3485323482369282</v>
      </c>
      <c r="N32" s="28" t="n">
        <v>31.15689497440176</v>
      </c>
      <c r="O32" s="29" t="n">
        <v>0.7727452451755792</v>
      </c>
      <c r="P32" s="30" t="n">
        <v>2.721156208413396</v>
      </c>
      <c r="Q32" s="31" t="n">
        <v>0.1058228711484882</v>
      </c>
      <c r="R32" s="31" t="n">
        <v>0.06269203613404195</v>
      </c>
      <c r="S32" s="32" t="n">
        <v>0.01899899069920642</v>
      </c>
      <c r="T32" t="n">
        <v>4715.08</v>
      </c>
      <c r="U32" s="42">
        <f>C32*S32</f>
        <v/>
      </c>
      <c r="V32" s="42">
        <f>Q32*(1-U32)+S32</f>
        <v/>
      </c>
      <c r="W32" s="42">
        <f>V32+I34/3</f>
        <v/>
      </c>
      <c r="X32" s="42">
        <f>V32+I34/5</f>
        <v/>
      </c>
    </row>
    <row customFormat="1" r="33" s="22" spans="1:114">
      <c r="A33" s="22" t="s">
        <v>45</v>
      </c>
      <c r="B33" s="22" t="s">
        <v>26</v>
      </c>
      <c r="C33" s="116" t="n">
        <v>38.24717322591913</v>
      </c>
      <c r="D33" s="24" t="n">
        <v>26.37899569290268</v>
      </c>
      <c r="E33" s="35" t="n">
        <v>0.3103020833177206</v>
      </c>
      <c r="F33" s="25" t="n">
        <v>211.1641200147646</v>
      </c>
      <c r="G33" s="53" t="n">
        <v>4.521038607675825</v>
      </c>
      <c r="H33" s="26" t="n">
        <v>-0.03277529111074007</v>
      </c>
      <c r="I33" s="26" t="n">
        <v>0.2441622831698611</v>
      </c>
      <c r="J33" s="26" t="n">
        <v>0.9125764254327851</v>
      </c>
      <c r="K33" s="24" t="n">
        <v>8.005009837109862</v>
      </c>
      <c r="L33" s="27" t="n">
        <v>26.8575807983415</v>
      </c>
      <c r="M33" s="38" t="n">
        <v>0.2977891296776722</v>
      </c>
      <c r="N33" s="28" t="n">
        <v>112.0395624207417</v>
      </c>
      <c r="O33" s="29" t="n">
        <v>1.929355373766954</v>
      </c>
      <c r="P33" s="30" t="n">
        <v>4.171617811074793</v>
      </c>
      <c r="Q33" s="31" t="n"/>
      <c r="R33" s="31" t="n"/>
      <c r="S33" s="32" t="n"/>
      <c r="V33" s="32" t="n"/>
    </row>
    <row customFormat="1" r="34" s="22" spans="1:114">
      <c r="A34" s="22" t="s">
        <v>46</v>
      </c>
      <c r="B34" s="22" t="s">
        <v>28</v>
      </c>
      <c r="C34" s="116" t="n">
        <v>1.8598905236023</v>
      </c>
      <c r="D34" s="24" t="n">
        <v>1.399986666025098</v>
      </c>
      <c r="E34" s="35" t="n">
        <v>0.2472746926450512</v>
      </c>
      <c r="F34" s="25" t="n">
        <v>3.97714169167533</v>
      </c>
      <c r="G34" s="53" t="n">
        <v>1.138374082347742</v>
      </c>
      <c r="H34" s="26" t="n">
        <v>-0.09263610398769562</v>
      </c>
      <c r="I34" s="26" t="n">
        <v>0.1104037086557628</v>
      </c>
      <c r="J34" s="26" t="n">
        <v>0.4818503640586067</v>
      </c>
      <c r="K34" s="24" t="n">
        <v>2.840842550999004</v>
      </c>
      <c r="L34" s="27" t="n">
        <v>1.399986666025098</v>
      </c>
      <c r="M34" s="38" t="n">
        <v>0.2472746926450512</v>
      </c>
      <c r="N34" s="28" t="n">
        <v>3.569778766680671</v>
      </c>
      <c r="O34" s="29" t="n">
        <v>0.9193488656346289</v>
      </c>
      <c r="P34" s="30" t="n">
        <v>2.549866261809578</v>
      </c>
      <c r="Q34" s="31" t="n"/>
      <c r="R34" s="31" t="n"/>
      <c r="S34" s="32" t="n"/>
      <c r="V34" s="32" t="n"/>
    </row>
    <row customFormat="1" r="35" s="22" spans="1:114">
      <c r="A35" s="22" t="n">
        <v>4.3</v>
      </c>
      <c r="B35" s="22" t="s">
        <v>29</v>
      </c>
      <c r="C35" s="116" t="n">
        <v>2.397793165904284</v>
      </c>
      <c r="D35" s="24" t="n">
        <v>1.6548006643567</v>
      </c>
      <c r="E35" s="35" t="n">
        <v>0.3098651343713282</v>
      </c>
      <c r="F35" s="25" t="n">
        <v>6.216782858867069</v>
      </c>
      <c r="G35" s="53" t="n">
        <v>1.592710225080037</v>
      </c>
      <c r="H35" s="26" t="n">
        <v>-0.04395093303677355</v>
      </c>
      <c r="I35" s="26" t="n">
        <v>0.3056509527903961</v>
      </c>
      <c r="J35" s="26" t="n">
        <v>0.5971681520732395</v>
      </c>
      <c r="K35" s="24" t="n">
        <v>3.756816753082359</v>
      </c>
      <c r="L35" s="27" t="n">
        <v>1.6548006643567</v>
      </c>
      <c r="M35" s="38" t="n">
        <v>0.3098651343713282</v>
      </c>
      <c r="N35" s="28" t="n">
        <v>6.216782858867069</v>
      </c>
      <c r="O35" s="29" t="n">
        <v>1.592710225080037</v>
      </c>
      <c r="P35" s="30" t="n">
        <v>3.756816753082359</v>
      </c>
      <c r="Q35" s="31" t="n"/>
      <c r="R35" s="31" t="n"/>
      <c r="S35" s="32" t="n"/>
      <c r="V35" s="32" t="n"/>
    </row>
    <row r="36" spans="1:114">
      <c r="C36" s="1" t="n"/>
      <c r="D36" s="86" t="n"/>
      <c r="K36" s="86" t="n"/>
      <c r="L36" s="91" t="n"/>
      <c r="M36" s="92" t="n"/>
      <c r="N36" s="93" t="n"/>
      <c r="P36" s="95" t="n"/>
      <c r="Q36" s="96" t="n"/>
      <c r="R36" s="96" t="n"/>
    </row>
    <row customFormat="1" r="37" s="22" spans="1:114">
      <c r="A37" s="39" t="s">
        <v>47</v>
      </c>
      <c r="B37" s="22" t="s">
        <v>24</v>
      </c>
      <c r="C37" s="116" t="n">
        <v>33.4800966609594</v>
      </c>
      <c r="D37" s="24" t="n">
        <v>23.5951667631374</v>
      </c>
      <c r="E37" s="35" t="n">
        <v>0.2952479497870943</v>
      </c>
      <c r="F37" s="25" t="n">
        <v>74.99500782430309</v>
      </c>
      <c r="G37" s="53" t="n">
        <v>1.239987792859438</v>
      </c>
      <c r="H37" s="26" t="n">
        <v>-0.08625640787221711</v>
      </c>
      <c r="I37" s="26" t="n">
        <v>0.1051716715714712</v>
      </c>
      <c r="J37" s="26" t="n">
        <v>0.260106939673338</v>
      </c>
      <c r="K37" s="24" t="n">
        <v>3.17840550046323</v>
      </c>
      <c r="L37" s="27" t="n">
        <v>23.5951667631374</v>
      </c>
      <c r="M37" s="38" t="n">
        <v>0.2952479497870943</v>
      </c>
      <c r="N37" s="28" t="n">
        <v>74.99500782430309</v>
      </c>
      <c r="O37" s="29" t="n">
        <v>1.239987792859438</v>
      </c>
      <c r="P37" s="30" t="n">
        <v>3.17840550046323</v>
      </c>
      <c r="Q37" s="31" t="n">
        <v>0.1137927603811778</v>
      </c>
      <c r="R37" s="31" t="n">
        <v>0.09372479915862798</v>
      </c>
      <c r="S37" s="32" t="n">
        <v>0.009769102576821186</v>
      </c>
      <c r="T37" t="n">
        <v>9985.059999999999</v>
      </c>
      <c r="U37" s="42">
        <f>C37*S37</f>
        <v/>
      </c>
      <c r="V37" s="42">
        <f>Q37*(1-U37)+S37</f>
        <v/>
      </c>
      <c r="W37" s="42">
        <f>V37+I39/3</f>
        <v/>
      </c>
      <c r="X37" s="42">
        <f>V37+I39/5</f>
        <v/>
      </c>
    </row>
    <row customFormat="1" r="38" s="22" spans="1:114">
      <c r="A38" s="22" t="s">
        <v>48</v>
      </c>
      <c r="B38" s="22" t="s">
        <v>26</v>
      </c>
      <c r="C38" s="119" t="n">
        <v>32.83598496046139</v>
      </c>
      <c r="D38" s="24" t="n">
        <v>22.26374359541565</v>
      </c>
      <c r="E38" s="35" t="n">
        <v>0.3219711964716769</v>
      </c>
      <c r="F38" s="25" t="n">
        <v>93.50521437956832</v>
      </c>
      <c r="G38" s="53" t="n">
        <v>1.847644573237569</v>
      </c>
      <c r="H38" s="26" t="n">
        <v>0.1260306390153949</v>
      </c>
      <c r="I38" s="26" t="n">
        <v>0.3134556729255522</v>
      </c>
      <c r="J38" s="26" t="n">
        <v>0.528086820304702</v>
      </c>
      <c r="K38" s="24" t="n">
        <v>4.199887318088862</v>
      </c>
      <c r="L38" s="27" t="n">
        <v>22.26374359541565</v>
      </c>
      <c r="M38" s="38" t="n">
        <v>0.3219711964716769</v>
      </c>
      <c r="N38" s="28" t="n">
        <v>93.50521437956832</v>
      </c>
      <c r="O38" s="29" t="n">
        <v>1.847644573237569</v>
      </c>
      <c r="P38" s="30" t="n">
        <v>4.199887318088862</v>
      </c>
      <c r="Q38" s="31" t="n"/>
      <c r="R38" s="31" t="n"/>
      <c r="S38" s="32" t="n"/>
      <c r="V38" s="32" t="n"/>
    </row>
    <row customFormat="1" r="39" s="22" spans="1:114">
      <c r="A39" s="22" t="s">
        <v>49</v>
      </c>
      <c r="B39" s="22" t="s">
        <v>28</v>
      </c>
      <c r="C39" s="119" t="n">
        <v>3.809792616879224</v>
      </c>
      <c r="D39" s="24" t="n">
        <v>2.768474737970796</v>
      </c>
      <c r="E39" s="35" t="n">
        <v>0.2733266567568234</v>
      </c>
      <c r="F39" s="25" t="n">
        <v>8.412701579434328</v>
      </c>
      <c r="G39" s="53" t="n">
        <v>1.208178351273503</v>
      </c>
      <c r="H39" s="26" t="n">
        <v>0.003502816183221791</v>
      </c>
      <c r="I39" s="26" t="n">
        <v>0.1257584254899911</v>
      </c>
      <c r="J39" s="26" t="n">
        <v>0.2562221214987315</v>
      </c>
      <c r="K39" s="24" t="n">
        <v>3.038749627746494</v>
      </c>
      <c r="L39" s="27" t="n">
        <v>2.768474737970796</v>
      </c>
      <c r="M39" s="38" t="n">
        <v>0.2733266567568234</v>
      </c>
      <c r="N39" s="28" t="n">
        <v>8.412701579434328</v>
      </c>
      <c r="O39" s="29" t="n">
        <v>1.208178351273503</v>
      </c>
      <c r="P39" s="30" t="n">
        <v>3.038749627746494</v>
      </c>
      <c r="Q39" s="31" t="n"/>
      <c r="R39" s="31" t="n"/>
      <c r="S39" s="32" t="n"/>
      <c r="V39" s="32" t="n"/>
    </row>
    <row customFormat="1" r="40" s="22" spans="1:114">
      <c r="A40" s="22" t="n">
        <v>3</v>
      </c>
      <c r="B40" s="22" t="s">
        <v>29</v>
      </c>
      <c r="C40" s="119" t="n">
        <v>3.077546095594973</v>
      </c>
      <c r="D40" s="24" t="n">
        <v>2.145226620740942</v>
      </c>
      <c r="E40" s="35" t="n">
        <v>0.3029424892086916</v>
      </c>
      <c r="F40" s="25" t="n">
        <v>8.311330254728905</v>
      </c>
      <c r="G40" s="53" t="n">
        <v>1.700635505224529</v>
      </c>
      <c r="H40" s="26" t="n">
        <v>0.08585941959131027</v>
      </c>
      <c r="I40" s="26" t="n">
        <v>0.2424806488582316</v>
      </c>
      <c r="J40" s="26" t="n">
        <v>0.4788597547706317</v>
      </c>
      <c r="K40" s="24" t="n">
        <v>3.874336713133947</v>
      </c>
      <c r="L40" s="27" t="n">
        <v>2.145226620740942</v>
      </c>
      <c r="M40" s="38" t="n">
        <v>0.3029424892086916</v>
      </c>
      <c r="N40" s="28" t="n">
        <v>8.311330254728905</v>
      </c>
      <c r="O40" s="29" t="n">
        <v>1.700635505224529</v>
      </c>
      <c r="P40" s="30" t="n">
        <v>3.874336713133947</v>
      </c>
      <c r="Q40" s="31" t="n"/>
      <c r="R40" s="31" t="n"/>
      <c r="S40" s="32" t="n"/>
      <c r="V40" s="32" t="n"/>
    </row>
    <row r="41" spans="1:114">
      <c r="C41" s="1" t="n"/>
      <c r="D41" s="86" t="n"/>
      <c r="K41" s="86" t="n"/>
      <c r="L41" s="91" t="n"/>
      <c r="M41" s="92" t="n"/>
      <c r="N41" s="93" t="n"/>
      <c r="P41" s="95" t="n"/>
      <c r="Q41" s="96" t="n"/>
      <c r="R41" s="96" t="n"/>
    </row>
    <row customFormat="1" r="42" s="22" spans="1:114">
      <c r="A42" s="39" t="s">
        <v>50</v>
      </c>
      <c r="B42" s="22" t="s">
        <v>24</v>
      </c>
      <c r="C42" s="116" t="n">
        <v>8.642408035386444</v>
      </c>
      <c r="D42" s="24" t="n">
        <v>6.010118486483035</v>
      </c>
      <c r="E42" s="35" t="n">
        <v>0.3045782538993145</v>
      </c>
      <c r="F42" s="25" t="n">
        <v>80.07408911612518</v>
      </c>
      <c r="G42" s="53" t="n">
        <v>8.265252090419807</v>
      </c>
      <c r="H42" s="26" t="n">
        <v>-0.08147132392600953</v>
      </c>
      <c r="I42" s="26" t="n">
        <v>0.07295695562589954</v>
      </c>
      <c r="J42" s="26" t="n">
        <v>0.411830201395746</v>
      </c>
      <c r="K42" s="24" t="n">
        <v>13.3232130608098</v>
      </c>
      <c r="L42" s="27" t="n">
        <v>6.010118486483035</v>
      </c>
      <c r="M42" s="38" t="n">
        <v>0.3045782538993145</v>
      </c>
      <c r="N42" s="28" t="n">
        <v>12.54061899269923</v>
      </c>
      <c r="O42" s="29" t="n">
        <v>0.4510561109069966</v>
      </c>
      <c r="P42" s="30" t="n">
        <v>2.086584319577645</v>
      </c>
      <c r="Q42" s="31" t="n">
        <v>0.1317626745615654</v>
      </c>
      <c r="R42" s="31" t="n">
        <v>0.1293544093807711</v>
      </c>
      <c r="S42" s="32" t="n">
        <v>0.04009129769141104</v>
      </c>
      <c r="T42" s="22" t="n">
        <v>5072</v>
      </c>
      <c r="U42" s="42">
        <f>C42*S42</f>
        <v/>
      </c>
      <c r="V42" s="42">
        <f>Q42*(1-U42)+S42</f>
        <v/>
      </c>
      <c r="W42" s="42">
        <f>V42+I44/3</f>
        <v/>
      </c>
      <c r="X42" s="42">
        <f>V42+I44/5</f>
        <v/>
      </c>
    </row>
    <row customFormat="1" r="43" s="22" spans="1:114">
      <c r="A43" s="22" t="s">
        <v>51</v>
      </c>
      <c r="B43" s="22" t="s">
        <v>26</v>
      </c>
      <c r="C43" s="119" t="n">
        <v>12.19912172350888</v>
      </c>
      <c r="D43" s="24" t="n">
        <v>9.306098148160684</v>
      </c>
      <c r="E43" s="35" t="n">
        <v>0.2371501523567111</v>
      </c>
      <c r="F43" s="25" t="n">
        <v>61.46811750412127</v>
      </c>
      <c r="G43" s="53" t="n">
        <v>4.03873302499034</v>
      </c>
      <c r="H43" s="26" t="n">
        <v>0.06615476038399537</v>
      </c>
      <c r="I43" s="26" t="n">
        <v>0.2392071114754259</v>
      </c>
      <c r="J43" s="26" t="n">
        <v>0.6378782400045024</v>
      </c>
      <c r="K43" s="24" t="n">
        <v>6.605143909455781</v>
      </c>
      <c r="L43" s="27" t="n">
        <v>9.306098148160684</v>
      </c>
      <c r="M43" s="38" t="n">
        <v>0.2371501523567111</v>
      </c>
      <c r="N43" s="28" t="n">
        <v>23.6348037693164</v>
      </c>
      <c r="O43" s="29" t="n">
        <v>0.9374184720011332</v>
      </c>
      <c r="P43" s="30" t="n">
        <v>2.539711422878958</v>
      </c>
      <c r="Q43" s="31" t="n"/>
      <c r="R43" s="31" t="n"/>
      <c r="S43" s="32" t="n"/>
      <c r="V43" s="32" t="n"/>
    </row>
    <row customFormat="1" r="44" s="22" spans="1:114">
      <c r="A44" s="22" t="s">
        <v>52</v>
      </c>
      <c r="B44" s="22" t="s">
        <v>28</v>
      </c>
      <c r="C44" s="116" t="n">
        <v>1.138746797394882</v>
      </c>
      <c r="D44" s="24" t="n">
        <v>0.9648015732905459</v>
      </c>
      <c r="E44" s="35" t="n">
        <v>0.1527514496657831</v>
      </c>
      <c r="F44" s="25" t="n">
        <v>3.482990233396872</v>
      </c>
      <c r="G44" s="53" t="n">
        <v>2.058616929913594</v>
      </c>
      <c r="H44" s="26" t="n">
        <v>-0.03435032131497406</v>
      </c>
      <c r="I44" s="26" t="n">
        <v>0.1565105566399507</v>
      </c>
      <c r="J44" s="26" t="n">
        <v>0.7864664886096726</v>
      </c>
      <c r="K44" s="24" t="n">
        <v>3.610058617045791</v>
      </c>
      <c r="L44" s="27" t="n">
        <v>0.9648015732905459</v>
      </c>
      <c r="M44" s="38" t="n">
        <v>0.1527514496657831</v>
      </c>
      <c r="N44" s="28" t="n">
        <v>1.792336717781272</v>
      </c>
      <c r="O44" s="29" t="n">
        <v>0.5739554410880552</v>
      </c>
      <c r="P44" s="30" t="n">
        <v>1.857725741126582</v>
      </c>
      <c r="Q44" s="31" t="n"/>
      <c r="R44" s="31" t="n"/>
      <c r="S44" s="32" t="n"/>
      <c r="V44" s="32" t="n"/>
    </row>
    <row customFormat="1" r="45" s="22" spans="1:114">
      <c r="A45" s="22" t="n">
        <v>2.14</v>
      </c>
      <c r="B45" s="22" t="s">
        <v>29</v>
      </c>
      <c r="C45" s="116" t="n">
        <v>1.578010185508626</v>
      </c>
      <c r="D45" s="24" t="n">
        <v>1.137709085132035</v>
      </c>
      <c r="E45" s="35" t="n">
        <v>0.279022977430702</v>
      </c>
      <c r="F45" s="25" t="n">
        <v>3.281723974632426</v>
      </c>
      <c r="G45" s="53" t="n">
        <v>1.079659564158426</v>
      </c>
      <c r="H45" s="26" t="n">
        <v>-0.07368602721593376</v>
      </c>
      <c r="I45" s="26" t="n">
        <v>0.08435035234753574</v>
      </c>
      <c r="J45" s="26" t="n">
        <v>0.5133651411235636</v>
      </c>
      <c r="K45" s="24" t="n">
        <v>2.884501862136023</v>
      </c>
      <c r="L45" s="27" t="n">
        <v>1.137709085132035</v>
      </c>
      <c r="M45" s="38" t="n">
        <v>0.279022977430702</v>
      </c>
      <c r="N45" s="28" t="n">
        <v>3.040151203264813</v>
      </c>
      <c r="O45" s="29" t="n">
        <v>0.9265726109904089</v>
      </c>
      <c r="P45" s="30" t="n">
        <v>2.672169224096504</v>
      </c>
      <c r="Q45" s="31" t="n"/>
      <c r="R45" s="31" t="n"/>
      <c r="S45" s="32" t="n"/>
      <c r="V45" s="32" t="n"/>
    </row>
    <row r="46" spans="1:114">
      <c r="C46" s="1" t="n"/>
      <c r="D46" s="86" t="n"/>
      <c r="K46" s="86" t="n"/>
      <c r="L46" s="91" t="n"/>
      <c r="M46" s="92" t="n"/>
      <c r="N46" s="93" t="n"/>
      <c r="P46" s="95" t="n"/>
      <c r="Q46" s="96" t="n"/>
      <c r="R46" s="96" t="n"/>
    </row>
    <row customFormat="1" r="47" s="22" spans="1:114">
      <c r="A47" s="22" t="s">
        <v>53</v>
      </c>
      <c r="B47" s="22" t="s">
        <v>24</v>
      </c>
      <c r="C47" s="119" t="n">
        <v>23.32949200102459</v>
      </c>
      <c r="D47" s="24" t="n">
        <v>16.75357028847765</v>
      </c>
      <c r="E47" s="35" t="n">
        <v>0.2818716203618209</v>
      </c>
      <c r="F47" s="25" t="n">
        <v>59.44247808845834</v>
      </c>
      <c r="G47" s="53" t="n">
        <v>1.54795424117455</v>
      </c>
      <c r="H47" s="26" t="n">
        <v>0.1216728622288343</v>
      </c>
      <c r="I47" s="26" t="n">
        <v>0.3145295290640557</v>
      </c>
      <c r="J47" s="26" t="n">
        <v>0.4662960467750719</v>
      </c>
      <c r="K47" s="24" t="n">
        <v>3.548048389980505</v>
      </c>
      <c r="L47" s="27" t="n">
        <v>16.75357028847765</v>
      </c>
      <c r="M47" s="38" t="n">
        <v>0.2818716203618209</v>
      </c>
      <c r="N47" s="28" t="n">
        <v>59.44247808845834</v>
      </c>
      <c r="O47" s="29" t="n">
        <v>1.54795424117455</v>
      </c>
      <c r="P47" s="30" t="n">
        <v>3.548048389980505</v>
      </c>
      <c r="Q47" s="31" t="n">
        <v>0.1033999354108688</v>
      </c>
      <c r="R47" s="31" t="n">
        <v>0.0787139934388669</v>
      </c>
      <c r="S47" s="32" t="n">
        <v>0.01583323018621233</v>
      </c>
      <c r="T47" s="22" t="n">
        <v>1403.8</v>
      </c>
      <c r="U47" s="42">
        <f>C47*S47</f>
        <v/>
      </c>
      <c r="V47" s="42">
        <f>Q47*(1-U47)+S47</f>
        <v/>
      </c>
      <c r="W47" s="42">
        <f>V47+I49/3</f>
        <v/>
      </c>
      <c r="X47" s="42">
        <f>V47+I49/5</f>
        <v/>
      </c>
    </row>
    <row customFormat="1" r="48" s="22" spans="1:114">
      <c r="A48" s="22" t="s">
        <v>54</v>
      </c>
      <c r="B48" s="22" t="s">
        <v>26</v>
      </c>
      <c r="C48" s="119" t="n">
        <v>27.08778801804769</v>
      </c>
      <c r="D48" s="24" t="n">
        <v>19.16466589760909</v>
      </c>
      <c r="E48" s="35" t="n">
        <v>0.2924979372682511</v>
      </c>
      <c r="F48" s="25" t="n">
        <v>182.8081229919003</v>
      </c>
      <c r="G48" s="53" t="n">
        <v>5.748728352056701</v>
      </c>
      <c r="H48" s="26" t="n">
        <v>0.1880357366936314</v>
      </c>
      <c r="I48" s="26" t="n">
        <v>0.4402086624156578</v>
      </c>
      <c r="J48" s="26" t="n">
        <v>0.7609818157573713</v>
      </c>
      <c r="K48" s="24" t="n">
        <v>9.538810849538821</v>
      </c>
      <c r="L48" s="27" t="n">
        <v>19.16466589760909</v>
      </c>
      <c r="M48" s="38" t="n">
        <v>0.2924979372682511</v>
      </c>
      <c r="N48" s="28" t="n">
        <v>75.58231559246974</v>
      </c>
      <c r="O48" s="29" t="n">
        <v>1.790272706730862</v>
      </c>
      <c r="P48" s="30" t="n">
        <v>3.943836850393467</v>
      </c>
      <c r="Q48" s="31" t="n"/>
      <c r="R48" s="31" t="n"/>
      <c r="S48" s="32" t="n">
        <v>0.0112</v>
      </c>
      <c r="U48" s="42">
        <f>C48*S48</f>
        <v/>
      </c>
      <c r="V48" s="42">
        <f>R47*(1-U48)+S48</f>
        <v/>
      </c>
      <c r="W48" s="42">
        <f>V48+I50/3</f>
        <v/>
      </c>
      <c r="X48" s="42">
        <f>V48+I50/5</f>
        <v/>
      </c>
    </row>
    <row customFormat="1" r="49" s="22" spans="1:114">
      <c r="A49" s="22" t="s">
        <v>55</v>
      </c>
      <c r="B49" s="22" t="s">
        <v>28</v>
      </c>
      <c r="C49" s="116" t="n">
        <v>2.412267966074323</v>
      </c>
      <c r="D49" s="24" t="n">
        <v>1.787686898585195</v>
      </c>
      <c r="E49" s="35" t="n">
        <v>0.2589186094882976</v>
      </c>
      <c r="F49" s="25" t="n">
        <v>5.980683403582378</v>
      </c>
      <c r="G49" s="53" t="n">
        <v>1.479278209425143</v>
      </c>
      <c r="H49" s="26" t="n">
        <v>-0.01581822312328274</v>
      </c>
      <c r="I49" s="26" t="n">
        <v>0.1665427398767434</v>
      </c>
      <c r="J49" s="26" t="n">
        <v>0.2815345540768557</v>
      </c>
      <c r="K49" s="24" t="n">
        <v>3.345487069528556</v>
      </c>
      <c r="L49" s="27" t="n">
        <v>1.787686898585195</v>
      </c>
      <c r="M49" s="38" t="n">
        <v>0.2589186094882976</v>
      </c>
      <c r="N49" s="28" t="n">
        <v>5.980683403582378</v>
      </c>
      <c r="O49" s="29" t="n">
        <v>1.479278209425143</v>
      </c>
      <c r="P49" s="30" t="n">
        <v>3.345487069528556</v>
      </c>
      <c r="Q49" s="31" t="n"/>
      <c r="R49" s="31" t="n"/>
      <c r="S49" s="32" t="n"/>
      <c r="V49" s="32" t="n"/>
    </row>
    <row customFormat="1" r="50" s="22" spans="1:114">
      <c r="A50" s="22" t="n">
        <v>2.7</v>
      </c>
      <c r="B50" s="22" t="s">
        <v>29</v>
      </c>
      <c r="C50" s="119" t="n">
        <v>2.132187968326023</v>
      </c>
      <c r="D50" s="24" t="n">
        <v>1.455318621598569</v>
      </c>
      <c r="E50" s="35" t="n">
        <v>0.3174529435408379</v>
      </c>
      <c r="F50" s="25" t="n">
        <v>6.546235963468927</v>
      </c>
      <c r="G50" s="53" t="n">
        <v>2.070196465187056</v>
      </c>
      <c r="H50" s="26" t="n">
        <v>0.07501447488343227</v>
      </c>
      <c r="I50" s="26" t="n">
        <v>0.3480812417737196</v>
      </c>
      <c r="J50" s="26" t="n">
        <v>0.510839243379418</v>
      </c>
      <c r="K50" s="24" t="n">
        <v>4.498146224692935</v>
      </c>
      <c r="L50" s="27" t="n">
        <v>1.455318621598569</v>
      </c>
      <c r="M50" s="38" t="n">
        <v>0.3174529435408379</v>
      </c>
      <c r="N50" s="28" t="n">
        <v>6.546235963468927</v>
      </c>
      <c r="O50" s="29" t="n">
        <v>2.070196465187056</v>
      </c>
      <c r="P50" s="30" t="n">
        <v>4.498146224692935</v>
      </c>
      <c r="Q50" s="31" t="n"/>
      <c r="R50" s="31" t="n"/>
      <c r="S50" s="32" t="n"/>
      <c r="V50" s="32" t="n"/>
    </row>
    <row r="51" spans="1:114">
      <c r="C51" s="1" t="n"/>
      <c r="D51" s="86" t="n"/>
      <c r="K51" s="86" t="n"/>
      <c r="L51" s="91" t="n"/>
      <c r="M51" s="92" t="n"/>
      <c r="N51" s="93" t="n"/>
      <c r="P51" s="95" t="n"/>
      <c r="Q51" s="96" t="n"/>
      <c r="R51" s="96" t="n"/>
    </row>
    <row r="52" spans="1:114">
      <c r="A52" t="s">
        <v>56</v>
      </c>
      <c r="B52" t="s">
        <v>24</v>
      </c>
      <c r="C52" s="117" t="n">
        <v>31.10536247835354</v>
      </c>
      <c r="D52" s="86" t="n">
        <v>18.91821948715767</v>
      </c>
      <c r="E52" s="87" t="n">
        <v>0.3918019923309684</v>
      </c>
      <c r="F52" s="88" t="n">
        <v>144.6814215042293</v>
      </c>
      <c r="G52" s="89" t="n">
        <v>3.651333724367117</v>
      </c>
      <c r="H52" s="90" t="n">
        <v>0.01567001427941861</v>
      </c>
      <c r="I52" s="90" t="n">
        <v>1.032273659578755</v>
      </c>
      <c r="J52" s="90" t="n">
        <v>1.516975732350859</v>
      </c>
      <c r="K52" s="86" t="n">
        <v>7.647729301504508</v>
      </c>
      <c r="L52" s="91" t="n">
        <v>18.91821948715767</v>
      </c>
      <c r="M52" s="92" t="n">
        <v>0.3918019923309684</v>
      </c>
      <c r="N52" s="93" t="n">
        <v>144.6814215042293</v>
      </c>
      <c r="O52" s="94" t="n">
        <v>3.651333724367117</v>
      </c>
      <c r="P52" s="95" t="n">
        <v>7.647729301504508</v>
      </c>
      <c r="Q52" s="96" t="n">
        <v>0.08050165117239735</v>
      </c>
      <c r="R52" s="96" t="n">
        <v>0.06786579180069664</v>
      </c>
      <c r="S52" s="131" t="n">
        <v>0.01010781746508027</v>
      </c>
      <c r="T52" t="n">
        <v>6230.21</v>
      </c>
      <c r="U52" s="42">
        <f>C52*S52</f>
        <v/>
      </c>
      <c r="V52" s="42">
        <f>Q52*(1-U52)+S52</f>
        <v/>
      </c>
      <c r="W52" s="42">
        <f>V52+I54/3</f>
        <v/>
      </c>
      <c r="X52" s="42">
        <f>V52+I54/5</f>
        <v/>
      </c>
    </row>
    <row r="53" spans="1:114">
      <c r="A53" t="s">
        <v>57</v>
      </c>
      <c r="B53" t="s">
        <v>26</v>
      </c>
      <c r="C53" s="117" t="n">
        <v>34.23140050389381</v>
      </c>
      <c r="D53" s="86" t="n">
        <v>21.660013216004</v>
      </c>
      <c r="E53" s="87" t="n">
        <v>0.367247237998919</v>
      </c>
      <c r="F53" s="88" t="n">
        <v>138.7649527520585</v>
      </c>
      <c r="G53" s="89" t="n">
        <v>3.053732850815556</v>
      </c>
      <c r="H53" s="90" t="n">
        <v>0.0559864713537761</v>
      </c>
      <c r="I53" s="90" t="n">
        <v>0.876769536161309</v>
      </c>
      <c r="J53" s="90" t="n">
        <v>1.401100564380691</v>
      </c>
      <c r="K53" s="86" t="n">
        <v>6.406503604971433</v>
      </c>
      <c r="L53" s="91" t="n">
        <v>21.660013216004</v>
      </c>
      <c r="M53" s="92" t="n">
        <v>0.367247237998919</v>
      </c>
      <c r="N53" s="93" t="n">
        <v>138.7649527520585</v>
      </c>
      <c r="O53" s="94" t="n">
        <v>3.053732850815556</v>
      </c>
      <c r="P53" s="95" t="n">
        <v>6.406503604971433</v>
      </c>
      <c r="Q53" s="96" t="n"/>
      <c r="R53" s="96" t="n"/>
      <c r="U53" s="22" t="n"/>
      <c r="V53" s="32" t="n"/>
      <c r="W53" s="22" t="n"/>
      <c r="X53" s="22" t="n"/>
    </row>
    <row r="54" spans="1:114">
      <c r="A54" t="s">
        <v>58</v>
      </c>
      <c r="B54" t="s">
        <v>28</v>
      </c>
      <c r="C54" s="117" t="n">
        <v>2.504033039823394</v>
      </c>
      <c r="D54" s="86" t="n">
        <v>1.711460227041125</v>
      </c>
      <c r="E54" s="87" t="n">
        <v>0.3165185124067564</v>
      </c>
      <c r="F54" s="88" t="n">
        <v>8.112476351382487</v>
      </c>
      <c r="G54" s="89" t="n">
        <v>2.239764101497098</v>
      </c>
      <c r="H54" s="90" t="n">
        <v>0.03056659869974077</v>
      </c>
      <c r="I54" s="90" t="n">
        <v>0.4413091437113275</v>
      </c>
      <c r="J54" s="90" t="n">
        <v>0.6359813064979154</v>
      </c>
      <c r="K54" s="86" t="n">
        <v>4.740090493021753</v>
      </c>
      <c r="L54" s="91" t="n">
        <v>1.711460227041125</v>
      </c>
      <c r="M54" s="92" t="n">
        <v>0.3165185124067564</v>
      </c>
      <c r="N54" s="93" t="n">
        <v>8.112476351382487</v>
      </c>
      <c r="O54" s="94" t="n">
        <v>2.239764101497098</v>
      </c>
      <c r="P54" s="95" t="n">
        <v>4.740090493021753</v>
      </c>
      <c r="Q54" s="96" t="n"/>
      <c r="R54" s="96" t="n"/>
      <c r="U54" s="22" t="n"/>
      <c r="V54" s="32" t="n"/>
      <c r="W54" s="22" t="n"/>
      <c r="X54" s="22" t="n"/>
    </row>
    <row r="55" spans="1:114">
      <c r="A55" t="n">
        <v>3.76</v>
      </c>
      <c r="B55" t="s">
        <v>29</v>
      </c>
      <c r="C55" s="117" t="n">
        <v>2.323141099643519</v>
      </c>
      <c r="D55" s="86" t="n">
        <v>1.566311730596466</v>
      </c>
      <c r="E55" s="87" t="n">
        <v>0.325778476891992</v>
      </c>
      <c r="F55" s="88" t="n">
        <v>7.184924180680325</v>
      </c>
      <c r="G55" s="89" t="n">
        <v>2.09276271759078</v>
      </c>
      <c r="H55" s="90" t="n">
        <v>0.04913042201261697</v>
      </c>
      <c r="I55" s="90" t="n">
        <v>0.4718241754539618</v>
      </c>
      <c r="J55" s="90" t="n">
        <v>0.6624027071565881</v>
      </c>
      <c r="K55" s="86" t="n">
        <v>4.587161061447352</v>
      </c>
      <c r="L55" s="91" t="n">
        <v>1.566311730596466</v>
      </c>
      <c r="M55" s="92" t="n">
        <v>0.325778476891992</v>
      </c>
      <c r="N55" s="93" t="n">
        <v>7.184924180680325</v>
      </c>
      <c r="O55" s="94" t="n">
        <v>2.09276271759078</v>
      </c>
      <c r="P55" s="95" t="n">
        <v>4.587161061447352</v>
      </c>
      <c r="Q55" s="96" t="n"/>
      <c r="R55" s="96" t="n"/>
      <c r="U55" s="22" t="n"/>
      <c r="V55" s="32" t="n"/>
      <c r="W55" s="22" t="n"/>
      <c r="X55" s="22" t="n"/>
    </row>
    <row r="56" spans="1:114">
      <c r="C56" s="1" t="n"/>
      <c r="D56" s="86" t="n"/>
      <c r="K56" s="86" t="n"/>
      <c r="L56" s="91" t="n"/>
      <c r="M56" s="92" t="n"/>
      <c r="N56" s="93" t="n"/>
      <c r="P56" s="95" t="n"/>
      <c r="Q56" s="96" t="n"/>
      <c r="R56" s="96" t="n"/>
    </row>
    <row r="57" spans="1:114">
      <c r="A57" s="22" t="s">
        <v>59</v>
      </c>
      <c r="B57" t="s">
        <v>24</v>
      </c>
      <c r="C57" s="120" t="n">
        <v>32.7463732251195</v>
      </c>
      <c r="D57" s="86" t="n">
        <v>17.1150469106989</v>
      </c>
      <c r="E57" s="87" t="n">
        <v>0.4773452683434857</v>
      </c>
      <c r="F57" s="88" t="n">
        <v>53.16943821295903</v>
      </c>
      <c r="G57" s="89" t="n">
        <v>0.6236741042263927</v>
      </c>
      <c r="H57" s="90" t="n">
        <v>-0.3561758573056523</v>
      </c>
      <c r="I57" s="90" t="n">
        <v>-0.1563174020978055</v>
      </c>
      <c r="J57" s="90" t="n">
        <v>0.1553667564848276</v>
      </c>
      <c r="K57" s="86" t="n">
        <v>3.106590270560225</v>
      </c>
      <c r="L57" s="91" t="n">
        <v>17.81567609714834</v>
      </c>
      <c r="M57" s="92" t="n">
        <v>0.4559496413641904</v>
      </c>
      <c r="N57" s="93" t="n">
        <v>40.70602449339014</v>
      </c>
      <c r="O57" s="94" t="n">
        <v>0.2430697046525094</v>
      </c>
      <c r="P57" s="95" t="n">
        <v>2.284843093880997</v>
      </c>
      <c r="Q57" s="96" t="n">
        <v>0.1881961395043958</v>
      </c>
      <c r="R57" s="96" t="n">
        <v>0.09245948108949646</v>
      </c>
      <c r="S57" s="131" t="n">
        <v>0.01645894149494278</v>
      </c>
      <c r="T57" t="n">
        <v>14444</v>
      </c>
      <c r="U57" s="42">
        <f>C57*S57</f>
        <v/>
      </c>
      <c r="V57" s="42">
        <f>Q57*(1-U57)+S57</f>
        <v/>
      </c>
      <c r="W57" s="42">
        <f>V57+I59/3</f>
        <v/>
      </c>
      <c r="X57" s="42">
        <f>V57+I59/5</f>
        <v/>
      </c>
    </row>
    <row r="58" spans="1:114">
      <c r="A58" t="s">
        <v>60</v>
      </c>
      <c r="B58" t="s">
        <v>26</v>
      </c>
      <c r="C58" s="120" t="n">
        <v>37.3278928097998</v>
      </c>
      <c r="D58" s="86" t="n">
        <v>24.50378657966988</v>
      </c>
      <c r="E58" s="87" t="n">
        <v>0.3435529108346339</v>
      </c>
      <c r="F58" s="88" t="n">
        <v>95.13737730058473</v>
      </c>
      <c r="G58" s="89" t="n">
        <v>1.548694023135644</v>
      </c>
      <c r="H58" s="90" t="n">
        <v>-0.2087233261042133</v>
      </c>
      <c r="I58" s="90" t="n">
        <v>-0.07227247937568737</v>
      </c>
      <c r="J58" s="90" t="n">
        <v>0.4075469416308282</v>
      </c>
      <c r="K58" s="86" t="n">
        <v>3.882558191211052</v>
      </c>
      <c r="L58" s="91" t="n">
        <v>24.50378657966988</v>
      </c>
      <c r="M58" s="92" t="n">
        <v>0.3435529108346339</v>
      </c>
      <c r="N58" s="93" t="n">
        <v>65.84688290142117</v>
      </c>
      <c r="O58" s="94" t="n">
        <v>0.7640128586131762</v>
      </c>
      <c r="P58" s="95" t="n">
        <v>2.687212553346858</v>
      </c>
      <c r="Q58" s="96" t="n"/>
      <c r="R58" s="96" t="n"/>
      <c r="U58" s="22" t="n"/>
      <c r="V58" s="32" t="n"/>
      <c r="W58" s="22" t="n"/>
      <c r="X58" s="22" t="n"/>
    </row>
    <row r="59" spans="1:114">
      <c r="A59" t="s">
        <v>61</v>
      </c>
      <c r="B59" t="s">
        <v>28</v>
      </c>
      <c r="C59" s="121" t="n">
        <v>6.1627410237376</v>
      </c>
      <c r="D59" s="86" t="n">
        <v>2.783571998381137</v>
      </c>
      <c r="E59" s="87" t="n">
        <v>0.5483224124363826</v>
      </c>
      <c r="F59" s="88" t="n">
        <v>7.883920894095241</v>
      </c>
      <c r="G59" s="89" t="n">
        <v>0.2792880414296193</v>
      </c>
      <c r="H59" s="90" t="n">
        <v>-0.4232575061749358</v>
      </c>
      <c r="I59" s="90" t="n">
        <v>-0.2710737759084649</v>
      </c>
      <c r="J59" s="90" t="n">
        <v>-0.05873305670791362</v>
      </c>
      <c r="K59" s="86" t="n">
        <v>2.832303564872887</v>
      </c>
      <c r="L59" s="91" t="n">
        <v>2.783571998381137</v>
      </c>
      <c r="M59" s="92" t="n">
        <v>0.5483224124363826</v>
      </c>
      <c r="N59" s="93" t="n">
        <v>6.1627410237376</v>
      </c>
      <c r="O59" s="94" t="n">
        <v>0</v>
      </c>
      <c r="P59" s="95" t="n">
        <v>2.213968608436107</v>
      </c>
      <c r="Q59" s="96" t="n"/>
      <c r="R59" s="96" t="n"/>
      <c r="U59" s="22" t="n"/>
      <c r="V59" s="32" t="n"/>
      <c r="W59" s="22" t="n"/>
      <c r="X59" s="22" t="n"/>
    </row>
    <row r="60" spans="1:114">
      <c r="A60" t="n">
        <v>3.57</v>
      </c>
      <c r="B60" t="s">
        <v>29</v>
      </c>
      <c r="C60" s="120" t="n">
        <v>3.451317599358435</v>
      </c>
      <c r="D60" s="86" t="n">
        <v>2.165825978035129</v>
      </c>
      <c r="E60" s="87" t="n">
        <v>0.3724640182527004</v>
      </c>
      <c r="F60" s="88" t="n">
        <v>6.131694220226218</v>
      </c>
      <c r="G60" s="89" t="n">
        <v>0.7766241569208343</v>
      </c>
      <c r="H60" s="90" t="n">
        <v>-0.144735908819653</v>
      </c>
      <c r="I60" s="90" t="n">
        <v>-0.02437569597413147</v>
      </c>
      <c r="J60" s="90" t="n">
        <v>0.2661146369336356</v>
      </c>
      <c r="K60" s="86" t="n">
        <v>2.8311112168804</v>
      </c>
      <c r="L60" s="91" t="n">
        <v>2.165825978035129</v>
      </c>
      <c r="M60" s="92" t="n">
        <v>0.3724640182527004</v>
      </c>
      <c r="N60" s="93" t="n">
        <v>5.725484646897884</v>
      </c>
      <c r="O60" s="94" t="n">
        <v>0.6589272015888055</v>
      </c>
      <c r="P60" s="95" t="n">
        <v>2.643557102446491</v>
      </c>
      <c r="Q60" s="96" t="n"/>
      <c r="R60" s="96" t="n"/>
      <c r="U60" s="22" t="n"/>
      <c r="V60" s="32" t="n"/>
      <c r="W60" s="22" t="n"/>
      <c r="X60" s="22" t="n"/>
    </row>
    <row r="61" spans="1:114">
      <c r="A61" s="96">
        <f>1.24/C64-1</f>
        <v/>
      </c>
      <c r="B61" s="96">
        <f>1.31/C64-1</f>
        <v/>
      </c>
      <c r="C61" s="96">
        <f>1.38/C64-1</f>
        <v/>
      </c>
      <c r="D61" s="96">
        <f>1.48/C64-1</f>
        <v/>
      </c>
      <c r="K61" s="86" t="n"/>
      <c r="L61" s="91" t="n"/>
      <c r="M61" s="92" t="n"/>
      <c r="N61" s="93" t="n"/>
      <c r="P61" s="95" t="n"/>
      <c r="Q61" s="96" t="n"/>
      <c r="R61" s="96" t="n"/>
    </row>
    <row customFormat="1" r="62" s="22" spans="1:114">
      <c r="A62" s="22" t="s">
        <v>62</v>
      </c>
      <c r="B62" s="22" t="s">
        <v>24</v>
      </c>
      <c r="C62" s="122" t="n">
        <v>9.820390118053842</v>
      </c>
      <c r="D62" s="24" t="n">
        <v>5.668473699877844</v>
      </c>
      <c r="E62" s="35" t="n">
        <v>0.4227852832998049</v>
      </c>
      <c r="F62" s="25" t="n">
        <v>12.00320999044237</v>
      </c>
      <c r="G62" s="53" t="n">
        <v>0.2222742524633137</v>
      </c>
      <c r="H62" s="26" t="n">
        <v>-0.2747363743126697</v>
      </c>
      <c r="I62" s="26" t="n">
        <v>-0.1576153543678855</v>
      </c>
      <c r="J62" s="26" t="n">
        <v>-0.05531092783670055</v>
      </c>
      <c r="K62" s="24" t="n">
        <v>2.117538269728771</v>
      </c>
      <c r="L62" s="27" t="n">
        <v>5.677271009730299</v>
      </c>
      <c r="M62" s="38" t="n">
        <v>0.4218894624875256</v>
      </c>
      <c r="N62" s="28" t="n">
        <v>12.00320999044237</v>
      </c>
      <c r="O62" s="29" t="n">
        <v>0.2222742524633137</v>
      </c>
      <c r="P62" s="30" t="n">
        <v>2.11425700303368</v>
      </c>
      <c r="Q62" s="31" t="n">
        <v>0.1234536036926145</v>
      </c>
      <c r="R62" s="31" t="n">
        <v>0.1005260619299058</v>
      </c>
      <c r="S62" s="32" t="n">
        <v>0.03063134683374814</v>
      </c>
      <c r="T62" s="22" t="n">
        <v>6455.48</v>
      </c>
      <c r="U62" s="42">
        <f>C62*S62</f>
        <v/>
      </c>
      <c r="V62" s="42">
        <f>Q62*(1-U62)+S62</f>
        <v/>
      </c>
      <c r="W62" s="42">
        <f>V62+I64/3</f>
        <v/>
      </c>
      <c r="X62" s="42">
        <f>V62+I64/5</f>
        <v/>
      </c>
    </row>
    <row customFormat="1" r="63" s="22" spans="1:114">
      <c r="A63" s="22" t="s">
        <v>63</v>
      </c>
      <c r="B63" s="22" t="s">
        <v>26</v>
      </c>
      <c r="C63" s="116" t="n">
        <v>15.09125203906359</v>
      </c>
      <c r="D63" s="24" t="n">
        <v>9.855243380562367</v>
      </c>
      <c r="E63" s="35" t="n">
        <v>0.3469565444237398</v>
      </c>
      <c r="F63" s="25" t="n">
        <v>29.15473782364231</v>
      </c>
      <c r="G63" s="53" t="n">
        <v>0.931896554916418</v>
      </c>
      <c r="H63" s="26" t="n">
        <v>-0.1582959717220092</v>
      </c>
      <c r="I63" s="26" t="n">
        <v>0.0456733317560738</v>
      </c>
      <c r="J63" s="26" t="n">
        <v>0.2390197917585455</v>
      </c>
      <c r="K63" s="24" t="n">
        <v>2.958297090982512</v>
      </c>
      <c r="L63" s="27" t="n">
        <v>9.855243380562367</v>
      </c>
      <c r="M63" s="38" t="n">
        <v>0.3469565444237398</v>
      </c>
      <c r="N63" s="28" t="n">
        <v>29.15473782364231</v>
      </c>
      <c r="O63" s="29" t="n">
        <v>0.931896554916418</v>
      </c>
      <c r="P63" s="30" t="n">
        <v>2.958297090982512</v>
      </c>
      <c r="Q63" s="31" t="n"/>
      <c r="R63" s="31" t="n"/>
      <c r="S63" s="32" t="n"/>
      <c r="V63" s="32" t="n"/>
    </row>
    <row customFormat="1" r="64" s="22" spans="1:114">
      <c r="A64" s="22" t="s">
        <v>49</v>
      </c>
      <c r="B64" s="22" t="s">
        <v>28</v>
      </c>
      <c r="C64" s="116" t="n">
        <v>1.212362549741087</v>
      </c>
      <c r="D64" s="24" t="n">
        <v>0.9548814704147969</v>
      </c>
      <c r="E64" s="35" t="n">
        <v>0.2123796049137922</v>
      </c>
      <c r="F64" s="25" t="n">
        <v>1.924203345444957</v>
      </c>
      <c r="G64" s="53" t="n">
        <v>0.5871517524653755</v>
      </c>
      <c r="H64" s="26" t="n">
        <v>-0.08592577887098884</v>
      </c>
      <c r="I64" s="26" t="n">
        <v>0.02416495459934431</v>
      </c>
      <c r="J64" s="26" t="n">
        <v>0.2191665419073852</v>
      </c>
      <c r="K64" s="24" t="n">
        <v>2.015122719481707</v>
      </c>
      <c r="L64" s="27" t="n">
        <v>0.9548814704147969</v>
      </c>
      <c r="M64" s="38" t="n">
        <v>0.2123796049137922</v>
      </c>
      <c r="N64" s="28" t="n">
        <v>1.924203345444957</v>
      </c>
      <c r="O64" s="29" t="n">
        <v>0.5871517524653755</v>
      </c>
      <c r="P64" s="30" t="n">
        <v>2.015122719481707</v>
      </c>
      <c r="Q64" s="31" t="n"/>
      <c r="R64" s="31" t="n"/>
      <c r="S64" s="32" t="n"/>
      <c r="V64" s="32" t="n"/>
    </row>
    <row customFormat="1" r="65" s="22" spans="1:114">
      <c r="A65" s="22" t="n">
        <v>2.36</v>
      </c>
      <c r="B65" s="22" t="s">
        <v>29</v>
      </c>
      <c r="C65" s="119" t="n">
        <v>1.517064137078724</v>
      </c>
      <c r="D65" s="24" t="n">
        <v>1.002562772321561</v>
      </c>
      <c r="E65" s="35" t="n">
        <v>0.3391427904609839</v>
      </c>
      <c r="F65" s="25" t="n">
        <v>3.546363809248488</v>
      </c>
      <c r="G65" s="53" t="n">
        <v>1.337649228250433</v>
      </c>
      <c r="H65" s="26" t="n">
        <v>0.0116764189718106</v>
      </c>
      <c r="I65" s="26" t="n">
        <v>0.1874048189754594</v>
      </c>
      <c r="J65" s="26" t="n">
        <v>0.322799970893813</v>
      </c>
      <c r="K65" s="24" t="n">
        <v>3.537298518512146</v>
      </c>
      <c r="L65" s="27" t="n">
        <v>1.002562772321561</v>
      </c>
      <c r="M65" s="38" t="n">
        <v>0.3391427904609839</v>
      </c>
      <c r="N65" s="28" t="n">
        <v>3.546363809248488</v>
      </c>
      <c r="O65" s="29" t="n">
        <v>1.337649228250433</v>
      </c>
      <c r="P65" s="30" t="n">
        <v>3.537298518512146</v>
      </c>
      <c r="Q65" s="31" t="n"/>
      <c r="R65" s="31" t="n"/>
      <c r="S65" s="32" t="n"/>
      <c r="V65" s="32" t="n"/>
    </row>
    <row r="66" spans="1:114">
      <c r="C66" s="1" t="n"/>
      <c r="D66" s="86" t="n"/>
      <c r="K66" s="86" t="n"/>
      <c r="L66" s="91" t="n"/>
      <c r="M66" s="92" t="n"/>
      <c r="N66" s="93" t="n"/>
      <c r="P66" s="95" t="n"/>
      <c r="Q66" s="96" t="n"/>
      <c r="R66" s="96" t="n"/>
    </row>
    <row customFormat="1" r="67" s="22" spans="1:114">
      <c r="A67" s="22" t="s">
        <v>64</v>
      </c>
      <c r="B67" s="22" t="s">
        <v>24</v>
      </c>
      <c r="C67" s="116" t="n">
        <v>42.25316802666274</v>
      </c>
      <c r="D67" s="24" t="n">
        <v>27.88835424082967</v>
      </c>
      <c r="E67" s="35" t="n">
        <v>0.3399701006269763</v>
      </c>
      <c r="F67" s="25" t="n">
        <v>133.7209720214347</v>
      </c>
      <c r="G67" s="53" t="n">
        <v>2.164756118098733</v>
      </c>
      <c r="H67" s="26" t="n">
        <v>-0.09704866365278664</v>
      </c>
      <c r="I67" s="26" t="n">
        <v>0.1850056102352622</v>
      </c>
      <c r="J67" s="26" t="n">
        <v>0.4630758175607586</v>
      </c>
      <c r="K67" s="24" t="n">
        <v>4.794867809935582</v>
      </c>
      <c r="L67" s="27" t="n">
        <v>27.88835424082967</v>
      </c>
      <c r="M67" s="38" t="n">
        <v>0.3399701006269763</v>
      </c>
      <c r="N67" s="28" t="n">
        <v>133.7209720214347</v>
      </c>
      <c r="O67" s="29" t="n">
        <v>2.164756118098733</v>
      </c>
      <c r="P67" s="30" t="n">
        <v>4.794867809935582</v>
      </c>
      <c r="Q67" s="31" t="n">
        <v>0.0888891780063983</v>
      </c>
      <c r="R67" s="31" t="n">
        <v>0.06306108647558123</v>
      </c>
      <c r="S67" s="32" t="n">
        <v>0.00605509442854122</v>
      </c>
      <c r="T67" s="22" t="n">
        <v>5563.03</v>
      </c>
      <c r="U67" s="42">
        <f>C67*S67</f>
        <v/>
      </c>
      <c r="V67" s="42">
        <f>Q67*(1-U67)+S67</f>
        <v/>
      </c>
      <c r="W67" s="42">
        <f>V67+I69/3</f>
        <v/>
      </c>
      <c r="X67" s="42">
        <f>V67+I69/5</f>
        <v/>
      </c>
    </row>
    <row customFormat="1" r="68" s="22" spans="1:114">
      <c r="A68" s="22" t="s">
        <v>65</v>
      </c>
      <c r="B68" s="22" t="s">
        <v>26</v>
      </c>
      <c r="C68" s="116" t="n">
        <v>50.8033096682538</v>
      </c>
      <c r="D68" s="24" t="n">
        <v>34.05908305989729</v>
      </c>
      <c r="E68" s="35" t="n">
        <v>0.3295892869519035</v>
      </c>
      <c r="F68" s="25" t="n">
        <v>154.6639739405163</v>
      </c>
      <c r="G68" s="53" t="n">
        <v>2.044368072680182</v>
      </c>
      <c r="H68" s="26" t="n">
        <v>-0.1533618800214949</v>
      </c>
      <c r="I68" s="26" t="n">
        <v>0.1994568302020827</v>
      </c>
      <c r="J68" s="26" t="n">
        <v>0.513679109579418</v>
      </c>
      <c r="K68" s="24" t="n">
        <v>4.541049260443088</v>
      </c>
      <c r="L68" s="27" t="n">
        <v>34.45958149883467</v>
      </c>
      <c r="M68" s="38" t="n">
        <v>0.3217059730191569</v>
      </c>
      <c r="N68" s="28" t="n">
        <v>154.6639739405163</v>
      </c>
      <c r="O68" s="29" t="n">
        <v>2.044368072680182</v>
      </c>
      <c r="P68" s="30" t="n">
        <v>4.488271975843543</v>
      </c>
      <c r="Q68" s="31" t="n"/>
      <c r="R68" s="31" t="n"/>
      <c r="S68" s="32" t="n"/>
      <c r="V68" s="32" t="n"/>
    </row>
    <row customFormat="1" r="69" s="22" spans="1:114">
      <c r="A69" s="22" t="s">
        <v>49</v>
      </c>
      <c r="B69" s="22" t="s">
        <v>28</v>
      </c>
      <c r="C69" s="116" t="n">
        <v>3.755849374056281</v>
      </c>
      <c r="D69" s="24" t="n">
        <v>2.33398927802874</v>
      </c>
      <c r="E69" s="35" t="n">
        <v>0.378572182859385</v>
      </c>
      <c r="F69" s="25" t="n">
        <v>11.23463500131647</v>
      </c>
      <c r="G69" s="53" t="n">
        <v>1.991236836844489</v>
      </c>
      <c r="H69" s="26" t="n">
        <v>-0.1613500761665497</v>
      </c>
      <c r="I69" s="26" t="n">
        <v>0.09816359756693727</v>
      </c>
      <c r="J69" s="26" t="n">
        <v>0.3168935285643504</v>
      </c>
      <c r="K69" s="24" t="n">
        <v>4.813490407635937</v>
      </c>
      <c r="L69" s="27" t="n">
        <v>2.526522590256011</v>
      </c>
      <c r="M69" s="38" t="n">
        <v>0.3273099268282448</v>
      </c>
      <c r="N69" s="28" t="n">
        <v>11.23463500131647</v>
      </c>
      <c r="O69" s="29" t="n">
        <v>1.991236836844489</v>
      </c>
      <c r="P69" s="30" t="n">
        <v>4.446679022243798</v>
      </c>
      <c r="Q69" s="31" t="n"/>
      <c r="R69" s="31" t="n"/>
      <c r="S69" s="32" t="n"/>
      <c r="V69" s="32" t="n"/>
    </row>
    <row customFormat="1" r="70" s="22" spans="1:114">
      <c r="A70" s="22" t="n">
        <v>3.34</v>
      </c>
      <c r="B70" s="22" t="s">
        <v>29</v>
      </c>
      <c r="C70" s="116" t="n">
        <v>3.203711904235485</v>
      </c>
      <c r="D70" s="24" t="n">
        <v>1.973582699506399</v>
      </c>
      <c r="E70" s="35" t="n">
        <v>0.3839699827886482</v>
      </c>
      <c r="F70" s="25" t="n">
        <v>10.42479831392837</v>
      </c>
      <c r="G70" s="53" t="n">
        <v>2.253974959529354</v>
      </c>
      <c r="H70" s="26" t="n">
        <v>-0.1271075998046833</v>
      </c>
      <c r="I70" s="26" t="n">
        <v>0.1901345035685629</v>
      </c>
      <c r="J70" s="26" t="n">
        <v>0.5637176728951006</v>
      </c>
      <c r="K70" s="24" t="n">
        <v>5.282169486252418</v>
      </c>
      <c r="L70" s="27" t="n">
        <v>2.10923291874706</v>
      </c>
      <c r="M70" s="38" t="n">
        <v>0.3416284042399266</v>
      </c>
      <c r="N70" s="28" t="n">
        <v>10.42479831392837</v>
      </c>
      <c r="O70" s="29" t="n">
        <v>2.253974959529354</v>
      </c>
      <c r="P70" s="30" t="n">
        <v>4.942459517520226</v>
      </c>
      <c r="Q70" s="31" t="n"/>
      <c r="R70" s="31" t="n"/>
      <c r="S70" s="32" t="n"/>
      <c r="V70" s="32" t="n"/>
    </row>
    <row r="71" spans="1:114">
      <c r="C71" s="131" t="n"/>
      <c r="D71" s="16" t="n"/>
      <c r="K71" s="86" t="n"/>
      <c r="L71" s="91" t="n"/>
      <c r="M71" s="92" t="n"/>
      <c r="N71" s="93" t="n"/>
      <c r="P71" s="95" t="n"/>
      <c r="Q71" s="96" t="n"/>
      <c r="R71" s="96" t="n"/>
    </row>
    <row customFormat="1" r="72" s="22" spans="1:114">
      <c r="A72" s="22" t="s">
        <v>66</v>
      </c>
      <c r="B72" s="22" t="s">
        <v>24</v>
      </c>
      <c r="C72" s="122" t="n">
        <v>44.93615669021978</v>
      </c>
      <c r="D72" s="24" t="n">
        <v>10.30814432107228</v>
      </c>
      <c r="E72" s="35" t="n">
        <v>0.7706046738234777</v>
      </c>
      <c r="F72" s="25" t="n">
        <v>57.36400985892887</v>
      </c>
      <c r="G72" s="53" t="n">
        <v>0.2765668914318606</v>
      </c>
      <c r="H72" s="26" t="n">
        <v>-0.6045708685479859</v>
      </c>
      <c r="I72" s="26" t="n">
        <v>-0.4629657424225631</v>
      </c>
      <c r="J72" s="26" t="n">
        <v>-0.3218071773618403</v>
      </c>
      <c r="K72" s="24" t="n">
        <v>5.564921102400874</v>
      </c>
      <c r="L72" s="27" t="n">
        <v>10.30814432107228</v>
      </c>
      <c r="M72" s="38" t="n">
        <v>0.7706046738234777</v>
      </c>
      <c r="N72" s="28" t="n">
        <v>57.36400985892887</v>
      </c>
      <c r="O72" s="29" t="n">
        <v>0.2765668914318606</v>
      </c>
      <c r="P72" s="30" t="n">
        <v>5.564921102400874</v>
      </c>
      <c r="Q72" s="31" t="n">
        <v>0.04312709294151938</v>
      </c>
      <c r="R72" s="31" t="n">
        <v>0.03090541950997979</v>
      </c>
      <c r="S72" s="32" t="n">
        <v>0.01005121799496019</v>
      </c>
      <c r="T72" s="22" t="n">
        <v>848.23</v>
      </c>
      <c r="U72" s="42">
        <f>C72*S72</f>
        <v/>
      </c>
      <c r="V72" s="42">
        <f>Q72*(1-U72)+S72</f>
        <v/>
      </c>
      <c r="W72" s="42">
        <f>V72+I74/3</f>
        <v/>
      </c>
      <c r="X72" s="42">
        <f>V72+I74/5</f>
        <v/>
      </c>
    </row>
    <row customFormat="1" r="73" s="22" spans="1:114">
      <c r="A73" s="22" t="s">
        <v>67</v>
      </c>
      <c r="B73" s="22" t="s">
        <v>26</v>
      </c>
      <c r="C73" s="122" t="n">
        <v>64.84807166646661</v>
      </c>
      <c r="D73" s="24" t="n">
        <v>11.39021055382755</v>
      </c>
      <c r="E73" s="35" t="n">
        <v>0.8243554471070339</v>
      </c>
      <c r="F73" s="25" t="n">
        <v>66.82549772478465</v>
      </c>
      <c r="G73" s="53" t="n">
        <v>0.03049321294376406</v>
      </c>
      <c r="H73" s="26" t="n">
        <v>-0.6529093155683132</v>
      </c>
      <c r="I73" s="26" t="n">
        <v>-0.5452416827736336</v>
      </c>
      <c r="J73" s="26" t="n">
        <v>-0.4297052892762488</v>
      </c>
      <c r="K73" s="24" t="n">
        <v>5.866923829808282</v>
      </c>
      <c r="L73" s="27" t="n">
        <v>11.39021055382755</v>
      </c>
      <c r="M73" s="38" t="n">
        <v>0.8243554471070339</v>
      </c>
      <c r="N73" s="28" t="n">
        <v>66.82549772478465</v>
      </c>
      <c r="O73" s="29" t="n">
        <v>0.03049321294376406</v>
      </c>
      <c r="P73" s="30" t="n">
        <v>5.866923829808282</v>
      </c>
      <c r="Q73" s="31" t="n"/>
      <c r="R73" s="31" t="n"/>
      <c r="S73" s="32" t="n"/>
      <c r="V73" s="32" t="n"/>
    </row>
    <row customFormat="1" r="74" s="22" spans="1:114">
      <c r="A74" s="22" t="s">
        <v>68</v>
      </c>
      <c r="B74" s="22" t="s">
        <v>28</v>
      </c>
      <c r="C74" s="115" t="n">
        <v>1.937965806013786</v>
      </c>
      <c r="D74" s="24" t="n">
        <v>1.054030485483024</v>
      </c>
      <c r="E74" s="35" t="n">
        <v>0.4561150242113579</v>
      </c>
      <c r="F74" s="25" t="n">
        <v>5.51835062035751</v>
      </c>
      <c r="G74" s="53" t="n">
        <v>1.847496381635463</v>
      </c>
      <c r="H74" s="26" t="n">
        <v>-0.1496570808548222</v>
      </c>
      <c r="I74" s="26" t="n">
        <v>-0.0107920425919652</v>
      </c>
      <c r="J74" s="26" t="n">
        <v>0.1248388144605752</v>
      </c>
      <c r="K74" s="24" t="n">
        <v>5.235475345695193</v>
      </c>
      <c r="L74" s="27" t="n">
        <v>1.054030485483024</v>
      </c>
      <c r="M74" s="38" t="n">
        <v>0.4561150242113579</v>
      </c>
      <c r="N74" s="28" t="n">
        <v>5.51835062035751</v>
      </c>
      <c r="O74" s="29" t="n">
        <v>1.847496381635463</v>
      </c>
      <c r="P74" s="30" t="n">
        <v>5.235475345695193</v>
      </c>
      <c r="Q74" s="31" t="n"/>
      <c r="R74" s="31" t="n"/>
      <c r="S74" s="32" t="n"/>
      <c r="V74" s="32" t="n"/>
    </row>
    <row customFormat="1" r="75" s="22" spans="1:114">
      <c r="A75" s="22" t="n">
        <v>2.72</v>
      </c>
      <c r="B75" s="22" t="s">
        <v>29</v>
      </c>
      <c r="C75" s="116" t="n">
        <v>2.004156859265385</v>
      </c>
      <c r="D75" s="24" t="n">
        <v>1.029996908481526</v>
      </c>
      <c r="E75" s="35" t="n">
        <v>0.4860697136954307</v>
      </c>
      <c r="F75" s="25" t="n">
        <v>5.835581887501398</v>
      </c>
      <c r="G75" s="53" t="n">
        <v>1.911739098924824</v>
      </c>
      <c r="H75" s="26" t="n">
        <v>-0.1108848729914264</v>
      </c>
      <c r="I75" s="26" t="n">
        <v>0.04976486135851999</v>
      </c>
      <c r="J75" s="26" t="n">
        <v>0.1865524012411182</v>
      </c>
      <c r="K75" s="24" t="n">
        <v>5.665630488255069</v>
      </c>
      <c r="L75" s="27" t="n">
        <v>1.029996908481526</v>
      </c>
      <c r="M75" s="38" t="n">
        <v>0.4860697136954307</v>
      </c>
      <c r="N75" s="28" t="n">
        <v>5.835581887501398</v>
      </c>
      <c r="O75" s="29" t="n">
        <v>1.911739098924824</v>
      </c>
      <c r="P75" s="30" t="n">
        <v>5.665630488255069</v>
      </c>
      <c r="Q75" s="31" t="n"/>
      <c r="R75" s="31" t="n"/>
      <c r="S75" s="32" t="n"/>
      <c r="V75" s="32" t="n"/>
    </row>
    <row r="76" spans="1:114">
      <c r="M76" s="92" t="n"/>
      <c r="N76" s="93" t="n"/>
      <c r="P76" s="95" t="n"/>
      <c r="Q76" s="96" t="n"/>
      <c r="R76" s="96" t="n"/>
    </row>
    <row customFormat="1" r="77" s="22" spans="1:114">
      <c r="A77" s="22" t="s">
        <v>69</v>
      </c>
      <c r="B77" s="22" t="s">
        <v>24</v>
      </c>
      <c r="C77" s="119" t="n">
        <v>25.58265533997178</v>
      </c>
      <c r="D77" s="24" t="n">
        <v>18.52727279502201</v>
      </c>
      <c r="E77" s="35" t="n">
        <v>0.2757877339623163</v>
      </c>
      <c r="F77" s="25" t="n">
        <v>64.56883521449456</v>
      </c>
      <c r="G77" s="53" t="n">
        <v>1.523930153317923</v>
      </c>
      <c r="H77" s="26" t="n">
        <v>0.01745266612851393</v>
      </c>
      <c r="I77" s="26" t="n">
        <v>0.2558383899124785</v>
      </c>
      <c r="J77" s="26" t="n">
        <v>0.4370401942769471</v>
      </c>
      <c r="K77" s="24" t="n">
        <v>3.485069601384786</v>
      </c>
      <c r="L77" s="27" t="n">
        <v>18.52727279502201</v>
      </c>
      <c r="M77" s="38" t="n">
        <v>0.2757877339623163</v>
      </c>
      <c r="N77" s="28" t="n">
        <v>64.56883521449456</v>
      </c>
      <c r="O77" s="29" t="n">
        <v>1.523930153317923</v>
      </c>
      <c r="P77" s="30" t="n">
        <v>3.485069601384786</v>
      </c>
      <c r="Q77" s="31" t="n">
        <v>0.1399256349892165</v>
      </c>
      <c r="R77" s="31" t="n">
        <v>0.1262416752419669</v>
      </c>
      <c r="S77" s="32" t="n">
        <v>0.01024344476857094</v>
      </c>
      <c r="T77" s="22" t="n">
        <v>6580.05</v>
      </c>
      <c r="U77" s="42">
        <f>C77*S77</f>
        <v/>
      </c>
      <c r="V77" s="42">
        <f>Q77*(1-U77)+S77</f>
        <v/>
      </c>
      <c r="W77" s="42">
        <f>V77+I79/3</f>
        <v/>
      </c>
      <c r="X77" s="42">
        <f>V77+I79/5</f>
        <v/>
      </c>
    </row>
    <row customFormat="1" r="78" s="22" spans="1:114">
      <c r="A78" s="22" t="s">
        <v>70</v>
      </c>
      <c r="B78" s="22" t="s">
        <v>26</v>
      </c>
      <c r="C78" s="119" t="n">
        <v>25.13611713618272</v>
      </c>
      <c r="D78" s="24" t="n">
        <v>17.45460329108133</v>
      </c>
      <c r="E78" s="35" t="n">
        <v>0.3055966760293325</v>
      </c>
      <c r="F78" s="25" t="n">
        <v>76.57930771077883</v>
      </c>
      <c r="G78" s="53" t="n">
        <v>2.046584613521916</v>
      </c>
      <c r="H78" s="26" t="n">
        <v>0.1365114751715786</v>
      </c>
      <c r="I78" s="26" t="n">
        <v>0.41401569770672</v>
      </c>
      <c r="J78" s="26" t="n">
        <v>0.7162963312434532</v>
      </c>
      <c r="K78" s="24" t="n">
        <v>4.387341633247435</v>
      </c>
      <c r="L78" s="27" t="n">
        <v>17.45460329108133</v>
      </c>
      <c r="M78" s="38" t="n">
        <v>0.3055966760293325</v>
      </c>
      <c r="N78" s="28" t="n">
        <v>76.57930771077883</v>
      </c>
      <c r="O78" s="29" t="n">
        <v>2.046584613521916</v>
      </c>
      <c r="P78" s="30" t="n">
        <v>4.387341633247435</v>
      </c>
      <c r="Q78" s="31" t="n"/>
      <c r="R78" s="31" t="n"/>
      <c r="S78" s="32" t="n"/>
      <c r="V78" s="32" t="n"/>
    </row>
    <row customFormat="1" r="79" s="22" spans="1:114">
      <c r="A79" s="22" t="s">
        <v>71</v>
      </c>
      <c r="B79" s="22" t="s">
        <v>28</v>
      </c>
      <c r="C79" s="119" t="n">
        <v>3.579669293155821</v>
      </c>
      <c r="D79" s="24" t="n">
        <v>2.557244887230615</v>
      </c>
      <c r="E79" s="35" t="n">
        <v>0.2856197939513684</v>
      </c>
      <c r="F79" s="25" t="n">
        <v>7.67217149990648</v>
      </c>
      <c r="G79" s="53" t="n">
        <v>1.143262651266516</v>
      </c>
      <c r="H79" s="26" t="n">
        <v>0.005746962767038566</v>
      </c>
      <c r="I79" s="26" t="n">
        <v>0.169811400832464</v>
      </c>
      <c r="J79" s="26" t="n">
        <v>0.4414886706443875</v>
      </c>
      <c r="K79" s="24" t="n">
        <v>3.000170823770854</v>
      </c>
      <c r="L79" s="27" t="n">
        <v>2.557244887230615</v>
      </c>
      <c r="M79" s="38" t="n">
        <v>0.2856197939513684</v>
      </c>
      <c r="N79" s="28" t="n">
        <v>7.67217149990648</v>
      </c>
      <c r="O79" s="29" t="n">
        <v>1.143262651266516</v>
      </c>
      <c r="P79" s="30" t="n">
        <v>3.000170823770854</v>
      </c>
      <c r="Q79" s="31" t="n"/>
      <c r="R79" s="31" t="n"/>
      <c r="S79" s="32" t="n"/>
      <c r="V79" s="32" t="n"/>
    </row>
    <row customFormat="1" r="80" s="22" spans="1:114">
      <c r="A80" s="22" t="n">
        <v>5.21</v>
      </c>
      <c r="B80" s="22" t="s">
        <v>29</v>
      </c>
      <c r="C80" s="116" t="n">
        <v>3.173225536350017</v>
      </c>
      <c r="D80" s="24" t="n">
        <v>2.148377956087385</v>
      </c>
      <c r="E80" s="35" t="n">
        <v>0.322967141327577</v>
      </c>
      <c r="F80" s="25" t="n">
        <v>7.465036590097342</v>
      </c>
      <c r="G80" s="53" t="n">
        <v>1.352507410703607</v>
      </c>
      <c r="H80" s="26" t="n">
        <v>-0.03886442752601693</v>
      </c>
      <c r="I80" s="26" t="n">
        <v>0.213993155873742</v>
      </c>
      <c r="J80" s="26" t="n">
        <v>0.4376003658682956</v>
      </c>
      <c r="K80" s="24" t="n">
        <v>3.474731514976364</v>
      </c>
      <c r="L80" s="27" t="n">
        <v>2.148377956087385</v>
      </c>
      <c r="M80" s="38" t="n">
        <v>0.322967141327577</v>
      </c>
      <c r="N80" s="28" t="n">
        <v>7.465036590097342</v>
      </c>
      <c r="O80" s="29" t="n">
        <v>1.352507410703607</v>
      </c>
      <c r="P80" s="30" t="n">
        <v>3.474731514976364</v>
      </c>
      <c r="Q80" s="31" t="n"/>
      <c r="R80" s="31" t="n"/>
      <c r="S80" s="32" t="n"/>
      <c r="V80" s="32" t="n"/>
    </row>
    <row r="81" spans="1:114">
      <c r="C81" s="1" t="n"/>
      <c r="D81" s="86" t="n"/>
      <c r="K81" s="86" t="n"/>
      <c r="L81" s="91" t="n"/>
      <c r="M81" s="92" t="n"/>
      <c r="N81" s="93" t="n"/>
      <c r="P81" s="95" t="n"/>
      <c r="Q81" s="96" t="n"/>
      <c r="R81" s="96" t="n"/>
    </row>
    <row r="82" spans="1:114">
      <c r="A82" t="s">
        <v>72</v>
      </c>
      <c r="B82" t="s">
        <v>24</v>
      </c>
      <c r="C82" s="118" t="n">
        <v>38.80728680866741</v>
      </c>
      <c r="D82" s="86" t="n">
        <v>27.2207524753695</v>
      </c>
      <c r="E82" s="87" t="n">
        <v>0.2985659469167042</v>
      </c>
      <c r="F82" s="88" t="n">
        <v>138.1733604760597</v>
      </c>
      <c r="G82" s="89" t="n">
        <v>2.560500406980251</v>
      </c>
      <c r="H82" s="90" t="n">
        <v>-0.02428349291160214</v>
      </c>
      <c r="I82" s="90" t="n">
        <v>0.2521061225375725</v>
      </c>
      <c r="J82" s="90" t="n">
        <v>0.63078760693308</v>
      </c>
      <c r="K82" s="86" t="n">
        <v>5.076030157545601</v>
      </c>
      <c r="L82" s="91" t="n">
        <v>27.2207524753695</v>
      </c>
      <c r="M82" s="92" t="n">
        <v>0.2985659469167042</v>
      </c>
      <c r="N82" s="93" t="n">
        <v>138.1733604760597</v>
      </c>
      <c r="O82" s="94" t="n">
        <v>2.560500406980251</v>
      </c>
      <c r="P82" s="95" t="n">
        <v>5.076030157545601</v>
      </c>
      <c r="Q82" s="96" t="n">
        <v>0.1239772716102857</v>
      </c>
      <c r="R82" s="96" t="n">
        <v>0.09719105307867876</v>
      </c>
      <c r="S82" s="131" t="n">
        <v>0.006164495532301738</v>
      </c>
      <c r="T82" t="n">
        <v>1739.66</v>
      </c>
      <c r="U82" s="42">
        <f>C82*S82</f>
        <v/>
      </c>
      <c r="V82" s="42">
        <f>Q82*(1-U82)+S82</f>
        <v/>
      </c>
      <c r="W82" s="42">
        <f>V82+I84/3</f>
        <v/>
      </c>
      <c r="X82" s="42">
        <f>V82+I84/5</f>
        <v/>
      </c>
    </row>
    <row r="83" spans="1:114">
      <c r="A83" t="s">
        <v>73</v>
      </c>
      <c r="B83" t="s">
        <v>26</v>
      </c>
      <c r="C83" s="117" t="n">
        <v>36.2254785670763</v>
      </c>
      <c r="D83" s="86" t="n">
        <v>25.07616509123669</v>
      </c>
      <c r="E83" s="87" t="n">
        <v>0.3077754640341098</v>
      </c>
      <c r="F83" s="88" t="n">
        <v>126.3383060356922</v>
      </c>
      <c r="G83" s="89" t="n">
        <v>2.4875538166255</v>
      </c>
      <c r="H83" s="90" t="n">
        <v>0.09416714138300741</v>
      </c>
      <c r="I83" s="90" t="n">
        <v>0.4955493455725524</v>
      </c>
      <c r="J83" s="90" t="n">
        <v>0.7678817753393532</v>
      </c>
      <c r="K83" s="86" t="n">
        <v>5.038182895032995</v>
      </c>
      <c r="L83" s="91" t="n">
        <v>25.07616509123669</v>
      </c>
      <c r="M83" s="92" t="n">
        <v>0.3077754640341098</v>
      </c>
      <c r="N83" s="93" t="n">
        <v>126.3383060356922</v>
      </c>
      <c r="O83" s="94" t="n">
        <v>2.4875538166255</v>
      </c>
      <c r="P83" s="95" t="n">
        <v>5.038182895032995</v>
      </c>
      <c r="Q83" s="96" t="n"/>
      <c r="R83" s="96" t="n"/>
      <c r="U83" s="22" t="n"/>
      <c r="V83" s="32" t="n"/>
      <c r="W83" s="22" t="n"/>
      <c r="X83" s="22" t="n"/>
    </row>
    <row r="84" spans="1:114">
      <c r="A84" t="s">
        <v>74</v>
      </c>
      <c r="B84" t="s">
        <v>28</v>
      </c>
      <c r="C84" s="120" t="n">
        <v>4.811221537136416</v>
      </c>
      <c r="D84" s="86" t="n">
        <v>2.509690845930913</v>
      </c>
      <c r="E84" s="87" t="n">
        <v>0.4783672240907342</v>
      </c>
      <c r="F84" s="88" t="n">
        <v>15.0465879041209</v>
      </c>
      <c r="G84" s="89" t="n">
        <v>2.127394527144651</v>
      </c>
      <c r="H84" s="90" t="n">
        <v>-0.2406052321713604</v>
      </c>
      <c r="I84" s="90" t="n">
        <v>-0.01615386927012696</v>
      </c>
      <c r="J84" s="90" t="n">
        <v>0.2986825462927265</v>
      </c>
      <c r="K84" s="86" t="n">
        <v>5.995394982022064</v>
      </c>
      <c r="L84" s="91" t="n">
        <v>3.15727124454328</v>
      </c>
      <c r="M84" s="92" t="n">
        <v>0.3437693067814017</v>
      </c>
      <c r="N84" s="93" t="n">
        <v>15.0465879041209</v>
      </c>
      <c r="O84" s="94" t="n">
        <v>2.127394527144651</v>
      </c>
      <c r="P84" s="95" t="n">
        <v>4.765693771203839</v>
      </c>
      <c r="Q84" s="96" t="n"/>
      <c r="R84" s="96" t="n"/>
      <c r="U84" s="22" t="n"/>
      <c r="V84" s="32" t="n"/>
      <c r="W84" s="22" t="n"/>
      <c r="X84" s="22" t="n"/>
    </row>
    <row r="85" spans="1:114">
      <c r="A85" t="n">
        <v>5.13</v>
      </c>
      <c r="B85" t="s">
        <v>29</v>
      </c>
      <c r="C85" s="118" t="n">
        <v>3.520792410213252</v>
      </c>
      <c r="D85" s="86" t="n">
        <v>2.048464080103921</v>
      </c>
      <c r="E85" s="87" t="n">
        <v>0.4181809543324235</v>
      </c>
      <c r="F85" s="88" t="n">
        <v>12.52596643521449</v>
      </c>
      <c r="G85" s="89" t="n">
        <v>2.557712291948448</v>
      </c>
      <c r="H85" s="90" t="n">
        <v>-0.1590072591426889</v>
      </c>
      <c r="I85" s="90" t="n">
        <v>0.1851724166922704</v>
      </c>
      <c r="J85" s="90" t="n">
        <v>0.6098630570957699</v>
      </c>
      <c r="K85" s="86" t="n">
        <v>6.11480892287798</v>
      </c>
      <c r="L85" s="91" t="n">
        <v>2.428096635629035</v>
      </c>
      <c r="M85" s="92" t="n">
        <v>0.310355069902583</v>
      </c>
      <c r="N85" s="93" t="n">
        <v>12.52596643521449</v>
      </c>
      <c r="O85" s="94" t="n">
        <v>2.557712291948448</v>
      </c>
      <c r="P85" s="95" t="n">
        <v>5.158759437912343</v>
      </c>
      <c r="Q85" s="96" t="n"/>
      <c r="R85" s="96" t="n"/>
      <c r="U85" s="22" t="n"/>
      <c r="V85" s="32" t="n"/>
      <c r="W85" s="22" t="n"/>
      <c r="X85" s="22" t="n"/>
    </row>
    <row r="86" spans="1:114">
      <c r="C86" s="1" t="n"/>
      <c r="D86" s="86" t="n"/>
      <c r="K86" s="86" t="n"/>
      <c r="L86" s="91" t="n"/>
      <c r="M86" s="92" t="n"/>
      <c r="N86" s="93" t="n"/>
      <c r="P86" s="95" t="n"/>
      <c r="Q86" s="96" t="n"/>
      <c r="R86" s="96" t="n"/>
    </row>
    <row r="87" spans="1:114">
      <c r="A87" t="s">
        <v>75</v>
      </c>
      <c r="B87" t="s">
        <v>24</v>
      </c>
      <c r="C87" s="118" t="n">
        <v>39.59448497027859</v>
      </c>
      <c r="D87" s="86" t="n">
        <v>27.42840832294443</v>
      </c>
      <c r="E87" s="87" t="n">
        <v>0.3072669503459021</v>
      </c>
      <c r="F87" s="88" t="n">
        <v>142.3028729966711</v>
      </c>
      <c r="G87" s="89" t="n">
        <v>2.594007425617233</v>
      </c>
      <c r="H87" s="90" t="n">
        <v>-0.01870040954897245</v>
      </c>
      <c r="I87" s="90" t="n">
        <v>0.2350225969746718</v>
      </c>
      <c r="J87" s="90" t="n">
        <v>0.7356027691470433</v>
      </c>
      <c r="K87" s="86" t="n">
        <v>5.188156429683594</v>
      </c>
      <c r="L87" s="91" t="n">
        <v>27.42840832294443</v>
      </c>
      <c r="M87" s="92" t="n">
        <v>0.3072669503459021</v>
      </c>
      <c r="N87" s="93" t="n">
        <v>142.3028729966711</v>
      </c>
      <c r="O87" s="94" t="n">
        <v>2.594007425617233</v>
      </c>
      <c r="P87" s="95" t="n">
        <v>5.188156429683594</v>
      </c>
      <c r="Q87" s="96" t="n">
        <v>0.1408598127162739</v>
      </c>
      <c r="R87" s="96" t="n">
        <v>0.1201213955205916</v>
      </c>
      <c r="S87" s="131" t="n">
        <v>0.004875521531295016</v>
      </c>
      <c r="T87" t="n">
        <v>1389.1</v>
      </c>
      <c r="U87" s="42">
        <f>C87*S87</f>
        <v/>
      </c>
      <c r="V87" s="42">
        <f>Q87*(1-U87)+S87</f>
        <v/>
      </c>
      <c r="W87" s="42">
        <f>V87+I89/3</f>
        <v/>
      </c>
      <c r="X87" s="42">
        <f>V87+I89/5</f>
        <v/>
      </c>
    </row>
    <row r="88" spans="1:114">
      <c r="A88" t="s">
        <v>76</v>
      </c>
      <c r="B88" t="s">
        <v>26</v>
      </c>
      <c r="C88" s="117" t="n">
        <v>34.41728881425489</v>
      </c>
      <c r="D88" s="86" t="n">
        <v>24.49127033110247</v>
      </c>
      <c r="E88" s="87" t="n">
        <v>0.2884021032778525</v>
      </c>
      <c r="F88" s="88" t="n">
        <v>132.4177422151423</v>
      </c>
      <c r="G88" s="89" t="n">
        <v>2.847419328401538</v>
      </c>
      <c r="H88" s="90" t="n">
        <v>0.2482836828228407</v>
      </c>
      <c r="I88" s="90" t="n">
        <v>0.6259697942879345</v>
      </c>
      <c r="J88" s="90" t="n">
        <v>1.203242484200338</v>
      </c>
      <c r="K88" s="86" t="n">
        <v>5.406732293791212</v>
      </c>
      <c r="L88" s="91" t="n">
        <v>24.49127033110247</v>
      </c>
      <c r="M88" s="92" t="n">
        <v>0.2884021032778525</v>
      </c>
      <c r="N88" s="93" t="n">
        <v>132.4177422151423</v>
      </c>
      <c r="O88" s="94" t="n">
        <v>2.847419328401538</v>
      </c>
      <c r="P88" s="95" t="n">
        <v>5.406732293791212</v>
      </c>
      <c r="Q88" s="96" t="n"/>
      <c r="R88" s="96" t="n"/>
      <c r="U88" s="22" t="n"/>
      <c r="V88" s="32" t="n"/>
      <c r="W88" s="22" t="n"/>
      <c r="X88" s="22" t="n"/>
    </row>
    <row r="89" spans="1:114">
      <c r="A89" t="s">
        <v>77</v>
      </c>
      <c r="B89" t="s">
        <v>28</v>
      </c>
      <c r="C89" s="118" t="n">
        <v>5.577271737510765</v>
      </c>
      <c r="D89" s="86" t="n">
        <v>3.14732632609305</v>
      </c>
      <c r="E89" s="87" t="n">
        <v>0.4356871111505574</v>
      </c>
      <c r="F89" s="88" t="n">
        <v>16.2381713685455</v>
      </c>
      <c r="G89" s="89" t="n">
        <v>1.911490085615389</v>
      </c>
      <c r="H89" s="90" t="n">
        <v>-0.2070459604732465</v>
      </c>
      <c r="I89" s="90" t="n">
        <v>0.02996179585148617</v>
      </c>
      <c r="J89" s="90" t="n">
        <v>0.3402630503730759</v>
      </c>
      <c r="K89" s="86" t="n">
        <v>5.159354222001772</v>
      </c>
      <c r="L89" s="91" t="n">
        <v>3.14732632609305</v>
      </c>
      <c r="M89" s="92" t="n">
        <v>0.4356871111505574</v>
      </c>
      <c r="N89" s="93" t="n">
        <v>16.2381713685455</v>
      </c>
      <c r="O89" s="94" t="n">
        <v>1.911490085615389</v>
      </c>
      <c r="P89" s="95" t="n">
        <v>5.159354222001772</v>
      </c>
      <c r="Q89" s="96" t="n"/>
      <c r="R89" s="96" t="n"/>
      <c r="U89" s="22" t="n"/>
      <c r="V89" s="32" t="n"/>
      <c r="W89" s="22" t="n"/>
      <c r="X89" s="22" t="n"/>
    </row>
    <row r="90" spans="1:114">
      <c r="A90" t="n">
        <v>3.37</v>
      </c>
      <c r="B90" t="s">
        <v>29</v>
      </c>
      <c r="C90" s="118" t="n">
        <v>4.134252762403543</v>
      </c>
      <c r="D90" s="86" t="n">
        <v>2.60957623713522</v>
      </c>
      <c r="E90" s="87" t="n">
        <v>0.3687913180184746</v>
      </c>
      <c r="F90" s="88" t="n">
        <v>13.04346469936333</v>
      </c>
      <c r="G90" s="89" t="n">
        <v>2.154975142782566</v>
      </c>
      <c r="H90" s="90" t="n">
        <v>-0.08388397412206761</v>
      </c>
      <c r="I90" s="90" t="n">
        <v>0.2707707177513974</v>
      </c>
      <c r="J90" s="90" t="n">
        <v>0.594398308341948</v>
      </c>
      <c r="K90" s="86" t="n">
        <v>4.998307584867642</v>
      </c>
      <c r="L90" s="91" t="n">
        <v>2.60957623713522</v>
      </c>
      <c r="M90" s="92" t="n">
        <v>0.3687913180184746</v>
      </c>
      <c r="N90" s="93" t="n">
        <v>13.04346469936333</v>
      </c>
      <c r="O90" s="94" t="n">
        <v>2.154975142782566</v>
      </c>
      <c r="P90" s="95" t="n">
        <v>4.998307584867642</v>
      </c>
      <c r="Q90" s="96" t="n"/>
      <c r="R90" s="96" t="n"/>
      <c r="U90" s="22" t="n"/>
      <c r="V90" s="32" t="n"/>
      <c r="W90" s="22" t="n"/>
      <c r="X90" s="22" t="n"/>
    </row>
    <row r="91" spans="1:114">
      <c r="M91" s="92" t="n"/>
      <c r="N91" s="93" t="n"/>
      <c r="P91" s="95" t="n"/>
      <c r="Q91" s="96" t="n"/>
      <c r="R91" s="96" t="n"/>
    </row>
    <row customFormat="1" r="92" s="22" spans="1:114">
      <c r="A92" s="39" t="s">
        <v>78</v>
      </c>
      <c r="B92" s="22" t="s">
        <v>24</v>
      </c>
      <c r="C92" s="115" t="n">
        <v>24.42539475654915</v>
      </c>
      <c r="D92" s="24" t="n">
        <v>17.13681522270518</v>
      </c>
      <c r="E92" s="35" t="n">
        <v>0.298401708815359</v>
      </c>
      <c r="F92" s="25" t="n">
        <v>36.1882087338513</v>
      </c>
      <c r="G92" s="53" t="n">
        <v>0.4815813252782006</v>
      </c>
      <c r="H92" s="26" t="n">
        <v>-0.1454345054874693</v>
      </c>
      <c r="I92" s="26" t="n">
        <v>-0.003721819913103164</v>
      </c>
      <c r="J92" s="26" t="n">
        <v>0.1120020523868375</v>
      </c>
      <c r="K92" s="24" t="n">
        <v>2.111723109782047</v>
      </c>
      <c r="L92" s="27" t="n">
        <v>17.13681522270518</v>
      </c>
      <c r="M92" s="38" t="n">
        <v>0.298401708815359</v>
      </c>
      <c r="N92" s="28" t="n">
        <v>36.1882087338513</v>
      </c>
      <c r="O92" s="29" t="n">
        <v>0.4815813252782006</v>
      </c>
      <c r="P92" s="30" t="n">
        <v>2.111723109782047</v>
      </c>
      <c r="Q92" s="31" t="n">
        <v>0.1356596106234914</v>
      </c>
      <c r="R92" s="31" t="n">
        <v>0.1271129082437496</v>
      </c>
      <c r="S92" s="32" t="n">
        <v>0.0172398183863025</v>
      </c>
      <c r="T92" s="22" t="n">
        <v>7927.6</v>
      </c>
      <c r="U92" s="42">
        <f>C92*S92</f>
        <v/>
      </c>
      <c r="V92" s="42">
        <f>Q92*(1-U92)+S92</f>
        <v/>
      </c>
      <c r="W92" s="42">
        <f>V92+I94/3</f>
        <v/>
      </c>
      <c r="X92" s="42">
        <f>V92+I94/5</f>
        <v/>
      </c>
    </row>
    <row customFormat="1" r="93" s="22" spans="1:114">
      <c r="A93" s="22" t="s">
        <v>79</v>
      </c>
      <c r="B93" s="22" t="s">
        <v>26</v>
      </c>
      <c r="C93" s="119" t="n">
        <v>26.81513967464255</v>
      </c>
      <c r="D93" s="24" t="n">
        <v>18.63119162648709</v>
      </c>
      <c r="E93" s="35" t="n">
        <v>0.3051987849943782</v>
      </c>
      <c r="F93" s="25" t="n">
        <v>54.35587377119797</v>
      </c>
      <c r="G93" s="53" t="n">
        <v>1.027059132665978</v>
      </c>
      <c r="H93" s="26" t="n">
        <v>0.03436844708090669</v>
      </c>
      <c r="I93" s="26" t="n">
        <v>0.1983748666874359</v>
      </c>
      <c r="J93" s="26" t="n">
        <v>0.3429963692925631</v>
      </c>
      <c r="K93" s="24" t="n">
        <v>2.917466303868764</v>
      </c>
      <c r="L93" s="27" t="n">
        <v>18.63119162648709</v>
      </c>
      <c r="M93" s="38" t="n">
        <v>0.3051987849943782</v>
      </c>
      <c r="N93" s="28" t="n">
        <v>54.35587377119797</v>
      </c>
      <c r="O93" s="29" t="n">
        <v>1.027059132665978</v>
      </c>
      <c r="P93" s="30" t="n">
        <v>2.917466303868764</v>
      </c>
      <c r="Q93" s="31" t="n"/>
      <c r="R93" s="31" t="n"/>
      <c r="S93" s="32" t="n"/>
      <c r="V93" s="32" t="n"/>
    </row>
    <row customFormat="1" r="94" s="22" spans="1:114">
      <c r="A94" s="22" t="s">
        <v>80</v>
      </c>
      <c r="B94" s="22" t="s">
        <v>28</v>
      </c>
      <c r="C94" s="115" t="n">
        <v>3.313539541998527</v>
      </c>
      <c r="D94" s="24" t="n">
        <v>2.437949311677674</v>
      </c>
      <c r="E94" s="35" t="n">
        <v>0.2642461993354545</v>
      </c>
      <c r="F94" s="25" t="n">
        <v>4.757604390614061</v>
      </c>
      <c r="G94" s="53" t="n">
        <v>0.4358073384404404</v>
      </c>
      <c r="H94" s="26" t="n">
        <v>-0.1679948849822062</v>
      </c>
      <c r="I94" s="26" t="n">
        <v>-0.10496356661122</v>
      </c>
      <c r="J94" s="26" t="n">
        <v>0.0437502571974453</v>
      </c>
      <c r="K94" s="24" t="n">
        <v>1.951477976931406</v>
      </c>
      <c r="L94" s="27" t="n">
        <v>2.437949311677674</v>
      </c>
      <c r="M94" s="38" t="n">
        <v>0.2642461993354545</v>
      </c>
      <c r="N94" s="28" t="n">
        <v>4.757604390614061</v>
      </c>
      <c r="O94" s="29" t="n">
        <v>0.4358073384404404</v>
      </c>
      <c r="P94" s="30" t="n">
        <v>1.951477976931406</v>
      </c>
      <c r="Q94" s="31" t="n"/>
      <c r="R94" s="31" t="n"/>
      <c r="S94" s="32" t="n"/>
      <c r="V94" s="32" t="n"/>
    </row>
    <row customFormat="1" r="95" s="22" spans="1:114">
      <c r="A95" s="22" t="n">
        <v>3.11</v>
      </c>
      <c r="B95" s="22" t="s">
        <v>29</v>
      </c>
      <c r="C95" s="116" t="n">
        <v>3.408550389006168</v>
      </c>
      <c r="D95" s="24" t="n">
        <v>2.316991141084864</v>
      </c>
      <c r="E95" s="35" t="n">
        <v>0.3202414878307169</v>
      </c>
      <c r="F95" s="25" t="n">
        <v>6.769096600985304</v>
      </c>
      <c r="G95" s="53" t="n">
        <v>0.9859165417704068</v>
      </c>
      <c r="H95" s="26" t="n">
        <v>-0.009402219896249897</v>
      </c>
      <c r="I95" s="26" t="n">
        <v>0.08973822208701732</v>
      </c>
      <c r="J95" s="26" t="n">
        <v>0.1975434738209674</v>
      </c>
      <c r="K95" s="24" t="n">
        <v>2.921503013522905</v>
      </c>
      <c r="L95" s="27" t="n">
        <v>2.316991141084864</v>
      </c>
      <c r="M95" s="38" t="n">
        <v>0.3202414878307169</v>
      </c>
      <c r="N95" s="28" t="n">
        <v>6.769096600985304</v>
      </c>
      <c r="O95" s="29" t="n">
        <v>0.9859165417704068</v>
      </c>
      <c r="P95" s="30" t="n">
        <v>2.921503013522905</v>
      </c>
      <c r="Q95" s="31" t="n"/>
      <c r="R95" s="31" t="n"/>
      <c r="S95" s="32" t="n"/>
      <c r="V95" s="32" t="n"/>
    </row>
    <row r="96" spans="1:114">
      <c r="Q96" s="96" t="n"/>
      <c r="R96" s="96" t="n"/>
    </row>
    <row customFormat="1" r="97" s="22" spans="1:114">
      <c r="A97" s="22" t="s">
        <v>81</v>
      </c>
      <c r="B97" s="22" t="s">
        <v>24</v>
      </c>
      <c r="C97" s="116" t="n">
        <v>73.68329304849657</v>
      </c>
      <c r="D97" s="24" t="n">
        <v>44.82415354104698</v>
      </c>
      <c r="E97" s="35" t="n">
        <v>0.3916646272643541</v>
      </c>
      <c r="F97" s="25" t="n">
        <v>248.7878627922271</v>
      </c>
      <c r="G97" s="53" t="n">
        <v>2.376448751123012</v>
      </c>
      <c r="H97" s="26" t="n">
        <v>-0.1710255110720461</v>
      </c>
      <c r="I97" s="26" t="n">
        <v>0.3162267599809985</v>
      </c>
      <c r="J97" s="26" t="n">
        <v>0.8939741931700882</v>
      </c>
      <c r="K97" s="24" t="n">
        <v>5.550308107087928</v>
      </c>
      <c r="L97" s="27" t="n">
        <v>44.82415354104698</v>
      </c>
      <c r="M97" s="38" t="n">
        <v>0.3916646272643541</v>
      </c>
      <c r="N97" s="28" t="n">
        <v>248.7878627922271</v>
      </c>
      <c r="O97" s="29" t="n">
        <v>2.376448751123012</v>
      </c>
      <c r="P97" s="30" t="n">
        <v>5.550308107087928</v>
      </c>
      <c r="Q97" s="31" t="n">
        <v>0.03922594605375807</v>
      </c>
      <c r="R97" s="31" t="n">
        <v>0.05174117746817004</v>
      </c>
      <c r="S97" s="32" t="n">
        <v>0.003394060541886878</v>
      </c>
      <c r="T97" s="22" t="n">
        <v>8839.719999999999</v>
      </c>
      <c r="U97" s="42">
        <f>C97*S97</f>
        <v/>
      </c>
      <c r="V97" s="42">
        <f>Q97*(1-U97)+S97</f>
        <v/>
      </c>
      <c r="W97" s="42">
        <f>V97+I99/3</f>
        <v/>
      </c>
      <c r="X97" s="42">
        <f>V97+I99/5</f>
        <v/>
      </c>
    </row>
    <row customFormat="1" r="98" s="22" spans="1:114">
      <c r="A98" s="22" t="s">
        <v>82</v>
      </c>
      <c r="B98" s="22" t="s">
        <v>26</v>
      </c>
      <c r="C98" s="119" t="n">
        <v>65.58872698660366</v>
      </c>
      <c r="D98" s="24" t="n">
        <v>42.8237242259692</v>
      </c>
      <c r="E98" s="35" t="n">
        <v>0.3470871261960025</v>
      </c>
      <c r="F98" s="25" t="n">
        <v>1475.036779813267</v>
      </c>
      <c r="G98" s="53" t="n">
        <v>21.4891814124482</v>
      </c>
      <c r="H98" s="26" t="n">
        <v>0.02000515124175295</v>
      </c>
      <c r="I98" s="26" t="n">
        <v>0.3773149054515252</v>
      </c>
      <c r="J98" s="26" t="n">
        <v>1.628697140173707</v>
      </c>
      <c r="K98" s="24" t="n">
        <v>34.44438349242809</v>
      </c>
      <c r="L98" s="27" t="n">
        <v>42.8237242259692</v>
      </c>
      <c r="M98" s="38" t="n">
        <v>0.3470871261960025</v>
      </c>
      <c r="N98" s="28" t="n">
        <v>1475.036779813267</v>
      </c>
      <c r="O98" s="29" t="n">
        <v>21.4891814124482</v>
      </c>
      <c r="P98" s="30" t="n">
        <v>34.44438349242809</v>
      </c>
      <c r="Q98" s="31" t="n"/>
      <c r="R98" s="31" t="n"/>
      <c r="S98" s="32" t="n"/>
      <c r="V98" s="32" t="n"/>
    </row>
    <row customFormat="1" r="99" s="22" spans="1:114">
      <c r="A99" s="22" t="s">
        <v>83</v>
      </c>
      <c r="B99" s="22" t="s">
        <v>28</v>
      </c>
      <c r="C99" s="116" t="n">
        <v>2.890296878183574</v>
      </c>
      <c r="D99" s="24" t="n">
        <v>2.04250684048408</v>
      </c>
      <c r="E99" s="35" t="n">
        <v>0.2933228223366081</v>
      </c>
      <c r="F99" s="25" t="n">
        <v>9.253616727428559</v>
      </c>
      <c r="G99" s="53" t="n">
        <v>2.201614615189308</v>
      </c>
      <c r="H99" s="26" t="n">
        <v>-0.06046963964192009</v>
      </c>
      <c r="I99" s="26" t="n">
        <v>0.2567415959444281</v>
      </c>
      <c r="J99" s="26" t="n">
        <v>0.5752320404927533</v>
      </c>
      <c r="K99" s="24" t="n">
        <v>4.530519332427511</v>
      </c>
      <c r="L99" s="27" t="n">
        <v>2.04250684048408</v>
      </c>
      <c r="M99" s="38" t="n">
        <v>0.2933228223366081</v>
      </c>
      <c r="N99" s="28" t="n">
        <v>9.253616727428559</v>
      </c>
      <c r="O99" s="29" t="n">
        <v>2.201614615189308</v>
      </c>
      <c r="P99" s="30" t="n">
        <v>4.530519332427511</v>
      </c>
      <c r="Q99" s="31" t="n"/>
      <c r="R99" s="31" t="n"/>
      <c r="S99" s="32" t="n"/>
      <c r="V99" s="32" t="n"/>
    </row>
    <row customFormat="1" r="100" s="22" spans="1:114">
      <c r="A100" s="22" t="n">
        <v>2.16</v>
      </c>
      <c r="B100" s="22" t="s">
        <v>29</v>
      </c>
      <c r="C100" s="116" t="n">
        <v>3.393637962925213</v>
      </c>
      <c r="D100" s="24" t="n">
        <v>2.223346928021063</v>
      </c>
      <c r="E100" s="35" t="n">
        <v>0.3448485217602277</v>
      </c>
      <c r="F100" s="25" t="n">
        <v>9.770134815103271</v>
      </c>
      <c r="G100" s="53" t="n">
        <v>1.878956129628427</v>
      </c>
      <c r="H100" s="26" t="n">
        <v>-0.08364755640714117</v>
      </c>
      <c r="I100" s="26" t="n">
        <v>0.1972071053520394</v>
      </c>
      <c r="J100" s="26" t="n">
        <v>0.4390333525153218</v>
      </c>
      <c r="K100" s="24" t="n">
        <v>4.394336615653314</v>
      </c>
      <c r="L100" s="27" t="n">
        <v>2.223346928021063</v>
      </c>
      <c r="M100" s="38" t="n">
        <v>0.3448485217602277</v>
      </c>
      <c r="N100" s="28" t="n">
        <v>9.770134815103271</v>
      </c>
      <c r="O100" s="29" t="n">
        <v>1.878956129628427</v>
      </c>
      <c r="P100" s="30" t="n">
        <v>4.394336615653314</v>
      </c>
      <c r="Q100" s="31" t="n"/>
      <c r="R100" s="31" t="n"/>
      <c r="S100" s="32" t="n"/>
      <c r="V100" s="32" t="n"/>
    </row>
    <row r="101" spans="1:114">
      <c r="A101" s="131">
        <f>1.02/C104-1</f>
        <v/>
      </c>
      <c r="B101" s="131">
        <f>1.07/C104-1</f>
        <v/>
      </c>
      <c r="C101" s="131">
        <f>1.13/C104-1</f>
        <v/>
      </c>
      <c r="D101" s="131">
        <f>1.2/C104-1</f>
        <v/>
      </c>
      <c r="F101" s="88" t="n"/>
      <c r="K101" s="86" t="n"/>
      <c r="L101" s="91" t="n"/>
      <c r="M101" s="92" t="n"/>
      <c r="N101" s="93" t="n"/>
      <c r="P101" s="95" t="n"/>
      <c r="Q101" s="96" t="n"/>
      <c r="R101" s="96" t="n"/>
    </row>
    <row customFormat="1" r="102" s="22" spans="1:114">
      <c r="A102" s="22" t="s">
        <v>84</v>
      </c>
      <c r="B102" s="22" t="s">
        <v>24</v>
      </c>
      <c r="C102" s="115" t="n">
        <v>7.110952348143132</v>
      </c>
      <c r="D102" s="24" t="n">
        <v>4.463197222629654</v>
      </c>
      <c r="E102" s="35" t="n">
        <v>0.3723488776021514</v>
      </c>
      <c r="F102" s="25" t="n">
        <v>16.93424508708085</v>
      </c>
      <c r="G102" s="53" t="n">
        <v>1.381431383308714</v>
      </c>
      <c r="H102" s="26" t="n">
        <v>-0.1902617315317032</v>
      </c>
      <c r="I102" s="26" t="n">
        <v>-0.0779144577575146</v>
      </c>
      <c r="J102" s="26" t="n">
        <v>0.1328823634923515</v>
      </c>
      <c r="K102" s="24" t="n">
        <v>3.794196008462164</v>
      </c>
      <c r="L102" s="27" t="n">
        <v>4.463197222629654</v>
      </c>
      <c r="M102" s="38" t="n">
        <v>0.3723488776021514</v>
      </c>
      <c r="N102" s="28" t="n">
        <v>9.084638393652934</v>
      </c>
      <c r="O102" s="29" t="n">
        <v>0.2775557968722975</v>
      </c>
      <c r="P102" s="30" t="n">
        <v>2.035455289224345</v>
      </c>
      <c r="Q102" s="31" t="n">
        <v>0.1288069022493618</v>
      </c>
      <c r="R102" s="31" t="n">
        <v>0.126186839297758</v>
      </c>
      <c r="S102" s="32" t="n">
        <v>0.03911935127231244</v>
      </c>
      <c r="T102" s="22" t="n">
        <v>6813.24</v>
      </c>
      <c r="U102" s="42">
        <f>C102*S102</f>
        <v/>
      </c>
      <c r="V102" s="42">
        <f>Q102*(1-U102)+S102</f>
        <v/>
      </c>
      <c r="W102" s="42">
        <f>V102+I104/3</f>
        <v/>
      </c>
      <c r="X102" s="42">
        <f>V102+I104/5</f>
        <v/>
      </c>
    </row>
    <row customFormat="1" r="103" s="22" spans="1:114">
      <c r="A103" s="22" t="s">
        <v>85</v>
      </c>
      <c r="B103" s="22" t="s">
        <v>26</v>
      </c>
      <c r="C103" s="115" t="n">
        <v>7.878341976305941</v>
      </c>
      <c r="D103" s="24" t="n">
        <v>4.571919583312054</v>
      </c>
      <c r="E103" s="35" t="n">
        <v>0.4196850559340949</v>
      </c>
      <c r="F103" s="25" t="n">
        <v>20.45776958048327</v>
      </c>
      <c r="G103" s="53" t="n">
        <v>1.596710023760059</v>
      </c>
      <c r="H103" s="26" t="n">
        <v>-0.2533004592887094</v>
      </c>
      <c r="I103" s="26" t="n">
        <v>-0.1204180820983631</v>
      </c>
      <c r="J103" s="26" t="n">
        <v>0.1058414487825428</v>
      </c>
      <c r="K103" s="24" t="n">
        <v>4.47465647802645</v>
      </c>
      <c r="L103" s="27" t="n">
        <v>4.571919583312054</v>
      </c>
      <c r="M103" s="38" t="n">
        <v>0.4196850559340949</v>
      </c>
      <c r="N103" s="28" t="n">
        <v>9.826408451626936</v>
      </c>
      <c r="O103" s="29" t="n">
        <v>0.2472685853419148</v>
      </c>
      <c r="P103" s="30" t="n">
        <v>2.149295995383268</v>
      </c>
      <c r="Q103" s="31" t="n"/>
      <c r="R103" s="31" t="n"/>
      <c r="S103" s="32" t="n"/>
      <c r="V103" s="32" t="n"/>
    </row>
    <row customFormat="1" r="104" s="22" spans="1:114">
      <c r="A104" s="22" t="s">
        <v>40</v>
      </c>
      <c r="B104" s="22" t="s">
        <v>28</v>
      </c>
      <c r="C104" s="116" t="n">
        <v>0.9159397440071425</v>
      </c>
      <c r="D104" s="24" t="n">
        <v>0.7941777766680065</v>
      </c>
      <c r="E104" s="35" t="n">
        <v>0.1329366567351252</v>
      </c>
      <c r="F104" s="25" t="n">
        <v>2.790549912563525</v>
      </c>
      <c r="G104" s="53" t="n">
        <v>2.046652283429863</v>
      </c>
      <c r="H104" s="26" t="n">
        <v>-0.009498112283297666</v>
      </c>
      <c r="I104" s="26" t="n">
        <v>0.1707100677247864</v>
      </c>
      <c r="J104" s="26" t="n">
        <v>0.6016108942835514</v>
      </c>
      <c r="K104" s="24" t="n">
        <v>3.513759758263886</v>
      </c>
      <c r="L104" s="27" t="n">
        <v>0.7941777766680065</v>
      </c>
      <c r="M104" s="38" t="n">
        <v>0.1329366567351252</v>
      </c>
      <c r="N104" s="28" t="n">
        <v>1.431324950837816</v>
      </c>
      <c r="O104" s="29" t="n">
        <v>0.5626846200339728</v>
      </c>
      <c r="P104" s="30" t="n">
        <v>1.802272731482083</v>
      </c>
      <c r="Q104" s="31" t="n"/>
      <c r="R104" s="31" t="n"/>
      <c r="S104" s="32" t="n"/>
      <c r="V104" s="32" t="n"/>
    </row>
    <row customFormat="1" r="105" s="22" spans="1:114">
      <c r="A105" s="22" t="n">
        <v>3.13</v>
      </c>
      <c r="B105" s="22" t="s">
        <v>29</v>
      </c>
      <c r="C105" s="116" t="n">
        <v>0.9941430728968993</v>
      </c>
      <c r="D105" s="24" t="n">
        <v>0.8085160743195702</v>
      </c>
      <c r="E105" s="35" t="n">
        <v>0.1867206075644809</v>
      </c>
      <c r="F105" s="25" t="n">
        <v>2.973353453834179</v>
      </c>
      <c r="G105" s="53" t="n">
        <v>1.990870765884762</v>
      </c>
      <c r="H105" s="26" t="n">
        <v>-0.05112238879891129</v>
      </c>
      <c r="I105" s="26" t="n">
        <v>0.1049058049148783</v>
      </c>
      <c r="J105" s="26" t="n">
        <v>0.4352931648648946</v>
      </c>
      <c r="K105" s="24" t="n">
        <v>3.677544019562617</v>
      </c>
      <c r="L105" s="27" t="n">
        <v>0.8085160743195702</v>
      </c>
      <c r="M105" s="38" t="n">
        <v>0.1867206075644809</v>
      </c>
      <c r="N105" s="28" t="n">
        <v>1.521258747308089</v>
      </c>
      <c r="O105" s="29" t="n">
        <v>0.5302211409824464</v>
      </c>
      <c r="P105" s="30" t="n">
        <v>1.88154422110698</v>
      </c>
      <c r="Q105" s="31" t="n"/>
      <c r="R105" s="31" t="n"/>
      <c r="S105" s="32" t="n"/>
      <c r="V105" s="32" t="n"/>
    </row>
    <row r="106" spans="1:114">
      <c r="C106" s="1" t="n"/>
      <c r="D106" s="86" t="n"/>
      <c r="F106" s="88" t="n"/>
      <c r="K106" s="86" t="n"/>
      <c r="L106" s="91" t="n"/>
      <c r="M106" s="92" t="n"/>
      <c r="N106" s="93" t="n"/>
      <c r="P106" s="95" t="n"/>
      <c r="Q106" s="96" t="n"/>
      <c r="R106" s="96" t="n"/>
    </row>
    <row customFormat="1" r="107" s="22" spans="1:114">
      <c r="A107" s="22" t="s">
        <v>86</v>
      </c>
      <c r="B107" s="22" t="s">
        <v>24</v>
      </c>
      <c r="C107" s="119" t="n">
        <v>26.0633369746051</v>
      </c>
      <c r="D107" s="24" t="n">
        <v>19.16843182274782</v>
      </c>
      <c r="E107" s="35" t="n">
        <v>0.2645442200503855</v>
      </c>
      <c r="F107" s="25" t="n">
        <v>121.6112448804439</v>
      </c>
      <c r="G107" s="53" t="n">
        <v>3.665989048099875</v>
      </c>
      <c r="H107" s="26" t="n">
        <v>0.1691761716745439</v>
      </c>
      <c r="I107" s="26" t="n">
        <v>0.710445403577342</v>
      </c>
      <c r="J107" s="26" t="n">
        <v>1.106816725870652</v>
      </c>
      <c r="K107" s="24" t="n">
        <v>6.344350231933099</v>
      </c>
      <c r="L107" s="27" t="n">
        <v>19.16843182274782</v>
      </c>
      <c r="M107" s="38" t="n">
        <v>0.2645442200503855</v>
      </c>
      <c r="N107" s="28" t="n">
        <v>121.6112448804439</v>
      </c>
      <c r="O107" s="29" t="n">
        <v>3.665989048099875</v>
      </c>
      <c r="P107" s="30" t="n">
        <v>6.344350231933099</v>
      </c>
      <c r="Q107" s="31" t="n">
        <v>0.1217917986789062</v>
      </c>
      <c r="R107" s="31" t="n">
        <v>0.09201384581436671</v>
      </c>
      <c r="S107" s="32" t="n">
        <v>0.007867769251450701</v>
      </c>
      <c r="T107" s="22" t="n">
        <v>1510.89</v>
      </c>
      <c r="U107" s="42">
        <f>C107*S107</f>
        <v/>
      </c>
      <c r="V107" s="42">
        <f>Q107*(1-U107)+S107</f>
        <v/>
      </c>
      <c r="W107" s="42">
        <f>V107+I109/3</f>
        <v/>
      </c>
      <c r="X107" s="42">
        <f>V107+I109/5</f>
        <v/>
      </c>
    </row>
    <row customFormat="1" r="108" s="22" spans="1:114">
      <c r="A108" s="22" t="s">
        <v>87</v>
      </c>
      <c r="B108" s="22" t="s">
        <v>26</v>
      </c>
      <c r="C108" s="119" t="n">
        <v>25.42780856774328</v>
      </c>
      <c r="D108" s="24" t="n">
        <v>18.0371479721098</v>
      </c>
      <c r="E108" s="35" t="n">
        <v>0.2906526756304505</v>
      </c>
      <c r="F108" s="25" t="n">
        <v>115.8140179638261</v>
      </c>
      <c r="G108" s="53" t="n">
        <v>3.554620491784858</v>
      </c>
      <c r="H108" s="26" t="n">
        <v>0.1354732910273042</v>
      </c>
      <c r="I108" s="26" t="n">
        <v>0.8226842761230377</v>
      </c>
      <c r="J108" s="26" t="n">
        <v>1.20381334298798</v>
      </c>
      <c r="K108" s="24" t="n">
        <v>6.420860889033301</v>
      </c>
      <c r="L108" s="27" t="n">
        <v>18.0371479721098</v>
      </c>
      <c r="M108" s="38" t="n">
        <v>0.2906526756304505</v>
      </c>
      <c r="N108" s="28" t="n">
        <v>115.8140179638261</v>
      </c>
      <c r="O108" s="29" t="n">
        <v>3.554620491784858</v>
      </c>
      <c r="P108" s="30" t="n">
        <v>6.420860889033301</v>
      </c>
      <c r="Q108" s="31" t="n"/>
      <c r="R108" s="31" t="n"/>
      <c r="S108" s="32" t="n">
        <v>0.0089</v>
      </c>
      <c r="U108" s="42">
        <f>C108*S108</f>
        <v/>
      </c>
      <c r="V108" s="42">
        <f>R107*(1-U108)+S108</f>
        <v/>
      </c>
      <c r="W108" s="42">
        <f>V108+I110/3</f>
        <v/>
      </c>
      <c r="X108" s="42">
        <f>V108+I110/5</f>
        <v/>
      </c>
    </row>
    <row customFormat="1" r="109" s="22" spans="1:114">
      <c r="A109" s="22" t="s">
        <v>88</v>
      </c>
      <c r="B109" s="22" t="s">
        <v>28</v>
      </c>
      <c r="C109" s="119" t="n">
        <v>3.174300689711597</v>
      </c>
      <c r="D109" s="24" t="n">
        <v>2.247773432502895</v>
      </c>
      <c r="E109" s="35" t="n">
        <v>0.2918838975185057</v>
      </c>
      <c r="F109" s="25" t="n">
        <v>10.81670726597676</v>
      </c>
      <c r="G109" s="53" t="n">
        <v>2.407587473056787</v>
      </c>
      <c r="H109" s="26" t="n">
        <v>0.05098023224283965</v>
      </c>
      <c r="I109" s="26" t="n">
        <v>0.4493891537472783</v>
      </c>
      <c r="J109" s="26" t="n">
        <v>0.7164076884946697</v>
      </c>
      <c r="K109" s="24" t="n">
        <v>4.812187522802224</v>
      </c>
      <c r="L109" s="27" t="n">
        <v>2.247773432502895</v>
      </c>
      <c r="M109" s="38" t="n">
        <v>0.2918838975185057</v>
      </c>
      <c r="N109" s="28" t="n">
        <v>10.81670726597676</v>
      </c>
      <c r="O109" s="29" t="n">
        <v>2.407587473056787</v>
      </c>
      <c r="P109" s="30" t="n">
        <v>4.812187522802224</v>
      </c>
      <c r="Q109" s="31" t="n"/>
      <c r="R109" s="31" t="n"/>
      <c r="S109" s="32" t="n"/>
      <c r="V109" s="32" t="n"/>
    </row>
    <row customFormat="1" r="110" s="22" spans="1:114">
      <c r="A110" s="99" t="n">
        <v>4.1</v>
      </c>
      <c r="B110" s="22" t="s">
        <v>29</v>
      </c>
      <c r="C110" s="119" t="n">
        <v>2.339710456949563</v>
      </c>
      <c r="D110" s="24" t="n">
        <v>1.567608103691959</v>
      </c>
      <c r="E110" s="35" t="n">
        <v>0.3299991035062713</v>
      </c>
      <c r="F110" s="25" t="n">
        <v>10.19979417958062</v>
      </c>
      <c r="G110" s="53" t="n">
        <v>3.359425820953409</v>
      </c>
      <c r="H110" s="26" t="n">
        <v>0.08622226744991401</v>
      </c>
      <c r="I110" s="26" t="n">
        <v>0.779587294932478</v>
      </c>
      <c r="J110" s="26" t="n">
        <v>1.128533588559359</v>
      </c>
      <c r="K110" s="24" t="n">
        <v>6.506596996761204</v>
      </c>
      <c r="L110" s="27" t="n">
        <v>1.567608103691959</v>
      </c>
      <c r="M110" s="38" t="n">
        <v>0.3299991035062713</v>
      </c>
      <c r="N110" s="28" t="n">
        <v>10.19979417958062</v>
      </c>
      <c r="O110" s="29" t="n">
        <v>3.359425820953409</v>
      </c>
      <c r="P110" s="30" t="n">
        <v>6.506596996761204</v>
      </c>
      <c r="Q110" s="31" t="n"/>
      <c r="R110" s="31" t="n"/>
      <c r="S110" s="32" t="n"/>
      <c r="V110" s="32" t="n"/>
    </row>
    <row r="111" spans="1:114">
      <c r="Q111" s="96" t="n"/>
      <c r="R111" s="96" t="n"/>
    </row>
    <row r="112" spans="1:114">
      <c r="A112" t="s">
        <v>89</v>
      </c>
      <c r="B112" t="s">
        <v>24</v>
      </c>
      <c r="C112" s="118" t="n">
        <v>31.82599746776186</v>
      </c>
      <c r="D112" s="86" t="n">
        <v>21.66770884767094</v>
      </c>
      <c r="E112" s="87" t="n">
        <v>0.3191820972895117</v>
      </c>
      <c r="F112" s="88" t="n">
        <v>62.34215749257773</v>
      </c>
      <c r="G112" s="89" t="n">
        <v>0.9588437897579551</v>
      </c>
      <c r="H112" s="90" t="n">
        <v>-0.09240406211524577</v>
      </c>
      <c r="I112" s="90" t="n">
        <v>0.03903873147090842</v>
      </c>
      <c r="J112" s="90" t="n">
        <v>0.1401134742422794</v>
      </c>
      <c r="K112" s="86" t="n">
        <v>2.877191950974498</v>
      </c>
      <c r="L112" s="91" t="n">
        <v>22.66509508397595</v>
      </c>
      <c r="M112" s="92" t="n">
        <v>0.2878433705986888</v>
      </c>
      <c r="N112" s="93" t="n">
        <v>62.34215749257773</v>
      </c>
      <c r="O112" s="94" t="n">
        <v>0.9588437897579551</v>
      </c>
      <c r="P112" s="95" t="n">
        <v>2.750580011316748</v>
      </c>
      <c r="Q112" s="96" t="n">
        <v>0.1254140708685931</v>
      </c>
      <c r="R112" s="96" t="n">
        <v>0.1103353548397046</v>
      </c>
      <c r="S112" s="131" t="n">
        <v>0.01052973118738195</v>
      </c>
      <c r="T112" t="n">
        <v>10129.4</v>
      </c>
      <c r="U112" s="42">
        <f>C112*S112</f>
        <v/>
      </c>
      <c r="V112" s="42">
        <f>Q112*(1-U112)+S112</f>
        <v/>
      </c>
      <c r="W112" s="42">
        <f>V112+I114/3</f>
        <v/>
      </c>
      <c r="X112" s="42">
        <f>V112+I114/5</f>
        <v/>
      </c>
    </row>
    <row r="113" spans="1:114">
      <c r="A113" t="s">
        <v>90</v>
      </c>
      <c r="B113" t="s">
        <v>26</v>
      </c>
      <c r="C113" s="117" t="n">
        <v>27.69158283593714</v>
      </c>
      <c r="D113" s="86" t="n">
        <v>18.2554369880374</v>
      </c>
      <c r="E113" s="87" t="n">
        <v>0.340758630657033</v>
      </c>
      <c r="F113" s="88" t="n">
        <v>69.17572720290779</v>
      </c>
      <c r="G113" s="89" t="n">
        <v>1.498077759323098</v>
      </c>
      <c r="H113" s="90" t="n">
        <v>0.1005745257639057</v>
      </c>
      <c r="I113" s="90" t="n">
        <v>0.2410572372060693</v>
      </c>
      <c r="J113" s="90" t="n">
        <v>0.4336164778271039</v>
      </c>
      <c r="K113" s="86" t="n">
        <v>3.789321901647051</v>
      </c>
      <c r="L113" s="91" t="n">
        <v>18.2554369880374</v>
      </c>
      <c r="M113" s="92" t="n">
        <v>0.340758630657033</v>
      </c>
      <c r="N113" s="93" t="n">
        <v>69.17572720290779</v>
      </c>
      <c r="O113" s="94" t="n">
        <v>1.498077759323098</v>
      </c>
      <c r="P113" s="95" t="n">
        <v>3.789321901647051</v>
      </c>
      <c r="Q113" s="96" t="n"/>
      <c r="R113" s="96" t="n"/>
      <c r="U113" s="22" t="n"/>
      <c r="V113" s="32" t="n"/>
      <c r="W113" s="22" t="n"/>
      <c r="X113" s="22" t="n"/>
    </row>
    <row r="114" spans="1:114">
      <c r="A114" t="s">
        <v>61</v>
      </c>
      <c r="B114" t="s">
        <v>28</v>
      </c>
      <c r="C114" s="118" t="n">
        <v>3.99142790188555</v>
      </c>
      <c r="D114" s="86" t="n">
        <v>2.944931892130602</v>
      </c>
      <c r="E114" s="87" t="n">
        <v>0.2621858731960519</v>
      </c>
      <c r="F114" s="88" t="n">
        <v>7.754717720911591</v>
      </c>
      <c r="G114" s="89" t="n">
        <v>0.9428429904115927</v>
      </c>
      <c r="H114" s="90" t="n">
        <v>-0.0101684147407114</v>
      </c>
      <c r="I114" s="90" t="n">
        <v>0.08792907048635534</v>
      </c>
      <c r="J114" s="90" t="n">
        <v>0.289278371342871</v>
      </c>
      <c r="K114" s="86" t="n">
        <v>2.633241787911503</v>
      </c>
      <c r="L114" s="91" t="n">
        <v>2.944931892130602</v>
      </c>
      <c r="M114" s="92" t="n">
        <v>0.2621858731960519</v>
      </c>
      <c r="N114" s="93" t="n">
        <v>7.754717720911591</v>
      </c>
      <c r="O114" s="94" t="n">
        <v>0.9428429904115927</v>
      </c>
      <c r="P114" s="95" t="n">
        <v>2.633241787911503</v>
      </c>
      <c r="Q114" s="96" t="n"/>
      <c r="R114" s="96" t="n"/>
      <c r="U114" s="22" t="n"/>
      <c r="V114" s="32" t="n"/>
      <c r="W114" s="22" t="n"/>
      <c r="X114" s="22" t="n"/>
    </row>
    <row r="115" spans="1:114">
      <c r="A115" t="n">
        <v>3.94</v>
      </c>
      <c r="B115" t="s">
        <v>29</v>
      </c>
      <c r="C115" s="117" t="n">
        <v>3.055360618276199</v>
      </c>
      <c r="D115" s="86" t="n">
        <v>2.18022672806539</v>
      </c>
      <c r="E115" s="87" t="n">
        <v>0.2864257282678957</v>
      </c>
      <c r="F115" s="88" t="n">
        <v>7.433264839596299</v>
      </c>
      <c r="G115" s="89" t="n">
        <v>1.432860067362545</v>
      </c>
      <c r="H115" s="90" t="n">
        <v>0.1055448020133367</v>
      </c>
      <c r="I115" s="90" t="n">
        <v>0.2306504855500022</v>
      </c>
      <c r="J115" s="90" t="n">
        <v>0.5184198317242339</v>
      </c>
      <c r="K115" s="86" t="n">
        <v>3.409399923370427</v>
      </c>
      <c r="L115" s="91" t="n">
        <v>2.18022672806539</v>
      </c>
      <c r="M115" s="92" t="n">
        <v>0.2864257282678957</v>
      </c>
      <c r="N115" s="93" t="n">
        <v>7.433264839596299</v>
      </c>
      <c r="O115" s="94" t="n">
        <v>1.432860067362545</v>
      </c>
      <c r="P115" s="95" t="n">
        <v>3.409399923370427</v>
      </c>
      <c r="Q115" s="96" t="n"/>
      <c r="R115" s="96" t="n"/>
      <c r="U115" s="22" t="n"/>
      <c r="V115" s="32" t="n"/>
      <c r="W115" s="22" t="n"/>
      <c r="X115" s="22" t="n"/>
    </row>
    <row r="116" spans="1:114">
      <c r="C116" s="98" t="n"/>
      <c r="D116" s="86" t="n"/>
      <c r="F116" s="88" t="n"/>
      <c r="K116" s="86" t="n"/>
      <c r="L116" s="91" t="n"/>
      <c r="M116" s="92" t="n"/>
      <c r="N116" s="93" t="n"/>
      <c r="P116" s="95" t="n"/>
      <c r="Q116" s="96" t="n"/>
      <c r="R116" s="96" t="n"/>
    </row>
    <row r="117" spans="1:114">
      <c r="A117" t="s">
        <v>91</v>
      </c>
      <c r="B117" t="s">
        <v>24</v>
      </c>
      <c r="C117" s="117" t="n">
        <v>43.46559579027475</v>
      </c>
      <c r="D117" s="86" t="n">
        <v>31.47091107825317</v>
      </c>
      <c r="E117" s="87" t="n">
        <v>0.2759581341044298</v>
      </c>
      <c r="F117" s="88" t="n">
        <v>138.3649425564201</v>
      </c>
      <c r="G117" s="89" t="n">
        <v>2.183320970085004</v>
      </c>
      <c r="H117" s="90" t="n">
        <v>0.2876806683523918</v>
      </c>
      <c r="I117" s="90" t="n">
        <v>0.4116390668491274</v>
      </c>
      <c r="J117" s="90" t="n">
        <v>0.5867189700058708</v>
      </c>
      <c r="K117" s="86" t="n">
        <v>4.396597931733606</v>
      </c>
      <c r="L117" s="91" t="n">
        <v>31.47091107825317</v>
      </c>
      <c r="M117" s="92" t="n">
        <v>0.2759581341044298</v>
      </c>
      <c r="N117" s="93" t="n">
        <v>138.3649425564201</v>
      </c>
      <c r="O117" s="94" t="n">
        <v>2.183320970085004</v>
      </c>
      <c r="P117" s="95" t="n">
        <v>4.396597931733606</v>
      </c>
      <c r="Q117" s="96" t="n">
        <v>0.1311935092968938</v>
      </c>
      <c r="R117" s="96" t="n">
        <v>0.09439698461752416</v>
      </c>
      <c r="S117" s="131" t="n">
        <v>0.005322316684037796</v>
      </c>
      <c r="T117" t="n">
        <v>8082.76</v>
      </c>
      <c r="U117" s="42">
        <f>C117*S117</f>
        <v/>
      </c>
      <c r="V117" s="42">
        <f>Q117*(1-U117)+S117</f>
        <v/>
      </c>
      <c r="W117" s="42">
        <f>V117+I119/3</f>
        <v/>
      </c>
      <c r="X117" s="42">
        <f>V117+I119/5</f>
        <v/>
      </c>
    </row>
    <row r="118" spans="1:114">
      <c r="A118" t="s">
        <v>92</v>
      </c>
      <c r="B118" t="s">
        <v>26</v>
      </c>
      <c r="C118" s="117" t="n">
        <v>40.95131041466924</v>
      </c>
      <c r="D118" s="86" t="n">
        <v>29.18827004570901</v>
      </c>
      <c r="E118" s="87" t="n">
        <v>0.2872445411355279</v>
      </c>
      <c r="F118" s="88" t="n">
        <v>141.9251559364346</v>
      </c>
      <c r="G118" s="89" t="n">
        <v>2.465704869986172</v>
      </c>
      <c r="H118" s="90" t="n">
        <v>0.2415079217414193</v>
      </c>
      <c r="I118" s="90" t="n">
        <v>0.5238034516778705</v>
      </c>
      <c r="J118" s="90" t="n">
        <v>0.6666692185276863</v>
      </c>
      <c r="K118" s="86" t="n">
        <v>4.86240382572105</v>
      </c>
      <c r="L118" s="91" t="n">
        <v>29.18827004570901</v>
      </c>
      <c r="M118" s="92" t="n">
        <v>0.2872445411355279</v>
      </c>
      <c r="N118" s="93" t="n">
        <v>141.9251559364346</v>
      </c>
      <c r="O118" s="94" t="n">
        <v>2.465704869986172</v>
      </c>
      <c r="P118" s="95" t="n">
        <v>4.86240382572105</v>
      </c>
      <c r="Q118" s="96" t="n"/>
      <c r="R118" s="96" t="n"/>
      <c r="U118" s="22" t="n"/>
      <c r="V118" s="32" t="n"/>
      <c r="W118" s="22" t="n"/>
      <c r="X118" s="22" t="n"/>
    </row>
    <row r="119" spans="1:114">
      <c r="A119" t="s">
        <v>93</v>
      </c>
      <c r="B119" t="s">
        <v>28</v>
      </c>
      <c r="C119" s="118" t="n">
        <v>5.702404045406439</v>
      </c>
      <c r="D119" s="86" t="n">
        <v>4.206041650755876</v>
      </c>
      <c r="E119" s="87" t="n">
        <v>0.2624090441041187</v>
      </c>
      <c r="F119" s="88" t="n">
        <v>16.28281128190757</v>
      </c>
      <c r="G119" s="89" t="n">
        <v>1.855429245674753</v>
      </c>
      <c r="H119" s="90" t="n">
        <v>-0.09627644973381866</v>
      </c>
      <c r="I119" s="90" t="n">
        <v>0.01789478432886127</v>
      </c>
      <c r="J119" s="90" t="n">
        <v>0.2395681909818679</v>
      </c>
      <c r="K119" s="86" t="n">
        <v>3.871291022280142</v>
      </c>
      <c r="L119" s="91" t="n">
        <v>4.206041650755876</v>
      </c>
      <c r="M119" s="92" t="n">
        <v>0.2624090441041187</v>
      </c>
      <c r="N119" s="93" t="n">
        <v>16.28281128190757</v>
      </c>
      <c r="O119" s="94" t="n">
        <v>1.855429245674753</v>
      </c>
      <c r="P119" s="95" t="n">
        <v>3.871291022280142</v>
      </c>
      <c r="Q119" s="96" t="n"/>
      <c r="R119" s="96" t="n"/>
      <c r="U119" s="22" t="n"/>
      <c r="V119" s="32" t="n"/>
      <c r="W119" s="22" t="n"/>
      <c r="X119" s="22" t="n"/>
    </row>
    <row r="120" spans="1:114">
      <c r="B120" t="s">
        <v>29</v>
      </c>
      <c r="C120" s="118" t="n">
        <v>3.86568021928099</v>
      </c>
      <c r="D120" s="86" t="n">
        <v>2.548530759895347</v>
      </c>
      <c r="E120" s="87" t="n">
        <v>0.3407290268905455</v>
      </c>
      <c r="F120" s="88" t="n">
        <v>13.92178025474899</v>
      </c>
      <c r="G120" s="89" t="n">
        <v>2.601379179092683</v>
      </c>
      <c r="H120" s="90" t="n">
        <v>-0.04877614578264788</v>
      </c>
      <c r="I120" s="90" t="n">
        <v>0.2675250571884182</v>
      </c>
      <c r="J120" s="90" t="n">
        <v>0.6481440493928443</v>
      </c>
      <c r="K120" s="86" t="n">
        <v>5.462669108738037</v>
      </c>
      <c r="L120" s="91" t="n">
        <v>2.548530759895347</v>
      </c>
      <c r="M120" s="92" t="n">
        <v>0.3407290268905455</v>
      </c>
      <c r="N120" s="93" t="n">
        <v>13.92178025474899</v>
      </c>
      <c r="O120" s="94" t="n">
        <v>2.601379179092683</v>
      </c>
      <c r="P120" s="95" t="n">
        <v>5.462669108738037</v>
      </c>
      <c r="Q120" s="96" t="n"/>
      <c r="R120" s="96" t="n"/>
      <c r="U120" s="22" t="n"/>
      <c r="V120" s="32" t="n"/>
      <c r="W120" s="22" t="n"/>
      <c r="X120" s="22" t="n"/>
    </row>
    <row r="121" spans="1:114">
      <c r="C121" s="98" t="n"/>
      <c r="D121" s="86" t="n"/>
      <c r="F121" s="88" t="n"/>
      <c r="K121" s="86" t="n"/>
      <c r="L121" s="91" t="n"/>
      <c r="M121" s="92" t="n"/>
      <c r="N121" s="93" t="n"/>
      <c r="P121" s="95" t="n"/>
      <c r="Q121" s="96" t="n"/>
      <c r="R121" s="96" t="n"/>
    </row>
    <row r="122" spans="1:114">
      <c r="A122" t="s">
        <v>94</v>
      </c>
      <c r="B122" t="s">
        <v>24</v>
      </c>
      <c r="C122" s="121" t="n">
        <v>31.30524847440777</v>
      </c>
      <c r="D122" s="86" t="n">
        <v>15.17792555586379</v>
      </c>
      <c r="E122" s="87" t="n">
        <v>0.5151635493878342</v>
      </c>
      <c r="F122" s="88" t="n">
        <v>38.63034034645182</v>
      </c>
      <c r="G122" s="89" t="n">
        <v>0.2339892583198104</v>
      </c>
      <c r="H122" s="90" t="n">
        <v>-0.4104313439731547</v>
      </c>
      <c r="I122" s="90" t="n">
        <v>-0.1801239203178757</v>
      </c>
      <c r="J122" s="90" t="n">
        <v>-0.03306185764370162</v>
      </c>
      <c r="K122" s="86" t="n">
        <v>2.545166017863852</v>
      </c>
      <c r="L122" s="91" t="n">
        <v>16.12618935960387</v>
      </c>
      <c r="M122" s="92" t="n">
        <v>0.4848726604809692</v>
      </c>
      <c r="N122" s="93" t="n">
        <v>38.63034034645182</v>
      </c>
      <c r="O122" s="94" t="n">
        <v>0.2339892583198104</v>
      </c>
      <c r="P122" s="95" t="n">
        <v>2.395503332189617</v>
      </c>
      <c r="Q122" s="96" t="n">
        <v>0.2171233289739994</v>
      </c>
      <c r="R122" s="96" t="n">
        <v>0.1197105379857869</v>
      </c>
      <c r="S122" s="131" t="n">
        <v>0.01768283089815839</v>
      </c>
      <c r="T122" t="n">
        <v>16617.67</v>
      </c>
      <c r="U122" s="42">
        <f>C122*S122</f>
        <v/>
      </c>
      <c r="V122" s="42">
        <f>Q122*(1-U122)+S122</f>
        <v/>
      </c>
      <c r="W122" s="42">
        <f>V122+I124/3</f>
        <v/>
      </c>
      <c r="X122" s="42">
        <f>V122+I124/5</f>
        <v/>
      </c>
    </row>
    <row r="123" spans="1:114">
      <c r="A123" t="s">
        <v>95</v>
      </c>
      <c r="B123" t="s">
        <v>26</v>
      </c>
      <c r="C123" s="118" t="n">
        <v>34.86363715955343</v>
      </c>
      <c r="D123" s="86" t="n">
        <v>23.91533942123889</v>
      </c>
      <c r="E123" s="87" t="n">
        <v>0.3140320009702274</v>
      </c>
      <c r="F123" s="88" t="n">
        <v>66.2196373874483</v>
      </c>
      <c r="G123" s="89" t="n">
        <v>0.8993898165126644</v>
      </c>
      <c r="H123" s="90" t="n">
        <v>-0.1131686272426961</v>
      </c>
      <c r="I123" s="90" t="n">
        <v>0.2230404620396094</v>
      </c>
      <c r="J123" s="90" t="n">
        <v>0.4204507893652203</v>
      </c>
      <c r="K123" s="86" t="n">
        <v>2.768918986307153</v>
      </c>
      <c r="L123" s="91" t="n">
        <v>23.91533942123889</v>
      </c>
      <c r="M123" s="92" t="n">
        <v>0.3140320009702274</v>
      </c>
      <c r="N123" s="93" t="n">
        <v>66.2196373874483</v>
      </c>
      <c r="O123" s="94" t="n">
        <v>0.8993898165126644</v>
      </c>
      <c r="P123" s="95" t="n">
        <v>2.768918986307153</v>
      </c>
      <c r="Q123" s="96" t="n"/>
      <c r="R123" s="96" t="n"/>
      <c r="U123" s="22" t="n"/>
      <c r="V123" s="32" t="n"/>
      <c r="W123" s="22" t="n"/>
      <c r="X123" s="22" t="n"/>
    </row>
    <row r="124" spans="1:114">
      <c r="A124" t="s">
        <v>96</v>
      </c>
      <c r="B124" t="s">
        <v>28</v>
      </c>
      <c r="C124" s="121" t="n">
        <v>6.797099763121633</v>
      </c>
      <c r="D124" s="86" t="n">
        <v>3.028550278207968</v>
      </c>
      <c r="E124" s="87" t="n">
        <v>0.5544349231653652</v>
      </c>
      <c r="F124" s="88" t="n">
        <v>7.237834219468515</v>
      </c>
      <c r="G124" s="89" t="n">
        <v>0.0648415459102325</v>
      </c>
      <c r="H124" s="90" t="n">
        <v>-0.4400579271250167</v>
      </c>
      <c r="I124" s="90" t="n">
        <v>-0.3275604818466318</v>
      </c>
      <c r="J124" s="90" t="n">
        <v>-0.151510367595918</v>
      </c>
      <c r="K124" s="86" t="n">
        <v>2.389867611427351</v>
      </c>
      <c r="L124" s="91" t="n">
        <v>3.028550278207968</v>
      </c>
      <c r="M124" s="92" t="n">
        <v>0.5544349231653652</v>
      </c>
      <c r="N124" s="93" t="n">
        <v>7.146533535249639</v>
      </c>
      <c r="O124" s="94" t="n">
        <v>0.05140924575271</v>
      </c>
      <c r="P124" s="95" t="n">
        <v>2.359720948558376</v>
      </c>
      <c r="Q124" s="96" t="n"/>
      <c r="R124" s="96" t="n"/>
      <c r="U124" s="22" t="n"/>
      <c r="V124" s="32" t="n"/>
      <c r="W124" s="22" t="n"/>
      <c r="X124" s="22" t="n"/>
    </row>
    <row r="125" spans="1:114">
      <c r="A125" t="n">
        <v>3.82</v>
      </c>
      <c r="B125" t="s">
        <v>29</v>
      </c>
      <c r="C125" s="121" t="n">
        <v>4.173544760511413</v>
      </c>
      <c r="D125" s="86" t="n">
        <v>2.378592949666324</v>
      </c>
      <c r="E125" s="87" t="n">
        <v>0.4300784857582649</v>
      </c>
      <c r="F125" s="88" t="n">
        <v>6.287641542742763</v>
      </c>
      <c r="G125" s="89" t="n">
        <v>0.5065470489820014</v>
      </c>
      <c r="H125" s="90" t="n">
        <v>-0.2346697470108758</v>
      </c>
      <c r="I125" s="90" t="n">
        <v>-0.1317477294585562</v>
      </c>
      <c r="J125" s="90" t="n">
        <v>-0.01559478347336796</v>
      </c>
      <c r="K125" s="86" t="n">
        <v>2.643428983351191</v>
      </c>
      <c r="L125" s="91" t="n">
        <v>2.378592949666324</v>
      </c>
      <c r="M125" s="92" t="n">
        <v>0.4300784857582649</v>
      </c>
      <c r="N125" s="93" t="n">
        <v>6.287641542742763</v>
      </c>
      <c r="O125" s="94" t="n">
        <v>0.5065470489820014</v>
      </c>
      <c r="P125" s="95" t="n">
        <v>2.643428983351191</v>
      </c>
      <c r="Q125" s="96" t="n"/>
      <c r="R125" s="96" t="n"/>
      <c r="U125" s="22" t="n"/>
      <c r="V125" s="32" t="n"/>
      <c r="W125" s="22" t="n"/>
      <c r="X125" s="22" t="n"/>
    </row>
    <row r="126" spans="1:114">
      <c r="C126" s="98" t="n"/>
      <c r="D126" s="86" t="n"/>
      <c r="F126" s="88" t="n"/>
      <c r="K126" s="86" t="n"/>
      <c r="L126" s="91" t="n"/>
      <c r="M126" s="92" t="n"/>
      <c r="N126" s="93" t="n"/>
      <c r="P126" s="95" t="n"/>
      <c r="Q126" s="96" t="n"/>
      <c r="R126" s="96" t="n"/>
    </row>
    <row r="127" spans="1:114">
      <c r="A127" t="s">
        <v>97</v>
      </c>
      <c r="B127" t="s">
        <v>24</v>
      </c>
      <c r="C127" s="118" t="n">
        <v>24.53713199671802</v>
      </c>
      <c r="D127" s="86" t="n">
        <v>17.01722848173306</v>
      </c>
      <c r="E127" s="87" t="n">
        <v>0.3064703534215322</v>
      </c>
      <c r="F127" s="88" t="n">
        <v>69.16951945344047</v>
      </c>
      <c r="G127" s="89" t="n">
        <v>1.818973279464458</v>
      </c>
      <c r="H127" s="90" t="n">
        <v>0</v>
      </c>
      <c r="I127" s="90" t="n">
        <v>0.7197086024028381</v>
      </c>
      <c r="J127" s="90" t="n">
        <v>0.9121464825405143</v>
      </c>
      <c r="K127" s="86" t="n">
        <v>4.064675956351509</v>
      </c>
      <c r="L127" s="91" t="n">
        <v>17.01722848173306</v>
      </c>
      <c r="M127" s="92" t="n">
        <v>0.3064703534215322</v>
      </c>
      <c r="N127" s="93" t="n">
        <v>69.16951945344047</v>
      </c>
      <c r="O127" s="94" t="n">
        <v>1.818973279464458</v>
      </c>
      <c r="P127" s="95" t="n">
        <v>4.064675956351509</v>
      </c>
      <c r="Q127" s="96" t="n">
        <v>0.08920004657585358</v>
      </c>
      <c r="R127" s="96" t="n">
        <v>0.0728988343809962</v>
      </c>
      <c r="S127" s="131" t="n">
        <v>0.009047736210557948</v>
      </c>
      <c r="T127" t="n">
        <v>1802.09</v>
      </c>
      <c r="U127" s="42">
        <f>C127*S127</f>
        <v/>
      </c>
      <c r="V127" s="42">
        <f>Q127*(1-U127)+S127</f>
        <v/>
      </c>
      <c r="W127" s="42">
        <f>V127+I129/3</f>
        <v/>
      </c>
      <c r="X127" s="42">
        <f>V127+I129/5</f>
        <v/>
      </c>
    </row>
    <row r="128" spans="1:114">
      <c r="A128" t="s">
        <v>98</v>
      </c>
      <c r="B128" t="s">
        <v>26</v>
      </c>
      <c r="C128" s="117" t="n">
        <v>29.44706767450245</v>
      </c>
      <c r="D128" s="86" t="n">
        <v>20.566696247943</v>
      </c>
      <c r="E128" s="87" t="n">
        <v>0.3015706529668746</v>
      </c>
      <c r="F128" s="88" t="n">
        <v>77.02840167403963</v>
      </c>
      <c r="G128" s="89" t="n">
        <v>1.615825878674392</v>
      </c>
      <c r="H128" s="90" t="n">
        <v>0.001237610521148902</v>
      </c>
      <c r="I128" s="90" t="n">
        <v>0.7224662436959526</v>
      </c>
      <c r="J128" s="90" t="n">
        <v>0.904925794685248</v>
      </c>
      <c r="K128" s="86" t="n">
        <v>3.745297773906867</v>
      </c>
      <c r="L128" s="91" t="n">
        <v>20.566696247943</v>
      </c>
      <c r="M128" s="92" t="n">
        <v>0.3015706529668746</v>
      </c>
      <c r="N128" s="93" t="n">
        <v>77.02840167403963</v>
      </c>
      <c r="O128" s="94" t="n">
        <v>1.615825878674392</v>
      </c>
      <c r="P128" s="95" t="n">
        <v>3.745297773906867</v>
      </c>
      <c r="Q128" s="96" t="n"/>
      <c r="R128" s="96" t="n"/>
      <c r="U128" s="22" t="n"/>
      <c r="V128" s="32" t="n"/>
      <c r="W128" s="22" t="n"/>
      <c r="X128" s="22" t="n"/>
    </row>
    <row r="129" spans="1:114">
      <c r="A129" t="s">
        <v>99</v>
      </c>
      <c r="B129" t="s">
        <v>28</v>
      </c>
      <c r="C129" s="117" t="n">
        <v>2.188713316945114</v>
      </c>
      <c r="D129" s="86" t="n">
        <v>1.547640234855048</v>
      </c>
      <c r="E129" s="87" t="n">
        <v>0.2928995209773936</v>
      </c>
      <c r="F129" s="88" t="n">
        <v>6.103411605589545</v>
      </c>
      <c r="G129" s="89" t="n">
        <v>1.788584305827842</v>
      </c>
      <c r="H129" s="90" t="n">
        <v>0.0708903469898563</v>
      </c>
      <c r="I129" s="90" t="n">
        <v>0.736327553223157</v>
      </c>
      <c r="J129" s="90" t="n">
        <v>0.8941044617893437</v>
      </c>
      <c r="K129" s="86" t="n">
        <v>3.94368889366668</v>
      </c>
      <c r="L129" s="91" t="n">
        <v>1.547640234855048</v>
      </c>
      <c r="M129" s="92" t="n">
        <v>0.2928995209773936</v>
      </c>
      <c r="N129" s="93" t="n">
        <v>6.103411605589545</v>
      </c>
      <c r="O129" s="94" t="n">
        <v>1.788584305827842</v>
      </c>
      <c r="P129" s="95" t="n">
        <v>3.94368889366668</v>
      </c>
      <c r="Q129" s="96" t="n"/>
      <c r="R129" s="96" t="n"/>
      <c r="U129" s="22" t="n"/>
      <c r="V129" s="32" t="n"/>
      <c r="W129" s="22" t="n"/>
      <c r="X129" s="22" t="n"/>
    </row>
    <row r="130" spans="1:114">
      <c r="A130" t="n">
        <v>2.75</v>
      </c>
      <c r="B130" t="s">
        <v>29</v>
      </c>
      <c r="C130" s="118" t="n">
        <v>2.146656909409541</v>
      </c>
      <c r="D130" s="86" t="n">
        <v>1.43731009532907</v>
      </c>
      <c r="E130" s="87" t="n">
        <v>0.330442564422455</v>
      </c>
      <c r="F130" s="88" t="n">
        <v>5.991465096660469</v>
      </c>
      <c r="G130" s="89" t="n">
        <v>1.791067855509561</v>
      </c>
      <c r="H130" s="90" t="n">
        <v>-0.01500694271319458</v>
      </c>
      <c r="I130" s="90" t="n">
        <v>0.6724966720072547</v>
      </c>
      <c r="J130" s="90" t="n">
        <v>0.8260609543990107</v>
      </c>
      <c r="K130" s="86" t="n">
        <v>4.168526413424189</v>
      </c>
      <c r="L130" s="91" t="n">
        <v>1.43731009532907</v>
      </c>
      <c r="M130" s="92" t="n">
        <v>0.330442564422455</v>
      </c>
      <c r="N130" s="93" t="n">
        <v>5.991465096660469</v>
      </c>
      <c r="O130" s="94" t="n">
        <v>1.791067855509561</v>
      </c>
      <c r="P130" s="95" t="n">
        <v>4.168526413424189</v>
      </c>
      <c r="Q130" s="96" t="n"/>
      <c r="R130" s="96" t="n"/>
      <c r="U130" s="22" t="n"/>
      <c r="V130" s="32" t="n"/>
      <c r="W130" s="22" t="n"/>
      <c r="X130" s="22" t="n"/>
    </row>
    <row r="131" spans="1:114">
      <c r="C131" s="98" t="n"/>
      <c r="D131" s="86" t="n"/>
      <c r="F131" s="88" t="n"/>
      <c r="K131" s="86" t="n"/>
      <c r="L131" s="91" t="n"/>
      <c r="M131" s="92" t="n"/>
      <c r="N131" s="93" t="n"/>
      <c r="P131" s="95" t="n"/>
      <c r="Q131" s="96" t="n"/>
      <c r="R131" s="96" t="n"/>
    </row>
    <row r="132" spans="1:114">
      <c r="A132" t="s">
        <v>100</v>
      </c>
      <c r="B132" t="s">
        <v>24</v>
      </c>
      <c r="C132" s="118" t="n">
        <v>37.36564598366524</v>
      </c>
      <c r="D132" s="86" t="n">
        <v>24.72505779100653</v>
      </c>
      <c r="E132" s="87" t="n">
        <v>0.3382943840495803</v>
      </c>
      <c r="F132" s="88" t="n">
        <v>1208.044924970384</v>
      </c>
      <c r="G132" s="89" t="n">
        <v>31.33036371158932</v>
      </c>
      <c r="H132" s="90" t="n">
        <v>-0.03107867576736323</v>
      </c>
      <c r="I132" s="90" t="n">
        <v>0.2116317346107095</v>
      </c>
      <c r="J132" s="90" t="n">
        <v>0.6579201256354914</v>
      </c>
      <c r="K132" s="86" t="n">
        <v>48.85913453394625</v>
      </c>
      <c r="L132" s="91" t="n">
        <v>24.72505779100653</v>
      </c>
      <c r="M132" s="92" t="n">
        <v>0.3382943840495803</v>
      </c>
      <c r="N132" s="93" t="n">
        <v>100.9551507259934</v>
      </c>
      <c r="O132" s="94" t="n">
        <v>1.701817353034039</v>
      </c>
      <c r="P132" s="95" t="n">
        <v>4.083110809258238</v>
      </c>
      <c r="Q132" s="96" t="n">
        <v>0.1059621678817782</v>
      </c>
      <c r="R132" s="96" t="n">
        <v>0.0810418787226439</v>
      </c>
      <c r="S132" s="131" t="n">
        <v>0.0071084218687237</v>
      </c>
      <c r="T132" t="n">
        <v>4270.22</v>
      </c>
      <c r="U132" s="42">
        <f>C132*S132</f>
        <v/>
      </c>
      <c r="V132" s="42">
        <f>Q132*(1-U132)+S132</f>
        <v/>
      </c>
      <c r="W132" s="42">
        <f>V132+I134/3</f>
        <v/>
      </c>
      <c r="X132" s="42">
        <f>V132+I134/5</f>
        <v/>
      </c>
    </row>
    <row r="133" spans="1:114">
      <c r="A133" t="s">
        <v>101</v>
      </c>
      <c r="B133" t="s">
        <v>26</v>
      </c>
      <c r="C133" s="117" t="n">
        <v>36.52485211200665</v>
      </c>
      <c r="D133" s="86" t="n">
        <v>25.80527643226075</v>
      </c>
      <c r="E133" s="87" t="n">
        <v>0.2934871754408035</v>
      </c>
      <c r="F133" s="88" t="n">
        <v>-1416.0516701715</v>
      </c>
      <c r="G133" s="89" t="n">
        <v>-39.76953877401211</v>
      </c>
      <c r="H133" s="90" t="n">
        <v>0.06944936784378575</v>
      </c>
      <c r="I133" s="90" t="n">
        <v>0.4030417141930094</v>
      </c>
      <c r="J133" s="90" t="n">
        <v>0.8217961542742453</v>
      </c>
      <c r="K133" s="86" t="n">
        <v>-54.87450110788998</v>
      </c>
      <c r="L133" s="91" t="n">
        <v>25.80527643226075</v>
      </c>
      <c r="M133" s="92" t="n">
        <v>0.2934871754408035</v>
      </c>
      <c r="N133" s="93" t="n">
        <v>-1416.0516701715</v>
      </c>
      <c r="O133" s="94" t="n">
        <v>-39.76953877401211</v>
      </c>
      <c r="P133" s="95" t="n">
        <v>-54.87450110788998</v>
      </c>
      <c r="Q133" s="96" t="n"/>
      <c r="R133" s="96" t="n"/>
      <c r="U133" s="22" t="n"/>
      <c r="V133" s="32" t="n"/>
      <c r="W133" s="22" t="n"/>
      <c r="X133" s="22" t="n"/>
    </row>
    <row r="134" spans="1:114">
      <c r="A134" t="s">
        <v>61</v>
      </c>
      <c r="B134" t="s">
        <v>28</v>
      </c>
      <c r="C134" s="118" t="n">
        <v>3.959344852732228</v>
      </c>
      <c r="D134" s="86" t="n">
        <v>2.274037163787061</v>
      </c>
      <c r="E134" s="87" t="n">
        <v>0.4256531703173533</v>
      </c>
      <c r="F134" s="88" t="n">
        <v>9.508383060957316</v>
      </c>
      <c r="G134" s="89" t="n">
        <v>1.401504141372242</v>
      </c>
      <c r="H134" s="90" t="n">
        <v>-0.1392999466992038</v>
      </c>
      <c r="I134" s="90" t="n">
        <v>0.01987074007947198</v>
      </c>
      <c r="J134" s="90" t="n">
        <v>0.1753337316533274</v>
      </c>
      <c r="K134" s="86" t="n">
        <v>4.181278658226745</v>
      </c>
      <c r="L134" s="91" t="n">
        <v>2.664701212358725</v>
      </c>
      <c r="M134" s="92" t="n">
        <v>0.3269843089015364</v>
      </c>
      <c r="N134" s="93" t="n">
        <v>9.508383060957316</v>
      </c>
      <c r="O134" s="94" t="n">
        <v>1.401504141372242</v>
      </c>
      <c r="P134" s="95" t="n">
        <v>3.568273627398825</v>
      </c>
      <c r="Q134" s="96" t="n"/>
      <c r="R134" s="96" t="n"/>
      <c r="U134" s="22" t="n"/>
      <c r="V134" s="32" t="n"/>
      <c r="W134" s="22" t="n"/>
      <c r="X134" s="22" t="n"/>
    </row>
    <row r="135" spans="1:114">
      <c r="A135" t="n">
        <v>6.72</v>
      </c>
      <c r="B135" t="s">
        <v>29</v>
      </c>
      <c r="C135" s="118" t="n">
        <v>2.960042635223747</v>
      </c>
      <c r="D135" s="86" t="n">
        <v>1.923745439133816</v>
      </c>
      <c r="E135" s="87" t="n">
        <v>0.3500953613837383</v>
      </c>
      <c r="F135" s="88" t="n">
        <v>9.103571792932213</v>
      </c>
      <c r="G135" s="89" t="n">
        <v>2.075486712455438</v>
      </c>
      <c r="H135" s="90" t="n">
        <v>-0.01502706283985134</v>
      </c>
      <c r="I135" s="90" t="n">
        <v>0.2752940579106622</v>
      </c>
      <c r="J135" s="90" t="n">
        <v>0.5319849558348173</v>
      </c>
      <c r="K135" s="86" t="n">
        <v>4.732212281179562</v>
      </c>
      <c r="L135" s="91" t="n">
        <v>1.975252444766938</v>
      </c>
      <c r="M135" s="92" t="n">
        <v>0.3326945966041361</v>
      </c>
      <c r="N135" s="93" t="n">
        <v>9.103571792932213</v>
      </c>
      <c r="O135" s="94" t="n">
        <v>2.075486712455438</v>
      </c>
      <c r="P135" s="95" t="n">
        <v>4.608814340187465</v>
      </c>
      <c r="Q135" s="96" t="n"/>
      <c r="R135" s="96" t="n"/>
      <c r="U135" s="22" t="n"/>
      <c r="V135" s="32" t="n"/>
      <c r="W135" s="22" t="n"/>
      <c r="X135" s="22" t="n"/>
    </row>
    <row r="136" spans="1:114">
      <c r="C136" s="98" t="n"/>
      <c r="D136" s="86" t="n"/>
      <c r="F136" s="88" t="n"/>
      <c r="K136" s="86" t="n"/>
      <c r="L136" s="91" t="n"/>
      <c r="M136" s="92" t="n"/>
      <c r="N136" s="93" t="n"/>
      <c r="P136" s="95" t="n"/>
      <c r="Q136" s="96" t="n"/>
      <c r="R136" s="96" t="n"/>
    </row>
    <row customFormat="1" r="137" s="22" spans="1:114">
      <c r="A137" s="22" t="s">
        <v>102</v>
      </c>
      <c r="B137" s="22" t="s">
        <v>24</v>
      </c>
      <c r="C137" s="116" t="n">
        <v>20.55093676605646</v>
      </c>
      <c r="D137" s="24" t="n">
        <v>14.79687978968747</v>
      </c>
      <c r="E137" s="35" t="n">
        <v>0.2799900093056994</v>
      </c>
      <c r="F137" s="25" t="n">
        <v>44.67291204200306</v>
      </c>
      <c r="G137" s="53" t="n">
        <v>1.173765242457869</v>
      </c>
      <c r="H137" s="26" t="n">
        <v>-0.1060746489871761</v>
      </c>
      <c r="I137" s="26" t="n">
        <v>0.03867670078304841</v>
      </c>
      <c r="J137" s="26" t="n">
        <v>0.3014135613939917</v>
      </c>
      <c r="K137" s="24" t="n">
        <v>3.019076499704848</v>
      </c>
      <c r="L137" s="27" t="n">
        <v>14.79687978968747</v>
      </c>
      <c r="M137" s="38" t="n">
        <v>0.2799900093056994</v>
      </c>
      <c r="N137" s="28" t="n">
        <v>44.67291204200306</v>
      </c>
      <c r="O137" s="29" t="n">
        <v>1.173765242457869</v>
      </c>
      <c r="P137" s="30" t="n">
        <v>3.019076499704848</v>
      </c>
      <c r="Q137" s="31" t="n">
        <v>0.1080032171616111</v>
      </c>
      <c r="R137" s="31" t="n">
        <v>0.06385172014543082</v>
      </c>
      <c r="S137" s="32" t="n">
        <v>0.01891764187464058</v>
      </c>
      <c r="T137" s="22" t="n">
        <v>4870.69</v>
      </c>
      <c r="U137" s="42">
        <f>C137*S137</f>
        <v/>
      </c>
      <c r="V137" s="42">
        <f>Q137*(1-U137)+S137</f>
        <v/>
      </c>
      <c r="W137" s="42">
        <f>V137+I139/3</f>
        <v/>
      </c>
      <c r="X137" s="42">
        <f>V137+I139/5</f>
        <v/>
      </c>
    </row>
    <row customFormat="1" r="138" s="22" spans="1:114">
      <c r="A138" s="22" t="s">
        <v>103</v>
      </c>
      <c r="B138" s="22" t="s">
        <v>26</v>
      </c>
      <c r="C138" s="115" t="n">
        <v>32.06678438777261</v>
      </c>
      <c r="D138" s="24" t="n">
        <v>20.8202313997756</v>
      </c>
      <c r="E138" s="35" t="n">
        <v>0.3507228181035024</v>
      </c>
      <c r="F138" s="25" t="n">
        <v>71.56876856519477</v>
      </c>
      <c r="G138" s="53" t="n">
        <v>1.23186608609514</v>
      </c>
      <c r="H138" s="26" t="n">
        <v>-0.1783847784724004</v>
      </c>
      <c r="I138" s="26" t="n">
        <v>-0.03373737301063195</v>
      </c>
      <c r="J138" s="26" t="n">
        <v>0.3836188121794921</v>
      </c>
      <c r="K138" s="24" t="n">
        <v>3.437462686700309</v>
      </c>
      <c r="L138" s="27" t="n">
        <v>20.8202313997756</v>
      </c>
      <c r="M138" s="38" t="n">
        <v>0.3507228181035024</v>
      </c>
      <c r="N138" s="28" t="n">
        <v>71.56876856519477</v>
      </c>
      <c r="O138" s="29" t="n">
        <v>1.23186608609514</v>
      </c>
      <c r="P138" s="30" t="n">
        <v>3.437462686700309</v>
      </c>
      <c r="Q138" s="31" t="n"/>
      <c r="R138" s="31" t="n"/>
      <c r="S138" s="32" t="n"/>
      <c r="V138" s="32" t="n"/>
    </row>
    <row customFormat="1" r="139" s="22" spans="1:114">
      <c r="A139" s="22" t="s">
        <v>49</v>
      </c>
      <c r="B139" s="22" t="s">
        <v>28</v>
      </c>
      <c r="C139" s="116" t="n">
        <v>2.219567286418934</v>
      </c>
      <c r="D139" s="24" t="n">
        <v>1.659873284030088</v>
      </c>
      <c r="E139" s="35" t="n">
        <v>0.2521635662110794</v>
      </c>
      <c r="F139" s="25" t="n">
        <v>5.447046365647103</v>
      </c>
      <c r="G139" s="53" t="n">
        <v>1.45410283300553</v>
      </c>
      <c r="H139" s="26" t="n">
        <v>-0.01713415069060764</v>
      </c>
      <c r="I139" s="26" t="n">
        <v>0.1867970209586098</v>
      </c>
      <c r="J139" s="26" t="n">
        <v>0.3718431847036809</v>
      </c>
      <c r="K139" s="24" t="n">
        <v>3.281603733281346</v>
      </c>
      <c r="L139" s="27" t="n">
        <v>1.659873284030088</v>
      </c>
      <c r="M139" s="38" t="n">
        <v>0.2521635662110794</v>
      </c>
      <c r="N139" s="28" t="n">
        <v>5.447046365647103</v>
      </c>
      <c r="O139" s="29" t="n">
        <v>1.45410283300553</v>
      </c>
      <c r="P139" s="30" t="n">
        <v>3.281603733281346</v>
      </c>
      <c r="Q139" s="31" t="n"/>
      <c r="R139" s="31" t="n"/>
      <c r="S139" s="32" t="n"/>
      <c r="V139" s="32" t="n"/>
    </row>
    <row customFormat="1" r="140" s="22" spans="1:114">
      <c r="A140" s="22" t="n">
        <v>3.48</v>
      </c>
      <c r="B140" s="22" t="s">
        <v>29</v>
      </c>
      <c r="C140" s="119" t="n">
        <v>2.047519342691927</v>
      </c>
      <c r="D140" s="24" t="n">
        <v>1.44913439537622</v>
      </c>
      <c r="E140" s="35" t="n">
        <v>0.2922487396524392</v>
      </c>
      <c r="F140" s="25" t="n">
        <v>5.981965327963513</v>
      </c>
      <c r="G140" s="53" t="n">
        <v>1.921567187784838</v>
      </c>
      <c r="H140" s="26" t="n">
        <v>0.01781162895762867</v>
      </c>
      <c r="I140" s="26" t="n">
        <v>0.2449850046502999</v>
      </c>
      <c r="J140" s="26" t="n">
        <v>0.6328170258954571</v>
      </c>
      <c r="K140" s="24" t="n">
        <v>4.127957591131836</v>
      </c>
      <c r="L140" s="27" t="n">
        <v>1.44913439537622</v>
      </c>
      <c r="M140" s="38" t="n">
        <v>0.2922487396524392</v>
      </c>
      <c r="N140" s="28" t="n">
        <v>5.981965327963513</v>
      </c>
      <c r="O140" s="29" t="n">
        <v>1.921567187784838</v>
      </c>
      <c r="P140" s="30" t="n">
        <v>4.127957591131836</v>
      </c>
      <c r="Q140" s="31" t="n"/>
      <c r="R140" s="31" t="n"/>
      <c r="S140" s="32" t="n"/>
      <c r="V140" s="32" t="n"/>
    </row>
    <row r="141" spans="1:114">
      <c r="C141" s="98" t="n"/>
      <c r="D141" s="86" t="n"/>
      <c r="F141" s="88" t="n"/>
      <c r="K141" s="86" t="n"/>
      <c r="L141" s="91" t="n"/>
      <c r="M141" s="92" t="n"/>
      <c r="N141" s="93" t="n"/>
      <c r="P141" s="95" t="n"/>
      <c r="Q141" s="96" t="n"/>
      <c r="R141" s="96" t="n"/>
    </row>
    <row r="142" spans="1:114">
      <c r="A142" t="s">
        <v>104</v>
      </c>
      <c r="B142" t="s">
        <v>24</v>
      </c>
      <c r="C142" s="121" t="n">
        <v>30.77529869779203</v>
      </c>
      <c r="D142" s="86" t="n">
        <v>16.56330034449508</v>
      </c>
      <c r="E142" s="87" t="n">
        <v>0.4617988761979616</v>
      </c>
      <c r="F142" s="88" t="n">
        <v>39.38575235485901</v>
      </c>
      <c r="G142" s="89" t="n">
        <v>0.2797845681895763</v>
      </c>
      <c r="H142" s="90" t="n">
        <v>-0.3516958227800633</v>
      </c>
      <c r="I142" s="90" t="n">
        <v>-0.2236780636459569</v>
      </c>
      <c r="J142" s="90" t="n">
        <v>-0.01352012741562247</v>
      </c>
      <c r="K142" s="86" t="n">
        <v>2.377892783182496</v>
      </c>
      <c r="L142" s="91" t="n">
        <v>16.56330034449508</v>
      </c>
      <c r="M142" s="92" t="n">
        <v>0.4617988761979616</v>
      </c>
      <c r="N142" s="93" t="n">
        <v>39.38575235485901</v>
      </c>
      <c r="O142" s="94" t="n">
        <v>0.2797845681895763</v>
      </c>
      <c r="P142" s="95" t="n">
        <v>2.377892783182496</v>
      </c>
      <c r="Q142" s="96" t="n">
        <v>0.2471620124021383</v>
      </c>
      <c r="R142" s="96" t="n">
        <v>0.1311448525501802</v>
      </c>
      <c r="S142" s="131" t="n">
        <v>0.01588168978902629</v>
      </c>
      <c r="T142" t="n">
        <v>7226.67</v>
      </c>
      <c r="U142" s="42">
        <f>C142*S142</f>
        <v/>
      </c>
      <c r="V142" s="42">
        <f>Q142*(1-U142)+S142</f>
        <v/>
      </c>
      <c r="W142" s="42">
        <f>V142+I144/3</f>
        <v/>
      </c>
      <c r="X142" s="42">
        <f>V142+I144/5</f>
        <v/>
      </c>
    </row>
    <row r="143" spans="1:114">
      <c r="A143" t="s">
        <v>105</v>
      </c>
      <c r="B143" t="s">
        <v>26</v>
      </c>
      <c r="C143" s="120" t="n">
        <v>35.34452880417155</v>
      </c>
      <c r="D143" s="86" t="n">
        <v>19.10126996487922</v>
      </c>
      <c r="E143" s="87" t="n">
        <v>0.4595692569361746</v>
      </c>
      <c r="F143" s="88" t="n">
        <v>58.64584867534074</v>
      </c>
      <c r="G143" s="89" t="n">
        <v>0.6592624278646217</v>
      </c>
      <c r="H143" s="90" t="n">
        <v>-0.1790881683086178</v>
      </c>
      <c r="I143" s="90" t="n">
        <v>-0.06027838760384774</v>
      </c>
      <c r="J143" s="90" t="n">
        <v>0.07157653012288789</v>
      </c>
      <c r="K143" s="86" t="n">
        <v>3.07025913895624</v>
      </c>
      <c r="L143" s="91" t="n">
        <v>19.10126996487922</v>
      </c>
      <c r="M143" s="92" t="n">
        <v>0.4595692569361746</v>
      </c>
      <c r="N143" s="93" t="n">
        <v>58.64584867534074</v>
      </c>
      <c r="O143" s="94" t="n">
        <v>0.6592624278646217</v>
      </c>
      <c r="P143" s="95" t="n">
        <v>3.07025913895624</v>
      </c>
      <c r="Q143" s="96" t="n"/>
      <c r="R143" s="96" t="n"/>
      <c r="U143" s="22" t="n"/>
      <c r="V143" s="32" t="n"/>
      <c r="W143" s="22" t="n"/>
      <c r="X143" s="22" t="n"/>
    </row>
    <row r="144" spans="1:114">
      <c r="A144" t="s">
        <v>106</v>
      </c>
      <c r="B144" t="s">
        <v>28</v>
      </c>
      <c r="C144" s="121" t="n">
        <v>7.606484758423186</v>
      </c>
      <c r="D144" s="86" t="n">
        <v>3.35335595542541</v>
      </c>
      <c r="E144" s="87" t="n">
        <v>0.5591451160521939</v>
      </c>
      <c r="F144" s="88" t="n">
        <v>8.506802353963757</v>
      </c>
      <c r="G144" s="89" t="n">
        <v>0.1183618483615032</v>
      </c>
      <c r="H144" s="90" t="n">
        <v>-0.490553347670648</v>
      </c>
      <c r="I144" s="90" t="n">
        <v>-0.359595606002998</v>
      </c>
      <c r="J144" s="90" t="n">
        <v>-0.1122939248205599</v>
      </c>
      <c r="K144" s="86" t="n">
        <v>2.53680267381116</v>
      </c>
      <c r="L144" s="91" t="n">
        <v>3.35335595542541</v>
      </c>
      <c r="M144" s="92" t="n">
        <v>0.5591451160521939</v>
      </c>
      <c r="N144" s="93" t="n">
        <v>8.506802353963757</v>
      </c>
      <c r="O144" s="94" t="n">
        <v>0.1183618483615032</v>
      </c>
      <c r="P144" s="95" t="n">
        <v>2.53680267381116</v>
      </c>
      <c r="Q144" s="96" t="n"/>
      <c r="R144" s="96" t="n"/>
      <c r="U144" s="22" t="n"/>
      <c r="V144" s="32" t="n"/>
      <c r="W144" s="22" t="n"/>
      <c r="X144" s="22" t="n"/>
    </row>
    <row r="145" spans="1:114">
      <c r="B145" t="s">
        <v>29</v>
      </c>
      <c r="C145" s="121" t="n">
        <v>4.635253018478676</v>
      </c>
      <c r="D145" s="86" t="n">
        <v>2.849634975733549</v>
      </c>
      <c r="E145" s="87" t="n">
        <v>0.3852255822123772</v>
      </c>
      <c r="F145" s="88" t="n">
        <v>5.222128276400987</v>
      </c>
      <c r="G145" s="89" t="n">
        <v>0.1266112670835233</v>
      </c>
      <c r="H145" s="90" t="n">
        <v>-0.257671247442212</v>
      </c>
      <c r="I145" s="90" t="n">
        <v>-0.168349518919069</v>
      </c>
      <c r="J145" s="90" t="n">
        <v>-0.05224385669399789</v>
      </c>
      <c r="K145" s="86" t="n">
        <v>1.832560422956177</v>
      </c>
      <c r="L145" s="91" t="n">
        <v>2.849634975733549</v>
      </c>
      <c r="M145" s="92" t="n">
        <v>0.3852255822123772</v>
      </c>
      <c r="N145" s="93" t="n">
        <v>5.222128276400987</v>
      </c>
      <c r="O145" s="94" t="n">
        <v>0.1266112670835233</v>
      </c>
      <c r="P145" s="95" t="n">
        <v>1.832560422956177</v>
      </c>
      <c r="Q145" s="96" t="n"/>
      <c r="R145" s="96" t="n"/>
      <c r="U145" s="22" t="n"/>
      <c r="V145" s="32" t="n"/>
      <c r="W145" s="22" t="n"/>
      <c r="X145" s="22" t="n"/>
    </row>
    <row r="146" spans="1:114">
      <c r="C146" s="98" t="n"/>
      <c r="D146" s="86" t="n"/>
      <c r="F146" s="88" t="n"/>
      <c r="K146" s="86" t="n"/>
      <c r="L146" s="91" t="n"/>
      <c r="M146" s="92" t="n"/>
      <c r="N146" s="93" t="n"/>
      <c r="P146" s="95" t="n"/>
      <c r="Q146" s="96" t="n"/>
      <c r="R146" s="96" t="n"/>
    </row>
    <row r="147" spans="1:114">
      <c r="A147" t="s">
        <v>107</v>
      </c>
      <c r="B147" t="s">
        <v>24</v>
      </c>
      <c r="C147" s="118" t="n">
        <v>16.97581816083855</v>
      </c>
      <c r="D147" s="86" t="n">
        <v>12.96081852996022</v>
      </c>
      <c r="E147" s="87" t="n">
        <v>0.2365128792520007</v>
      </c>
      <c r="F147" s="88" t="n">
        <v>56.70658998717889</v>
      </c>
      <c r="G147" s="89" t="n">
        <v>2.340433400611885</v>
      </c>
      <c r="H147" s="90" t="n">
        <v>-0.03001797910053727</v>
      </c>
      <c r="I147" s="90" t="n">
        <v>0.1698827157016964</v>
      </c>
      <c r="J147" s="90" t="n">
        <v>0.3913523225316979</v>
      </c>
      <c r="K147" s="86" t="n">
        <v>4.375232154982803</v>
      </c>
      <c r="L147" s="91" t="n">
        <v>12.96081852996022</v>
      </c>
      <c r="M147" s="92" t="n">
        <v>0.2365128792520007</v>
      </c>
      <c r="N147" s="93" t="n">
        <v>35.62150010072259</v>
      </c>
      <c r="O147" s="94" t="n">
        <v>1.098367204645117</v>
      </c>
      <c r="P147" s="95" t="n">
        <v>2.748398954771256</v>
      </c>
      <c r="Q147" s="96" t="n">
        <v>0.1308477694197285</v>
      </c>
      <c r="R147" s="96" t="n">
        <v>0.07864553069461407</v>
      </c>
      <c r="S147" s="131" t="n">
        <v>0.02103756058446831</v>
      </c>
      <c r="T147" t="n">
        <v>5013.92</v>
      </c>
      <c r="U147" s="42">
        <f>C147*S147</f>
        <v/>
      </c>
      <c r="V147" s="42">
        <f>Q147*(1-U147)+S147</f>
        <v/>
      </c>
      <c r="W147" s="42">
        <f>V147+I149/3</f>
        <v/>
      </c>
      <c r="X147" s="42">
        <f>V147+I149/5</f>
        <v/>
      </c>
    </row>
    <row r="148" spans="1:114">
      <c r="A148" t="s">
        <v>108</v>
      </c>
      <c r="B148" t="s">
        <v>26</v>
      </c>
      <c r="C148" s="118" t="n">
        <v>23.43029758090586</v>
      </c>
      <c r="D148" s="86" t="n">
        <v>17.48029995478922</v>
      </c>
      <c r="E148" s="87" t="n">
        <v>0.253944603373945</v>
      </c>
      <c r="F148" s="88" t="n">
        <v>73.43976172749872</v>
      </c>
      <c r="G148" s="89" t="n">
        <v>2.134393042764735</v>
      </c>
      <c r="H148" s="90" t="n">
        <v>-0.09637757576637063</v>
      </c>
      <c r="I148" s="90" t="n">
        <v>0.12523811584997</v>
      </c>
      <c r="J148" s="90" t="n">
        <v>0.4168069891894954</v>
      </c>
      <c r="K148" s="86" t="n">
        <v>4.201287272955395</v>
      </c>
      <c r="L148" s="91" t="n">
        <v>17.48029995478922</v>
      </c>
      <c r="M148" s="92" t="n">
        <v>0.253944603373945</v>
      </c>
      <c r="N148" s="93" t="n">
        <v>49.51253247675109</v>
      </c>
      <c r="O148" s="94" t="n">
        <v>1.11318410727743</v>
      </c>
      <c r="P148" s="95" t="n">
        <v>2.83247613626823</v>
      </c>
      <c r="Q148" s="96" t="n"/>
      <c r="R148" s="96" t="n"/>
      <c r="U148" s="22" t="n"/>
      <c r="V148" s="32" t="n"/>
      <c r="W148" s="22" t="n"/>
      <c r="X148" s="22" t="n"/>
    </row>
    <row r="149" spans="1:114">
      <c r="A149" t="s">
        <v>61</v>
      </c>
      <c r="B149" t="s">
        <v>28</v>
      </c>
      <c r="C149" s="118" t="n">
        <v>2.221247940420642</v>
      </c>
      <c r="D149" s="86" t="n">
        <v>1.698977219176834</v>
      </c>
      <c r="E149" s="87" t="n">
        <v>0.2351249096239589</v>
      </c>
      <c r="F149" s="88" t="n">
        <v>4.890905111957083</v>
      </c>
      <c r="G149" s="89" t="n">
        <v>1.201872660388774</v>
      </c>
      <c r="H149" s="90" t="n">
        <v>-0.0168806900811852</v>
      </c>
      <c r="I149" s="90" t="n">
        <v>0.2041661662671139</v>
      </c>
      <c r="J149" s="90" t="n">
        <v>0.5315411485868189</v>
      </c>
      <c r="K149" s="86" t="n">
        <v>2.878734956980036</v>
      </c>
      <c r="L149" s="91" t="n">
        <v>1.698977219176834</v>
      </c>
      <c r="M149" s="92" t="n">
        <v>0.2351249096239589</v>
      </c>
      <c r="N149" s="93" t="n">
        <v>4.890905111957083</v>
      </c>
      <c r="O149" s="94" t="n">
        <v>1.201872660388774</v>
      </c>
      <c r="P149" s="95" t="n">
        <v>2.878734956980036</v>
      </c>
      <c r="Q149" s="96" t="n"/>
      <c r="R149" s="96" t="n"/>
      <c r="U149" s="22" t="n"/>
      <c r="V149" s="32" t="n"/>
      <c r="W149" s="22" t="n"/>
      <c r="X149" s="22" t="n"/>
    </row>
    <row r="150" spans="1:114">
      <c r="A150" t="n">
        <v>3.26</v>
      </c>
      <c r="B150" t="s">
        <v>29</v>
      </c>
      <c r="C150" s="117" t="n">
        <v>1.842688187583074</v>
      </c>
      <c r="D150" s="86" t="n">
        <v>1.33784849175488</v>
      </c>
      <c r="E150" s="87" t="n">
        <v>0.2739691387995259</v>
      </c>
      <c r="F150" s="88" t="n">
        <v>5.204600833850392</v>
      </c>
      <c r="G150" s="89" t="n">
        <v>1.824460952711108</v>
      </c>
      <c r="H150" s="90" t="n">
        <v>0.1038760880934968</v>
      </c>
      <c r="I150" s="90" t="n">
        <v>0.3947695858185358</v>
      </c>
      <c r="J150" s="90" t="n">
        <v>0.8163463550872325</v>
      </c>
      <c r="K150" s="86" t="n">
        <v>3.890276713638496</v>
      </c>
      <c r="L150" s="91" t="n">
        <v>1.33784849175488</v>
      </c>
      <c r="M150" s="92" t="n">
        <v>0.2739691387995259</v>
      </c>
      <c r="N150" s="93" t="n">
        <v>5.204600833850392</v>
      </c>
      <c r="O150" s="94" t="n">
        <v>1.824460952711108</v>
      </c>
      <c r="P150" s="95" t="n">
        <v>3.890276713638496</v>
      </c>
      <c r="Q150" s="96" t="n"/>
      <c r="R150" s="96" t="n"/>
      <c r="U150" s="22" t="n"/>
      <c r="V150" s="32" t="n"/>
      <c r="W150" s="22" t="n"/>
      <c r="X150" s="22" t="n"/>
    </row>
    <row r="151" spans="1:114">
      <c r="C151" s="98" t="n"/>
      <c r="D151" s="86" t="n"/>
      <c r="F151" s="88" t="n"/>
      <c r="K151" s="86" t="n"/>
      <c r="L151" s="91" t="n"/>
      <c r="M151" s="92" t="n"/>
      <c r="N151" s="93" t="n"/>
      <c r="P151" s="95" t="n"/>
      <c r="Q151" s="96" t="n"/>
      <c r="R151" s="96" t="n"/>
    </row>
    <row r="152" spans="1:114">
      <c r="A152" t="s">
        <v>109</v>
      </c>
      <c r="B152" t="s">
        <v>24</v>
      </c>
      <c r="C152" s="120" t="n">
        <v>9.684674776114324</v>
      </c>
      <c r="D152" s="86" t="n">
        <v>5.640902370952792</v>
      </c>
      <c r="E152" s="87" t="n">
        <v>0.4175434383336072</v>
      </c>
      <c r="F152" s="88" t="n">
        <v>24.47083732882673</v>
      </c>
      <c r="G152" s="89" t="n">
        <v>1.526758811682564</v>
      </c>
      <c r="H152" s="90" t="n">
        <v>-0.2267392086822063</v>
      </c>
      <c r="I152" s="90" t="n">
        <v>-0.1170666270101984</v>
      </c>
      <c r="J152" s="90" t="n">
        <v>0.1353840323385787</v>
      </c>
      <c r="K152" s="86" t="n">
        <v>4.338106870070403</v>
      </c>
      <c r="L152" s="91" t="n">
        <v>5.640902370952792</v>
      </c>
      <c r="M152" s="92" t="n">
        <v>0.4175434383336072</v>
      </c>
      <c r="N152" s="93" t="n">
        <v>11.69515754059427</v>
      </c>
      <c r="O152" s="94" t="n">
        <v>0.2075942466791421</v>
      </c>
      <c r="P152" s="95" t="n">
        <v>2.073277779246313</v>
      </c>
      <c r="Q152" s="96" t="n">
        <v>0.1238316174305964</v>
      </c>
      <c r="R152" s="96" t="n">
        <v>0.1014266682418899</v>
      </c>
      <c r="S152" s="131" t="n">
        <v>0.03096439795669625</v>
      </c>
      <c r="T152" t="n">
        <v>6734.45</v>
      </c>
      <c r="U152" s="42">
        <f>C152*S152</f>
        <v/>
      </c>
      <c r="V152" s="42">
        <f>Q152*(1-U152)+S152</f>
        <v/>
      </c>
      <c r="W152" s="42">
        <f>V152+I154/3</f>
        <v/>
      </c>
      <c r="X152" s="42">
        <f>V152+I154/5</f>
        <v/>
      </c>
    </row>
    <row r="153" spans="1:114">
      <c r="A153" t="s">
        <v>110</v>
      </c>
      <c r="B153" t="s">
        <v>26</v>
      </c>
      <c r="C153" s="118" t="n">
        <v>14.44012359967853</v>
      </c>
      <c r="D153" s="86" t="n">
        <v>10.00931959645058</v>
      </c>
      <c r="E153" s="87" t="n">
        <v>0.3068397560895244</v>
      </c>
      <c r="F153" s="88" t="n">
        <v>50.76249465420248</v>
      </c>
      <c r="G153" s="89" t="n">
        <v>2.51537812704959</v>
      </c>
      <c r="H153" s="90" t="n">
        <v>-0.1034370193603388</v>
      </c>
      <c r="I153" s="90" t="n">
        <v>0.06880087939671564</v>
      </c>
      <c r="J153" s="90" t="n">
        <v>0.3510168018414019</v>
      </c>
      <c r="K153" s="86" t="n">
        <v>5.071523010635351</v>
      </c>
      <c r="L153" s="91" t="n">
        <v>10.00931959645058</v>
      </c>
      <c r="M153" s="92" t="n">
        <v>0.3068397560895244</v>
      </c>
      <c r="N153" s="93" t="n">
        <v>24.77450743717894</v>
      </c>
      <c r="O153" s="94" t="n">
        <v>0.7156714252591634</v>
      </c>
      <c r="P153" s="95" t="n">
        <v>2.475144009385439</v>
      </c>
      <c r="Q153" s="96" t="n"/>
      <c r="R153" s="96" t="n"/>
      <c r="U153" s="22" t="n"/>
      <c r="V153" s="32" t="n"/>
      <c r="W153" s="22" t="n"/>
      <c r="X153" s="22" t="n"/>
    </row>
    <row r="154" spans="1:114">
      <c r="A154" t="s">
        <v>61</v>
      </c>
      <c r="B154" t="s">
        <v>28</v>
      </c>
      <c r="C154" s="118" t="n">
        <v>1.199268941815536</v>
      </c>
      <c r="D154" s="86" t="n">
        <v>0.9473698898028952</v>
      </c>
      <c r="E154" s="87" t="n">
        <v>0.2100438385666008</v>
      </c>
      <c r="F154" s="88" t="n">
        <v>3.670707212846568</v>
      </c>
      <c r="G154" s="89" t="n">
        <v>2.060787355411372</v>
      </c>
      <c r="H154" s="90" t="n">
        <v>-0.05129947387781308</v>
      </c>
      <c r="I154" s="90" t="n">
        <v>0.1012630324705333</v>
      </c>
      <c r="J154" s="90" t="n">
        <v>0.5244222202116642</v>
      </c>
      <c r="K154" s="86" t="n">
        <v>3.874629384316063</v>
      </c>
      <c r="L154" s="91" t="n">
        <v>0.9473698898028952</v>
      </c>
      <c r="M154" s="92" t="n">
        <v>0.2100438385666008</v>
      </c>
      <c r="N154" s="93" t="n">
        <v>1.884403209996506</v>
      </c>
      <c r="O154" s="94" t="n">
        <v>0.5712932639977872</v>
      </c>
      <c r="P154" s="95" t="n">
        <v>1.989089193439074</v>
      </c>
      <c r="Q154" s="96" t="n"/>
      <c r="R154" s="96" t="n"/>
      <c r="U154" s="22" t="n"/>
      <c r="V154" s="32" t="n"/>
      <c r="W154" s="22" t="n"/>
      <c r="X154" s="22" t="n"/>
    </row>
    <row r="155" spans="1:114">
      <c r="A155" t="n">
        <v>6.4</v>
      </c>
      <c r="B155" t="s">
        <v>29</v>
      </c>
      <c r="C155" s="117" t="n">
        <v>1.464613625716479</v>
      </c>
      <c r="D155" s="86" t="n">
        <v>0.9961716191582657</v>
      </c>
      <c r="E155" s="87" t="n">
        <v>0.3198399894231861</v>
      </c>
      <c r="F155" s="88" t="n">
        <v>4.441590921570207</v>
      </c>
      <c r="G155" s="89" t="n">
        <v>2.032602485448961</v>
      </c>
      <c r="H155" s="90" t="n">
        <v>0.06757836172514176</v>
      </c>
      <c r="I155" s="90" t="n">
        <v>0.2335420664350685</v>
      </c>
      <c r="J155" s="90" t="n">
        <v>0.7038864322352683</v>
      </c>
      <c r="K155" s="86" t="n">
        <v>4.458660371516321</v>
      </c>
      <c r="L155" s="91" t="n">
        <v>0.9961716191582657</v>
      </c>
      <c r="M155" s="92" t="n">
        <v>0.3198399894231861</v>
      </c>
      <c r="N155" s="93" t="n">
        <v>3.229858830751024</v>
      </c>
      <c r="O155" s="94" t="n">
        <v>1.205263404654589</v>
      </c>
      <c r="P155" s="95" t="n">
        <v>3.242271480771712</v>
      </c>
      <c r="Q155" s="96" t="n"/>
      <c r="R155" s="96" t="n"/>
      <c r="U155" s="22" t="n"/>
      <c r="V155" s="32" t="n"/>
      <c r="W155" s="22" t="n"/>
      <c r="X155" s="22" t="n"/>
    </row>
    <row r="156" spans="1:114">
      <c r="C156" s="98" t="n"/>
      <c r="D156" s="86" t="n"/>
      <c r="F156" s="88" t="n"/>
      <c r="K156" s="86" t="n"/>
      <c r="L156" s="91" t="n"/>
      <c r="M156" s="92" t="n"/>
      <c r="N156" s="93" t="n"/>
      <c r="P156" s="95" t="n"/>
      <c r="Q156" s="96" t="n"/>
      <c r="R156" s="96" t="n"/>
    </row>
    <row r="157" spans="1:114">
      <c r="A157" t="s">
        <v>111</v>
      </c>
      <c r="B157" t="s">
        <v>24</v>
      </c>
      <c r="C157" s="118" t="n">
        <v>10.97013532720273</v>
      </c>
      <c r="D157" s="86" t="n">
        <v>8.295824911934419</v>
      </c>
      <c r="E157" s="87" t="n">
        <v>0.2437809867884494</v>
      </c>
      <c r="F157" s="88" t="n">
        <v>-63.99744622739726</v>
      </c>
      <c r="G157" s="89" t="n">
        <v>-6.833788218519264</v>
      </c>
      <c r="H157" s="90" t="n">
        <v>-0.03122341119790062</v>
      </c>
      <c r="I157" s="90" t="n">
        <v>0.9819282872018571</v>
      </c>
      <c r="J157" s="90" t="n">
        <v>4.970185650554682</v>
      </c>
      <c r="K157" s="86" t="n">
        <v>-7.714416216201741</v>
      </c>
      <c r="L157" s="91" t="n">
        <v>8.295824911934419</v>
      </c>
      <c r="M157" s="92" t="n">
        <v>0.2437809867884494</v>
      </c>
      <c r="N157" s="93" t="n">
        <v>-63.99744622739726</v>
      </c>
      <c r="O157" s="94" t="n">
        <v>-6.833788218519264</v>
      </c>
      <c r="P157" s="95" t="n">
        <v>-7.714416216201741</v>
      </c>
      <c r="Q157" s="96" t="n">
        <v>0.1178060187618964</v>
      </c>
      <c r="R157" s="96" t="n">
        <v>0.09047195962443003</v>
      </c>
      <c r="S157" s="131" t="n">
        <v>0.03170668784946994</v>
      </c>
      <c r="T157" t="n">
        <v>1604.47</v>
      </c>
      <c r="U157" s="42">
        <f>C157*S157</f>
        <v/>
      </c>
      <c r="V157" s="42">
        <f>Q157*(1-U157)+S157</f>
        <v/>
      </c>
      <c r="W157" s="42">
        <f>V157+I159/3</f>
        <v/>
      </c>
      <c r="X157" s="42">
        <f>V157+I159/5</f>
        <v/>
      </c>
    </row>
    <row r="158" spans="1:114">
      <c r="A158" t="s">
        <v>112</v>
      </c>
      <c r="B158" t="s">
        <v>26</v>
      </c>
      <c r="C158" s="121" t="n">
        <v>14.11542875118053</v>
      </c>
      <c r="D158" s="86" t="n">
        <v>10.16168943408545</v>
      </c>
      <c r="E158" s="87" t="n">
        <v>0.2801005471948141</v>
      </c>
      <c r="F158" s="88" t="n">
        <v>-18.79008006018823</v>
      </c>
      <c r="G158" s="89" t="n">
        <v>-2.331173171669811</v>
      </c>
      <c r="H158" s="90" t="n">
        <v>0.01664913026197956</v>
      </c>
      <c r="I158" s="90" t="n">
        <v>5.243165690082611</v>
      </c>
      <c r="J158" s="90" t="n">
        <v>-3.923166158220394</v>
      </c>
      <c r="K158" s="86" t="n">
        <v>-1.849109853442331</v>
      </c>
      <c r="L158" s="91" t="n">
        <v>10.16168943408545</v>
      </c>
      <c r="M158" s="92" t="n">
        <v>0.2801005471948141</v>
      </c>
      <c r="N158" s="93" t="n">
        <v>-18.79008006018823</v>
      </c>
      <c r="O158" s="94" t="n">
        <v>-2.331173171669811</v>
      </c>
      <c r="P158" s="95" t="n">
        <v>-1.849109853442331</v>
      </c>
      <c r="Q158" s="96" t="n"/>
      <c r="R158" s="96" t="n"/>
      <c r="U158" s="22" t="n"/>
      <c r="V158" s="32" t="n"/>
      <c r="W158" s="22" t="n"/>
      <c r="X158" s="22" t="n"/>
    </row>
    <row r="159" spans="1:114">
      <c r="A159" t="s">
        <v>113</v>
      </c>
      <c r="B159" t="s">
        <v>28</v>
      </c>
      <c r="C159" s="118" t="n">
        <v>1.292347968176987</v>
      </c>
      <c r="D159" s="86" t="n">
        <v>0.9963553611279097</v>
      </c>
      <c r="E159" s="87" t="n">
        <v>0.2290347602485195</v>
      </c>
      <c r="F159" s="88" t="n">
        <v>3.898009850004517</v>
      </c>
      <c r="G159" s="89" t="n">
        <v>2.016223142675057</v>
      </c>
      <c r="H159" s="90" t="n">
        <v>-0.09978231414497907</v>
      </c>
      <c r="I159" s="90" t="n">
        <v>0.005069231414924769</v>
      </c>
      <c r="J159" s="90" t="n">
        <v>0.163798093904866</v>
      </c>
      <c r="K159" s="86" t="n">
        <v>3.912268656427794</v>
      </c>
      <c r="L159" s="91" t="n">
        <v>0.9963553611279097</v>
      </c>
      <c r="M159" s="92" t="n">
        <v>0.2290347602485195</v>
      </c>
      <c r="N159" s="93" t="n">
        <v>3.898009850004517</v>
      </c>
      <c r="O159" s="94" t="n">
        <v>2.016223142675057</v>
      </c>
      <c r="P159" s="95" t="n">
        <v>3.912268656427794</v>
      </c>
      <c r="Q159" s="96" t="n"/>
      <c r="R159" s="96" t="n"/>
      <c r="U159" s="22" t="n"/>
      <c r="V159" s="32" t="n"/>
      <c r="W159" s="22" t="n"/>
      <c r="X159" s="22" t="n"/>
    </row>
    <row r="160" spans="1:114">
      <c r="B160" t="s">
        <v>29</v>
      </c>
      <c r="C160" s="118" t="n">
        <v>1.277050500058323</v>
      </c>
      <c r="D160" s="86" t="n">
        <v>0.9512237114758268</v>
      </c>
      <c r="E160" s="87" t="n">
        <v>0.2551400970968775</v>
      </c>
      <c r="F160" s="88" t="n">
        <v>4.281621128083826</v>
      </c>
      <c r="G160" s="89" t="n">
        <v>2.352742219581984</v>
      </c>
      <c r="H160" s="90" t="n">
        <v>-0.04309135357771066</v>
      </c>
      <c r="I160" s="90" t="n">
        <v>0.2078085351750101</v>
      </c>
      <c r="J160" s="90" t="n">
        <v>0.3244678094003346</v>
      </c>
      <c r="K160" s="86" t="n">
        <v>4.501171571344533</v>
      </c>
      <c r="L160" s="91" t="n">
        <v>0.9512237114758268</v>
      </c>
      <c r="M160" s="92" t="n">
        <v>0.2551400970968775</v>
      </c>
      <c r="N160" s="93" t="n">
        <v>4.281621128083826</v>
      </c>
      <c r="O160" s="94" t="n">
        <v>2.352742219581984</v>
      </c>
      <c r="P160" s="95" t="n">
        <v>4.501171571344533</v>
      </c>
      <c r="Q160" s="96" t="n"/>
      <c r="R160" s="96" t="n"/>
      <c r="U160" s="22" t="n"/>
      <c r="V160" s="32" t="n"/>
      <c r="W160" s="22" t="n"/>
      <c r="X160" s="22" t="n"/>
    </row>
    <row r="161" spans="1:114">
      <c r="C161" s="98" t="n"/>
      <c r="D161" s="86" t="n"/>
      <c r="F161" s="88" t="n"/>
      <c r="K161" s="86" t="n"/>
      <c r="L161" s="91" t="n"/>
      <c r="M161" s="92" t="n"/>
      <c r="N161" s="93" t="n"/>
      <c r="P161" s="95" t="n"/>
      <c r="Q161" s="96" t="n"/>
      <c r="R161" s="96" t="n"/>
    </row>
    <row r="162" spans="1:114">
      <c r="A162" t="s">
        <v>114</v>
      </c>
      <c r="B162" t="s">
        <v>24</v>
      </c>
      <c r="C162" s="118" t="n">
        <v>38.53521586980656</v>
      </c>
      <c r="D162" s="86" t="n">
        <v>24.19635399635473</v>
      </c>
      <c r="E162" s="87" t="n">
        <v>0.3720976138267006</v>
      </c>
      <c r="F162" s="88" t="n">
        <v>105.8214398789492</v>
      </c>
      <c r="G162" s="89" t="n">
        <v>1.746096978838084</v>
      </c>
      <c r="H162" s="90" t="n">
        <v>-0.1303394242064162</v>
      </c>
      <c r="I162" s="90" t="n">
        <v>0.1215815091942292</v>
      </c>
      <c r="J162" s="90" t="n">
        <v>0.4319343086548626</v>
      </c>
      <c r="K162" s="86" t="n">
        <v>4.37344568090265</v>
      </c>
      <c r="L162" s="91" t="n">
        <v>24.19635399635473</v>
      </c>
      <c r="M162" s="92" t="n">
        <v>0.3720976138267006</v>
      </c>
      <c r="N162" s="93" t="n">
        <v>105.8214398789492</v>
      </c>
      <c r="O162" s="94" t="n">
        <v>1.746096978838084</v>
      </c>
      <c r="P162" s="95" t="n">
        <v>4.37344568090265</v>
      </c>
      <c r="Q162" s="96" t="n">
        <v>0.1105275485171015</v>
      </c>
      <c r="R162" s="96" t="n">
        <v>0.1205662566731722</v>
      </c>
      <c r="S162" s="131" t="n">
        <v>0.007920056914746778</v>
      </c>
      <c r="T162" t="n">
        <v>2311.5</v>
      </c>
      <c r="U162" s="42">
        <f>C162*S162</f>
        <v/>
      </c>
      <c r="V162" s="42">
        <f>Q162*(1-U162)+S162</f>
        <v/>
      </c>
      <c r="W162" s="42">
        <f>V162+I164/3</f>
        <v/>
      </c>
      <c r="X162" s="42">
        <f>V162+I164/5</f>
        <v/>
      </c>
    </row>
    <row r="163" spans="1:114">
      <c r="A163" t="s">
        <v>115</v>
      </c>
      <c r="B163" t="s">
        <v>26</v>
      </c>
      <c r="C163" s="118" t="n">
        <v>32.14900352673441</v>
      </c>
      <c r="D163" s="86" t="n">
        <v>22.13792413646289</v>
      </c>
      <c r="E163" s="87" t="n">
        <v>0.3113962578014751</v>
      </c>
      <c r="F163" s="88" t="n">
        <v>107.5395267974449</v>
      </c>
      <c r="G163" s="89" t="n">
        <v>2.345034526747226</v>
      </c>
      <c r="H163" s="90" t="n">
        <v>-0.006067343520233415</v>
      </c>
      <c r="I163" s="90" t="n">
        <v>0.3123187322632244</v>
      </c>
      <c r="J163" s="90" t="n">
        <v>0.7379097601617866</v>
      </c>
      <c r="K163" s="86" t="n">
        <v>4.857705995130724</v>
      </c>
      <c r="L163" s="91" t="n">
        <v>22.13792413646289</v>
      </c>
      <c r="M163" s="92" t="n">
        <v>0.3113962578014751</v>
      </c>
      <c r="N163" s="93" t="n">
        <v>107.5395267974449</v>
      </c>
      <c r="O163" s="94" t="n">
        <v>2.345034526747226</v>
      </c>
      <c r="P163" s="95" t="n">
        <v>4.857705995130724</v>
      </c>
      <c r="Q163" s="96" t="n"/>
      <c r="R163" s="96" t="n"/>
      <c r="U163" s="22" t="n"/>
      <c r="V163" s="32" t="n"/>
      <c r="W163" s="22" t="n"/>
      <c r="X163" s="22" t="n"/>
    </row>
    <row r="164" spans="1:114">
      <c r="A164" t="s">
        <v>116</v>
      </c>
      <c r="B164" t="s">
        <v>28</v>
      </c>
      <c r="C164" s="120" t="n">
        <v>4.259202941667025</v>
      </c>
      <c r="D164" s="86" t="n">
        <v>3.02130843900122</v>
      </c>
      <c r="E164" s="87" t="n">
        <v>0.2906399435809229</v>
      </c>
      <c r="F164" s="88" t="n">
        <v>11.50354065039778</v>
      </c>
      <c r="G164" s="89" t="n">
        <v>1.700866995056913</v>
      </c>
      <c r="H164" s="90" t="n">
        <v>-0.1028541991721436</v>
      </c>
      <c r="I164" s="90" t="n">
        <v>-0.006731912114490757</v>
      </c>
      <c r="J164" s="90" t="n">
        <v>0.3044336919081196</v>
      </c>
      <c r="K164" s="86" t="n">
        <v>3.80746980410931</v>
      </c>
      <c r="L164" s="91" t="n">
        <v>3.02130843900122</v>
      </c>
      <c r="M164" s="92" t="n">
        <v>0.2906399435809229</v>
      </c>
      <c r="N164" s="93" t="n">
        <v>11.50354065039778</v>
      </c>
      <c r="O164" s="94" t="n">
        <v>1.700866995056913</v>
      </c>
      <c r="P164" s="95" t="n">
        <v>3.80746980410931</v>
      </c>
      <c r="Q164" s="96" t="n"/>
      <c r="R164" s="96" t="n"/>
      <c r="U164" s="22" t="n"/>
      <c r="V164" s="32" t="n"/>
      <c r="W164" s="22" t="n"/>
      <c r="X164" s="22" t="n"/>
    </row>
    <row r="165" spans="1:114">
      <c r="B165" t="s">
        <v>29</v>
      </c>
      <c r="C165" s="118" t="n">
        <v>3.876085010990979</v>
      </c>
      <c r="D165" s="86" t="n">
        <v>2.678753445081199</v>
      </c>
      <c r="E165" s="87" t="n">
        <v>0.3089022976830077</v>
      </c>
      <c r="F165" s="88" t="n">
        <v>11.35037603208613</v>
      </c>
      <c r="G165" s="89" t="n">
        <v>1.928309363675242</v>
      </c>
      <c r="H165" s="90" t="n">
        <v>-0.1240112000269759</v>
      </c>
      <c r="I165" s="90" t="n">
        <v>0.05378462578762999</v>
      </c>
      <c r="J165" s="90" t="n">
        <v>0.3580502915257886</v>
      </c>
      <c r="K165" s="86" t="n">
        <v>4.237185789878501</v>
      </c>
      <c r="L165" s="91" t="n">
        <v>2.678753445081199</v>
      </c>
      <c r="M165" s="92" t="n">
        <v>0.3089022976830077</v>
      </c>
      <c r="N165" s="93" t="n">
        <v>11.35037603208613</v>
      </c>
      <c r="O165" s="94" t="n">
        <v>1.928309363675242</v>
      </c>
      <c r="P165" s="95" t="n">
        <v>4.237185789878501</v>
      </c>
      <c r="Q165" s="96" t="n"/>
      <c r="R165" s="96" t="n"/>
      <c r="U165" s="22" t="n"/>
      <c r="V165" s="32" t="n"/>
      <c r="W165" s="22" t="n"/>
      <c r="X165" s="22" t="n"/>
    </row>
    <row r="166" spans="1:114">
      <c r="C166" s="98" t="n"/>
      <c r="D166" s="86" t="n"/>
      <c r="F166" s="88" t="n"/>
      <c r="K166" s="86" t="n"/>
      <c r="L166" s="91" t="n"/>
      <c r="M166" s="92" t="n"/>
      <c r="N166" s="93" t="n"/>
      <c r="P166" s="95" t="n"/>
      <c r="Q166" s="96" t="n"/>
      <c r="R166" s="96" t="n"/>
    </row>
    <row customFormat="1" r="167" s="22" spans="1:114">
      <c r="A167" s="22" t="s">
        <v>117</v>
      </c>
      <c r="B167" s="22" t="s">
        <v>24</v>
      </c>
      <c r="C167" s="115" t="n">
        <v>15.81360059236699</v>
      </c>
      <c r="D167" s="24" t="n">
        <v>10.29070475389787</v>
      </c>
      <c r="E167" s="35" t="n">
        <v>0.3492497364031661</v>
      </c>
      <c r="F167" s="25" t="n">
        <v>75.01463508569155</v>
      </c>
      <c r="G167" s="53" t="n">
        <v>3.743678370244161</v>
      </c>
      <c r="H167" s="26" t="n">
        <v>-0.2649818837382371</v>
      </c>
      <c r="I167" s="26" t="n">
        <v>-0.05527098807320963</v>
      </c>
      <c r="J167" s="26" t="n">
        <v>0.9455518433860555</v>
      </c>
      <c r="K167" s="24" t="n">
        <v>7.2895527448961</v>
      </c>
      <c r="L167" s="27" t="n">
        <v>10.47897173660447</v>
      </c>
      <c r="M167" s="38" t="n">
        <v>0.3373443527046888</v>
      </c>
      <c r="N167" s="28" t="n">
        <v>75.01463508569155</v>
      </c>
      <c r="O167" s="29" t="n">
        <v>3.743678370244161</v>
      </c>
      <c r="P167" s="30" t="n">
        <v>7.158587404492683</v>
      </c>
      <c r="Q167" s="31" t="n">
        <v>0.07610695470642585</v>
      </c>
      <c r="R167" s="31" t="n">
        <v>0.08089625639745361</v>
      </c>
      <c r="S167" s="32" t="n">
        <v>0.03436820068553976</v>
      </c>
      <c r="T167" s="22" t="n">
        <v>1920.64</v>
      </c>
      <c r="U167" s="42">
        <f>C167*S167</f>
        <v/>
      </c>
      <c r="V167" s="42">
        <f>Q167*(1-U167)+S167</f>
        <v/>
      </c>
      <c r="W167" s="42">
        <f>V167+I169/3</f>
        <v/>
      </c>
      <c r="X167" s="42">
        <f>V167+I169/5</f>
        <v/>
      </c>
    </row>
    <row customFormat="1" r="168" s="22" spans="1:114">
      <c r="A168" s="22" t="s">
        <v>118</v>
      </c>
      <c r="B168" s="22" t="s">
        <v>26</v>
      </c>
      <c r="C168" s="119" t="n">
        <v>17.2224634932691</v>
      </c>
      <c r="D168" s="24" t="n">
        <v>12.56154707425544</v>
      </c>
      <c r="E168" s="35" t="n">
        <v>0.2706300652537451</v>
      </c>
      <c r="F168" s="25" t="n">
        <v>-42.97691969374531</v>
      </c>
      <c r="G168" s="53" t="n">
        <v>-3.495399087972611</v>
      </c>
      <c r="H168" s="26" t="n">
        <v>0.2890922013079462</v>
      </c>
      <c r="I168" s="26" t="n">
        <v>0.6415477053301744</v>
      </c>
      <c r="J168" s="26" t="n">
        <v>32.4127706718354</v>
      </c>
      <c r="K168" s="24" t="n">
        <v>-3.421307856404517</v>
      </c>
      <c r="L168" s="27" t="n">
        <v>12.56154707425544</v>
      </c>
      <c r="M168" s="38" t="n">
        <v>0.2706300652537451</v>
      </c>
      <c r="N168" s="28" t="n">
        <v>-42.97691969374531</v>
      </c>
      <c r="O168" s="29" t="n">
        <v>-3.495399087972611</v>
      </c>
      <c r="P168" s="30" t="n">
        <v>-3.421307856404517</v>
      </c>
      <c r="Q168" s="31" t="n"/>
      <c r="R168" s="31" t="n"/>
      <c r="S168" s="32" t="n"/>
      <c r="V168" s="32" t="n"/>
    </row>
    <row customFormat="1" r="169" s="22" spans="1:114">
      <c r="A169" s="22" t="s">
        <v>49</v>
      </c>
      <c r="B169" s="22" t="s">
        <v>28</v>
      </c>
      <c r="C169" s="116" t="n">
        <v>1.203524984028784</v>
      </c>
      <c r="D169" s="24" t="n">
        <v>1.013560453163519</v>
      </c>
      <c r="E169" s="35" t="n">
        <v>0.1578401224620705</v>
      </c>
      <c r="F169" s="25" t="n">
        <v>2.296241631165402</v>
      </c>
      <c r="G169" s="53" t="n">
        <v>0.9079301731475184</v>
      </c>
      <c r="H169" s="26" t="n">
        <v>-0.01082830590566997</v>
      </c>
      <c r="I169" s="26" t="n">
        <v>0.08306576223921747</v>
      </c>
      <c r="J169" s="26" t="n">
        <v>0.3700066438996512</v>
      </c>
      <c r="K169" s="24" t="n">
        <v>2.265520151263189</v>
      </c>
      <c r="L169" s="27" t="n">
        <v>1.013560453163519</v>
      </c>
      <c r="M169" s="38" t="n">
        <v>0.1578401224620705</v>
      </c>
      <c r="N169" s="28" t="n">
        <v>2.166364175485552</v>
      </c>
      <c r="O169" s="29" t="n">
        <v>0.8000159566556539</v>
      </c>
      <c r="P169" s="30" t="n">
        <v>2.137380329632937</v>
      </c>
      <c r="Q169" s="31" t="n"/>
      <c r="R169" s="31" t="n"/>
      <c r="S169" s="32" t="n"/>
      <c r="V169" s="32" t="n"/>
    </row>
    <row customFormat="1" r="170" s="22" spans="1:114">
      <c r="B170" s="22" t="s">
        <v>29</v>
      </c>
      <c r="C170" s="119" t="n">
        <v>1.393232822547282</v>
      </c>
      <c r="D170" s="24" t="n">
        <v>1.041264726941787</v>
      </c>
      <c r="E170" s="35" t="n">
        <v>0.2526269047853633</v>
      </c>
      <c r="F170" s="25" t="n">
        <v>3.564334117912407</v>
      </c>
      <c r="G170" s="53" t="n">
        <v>1.558319083665893</v>
      </c>
      <c r="H170" s="26" t="n">
        <v>0.09487528416125723</v>
      </c>
      <c r="I170" s="26" t="n">
        <v>0.308996996735897</v>
      </c>
      <c r="J170" s="26" t="n">
        <v>0.5936856855233628</v>
      </c>
      <c r="K170" s="24" t="n">
        <v>3.423081590769834</v>
      </c>
      <c r="L170" s="27" t="n">
        <v>1.041264726941787</v>
      </c>
      <c r="M170" s="38" t="n">
        <v>0.2526269047853633</v>
      </c>
      <c r="N170" s="28" t="n">
        <v>3.253310955441056</v>
      </c>
      <c r="O170" s="29" t="n">
        <v>1.335080614518504</v>
      </c>
      <c r="P170" s="30" t="n">
        <v>3.124384098745081</v>
      </c>
      <c r="Q170" s="31" t="n"/>
      <c r="R170" s="31" t="n"/>
      <c r="S170" s="32" t="n"/>
      <c r="V170" s="32" t="n"/>
    </row>
    <row r="171" spans="1:114">
      <c r="C171" s="98" t="n"/>
      <c r="D171" s="86" t="n"/>
      <c r="F171" s="88" t="n"/>
      <c r="K171" s="86" t="n"/>
      <c r="L171" s="91" t="n"/>
      <c r="M171" s="92" t="n"/>
      <c r="N171" s="93" t="n"/>
      <c r="P171" s="95" t="n"/>
      <c r="Q171" s="96" t="n"/>
      <c r="R171" s="96" t="n"/>
    </row>
    <row r="172" spans="1:114">
      <c r="A172" t="s">
        <v>119</v>
      </c>
      <c r="B172" t="s">
        <v>24</v>
      </c>
      <c r="C172" s="117" t="n">
        <v>14.8435274912216</v>
      </c>
      <c r="D172" s="86" t="n">
        <v>9.898212884294193</v>
      </c>
      <c r="E172" s="87" t="n">
        <v>0.3331630308127259</v>
      </c>
      <c r="F172" s="88" t="n">
        <v>-147.0991574714262</v>
      </c>
      <c r="G172" s="89" t="n">
        <v>-10.90998652836531</v>
      </c>
      <c r="H172" s="90" t="n">
        <v>0.6257185319167962</v>
      </c>
      <c r="I172" s="90" t="n">
        <v>1.217082454672043</v>
      </c>
      <c r="J172" s="90" t="n">
        <v>4.46174618278555</v>
      </c>
      <c r="K172" s="86" t="n">
        <v>-14.86118344704761</v>
      </c>
      <c r="L172" s="91" t="n">
        <v>9.898212884294193</v>
      </c>
      <c r="M172" s="92" t="n">
        <v>0.3331630308127259</v>
      </c>
      <c r="N172" s="93" t="n">
        <v>1750.070490599495</v>
      </c>
      <c r="O172" s="94" t="n">
        <v>116.9012530299472</v>
      </c>
      <c r="P172" s="95" t="n">
        <v>176.8067136014408</v>
      </c>
      <c r="Q172" s="96" t="n">
        <v>0.1357010253923315</v>
      </c>
      <c r="R172" s="96" t="n">
        <v>0.1151123809207322</v>
      </c>
      <c r="S172" s="131" t="n">
        <v>0.01996307403235459</v>
      </c>
      <c r="T172" t="n">
        <v>2986.47</v>
      </c>
      <c r="U172" s="42">
        <f>C172*S172</f>
        <v/>
      </c>
      <c r="V172" s="42">
        <f>Q172*(1-U172)+S172</f>
        <v/>
      </c>
      <c r="W172" s="42">
        <f>V172+I174/3</f>
        <v/>
      </c>
      <c r="X172" s="42">
        <f>V172+I174/5</f>
        <v/>
      </c>
    </row>
    <row r="173" spans="1:114">
      <c r="A173" t="s">
        <v>120</v>
      </c>
      <c r="B173" t="s">
        <v>26</v>
      </c>
      <c r="C173" s="117" t="n">
        <v>17.0443116780724</v>
      </c>
      <c r="D173" s="86" t="n">
        <v>10.76094912763722</v>
      </c>
      <c r="E173" s="87" t="n">
        <v>0.3686486535281305</v>
      </c>
      <c r="F173" s="88" t="n">
        <v>-149.8889227469785</v>
      </c>
      <c r="G173" s="89" t="n">
        <v>-9.794073094768114</v>
      </c>
      <c r="H173" s="90" t="n">
        <v>0.6969658361098736</v>
      </c>
      <c r="I173" s="90" t="n">
        <v>1.556843672263398</v>
      </c>
      <c r="J173" s="90" t="n">
        <v>5.543725251457651</v>
      </c>
      <c r="K173" s="86" t="n">
        <v>-13.9289686224815</v>
      </c>
      <c r="L173" s="91" t="n">
        <v>10.76094912763722</v>
      </c>
      <c r="M173" s="92" t="n">
        <v>0.3686486535281305</v>
      </c>
      <c r="N173" s="93" t="n">
        <v>-182.0726867152758</v>
      </c>
      <c r="O173" s="94" t="n">
        <v>-11.68231385075604</v>
      </c>
      <c r="P173" s="95" t="n">
        <v>-16.91976093889903</v>
      </c>
      <c r="Q173" s="96" t="n"/>
      <c r="R173" s="96" t="n"/>
      <c r="U173" s="22" t="n"/>
      <c r="V173" s="32" t="n"/>
      <c r="W173" s="22" t="n"/>
      <c r="X173" s="22" t="n"/>
    </row>
    <row r="174" spans="1:114">
      <c r="A174" t="s">
        <v>61</v>
      </c>
      <c r="B174" t="s">
        <v>28</v>
      </c>
      <c r="C174" s="118" t="n">
        <v>2.014281900998033</v>
      </c>
      <c r="D174" s="86" t="n">
        <v>1.3605599990747</v>
      </c>
      <c r="E174" s="87" t="n">
        <v>0.3245434025889961</v>
      </c>
      <c r="F174" s="88" t="n">
        <v>3.89002338941868</v>
      </c>
      <c r="G174" s="89" t="n">
        <v>0.9312209415629746</v>
      </c>
      <c r="H174" s="90" t="n">
        <v>-0.1413389890020773</v>
      </c>
      <c r="I174" s="90" t="n">
        <v>0.02936635919997244</v>
      </c>
      <c r="J174" s="90" t="n">
        <v>0.3605992642433751</v>
      </c>
      <c r="K174" s="86" t="n">
        <v>2.859134027212498</v>
      </c>
      <c r="L174" s="91" t="n">
        <v>1.411961167108882</v>
      </c>
      <c r="M174" s="92" t="n">
        <v>0.2990250439080617</v>
      </c>
      <c r="N174" s="93" t="n">
        <v>3.683034442575338</v>
      </c>
      <c r="O174" s="94" t="n">
        <v>0.8284602769604763</v>
      </c>
      <c r="P174" s="95" t="n">
        <v>2.608453071069004</v>
      </c>
      <c r="Q174" s="96" t="n"/>
      <c r="R174" s="96" t="n"/>
      <c r="U174" s="22" t="n"/>
      <c r="V174" s="32" t="n"/>
      <c r="W174" s="22" t="n"/>
      <c r="X174" s="22" t="n"/>
    </row>
    <row r="175" spans="1:114">
      <c r="A175" t="n">
        <v>3.16</v>
      </c>
      <c r="B175" t="s">
        <v>29</v>
      </c>
      <c r="C175" s="118" t="n">
        <v>1.962011298417954</v>
      </c>
      <c r="D175" s="86" t="n">
        <v>1.349067224550342</v>
      </c>
      <c r="E175" s="87" t="n">
        <v>0.3124059858176415</v>
      </c>
      <c r="F175" s="88" t="n">
        <v>4.135778992909477</v>
      </c>
      <c r="G175" s="89" t="n">
        <v>1.107928224594994</v>
      </c>
      <c r="H175" s="90" t="n">
        <v>-0.1444833535142493</v>
      </c>
      <c r="I175" s="90" t="n">
        <v>0.07691402645235024</v>
      </c>
      <c r="J175" s="90" t="n">
        <v>0.4083212361906812</v>
      </c>
      <c r="K175" s="86" t="n">
        <v>3.065658195267455</v>
      </c>
      <c r="L175" s="91" t="n">
        <v>1.389196770423255</v>
      </c>
      <c r="M175" s="92" t="n">
        <v>0.2919527163052432</v>
      </c>
      <c r="N175" s="93" t="n">
        <v>4.135778992909477</v>
      </c>
      <c r="O175" s="94" t="n">
        <v>1.107928224594994</v>
      </c>
      <c r="P175" s="95" t="n">
        <v>2.977100926925855</v>
      </c>
      <c r="Q175" s="96" t="n"/>
      <c r="R175" s="96" t="n"/>
      <c r="U175" s="22" t="n"/>
      <c r="V175" s="32" t="n"/>
      <c r="W175" s="22" t="n"/>
      <c r="X175" s="22" t="n"/>
    </row>
    <row r="176" spans="1:114">
      <c r="C176" s="98" t="n"/>
      <c r="D176" s="86" t="n"/>
      <c r="F176" s="88" t="n"/>
      <c r="K176" s="86" t="n"/>
      <c r="L176" s="91" t="n"/>
      <c r="M176" s="92" t="n"/>
      <c r="N176" s="93" t="n"/>
      <c r="P176" s="95" t="n"/>
      <c r="Q176" s="96" t="n"/>
      <c r="R176" s="96" t="n"/>
    </row>
    <row customFormat="1" r="177" s="22" spans="1:114">
      <c r="A177" s="22" t="s">
        <v>121</v>
      </c>
      <c r="B177" s="22" t="s">
        <v>24</v>
      </c>
      <c r="C177" s="119" t="n">
        <v>17.72862813232744</v>
      </c>
      <c r="D177" s="24" t="n">
        <v>11.81686650276674</v>
      </c>
      <c r="E177" s="35" t="n">
        <v>0.3334584935413496</v>
      </c>
      <c r="F177" s="25" t="n">
        <v>-1000.927465520009</v>
      </c>
      <c r="G177" s="53" t="n">
        <v>-57.45825825038647</v>
      </c>
      <c r="H177" s="26" t="n">
        <v>0.4063960268499489</v>
      </c>
      <c r="I177" s="26" t="n">
        <v>1.142226153193982</v>
      </c>
      <c r="J177" s="26" t="n">
        <v>3.876383008512927</v>
      </c>
      <c r="K177" s="24" t="n">
        <v>-84.70328959759826</v>
      </c>
      <c r="L177" s="27" t="n">
        <v>11.81686650276674</v>
      </c>
      <c r="M177" s="38" t="n">
        <v>0.3334584935413496</v>
      </c>
      <c r="N177" s="28" t="n">
        <v>-1000.927465520009</v>
      </c>
      <c r="O177" s="29" t="n">
        <v>-57.45825825038647</v>
      </c>
      <c r="P177" s="30" t="n">
        <v>-84.70328959759826</v>
      </c>
      <c r="Q177" s="31" t="n">
        <v>0.1213391169782422</v>
      </c>
      <c r="R177" s="31" t="n">
        <v>0.08876872145629743</v>
      </c>
      <c r="S177" s="32" t="n">
        <v>0.016302214044727</v>
      </c>
      <c r="T177" s="22" t="n">
        <v>3205.76</v>
      </c>
      <c r="U177" s="42">
        <f>C177*S177</f>
        <v/>
      </c>
      <c r="V177" s="42">
        <f>Q177*(1-U177)+S177</f>
        <v/>
      </c>
      <c r="W177" s="42">
        <f>V177+I179/3</f>
        <v/>
      </c>
      <c r="X177" s="42">
        <f>V177+I179/5</f>
        <v/>
      </c>
    </row>
    <row customFormat="1" r="178" s="22" spans="1:114">
      <c r="A178" s="22" t="s">
        <v>122</v>
      </c>
      <c r="B178" s="22" t="s">
        <v>26</v>
      </c>
      <c r="C178" s="119" t="n">
        <v>25.78469852311892</v>
      </c>
      <c r="D178" s="24" t="n">
        <v>16.67259377508076</v>
      </c>
      <c r="E178" s="35" t="n">
        <v>0.3533919444459712</v>
      </c>
      <c r="F178" s="25" t="n">
        <v>-624.707089814242</v>
      </c>
      <c r="G178" s="53" t="n">
        <v>-25.22782214242764</v>
      </c>
      <c r="H178" s="26" t="n">
        <v>0.2992666194726861</v>
      </c>
      <c r="I178" s="26" t="n">
        <v>1.234127728222309</v>
      </c>
      <c r="J178" s="26" t="n">
        <v>3.505793063036638</v>
      </c>
      <c r="K178" s="24" t="n">
        <v>-37.46910038364537</v>
      </c>
      <c r="L178" s="27" t="n">
        <v>16.67259377508076</v>
      </c>
      <c r="M178" s="38" t="n">
        <v>0.3533919444459712</v>
      </c>
      <c r="N178" s="28" t="n">
        <v>-624.707089814242</v>
      </c>
      <c r="O178" s="29" t="n">
        <v>-25.22782214242764</v>
      </c>
      <c r="P178" s="30" t="n">
        <v>-37.46910038364537</v>
      </c>
      <c r="Q178" s="31" t="n"/>
      <c r="R178" s="31" t="n"/>
      <c r="S178" s="32" t="n"/>
      <c r="V178" s="32" t="n"/>
    </row>
    <row customFormat="1" r="179" s="22" spans="1:114">
      <c r="A179" s="22" t="s">
        <v>49</v>
      </c>
      <c r="B179" s="22" t="s">
        <v>28</v>
      </c>
      <c r="C179" s="116" t="n">
        <v>2.151176082812234</v>
      </c>
      <c r="D179" s="24" t="n">
        <v>1.464756223752472</v>
      </c>
      <c r="E179" s="35" t="n">
        <v>0.319090503350337</v>
      </c>
      <c r="F179" s="25" t="n">
        <v>4.259158288021303</v>
      </c>
      <c r="G179" s="53" t="n">
        <v>0.9799208079950863</v>
      </c>
      <c r="H179" s="26" t="n">
        <v>-0.1922690789668563</v>
      </c>
      <c r="I179" s="26" t="n">
        <v>0.01576922336242936</v>
      </c>
      <c r="J179" s="26" t="n">
        <v>0.1903878337788469</v>
      </c>
      <c r="K179" s="24" t="n">
        <v>2.907759133536923</v>
      </c>
      <c r="L179" s="27" t="n">
        <v>1.503396507087904</v>
      </c>
      <c r="M179" s="38" t="n">
        <v>0.3011281042496005</v>
      </c>
      <c r="N179" s="28" t="n">
        <v>4.259158288021303</v>
      </c>
      <c r="O179" s="29" t="n">
        <v>0.9799208079950863</v>
      </c>
      <c r="P179" s="30" t="n">
        <v>2.833023934764449</v>
      </c>
      <c r="Q179" s="31" t="n"/>
      <c r="R179" s="31" t="n"/>
      <c r="S179" s="32" t="n"/>
      <c r="V179" s="32" t="n"/>
    </row>
    <row customFormat="1" r="180" s="22" spans="1:114">
      <c r="A180" s="22" t="n">
        <v>3.4</v>
      </c>
      <c r="B180" s="22" t="s">
        <v>29</v>
      </c>
      <c r="C180" s="116" t="n">
        <v>2.288874721033347</v>
      </c>
      <c r="D180" s="24" t="n">
        <v>1.557486469451629</v>
      </c>
      <c r="E180" s="35" t="n">
        <v>0.3195405344210021</v>
      </c>
      <c r="F180" s="25" t="n">
        <v>4.998691692216314</v>
      </c>
      <c r="G180" s="53" t="n">
        <v>1.183907946678523</v>
      </c>
      <c r="H180" s="26" t="n">
        <v>-0.1866795118961444</v>
      </c>
      <c r="I180" s="26" t="n">
        <v>0.04057894259637451</v>
      </c>
      <c r="J180" s="26" t="n">
        <v>0.2620457425168721</v>
      </c>
      <c r="K180" s="24" t="n">
        <v>3.209460749907052</v>
      </c>
      <c r="L180" s="27" t="n">
        <v>1.581633623054554</v>
      </c>
      <c r="M180" s="38" t="n">
        <v>0.3089907418172272</v>
      </c>
      <c r="N180" s="28" t="n">
        <v>4.998691692216314</v>
      </c>
      <c r="O180" s="29" t="n">
        <v>1.183907946678523</v>
      </c>
      <c r="P180" s="30" t="n">
        <v>3.160461196166602</v>
      </c>
      <c r="Q180" s="31" t="n"/>
      <c r="R180" s="31" t="n"/>
      <c r="S180" s="32" t="n"/>
      <c r="V180" s="32" t="n"/>
    </row>
    <row r="181" spans="1:114">
      <c r="C181" s="98" t="n"/>
      <c r="D181" s="86" t="n"/>
      <c r="F181" s="88" t="n"/>
      <c r="K181" s="86" t="n"/>
      <c r="L181" s="91" t="n"/>
      <c r="M181" s="92" t="n"/>
      <c r="N181" s="93" t="n"/>
      <c r="P181" s="95" t="n"/>
      <c r="Q181" s="96" t="n"/>
      <c r="R181" s="96" t="n"/>
    </row>
    <row r="182" spans="1:114">
      <c r="A182" t="s">
        <v>123</v>
      </c>
      <c r="B182" t="s">
        <v>24</v>
      </c>
      <c r="C182" s="118" t="n">
        <v>15.96674356420878</v>
      </c>
      <c r="D182" s="86" t="n">
        <v>10.19140518126985</v>
      </c>
      <c r="E182" s="87" t="n">
        <v>0.3617104740057948</v>
      </c>
      <c r="F182" s="88" t="n">
        <v>68.96474952127538</v>
      </c>
      <c r="G182" s="89" t="n">
        <v>3.319274574927569</v>
      </c>
      <c r="H182" s="90" t="n">
        <v>-0.2514221637684473</v>
      </c>
      <c r="I182" s="90" t="n">
        <v>0.0101073239589009</v>
      </c>
      <c r="J182" s="90" t="n">
        <v>0.6469384724708176</v>
      </c>
      <c r="K182" s="86" t="n">
        <v>6.766951984994317</v>
      </c>
      <c r="L182" s="91" t="n">
        <v>10.31857388756363</v>
      </c>
      <c r="M182" s="92" t="n">
        <v>0.3537458752269407</v>
      </c>
      <c r="N182" s="93" t="n">
        <v>68.96474952127538</v>
      </c>
      <c r="O182" s="94" t="n">
        <v>3.319274574927569</v>
      </c>
      <c r="P182" s="95" t="n">
        <v>6.683554362526256</v>
      </c>
      <c r="Q182" s="96" t="n">
        <v>0.07428978427124351</v>
      </c>
      <c r="R182" s="96" t="n">
        <v>0.08301728103078487</v>
      </c>
      <c r="S182" s="131" t="n">
        <v>0.0358044769892978</v>
      </c>
      <c r="T182" t="n">
        <v>2101.35</v>
      </c>
      <c r="U182" s="42">
        <f>C182*S182</f>
        <v/>
      </c>
      <c r="V182" s="42">
        <f>Q182*(1-U182)+S182</f>
        <v/>
      </c>
      <c r="W182" s="42">
        <f>V182+I184/3</f>
        <v/>
      </c>
      <c r="X182" s="42">
        <f>V182+I184/5</f>
        <v/>
      </c>
    </row>
    <row r="183" spans="1:114">
      <c r="A183" t="s">
        <v>124</v>
      </c>
      <c r="B183" t="s">
        <v>26</v>
      </c>
      <c r="C183" s="117" t="n">
        <v>15.99228850082378</v>
      </c>
      <c r="D183" s="86" t="n">
        <v>11.57773244940856</v>
      </c>
      <c r="E183" s="87" t="n">
        <v>0.276042797201152</v>
      </c>
      <c r="F183" s="88" t="n">
        <v>-86.85644566637211</v>
      </c>
      <c r="G183" s="89" t="n">
        <v>-6.431145496274537</v>
      </c>
      <c r="H183" s="90" t="n">
        <v>0.2732310340845698</v>
      </c>
      <c r="I183" s="90" t="n">
        <v>0.5987515342988028</v>
      </c>
      <c r="J183" s="90" t="n">
        <v>3.137391922576032</v>
      </c>
      <c r="K183" s="86" t="n">
        <v>-7.502025638086764</v>
      </c>
      <c r="L183" s="91" t="n">
        <v>11.57773244940856</v>
      </c>
      <c r="M183" s="92" t="n">
        <v>0.276042797201152</v>
      </c>
      <c r="N183" s="93" t="n">
        <v>-86.85644566637211</v>
      </c>
      <c r="O183" s="94" t="n">
        <v>-6.431145496274537</v>
      </c>
      <c r="P183" s="95" t="n">
        <v>-7.502025638086764</v>
      </c>
      <c r="Q183" s="96" t="n"/>
      <c r="R183" s="96" t="n"/>
      <c r="U183" s="22" t="n"/>
      <c r="V183" s="32" t="n"/>
      <c r="W183" s="22" t="n"/>
      <c r="X183" s="22" t="n"/>
    </row>
    <row r="184" spans="1:114">
      <c r="A184" t="s">
        <v>61</v>
      </c>
      <c r="B184" t="s">
        <v>28</v>
      </c>
      <c r="C184" s="117" t="n">
        <v>1.186165934899336</v>
      </c>
      <c r="D184" s="86" t="n">
        <v>1.008435054268601</v>
      </c>
      <c r="E184" s="87" t="n">
        <v>0.1498364397438359</v>
      </c>
      <c r="F184" s="88" t="n">
        <v>4.198193183478383</v>
      </c>
      <c r="G184" s="89" t="n">
        <v>2.539296703740411</v>
      </c>
      <c r="H184" s="90" t="n">
        <v>0.01026787178181743</v>
      </c>
      <c r="I184" s="90" t="n">
        <v>0.1204697500205567</v>
      </c>
      <c r="J184" s="90" t="n">
        <v>0.8920843862786976</v>
      </c>
      <c r="K184" s="86" t="n">
        <v>4.163077399687633</v>
      </c>
      <c r="L184" s="91" t="n">
        <v>1.008435054268601</v>
      </c>
      <c r="M184" s="92" t="n">
        <v>0.1498364397438359</v>
      </c>
      <c r="N184" s="93" t="n">
        <v>2.142434288020011</v>
      </c>
      <c r="O184" s="94" t="n">
        <v>0.8061842993339956</v>
      </c>
      <c r="P184" s="95" t="n">
        <v>2.124513897996018</v>
      </c>
      <c r="Q184" s="96" t="n"/>
      <c r="R184" s="96" t="n"/>
      <c r="U184" s="22" t="n"/>
      <c r="V184" s="32" t="n"/>
      <c r="W184" s="22" t="n"/>
      <c r="X184" s="22" t="n"/>
    </row>
    <row r="185" spans="1:114">
      <c r="A185" t="n">
        <v>6.44</v>
      </c>
      <c r="B185" t="s">
        <v>29</v>
      </c>
      <c r="C185" s="117" t="n">
        <v>1.327636308798277</v>
      </c>
      <c r="D185" s="86" t="n">
        <v>0.9856058975619808</v>
      </c>
      <c r="E185" s="87" t="n">
        <v>0.2576235742948972</v>
      </c>
      <c r="F185" s="88" t="n">
        <v>4.900865164971971</v>
      </c>
      <c r="G185" s="89" t="n">
        <v>2.691421462710701</v>
      </c>
      <c r="H185" s="90" t="n">
        <v>0.08192347951976608</v>
      </c>
      <c r="I185" s="90" t="n">
        <v>0.3291257277677806</v>
      </c>
      <c r="J185" s="90" t="n">
        <v>1.36594898883326</v>
      </c>
      <c r="K185" s="86" t="n">
        <v>4.972438960739655</v>
      </c>
      <c r="L185" s="91" t="n">
        <v>0.9856058975619808</v>
      </c>
      <c r="M185" s="92" t="n">
        <v>0.2576235742948972</v>
      </c>
      <c r="N185" s="93" t="n">
        <v>2.904408678032608</v>
      </c>
      <c r="O185" s="94" t="n">
        <v>1.187653846753832</v>
      </c>
      <c r="P185" s="95" t="n">
        <v>2.946825587404688</v>
      </c>
      <c r="Q185" s="96" t="n"/>
      <c r="R185" s="96" t="n"/>
      <c r="U185" s="22" t="n"/>
      <c r="V185" s="32" t="n"/>
      <c r="W185" s="22" t="n"/>
      <c r="X185" s="22" t="n"/>
    </row>
    <row r="186" spans="1:114">
      <c r="C186" s="98" t="n"/>
      <c r="D186" s="86" t="n"/>
      <c r="F186" s="88" t="n"/>
      <c r="K186" s="86" t="n"/>
      <c r="L186" s="91" t="n"/>
      <c r="M186" s="92" t="n"/>
      <c r="N186" s="93" t="n"/>
      <c r="P186" s="95" t="n"/>
      <c r="Q186" s="96" t="n"/>
      <c r="R186" s="96" t="n"/>
    </row>
    <row r="187" spans="1:114">
      <c r="A187" t="s">
        <v>125</v>
      </c>
      <c r="B187" t="s">
        <v>24</v>
      </c>
      <c r="C187" s="120" t="n">
        <v>22.8266084556336</v>
      </c>
      <c r="D187" s="86" t="n">
        <v>14.67349387030335</v>
      </c>
      <c r="E187" s="87" t="n">
        <v>0.3571759072828038</v>
      </c>
      <c r="F187" s="88" t="n">
        <v>59.76774157567507</v>
      </c>
      <c r="G187" s="89" t="n">
        <v>1.618336477442158</v>
      </c>
      <c r="H187" s="90" t="n">
        <v>-0.2005004435898143</v>
      </c>
      <c r="I187" s="90" t="n">
        <v>-0.06512618810430348</v>
      </c>
      <c r="J187" s="90" t="n">
        <v>0.4262659967878342</v>
      </c>
      <c r="K187" s="86" t="n">
        <v>4.073177261254377</v>
      </c>
      <c r="L187" s="91" t="n">
        <v>15.87567226328508</v>
      </c>
      <c r="M187" s="92" t="n">
        <v>0.3045102475848984</v>
      </c>
      <c r="N187" s="93" t="n">
        <v>59.76774157567507</v>
      </c>
      <c r="O187" s="94" t="n">
        <v>1.618336477442158</v>
      </c>
      <c r="P187" s="95" t="n">
        <v>3.764737680677443</v>
      </c>
      <c r="Q187" s="96" t="n">
        <v>0.08839909253226569</v>
      </c>
      <c r="R187" s="96" t="n">
        <v>0.06543472598905524</v>
      </c>
      <c r="S187" s="131" t="n">
        <v>0.01235882508101896</v>
      </c>
      <c r="T187" t="n">
        <v>3306.26</v>
      </c>
      <c r="U187" s="42">
        <f>C187*S187</f>
        <v/>
      </c>
      <c r="V187" s="42">
        <f>Q187*(1-U187)+S187</f>
        <v/>
      </c>
      <c r="W187" s="42">
        <f>V187+I189/3</f>
        <v/>
      </c>
      <c r="X187" s="42">
        <f>V187+I189/5</f>
        <v/>
      </c>
    </row>
    <row r="188" spans="1:114">
      <c r="A188" t="s">
        <v>126</v>
      </c>
      <c r="B188" t="s">
        <v>26</v>
      </c>
      <c r="C188" s="118" t="n">
        <v>34.39011830714195</v>
      </c>
      <c r="D188" s="86" t="n">
        <v>21.92363521994467</v>
      </c>
      <c r="E188" s="87" t="n">
        <v>0.3625018959184072</v>
      </c>
      <c r="F188" s="88" t="n">
        <v>96.35674853515593</v>
      </c>
      <c r="G188" s="89" t="n">
        <v>1.801873133281577</v>
      </c>
      <c r="H188" s="90" t="n">
        <v>-0.1612561917520494</v>
      </c>
      <c r="I188" s="90" t="n">
        <v>0.03073122154171259</v>
      </c>
      <c r="J188" s="90" t="n">
        <v>0.6187379050404869</v>
      </c>
      <c r="K188" s="86" t="n">
        <v>4.395108182036204</v>
      </c>
      <c r="L188" s="91" t="n">
        <v>23.84527476023128</v>
      </c>
      <c r="M188" s="92" t="n">
        <v>0.3066242300399641</v>
      </c>
      <c r="N188" s="93" t="n">
        <v>96.35674853515593</v>
      </c>
      <c r="O188" s="94" t="n">
        <v>1.801873133281577</v>
      </c>
      <c r="P188" s="95" t="n">
        <v>4.040915841987192</v>
      </c>
      <c r="Q188" s="96" t="n"/>
      <c r="R188" s="96" t="n"/>
      <c r="U188" s="22" t="n"/>
      <c r="V188" s="32" t="n"/>
      <c r="W188" s="22" t="n"/>
      <c r="X188" s="22" t="n"/>
    </row>
    <row r="189" spans="1:114">
      <c r="A189" t="s">
        <v>49</v>
      </c>
      <c r="B189" t="s">
        <v>28</v>
      </c>
      <c r="C189" s="118" t="n">
        <v>2.017851473067353</v>
      </c>
      <c r="D189" s="86" t="n">
        <v>1.441065177430431</v>
      </c>
      <c r="E189" s="87" t="n">
        <v>0.2858417992282378</v>
      </c>
      <c r="F189" s="88" t="n">
        <v>5.037175701110369</v>
      </c>
      <c r="G189" s="89" t="n">
        <v>1.496306476637409</v>
      </c>
      <c r="H189" s="90" t="n">
        <v>-0.157351343955295</v>
      </c>
      <c r="I189" s="90" t="n">
        <v>0.03823489791626677</v>
      </c>
      <c r="J189" s="90" t="n">
        <v>0.2843152030442722</v>
      </c>
      <c r="K189" s="86" t="n">
        <v>3.495453071798028</v>
      </c>
      <c r="L189" s="91" t="n">
        <v>1.477658736315122</v>
      </c>
      <c r="M189" s="92" t="n">
        <v>0.2677068872324283</v>
      </c>
      <c r="N189" s="93" t="n">
        <v>5.037175701110369</v>
      </c>
      <c r="O189" s="94" t="n">
        <v>1.496306476637409</v>
      </c>
      <c r="P189" s="95" t="n">
        <v>3.408889737065889</v>
      </c>
      <c r="Q189" s="96" t="n"/>
      <c r="R189" s="96" t="n"/>
      <c r="U189" s="22" t="n"/>
      <c r="V189" s="32" t="n"/>
      <c r="W189" s="22" t="n"/>
      <c r="X189" s="22" t="n"/>
    </row>
    <row r="190" spans="1:114">
      <c r="B190" t="s">
        <v>29</v>
      </c>
      <c r="C190" s="118" t="n">
        <v>2.250307968159026</v>
      </c>
      <c r="D190" s="86" t="n">
        <v>1.534025138675637</v>
      </c>
      <c r="E190" s="87" t="n">
        <v>0.3183043563896631</v>
      </c>
      <c r="F190" s="88" t="n">
        <v>6.112525343703571</v>
      </c>
      <c r="G190" s="89" t="n">
        <v>1.716306136845891</v>
      </c>
      <c r="H190" s="90" t="n">
        <v>-0.1155917061621955</v>
      </c>
      <c r="I190" s="90" t="n">
        <v>0.08034960530264912</v>
      </c>
      <c r="J190" s="90" t="n">
        <v>0.4192119046169955</v>
      </c>
      <c r="K190" s="86" t="n">
        <v>3.984631796178172</v>
      </c>
      <c r="L190" s="91" t="n">
        <v>1.534025138675637</v>
      </c>
      <c r="M190" s="92" t="n">
        <v>0.3183043563896631</v>
      </c>
      <c r="N190" s="93" t="n">
        <v>6.112525343703571</v>
      </c>
      <c r="O190" s="94" t="n">
        <v>1.716306136845891</v>
      </c>
      <c r="P190" s="95" t="n">
        <v>3.984631796178172</v>
      </c>
      <c r="Q190" s="96" t="n"/>
      <c r="R190" s="96" t="n"/>
      <c r="U190" s="22" t="n"/>
      <c r="V190" s="32" t="n"/>
      <c r="W190" s="22" t="n"/>
      <c r="X190" s="22" t="n"/>
    </row>
    <row r="191" spans="1:114">
      <c r="C191" s="98" t="n"/>
      <c r="D191" s="86" t="n"/>
      <c r="F191" s="88" t="n"/>
      <c r="K191" s="86" t="n"/>
      <c r="L191" s="91" t="n"/>
      <c r="M191" s="92" t="n"/>
      <c r="N191" s="93" t="n"/>
      <c r="P191" s="95" t="n"/>
      <c r="Q191" s="96" t="n"/>
      <c r="R191" s="96" t="n"/>
    </row>
    <row r="192" spans="1:114">
      <c r="A192" t="s">
        <v>127</v>
      </c>
      <c r="B192" t="s">
        <v>24</v>
      </c>
      <c r="C192" s="118" t="n">
        <v>19.21278986983541</v>
      </c>
      <c r="D192" s="86" t="n">
        <v>13.27898721848213</v>
      </c>
      <c r="E192" s="87" t="n">
        <v>0.3088464867181784</v>
      </c>
      <c r="F192" s="88" t="n">
        <v>71.31287413389524</v>
      </c>
      <c r="G192" s="89" t="n">
        <v>2.711739659728353</v>
      </c>
      <c r="H192" s="90" t="n">
        <v>-0.1704857536890595</v>
      </c>
      <c r="I192" s="90" t="n">
        <v>0.1609142903241938</v>
      </c>
      <c r="J192" s="90" t="n">
        <v>0.4426040839850585</v>
      </c>
      <c r="K192" s="86" t="n">
        <v>5.370354904374003</v>
      </c>
      <c r="L192" s="91" t="n">
        <v>13.84250582756463</v>
      </c>
      <c r="M192" s="92" t="n">
        <v>0.2795160972796702</v>
      </c>
      <c r="N192" s="93" t="n">
        <v>49.64696377431917</v>
      </c>
      <c r="O192" s="94" t="n">
        <v>1.5840580212802</v>
      </c>
      <c r="P192" s="95" t="n">
        <v>3.586558993925579</v>
      </c>
      <c r="Q192" s="96" t="n">
        <v>0.09602861102224465</v>
      </c>
      <c r="R192" s="96" t="n">
        <v>0.07915862228260734</v>
      </c>
      <c r="S192" s="131" t="n">
        <v>0.01381518829666896</v>
      </c>
      <c r="T192" t="n">
        <v>3027.58</v>
      </c>
      <c r="U192" s="42">
        <f>C192*S192</f>
        <v/>
      </c>
      <c r="V192" s="42">
        <f>Q192*(1-U192)+S192</f>
        <v/>
      </c>
      <c r="W192" s="42">
        <f>V192+I194/3</f>
        <v/>
      </c>
      <c r="X192" s="42">
        <f>V192+I194/5</f>
        <v/>
      </c>
    </row>
    <row r="193" spans="1:114">
      <c r="A193" t="s">
        <v>128</v>
      </c>
      <c r="B193" t="s">
        <v>26</v>
      </c>
      <c r="C193" s="118" t="n">
        <v>24.15137351222392</v>
      </c>
      <c r="D193" s="86" t="n">
        <v>17.42851126664771</v>
      </c>
      <c r="E193" s="87" t="n">
        <v>0.278363557342754</v>
      </c>
      <c r="F193" s="88" t="n">
        <v>65.66271748936501</v>
      </c>
      <c r="G193" s="89" t="n">
        <v>1.718798475628337</v>
      </c>
      <c r="H193" s="90" t="n">
        <v>-0.07061903861250318</v>
      </c>
      <c r="I193" s="90" t="n">
        <v>0.2209034651984843</v>
      </c>
      <c r="J193" s="90" t="n">
        <v>0.6672295016680332</v>
      </c>
      <c r="K193" s="86" t="n">
        <v>3.767545975944675</v>
      </c>
      <c r="L193" s="91" t="n">
        <v>17.8757359402752</v>
      </c>
      <c r="M193" s="92" t="n">
        <v>0.2598459904887971</v>
      </c>
      <c r="N193" s="93" t="n">
        <v>65.66271748936501</v>
      </c>
      <c r="O193" s="94" t="n">
        <v>1.718798475628337</v>
      </c>
      <c r="P193" s="95" t="n">
        <v>3.673287505966265</v>
      </c>
      <c r="Q193" s="96" t="n"/>
      <c r="R193" s="96" t="n"/>
      <c r="U193" s="22" t="n"/>
      <c r="V193" s="32" t="n"/>
      <c r="W193" s="22" t="n"/>
      <c r="X193" s="22" t="n"/>
    </row>
    <row r="194" spans="1:114">
      <c r="A194" t="s">
        <v>61</v>
      </c>
      <c r="B194" t="s">
        <v>28</v>
      </c>
      <c r="C194" s="118" t="n">
        <v>1.844977525062547</v>
      </c>
      <c r="D194" s="86" t="n">
        <v>1.33933840697589</v>
      </c>
      <c r="E194" s="87" t="n">
        <v>0.2740624810968987</v>
      </c>
      <c r="F194" s="88" t="n">
        <v>4.529801610969711</v>
      </c>
      <c r="G194" s="89" t="n">
        <v>1.455206933112177</v>
      </c>
      <c r="H194" s="90" t="n">
        <v>-0.1447409688161208</v>
      </c>
      <c r="I194" s="90" t="n">
        <v>0.1387116193401441</v>
      </c>
      <c r="J194" s="90" t="n">
        <v>0.5516920255757982</v>
      </c>
      <c r="K194" s="86" t="n">
        <v>3.382118803863477</v>
      </c>
      <c r="L194" s="91" t="n">
        <v>1.33933840697589</v>
      </c>
      <c r="M194" s="92" t="n">
        <v>0.2740624810968987</v>
      </c>
      <c r="N194" s="93" t="n">
        <v>4.529801610969711</v>
      </c>
      <c r="O194" s="94" t="n">
        <v>1.455206933112177</v>
      </c>
      <c r="P194" s="95" t="n">
        <v>3.382118803863477</v>
      </c>
      <c r="Q194" s="96" t="n"/>
      <c r="R194" s="96" t="n"/>
      <c r="U194" s="22" t="n"/>
      <c r="V194" s="32" t="n"/>
      <c r="W194" s="22" t="n"/>
      <c r="X194" s="22" t="n"/>
    </row>
    <row r="195" spans="1:114">
      <c r="A195" t="n">
        <v>7.4</v>
      </c>
      <c r="B195" t="s">
        <v>29</v>
      </c>
      <c r="C195" s="118" t="n">
        <v>1.911789453460301</v>
      </c>
      <c r="D195" s="86" t="n">
        <v>1.350598539903351</v>
      </c>
      <c r="E195" s="87" t="n">
        <v>0.2935422164512969</v>
      </c>
      <c r="F195" s="88" t="n">
        <v>5.020361837185315</v>
      </c>
      <c r="G195" s="89" t="n">
        <v>1.626001429236132</v>
      </c>
      <c r="H195" s="90" t="n">
        <v>-0.07589646817236084</v>
      </c>
      <c r="I195" s="90" t="n">
        <v>0.2048212387277886</v>
      </c>
      <c r="J195" s="90" t="n">
        <v>0.5919554713153647</v>
      </c>
      <c r="K195" s="86" t="n">
        <v>3.717138504788086</v>
      </c>
      <c r="L195" s="91" t="n">
        <v>1.350598539903351</v>
      </c>
      <c r="M195" s="92" t="n">
        <v>0.2935422164512969</v>
      </c>
      <c r="N195" s="93" t="n">
        <v>5.020361837185315</v>
      </c>
      <c r="O195" s="94" t="n">
        <v>1.626001429236132</v>
      </c>
      <c r="P195" s="95" t="n">
        <v>3.717138504788086</v>
      </c>
      <c r="Q195" s="96" t="n"/>
      <c r="R195" s="96" t="n"/>
      <c r="U195" s="22" t="n"/>
      <c r="V195" s="32" t="n"/>
      <c r="W195" s="22" t="n"/>
      <c r="X195" s="22" t="n"/>
    </row>
    <row r="196" spans="1:114">
      <c r="C196" s="98" t="n"/>
      <c r="D196" s="86" t="n"/>
      <c r="F196" s="88" t="n"/>
      <c r="K196" s="86" t="n"/>
      <c r="L196" s="91" t="n"/>
      <c r="M196" s="92" t="n"/>
      <c r="N196" s="93" t="n"/>
      <c r="P196" s="95" t="n"/>
      <c r="Q196" s="96" t="n"/>
      <c r="R196" s="96" t="n"/>
    </row>
    <row r="197" spans="1:114">
      <c r="A197" t="s">
        <v>129</v>
      </c>
      <c r="B197" t="s">
        <v>24</v>
      </c>
      <c r="C197" s="120" t="n">
        <v>21.28593306025255</v>
      </c>
      <c r="D197" s="86" t="n">
        <v>9.243867188928689</v>
      </c>
      <c r="E197" s="87" t="n">
        <v>0.5657288236901457</v>
      </c>
      <c r="F197" s="88" t="n">
        <v>255.1655116602415</v>
      </c>
      <c r="G197" s="89" t="n">
        <v>10.98751827969969</v>
      </c>
      <c r="H197" s="90" t="n">
        <v>-0.282713044021664</v>
      </c>
      <c r="I197" s="90" t="n">
        <v>-0.09314792851582232</v>
      </c>
      <c r="J197" s="90" t="n">
        <v>0.08091117184624252</v>
      </c>
      <c r="K197" s="86" t="n">
        <v>27.60376219661088</v>
      </c>
      <c r="L197" s="91" t="n">
        <v>10.20998737781263</v>
      </c>
      <c r="M197" s="92" t="n">
        <v>0.5203410933919616</v>
      </c>
      <c r="N197" s="93" t="n">
        <v>26.2589849434146</v>
      </c>
      <c r="O197" s="94" t="n">
        <v>0.2336309086890951</v>
      </c>
      <c r="P197" s="95" t="n">
        <v>2.571892008454203</v>
      </c>
      <c r="Q197" s="96" t="n">
        <v>0.07976217539874261</v>
      </c>
      <c r="R197" s="96" t="n">
        <v>0.06425063437056076</v>
      </c>
      <c r="S197" s="131" t="n">
        <v>0.02531136627563737</v>
      </c>
      <c r="T197" t="n">
        <v>2151.34</v>
      </c>
      <c r="U197" s="42">
        <f>C197*S197</f>
        <v/>
      </c>
      <c r="V197" s="42">
        <f>Q197*(1-U197)+S197</f>
        <v/>
      </c>
      <c r="W197" s="42">
        <f>V197+I199/3</f>
        <v/>
      </c>
      <c r="X197" s="42">
        <f>V197+I199/5</f>
        <v/>
      </c>
    </row>
    <row r="198" spans="1:114">
      <c r="A198" t="s">
        <v>130</v>
      </c>
      <c r="B198" t="s">
        <v>26</v>
      </c>
      <c r="C198" s="118" t="n">
        <v>24.66206840548329</v>
      </c>
      <c r="D198" s="86" t="n">
        <v>11.42439488780953</v>
      </c>
      <c r="E198" s="87" t="n">
        <v>0.5367625010208199</v>
      </c>
      <c r="F198" s="88" t="n">
        <v>-175.3598778505557</v>
      </c>
      <c r="G198" s="89" t="n">
        <v>-8.110509749927008</v>
      </c>
      <c r="H198" s="90" t="n">
        <v>-0.2261349556248132</v>
      </c>
      <c r="I198" s="90" t="n">
        <v>0.01529802114633516</v>
      </c>
      <c r="J198" s="90" t="n">
        <v>0.4365012623547204</v>
      </c>
      <c r="K198" s="86" t="n">
        <v>-15.34959878161026</v>
      </c>
      <c r="L198" s="91" t="n">
        <v>13.65875337575268</v>
      </c>
      <c r="M198" s="92" t="n">
        <v>0.4461635110574979</v>
      </c>
      <c r="N198" s="93" t="n">
        <v>36.99721591528173</v>
      </c>
      <c r="O198" s="94" t="n">
        <v>0.5001667867832158</v>
      </c>
      <c r="P198" s="95" t="n">
        <v>2.708681744042616</v>
      </c>
      <c r="Q198" s="96" t="n"/>
      <c r="R198" s="96" t="n"/>
      <c r="U198" s="22" t="n"/>
      <c r="V198" s="32" t="n"/>
      <c r="W198" s="22" t="n"/>
      <c r="X198" s="22" t="n"/>
    </row>
    <row r="199" spans="1:114">
      <c r="A199" t="s">
        <v>61</v>
      </c>
      <c r="B199" t="s">
        <v>28</v>
      </c>
      <c r="C199" s="118" t="n">
        <v>1.697812326277758</v>
      </c>
      <c r="D199" s="86" t="n">
        <v>1.357176298586457</v>
      </c>
      <c r="E199" s="87" t="n">
        <v>0.2006323210281451</v>
      </c>
      <c r="F199" s="88" t="n">
        <v>3.720322020712457</v>
      </c>
      <c r="G199" s="89" t="n">
        <v>1.191244558147837</v>
      </c>
      <c r="H199" s="90" t="n">
        <v>-0.04476336513677404</v>
      </c>
      <c r="I199" s="90" t="n">
        <v>0.09690427948427072</v>
      </c>
      <c r="J199" s="90" t="n">
        <v>0.3644155679703922</v>
      </c>
      <c r="K199" s="86" t="n">
        <v>2.741222363363767</v>
      </c>
      <c r="L199" s="91" t="n">
        <v>1.359844916589325</v>
      </c>
      <c r="M199" s="92" t="n">
        <v>0.1990605230375395</v>
      </c>
      <c r="N199" s="93" t="n">
        <v>3.697861535205409</v>
      </c>
      <c r="O199" s="94" t="n">
        <v>1.178015483791728</v>
      </c>
      <c r="P199" s="95" t="n">
        <v>2.719325924665104</v>
      </c>
      <c r="Q199" s="96" t="n"/>
      <c r="R199" s="96" t="n"/>
      <c r="U199" s="22" t="n"/>
      <c r="V199" s="32" t="n"/>
      <c r="W199" s="22" t="n"/>
      <c r="X199" s="22" t="n"/>
    </row>
    <row r="200" spans="1:114">
      <c r="A200" t="n">
        <v>4.27</v>
      </c>
      <c r="B200" t="s">
        <v>29</v>
      </c>
      <c r="C200" s="117" t="n">
        <v>1.584553539942465</v>
      </c>
      <c r="D200" s="86" t="n">
        <v>1.213880972932926</v>
      </c>
      <c r="E200" s="87" t="n">
        <v>0.2339287109370872</v>
      </c>
      <c r="F200" s="88" t="n">
        <v>4.598077508917429</v>
      </c>
      <c r="G200" s="89" t="n">
        <v>1.901812651331671</v>
      </c>
      <c r="H200" s="90" t="n">
        <v>0.0700647026486112</v>
      </c>
      <c r="I200" s="90" t="n">
        <v>0.2601388816068484</v>
      </c>
      <c r="J200" s="90" t="n">
        <v>0.6563805628534485</v>
      </c>
      <c r="K200" s="86" t="n">
        <v>3.787914640269677</v>
      </c>
      <c r="L200" s="91" t="n">
        <v>1.213880972932926</v>
      </c>
      <c r="M200" s="92" t="n">
        <v>0.2339287109370872</v>
      </c>
      <c r="N200" s="93" t="n">
        <v>4.598077508917429</v>
      </c>
      <c r="O200" s="94" t="n">
        <v>1.901812651331671</v>
      </c>
      <c r="P200" s="95" t="n">
        <v>3.787914640269677</v>
      </c>
      <c r="Q200" s="96" t="n"/>
      <c r="R200" s="96" t="n"/>
      <c r="U200" s="22" t="n"/>
      <c r="V200" s="32" t="n"/>
      <c r="W200" s="22" t="n"/>
      <c r="X200" s="22" t="n"/>
    </row>
    <row r="201" spans="1:114">
      <c r="C201" s="98" t="n"/>
      <c r="D201" s="86" t="n"/>
      <c r="F201" s="88" t="n"/>
      <c r="K201" s="86" t="n"/>
      <c r="L201" s="91" t="n"/>
      <c r="M201" s="92" t="n"/>
      <c r="N201" s="93" t="n"/>
      <c r="P201" s="95" t="n"/>
      <c r="Q201" s="96" t="n"/>
      <c r="R201" s="96" t="n"/>
    </row>
    <row customFormat="1" r="202" s="22" spans="1:114">
      <c r="A202" s="22" t="s">
        <v>131</v>
      </c>
      <c r="B202" s="22" t="s">
        <v>24</v>
      </c>
      <c r="C202" s="115" t="n">
        <v>22.00505598836062</v>
      </c>
      <c r="D202" s="24" t="n">
        <v>9.803715142093608</v>
      </c>
      <c r="E202" s="35" t="n">
        <v>0.554478973046958</v>
      </c>
      <c r="F202" s="25" t="n">
        <v>28.40249210410406</v>
      </c>
      <c r="G202" s="53" t="n">
        <v>0.2907257368091822</v>
      </c>
      <c r="H202" s="26" t="n">
        <v>-0.3393120761529365</v>
      </c>
      <c r="I202" s="26" t="n">
        <v>-0.1218873673644888</v>
      </c>
      <c r="J202" s="26" t="n">
        <v>0.04128265339135306</v>
      </c>
      <c r="K202" s="24" t="n">
        <v>2.897115194846291</v>
      </c>
      <c r="L202" s="27" t="n">
        <v>10.44741115018562</v>
      </c>
      <c r="M202" s="38" t="n">
        <v>0.5252267862571361</v>
      </c>
      <c r="N202" s="28" t="n">
        <v>28.40249210410406</v>
      </c>
      <c r="O202" s="29" t="n">
        <v>0.2907257368091822</v>
      </c>
      <c r="P202" s="30" t="n">
        <v>2.718615329272212</v>
      </c>
      <c r="Q202" s="31" t="n">
        <v>0.07628753661092598</v>
      </c>
      <c r="R202" s="31" t="n">
        <v>0.05653674318354528</v>
      </c>
      <c r="S202" s="32" t="n">
        <v>0.02329026817950213</v>
      </c>
      <c r="T202" s="22" t="n">
        <v>2268.19</v>
      </c>
      <c r="U202" s="42">
        <f>C202*S202</f>
        <v/>
      </c>
      <c r="V202" s="42">
        <f>Q202*(1-U202)+S202</f>
        <v/>
      </c>
      <c r="W202" s="42">
        <f>V202+I204/3</f>
        <v/>
      </c>
      <c r="X202" s="42">
        <f>V202+I204/5</f>
        <v/>
      </c>
    </row>
    <row customFormat="1" r="203" s="22" spans="1:114">
      <c r="A203" s="22" t="s">
        <v>132</v>
      </c>
      <c r="B203" s="22" t="s">
        <v>26</v>
      </c>
      <c r="C203" s="115" t="n">
        <v>28.63668593149378</v>
      </c>
      <c r="D203" s="24" t="n">
        <v>13.72045966249147</v>
      </c>
      <c r="E203" s="35" t="n">
        <v>0.5208782295788593</v>
      </c>
      <c r="F203" s="25" t="n">
        <v>42.32564753717075</v>
      </c>
      <c r="G203" s="53" t="n">
        <v>0.4780218506577347</v>
      </c>
      <c r="H203" s="26" t="n">
        <v>-0.3144779241427959</v>
      </c>
      <c r="I203" s="26" t="n">
        <v>-0.07882970083604457</v>
      </c>
      <c r="J203" s="26" t="n">
        <v>0.1410357822457973</v>
      </c>
      <c r="K203" s="24" t="n">
        <v>3.084856380787239</v>
      </c>
      <c r="L203" s="27" t="n">
        <v>14.79411757032261</v>
      </c>
      <c r="M203" s="38" t="n">
        <v>0.4833858357173768</v>
      </c>
      <c r="N203" s="28" t="n">
        <v>40.84440259033626</v>
      </c>
      <c r="O203" s="29" t="n">
        <v>0.4262964187981264</v>
      </c>
      <c r="P203" s="30" t="n">
        <v>2.760854264959419</v>
      </c>
      <c r="Q203" s="31" t="n"/>
      <c r="R203" s="31" t="n"/>
      <c r="S203" s="32" t="n"/>
      <c r="V203" s="32" t="n"/>
    </row>
    <row customFormat="1" r="204" s="22" spans="1:114">
      <c r="A204" s="22" t="s">
        <v>49</v>
      </c>
      <c r="B204" s="22" t="s">
        <v>28</v>
      </c>
      <c r="C204" s="116" t="n">
        <v>1.678711514337536</v>
      </c>
      <c r="D204" s="24" t="n">
        <v>1.319680132355824</v>
      </c>
      <c r="E204" s="35" t="n">
        <v>0.2138731872125126</v>
      </c>
      <c r="F204" s="25" t="n">
        <v>3.727916900605398</v>
      </c>
      <c r="G204" s="53" t="n">
        <v>1.220701334783262</v>
      </c>
      <c r="H204" s="26" t="n">
        <v>-0.07408027003572559</v>
      </c>
      <c r="I204" s="26" t="n">
        <v>0.03675818636829464</v>
      </c>
      <c r="J204" s="26" t="n">
        <v>0.1424736080208626</v>
      </c>
      <c r="K204" s="24" t="n">
        <v>2.824864002423463</v>
      </c>
      <c r="L204" s="27" t="n">
        <v>1.319680132355824</v>
      </c>
      <c r="M204" s="38" t="n">
        <v>0.2138731872125126</v>
      </c>
      <c r="N204" s="28" t="n">
        <v>3.727916900605398</v>
      </c>
      <c r="O204" s="29" t="n">
        <v>1.220701334783262</v>
      </c>
      <c r="P204" s="30" t="n">
        <v>2.824864002423463</v>
      </c>
      <c r="Q204" s="31" t="n"/>
      <c r="R204" s="31" t="n"/>
      <c r="S204" s="32" t="n"/>
      <c r="V204" s="32" t="n"/>
    </row>
    <row customFormat="1" r="205" s="22" spans="1:114">
      <c r="A205" s="22" t="n">
        <v>2.4</v>
      </c>
      <c r="B205" s="22" t="s">
        <v>29</v>
      </c>
      <c r="C205" s="119" t="n">
        <v>1.619024958136708</v>
      </c>
      <c r="D205" s="24" t="n">
        <v>1.174515787866311</v>
      </c>
      <c r="E205" s="35" t="n">
        <v>0.2745536244122946</v>
      </c>
      <c r="F205" s="25" t="n">
        <v>4.419741651738732</v>
      </c>
      <c r="G205" s="53" t="n">
        <v>1.729878640552456</v>
      </c>
      <c r="H205" s="26" t="n">
        <v>0.003896972648748553</v>
      </c>
      <c r="I205" s="26" t="n">
        <v>0.1882819155187796</v>
      </c>
      <c r="J205" s="26" t="n">
        <v>0.3247673582964272</v>
      </c>
      <c r="K205" s="24" t="n">
        <v>3.763032985506201</v>
      </c>
      <c r="L205" s="27" t="n">
        <v>1.174515787866311</v>
      </c>
      <c r="M205" s="38" t="n">
        <v>0.2745536244122946</v>
      </c>
      <c r="N205" s="28" t="n">
        <v>4.419741651738732</v>
      </c>
      <c r="O205" s="29" t="n">
        <v>1.729878640552456</v>
      </c>
      <c r="P205" s="30" t="n">
        <v>3.763032985506201</v>
      </c>
      <c r="Q205" s="31" t="n"/>
      <c r="R205" s="31" t="n"/>
      <c r="S205" s="32" t="n"/>
      <c r="V205" s="32" t="n"/>
    </row>
    <row r="206" spans="1:114">
      <c r="C206" s="98" t="n"/>
      <c r="D206" s="86" t="n"/>
      <c r="F206" s="88" t="n"/>
      <c r="K206" s="86" t="n"/>
      <c r="L206" s="91" t="n"/>
      <c r="M206" s="92" t="n"/>
      <c r="N206" s="93" t="n"/>
      <c r="P206" s="95" t="n"/>
      <c r="Q206" s="96" t="n"/>
      <c r="R206" s="96" t="n"/>
    </row>
    <row customFormat="1" r="207" s="22" spans="1:114">
      <c r="A207" s="22" t="s">
        <v>133</v>
      </c>
      <c r="B207" s="22" t="s">
        <v>24</v>
      </c>
      <c r="C207" s="116" t="n">
        <v>42.74255576871331</v>
      </c>
      <c r="D207" s="24" t="n">
        <v>31.26335087184301</v>
      </c>
      <c r="E207" s="35" t="n">
        <v>0.2685661793128629</v>
      </c>
      <c r="F207" s="25" t="n">
        <v>109.2407332242235</v>
      </c>
      <c r="G207" s="53" t="n">
        <v>1.555783837900155</v>
      </c>
      <c r="H207" s="26" t="n">
        <v>-0.06392296650174933</v>
      </c>
      <c r="I207" s="26" t="n">
        <v>0.1907504313356809</v>
      </c>
      <c r="J207" s="26" t="n">
        <v>0.6403662409114192</v>
      </c>
      <c r="K207" s="24" t="n">
        <v>3.494210638905312</v>
      </c>
      <c r="L207" s="27" t="n">
        <v>33.22698411849803</v>
      </c>
      <c r="M207" s="38" t="n">
        <v>0.2226252379877688</v>
      </c>
      <c r="N207" s="28" t="n">
        <v>109.2407332242235</v>
      </c>
      <c r="O207" s="29" t="n">
        <v>1.555783837900155</v>
      </c>
      <c r="P207" s="30" t="n">
        <v>3.287711362386552</v>
      </c>
      <c r="Q207" s="31" t="n">
        <v>0.07104154991989106</v>
      </c>
      <c r="R207" s="31" t="n">
        <v>0.0611448254661211</v>
      </c>
      <c r="S207" s="32" t="n">
        <v>0.006169870213765752</v>
      </c>
      <c r="T207" s="22" t="n">
        <v>6136.33</v>
      </c>
      <c r="U207" s="42">
        <f>C207*S207</f>
        <v/>
      </c>
      <c r="V207" s="42">
        <f>Q207*(1-U207)+S207</f>
        <v/>
      </c>
      <c r="W207" s="42">
        <f>V207+I209/3</f>
        <v/>
      </c>
      <c r="X207" s="42">
        <f>V207+I209/5</f>
        <v/>
      </c>
    </row>
    <row customFormat="1" r="208" s="22" spans="1:114">
      <c r="A208" s="22" t="s">
        <v>134</v>
      </c>
      <c r="B208" s="22" t="s">
        <v>26</v>
      </c>
      <c r="C208" s="116" t="n">
        <v>54.36162454739677</v>
      </c>
      <c r="D208" s="24" t="n">
        <v>33.18104269229925</v>
      </c>
      <c r="E208" s="35" t="n">
        <v>0.3896237838998098</v>
      </c>
      <c r="F208" s="25" t="n">
        <v>171.8564190267105</v>
      </c>
      <c r="G208" s="53" t="n">
        <v>2.161355468265531</v>
      </c>
      <c r="H208" s="26" t="n">
        <v>-0.1546773017247519</v>
      </c>
      <c r="I208" s="26" t="n">
        <v>0.2710211349601208</v>
      </c>
      <c r="J208" s="26" t="n">
        <v>0.7549294749764008</v>
      </c>
      <c r="K208" s="24" t="n">
        <v>5.17935559230016</v>
      </c>
      <c r="L208" s="27" t="n">
        <v>40.55571767968186</v>
      </c>
      <c r="M208" s="38" t="n">
        <v>0.2539642069687932</v>
      </c>
      <c r="N208" s="28" t="n">
        <v>171.8564190267105</v>
      </c>
      <c r="O208" s="29" t="n">
        <v>2.161355468265531</v>
      </c>
      <c r="P208" s="30" t="n">
        <v>4.237538597740298</v>
      </c>
      <c r="Q208" s="31" t="n"/>
      <c r="R208" s="31" t="n"/>
      <c r="S208" s="32" t="n"/>
      <c r="V208" s="32" t="n"/>
    </row>
    <row customFormat="1" r="209" s="22" spans="1:114">
      <c r="A209" s="22" t="s">
        <v>49</v>
      </c>
      <c r="B209" s="22" t="s">
        <v>28</v>
      </c>
      <c r="C209" s="115" t="n">
        <v>3.036497409346774</v>
      </c>
      <c r="D209" s="24" t="n">
        <v>1.360568852140359</v>
      </c>
      <c r="E209" s="35" t="n">
        <v>0.5519282025559009</v>
      </c>
      <c r="F209" s="25" t="n">
        <v>6.279046734013892</v>
      </c>
      <c r="G209" s="53" t="n">
        <v>1.067858419600848</v>
      </c>
      <c r="H209" s="26" t="n">
        <v>-0.3306467974253799</v>
      </c>
      <c r="I209" s="26" t="n">
        <v>-0.1443291699423243</v>
      </c>
      <c r="J209" s="26" t="n">
        <v>0.09338505342903081</v>
      </c>
      <c r="K209" s="24" t="n">
        <v>4.615015788532935</v>
      </c>
      <c r="L209" s="27" t="n">
        <v>1.864909856525825</v>
      </c>
      <c r="M209" s="38" t="n">
        <v>0.3858351893252518</v>
      </c>
      <c r="N209" s="28" t="n">
        <v>6.279046734013892</v>
      </c>
      <c r="O209" s="29" t="n">
        <v>1.067858419600848</v>
      </c>
      <c r="P209" s="30" t="n">
        <v>3.366943829505649</v>
      </c>
      <c r="Q209" s="31" t="n"/>
      <c r="R209" s="31" t="n"/>
      <c r="S209" s="32" t="n"/>
      <c r="V209" s="32" t="n"/>
    </row>
    <row customFormat="1" r="210" s="22" spans="1:114">
      <c r="B210" s="22" t="s">
        <v>29</v>
      </c>
      <c r="C210" s="115" t="n">
        <v>3.32393204500538</v>
      </c>
      <c r="D210" s="24" t="n">
        <v>1.810501836076885</v>
      </c>
      <c r="E210" s="35" t="n">
        <v>0.4553132219422509</v>
      </c>
      <c r="F210" s="25" t="n">
        <v>8.588210655820657</v>
      </c>
      <c r="G210" s="53" t="n">
        <v>1.583750371408919</v>
      </c>
      <c r="H210" s="26" t="n">
        <v>-0.2185709787737847</v>
      </c>
      <c r="I210" s="26" t="n">
        <v>-0.01436861327275984</v>
      </c>
      <c r="J210" s="26" t="n">
        <v>0.3097889918821877</v>
      </c>
      <c r="K210" s="24" t="n">
        <v>4.74355258011235</v>
      </c>
      <c r="L210" s="27" t="n">
        <v>1.993619476980041</v>
      </c>
      <c r="M210" s="38" t="n">
        <v>0.4002225526915625</v>
      </c>
      <c r="N210" s="28" t="n">
        <v>8.588210655820657</v>
      </c>
      <c r="O210" s="29" t="n">
        <v>1.583750371408919</v>
      </c>
      <c r="P210" s="30" t="n">
        <v>4.307848491142443</v>
      </c>
      <c r="Q210" s="31" t="n"/>
      <c r="R210" s="31" t="n"/>
      <c r="S210" s="32" t="n"/>
      <c r="V210" s="32" t="n"/>
    </row>
    <row r="211" spans="1:114">
      <c r="C211" s="98" t="n"/>
      <c r="D211" s="86" t="n"/>
      <c r="F211" s="88" t="n"/>
      <c r="K211" s="86" t="n"/>
      <c r="L211" s="91" t="n"/>
      <c r="M211" s="92" t="n"/>
      <c r="N211" s="93" t="n"/>
      <c r="P211" s="95" t="n"/>
      <c r="Q211" s="96" t="n"/>
      <c r="R211" s="96" t="n"/>
    </row>
    <row r="212" spans="1:114">
      <c r="A212" t="s">
        <v>135</v>
      </c>
      <c r="B212" t="s">
        <v>24</v>
      </c>
      <c r="C212" s="118" t="n">
        <v>37.9566246655995</v>
      </c>
      <c r="D212" s="86" t="n">
        <v>10.43108481099257</v>
      </c>
      <c r="E212" s="87" t="n">
        <v>0.7251840778021978</v>
      </c>
      <c r="F212" s="88" t="n">
        <v>123.172472701323</v>
      </c>
      <c r="G212" s="89" t="n">
        <v>2.245084982831877</v>
      </c>
      <c r="H212" s="90" t="n">
        <v>-0.1829015676428769</v>
      </c>
      <c r="I212" s="90" t="n">
        <v>0.06352121455677007</v>
      </c>
      <c r="J212" s="90" t="n">
        <v>0.6661261472115161</v>
      </c>
      <c r="K212" s="86" t="n">
        <v>11.80821313728753</v>
      </c>
      <c r="L212" s="91" t="n">
        <v>23.27104258328457</v>
      </c>
      <c r="M212" s="92" t="n">
        <v>0.3869043207001658</v>
      </c>
      <c r="N212" s="93" t="n">
        <v>123.172472701323</v>
      </c>
      <c r="O212" s="94" t="n">
        <v>2.245084982831877</v>
      </c>
      <c r="P212" s="95" t="n">
        <v>5.292950337764278</v>
      </c>
      <c r="Q212" s="96" t="n">
        <v>0.07342213995548395</v>
      </c>
      <c r="R212" s="96" t="n">
        <v>0.07860113070225641</v>
      </c>
      <c r="S212" s="131" t="n">
        <v>0.006414979317447102</v>
      </c>
      <c r="T212" t="n">
        <v>5028.75</v>
      </c>
      <c r="U212" s="42">
        <f>C212*S212</f>
        <v/>
      </c>
      <c r="V212" s="42">
        <f>Q212*(1-U212)+S212</f>
        <v/>
      </c>
      <c r="W212" s="42">
        <f>V212+I214/3</f>
        <v/>
      </c>
      <c r="X212" s="42">
        <f>V212+I214/5</f>
        <v/>
      </c>
    </row>
    <row r="213" spans="1:114">
      <c r="A213" t="s">
        <v>136</v>
      </c>
      <c r="B213" t="s">
        <v>26</v>
      </c>
      <c r="C213" s="118" t="n">
        <v>36.84017678991305</v>
      </c>
      <c r="D213" s="86" t="n">
        <v>25.75740206153552</v>
      </c>
      <c r="E213" s="87" t="n">
        <v>0.3008339181317944</v>
      </c>
      <c r="F213" s="88" t="n">
        <v>280.6883421466172</v>
      </c>
      <c r="G213" s="89" t="n">
        <v>6.619082387885569</v>
      </c>
      <c r="H213" s="90" t="n">
        <v>-0.07325423540127418</v>
      </c>
      <c r="I213" s="90" t="n">
        <v>0.1275125782171631</v>
      </c>
      <c r="J213" s="90" t="n">
        <v>0.4331833752130383</v>
      </c>
      <c r="K213" s="86" t="n">
        <v>10.8973855933157</v>
      </c>
      <c r="L213" s="91" t="n">
        <v>28.81338925253502</v>
      </c>
      <c r="M213" s="92" t="n">
        <v>0.2178813522842755</v>
      </c>
      <c r="N213" s="93" t="n">
        <v>280.6883421466172</v>
      </c>
      <c r="O213" s="94" t="n">
        <v>6.619082387885569</v>
      </c>
      <c r="P213" s="95" t="n">
        <v>9.741594079284585</v>
      </c>
      <c r="Q213" s="96" t="n"/>
      <c r="R213" s="96" t="n"/>
      <c r="U213" s="22" t="n"/>
      <c r="V213" s="32" t="n"/>
      <c r="W213" s="22" t="n"/>
      <c r="X213" s="22" t="n"/>
    </row>
    <row r="214" spans="1:114">
      <c r="A214" t="s">
        <v>61</v>
      </c>
      <c r="B214" t="s">
        <v>28</v>
      </c>
      <c r="C214" s="120" t="n">
        <v>2.786856608435421</v>
      </c>
      <c r="D214" s="86" t="n">
        <v>1.152159083230671</v>
      </c>
      <c r="E214" s="87" t="n">
        <v>0.5865739630294402</v>
      </c>
      <c r="F214" s="88" t="n">
        <v>4.941416526356602</v>
      </c>
      <c r="G214" s="89" t="n">
        <v>0.7731147384474799</v>
      </c>
      <c r="H214" s="90" t="n">
        <v>-0.3982473218887558</v>
      </c>
      <c r="I214" s="90" t="n">
        <v>-0.166070073359697</v>
      </c>
      <c r="J214" s="90" t="n">
        <v>0.02746033807418868</v>
      </c>
      <c r="K214" s="86" t="n">
        <v>4.288831810014288</v>
      </c>
      <c r="L214" s="91" t="n">
        <v>1.461612051762226</v>
      </c>
      <c r="M214" s="92" t="n">
        <v>0.4755338156480198</v>
      </c>
      <c r="N214" s="93" t="n">
        <v>4.941416526356602</v>
      </c>
      <c r="O214" s="94" t="n">
        <v>0.7731147384474799</v>
      </c>
      <c r="P214" s="95" t="n">
        <v>3.38079897493926</v>
      </c>
      <c r="Q214" s="96" t="n"/>
      <c r="R214" s="96" t="n"/>
      <c r="U214" s="22" t="n"/>
      <c r="V214" s="32" t="n"/>
      <c r="W214" s="22" t="n"/>
      <c r="X214" s="22" t="n"/>
    </row>
    <row r="215" spans="1:114">
      <c r="B215" t="s">
        <v>29</v>
      </c>
      <c r="C215" s="118" t="n">
        <v>2.895679550958189</v>
      </c>
      <c r="D215" s="86" t="n">
        <v>1.457838326006312</v>
      </c>
      <c r="E215" s="87" t="n">
        <v>0.4965470797609808</v>
      </c>
      <c r="F215" s="88" t="n">
        <v>6.251248798705847</v>
      </c>
      <c r="G215" s="89" t="n">
        <v>1.158819264596212</v>
      </c>
      <c r="H215" s="90" t="n">
        <v>-0.2183270645129135</v>
      </c>
      <c r="I215" s="90" t="n">
        <v>0.06786740089771204</v>
      </c>
      <c r="J215" s="90" t="n">
        <v>0.2575705923369049</v>
      </c>
      <c r="K215" s="86" t="n">
        <v>4.288026104946002</v>
      </c>
      <c r="L215" s="91" t="n">
        <v>1.941954723889449</v>
      </c>
      <c r="M215" s="92" t="n">
        <v>0.3293613158103592</v>
      </c>
      <c r="N215" s="93" t="n">
        <v>6.251248798705847</v>
      </c>
      <c r="O215" s="94" t="n">
        <v>1.158819264596212</v>
      </c>
      <c r="P215" s="95" t="n">
        <v>3.219049714086802</v>
      </c>
      <c r="Q215" s="96" t="n"/>
      <c r="R215" s="96" t="n"/>
      <c r="U215" s="22" t="n"/>
      <c r="V215" s="32" t="n"/>
      <c r="W215" s="22" t="n"/>
      <c r="X215" s="22" t="n"/>
    </row>
    <row r="216" spans="1:114">
      <c r="C216" s="98" t="n"/>
      <c r="D216" s="86" t="n"/>
      <c r="F216" s="88" t="n"/>
      <c r="K216" s="86" t="n"/>
      <c r="L216" s="91" t="n"/>
      <c r="M216" s="92" t="n"/>
      <c r="N216" s="93" t="n"/>
      <c r="P216" s="95" t="n"/>
      <c r="Q216" s="96" t="n"/>
      <c r="R216" s="96" t="n"/>
    </row>
    <row r="217" spans="1:114">
      <c r="A217" t="s">
        <v>137</v>
      </c>
      <c r="B217" t="s">
        <v>24</v>
      </c>
      <c r="C217" s="118" t="n">
        <v>33.17264651794514</v>
      </c>
      <c r="D217" s="86" t="n">
        <v>23.47052458366075</v>
      </c>
      <c r="E217" s="87" t="n">
        <v>0.2924735573640743</v>
      </c>
      <c r="F217" s="88" t="n">
        <v>63.48564213729731</v>
      </c>
      <c r="G217" s="89" t="n">
        <v>0.9137949124123694</v>
      </c>
      <c r="H217" s="90" t="n">
        <v>-0.04643540117243672</v>
      </c>
      <c r="I217" s="90" t="n">
        <v>0.05518406604442694</v>
      </c>
      <c r="J217" s="90" t="n">
        <v>0.1247079767465722</v>
      </c>
      <c r="K217" s="86" t="n">
        <v>2.704909381594883</v>
      </c>
      <c r="L217" s="91" t="n">
        <v>23.47052458366075</v>
      </c>
      <c r="M217" s="92" t="n">
        <v>0.2924735573640743</v>
      </c>
      <c r="N217" s="93" t="n">
        <v>63.48564213729731</v>
      </c>
      <c r="O217" s="94" t="n">
        <v>0.9137949124123694</v>
      </c>
      <c r="P217" s="95" t="n">
        <v>2.704909381594883</v>
      </c>
      <c r="Q217" s="96" t="n">
        <v>0.1280624823241126</v>
      </c>
      <c r="R217" s="96" t="n">
        <v>0.1186217778397059</v>
      </c>
      <c r="S217" s="131" t="n">
        <v>0.01012479694330011</v>
      </c>
      <c r="T217" t="n">
        <v>10001.9</v>
      </c>
      <c r="U217" s="42">
        <f>C217*S217</f>
        <v/>
      </c>
      <c r="V217" s="42">
        <f>Q217*(1-U217)+S217</f>
        <v/>
      </c>
      <c r="W217" s="42">
        <f>V217+I219/3</f>
        <v/>
      </c>
      <c r="X217" s="42">
        <f>V217+I219/5</f>
        <v/>
      </c>
    </row>
    <row r="218" spans="1:114">
      <c r="A218" t="s">
        <v>138</v>
      </c>
      <c r="B218" t="s">
        <v>26</v>
      </c>
      <c r="C218" s="117" t="n">
        <v>29.81157546430504</v>
      </c>
      <c r="D218" s="86" t="n">
        <v>19.4689229856074</v>
      </c>
      <c r="E218" s="87" t="n">
        <v>0.3469341125926553</v>
      </c>
      <c r="F218" s="88" t="n">
        <v>72.97314220920798</v>
      </c>
      <c r="G218" s="89" t="n">
        <v>1.447812337076333</v>
      </c>
      <c r="H218" s="90" t="n">
        <v>0.1426444657875161</v>
      </c>
      <c r="I218" s="90" t="n">
        <v>0.2765790075136421</v>
      </c>
      <c r="J218" s="90" t="n">
        <v>0.3634906466900305</v>
      </c>
      <c r="K218" s="86" t="n">
        <v>3.748185878754266</v>
      </c>
      <c r="L218" s="91" t="n">
        <v>19.4689229856074</v>
      </c>
      <c r="M218" s="92" t="n">
        <v>0.3469341125926553</v>
      </c>
      <c r="N218" s="93" t="n">
        <v>72.97314220920798</v>
      </c>
      <c r="O218" s="94" t="n">
        <v>1.447812337076333</v>
      </c>
      <c r="P218" s="95" t="n">
        <v>3.748185878754266</v>
      </c>
      <c r="Q218" s="96" t="n"/>
      <c r="R218" s="96" t="n"/>
      <c r="U218" s="22" t="n"/>
      <c r="V218" s="32" t="n"/>
      <c r="W218" s="22" t="n"/>
      <c r="X218" s="22" t="n"/>
    </row>
    <row r="219" spans="1:114">
      <c r="A219" t="s">
        <v>96</v>
      </c>
      <c r="B219" t="s">
        <v>28</v>
      </c>
      <c r="C219" s="118" t="n">
        <v>4.248171458348384</v>
      </c>
      <c r="D219" s="86" t="n">
        <v>3.101870716259658</v>
      </c>
      <c r="E219" s="87" t="n">
        <v>0.2698339163867901</v>
      </c>
      <c r="F219" s="88" t="n">
        <v>7.800607792100702</v>
      </c>
      <c r="G219" s="89" t="n">
        <v>0.8362271552790488</v>
      </c>
      <c r="H219" s="90" t="n">
        <v>-0.07761336050487422</v>
      </c>
      <c r="I219" s="90" t="n">
        <v>0.01304944873845315</v>
      </c>
      <c r="J219" s="90" t="n">
        <v>0.09318176474891371</v>
      </c>
      <c r="K219" s="86" t="n">
        <v>2.514807516383836</v>
      </c>
      <c r="L219" s="91" t="n">
        <v>3.103221763407468</v>
      </c>
      <c r="M219" s="92" t="n">
        <v>0.2695158861092797</v>
      </c>
      <c r="N219" s="93" t="n">
        <v>7.800607792100702</v>
      </c>
      <c r="O219" s="94" t="n">
        <v>0.8362271552790488</v>
      </c>
      <c r="P219" s="95" t="n">
        <v>2.51371264667057</v>
      </c>
      <c r="Q219" s="96" t="n"/>
      <c r="R219" s="96" t="n"/>
      <c r="U219" s="22" t="n"/>
      <c r="V219" s="32" t="n"/>
      <c r="W219" s="22" t="n"/>
      <c r="X219" s="22" t="n"/>
    </row>
    <row r="220" spans="1:114">
      <c r="B220" t="s">
        <v>29</v>
      </c>
      <c r="C220" s="118" t="n">
        <v>3.53630208177842</v>
      </c>
      <c r="D220" s="86" t="n">
        <v>2.429795915120724</v>
      </c>
      <c r="E220" s="87" t="n">
        <v>0.3128992210137289</v>
      </c>
      <c r="F220" s="88" t="n">
        <v>8.081194883825791</v>
      </c>
      <c r="G220" s="89" t="n">
        <v>1.285210566559327</v>
      </c>
      <c r="H220" s="90" t="n">
        <v>-0.00727366742617519</v>
      </c>
      <c r="I220" s="90" t="n">
        <v>0.1268927391701242</v>
      </c>
      <c r="J220" s="90" t="n">
        <v>0.2559936300035366</v>
      </c>
      <c r="K220" s="86" t="n">
        <v>3.325873927738609</v>
      </c>
      <c r="L220" s="91" t="n">
        <v>2.429795915120724</v>
      </c>
      <c r="M220" s="92" t="n">
        <v>0.3128992210137289</v>
      </c>
      <c r="N220" s="93" t="n">
        <v>8.081194883825791</v>
      </c>
      <c r="O220" s="94" t="n">
        <v>1.285210566559327</v>
      </c>
      <c r="P220" s="95" t="n">
        <v>3.325873927738609</v>
      </c>
      <c r="Q220" s="96" t="n"/>
      <c r="R220" s="96" t="n"/>
      <c r="U220" s="22" t="n"/>
      <c r="V220" s="32" t="n"/>
      <c r="W220" s="22" t="n"/>
      <c r="X220" s="22" t="n"/>
    </row>
    <row r="221" spans="1:114">
      <c r="Q221" s="96" t="n"/>
      <c r="R221" s="96" t="n"/>
    </row>
    <row customFormat="1" r="222" s="22" spans="1:114">
      <c r="A222" s="22" t="s">
        <v>139</v>
      </c>
      <c r="B222" s="22" t="s">
        <v>24</v>
      </c>
      <c r="C222" s="122" t="n">
        <v>34.01070212146681</v>
      </c>
      <c r="D222" s="24" t="n">
        <v>18.93965180462239</v>
      </c>
      <c r="E222" s="35" t="n">
        <v>0.4431267035599336</v>
      </c>
      <c r="F222" s="25" t="n">
        <v>48.81834272380534</v>
      </c>
      <c r="G222" s="53" t="n">
        <v>0.4353817968665887</v>
      </c>
      <c r="H222" s="26" t="n">
        <v>-0.3511153010142962</v>
      </c>
      <c r="I222" s="26" t="n">
        <v>-0.1509672390630401</v>
      </c>
      <c r="J222" s="26" t="n">
        <v>-0.02914918537895106</v>
      </c>
      <c r="K222" s="24" t="n">
        <v>2.577573401422871</v>
      </c>
      <c r="L222" s="27" t="n">
        <v>20.84304773583254</v>
      </c>
      <c r="M222" s="38" t="n">
        <v>0.3871620861753141</v>
      </c>
      <c r="N222" s="28" t="n">
        <v>48.81834272380534</v>
      </c>
      <c r="O222" s="29" t="n">
        <v>0.4353817968665887</v>
      </c>
      <c r="P222" s="30" t="n">
        <v>2.342188308664609</v>
      </c>
      <c r="Q222" s="31" t="n">
        <v>0.1559560059059801</v>
      </c>
      <c r="R222" s="31" t="n">
        <v>0.0679273927386066</v>
      </c>
      <c r="S222" s="32" t="n">
        <v>0.01526552396520446</v>
      </c>
      <c r="T222" s="22" t="n">
        <v>13232.96</v>
      </c>
      <c r="U222" s="42">
        <f>C222*S222</f>
        <v/>
      </c>
      <c r="V222" s="42">
        <f>Q222*(1-U222)+S222</f>
        <v/>
      </c>
      <c r="W222" s="42">
        <f>V222+I224/3</f>
        <v/>
      </c>
      <c r="X222" s="42">
        <f>V222+I224/5</f>
        <v/>
      </c>
    </row>
    <row customFormat="1" r="223" s="22" spans="1:114">
      <c r="A223" s="22" t="s">
        <v>140</v>
      </c>
      <c r="B223" s="22" t="s">
        <v>26</v>
      </c>
      <c r="C223" s="116" t="n">
        <v>41.84997239823232</v>
      </c>
      <c r="D223" s="24" t="n">
        <v>29.19177187619531</v>
      </c>
      <c r="E223" s="35" t="n">
        <v>0.3024661617834585</v>
      </c>
      <c r="F223" s="25" t="n">
        <v>102.4293996038945</v>
      </c>
      <c r="G223" s="53" t="n">
        <v>1.44753804445092</v>
      </c>
      <c r="H223" s="26" t="n">
        <v>-0.05117918213261696</v>
      </c>
      <c r="I223" s="26" t="n">
        <v>0.09496359006773414</v>
      </c>
      <c r="J223" s="26" t="n">
        <v>0.3451058306603281</v>
      </c>
      <c r="K223" s="24" t="n">
        <v>3.508844890892748</v>
      </c>
      <c r="L223" s="27" t="n">
        <v>29.19177187619531</v>
      </c>
      <c r="M223" s="38" t="n">
        <v>0.3024661617834585</v>
      </c>
      <c r="N223" s="28" t="n">
        <v>102.4293996038945</v>
      </c>
      <c r="O223" s="29" t="n">
        <v>1.44753804445092</v>
      </c>
      <c r="P223" s="30" t="n">
        <v>3.508844890892748</v>
      </c>
      <c r="Q223" s="31" t="n"/>
      <c r="R223" s="31" t="n"/>
      <c r="S223" s="32" t="n"/>
      <c r="V223" s="32" t="n"/>
    </row>
    <row customFormat="1" r="224" s="22" spans="1:114">
      <c r="A224" s="22" t="s">
        <v>49</v>
      </c>
      <c r="B224" s="22" t="s">
        <v>28</v>
      </c>
      <c r="C224" s="122" t="n">
        <v>5.304173260922008</v>
      </c>
      <c r="D224" s="24" t="n">
        <v>2.764665412343099</v>
      </c>
      <c r="E224" s="35" t="n">
        <v>0.4787754327877054</v>
      </c>
      <c r="F224" s="25" t="n">
        <v>6.817138397201264</v>
      </c>
      <c r="G224" s="53" t="n">
        <v>0.2852405194652827</v>
      </c>
      <c r="H224" s="26" t="n">
        <v>-0.3487921998214729</v>
      </c>
      <c r="I224" s="26" t="n">
        <v>-0.2547221328399022</v>
      </c>
      <c r="J224" s="26" t="n">
        <v>-0.1236975399547958</v>
      </c>
      <c r="K224" s="24" t="n">
        <v>2.465809557556416</v>
      </c>
      <c r="L224" s="27" t="n">
        <v>2.764665412343099</v>
      </c>
      <c r="M224" s="38" t="n">
        <v>0.4787754327877054</v>
      </c>
      <c r="N224" s="28" t="n">
        <v>5.865468934594843</v>
      </c>
      <c r="O224" s="29" t="n">
        <v>0.1058215194077705</v>
      </c>
      <c r="P224" s="30" t="n">
        <v>2.121583649293664</v>
      </c>
      <c r="Q224" s="31" t="n"/>
      <c r="R224" s="31" t="n"/>
      <c r="S224" s="32" t="n"/>
      <c r="V224" s="32" t="n"/>
    </row>
    <row customFormat="1" r="225" s="22" spans="1:114">
      <c r="B225" s="22" t="s">
        <v>29</v>
      </c>
      <c r="C225" s="116" t="n">
        <v>2.842759511194573</v>
      </c>
      <c r="D225" s="24" t="n">
        <v>1.964203736296184</v>
      </c>
      <c r="E225" s="35" t="n">
        <v>0.3090503334660221</v>
      </c>
      <c r="F225" s="25" t="n">
        <v>6.441436659275059</v>
      </c>
      <c r="G225" s="53" t="n">
        <v>1.265909808377799</v>
      </c>
      <c r="H225" s="26" t="n">
        <v>-0.02001136045777308</v>
      </c>
      <c r="I225" s="26" t="n">
        <v>0.1388465354687667</v>
      </c>
      <c r="J225" s="26" t="n">
        <v>0.3194422524989833</v>
      </c>
      <c r="K225" s="24" t="n">
        <v>3.279413708590843</v>
      </c>
      <c r="L225" s="27" t="n">
        <v>1.964203736296184</v>
      </c>
      <c r="M225" s="38" t="n">
        <v>0.3090503334660221</v>
      </c>
      <c r="N225" s="28" t="n">
        <v>6.441436659275059</v>
      </c>
      <c r="O225" s="29" t="n">
        <v>1.265909808377799</v>
      </c>
      <c r="P225" s="30" t="n">
        <v>3.279413708590843</v>
      </c>
      <c r="Q225" s="31" t="n"/>
      <c r="R225" s="31" t="n"/>
      <c r="S225" s="32" t="n"/>
      <c r="V225" s="32" t="n"/>
    </row>
    <row customFormat="1" r="227" s="22" spans="1:114">
      <c r="A227" s="22" t="s">
        <v>141</v>
      </c>
      <c r="B227" s="22" t="s">
        <v>24</v>
      </c>
      <c r="C227" s="119" t="n">
        <v>19.04267724953288</v>
      </c>
      <c r="D227" s="24" t="n">
        <v>15.35666867887223</v>
      </c>
      <c r="E227" s="35" t="n">
        <v>0.1935656694885726</v>
      </c>
      <c r="F227" s="25" t="n">
        <v>95.30896390133276</v>
      </c>
      <c r="G227" s="53" t="n">
        <v>4.0050191290025</v>
      </c>
      <c r="H227" s="26" t="n">
        <v>0.5903182339891033</v>
      </c>
      <c r="I227" s="26" t="n">
        <v>1.193802725618473</v>
      </c>
      <c r="J227" s="26" t="n">
        <v>1.832548036055841</v>
      </c>
      <c r="K227" s="24" t="n">
        <v>6.206356723216879</v>
      </c>
      <c r="L227" s="27" t="n">
        <v>15.35666867887223</v>
      </c>
      <c r="M227" s="38" t="n">
        <v>0.1935656694885726</v>
      </c>
      <c r="N227" s="28" t="n">
        <v>95.30896390133276</v>
      </c>
      <c r="O227" s="29" t="n">
        <v>4.0050191290025</v>
      </c>
      <c r="P227" s="30" t="n">
        <v>6.206356723216879</v>
      </c>
      <c r="Q227" s="31" t="n">
        <v>0.137048824249705</v>
      </c>
      <c r="R227" s="31" t="n">
        <v>0.1281685708662122</v>
      </c>
      <c r="S227" s="32" t="n">
        <v>0.01768234322374972</v>
      </c>
      <c r="T227" s="22" t="n">
        <v>1709</v>
      </c>
      <c r="U227" s="42">
        <f>C227*S227</f>
        <v/>
      </c>
      <c r="V227" s="42">
        <f>Q227*(1-U227)+S227</f>
        <v/>
      </c>
      <c r="W227" s="42">
        <f>V227+I229/3</f>
        <v/>
      </c>
      <c r="X227" s="42">
        <f>V227+I229/5</f>
        <v/>
      </c>
    </row>
    <row customFormat="1" r="228" s="22" spans="1:114">
      <c r="A228" s="22" t="s">
        <v>142</v>
      </c>
      <c r="B228" s="22" t="s">
        <v>26</v>
      </c>
      <c r="C228" s="119" t="n">
        <v>27.1585653633545</v>
      </c>
      <c r="D228" s="24" t="n">
        <v>16.72453757145914</v>
      </c>
      <c r="E228" s="35" t="n">
        <v>0.3841892107443262</v>
      </c>
      <c r="F228" s="25" t="n">
        <v>113.6036279108276</v>
      </c>
      <c r="G228" s="53" t="n">
        <v>3.182976029511294</v>
      </c>
      <c r="H228" s="26" t="n">
        <v>0.182235177835365</v>
      </c>
      <c r="I228" s="26" t="n">
        <v>0.8655473530564288</v>
      </c>
      <c r="J228" s="26" t="n">
        <v>1.136973456299852</v>
      </c>
      <c r="K228" s="24" t="n">
        <v>6.792631929309372</v>
      </c>
      <c r="L228" s="27" t="n">
        <v>16.72453757145914</v>
      </c>
      <c r="M228" s="38" t="n">
        <v>0.3841892107443262</v>
      </c>
      <c r="N228" s="28" t="n">
        <v>113.6036279108276</v>
      </c>
      <c r="O228" s="29" t="n">
        <v>3.182976029511294</v>
      </c>
      <c r="P228" s="30" t="n">
        <v>6.792631929309372</v>
      </c>
      <c r="Q228" s="31" t="n"/>
      <c r="R228" s="31" t="n"/>
      <c r="S228" s="32" t="n"/>
      <c r="V228" s="32" t="n"/>
    </row>
    <row customFormat="1" r="229" s="22" spans="1:114">
      <c r="A229" s="22" t="s">
        <v>143</v>
      </c>
      <c r="B229" s="22" t="s">
        <v>28</v>
      </c>
      <c r="C229" s="119" t="n">
        <v>2.609776527615087</v>
      </c>
      <c r="D229" s="24" t="n">
        <v>2.233348127630881</v>
      </c>
      <c r="E229" s="35" t="n">
        <v>0.144237790477869</v>
      </c>
      <c r="F229" s="25" t="n">
        <v>7.427671604440204</v>
      </c>
      <c r="G229" s="53" t="n">
        <v>1.846094876647501</v>
      </c>
      <c r="H229" s="26" t="n">
        <v>0.2795416654586604</v>
      </c>
      <c r="I229" s="26" t="n">
        <v>0.4555391734354124</v>
      </c>
      <c r="J229" s="26" t="n">
        <v>0.7597886566054382</v>
      </c>
      <c r="K229" s="24" t="n">
        <v>3.325801075320676</v>
      </c>
      <c r="L229" s="27" t="n">
        <v>2.233348127630881</v>
      </c>
      <c r="M229" s="38" t="n">
        <v>0.144237790477869</v>
      </c>
      <c r="N229" s="28" t="n">
        <v>7.427671604440204</v>
      </c>
      <c r="O229" s="29" t="n">
        <v>1.846094876647501</v>
      </c>
      <c r="P229" s="30" t="n">
        <v>3.325801075320676</v>
      </c>
      <c r="Q229" s="31" t="n"/>
      <c r="R229" s="31" t="n"/>
      <c r="S229" s="32" t="n"/>
      <c r="V229" s="32" t="n"/>
    </row>
    <row customFormat="1" r="230" s="22" spans="1:114">
      <c r="B230" s="22" t="s">
        <v>29</v>
      </c>
      <c r="C230" s="116" t="n">
        <v>3.480874509397757</v>
      </c>
      <c r="D230" s="24" t="n">
        <v>1.995135210265554</v>
      </c>
      <c r="E230" s="35" t="n">
        <v>0.4268293197933349</v>
      </c>
      <c r="F230" s="25" t="n">
        <v>7.326708774726</v>
      </c>
      <c r="G230" s="53" t="n">
        <v>1.104847145435769</v>
      </c>
      <c r="H230" s="26" t="n">
        <v>-0.1113470202037973</v>
      </c>
      <c r="I230" s="26" t="n">
        <v>0.04529782880286426</v>
      </c>
      <c r="J230" s="26" t="n">
        <v>0.2374314574556011</v>
      </c>
      <c r="K230" s="24" t="n">
        <v>3.672286839021206</v>
      </c>
      <c r="L230" s="27" t="n">
        <v>1.995135210265554</v>
      </c>
      <c r="M230" s="38" t="n">
        <v>0.4268293197933349</v>
      </c>
      <c r="N230" s="28" t="n">
        <v>7.326708774726</v>
      </c>
      <c r="O230" s="29" t="n">
        <v>1.104847145435769</v>
      </c>
      <c r="P230" s="30" t="n">
        <v>3.672286839021206</v>
      </c>
      <c r="Q230" s="31" t="n"/>
      <c r="R230" s="31" t="n"/>
      <c r="S230" s="32" t="n"/>
      <c r="V230" s="32" t="n"/>
    </row>
    <row r="231" spans="1:114">
      <c r="C231" s="131">
        <f>C230/C228</f>
        <v/>
      </c>
    </row>
    <row customFormat="1" r="232" s="22" spans="1:114">
      <c r="A232" s="22" t="s">
        <v>144</v>
      </c>
      <c r="B232" s="22" t="s">
        <v>24</v>
      </c>
      <c r="C232" s="116" t="n">
        <v>7.991852396072287</v>
      </c>
      <c r="D232" s="24" t="n">
        <v>5.68935828393944</v>
      </c>
      <c r="E232" s="35" t="n">
        <v>0.2881051848835998</v>
      </c>
      <c r="F232" s="25" t="n">
        <v>47.75797701669715</v>
      </c>
      <c r="G232" s="53" t="n">
        <v>4.975833217361286</v>
      </c>
      <c r="H232" s="26" t="n">
        <v>-0.06755427690442461</v>
      </c>
      <c r="I232" s="26" t="n">
        <v>0.05929821012120007</v>
      </c>
      <c r="J232" s="26" t="n">
        <v>0.3107624267777367</v>
      </c>
      <c r="K232" s="24" t="n">
        <v>8.394264279596126</v>
      </c>
      <c r="L232" s="27" t="n">
        <v>5.68935828393944</v>
      </c>
      <c r="M232" s="38" t="n">
        <v>0.2881051848835998</v>
      </c>
      <c r="N232" s="28" t="n">
        <v>11.10051683975711</v>
      </c>
      <c r="O232" s="29" t="n">
        <v>0.3889792115295596</v>
      </c>
      <c r="P232" s="30" t="n">
        <v>1.951101738678138</v>
      </c>
      <c r="Q232" s="31" t="n">
        <v>0.1290763436399776</v>
      </c>
      <c r="R232" s="31" t="n">
        <v>0.1232791802671819</v>
      </c>
      <c r="S232" s="32" t="n">
        <v>0.04270161951169199</v>
      </c>
      <c r="T232" s="22" t="n">
        <v>3080.6</v>
      </c>
      <c r="U232" s="42">
        <f>C232*S232</f>
        <v/>
      </c>
      <c r="V232" s="42">
        <f>Q232*(1-U232)+S232</f>
        <v/>
      </c>
      <c r="W232" s="42">
        <f>V232+I234/3</f>
        <v/>
      </c>
      <c r="X232" s="42">
        <f>V232+I234/5</f>
        <v/>
      </c>
    </row>
    <row customFormat="1" r="233" s="22" spans="1:114">
      <c r="A233" s="22" t="s">
        <v>145</v>
      </c>
      <c r="B233" s="22" t="s">
        <v>26</v>
      </c>
      <c r="C233" s="116" t="n">
        <v>11.08479757099586</v>
      </c>
      <c r="D233" s="24" t="n">
        <v>8.343930096392612</v>
      </c>
      <c r="E233" s="35" t="n">
        <v>0.2472636470849873</v>
      </c>
      <c r="F233" s="25" t="n">
        <v>85.13000736983733</v>
      </c>
      <c r="G233" s="53" t="n">
        <v>6.679888317724982</v>
      </c>
      <c r="H233" s="26" t="n">
        <v>-0.05453526952062504</v>
      </c>
      <c r="I233" s="26" t="n">
        <v>0.1136881316907969</v>
      </c>
      <c r="J233" s="26" t="n">
        <v>0.5330514696668038</v>
      </c>
      <c r="K233" s="24" t="n">
        <v>10.20262710573788</v>
      </c>
      <c r="L233" s="27" t="n">
        <v>8.395891167590587</v>
      </c>
      <c r="M233" s="38" t="n">
        <v>0.242576049421144</v>
      </c>
      <c r="N233" s="28" t="n">
        <v>17.12889494014097</v>
      </c>
      <c r="O233" s="29" t="n">
        <v>0.545260058240479</v>
      </c>
      <c r="P233" s="30" t="n">
        <v>2.040152093235928</v>
      </c>
      <c r="Q233" s="31" t="n"/>
      <c r="R233" s="31" t="n"/>
      <c r="S233" s="32" t="n"/>
      <c r="V233" s="32" t="n"/>
    </row>
    <row customFormat="1" r="234" s="22" spans="1:114">
      <c r="A234" s="22" t="s">
        <v>146</v>
      </c>
      <c r="B234" s="22" t="s">
        <v>28</v>
      </c>
      <c r="C234" s="116" t="n">
        <v>1.031559086195405</v>
      </c>
      <c r="D234" s="24" t="n">
        <v>0.8995218948179864</v>
      </c>
      <c r="E234" s="35" t="n">
        <v>0.1279977009018436</v>
      </c>
      <c r="F234" s="25" t="n">
        <v>3.469484489282557</v>
      </c>
      <c r="G234" s="53" t="n">
        <v>2.363340535420715</v>
      </c>
      <c r="H234" s="26" t="n">
        <v>-0.005747958982171952</v>
      </c>
      <c r="I234" s="26" t="n">
        <v>0.186797781789187</v>
      </c>
      <c r="J234" s="26" t="n">
        <v>0.7719654231955277</v>
      </c>
      <c r="K234" s="24" t="n">
        <v>3.857031729043782</v>
      </c>
      <c r="L234" s="27" t="n">
        <v>0.8995218948179864</v>
      </c>
      <c r="M234" s="38" t="n">
        <v>0.1279977009018436</v>
      </c>
      <c r="N234" s="28" t="n">
        <v>1.630099307525247</v>
      </c>
      <c r="O234" s="29" t="n">
        <v>0.5802287327402422</v>
      </c>
      <c r="P234" s="30" t="n">
        <v>1.812184135723666</v>
      </c>
      <c r="Q234" s="31" t="n"/>
      <c r="R234" s="31" t="n"/>
      <c r="S234" s="32" t="n"/>
      <c r="V234" s="32" t="n"/>
    </row>
    <row customFormat="1" r="235" s="22" spans="1:114">
      <c r="B235" s="22" t="s">
        <v>29</v>
      </c>
      <c r="C235" s="116" t="n">
        <v>1.366524757980018</v>
      </c>
      <c r="D235" s="24" t="n">
        <v>1.074157315516111</v>
      </c>
      <c r="E235" s="35" t="n">
        <v>0.2139496125164108</v>
      </c>
      <c r="F235" s="25" t="n">
        <v>3.174846150019938</v>
      </c>
      <c r="G235" s="53" t="n">
        <v>1.323299399794966</v>
      </c>
      <c r="H235" s="26" t="n">
        <v>-0.04130535556133108</v>
      </c>
      <c r="I235" s="26" t="n">
        <v>0.1044073194634054</v>
      </c>
      <c r="J235" s="26" t="n">
        <v>0.5468649560137853</v>
      </c>
      <c r="K235" s="24" t="n">
        <v>2.955662177373421</v>
      </c>
      <c r="L235" s="27" t="n">
        <v>1.074157315516111</v>
      </c>
      <c r="M235" s="38" t="n">
        <v>0.2139496125164108</v>
      </c>
      <c r="N235" s="28" t="n">
        <v>2.414546497070656</v>
      </c>
      <c r="O235" s="29" t="n">
        <v>0.7669248090607681</v>
      </c>
      <c r="P235" s="30" t="n">
        <v>2.247851839011601</v>
      </c>
      <c r="Q235" s="31" t="n"/>
      <c r="R235" s="31" t="n"/>
      <c r="S235" s="32" t="n"/>
      <c r="V235" s="32" t="n"/>
    </row>
    <row r="236" spans="1:114">
      <c r="Q236" s="96" t="n"/>
      <c r="R236" s="96" t="n"/>
    </row>
    <row customFormat="1" r="237" s="22" spans="1:114">
      <c r="A237" s="22" t="s">
        <v>147</v>
      </c>
      <c r="B237" s="22" t="s">
        <v>24</v>
      </c>
      <c r="C237" s="116" t="n">
        <v>33.43686085410589</v>
      </c>
      <c r="D237" s="24" t="n">
        <v>23.07152300320608</v>
      </c>
      <c r="E237" s="35" t="n">
        <v>0.3099973378519769</v>
      </c>
      <c r="F237" s="25" t="n">
        <v>63.14317203504261</v>
      </c>
      <c r="G237" s="53" t="n">
        <v>0.8884300266868184</v>
      </c>
      <c r="H237" s="26" t="n">
        <v>-0.1090454885010033</v>
      </c>
      <c r="I237" s="26" t="n">
        <v>0.03107693225085884</v>
      </c>
      <c r="J237" s="26" t="n">
        <v>0.1082279141924776</v>
      </c>
      <c r="K237" s="24" t="n">
        <v>2.736844551886239</v>
      </c>
      <c r="L237" s="27" t="n">
        <v>23.74669827310679</v>
      </c>
      <c r="M237" s="38" t="n">
        <v>0.2898047942741967</v>
      </c>
      <c r="N237" s="28" t="n">
        <v>63.14317203504261</v>
      </c>
      <c r="O237" s="29" t="n">
        <v>0.8884300266868184</v>
      </c>
      <c r="P237" s="30" t="n">
        <v>2.65902953365742</v>
      </c>
      <c r="Q237" s="31" t="n">
        <v>0.1242855581706397</v>
      </c>
      <c r="R237" s="31" t="n">
        <v>0.1115497352812384</v>
      </c>
      <c r="S237" s="32" t="n">
        <v>0.01034877501848309</v>
      </c>
      <c r="T237" s="22" t="n">
        <v>13155.19</v>
      </c>
      <c r="U237" s="42">
        <f>C237*S237</f>
        <v/>
      </c>
      <c r="V237" s="42">
        <f>Q237*(1-U237)+S237</f>
        <v/>
      </c>
      <c r="W237" s="42">
        <f>V237+I239/3</f>
        <v/>
      </c>
      <c r="X237" s="42">
        <f>V237+I239/5</f>
        <v/>
      </c>
    </row>
    <row customFormat="1" r="238" s="22" spans="1:114">
      <c r="A238" s="22" t="s">
        <v>148</v>
      </c>
      <c r="B238" s="22" t="s">
        <v>26</v>
      </c>
      <c r="C238" s="119" t="n">
        <v>30.8930429950014</v>
      </c>
      <c r="D238" s="24" t="n">
        <v>19.70168983195303</v>
      </c>
      <c r="E238" s="35" t="n">
        <v>0.3622612756166227</v>
      </c>
      <c r="F238" s="25" t="n">
        <v>71.98393454359221</v>
      </c>
      <c r="G238" s="53" t="n">
        <v>1.330101782308705</v>
      </c>
      <c r="H238" s="26" t="n">
        <v>0.07318480115876391</v>
      </c>
      <c r="I238" s="26" t="n">
        <v>0.1913950848404704</v>
      </c>
      <c r="J238" s="26" t="n">
        <v>0.3132931643564347</v>
      </c>
      <c r="K238" s="24" t="n">
        <v>3.6536934221168</v>
      </c>
      <c r="L238" s="27" t="n">
        <v>19.70168983195303</v>
      </c>
      <c r="M238" s="38" t="n">
        <v>0.3622612756166227</v>
      </c>
      <c r="N238" s="28" t="n">
        <v>71.98393454359221</v>
      </c>
      <c r="O238" s="29" t="n">
        <v>1.330101782308705</v>
      </c>
      <c r="P238" s="30" t="n">
        <v>3.6536934221168</v>
      </c>
      <c r="Q238" s="31" t="n"/>
      <c r="R238" s="31" t="n"/>
      <c r="S238" s="32" t="n"/>
      <c r="V238" s="32" t="n"/>
    </row>
    <row customFormat="1" r="239" s="22" spans="1:114">
      <c r="A239" s="22" t="s">
        <v>149</v>
      </c>
      <c r="B239" s="22" t="s">
        <v>28</v>
      </c>
      <c r="C239" s="116" t="n">
        <v>4.155718914726563</v>
      </c>
      <c r="D239" s="24" t="n">
        <v>3.038713152638451</v>
      </c>
      <c r="E239" s="35" t="n">
        <v>0.268787611724603</v>
      </c>
      <c r="F239" s="25" t="n">
        <v>7.785931291469528</v>
      </c>
      <c r="G239" s="53" t="n">
        <v>0.8735461784671317</v>
      </c>
      <c r="H239" s="26" t="n">
        <v>-0.07805870696432082</v>
      </c>
      <c r="I239" s="26" t="n">
        <v>0.03121247479472866</v>
      </c>
      <c r="J239" s="26" t="n">
        <v>0.120440821748631</v>
      </c>
      <c r="K239" s="24" t="n">
        <v>2.562246220808689</v>
      </c>
      <c r="L239" s="27" t="n">
        <v>3.06661862285449</v>
      </c>
      <c r="M239" s="38" t="n">
        <v>0.2620726555909842</v>
      </c>
      <c r="N239" s="28" t="n">
        <v>7.785931291469528</v>
      </c>
      <c r="O239" s="29" t="n">
        <v>0.8735461784671317</v>
      </c>
      <c r="P239" s="30" t="n">
        <v>2.538930414575705</v>
      </c>
      <c r="Q239" s="31" t="n"/>
      <c r="R239" s="31" t="n"/>
      <c r="S239" s="32" t="n"/>
      <c r="V239" s="32" t="n"/>
    </row>
    <row customFormat="1" r="240" s="22" spans="1:114">
      <c r="B240" s="22" t="s">
        <v>29</v>
      </c>
      <c r="C240" s="119" t="n">
        <v>3.446110768124323</v>
      </c>
      <c r="D240" s="24" t="n">
        <v>2.438323167604771</v>
      </c>
      <c r="E240" s="35" t="n">
        <v>0.2924420218413579</v>
      </c>
      <c r="F240" s="25" t="n">
        <v>7.986081075786805</v>
      </c>
      <c r="G240" s="53" t="n">
        <v>1.31741856636069</v>
      </c>
      <c r="H240" s="26" t="n">
        <v>0.008938379662707607</v>
      </c>
      <c r="I240" s="26" t="n">
        <v>0.1384929121119016</v>
      </c>
      <c r="J240" s="26" t="n">
        <v>0.2859455055104314</v>
      </c>
      <c r="K240" s="24" t="n">
        <v>3.275234875298233</v>
      </c>
      <c r="L240" s="27" t="n">
        <v>2.438323167604771</v>
      </c>
      <c r="M240" s="38" t="n">
        <v>0.2924420218413579</v>
      </c>
      <c r="N240" s="28" t="n">
        <v>7.986081075786805</v>
      </c>
      <c r="O240" s="29" t="n">
        <v>1.31741856636069</v>
      </c>
      <c r="P240" s="30" t="n">
        <v>3.275234875298233</v>
      </c>
      <c r="Q240" s="31" t="n"/>
      <c r="R240" s="31" t="n"/>
      <c r="S240" s="32" t="n"/>
      <c r="V240" s="32" t="n"/>
    </row>
    <row r="241" spans="1:114">
      <c r="C241" s="131">
        <f>C240/C238</f>
        <v/>
      </c>
    </row>
    <row customFormat="1" r="242" s="22" spans="1:114">
      <c r="A242" s="22" t="s">
        <v>150</v>
      </c>
      <c r="B242" s="22" t="s">
        <v>24</v>
      </c>
      <c r="C242" s="119" t="n">
        <v>10.90479672006786</v>
      </c>
      <c r="D242" s="24" t="n">
        <v>8.540849436669035</v>
      </c>
      <c r="E242" s="35" t="n">
        <v>0.2167804998188098</v>
      </c>
      <c r="F242" s="25" t="n">
        <v>59.74024693618338</v>
      </c>
      <c r="G242" s="53" t="n">
        <v>4.478345765606496</v>
      </c>
      <c r="H242" s="26" t="n">
        <v>0.2594279930168075</v>
      </c>
      <c r="I242" s="26" t="n">
        <v>0.6151235439509639</v>
      </c>
      <c r="J242" s="26" t="n">
        <v>1.258543460071012</v>
      </c>
      <c r="K242" s="24" t="n">
        <v>6.994649347135935</v>
      </c>
      <c r="L242" s="27" t="n">
        <v>8.540849436669035</v>
      </c>
      <c r="M242" s="38" t="n">
        <v>0.2167804998188098</v>
      </c>
      <c r="N242" s="28" t="n">
        <v>59.74024693618338</v>
      </c>
      <c r="O242" s="29" t="n">
        <v>4.478345765606496</v>
      </c>
      <c r="P242" s="30" t="n">
        <v>6.994649347135935</v>
      </c>
      <c r="Q242" s="31" t="n">
        <v>0.1206799340849783</v>
      </c>
      <c r="R242" s="31" t="n">
        <v>0.1040865378513172</v>
      </c>
      <c r="S242" s="32" t="n">
        <v>0.03140759212574894</v>
      </c>
      <c r="T242" s="22" t="n">
        <v>1584.36</v>
      </c>
      <c r="U242" s="42">
        <f>C242*S242</f>
        <v/>
      </c>
      <c r="V242" s="42">
        <f>Q242*(1-U242)+S242</f>
        <v/>
      </c>
      <c r="W242" s="42">
        <f>V242+I244/3</f>
        <v/>
      </c>
      <c r="X242" s="42">
        <f>V242+I244/5</f>
        <v/>
      </c>
    </row>
    <row customFormat="1" r="243" s="22" spans="1:114">
      <c r="A243" s="22" t="s">
        <v>151</v>
      </c>
      <c r="B243" s="22" t="s">
        <v>26</v>
      </c>
      <c r="C243" s="116" t="n">
        <v>20.9783964710034</v>
      </c>
      <c r="D243" s="24" t="n">
        <v>14.61554049846874</v>
      </c>
      <c r="E243" s="35" t="n">
        <v>0.3033051635442907</v>
      </c>
      <c r="F243" s="25" t="n">
        <v>63.43326449602758</v>
      </c>
      <c r="G243" s="53" t="n">
        <v>2.023742285722639</v>
      </c>
      <c r="H243" s="26" t="n">
        <v>-0.09417955472243056</v>
      </c>
      <c r="I243" s="26" t="n">
        <v>0.4880169319234242</v>
      </c>
      <c r="J243" s="26" t="n">
        <v>0.7948258988142816</v>
      </c>
      <c r="K243" s="24" t="n">
        <v>4.340124438276739</v>
      </c>
      <c r="L243" s="27" t="n">
        <v>14.61554049846874</v>
      </c>
      <c r="M243" s="38" t="n">
        <v>0.3033051635442907</v>
      </c>
      <c r="N243" s="28" t="n">
        <v>63.43326449602758</v>
      </c>
      <c r="O243" s="29" t="n">
        <v>2.023742285722639</v>
      </c>
      <c r="P243" s="30" t="n">
        <v>4.340124438276739</v>
      </c>
      <c r="Q243" s="31" t="n"/>
      <c r="R243" s="31" t="n"/>
      <c r="S243" s="32" t="n"/>
      <c r="V243" s="32" t="n"/>
    </row>
    <row customFormat="1" r="244" s="22" spans="1:114">
      <c r="A244" s="22" t="s">
        <v>152</v>
      </c>
      <c r="B244" s="22" t="s">
        <v>28</v>
      </c>
      <c r="C244" s="119" t="n">
        <v>1.315990149387877</v>
      </c>
      <c r="D244" s="24" t="n">
        <v>1.077813388795547</v>
      </c>
      <c r="E244" s="35" t="n">
        <v>0.180986735123448</v>
      </c>
      <c r="F244" s="25" t="n">
        <v>4.689353689795521</v>
      </c>
      <c r="G244" s="53" t="n">
        <v>2.563365342800429</v>
      </c>
      <c r="H244" s="26" t="n">
        <v>0.1725926238549746</v>
      </c>
      <c r="I244" s="26" t="n">
        <v>0.3850069950350188</v>
      </c>
      <c r="J244" s="26" t="n">
        <v>0.6701249117574406</v>
      </c>
      <c r="K244" s="24" t="n">
        <v>4.350802966955031</v>
      </c>
      <c r="L244" s="27" t="n">
        <v>1.077813388795547</v>
      </c>
      <c r="M244" s="38" t="n">
        <v>0.180986735123448</v>
      </c>
      <c r="N244" s="28" t="n">
        <v>4.689353689795521</v>
      </c>
      <c r="O244" s="29" t="n">
        <v>2.563365342800429</v>
      </c>
      <c r="P244" s="30" t="n">
        <v>4.350802966955031</v>
      </c>
      <c r="Q244" s="31" t="n"/>
      <c r="R244" s="31" t="n"/>
      <c r="S244" s="32" t="n"/>
      <c r="V244" s="32" t="n"/>
    </row>
    <row customFormat="1" r="245" s="22" spans="1:114">
      <c r="B245" s="22" t="s">
        <v>29</v>
      </c>
      <c r="C245" s="116" t="n">
        <v>2.183568658339035</v>
      </c>
      <c r="D245" s="24" t="n">
        <v>1.650829200677324</v>
      </c>
      <c r="E245" s="35" t="n">
        <v>0.2439765086511856</v>
      </c>
      <c r="F245" s="25" t="n">
        <v>4.815466453796061</v>
      </c>
      <c r="G245" s="53" t="n">
        <v>1.205319459686245</v>
      </c>
      <c r="H245" s="26" t="n">
        <v>-0.1081389769117806</v>
      </c>
      <c r="I245" s="26" t="n">
        <v>0.02088001730756628</v>
      </c>
      <c r="J245" s="26" t="n">
        <v>0.2459427711373714</v>
      </c>
      <c r="K245" s="24" t="n">
        <v>2.916998591871471</v>
      </c>
      <c r="L245" s="27" t="n">
        <v>1.650829200677324</v>
      </c>
      <c r="M245" s="38" t="n">
        <v>0.2439765086511856</v>
      </c>
      <c r="N245" s="28" t="n">
        <v>4.815466453796061</v>
      </c>
      <c r="O245" s="29" t="n">
        <v>1.205319459686245</v>
      </c>
      <c r="P245" s="30" t="n">
        <v>2.916998591871471</v>
      </c>
      <c r="Q245" s="31" t="n"/>
      <c r="R245" s="31" t="n"/>
      <c r="S245" s="32" t="n"/>
      <c r="V245" s="32" t="n"/>
    </row>
    <row customFormat="1" r="247" s="22" spans="1:114">
      <c r="A247" s="22" t="s">
        <v>153</v>
      </c>
      <c r="B247" s="22" t="s">
        <v>24</v>
      </c>
      <c r="C247" s="115" t="n">
        <v>14.48475768818054</v>
      </c>
      <c r="D247" s="24" t="n">
        <v>9.176343971794735</v>
      </c>
      <c r="E247" s="35" t="n">
        <v>0.3664827421115533</v>
      </c>
      <c r="F247" s="25" t="n">
        <v>22.87248512816918</v>
      </c>
      <c r="G247" s="53" t="n">
        <v>0.579072679057169</v>
      </c>
      <c r="H247" s="26" t="n">
        <v>-0.2456474419384955</v>
      </c>
      <c r="I247" s="26" t="n">
        <v>-0.04043076276144009</v>
      </c>
      <c r="J247" s="26" t="n">
        <v>0.3172263373205324</v>
      </c>
      <c r="K247" s="24" t="n">
        <v>2.492548797045117</v>
      </c>
      <c r="L247" s="27" t="n">
        <v>9.176343971794735</v>
      </c>
      <c r="M247" s="38" t="n">
        <v>0.3664827421115533</v>
      </c>
      <c r="N247" s="28" t="n">
        <v>22.87248512816918</v>
      </c>
      <c r="O247" s="29" t="n">
        <v>0.579072679057169</v>
      </c>
      <c r="P247" s="30" t="n">
        <v>2.492548797045117</v>
      </c>
      <c r="Q247" s="31" t="n">
        <v>0.1175087894273063</v>
      </c>
      <c r="R247" s="31" t="n">
        <v>0.08220771344542928</v>
      </c>
      <c r="S247" s="32" t="n">
        <v>0.02345948226830867</v>
      </c>
      <c r="T247" s="22" t="n">
        <v>2439.18</v>
      </c>
      <c r="U247" s="42">
        <f>C247*S247</f>
        <v/>
      </c>
      <c r="V247" s="42">
        <f>Q247*(1-U247)+S247</f>
        <v/>
      </c>
      <c r="W247" s="42">
        <f>V247+I249/3</f>
        <v/>
      </c>
      <c r="X247" s="42">
        <f>V247+I249/5</f>
        <v/>
      </c>
    </row>
    <row customFormat="1" r="248" s="22" spans="1:114">
      <c r="A248" s="22" t="s">
        <v>154</v>
      </c>
      <c r="B248" s="22" t="s">
        <v>26</v>
      </c>
      <c r="C248" s="115" t="n">
        <v>16.95261470340115</v>
      </c>
      <c r="D248" s="24" t="n">
        <v>12.17523419776564</v>
      </c>
      <c r="E248" s="35" t="n">
        <v>0.2818078856400269</v>
      </c>
      <c r="F248" s="25" t="n">
        <v>30.58222617237851</v>
      </c>
      <c r="G248" s="53" t="n">
        <v>0.8039828491024985</v>
      </c>
      <c r="H248" s="26" t="n">
        <v>-0.1643599678489979</v>
      </c>
      <c r="I248" s="26" t="n">
        <v>-0.04357019163327225</v>
      </c>
      <c r="J248" s="26" t="n">
        <v>0.1719199323243672</v>
      </c>
      <c r="K248" s="24" t="n">
        <v>2.511838842327228</v>
      </c>
      <c r="L248" s="27" t="n">
        <v>12.17523419776564</v>
      </c>
      <c r="M248" s="38" t="n">
        <v>0.2818078856400269</v>
      </c>
      <c r="N248" s="28" t="n">
        <v>30.58222617237851</v>
      </c>
      <c r="O248" s="29" t="n">
        <v>0.8039828491024985</v>
      </c>
      <c r="P248" s="30" t="n">
        <v>2.511838842327228</v>
      </c>
      <c r="Q248" s="31" t="n"/>
      <c r="R248" s="31" t="n"/>
      <c r="S248" s="32" t="n"/>
      <c r="V248" s="32" t="n"/>
    </row>
    <row customFormat="1" r="249" s="22" spans="1:114">
      <c r="A249" s="22" t="s">
        <v>155</v>
      </c>
      <c r="B249" s="22" t="s">
        <v>28</v>
      </c>
      <c r="C249" s="115" t="n">
        <v>1.702086341085963</v>
      </c>
      <c r="D249" s="24" t="n">
        <v>1.140072484313156</v>
      </c>
      <c r="E249" s="35" t="n">
        <v>0.3301911561162235</v>
      </c>
      <c r="F249" s="25" t="n">
        <v>2.128310540790168</v>
      </c>
      <c r="G249" s="53" t="n">
        <v>0.2504127959996822</v>
      </c>
      <c r="H249" s="26" t="n">
        <v>-0.2587467337898034</v>
      </c>
      <c r="I249" s="26" t="n">
        <v>-0.1385459323125836</v>
      </c>
      <c r="J249" s="26" t="n">
        <v>0.03932229542881305</v>
      </c>
      <c r="K249" s="24" t="n">
        <v>1.866820373331246</v>
      </c>
      <c r="L249" s="27" t="n">
        <v>1.140072484313156</v>
      </c>
      <c r="M249" s="38" t="n">
        <v>0.3301911561162235</v>
      </c>
      <c r="N249" s="28" t="n">
        <v>2.128310540790168</v>
      </c>
      <c r="O249" s="29" t="n">
        <v>0.2504127959996822</v>
      </c>
      <c r="P249" s="30" t="n">
        <v>1.866820373331246</v>
      </c>
      <c r="Q249" s="31" t="n"/>
      <c r="R249" s="31" t="n"/>
      <c r="S249" s="32" t="n"/>
      <c r="V249" s="32" t="n"/>
    </row>
    <row customFormat="1" r="250" s="22" spans="1:114">
      <c r="B250" s="22" t="s">
        <v>29</v>
      </c>
      <c r="C250" s="119" t="n">
        <v>1.393635691687972</v>
      </c>
      <c r="D250" s="24" t="n">
        <v>1.072083008100685</v>
      </c>
      <c r="E250" s="35" t="n">
        <v>0.2307293688767561</v>
      </c>
      <c r="F250" s="25" t="n">
        <v>3.048467397979231</v>
      </c>
      <c r="G250" s="53" t="n">
        <v>1.187420583557906</v>
      </c>
      <c r="H250" s="26" t="n">
        <v>0.06824023723754147</v>
      </c>
      <c r="I250" s="26" t="n">
        <v>0.2132228533151888</v>
      </c>
      <c r="J250" s="26" t="n">
        <v>0.4901728659060265</v>
      </c>
      <c r="K250" s="24" t="n">
        <v>2.843499407177371</v>
      </c>
      <c r="L250" s="27" t="n">
        <v>1.072083008100685</v>
      </c>
      <c r="M250" s="38" t="n">
        <v>0.2307293688767561</v>
      </c>
      <c r="N250" s="28" t="n">
        <v>3.048467397979231</v>
      </c>
      <c r="O250" s="29" t="n">
        <v>1.187420583557906</v>
      </c>
      <c r="P250" s="30" t="n">
        <v>2.843499407177371</v>
      </c>
      <c r="Q250" s="31" t="n"/>
      <c r="R250" s="31" t="n"/>
      <c r="S250" s="32" t="n"/>
      <c r="V250" s="32" t="n"/>
    </row>
    <row customFormat="1" r="252" s="22" spans="1:114">
      <c r="A252" s="22" t="s">
        <v>156</v>
      </c>
      <c r="B252" s="22" t="s">
        <v>24</v>
      </c>
      <c r="C252" s="115" t="n">
        <v>18.55059641397153</v>
      </c>
      <c r="D252" s="24" t="n">
        <v>12.04018926039613</v>
      </c>
      <c r="E252" s="35" t="n">
        <v>0.3509540614377249</v>
      </c>
      <c r="F252" s="25" t="n">
        <v>55.62975291945635</v>
      </c>
      <c r="G252" s="53" t="n">
        <v>1.998812096281624</v>
      </c>
      <c r="H252" s="26" t="n">
        <v>-0.2614269591795523</v>
      </c>
      <c r="I252" s="26" t="n">
        <v>-0.08555012520787608</v>
      </c>
      <c r="J252" s="26" t="n">
        <v>1.061034681236413</v>
      </c>
      <c r="K252" s="24" t="n">
        <v>4.620338743547799</v>
      </c>
      <c r="L252" s="27" t="n">
        <v>12.14246832035913</v>
      </c>
      <c r="M252" s="38" t="n">
        <v>0.345440542751826</v>
      </c>
      <c r="N252" s="28" t="n">
        <v>55.62975291945635</v>
      </c>
      <c r="O252" s="29" t="n">
        <v>1.998812096281624</v>
      </c>
      <c r="P252" s="30" t="n">
        <v>4.581420470019478</v>
      </c>
      <c r="Q252" s="31" t="n">
        <v>0.08164273787468895</v>
      </c>
      <c r="R252" s="31" t="n">
        <v>0.07869704005171797</v>
      </c>
      <c r="S252" s="32" t="n">
        <v>0.02709580665636122</v>
      </c>
      <c r="T252" s="22" t="n">
        <v>4370.21</v>
      </c>
      <c r="U252" s="42">
        <f>C252*S252</f>
        <v/>
      </c>
      <c r="V252" s="42">
        <f>Q252*(1-U252)+S252</f>
        <v/>
      </c>
      <c r="W252" s="42">
        <f>V252+I254/3</f>
        <v/>
      </c>
      <c r="X252" s="42">
        <f>V252+I254/5</f>
        <v/>
      </c>
    </row>
    <row customFormat="1" r="253" s="22" spans="1:114">
      <c r="A253" s="22" t="s">
        <v>157</v>
      </c>
      <c r="B253" s="22" t="s">
        <v>26</v>
      </c>
      <c r="C253" s="116" t="n">
        <v>24.42931273645703</v>
      </c>
      <c r="D253" s="24" t="n">
        <v>15.39632742954999</v>
      </c>
      <c r="E253" s="35" t="n">
        <v>0.3697601076360485</v>
      </c>
      <c r="F253" s="25" t="n">
        <v>151.043554797335</v>
      </c>
      <c r="G253" s="53" t="n">
        <v>5.18288186928507</v>
      </c>
      <c r="H253" s="26" t="n">
        <v>-0.01285519118224832</v>
      </c>
      <c r="I253" s="26" t="n">
        <v>0.2899528998257763</v>
      </c>
      <c r="J253" s="26" t="n">
        <v>1.941100705648154</v>
      </c>
      <c r="K253" s="24" t="n">
        <v>9.810362600332784</v>
      </c>
      <c r="L253" s="27" t="n">
        <v>15.39632742954999</v>
      </c>
      <c r="M253" s="38" t="n">
        <v>0.3697601076360485</v>
      </c>
      <c r="N253" s="28" t="n">
        <v>151.043554797335</v>
      </c>
      <c r="O253" s="29" t="n">
        <v>5.18288186928507</v>
      </c>
      <c r="P253" s="30" t="n">
        <v>9.810362600332784</v>
      </c>
      <c r="Q253" s="31" t="n"/>
      <c r="R253" s="31" t="n"/>
      <c r="S253" s="32" t="n"/>
      <c r="V253" s="32" t="n"/>
    </row>
    <row customFormat="1" r="254" s="22" spans="1:114">
      <c r="A254" s="22" t="s">
        <v>158</v>
      </c>
      <c r="B254" s="22" t="s">
        <v>28</v>
      </c>
      <c r="C254" s="116" t="n">
        <v>1.514521480445023</v>
      </c>
      <c r="D254" s="24" t="n">
        <v>1.184766337530019</v>
      </c>
      <c r="E254" s="35" t="n">
        <v>0.2177289310007737</v>
      </c>
      <c r="F254" s="25" t="n">
        <v>2.48763716493419</v>
      </c>
      <c r="G254" s="53" t="n">
        <v>0.6425235277635215</v>
      </c>
      <c r="H254" s="26" t="n">
        <v>-0.0960277074640925</v>
      </c>
      <c r="I254" s="26" t="n">
        <v>0.01314589949611733</v>
      </c>
      <c r="J254" s="26" t="n">
        <v>0.2047438597789561</v>
      </c>
      <c r="K254" s="24" t="n">
        <v>2.099685892595813</v>
      </c>
      <c r="L254" s="27" t="n">
        <v>1.184766337530019</v>
      </c>
      <c r="M254" s="38" t="n">
        <v>0.2177289310007737</v>
      </c>
      <c r="N254" s="28" t="n">
        <v>2.468651114076041</v>
      </c>
      <c r="O254" s="29" t="n">
        <v>0.6299875214385595</v>
      </c>
      <c r="P254" s="30" t="n">
        <v>2.083660748855038</v>
      </c>
      <c r="Q254" s="31" t="n"/>
      <c r="R254" s="31" t="n"/>
      <c r="S254" s="32" t="n"/>
      <c r="V254" s="32" t="n"/>
    </row>
    <row customFormat="1" r="255" s="22" spans="1:114">
      <c r="B255" s="22" t="s">
        <v>29</v>
      </c>
      <c r="C255" s="116" t="n">
        <v>1.922514602856903</v>
      </c>
      <c r="D255" s="24" t="n">
        <v>1.366816257211439</v>
      </c>
      <c r="E255" s="35" t="n">
        <v>0.2890476591541529</v>
      </c>
      <c r="F255" s="25" t="n">
        <v>4.146744155048066</v>
      </c>
      <c r="G255" s="53" t="n">
        <v>1.156937663248906</v>
      </c>
      <c r="H255" s="26" t="n">
        <v>-0.07988896069443763</v>
      </c>
      <c r="I255" s="26" t="n">
        <v>0.1326965045201363</v>
      </c>
      <c r="J255" s="26" t="n">
        <v>0.3059602238955212</v>
      </c>
      <c r="K255" s="24" t="n">
        <v>3.033870963393573</v>
      </c>
      <c r="L255" s="27" t="n">
        <v>1.366816257211439</v>
      </c>
      <c r="M255" s="38" t="n">
        <v>0.2890476591541529</v>
      </c>
      <c r="N255" s="28" t="n">
        <v>4.146744155048066</v>
      </c>
      <c r="O255" s="29" t="n">
        <v>1.156937663248906</v>
      </c>
      <c r="P255" s="30" t="n">
        <v>3.033870963393573</v>
      </c>
      <c r="Q255" s="31" t="n"/>
      <c r="R255" s="31" t="n"/>
      <c r="S255" s="32" t="n"/>
      <c r="V255" s="32" t="n"/>
    </row>
    <row r="257" spans="1:114">
      <c r="A257" t="s">
        <v>159</v>
      </c>
      <c r="B257" t="s">
        <v>24</v>
      </c>
      <c r="C257" s="103" t="n">
        <v>35.78</v>
      </c>
      <c r="D257" s="4" t="n">
        <v>22.08</v>
      </c>
      <c r="E257" s="87">
        <f>C257/D257-1</f>
        <v/>
      </c>
      <c r="F257" s="5" t="n">
        <v>63.09</v>
      </c>
      <c r="H257" s="90">
        <f>33.59/C257-1</f>
        <v/>
      </c>
      <c r="I257" s="90">
        <f>43.67/C257-1</f>
        <v/>
      </c>
      <c r="J257" s="90">
        <f>51.62/C257-1</f>
        <v/>
      </c>
      <c r="Q257" s="96">
        <f>C259/C257</f>
        <v/>
      </c>
      <c r="R257" s="96" t="n"/>
      <c r="S257" s="131" t="n">
        <v>0.0008</v>
      </c>
      <c r="U257" s="42">
        <f>C257*S257</f>
        <v/>
      </c>
      <c r="V257" s="42">
        <f>Q257*(1-U257)+S257</f>
        <v/>
      </c>
      <c r="W257" s="42">
        <f>V257+I259/3</f>
        <v/>
      </c>
      <c r="X257" s="42">
        <f>V257+I259/5</f>
        <v/>
      </c>
    </row>
    <row r="258" spans="1:114">
      <c r="C258" s="101" t="n"/>
      <c r="Q258" s="96" t="n"/>
      <c r="R258" s="96" t="n"/>
      <c r="U258" s="22" t="n"/>
      <c r="V258" s="32" t="n"/>
      <c r="W258" s="22" t="n"/>
      <c r="X258" s="22" t="n"/>
    </row>
    <row r="259" spans="1:114">
      <c r="B259" t="s">
        <v>28</v>
      </c>
      <c r="C259" s="101" t="n">
        <v>5.47</v>
      </c>
      <c r="D259" s="4" t="n">
        <v>4.61</v>
      </c>
      <c r="E259" s="87">
        <f>1-D259/C259</f>
        <v/>
      </c>
      <c r="F259" s="5" t="n">
        <v>11.54</v>
      </c>
      <c r="H259" s="90">
        <f>6.25/C259-1</f>
        <v/>
      </c>
      <c r="I259" s="90">
        <f>7.17/C259-1</f>
        <v/>
      </c>
      <c r="J259" s="90">
        <f>8.09/C259-1</f>
        <v/>
      </c>
      <c r="Q259" s="96" t="n"/>
      <c r="R259" s="96" t="n"/>
      <c r="U259" s="22" t="n"/>
      <c r="V259" s="32" t="n"/>
      <c r="W259" s="22" t="n"/>
      <c r="X259" s="22" t="n"/>
    </row>
    <row r="260" spans="1:114">
      <c r="C260" s="101" t="n"/>
      <c r="Q260" s="96" t="n"/>
      <c r="R260" s="96" t="n"/>
      <c r="U260" s="22" t="n"/>
      <c r="V260" s="32" t="n"/>
      <c r="W260" s="22" t="n"/>
      <c r="X260" s="22" t="n"/>
    </row>
    <row customHeight="1" ht="18" r="262" s="130" spans="1:114">
      <c r="A262" t="s">
        <v>160</v>
      </c>
      <c r="B262" t="s">
        <v>24</v>
      </c>
      <c r="C262" s="101" t="n">
        <v>11.16</v>
      </c>
      <c r="D262" s="44" t="n">
        <v>5.14</v>
      </c>
      <c r="E262" s="87">
        <f>1-D262/C262</f>
        <v/>
      </c>
      <c r="H262" s="90">
        <f>11.5/C262-1</f>
        <v/>
      </c>
      <c r="I262" s="90">
        <f>13.42/C262-1</f>
        <v/>
      </c>
      <c r="J262" s="90">
        <f>15.64/C262-1</f>
        <v/>
      </c>
      <c r="Q262" s="96">
        <f>C264/C262</f>
        <v/>
      </c>
      <c r="R262" s="96" t="n"/>
      <c r="S262" s="131" t="n">
        <v>0.0221</v>
      </c>
      <c r="U262" s="42">
        <f>C262*S262</f>
        <v/>
      </c>
      <c r="V262" s="42">
        <f>Q262*(1-U262)+S262</f>
        <v/>
      </c>
      <c r="W262" s="42">
        <f>V262+I264/3</f>
        <v/>
      </c>
      <c r="X262" s="42">
        <f>V262+I264/5</f>
        <v/>
      </c>
    </row>
    <row r="263" spans="1:114">
      <c r="A263" s="108" t="n">
        <v>399959</v>
      </c>
      <c r="C263" s="55" t="s">
        <v>161</v>
      </c>
      <c r="Q263" s="96" t="n"/>
      <c r="R263" s="96" t="n"/>
      <c r="U263" s="22" t="n"/>
      <c r="V263" s="32" t="n"/>
      <c r="W263" s="22" t="n"/>
      <c r="X263" s="22" t="n"/>
    </row>
    <row customHeight="1" ht="18" r="264" s="130" spans="1:114">
      <c r="A264" t="s">
        <v>162</v>
      </c>
      <c r="B264" t="s">
        <v>28</v>
      </c>
      <c r="C264" s="103" t="n">
        <v>2.51</v>
      </c>
      <c r="D264" s="44" t="n">
        <v>1.62</v>
      </c>
      <c r="E264" s="87">
        <f>1-D264/C264</f>
        <v/>
      </c>
      <c r="H264" s="90">
        <f>2.3/C264-1</f>
        <v/>
      </c>
      <c r="I264" s="90">
        <f>2.54/C264-1</f>
        <v/>
      </c>
      <c r="J264" s="90">
        <f>2.83/C264-1</f>
        <v/>
      </c>
      <c r="U264" s="22" t="n"/>
      <c r="V264" s="32" t="n"/>
      <c r="W264" s="22" t="n"/>
      <c r="X264" s="22" t="n"/>
    </row>
    <row customHeight="1" ht="18" r="265" s="130" spans="1:114">
      <c r="A265" s="71" t="n"/>
      <c r="C265" s="101" t="n"/>
      <c r="D265" s="44" t="n"/>
      <c r="U265" s="22" t="n"/>
      <c r="V265" s="32" t="n"/>
      <c r="W265" s="22" t="n"/>
      <c r="X265" s="22" t="n"/>
    </row>
    <row r="267" spans="1:114">
      <c r="A267" t="s">
        <v>163</v>
      </c>
      <c r="B267" t="s">
        <v>24</v>
      </c>
      <c r="C267" s="101" t="n">
        <v>10.72</v>
      </c>
      <c r="D267" s="4" t="n">
        <v>7.76</v>
      </c>
      <c r="E267" s="87">
        <f>1-D267/C267</f>
        <v/>
      </c>
      <c r="H267" s="90">
        <f>11.2/C267-1</f>
        <v/>
      </c>
      <c r="I267" s="90">
        <f>12.42/C267-1</f>
        <v/>
      </c>
      <c r="J267" s="90">
        <f>14.24/C267-1</f>
        <v/>
      </c>
      <c r="Q267" s="96">
        <f>C269/C267</f>
        <v/>
      </c>
      <c r="S267" s="131" t="n">
        <v>0.0405</v>
      </c>
      <c r="U267" s="42">
        <f>C267*S267</f>
        <v/>
      </c>
      <c r="V267" s="42">
        <f>Q267*(1-U267)+S267</f>
        <v/>
      </c>
      <c r="W267" s="42">
        <f>V267+I269/3</f>
        <v/>
      </c>
      <c r="X267" s="42">
        <f>V267+I269/5</f>
        <v/>
      </c>
    </row>
    <row r="268" spans="1:114">
      <c r="A268" t="s">
        <v>164</v>
      </c>
      <c r="C268" s="101" t="n"/>
      <c r="Q268" s="96" t="n"/>
      <c r="U268" s="22" t="n"/>
      <c r="V268" s="32" t="n"/>
      <c r="W268" s="22" t="n"/>
      <c r="X268" s="22" t="n"/>
    </row>
    <row r="269" spans="1:114">
      <c r="A269" t="s">
        <v>165</v>
      </c>
      <c r="B269" t="s">
        <v>28</v>
      </c>
      <c r="C269" s="101" t="n">
        <v>1.56</v>
      </c>
      <c r="D269" s="4" t="n">
        <v>1.15</v>
      </c>
      <c r="E269" s="87">
        <f>1-D269/C269</f>
        <v/>
      </c>
      <c r="H269" s="90">
        <f>1.61/C269-1</f>
        <v/>
      </c>
      <c r="I269" s="90">
        <f>1.78/C269-1</f>
        <v/>
      </c>
      <c r="J269" s="90">
        <f>2.02/C269-1</f>
        <v/>
      </c>
      <c r="U269" s="22" t="n"/>
      <c r="V269" s="32" t="n"/>
      <c r="W269" s="22" t="n"/>
      <c r="X269" s="22" t="n"/>
    </row>
    <row r="270" spans="1:114">
      <c r="C270" s="101" t="n"/>
      <c r="U270" s="22" t="n"/>
      <c r="V270" s="32" t="n"/>
      <c r="W270" s="22" t="n"/>
      <c r="X270" s="22" t="n"/>
    </row>
    <row r="272" spans="1:114">
      <c r="A272" t="s">
        <v>166</v>
      </c>
      <c r="B272" t="s">
        <v>24</v>
      </c>
      <c r="C272" t="n">
        <v>22.33</v>
      </c>
      <c r="Q272" s="96">
        <f>C274/C272</f>
        <v/>
      </c>
      <c r="S272" s="131" t="n">
        <v>0.0138</v>
      </c>
      <c r="U272" s="42">
        <f>C272*S272</f>
        <v/>
      </c>
      <c r="V272" s="42">
        <f>Q272*(1-U272)+S272</f>
        <v/>
      </c>
      <c r="W272" s="42">
        <f>V272+I274/3</f>
        <v/>
      </c>
      <c r="X272" s="42">
        <f>V272+I274/5</f>
        <v/>
      </c>
    </row>
    <row r="273" spans="1:114">
      <c r="U273" s="22" t="n"/>
      <c r="V273" s="32" t="n"/>
      <c r="W273" s="22" t="n"/>
      <c r="X273" s="22" t="n"/>
    </row>
    <row r="274" spans="1:114">
      <c r="B274" t="s">
        <v>28</v>
      </c>
      <c r="C274" t="n">
        <v>2.86</v>
      </c>
      <c r="U274" s="22" t="n"/>
      <c r="V274" s="32" t="n"/>
      <c r="W274" s="22" t="n"/>
      <c r="X274" s="22" t="n"/>
    </row>
    <row r="275" spans="1:114">
      <c r="U275" s="22" t="n"/>
      <c r="V275" s="32" t="n"/>
      <c r="W275" s="22" t="n"/>
      <c r="X275" s="22" t="n"/>
    </row>
    <row r="277" spans="1:114">
      <c r="A277" t="s">
        <v>167</v>
      </c>
      <c r="B277" t="s">
        <v>24</v>
      </c>
      <c r="C277" t="n">
        <v>29.97</v>
      </c>
      <c r="E277" s="20" t="n"/>
      <c r="F277" s="20" t="n"/>
      <c r="G277" s="20" t="n"/>
      <c r="H277" s="20" t="n"/>
      <c r="I277" s="20" t="n"/>
      <c r="J277" s="20" t="n"/>
      <c r="M277" s="18" t="n"/>
      <c r="O277" s="85" t="n"/>
      <c r="P277" s="9" t="n"/>
      <c r="Q277" s="131">
        <f>C279/C277</f>
        <v/>
      </c>
      <c r="S277" s="96" t="n">
        <v>0.0145</v>
      </c>
      <c r="T277" s="131" t="n"/>
      <c r="U277" s="42">
        <f>C277*S277</f>
        <v/>
      </c>
      <c r="V277" s="42">
        <f>Q277*(1-U277)+S277</f>
        <v/>
      </c>
      <c r="W277" s="42">
        <f>V277+I279/3</f>
        <v/>
      </c>
      <c r="X277" s="42">
        <f>V277+I279/5</f>
        <v/>
      </c>
    </row>
    <row r="278" spans="1:114">
      <c r="E278" s="20" t="n"/>
      <c r="F278" s="20" t="n"/>
      <c r="G278" s="20" t="n"/>
      <c r="H278" s="20" t="n"/>
      <c r="I278" s="20" t="n"/>
      <c r="J278" s="20" t="n"/>
      <c r="M278" s="18" t="n"/>
      <c r="O278" s="85" t="n"/>
      <c r="P278" s="9" t="n"/>
      <c r="Q278" s="131" t="n"/>
      <c r="T278" s="131" t="n"/>
      <c r="U278" s="22" t="n"/>
      <c r="V278" s="32" t="n"/>
      <c r="W278" s="22" t="n"/>
      <c r="X278" s="22" t="n"/>
    </row>
    <row r="279" spans="1:114">
      <c r="B279" t="s">
        <v>28</v>
      </c>
      <c r="C279" t="n">
        <v>4.24</v>
      </c>
      <c r="E279" s="20" t="n"/>
      <c r="F279" s="20" t="n"/>
      <c r="G279" s="20" t="n"/>
      <c r="H279" s="20" t="n"/>
      <c r="I279" s="20" t="n"/>
      <c r="J279" s="20" t="n"/>
      <c r="M279" s="18" t="n"/>
      <c r="O279" s="85" t="n"/>
      <c r="P279" s="9" t="n"/>
      <c r="Q279" s="131" t="n"/>
      <c r="T279" s="131" t="n"/>
    </row>
    <row r="280" spans="1:114">
      <c r="E280" s="20" t="n"/>
      <c r="F280" s="20" t="n"/>
      <c r="G280" s="20" t="n"/>
      <c r="H280" s="20" t="n"/>
      <c r="I280" s="20" t="n"/>
      <c r="J280" s="20" t="n"/>
      <c r="M280" s="18" t="n"/>
      <c r="O280" s="85" t="n"/>
      <c r="P280" s="9" t="n"/>
      <c r="Q280" s="131" t="n"/>
      <c r="T280" s="131" t="n"/>
    </row>
    <row r="281" spans="1:114">
      <c r="E281" s="20" t="n"/>
      <c r="F281" s="20" t="n"/>
      <c r="G281" s="20" t="n"/>
      <c r="H281" s="20" t="n"/>
      <c r="I281" s="20" t="n"/>
      <c r="J281" s="20" t="n"/>
      <c r="M281" s="18" t="n"/>
      <c r="O281" s="85" t="n"/>
      <c r="P281" s="9" t="n"/>
      <c r="Q281" s="131" t="n"/>
      <c r="T281" s="131" t="n"/>
    </row>
    <row r="282" spans="1:114">
      <c r="E282" s="20" t="n"/>
      <c r="F282" s="20" t="n"/>
      <c r="G282" s="20" t="n"/>
      <c r="H282" s="20" t="n"/>
      <c r="I282" s="20" t="n"/>
      <c r="J282" s="20" t="n"/>
      <c r="M282" s="18" t="n"/>
      <c r="O282" s="85" t="n"/>
      <c r="P282" s="9" t="n"/>
      <c r="Q282" s="131" t="n"/>
      <c r="T282" s="131" t="n"/>
    </row>
    <row r="283" spans="1:114">
      <c r="E283" s="20" t="n"/>
      <c r="F283" s="20" t="n"/>
      <c r="G283" s="20" t="n"/>
      <c r="H283" s="20" t="n"/>
      <c r="I283" s="20" t="n"/>
      <c r="J283" s="20" t="n"/>
      <c r="M283" s="18" t="n"/>
      <c r="O283" s="85" t="n"/>
      <c r="P283" s="9" t="n"/>
      <c r="Q283" s="131" t="n"/>
      <c r="T283" s="131" t="n"/>
    </row>
    <row r="284" spans="1:114">
      <c r="E284" s="20" t="n"/>
      <c r="F284" s="20" t="n"/>
      <c r="G284" s="20" t="n"/>
      <c r="H284" s="20" t="n"/>
      <c r="I284" s="20" t="n"/>
      <c r="J284" s="20" t="n"/>
      <c r="M284" s="18" t="n"/>
      <c r="O284" s="85" t="n"/>
      <c r="P284" s="9" t="n"/>
      <c r="Q284" s="131" t="n"/>
      <c r="T284" s="131" t="n"/>
    </row>
    <row customHeight="1" ht="26" r="285" s="130" spans="1:114">
      <c r="A285" s="84" t="s">
        <v>168</v>
      </c>
      <c r="C285" t="n">
        <v>50.73</v>
      </c>
      <c r="D285" s="4" t="n">
        <v>27.1</v>
      </c>
      <c r="E285" s="87">
        <f>1-D285/C285</f>
        <v/>
      </c>
      <c r="Q285" s="96" t="n"/>
      <c r="R285" s="96" t="n"/>
    </row>
    <row r="286" spans="1:114">
      <c r="Q286" s="96" t="n"/>
      <c r="R286" s="96" t="n"/>
    </row>
    <row customHeight="1" ht="26" r="287" s="130" spans="1:114">
      <c r="A287" s="84" t="s">
        <v>169</v>
      </c>
      <c r="C287" s="44" t="n">
        <v>42.7</v>
      </c>
      <c r="D287" s="4" t="n">
        <v>26.05</v>
      </c>
      <c r="E287" s="87">
        <f>1-D287/C287</f>
        <v/>
      </c>
      <c r="Q287" s="96" t="n"/>
      <c r="R287" s="96" t="n"/>
    </row>
  </sheetData>
  <conditionalFormatting sqref="E285:E1048576 E1 E111 E3:E96 E221 E236 E257:E260">
    <cfRule priority="370" type="dataBar">
      <dataBar>
        <cfvo type="min"/>
        <cfvo type="max"/>
        <color rgb="FF638EC6"/>
      </dataBar>
    </cfRule>
  </conditionalFormatting>
  <conditionalFormatting sqref="E285:E1048576 M262:M265 E111 E1 M1 M111 M74:M96 M3:M72 E3:E96 M221 E221 M236 E236 E257:E260 M257:M260 M276 M285:M1048576">
    <cfRule priority="386" type="dataBar">
      <dataBar>
        <cfvo type="percent" val="0"/>
        <cfvo type="percentile" val="100"/>
        <color rgb="FF638EC6"/>
      </dataBar>
    </cfRule>
    <cfRule priority="387" type="dataBar">
      <dataBar>
        <cfvo type="percent" val="0"/>
        <cfvo type="percent" val="100"/>
        <color rgb="FF638EC6"/>
      </dataBar>
    </cfRule>
  </conditionalFormatting>
  <conditionalFormatting sqref="Q2:R75">
    <cfRule priority="385" type="dataBar">
      <dataBar>
        <cfvo type="min"/>
        <cfvo type="max"/>
        <color rgb="FF638EC6"/>
      </dataBar>
    </cfRule>
  </conditionalFormatting>
  <conditionalFormatting sqref="Q77:R87">
    <cfRule priority="384" type="dataBar">
      <dataBar>
        <cfvo type="min"/>
        <cfvo type="max"/>
        <color rgb="FF638EC6"/>
      </dataBar>
    </cfRule>
  </conditionalFormatting>
  <conditionalFormatting sqref="Q288:R1048576 Q264:R265 Q1:R111 Q276:R276 Q269:Q270">
    <cfRule priority="383" type="dataBar">
      <dataBar>
        <cfvo type="min"/>
        <cfvo type="max"/>
        <color rgb="FF638EC6"/>
      </dataBar>
    </cfRule>
  </conditionalFormatting>
  <conditionalFormatting sqref="M1">
    <cfRule priority="382" type="dataBar">
      <dataBar>
        <cfvo type="min"/>
        <cfvo type="max"/>
        <color rgb="FF638EC6"/>
      </dataBar>
    </cfRule>
  </conditionalFormatting>
  <conditionalFormatting sqref="G1">
    <cfRule priority="379" type="dataBar">
      <dataBar>
        <cfvo type="percent" val="0"/>
        <cfvo type="percentile" val="100"/>
        <color rgb="FF638EC6"/>
      </dataBar>
    </cfRule>
    <cfRule priority="380" type="dataBar">
      <dataBar>
        <cfvo type="percent" val="0"/>
        <cfvo type="percent" val="100"/>
        <color rgb="FF638EC6"/>
      </dataBar>
    </cfRule>
    <cfRule priority="381" type="dataBar">
      <dataBar>
        <cfvo type="min"/>
        <cfvo type="max"/>
        <color rgb="FF638EC6"/>
      </dataBar>
    </cfRule>
  </conditionalFormatting>
  <conditionalFormatting sqref="O1">
    <cfRule priority="376" type="dataBar">
      <dataBar>
        <cfvo type="percent" val="0"/>
        <cfvo type="percentile" val="100"/>
        <color rgb="FF638EC6"/>
      </dataBar>
    </cfRule>
    <cfRule priority="377" type="dataBar">
      <dataBar>
        <cfvo type="percent" val="0"/>
        <cfvo type="percent" val="100"/>
        <color rgb="FF638EC6"/>
      </dataBar>
    </cfRule>
    <cfRule priority="378" type="dataBar">
      <dataBar>
        <cfvo type="min"/>
        <cfvo type="max"/>
        <color rgb="FF638EC6"/>
      </dataBar>
    </cfRule>
  </conditionalFormatting>
  <conditionalFormatting sqref="O262:O265 O276 O1 O111 O74:O96 O3:O72 O221 O236 O257:O260 O285:O1048576">
    <cfRule priority="375" type="dataBar">
      <dataBar>
        <cfvo type="min"/>
        <cfvo type="max"/>
        <color rgb="FF638EC6"/>
      </dataBar>
    </cfRule>
  </conditionalFormatting>
  <conditionalFormatting sqref="G262:G265 G276 G1 G111 G74:G96 G3:G72 G221 G236 G257:G260 G285:G1048576">
    <cfRule priority="374" type="dataBar">
      <dataBar>
        <cfvo type="min"/>
        <cfvo type="max"/>
        <color rgb="FF638EC6"/>
      </dataBar>
    </cfRule>
  </conditionalFormatting>
  <conditionalFormatting sqref="P262:P265 P276 P1 P111 P3:P96 P221 P236 P257:P260 P285:P1048576">
    <cfRule priority="373" type="dataBar">
      <dataBar>
        <cfvo type="min"/>
        <cfvo type="max"/>
        <color rgb="FF638EC6"/>
      </dataBar>
    </cfRule>
  </conditionalFormatting>
  <conditionalFormatting sqref="K262:K265 K276 K1 K111 K74:K96 K3:K72 K221 K236 K257:K260 K285:K1048576">
    <cfRule priority="372" type="dataBar">
      <dataBar>
        <cfvo type="min"/>
        <cfvo type="max"/>
        <color rgb="FF638EC6"/>
      </dataBar>
    </cfRule>
  </conditionalFormatting>
  <conditionalFormatting sqref="M262:M265 M276 M1 M111 M74:M96 M3:M72 M221 M236 M257:M260 M285:M1048576">
    <cfRule priority="371" type="dataBar">
      <dataBar>
        <cfvo type="min"/>
        <cfvo type="max"/>
        <color rgb="FF638EC6"/>
      </dataBar>
    </cfRule>
  </conditionalFormatting>
  <conditionalFormatting sqref="E97:E110">
    <cfRule priority="367" type="dataBar">
      <dataBar>
        <cfvo type="min"/>
        <cfvo type="max"/>
        <color rgb="FF638EC6"/>
      </dataBar>
    </cfRule>
    <cfRule priority="368" type="dataBar">
      <dataBar>
        <cfvo type="percent" val="0"/>
        <cfvo type="percentile" val="100"/>
        <color rgb="FF638EC6"/>
      </dataBar>
    </cfRule>
    <cfRule priority="369" type="dataBar">
      <dataBar>
        <cfvo type="percent" val="0"/>
        <cfvo type="percent" val="100"/>
        <color rgb="FF638EC6"/>
      </dataBar>
    </cfRule>
  </conditionalFormatting>
  <conditionalFormatting sqref="M98:M110">
    <cfRule priority="360" type="dataBar">
      <dataBar>
        <cfvo type="min"/>
        <cfvo type="max"/>
        <color rgb="FF638EC6"/>
      </dataBar>
    </cfRule>
    <cfRule priority="365" type="dataBar">
      <dataBar>
        <cfvo type="percent" val="0"/>
        <cfvo type="percentile" val="100"/>
        <color rgb="FF638EC6"/>
      </dataBar>
    </cfRule>
    <cfRule priority="366" type="dataBar">
      <dataBar>
        <cfvo type="percent" val="0"/>
        <cfvo type="percent" val="100"/>
        <color rgb="FF638EC6"/>
      </dataBar>
    </cfRule>
  </conditionalFormatting>
  <conditionalFormatting sqref="O98:O110">
    <cfRule priority="364" type="dataBar">
      <dataBar>
        <cfvo type="min"/>
        <cfvo type="max"/>
        <color rgb="FF638EC6"/>
      </dataBar>
    </cfRule>
  </conditionalFormatting>
  <conditionalFormatting sqref="G98:G110">
    <cfRule priority="363" type="dataBar">
      <dataBar>
        <cfvo type="min"/>
        <cfvo type="max"/>
        <color rgb="FF638EC6"/>
      </dataBar>
    </cfRule>
  </conditionalFormatting>
  <conditionalFormatting sqref="P98:P110">
    <cfRule priority="362" type="dataBar">
      <dataBar>
        <cfvo type="min"/>
        <cfvo type="max"/>
        <color rgb="FF638EC6"/>
      </dataBar>
    </cfRule>
  </conditionalFormatting>
  <conditionalFormatting sqref="K98:K110">
    <cfRule priority="361" type="dataBar">
      <dataBar>
        <cfvo type="min"/>
        <cfvo type="max"/>
        <color rgb="FF638EC6"/>
      </dataBar>
    </cfRule>
  </conditionalFormatting>
  <conditionalFormatting sqref="M97">
    <cfRule priority="353" type="dataBar">
      <dataBar>
        <cfvo type="min"/>
        <cfvo type="max"/>
        <color rgb="FF638EC6"/>
      </dataBar>
    </cfRule>
    <cfRule priority="358" type="dataBar">
      <dataBar>
        <cfvo type="percent" val="0"/>
        <cfvo type="percentile" val="100"/>
        <color rgb="FF638EC6"/>
      </dataBar>
    </cfRule>
    <cfRule priority="359" type="dataBar">
      <dataBar>
        <cfvo type="percent" val="0"/>
        <cfvo type="percent" val="100"/>
        <color rgb="FF638EC6"/>
      </dataBar>
    </cfRule>
  </conditionalFormatting>
  <conditionalFormatting sqref="O97">
    <cfRule priority="357" type="dataBar">
      <dataBar>
        <cfvo type="min"/>
        <cfvo type="max"/>
        <color rgb="FF638EC6"/>
      </dataBar>
    </cfRule>
  </conditionalFormatting>
  <conditionalFormatting sqref="G97">
    <cfRule priority="356" type="dataBar">
      <dataBar>
        <cfvo type="min"/>
        <cfvo type="max"/>
        <color rgb="FF638EC6"/>
      </dataBar>
    </cfRule>
  </conditionalFormatting>
  <conditionalFormatting sqref="P97">
    <cfRule priority="355" type="dataBar">
      <dataBar>
        <cfvo type="min"/>
        <cfvo type="max"/>
        <color rgb="FF638EC6"/>
      </dataBar>
    </cfRule>
  </conditionalFormatting>
  <conditionalFormatting sqref="K97">
    <cfRule priority="354" type="dataBar">
      <dataBar>
        <cfvo type="min"/>
        <cfvo type="max"/>
        <color rgb="FF638EC6"/>
      </dataBar>
    </cfRule>
  </conditionalFormatting>
  <conditionalFormatting sqref="M73">
    <cfRule priority="347" type="dataBar">
      <dataBar>
        <cfvo type="min"/>
        <cfvo type="max"/>
        <color rgb="FF638EC6"/>
      </dataBar>
    </cfRule>
    <cfRule priority="351" type="dataBar">
      <dataBar>
        <cfvo type="percent" val="0"/>
        <cfvo type="percentile" val="100"/>
        <color rgb="FF638EC6"/>
      </dataBar>
    </cfRule>
    <cfRule priority="352" type="dataBar">
      <dataBar>
        <cfvo type="percent" val="0"/>
        <cfvo type="percent" val="100"/>
        <color rgb="FF638EC6"/>
      </dataBar>
    </cfRule>
  </conditionalFormatting>
  <conditionalFormatting sqref="O73">
    <cfRule priority="350" type="dataBar">
      <dataBar>
        <cfvo type="min"/>
        <cfvo type="max"/>
        <color rgb="FF638EC6"/>
      </dataBar>
    </cfRule>
  </conditionalFormatting>
  <conditionalFormatting sqref="G73">
    <cfRule priority="349" type="dataBar">
      <dataBar>
        <cfvo type="min"/>
        <cfvo type="max"/>
        <color rgb="FF638EC6"/>
      </dataBar>
    </cfRule>
  </conditionalFormatting>
  <conditionalFormatting sqref="K73">
    <cfRule priority="348" type="dataBar">
      <dataBar>
        <cfvo type="min"/>
        <cfvo type="max"/>
        <color rgb="FF638EC6"/>
      </dataBar>
    </cfRule>
  </conditionalFormatting>
  <conditionalFormatting sqref="E2">
    <cfRule priority="339" type="dataBar">
      <dataBar>
        <cfvo type="min"/>
        <cfvo type="max"/>
        <color rgb="FF638EC6"/>
      </dataBar>
    </cfRule>
  </conditionalFormatting>
  <conditionalFormatting sqref="M2 E2">
    <cfRule priority="345" type="dataBar">
      <dataBar>
        <cfvo type="percent" val="0"/>
        <cfvo type="percentile" val="100"/>
        <color rgb="FF638EC6"/>
      </dataBar>
    </cfRule>
    <cfRule priority="346" type="dataBar">
      <dataBar>
        <cfvo type="percent" val="0"/>
        <cfvo type="percent" val="100"/>
        <color rgb="FF638EC6"/>
      </dataBar>
    </cfRule>
  </conditionalFormatting>
  <conditionalFormatting sqref="O2">
    <cfRule priority="344" type="dataBar">
      <dataBar>
        <cfvo type="min"/>
        <cfvo type="max"/>
        <color rgb="FF638EC6"/>
      </dataBar>
    </cfRule>
  </conditionalFormatting>
  <conditionalFormatting sqref="G2">
    <cfRule priority="343" type="dataBar">
      <dataBar>
        <cfvo type="min"/>
        <cfvo type="max"/>
        <color rgb="FF638EC6"/>
      </dataBar>
    </cfRule>
  </conditionalFormatting>
  <conditionalFormatting sqref="P2">
    <cfRule priority="342" type="dataBar">
      <dataBar>
        <cfvo type="min"/>
        <cfvo type="max"/>
        <color rgb="FF638EC6"/>
      </dataBar>
    </cfRule>
  </conditionalFormatting>
  <conditionalFormatting sqref="K2">
    <cfRule priority="341" type="dataBar">
      <dataBar>
        <cfvo type="min"/>
        <cfvo type="max"/>
        <color rgb="FF638EC6"/>
      </dataBar>
    </cfRule>
  </conditionalFormatting>
  <conditionalFormatting sqref="M2">
    <cfRule priority="340" type="dataBar">
      <dataBar>
        <cfvo type="min"/>
        <cfvo type="max"/>
        <color rgb="FF638EC6"/>
      </dataBar>
    </cfRule>
  </conditionalFormatting>
  <conditionalFormatting sqref="S288:S1048576 S264:S265 S1:S111 S276">
    <cfRule priority="338" type="dataBar">
      <dataBar>
        <cfvo type="min"/>
        <cfvo type="max"/>
        <color rgb="FF638EC6"/>
      </dataBar>
    </cfRule>
  </conditionalFormatting>
  <conditionalFormatting sqref="E112:E220">
    <cfRule priority="329" type="dataBar">
      <dataBar>
        <cfvo type="min"/>
        <cfvo type="max"/>
        <color rgb="FF638EC6"/>
      </dataBar>
    </cfRule>
  </conditionalFormatting>
  <conditionalFormatting sqref="M112:M220 E112:E220">
    <cfRule priority="336" type="dataBar">
      <dataBar>
        <cfvo type="percent" val="0"/>
        <cfvo type="percentile" val="100"/>
        <color rgb="FF638EC6"/>
      </dataBar>
    </cfRule>
    <cfRule priority="337" type="dataBar">
      <dataBar>
        <cfvo type="percent" val="0"/>
        <cfvo type="percent" val="100"/>
        <color rgb="FF638EC6"/>
      </dataBar>
    </cfRule>
  </conditionalFormatting>
  <conditionalFormatting sqref="O112:O220">
    <cfRule priority="334" type="dataBar">
      <dataBar>
        <cfvo type="min"/>
        <cfvo type="max"/>
        <color rgb="FF638EC6"/>
      </dataBar>
    </cfRule>
  </conditionalFormatting>
  <conditionalFormatting sqref="G112:G220">
    <cfRule priority="333" type="dataBar">
      <dataBar>
        <cfvo type="min"/>
        <cfvo type="max"/>
        <color rgb="FF638EC6"/>
      </dataBar>
    </cfRule>
  </conditionalFormatting>
  <conditionalFormatting sqref="P112:P220">
    <cfRule priority="332" type="dataBar">
      <dataBar>
        <cfvo type="min"/>
        <cfvo type="max"/>
        <color rgb="FF638EC6"/>
      </dataBar>
    </cfRule>
  </conditionalFormatting>
  <conditionalFormatting sqref="K112:K220">
    <cfRule priority="331" type="dataBar">
      <dataBar>
        <cfvo type="min"/>
        <cfvo type="max"/>
        <color rgb="FF638EC6"/>
      </dataBar>
    </cfRule>
  </conditionalFormatting>
  <conditionalFormatting sqref="M112:M220">
    <cfRule priority="330" type="dataBar">
      <dataBar>
        <cfvo type="min"/>
        <cfvo type="max"/>
        <color rgb="FF638EC6"/>
      </dataBar>
    </cfRule>
  </conditionalFormatting>
  <conditionalFormatting sqref="Q285:R287 Q262:R263 Q112:R221 Q236:R236 Q257:R260 Q267:Q268">
    <cfRule priority="326" type="dataBar">
      <dataBar>
        <cfvo type="min"/>
        <cfvo type="max"/>
        <color rgb="FF638EC6"/>
      </dataBar>
    </cfRule>
  </conditionalFormatting>
  <conditionalFormatting sqref="S285:S287 S262:S263 S112:S221 S236 S257:S260">
    <cfRule priority="325" type="dataBar">
      <dataBar>
        <cfvo type="min"/>
        <cfvo type="max"/>
        <color rgb="FF638EC6"/>
      </dataBar>
    </cfRule>
  </conditionalFormatting>
  <conditionalFormatting sqref="E222:E225">
    <cfRule priority="317" type="dataBar">
      <dataBar>
        <cfvo type="min"/>
        <cfvo type="max"/>
        <color rgb="FF638EC6"/>
      </dataBar>
    </cfRule>
  </conditionalFormatting>
  <conditionalFormatting sqref="M222:M225 E222:E225">
    <cfRule priority="323" type="dataBar">
      <dataBar>
        <cfvo type="percent" val="0"/>
        <cfvo type="percentile" val="100"/>
        <color rgb="FF638EC6"/>
      </dataBar>
    </cfRule>
    <cfRule priority="324" type="dataBar">
      <dataBar>
        <cfvo type="percent" val="0"/>
        <cfvo type="percent" val="100"/>
        <color rgb="FF638EC6"/>
      </dataBar>
    </cfRule>
  </conditionalFormatting>
  <conditionalFormatting sqref="O222:O225">
    <cfRule priority="322" type="dataBar">
      <dataBar>
        <cfvo type="min"/>
        <cfvo type="max"/>
        <color rgb="FF638EC6"/>
      </dataBar>
    </cfRule>
  </conditionalFormatting>
  <conditionalFormatting sqref="G222:G225">
    <cfRule priority="321" type="dataBar">
      <dataBar>
        <cfvo type="min"/>
        <cfvo type="max"/>
        <color rgb="FF638EC6"/>
      </dataBar>
    </cfRule>
  </conditionalFormatting>
  <conditionalFormatting sqref="P222:P225">
    <cfRule priority="320" type="dataBar">
      <dataBar>
        <cfvo type="min"/>
        <cfvo type="max"/>
        <color rgb="FF638EC6"/>
      </dataBar>
    </cfRule>
  </conditionalFormatting>
  <conditionalFormatting sqref="K222:K225">
    <cfRule priority="319" type="dataBar">
      <dataBar>
        <cfvo type="min"/>
        <cfvo type="max"/>
        <color rgb="FF638EC6"/>
      </dataBar>
    </cfRule>
  </conditionalFormatting>
  <conditionalFormatting sqref="M222:M225">
    <cfRule priority="318" type="dataBar">
      <dataBar>
        <cfvo type="min"/>
        <cfvo type="max"/>
        <color rgb="FF638EC6"/>
      </dataBar>
    </cfRule>
  </conditionalFormatting>
  <conditionalFormatting sqref="Q222:R225">
    <cfRule priority="316" type="dataBar">
      <dataBar>
        <cfvo type="min"/>
        <cfvo type="max"/>
        <color rgb="FF638EC6"/>
      </dataBar>
    </cfRule>
  </conditionalFormatting>
  <conditionalFormatting sqref="S222:S225">
    <cfRule priority="315" type="dataBar">
      <dataBar>
        <cfvo type="min"/>
        <cfvo type="max"/>
        <color rgb="FF638EC6"/>
      </dataBar>
    </cfRule>
  </conditionalFormatting>
  <conditionalFormatting sqref="E285:E1048576 E1:E225 E236 E257:E260">
    <cfRule priority="265" type="dataBar">
      <dataBar>
        <cfvo type="min"/>
        <cfvo type="max"/>
        <color rgb="FF638EC6"/>
      </dataBar>
    </cfRule>
  </conditionalFormatting>
  <conditionalFormatting sqref="I1">
    <cfRule priority="297" type="dataBar">
      <dataBar>
        <cfvo type="percent" val="0"/>
        <cfvo type="percentile" val="100"/>
        <color rgb="FF638EC6"/>
      </dataBar>
    </cfRule>
    <cfRule priority="298" type="dataBar">
      <dataBar>
        <cfvo type="percent" val="0"/>
        <cfvo type="percent" val="100"/>
        <color rgb="FF638EC6"/>
      </dataBar>
    </cfRule>
    <cfRule priority="299" type="dataBar">
      <dataBar>
        <cfvo type="min"/>
        <cfvo type="max"/>
        <color rgb="FF638EC6"/>
      </dataBar>
    </cfRule>
  </conditionalFormatting>
  <conditionalFormatting sqref="I262:I265 I276 I1 I111 I74:I96 I3:I72 I221 I236 I257:I260 I285:I1048576">
    <cfRule priority="296" type="dataBar">
      <dataBar>
        <cfvo type="min"/>
        <cfvo type="max"/>
        <color rgb="FF638EC6"/>
      </dataBar>
    </cfRule>
  </conditionalFormatting>
  <conditionalFormatting sqref="I98:I110">
    <cfRule priority="295" type="dataBar">
      <dataBar>
        <cfvo type="min"/>
        <cfvo type="max"/>
        <color rgb="FF638EC6"/>
      </dataBar>
    </cfRule>
  </conditionalFormatting>
  <conditionalFormatting sqref="I97">
    <cfRule priority="294" type="dataBar">
      <dataBar>
        <cfvo type="min"/>
        <cfvo type="max"/>
        <color rgb="FF638EC6"/>
      </dataBar>
    </cfRule>
  </conditionalFormatting>
  <conditionalFormatting sqref="I73">
    <cfRule priority="293" type="dataBar">
      <dataBar>
        <cfvo type="min"/>
        <cfvo type="max"/>
        <color rgb="FF638EC6"/>
      </dataBar>
    </cfRule>
  </conditionalFormatting>
  <conditionalFormatting sqref="I2">
    <cfRule priority="292" type="dataBar">
      <dataBar>
        <cfvo type="min"/>
        <cfvo type="max"/>
        <color rgb="FF638EC6"/>
      </dataBar>
    </cfRule>
  </conditionalFormatting>
  <conditionalFormatting sqref="I112:I220">
    <cfRule priority="291" type="dataBar">
      <dataBar>
        <cfvo type="min"/>
        <cfvo type="max"/>
        <color rgb="FF638EC6"/>
      </dataBar>
    </cfRule>
  </conditionalFormatting>
  <conditionalFormatting sqref="I222:I225">
    <cfRule priority="290" type="dataBar">
      <dataBar>
        <cfvo type="min"/>
        <cfvo type="max"/>
        <color rgb="FF638EC6"/>
      </dataBar>
    </cfRule>
  </conditionalFormatting>
  <conditionalFormatting sqref="H1">
    <cfRule priority="287" type="dataBar">
      <dataBar>
        <cfvo type="percent" val="0"/>
        <cfvo type="percentile" val="100"/>
        <color rgb="FF638EC6"/>
      </dataBar>
    </cfRule>
    <cfRule priority="288" type="dataBar">
      <dataBar>
        <cfvo type="percent" val="0"/>
        <cfvo type="percent" val="100"/>
        <color rgb="FF638EC6"/>
      </dataBar>
    </cfRule>
    <cfRule priority="289" type="dataBar">
      <dataBar>
        <cfvo type="min"/>
        <cfvo type="max"/>
        <color rgb="FF638EC6"/>
      </dataBar>
    </cfRule>
  </conditionalFormatting>
  <conditionalFormatting sqref="H264:H265 H276 H262 H1 H111 H74:H96 H3:H72 H221 H236 H257:H260 H285:H1048576">
    <cfRule priority="286" type="dataBar">
      <dataBar>
        <cfvo type="min"/>
        <cfvo type="max"/>
        <color rgb="FF638EC6"/>
      </dataBar>
    </cfRule>
  </conditionalFormatting>
  <conditionalFormatting sqref="H98:H110">
    <cfRule priority="285" type="dataBar">
      <dataBar>
        <cfvo type="min"/>
        <cfvo type="max"/>
        <color rgb="FF638EC6"/>
      </dataBar>
    </cfRule>
  </conditionalFormatting>
  <conditionalFormatting sqref="H97">
    <cfRule priority="284" type="dataBar">
      <dataBar>
        <cfvo type="min"/>
        <cfvo type="max"/>
        <color rgb="FF638EC6"/>
      </dataBar>
    </cfRule>
  </conditionalFormatting>
  <conditionalFormatting sqref="H73">
    <cfRule priority="283" type="dataBar">
      <dataBar>
        <cfvo type="min"/>
        <cfvo type="max"/>
        <color rgb="FF638EC6"/>
      </dataBar>
    </cfRule>
  </conditionalFormatting>
  <conditionalFormatting sqref="H2">
    <cfRule priority="282" type="dataBar">
      <dataBar>
        <cfvo type="min"/>
        <cfvo type="max"/>
        <color rgb="FF638EC6"/>
      </dataBar>
    </cfRule>
  </conditionalFormatting>
  <conditionalFormatting sqref="H112:H220">
    <cfRule priority="281" type="dataBar">
      <dataBar>
        <cfvo type="min"/>
        <cfvo type="max"/>
        <color rgb="FF638EC6"/>
      </dataBar>
    </cfRule>
  </conditionalFormatting>
  <conditionalFormatting sqref="H222:H225">
    <cfRule priority="280" type="dataBar">
      <dataBar>
        <cfvo type="min"/>
        <cfvo type="max"/>
        <color rgb="FF638EC6"/>
      </dataBar>
    </cfRule>
  </conditionalFormatting>
  <conditionalFormatting sqref="J1">
    <cfRule priority="277" type="dataBar">
      <dataBar>
        <cfvo type="percent" val="0"/>
        <cfvo type="percentile" val="100"/>
        <color rgb="FF638EC6"/>
      </dataBar>
    </cfRule>
    <cfRule priority="278" type="dataBar">
      <dataBar>
        <cfvo type="percent" val="0"/>
        <cfvo type="percent" val="100"/>
        <color rgb="FF638EC6"/>
      </dataBar>
    </cfRule>
    <cfRule priority="279" type="dataBar">
      <dataBar>
        <cfvo type="min"/>
        <cfvo type="max"/>
        <color rgb="FF638EC6"/>
      </dataBar>
    </cfRule>
  </conditionalFormatting>
  <conditionalFormatting sqref="J262:J265 J276 J1 J111 J74:J96 J3:J72 J221 J236 J257:J260 J285:J1048576">
    <cfRule priority="276" type="dataBar">
      <dataBar>
        <cfvo type="min"/>
        <cfvo type="max"/>
        <color rgb="FF638EC6"/>
      </dataBar>
    </cfRule>
  </conditionalFormatting>
  <conditionalFormatting sqref="J98:J110">
    <cfRule priority="275" type="dataBar">
      <dataBar>
        <cfvo type="min"/>
        <cfvo type="max"/>
        <color rgb="FF638EC6"/>
      </dataBar>
    </cfRule>
  </conditionalFormatting>
  <conditionalFormatting sqref="J97">
    <cfRule priority="274" type="dataBar">
      <dataBar>
        <cfvo type="min"/>
        <cfvo type="max"/>
        <color rgb="FF638EC6"/>
      </dataBar>
    </cfRule>
  </conditionalFormatting>
  <conditionalFormatting sqref="J73">
    <cfRule priority="273" type="dataBar">
      <dataBar>
        <cfvo type="min"/>
        <cfvo type="max"/>
        <color rgb="FF638EC6"/>
      </dataBar>
    </cfRule>
  </conditionalFormatting>
  <conditionalFormatting sqref="J2">
    <cfRule priority="272" type="dataBar">
      <dataBar>
        <cfvo type="min"/>
        <cfvo type="max"/>
        <color rgb="FF638EC6"/>
      </dataBar>
    </cfRule>
  </conditionalFormatting>
  <conditionalFormatting sqref="J112:J220">
    <cfRule priority="271" type="dataBar">
      <dataBar>
        <cfvo type="min"/>
        <cfvo type="max"/>
        <color rgb="FF638EC6"/>
      </dataBar>
    </cfRule>
  </conditionalFormatting>
  <conditionalFormatting sqref="J222:J225">
    <cfRule priority="270" type="dataBar">
      <dataBar>
        <cfvo type="min"/>
        <cfvo type="max"/>
        <color rgb="FF638EC6"/>
      </dataBar>
    </cfRule>
  </conditionalFormatting>
  <conditionalFormatting sqref="H264:H265 H276 H262 H1:H225 H236 H257:H260 H285:H1048576">
    <cfRule priority="269" type="dataBar">
      <dataBar>
        <cfvo type="min"/>
        <cfvo type="max"/>
        <color rgb="FF638EC6"/>
      </dataBar>
    </cfRule>
  </conditionalFormatting>
  <conditionalFormatting sqref="G262:G265 G276 G1:G225 G236 G257:G260 G285:G1048576">
    <cfRule priority="268" type="dataBar">
      <dataBar>
        <cfvo type="min"/>
        <cfvo type="max"/>
        <color rgb="FF638EC6"/>
      </dataBar>
    </cfRule>
  </conditionalFormatting>
  <conditionalFormatting sqref="I262:I265 I276 I236 I257:I260 I1:I225 I285:I1048576">
    <cfRule priority="267" type="dataBar">
      <dataBar>
        <cfvo type="min"/>
        <cfvo type="max"/>
        <color rgb="FF638EC6"/>
      </dataBar>
    </cfRule>
  </conditionalFormatting>
  <conditionalFormatting sqref="J262:J265 J276 J236 J257:J260 J1:J225 J285:J1048576">
    <cfRule priority="266" type="dataBar">
      <dataBar>
        <cfvo type="min"/>
        <cfvo type="max"/>
        <color rgb="FF638EC6"/>
      </dataBar>
    </cfRule>
  </conditionalFormatting>
  <conditionalFormatting sqref="E262:E265 E267:E270 E276">
    <cfRule priority="264" type="dataBar">
      <dataBar>
        <cfvo type="min"/>
        <cfvo type="max"/>
        <color rgb="FF638EC6"/>
      </dataBar>
    </cfRule>
  </conditionalFormatting>
  <conditionalFormatting sqref="E226">
    <cfRule priority="246" type="dataBar">
      <dataBar>
        <cfvo type="min"/>
        <cfvo type="max"/>
        <color rgb="FF638EC6"/>
      </dataBar>
    </cfRule>
    <cfRule priority="255" type="dataBar">
      <dataBar>
        <cfvo type="min"/>
        <cfvo type="max"/>
        <color rgb="FF638EC6"/>
      </dataBar>
    </cfRule>
  </conditionalFormatting>
  <conditionalFormatting sqref="M226 E226">
    <cfRule priority="262" type="dataBar">
      <dataBar>
        <cfvo type="percent" val="0"/>
        <cfvo type="percentile" val="100"/>
        <color rgb="FF638EC6"/>
      </dataBar>
    </cfRule>
    <cfRule priority="263" type="dataBar">
      <dataBar>
        <cfvo type="percent" val="0"/>
        <cfvo type="percent" val="100"/>
        <color rgb="FF638EC6"/>
      </dataBar>
    </cfRule>
  </conditionalFormatting>
  <conditionalFormatting sqref="Q226:R226">
    <cfRule priority="261" type="dataBar">
      <dataBar>
        <cfvo type="min"/>
        <cfvo type="max"/>
        <color rgb="FF638EC6"/>
      </dataBar>
    </cfRule>
  </conditionalFormatting>
  <conditionalFormatting sqref="O226">
    <cfRule priority="260" type="dataBar">
      <dataBar>
        <cfvo type="min"/>
        <cfvo type="max"/>
        <color rgb="FF638EC6"/>
      </dataBar>
    </cfRule>
  </conditionalFormatting>
  <conditionalFormatting sqref="G226">
    <cfRule priority="249" type="dataBar">
      <dataBar>
        <cfvo type="min"/>
        <cfvo type="max"/>
        <color rgb="FF638EC6"/>
      </dataBar>
    </cfRule>
    <cfRule priority="259" type="dataBar">
      <dataBar>
        <cfvo type="min"/>
        <cfvo type="max"/>
        <color rgb="FF638EC6"/>
      </dataBar>
    </cfRule>
  </conditionalFormatting>
  <conditionalFormatting sqref="P226">
    <cfRule priority="258" type="dataBar">
      <dataBar>
        <cfvo type="min"/>
        <cfvo type="max"/>
        <color rgb="FF638EC6"/>
      </dataBar>
    </cfRule>
  </conditionalFormatting>
  <conditionalFormatting sqref="K226">
    <cfRule priority="257" type="dataBar">
      <dataBar>
        <cfvo type="min"/>
        <cfvo type="max"/>
        <color rgb="FF638EC6"/>
      </dataBar>
    </cfRule>
  </conditionalFormatting>
  <conditionalFormatting sqref="M226">
    <cfRule priority="256" type="dataBar">
      <dataBar>
        <cfvo type="min"/>
        <cfvo type="max"/>
        <color rgb="FF638EC6"/>
      </dataBar>
    </cfRule>
  </conditionalFormatting>
  <conditionalFormatting sqref="S226">
    <cfRule priority="254" type="dataBar">
      <dataBar>
        <cfvo type="min"/>
        <cfvo type="max"/>
        <color rgb="FF638EC6"/>
      </dataBar>
    </cfRule>
  </conditionalFormatting>
  <conditionalFormatting sqref="I226">
    <cfRule priority="248" type="dataBar">
      <dataBar>
        <cfvo type="min"/>
        <cfvo type="max"/>
        <color rgb="FF638EC6"/>
      </dataBar>
    </cfRule>
    <cfRule priority="253" type="dataBar">
      <dataBar>
        <cfvo type="min"/>
        <cfvo type="max"/>
        <color rgb="FF638EC6"/>
      </dataBar>
    </cfRule>
  </conditionalFormatting>
  <conditionalFormatting sqref="H226">
    <cfRule priority="250" type="dataBar">
      <dataBar>
        <cfvo type="min"/>
        <cfvo type="max"/>
        <color rgb="FF638EC6"/>
      </dataBar>
    </cfRule>
    <cfRule priority="252" type="dataBar">
      <dataBar>
        <cfvo type="min"/>
        <cfvo type="max"/>
        <color rgb="FF638EC6"/>
      </dataBar>
    </cfRule>
  </conditionalFormatting>
  <conditionalFormatting sqref="J226">
    <cfRule priority="247" type="dataBar">
      <dataBar>
        <cfvo type="min"/>
        <cfvo type="max"/>
        <color rgb="FF638EC6"/>
      </dataBar>
    </cfRule>
    <cfRule priority="251" type="dataBar">
      <dataBar>
        <cfvo type="min"/>
        <cfvo type="max"/>
        <color rgb="FF638EC6"/>
      </dataBar>
    </cfRule>
  </conditionalFormatting>
  <conditionalFormatting sqref="E227:E230">
    <cfRule priority="228" type="dataBar">
      <dataBar>
        <cfvo type="min"/>
        <cfvo type="max"/>
        <color rgb="FF638EC6"/>
      </dataBar>
    </cfRule>
    <cfRule priority="238" type="dataBar">
      <dataBar>
        <cfvo type="min"/>
        <cfvo type="max"/>
        <color rgb="FF638EC6"/>
      </dataBar>
    </cfRule>
  </conditionalFormatting>
  <conditionalFormatting sqref="M227:M230 E227:E230">
    <cfRule priority="244" type="dataBar">
      <dataBar>
        <cfvo type="percent" val="0"/>
        <cfvo type="percentile" val="100"/>
        <color rgb="FF638EC6"/>
      </dataBar>
    </cfRule>
    <cfRule priority="245" type="dataBar">
      <dataBar>
        <cfvo type="percent" val="0"/>
        <cfvo type="percent" val="100"/>
        <color rgb="FF638EC6"/>
      </dataBar>
    </cfRule>
  </conditionalFormatting>
  <conditionalFormatting sqref="O227:O230">
    <cfRule priority="243" type="dataBar">
      <dataBar>
        <cfvo type="min"/>
        <cfvo type="max"/>
        <color rgb="FF638EC6"/>
      </dataBar>
    </cfRule>
  </conditionalFormatting>
  <conditionalFormatting sqref="G227:G230">
    <cfRule priority="231" type="dataBar">
      <dataBar>
        <cfvo type="min"/>
        <cfvo type="max"/>
        <color rgb="FF638EC6"/>
      </dataBar>
    </cfRule>
    <cfRule priority="242" type="dataBar">
      <dataBar>
        <cfvo type="min"/>
        <cfvo type="max"/>
        <color rgb="FF638EC6"/>
      </dataBar>
    </cfRule>
  </conditionalFormatting>
  <conditionalFormatting sqref="P227:P230">
    <cfRule priority="241" type="dataBar">
      <dataBar>
        <cfvo type="min"/>
        <cfvo type="max"/>
        <color rgb="FF638EC6"/>
      </dataBar>
    </cfRule>
  </conditionalFormatting>
  <conditionalFormatting sqref="K227:K230">
    <cfRule priority="240" type="dataBar">
      <dataBar>
        <cfvo type="min"/>
        <cfvo type="max"/>
        <color rgb="FF638EC6"/>
      </dataBar>
    </cfRule>
  </conditionalFormatting>
  <conditionalFormatting sqref="M227:M230">
    <cfRule priority="239" type="dataBar">
      <dataBar>
        <cfvo type="min"/>
        <cfvo type="max"/>
        <color rgb="FF638EC6"/>
      </dataBar>
    </cfRule>
  </conditionalFormatting>
  <conditionalFormatting sqref="Q227:R230">
    <cfRule priority="237" type="dataBar">
      <dataBar>
        <cfvo type="min"/>
        <cfvo type="max"/>
        <color rgb="FF638EC6"/>
      </dataBar>
    </cfRule>
  </conditionalFormatting>
  <conditionalFormatting sqref="S227:S230">
    <cfRule priority="236" type="dataBar">
      <dataBar>
        <cfvo type="min"/>
        <cfvo type="max"/>
        <color rgb="FF638EC6"/>
      </dataBar>
    </cfRule>
  </conditionalFormatting>
  <conditionalFormatting sqref="I227:I230">
    <cfRule priority="230" type="dataBar">
      <dataBar>
        <cfvo type="min"/>
        <cfvo type="max"/>
        <color rgb="FF638EC6"/>
      </dataBar>
    </cfRule>
    <cfRule priority="235" type="dataBar">
      <dataBar>
        <cfvo type="min"/>
        <cfvo type="max"/>
        <color rgb="FF638EC6"/>
      </dataBar>
    </cfRule>
  </conditionalFormatting>
  <conditionalFormatting sqref="H227:H230">
    <cfRule priority="232" type="dataBar">
      <dataBar>
        <cfvo type="min"/>
        <cfvo type="max"/>
        <color rgb="FF638EC6"/>
      </dataBar>
    </cfRule>
    <cfRule priority="234" type="dataBar">
      <dataBar>
        <cfvo type="min"/>
        <cfvo type="max"/>
        <color rgb="FF638EC6"/>
      </dataBar>
    </cfRule>
  </conditionalFormatting>
  <conditionalFormatting sqref="J227:J230">
    <cfRule priority="229" type="dataBar">
      <dataBar>
        <cfvo type="min"/>
        <cfvo type="max"/>
        <color rgb="FF638EC6"/>
      </dataBar>
    </cfRule>
    <cfRule priority="233" type="dataBar">
      <dataBar>
        <cfvo type="min"/>
        <cfvo type="max"/>
        <color rgb="FF638EC6"/>
      </dataBar>
    </cfRule>
  </conditionalFormatting>
  <conditionalFormatting sqref="E231">
    <cfRule priority="210" type="dataBar">
      <dataBar>
        <cfvo type="min"/>
        <cfvo type="max"/>
        <color rgb="FF638EC6"/>
      </dataBar>
    </cfRule>
    <cfRule priority="219" type="dataBar">
      <dataBar>
        <cfvo type="min"/>
        <cfvo type="max"/>
        <color rgb="FF638EC6"/>
      </dataBar>
    </cfRule>
  </conditionalFormatting>
  <conditionalFormatting sqref="E231 M231">
    <cfRule priority="226" type="dataBar">
      <dataBar>
        <cfvo type="percent" val="0"/>
        <cfvo type="percentile" val="100"/>
        <color rgb="FF638EC6"/>
      </dataBar>
    </cfRule>
    <cfRule priority="227" type="dataBar">
      <dataBar>
        <cfvo type="percent" val="0"/>
        <cfvo type="percent" val="100"/>
        <color rgb="FF638EC6"/>
      </dataBar>
    </cfRule>
  </conditionalFormatting>
  <conditionalFormatting sqref="Q231:R231">
    <cfRule priority="225" type="dataBar">
      <dataBar>
        <cfvo type="min"/>
        <cfvo type="max"/>
        <color rgb="FF638EC6"/>
      </dataBar>
    </cfRule>
  </conditionalFormatting>
  <conditionalFormatting sqref="O231">
    <cfRule priority="224" type="dataBar">
      <dataBar>
        <cfvo type="min"/>
        <cfvo type="max"/>
        <color rgb="FF638EC6"/>
      </dataBar>
    </cfRule>
  </conditionalFormatting>
  <conditionalFormatting sqref="G231">
    <cfRule priority="213" type="dataBar">
      <dataBar>
        <cfvo type="min"/>
        <cfvo type="max"/>
        <color rgb="FF638EC6"/>
      </dataBar>
    </cfRule>
    <cfRule priority="223" type="dataBar">
      <dataBar>
        <cfvo type="min"/>
        <cfvo type="max"/>
        <color rgb="FF638EC6"/>
      </dataBar>
    </cfRule>
  </conditionalFormatting>
  <conditionalFormatting sqref="P231">
    <cfRule priority="222" type="dataBar">
      <dataBar>
        <cfvo type="min"/>
        <cfvo type="max"/>
        <color rgb="FF638EC6"/>
      </dataBar>
    </cfRule>
  </conditionalFormatting>
  <conditionalFormatting sqref="K231">
    <cfRule priority="221" type="dataBar">
      <dataBar>
        <cfvo type="min"/>
        <cfvo type="max"/>
        <color rgb="FF638EC6"/>
      </dataBar>
    </cfRule>
  </conditionalFormatting>
  <conditionalFormatting sqref="M231">
    <cfRule priority="220" type="dataBar">
      <dataBar>
        <cfvo type="min"/>
        <cfvo type="max"/>
        <color rgb="FF638EC6"/>
      </dataBar>
    </cfRule>
  </conditionalFormatting>
  <conditionalFormatting sqref="S231">
    <cfRule priority="218" type="dataBar">
      <dataBar>
        <cfvo type="min"/>
        <cfvo type="max"/>
        <color rgb="FF638EC6"/>
      </dataBar>
    </cfRule>
  </conditionalFormatting>
  <conditionalFormatting sqref="I231">
    <cfRule priority="212" type="dataBar">
      <dataBar>
        <cfvo type="min"/>
        <cfvo type="max"/>
        <color rgb="FF638EC6"/>
      </dataBar>
    </cfRule>
    <cfRule priority="217" type="dataBar">
      <dataBar>
        <cfvo type="min"/>
        <cfvo type="max"/>
        <color rgb="FF638EC6"/>
      </dataBar>
    </cfRule>
  </conditionalFormatting>
  <conditionalFormatting sqref="H231">
    <cfRule priority="214" type="dataBar">
      <dataBar>
        <cfvo type="min"/>
        <cfvo type="max"/>
        <color rgb="FF638EC6"/>
      </dataBar>
    </cfRule>
    <cfRule priority="216" type="dataBar">
      <dataBar>
        <cfvo type="min"/>
        <cfvo type="max"/>
        <color rgb="FF638EC6"/>
      </dataBar>
    </cfRule>
  </conditionalFormatting>
  <conditionalFormatting sqref="J231">
    <cfRule priority="211" type="dataBar">
      <dataBar>
        <cfvo type="min"/>
        <cfvo type="max"/>
        <color rgb="FF638EC6"/>
      </dataBar>
    </cfRule>
    <cfRule priority="215" type="dataBar">
      <dataBar>
        <cfvo type="min"/>
        <cfvo type="max"/>
        <color rgb="FF638EC6"/>
      </dataBar>
    </cfRule>
  </conditionalFormatting>
  <conditionalFormatting sqref="E232:E235">
    <cfRule priority="192" type="dataBar">
      <dataBar>
        <cfvo type="min"/>
        <cfvo type="max"/>
        <color rgb="FF638EC6"/>
      </dataBar>
    </cfRule>
    <cfRule priority="202" type="dataBar">
      <dataBar>
        <cfvo type="min"/>
        <cfvo type="max"/>
        <color rgb="FF638EC6"/>
      </dataBar>
    </cfRule>
  </conditionalFormatting>
  <conditionalFormatting sqref="M232:M235 E232:E235">
    <cfRule priority="208" type="dataBar">
      <dataBar>
        <cfvo type="percent" val="0"/>
        <cfvo type="percentile" val="100"/>
        <color rgb="FF638EC6"/>
      </dataBar>
    </cfRule>
    <cfRule priority="209" type="dataBar">
      <dataBar>
        <cfvo type="percent" val="0"/>
        <cfvo type="percent" val="100"/>
        <color rgb="FF638EC6"/>
      </dataBar>
    </cfRule>
  </conditionalFormatting>
  <conditionalFormatting sqref="O232:O235">
    <cfRule priority="207" type="dataBar">
      <dataBar>
        <cfvo type="min"/>
        <cfvo type="max"/>
        <color rgb="FF638EC6"/>
      </dataBar>
    </cfRule>
  </conditionalFormatting>
  <conditionalFormatting sqref="G232:G235">
    <cfRule priority="195" type="dataBar">
      <dataBar>
        <cfvo type="min"/>
        <cfvo type="max"/>
        <color rgb="FF638EC6"/>
      </dataBar>
    </cfRule>
    <cfRule priority="206" type="dataBar">
      <dataBar>
        <cfvo type="min"/>
        <cfvo type="max"/>
        <color rgb="FF638EC6"/>
      </dataBar>
    </cfRule>
  </conditionalFormatting>
  <conditionalFormatting sqref="P232:P235">
    <cfRule priority="205" type="dataBar">
      <dataBar>
        <cfvo type="min"/>
        <cfvo type="max"/>
        <color rgb="FF638EC6"/>
      </dataBar>
    </cfRule>
  </conditionalFormatting>
  <conditionalFormatting sqref="K232:K235">
    <cfRule priority="204" type="dataBar">
      <dataBar>
        <cfvo type="min"/>
        <cfvo type="max"/>
        <color rgb="FF638EC6"/>
      </dataBar>
    </cfRule>
  </conditionalFormatting>
  <conditionalFormatting sqref="M232:M235">
    <cfRule priority="203" type="dataBar">
      <dataBar>
        <cfvo type="min"/>
        <cfvo type="max"/>
        <color rgb="FF638EC6"/>
      </dataBar>
    </cfRule>
  </conditionalFormatting>
  <conditionalFormatting sqref="Q232:R235">
    <cfRule priority="201" type="dataBar">
      <dataBar>
        <cfvo type="min"/>
        <cfvo type="max"/>
        <color rgb="FF638EC6"/>
      </dataBar>
    </cfRule>
  </conditionalFormatting>
  <conditionalFormatting sqref="S232:S235">
    <cfRule priority="200" type="dataBar">
      <dataBar>
        <cfvo type="min"/>
        <cfvo type="max"/>
        <color rgb="FF638EC6"/>
      </dataBar>
    </cfRule>
  </conditionalFormatting>
  <conditionalFormatting sqref="I232:I235">
    <cfRule priority="194" type="dataBar">
      <dataBar>
        <cfvo type="min"/>
        <cfvo type="max"/>
        <color rgb="FF638EC6"/>
      </dataBar>
    </cfRule>
    <cfRule priority="199" type="dataBar">
      <dataBar>
        <cfvo type="min"/>
        <cfvo type="max"/>
        <color rgb="FF638EC6"/>
      </dataBar>
    </cfRule>
  </conditionalFormatting>
  <conditionalFormatting sqref="H232:H235">
    <cfRule priority="196" type="dataBar">
      <dataBar>
        <cfvo type="min"/>
        <cfvo type="max"/>
        <color rgb="FF638EC6"/>
      </dataBar>
    </cfRule>
    <cfRule priority="198" type="dataBar">
      <dataBar>
        <cfvo type="min"/>
        <cfvo type="max"/>
        <color rgb="FF638EC6"/>
      </dataBar>
    </cfRule>
  </conditionalFormatting>
  <conditionalFormatting sqref="J232:J235">
    <cfRule priority="193" type="dataBar">
      <dataBar>
        <cfvo type="min"/>
        <cfvo type="max"/>
        <color rgb="FF638EC6"/>
      </dataBar>
    </cfRule>
    <cfRule priority="197" type="dataBar">
      <dataBar>
        <cfvo type="min"/>
        <cfvo type="max"/>
        <color rgb="FF638EC6"/>
      </dataBar>
    </cfRule>
  </conditionalFormatting>
  <conditionalFormatting sqref="E241">
    <cfRule priority="174" type="dataBar">
      <dataBar>
        <cfvo type="min"/>
        <cfvo type="max"/>
        <color rgb="FF638EC6"/>
      </dataBar>
    </cfRule>
    <cfRule priority="183" type="dataBar">
      <dataBar>
        <cfvo type="min"/>
        <cfvo type="max"/>
        <color rgb="FF638EC6"/>
      </dataBar>
    </cfRule>
  </conditionalFormatting>
  <conditionalFormatting sqref="E241 M241">
    <cfRule priority="190" type="dataBar">
      <dataBar>
        <cfvo type="percent" val="0"/>
        <cfvo type="percentile" val="100"/>
        <color rgb="FF638EC6"/>
      </dataBar>
    </cfRule>
    <cfRule priority="191" type="dataBar">
      <dataBar>
        <cfvo type="percent" val="0"/>
        <cfvo type="percent" val="100"/>
        <color rgb="FF638EC6"/>
      </dataBar>
    </cfRule>
  </conditionalFormatting>
  <conditionalFormatting sqref="Q241:R241">
    <cfRule priority="189" type="dataBar">
      <dataBar>
        <cfvo type="min"/>
        <cfvo type="max"/>
        <color rgb="FF638EC6"/>
      </dataBar>
    </cfRule>
  </conditionalFormatting>
  <conditionalFormatting sqref="O241">
    <cfRule priority="188" type="dataBar">
      <dataBar>
        <cfvo type="min"/>
        <cfvo type="max"/>
        <color rgb="FF638EC6"/>
      </dataBar>
    </cfRule>
  </conditionalFormatting>
  <conditionalFormatting sqref="G241">
    <cfRule priority="177" type="dataBar">
      <dataBar>
        <cfvo type="min"/>
        <cfvo type="max"/>
        <color rgb="FF638EC6"/>
      </dataBar>
    </cfRule>
    <cfRule priority="187" type="dataBar">
      <dataBar>
        <cfvo type="min"/>
        <cfvo type="max"/>
        <color rgb="FF638EC6"/>
      </dataBar>
    </cfRule>
  </conditionalFormatting>
  <conditionalFormatting sqref="P241">
    <cfRule priority="186" type="dataBar">
      <dataBar>
        <cfvo type="min"/>
        <cfvo type="max"/>
        <color rgb="FF638EC6"/>
      </dataBar>
    </cfRule>
  </conditionalFormatting>
  <conditionalFormatting sqref="K241">
    <cfRule priority="185" type="dataBar">
      <dataBar>
        <cfvo type="min"/>
        <cfvo type="max"/>
        <color rgb="FF638EC6"/>
      </dataBar>
    </cfRule>
  </conditionalFormatting>
  <conditionalFormatting sqref="M241">
    <cfRule priority="184" type="dataBar">
      <dataBar>
        <cfvo type="min"/>
        <cfvo type="max"/>
        <color rgb="FF638EC6"/>
      </dataBar>
    </cfRule>
  </conditionalFormatting>
  <conditionalFormatting sqref="S241">
    <cfRule priority="182" type="dataBar">
      <dataBar>
        <cfvo type="min"/>
        <cfvo type="max"/>
        <color rgb="FF638EC6"/>
      </dataBar>
    </cfRule>
  </conditionalFormatting>
  <conditionalFormatting sqref="I241">
    <cfRule priority="176" type="dataBar">
      <dataBar>
        <cfvo type="min"/>
        <cfvo type="max"/>
        <color rgb="FF638EC6"/>
      </dataBar>
    </cfRule>
    <cfRule priority="181" type="dataBar">
      <dataBar>
        <cfvo type="min"/>
        <cfvo type="max"/>
        <color rgb="FF638EC6"/>
      </dataBar>
    </cfRule>
  </conditionalFormatting>
  <conditionalFormatting sqref="H241">
    <cfRule priority="178" type="dataBar">
      <dataBar>
        <cfvo type="min"/>
        <cfvo type="max"/>
        <color rgb="FF638EC6"/>
      </dataBar>
    </cfRule>
    <cfRule priority="180" type="dataBar">
      <dataBar>
        <cfvo type="min"/>
        <cfvo type="max"/>
        <color rgb="FF638EC6"/>
      </dataBar>
    </cfRule>
  </conditionalFormatting>
  <conditionalFormatting sqref="J241">
    <cfRule priority="175" type="dataBar">
      <dataBar>
        <cfvo type="min"/>
        <cfvo type="max"/>
        <color rgb="FF638EC6"/>
      </dataBar>
    </cfRule>
    <cfRule priority="179" type="dataBar">
      <dataBar>
        <cfvo type="min"/>
        <cfvo type="max"/>
        <color rgb="FF638EC6"/>
      </dataBar>
    </cfRule>
  </conditionalFormatting>
  <conditionalFormatting sqref="E237:E240">
    <cfRule priority="156" type="dataBar">
      <dataBar>
        <cfvo type="min"/>
        <cfvo type="max"/>
        <color rgb="FF638EC6"/>
      </dataBar>
    </cfRule>
    <cfRule priority="166" type="dataBar">
      <dataBar>
        <cfvo type="min"/>
        <cfvo type="max"/>
        <color rgb="FF638EC6"/>
      </dataBar>
    </cfRule>
  </conditionalFormatting>
  <conditionalFormatting sqref="M237:M240 E237:E240">
    <cfRule priority="172" type="dataBar">
      <dataBar>
        <cfvo type="percent" val="0"/>
        <cfvo type="percentile" val="100"/>
        <color rgb="FF638EC6"/>
      </dataBar>
    </cfRule>
    <cfRule priority="173" type="dataBar">
      <dataBar>
        <cfvo type="percent" val="0"/>
        <cfvo type="percent" val="100"/>
        <color rgb="FF638EC6"/>
      </dataBar>
    </cfRule>
  </conditionalFormatting>
  <conditionalFormatting sqref="O237:O240">
    <cfRule priority="171" type="dataBar">
      <dataBar>
        <cfvo type="min"/>
        <cfvo type="max"/>
        <color rgb="FF638EC6"/>
      </dataBar>
    </cfRule>
  </conditionalFormatting>
  <conditionalFormatting sqref="G237:G240">
    <cfRule priority="159" type="dataBar">
      <dataBar>
        <cfvo type="min"/>
        <cfvo type="max"/>
        <color rgb="FF638EC6"/>
      </dataBar>
    </cfRule>
    <cfRule priority="170" type="dataBar">
      <dataBar>
        <cfvo type="min"/>
        <cfvo type="max"/>
        <color rgb="FF638EC6"/>
      </dataBar>
    </cfRule>
  </conditionalFormatting>
  <conditionalFormatting sqref="P237:P240">
    <cfRule priority="169" type="dataBar">
      <dataBar>
        <cfvo type="min"/>
        <cfvo type="max"/>
        <color rgb="FF638EC6"/>
      </dataBar>
    </cfRule>
  </conditionalFormatting>
  <conditionalFormatting sqref="K237:K240">
    <cfRule priority="168" type="dataBar">
      <dataBar>
        <cfvo type="min"/>
        <cfvo type="max"/>
        <color rgb="FF638EC6"/>
      </dataBar>
    </cfRule>
  </conditionalFormatting>
  <conditionalFormatting sqref="M237:M240">
    <cfRule priority="167" type="dataBar">
      <dataBar>
        <cfvo type="min"/>
        <cfvo type="max"/>
        <color rgb="FF638EC6"/>
      </dataBar>
    </cfRule>
  </conditionalFormatting>
  <conditionalFormatting sqref="Q237:R240">
    <cfRule priority="165" type="dataBar">
      <dataBar>
        <cfvo type="min"/>
        <cfvo type="max"/>
        <color rgb="FF638EC6"/>
      </dataBar>
    </cfRule>
  </conditionalFormatting>
  <conditionalFormatting sqref="S237:S240">
    <cfRule priority="164" type="dataBar">
      <dataBar>
        <cfvo type="min"/>
        <cfvo type="max"/>
        <color rgb="FF638EC6"/>
      </dataBar>
    </cfRule>
  </conditionalFormatting>
  <conditionalFormatting sqref="I237:I240">
    <cfRule priority="158" type="dataBar">
      <dataBar>
        <cfvo type="min"/>
        <cfvo type="max"/>
        <color rgb="FF638EC6"/>
      </dataBar>
    </cfRule>
    <cfRule priority="163" type="dataBar">
      <dataBar>
        <cfvo type="min"/>
        <cfvo type="max"/>
        <color rgb="FF638EC6"/>
      </dataBar>
    </cfRule>
  </conditionalFormatting>
  <conditionalFormatting sqref="H237:H240">
    <cfRule priority="160" type="dataBar">
      <dataBar>
        <cfvo type="min"/>
        <cfvo type="max"/>
        <color rgb="FF638EC6"/>
      </dataBar>
    </cfRule>
    <cfRule priority="162" type="dataBar">
      <dataBar>
        <cfvo type="min"/>
        <cfvo type="max"/>
        <color rgb="FF638EC6"/>
      </dataBar>
    </cfRule>
  </conditionalFormatting>
  <conditionalFormatting sqref="J237:J240">
    <cfRule priority="157" type="dataBar">
      <dataBar>
        <cfvo type="min"/>
        <cfvo type="max"/>
        <color rgb="FF638EC6"/>
      </dataBar>
    </cfRule>
    <cfRule priority="161" type="dataBar">
      <dataBar>
        <cfvo type="min"/>
        <cfvo type="max"/>
        <color rgb="FF638EC6"/>
      </dataBar>
    </cfRule>
  </conditionalFormatting>
  <conditionalFormatting sqref="E246">
    <cfRule priority="138" type="dataBar">
      <dataBar>
        <cfvo type="min"/>
        <cfvo type="max"/>
        <color rgb="FF638EC6"/>
      </dataBar>
    </cfRule>
    <cfRule priority="147" type="dataBar">
      <dataBar>
        <cfvo type="min"/>
        <cfvo type="max"/>
        <color rgb="FF638EC6"/>
      </dataBar>
    </cfRule>
  </conditionalFormatting>
  <conditionalFormatting sqref="E246 M246">
    <cfRule priority="154" type="dataBar">
      <dataBar>
        <cfvo type="percent" val="0"/>
        <cfvo type="percentile" val="100"/>
        <color rgb="FF638EC6"/>
      </dataBar>
    </cfRule>
    <cfRule priority="155" type="dataBar">
      <dataBar>
        <cfvo type="percent" val="0"/>
        <cfvo type="percent" val="100"/>
        <color rgb="FF638EC6"/>
      </dataBar>
    </cfRule>
  </conditionalFormatting>
  <conditionalFormatting sqref="Q246:R246">
    <cfRule priority="153" type="dataBar">
      <dataBar>
        <cfvo type="min"/>
        <cfvo type="max"/>
        <color rgb="FF638EC6"/>
      </dataBar>
    </cfRule>
  </conditionalFormatting>
  <conditionalFormatting sqref="O246">
    <cfRule priority="152" type="dataBar">
      <dataBar>
        <cfvo type="min"/>
        <cfvo type="max"/>
        <color rgb="FF638EC6"/>
      </dataBar>
    </cfRule>
  </conditionalFormatting>
  <conditionalFormatting sqref="G246">
    <cfRule priority="141" type="dataBar">
      <dataBar>
        <cfvo type="min"/>
        <cfvo type="max"/>
        <color rgb="FF638EC6"/>
      </dataBar>
    </cfRule>
    <cfRule priority="151" type="dataBar">
      <dataBar>
        <cfvo type="min"/>
        <cfvo type="max"/>
        <color rgb="FF638EC6"/>
      </dataBar>
    </cfRule>
  </conditionalFormatting>
  <conditionalFormatting sqref="P246">
    <cfRule priority="150" type="dataBar">
      <dataBar>
        <cfvo type="min"/>
        <cfvo type="max"/>
        <color rgb="FF638EC6"/>
      </dataBar>
    </cfRule>
  </conditionalFormatting>
  <conditionalFormatting sqref="K246">
    <cfRule priority="149" type="dataBar">
      <dataBar>
        <cfvo type="min"/>
        <cfvo type="max"/>
        <color rgb="FF638EC6"/>
      </dataBar>
    </cfRule>
  </conditionalFormatting>
  <conditionalFormatting sqref="M246">
    <cfRule priority="148" type="dataBar">
      <dataBar>
        <cfvo type="min"/>
        <cfvo type="max"/>
        <color rgb="FF638EC6"/>
      </dataBar>
    </cfRule>
  </conditionalFormatting>
  <conditionalFormatting sqref="S246">
    <cfRule priority="146" type="dataBar">
      <dataBar>
        <cfvo type="min"/>
        <cfvo type="max"/>
        <color rgb="FF638EC6"/>
      </dataBar>
    </cfRule>
  </conditionalFormatting>
  <conditionalFormatting sqref="I246">
    <cfRule priority="140" type="dataBar">
      <dataBar>
        <cfvo type="min"/>
        <cfvo type="max"/>
        <color rgb="FF638EC6"/>
      </dataBar>
    </cfRule>
    <cfRule priority="145" type="dataBar">
      <dataBar>
        <cfvo type="min"/>
        <cfvo type="max"/>
        <color rgb="FF638EC6"/>
      </dataBar>
    </cfRule>
  </conditionalFormatting>
  <conditionalFormatting sqref="H246">
    <cfRule priority="142" type="dataBar">
      <dataBar>
        <cfvo type="min"/>
        <cfvo type="max"/>
        <color rgb="FF638EC6"/>
      </dataBar>
    </cfRule>
    <cfRule priority="144" type="dataBar">
      <dataBar>
        <cfvo type="min"/>
        <cfvo type="max"/>
        <color rgb="FF638EC6"/>
      </dataBar>
    </cfRule>
  </conditionalFormatting>
  <conditionalFormatting sqref="J246">
    <cfRule priority="139" type="dataBar">
      <dataBar>
        <cfvo type="min"/>
        <cfvo type="max"/>
        <color rgb="FF638EC6"/>
      </dataBar>
    </cfRule>
    <cfRule priority="143" type="dataBar">
      <dataBar>
        <cfvo type="min"/>
        <cfvo type="max"/>
        <color rgb="FF638EC6"/>
      </dataBar>
    </cfRule>
  </conditionalFormatting>
  <conditionalFormatting sqref="E242:E245">
    <cfRule priority="120" type="dataBar">
      <dataBar>
        <cfvo type="min"/>
        <cfvo type="max"/>
        <color rgb="FF638EC6"/>
      </dataBar>
    </cfRule>
    <cfRule priority="130" type="dataBar">
      <dataBar>
        <cfvo type="min"/>
        <cfvo type="max"/>
        <color rgb="FF638EC6"/>
      </dataBar>
    </cfRule>
  </conditionalFormatting>
  <conditionalFormatting sqref="M242:M245 E242:E245">
    <cfRule priority="136" type="dataBar">
      <dataBar>
        <cfvo type="percent" val="0"/>
        <cfvo type="percentile" val="100"/>
        <color rgb="FF638EC6"/>
      </dataBar>
    </cfRule>
    <cfRule priority="137" type="dataBar">
      <dataBar>
        <cfvo type="percent" val="0"/>
        <cfvo type="percent" val="100"/>
        <color rgb="FF638EC6"/>
      </dataBar>
    </cfRule>
  </conditionalFormatting>
  <conditionalFormatting sqref="O242:O245">
    <cfRule priority="135" type="dataBar">
      <dataBar>
        <cfvo type="min"/>
        <cfvo type="max"/>
        <color rgb="FF638EC6"/>
      </dataBar>
    </cfRule>
  </conditionalFormatting>
  <conditionalFormatting sqref="G242:G245">
    <cfRule priority="123" type="dataBar">
      <dataBar>
        <cfvo type="min"/>
        <cfvo type="max"/>
        <color rgb="FF638EC6"/>
      </dataBar>
    </cfRule>
    <cfRule priority="134" type="dataBar">
      <dataBar>
        <cfvo type="min"/>
        <cfvo type="max"/>
        <color rgb="FF638EC6"/>
      </dataBar>
    </cfRule>
  </conditionalFormatting>
  <conditionalFormatting sqref="P242:P245">
    <cfRule priority="133" type="dataBar">
      <dataBar>
        <cfvo type="min"/>
        <cfvo type="max"/>
        <color rgb="FF638EC6"/>
      </dataBar>
    </cfRule>
  </conditionalFormatting>
  <conditionalFormatting sqref="K242:K245">
    <cfRule priority="132" type="dataBar">
      <dataBar>
        <cfvo type="min"/>
        <cfvo type="max"/>
        <color rgb="FF638EC6"/>
      </dataBar>
    </cfRule>
  </conditionalFormatting>
  <conditionalFormatting sqref="M242:M245">
    <cfRule priority="131" type="dataBar">
      <dataBar>
        <cfvo type="min"/>
        <cfvo type="max"/>
        <color rgb="FF638EC6"/>
      </dataBar>
    </cfRule>
  </conditionalFormatting>
  <conditionalFormatting sqref="Q242:R245">
    <cfRule priority="129" type="dataBar">
      <dataBar>
        <cfvo type="min"/>
        <cfvo type="max"/>
        <color rgb="FF638EC6"/>
      </dataBar>
    </cfRule>
  </conditionalFormatting>
  <conditionalFormatting sqref="S242:S245">
    <cfRule priority="128" type="dataBar">
      <dataBar>
        <cfvo type="min"/>
        <cfvo type="max"/>
        <color rgb="FF638EC6"/>
      </dataBar>
    </cfRule>
  </conditionalFormatting>
  <conditionalFormatting sqref="I242:I245">
    <cfRule priority="122" type="dataBar">
      <dataBar>
        <cfvo type="min"/>
        <cfvo type="max"/>
        <color rgb="FF638EC6"/>
      </dataBar>
    </cfRule>
    <cfRule priority="127" type="dataBar">
      <dataBar>
        <cfvo type="min"/>
        <cfvo type="max"/>
        <color rgb="FF638EC6"/>
      </dataBar>
    </cfRule>
  </conditionalFormatting>
  <conditionalFormatting sqref="H242:H245">
    <cfRule priority="124" type="dataBar">
      <dataBar>
        <cfvo type="min"/>
        <cfvo type="max"/>
        <color rgb="FF638EC6"/>
      </dataBar>
    </cfRule>
    <cfRule priority="126" type="dataBar">
      <dataBar>
        <cfvo type="min"/>
        <cfvo type="max"/>
        <color rgb="FF638EC6"/>
      </dataBar>
    </cfRule>
  </conditionalFormatting>
  <conditionalFormatting sqref="J242:J245">
    <cfRule priority="121" type="dataBar">
      <dataBar>
        <cfvo type="min"/>
        <cfvo type="max"/>
        <color rgb="FF638EC6"/>
      </dataBar>
    </cfRule>
    <cfRule priority="125" type="dataBar">
      <dataBar>
        <cfvo type="min"/>
        <cfvo type="max"/>
        <color rgb="FF638EC6"/>
      </dataBar>
    </cfRule>
  </conditionalFormatting>
  <conditionalFormatting sqref="J98">
    <cfRule priority="119" type="dataBar">
      <dataBar>
        <cfvo type="min"/>
        <cfvo type="max"/>
        <color rgb="FF638EC6"/>
      </dataBar>
    </cfRule>
  </conditionalFormatting>
  <conditionalFormatting sqref="E266">
    <cfRule priority="108" type="dataBar">
      <dataBar>
        <cfvo type="min"/>
        <cfvo type="max"/>
        <color rgb="FF638EC6"/>
      </dataBar>
    </cfRule>
    <cfRule priority="118" type="dataBar">
      <dataBar>
        <cfvo type="min"/>
        <cfvo type="max"/>
        <color rgb="FF638EC6"/>
      </dataBar>
    </cfRule>
  </conditionalFormatting>
  <conditionalFormatting sqref="M266:M270 E266">
    <cfRule priority="117" type="dataBar">
      <dataBar>
        <cfvo type="percent" val="0"/>
        <cfvo type="percentile" val="100"/>
        <color rgb="FF638EC6"/>
      </dataBar>
    </cfRule>
    <cfRule priority="388" type="dataBar">
      <dataBar>
        <cfvo type="percent" val="0"/>
        <cfvo type="percent" val="100"/>
        <color rgb="FF638EC6"/>
      </dataBar>
    </cfRule>
  </conditionalFormatting>
  <conditionalFormatting sqref="Q266:R266 R267:R270">
    <cfRule priority="116" type="dataBar">
      <dataBar>
        <cfvo type="min"/>
        <cfvo type="max"/>
        <color rgb="FF638EC6"/>
      </dataBar>
    </cfRule>
  </conditionalFormatting>
  <conditionalFormatting sqref="O266:O270">
    <cfRule priority="115" type="dataBar">
      <dataBar>
        <cfvo type="min"/>
        <cfvo type="max"/>
        <color rgb="FF638EC6"/>
      </dataBar>
    </cfRule>
  </conditionalFormatting>
  <conditionalFormatting sqref="G266:G270">
    <cfRule priority="104" type="dataBar">
      <dataBar>
        <cfvo type="min"/>
        <cfvo type="max"/>
        <color rgb="FF638EC6"/>
      </dataBar>
    </cfRule>
    <cfRule priority="114" type="dataBar">
      <dataBar>
        <cfvo type="min"/>
        <cfvo type="max"/>
        <color rgb="FF638EC6"/>
      </dataBar>
    </cfRule>
  </conditionalFormatting>
  <conditionalFormatting sqref="P266:P270">
    <cfRule priority="113" type="dataBar">
      <dataBar>
        <cfvo type="min"/>
        <cfvo type="max"/>
        <color rgb="FF638EC6"/>
      </dataBar>
    </cfRule>
  </conditionalFormatting>
  <conditionalFormatting sqref="K266:K270">
    <cfRule priority="112" type="dataBar">
      <dataBar>
        <cfvo type="min"/>
        <cfvo type="max"/>
        <color rgb="FF638EC6"/>
      </dataBar>
    </cfRule>
  </conditionalFormatting>
  <conditionalFormatting sqref="M266:M270">
    <cfRule priority="111" type="dataBar">
      <dataBar>
        <cfvo type="min"/>
        <cfvo type="max"/>
        <color rgb="FF638EC6"/>
      </dataBar>
    </cfRule>
  </conditionalFormatting>
  <conditionalFormatting sqref="S266:S270">
    <cfRule priority="109" type="dataBar">
      <dataBar>
        <cfvo type="min"/>
        <cfvo type="max"/>
        <color rgb="FF638EC6"/>
      </dataBar>
    </cfRule>
  </conditionalFormatting>
  <conditionalFormatting sqref="I266:I270">
    <cfRule priority="103" type="dataBar">
      <dataBar>
        <cfvo type="min"/>
        <cfvo type="max"/>
        <color rgb="FF638EC6"/>
      </dataBar>
    </cfRule>
    <cfRule priority="389" type="dataBar">
      <dataBar>
        <cfvo type="min"/>
        <cfvo type="max"/>
        <color rgb="FF638EC6"/>
      </dataBar>
    </cfRule>
  </conditionalFormatting>
  <conditionalFormatting sqref="H266:H270">
    <cfRule priority="105" type="dataBar">
      <dataBar>
        <cfvo type="min"/>
        <cfvo type="max"/>
        <color rgb="FF638EC6"/>
      </dataBar>
    </cfRule>
    <cfRule priority="107" type="dataBar">
      <dataBar>
        <cfvo type="min"/>
        <cfvo type="max"/>
        <color rgb="FF638EC6"/>
      </dataBar>
    </cfRule>
  </conditionalFormatting>
  <conditionalFormatting sqref="J266:J270">
    <cfRule priority="102" type="dataBar">
      <dataBar>
        <cfvo type="min"/>
        <cfvo type="max"/>
        <color rgb="FF638EC6"/>
      </dataBar>
    </cfRule>
    <cfRule priority="106" type="dataBar">
      <dataBar>
        <cfvo type="min"/>
        <cfvo type="max"/>
        <color rgb="FF638EC6"/>
      </dataBar>
    </cfRule>
  </conditionalFormatting>
  <conditionalFormatting sqref="E271:E275">
    <cfRule priority="83" type="dataBar">
      <dataBar>
        <cfvo type="min"/>
        <cfvo type="max"/>
        <color rgb="FF638EC6"/>
      </dataBar>
    </cfRule>
    <cfRule priority="92" type="dataBar">
      <dataBar>
        <cfvo type="min"/>
        <cfvo type="max"/>
        <color rgb="FF638EC6"/>
      </dataBar>
    </cfRule>
  </conditionalFormatting>
  <conditionalFormatting sqref="E271:E275 M271:M275">
    <cfRule priority="99" type="dataBar">
      <dataBar>
        <cfvo type="percent" val="0"/>
        <cfvo type="percentile" val="100"/>
        <color rgb="FF638EC6"/>
      </dataBar>
    </cfRule>
    <cfRule priority="100" type="dataBar">
      <dataBar>
        <cfvo type="percent" val="0"/>
        <cfvo type="percent" val="100"/>
        <color rgb="FF638EC6"/>
      </dataBar>
    </cfRule>
  </conditionalFormatting>
  <conditionalFormatting sqref="Q273:R275 R271:R272">
    <cfRule priority="98" type="dataBar">
      <dataBar>
        <cfvo type="min"/>
        <cfvo type="max"/>
        <color rgb="FF638EC6"/>
      </dataBar>
    </cfRule>
  </conditionalFormatting>
  <conditionalFormatting sqref="O271:O275">
    <cfRule priority="97" type="dataBar">
      <dataBar>
        <cfvo type="min"/>
        <cfvo type="max"/>
        <color rgb="FF638EC6"/>
      </dataBar>
    </cfRule>
  </conditionalFormatting>
  <conditionalFormatting sqref="G271:G275">
    <cfRule priority="86" type="dataBar">
      <dataBar>
        <cfvo type="min"/>
        <cfvo type="max"/>
        <color rgb="FF638EC6"/>
      </dataBar>
    </cfRule>
    <cfRule priority="96" type="dataBar">
      <dataBar>
        <cfvo type="min"/>
        <cfvo type="max"/>
        <color rgb="FF638EC6"/>
      </dataBar>
    </cfRule>
  </conditionalFormatting>
  <conditionalFormatting sqref="P272:P275">
    <cfRule priority="95" type="dataBar">
      <dataBar>
        <cfvo type="min"/>
        <cfvo type="max"/>
        <color rgb="FF638EC6"/>
      </dataBar>
    </cfRule>
  </conditionalFormatting>
  <conditionalFormatting sqref="K271:K275">
    <cfRule priority="94" type="dataBar">
      <dataBar>
        <cfvo type="min"/>
        <cfvo type="max"/>
        <color rgb="FF638EC6"/>
      </dataBar>
    </cfRule>
  </conditionalFormatting>
  <conditionalFormatting sqref="M271:M275">
    <cfRule priority="93" type="dataBar">
      <dataBar>
        <cfvo type="min"/>
        <cfvo type="max"/>
        <color rgb="FF638EC6"/>
      </dataBar>
    </cfRule>
  </conditionalFormatting>
  <conditionalFormatting sqref="S271:S275">
    <cfRule priority="91" type="dataBar">
      <dataBar>
        <cfvo type="min"/>
        <cfvo type="max"/>
        <color rgb="FF638EC6"/>
      </dataBar>
    </cfRule>
  </conditionalFormatting>
  <conditionalFormatting sqref="I271:I275">
    <cfRule priority="85" type="dataBar">
      <dataBar>
        <cfvo type="min"/>
        <cfvo type="max"/>
        <color rgb="FF638EC6"/>
      </dataBar>
    </cfRule>
    <cfRule priority="90" type="dataBar">
      <dataBar>
        <cfvo type="min"/>
        <cfvo type="max"/>
        <color rgb="FF638EC6"/>
      </dataBar>
    </cfRule>
  </conditionalFormatting>
  <conditionalFormatting sqref="H271:H275">
    <cfRule priority="87" type="dataBar">
      <dataBar>
        <cfvo type="min"/>
        <cfvo type="max"/>
        <color rgb="FF638EC6"/>
      </dataBar>
    </cfRule>
    <cfRule priority="89" type="dataBar">
      <dataBar>
        <cfvo type="min"/>
        <cfvo type="max"/>
        <color rgb="FF638EC6"/>
      </dataBar>
    </cfRule>
  </conditionalFormatting>
  <conditionalFormatting sqref="J271:J275">
    <cfRule priority="84" type="dataBar">
      <dataBar>
        <cfvo type="min"/>
        <cfvo type="max"/>
        <color rgb="FF638EC6"/>
      </dataBar>
    </cfRule>
    <cfRule priority="88" type="dataBar">
      <dataBar>
        <cfvo type="min"/>
        <cfvo type="max"/>
        <color rgb="FF638EC6"/>
      </dataBar>
    </cfRule>
  </conditionalFormatting>
  <conditionalFormatting sqref="E256">
    <cfRule priority="65" type="dataBar">
      <dataBar>
        <cfvo type="min"/>
        <cfvo type="max"/>
        <color rgb="FF638EC6"/>
      </dataBar>
    </cfRule>
    <cfRule priority="74" type="dataBar">
      <dataBar>
        <cfvo type="min"/>
        <cfvo type="max"/>
        <color rgb="FF638EC6"/>
      </dataBar>
    </cfRule>
  </conditionalFormatting>
  <conditionalFormatting sqref="E256 M256">
    <cfRule priority="81" type="dataBar">
      <dataBar>
        <cfvo type="percent" val="0"/>
        <cfvo type="percentile" val="100"/>
        <color rgb="FF638EC6"/>
      </dataBar>
    </cfRule>
    <cfRule priority="82" type="dataBar">
      <dataBar>
        <cfvo type="percent" val="0"/>
        <cfvo type="percent" val="100"/>
        <color rgb="FF638EC6"/>
      </dataBar>
    </cfRule>
  </conditionalFormatting>
  <conditionalFormatting sqref="Q256:R256">
    <cfRule priority="80" type="dataBar">
      <dataBar>
        <cfvo type="min"/>
        <cfvo type="max"/>
        <color rgb="FF638EC6"/>
      </dataBar>
    </cfRule>
  </conditionalFormatting>
  <conditionalFormatting sqref="O256">
    <cfRule priority="79" type="dataBar">
      <dataBar>
        <cfvo type="min"/>
        <cfvo type="max"/>
        <color rgb="FF638EC6"/>
      </dataBar>
    </cfRule>
  </conditionalFormatting>
  <conditionalFormatting sqref="G256">
    <cfRule priority="68" type="dataBar">
      <dataBar>
        <cfvo type="min"/>
        <cfvo type="max"/>
        <color rgb="FF638EC6"/>
      </dataBar>
    </cfRule>
    <cfRule priority="78" type="dataBar">
      <dataBar>
        <cfvo type="min"/>
        <cfvo type="max"/>
        <color rgb="FF638EC6"/>
      </dataBar>
    </cfRule>
  </conditionalFormatting>
  <conditionalFormatting sqref="P256">
    <cfRule priority="77" type="dataBar">
      <dataBar>
        <cfvo type="min"/>
        <cfvo type="max"/>
        <color rgb="FF638EC6"/>
      </dataBar>
    </cfRule>
  </conditionalFormatting>
  <conditionalFormatting sqref="K256">
    <cfRule priority="76" type="dataBar">
      <dataBar>
        <cfvo type="min"/>
        <cfvo type="max"/>
        <color rgb="FF638EC6"/>
      </dataBar>
    </cfRule>
  </conditionalFormatting>
  <conditionalFormatting sqref="M256">
    <cfRule priority="75" type="dataBar">
      <dataBar>
        <cfvo type="min"/>
        <cfvo type="max"/>
        <color rgb="FF638EC6"/>
      </dataBar>
    </cfRule>
  </conditionalFormatting>
  <conditionalFormatting sqref="S256">
    <cfRule priority="73" type="dataBar">
      <dataBar>
        <cfvo type="min"/>
        <cfvo type="max"/>
        <color rgb="FF638EC6"/>
      </dataBar>
    </cfRule>
  </conditionalFormatting>
  <conditionalFormatting sqref="I256">
    <cfRule priority="67" type="dataBar">
      <dataBar>
        <cfvo type="min"/>
        <cfvo type="max"/>
        <color rgb="FF638EC6"/>
      </dataBar>
    </cfRule>
    <cfRule priority="72" type="dataBar">
      <dataBar>
        <cfvo type="min"/>
        <cfvo type="max"/>
        <color rgb="FF638EC6"/>
      </dataBar>
    </cfRule>
  </conditionalFormatting>
  <conditionalFormatting sqref="H256">
    <cfRule priority="69" type="dataBar">
      <dataBar>
        <cfvo type="min"/>
        <cfvo type="max"/>
        <color rgb="FF638EC6"/>
      </dataBar>
    </cfRule>
    <cfRule priority="71" type="dataBar">
      <dataBar>
        <cfvo type="min"/>
        <cfvo type="max"/>
        <color rgb="FF638EC6"/>
      </dataBar>
    </cfRule>
  </conditionalFormatting>
  <conditionalFormatting sqref="J256">
    <cfRule priority="66" type="dataBar">
      <dataBar>
        <cfvo type="min"/>
        <cfvo type="max"/>
        <color rgb="FF638EC6"/>
      </dataBar>
    </cfRule>
    <cfRule priority="70" type="dataBar">
      <dataBar>
        <cfvo type="min"/>
        <cfvo type="max"/>
        <color rgb="FF638EC6"/>
      </dataBar>
    </cfRule>
  </conditionalFormatting>
  <conditionalFormatting sqref="Q272">
    <cfRule priority="64" type="dataBar">
      <dataBar>
        <cfvo type="min"/>
        <cfvo type="max"/>
        <color rgb="FF638EC6"/>
      </dataBar>
    </cfRule>
  </conditionalFormatting>
  <conditionalFormatting sqref="Q277:Q284">
    <cfRule priority="58" type="dataBar">
      <dataBar>
        <cfvo type="min"/>
        <cfvo type="max"/>
        <color rgb="FF638EC6"/>
      </dataBar>
    </cfRule>
  </conditionalFormatting>
  <conditionalFormatting sqref="M277:M284">
    <cfRule priority="63" type="dataBar">
      <dataBar>
        <cfvo type="min"/>
        <cfvo type="max"/>
        <color rgb="FF638EC6"/>
      </dataBar>
    </cfRule>
  </conditionalFormatting>
  <conditionalFormatting sqref="E277:E284">
    <cfRule priority="62" type="dataBar">
      <dataBar>
        <cfvo type="min"/>
        <cfvo type="max"/>
        <color rgb="FF638EC6"/>
      </dataBar>
    </cfRule>
  </conditionalFormatting>
  <conditionalFormatting sqref="G277:J284">
    <cfRule priority="61" type="dataBar">
      <dataBar>
        <cfvo type="min"/>
        <cfvo type="max"/>
        <color rgb="FF638EC6"/>
      </dataBar>
    </cfRule>
  </conditionalFormatting>
  <conditionalFormatting sqref="O277:O284">
    <cfRule priority="60" type="dataBar">
      <dataBar>
        <cfvo type="min"/>
        <cfvo type="max"/>
        <color rgb="FF638EC6"/>
      </dataBar>
    </cfRule>
  </conditionalFormatting>
  <conditionalFormatting sqref="S277:S284">
    <cfRule priority="59" type="dataBar">
      <dataBar>
        <cfvo type="min"/>
        <cfvo type="max"/>
        <color rgb="FF638EC6"/>
      </dataBar>
    </cfRule>
  </conditionalFormatting>
  <conditionalFormatting sqref="S277">
    <cfRule priority="56" type="dataBar">
      <dataBar>
        <cfvo type="min"/>
        <cfvo type="max"/>
        <color rgb="FF638EC6"/>
      </dataBar>
    </cfRule>
    <cfRule priority="57" type="dataBar">
      <dataBar>
        <cfvo type="min"/>
        <cfvo type="max"/>
        <color rgb="FF638EC6"/>
      </dataBar>
    </cfRule>
  </conditionalFormatting>
  <conditionalFormatting sqref="E251">
    <cfRule priority="38" type="dataBar">
      <dataBar>
        <cfvo type="min"/>
        <cfvo type="max"/>
        <color rgb="FF638EC6"/>
      </dataBar>
    </cfRule>
    <cfRule priority="47" type="dataBar">
      <dataBar>
        <cfvo type="min"/>
        <cfvo type="max"/>
        <color rgb="FF638EC6"/>
      </dataBar>
    </cfRule>
  </conditionalFormatting>
  <conditionalFormatting sqref="E251 M251">
    <cfRule priority="54" type="dataBar">
      <dataBar>
        <cfvo type="percent" val="0"/>
        <cfvo type="percentile" val="100"/>
        <color rgb="FF638EC6"/>
      </dataBar>
    </cfRule>
    <cfRule priority="55" type="dataBar">
      <dataBar>
        <cfvo type="percent" val="0"/>
        <cfvo type="percent" val="100"/>
        <color rgb="FF638EC6"/>
      </dataBar>
    </cfRule>
  </conditionalFormatting>
  <conditionalFormatting sqref="Q251:R251">
    <cfRule priority="53" type="dataBar">
      <dataBar>
        <cfvo type="min"/>
        <cfvo type="max"/>
        <color rgb="FF638EC6"/>
      </dataBar>
    </cfRule>
  </conditionalFormatting>
  <conditionalFormatting sqref="O251">
    <cfRule priority="52" type="dataBar">
      <dataBar>
        <cfvo type="min"/>
        <cfvo type="max"/>
        <color rgb="FF638EC6"/>
      </dataBar>
    </cfRule>
  </conditionalFormatting>
  <conditionalFormatting sqref="G251">
    <cfRule priority="41" type="dataBar">
      <dataBar>
        <cfvo type="min"/>
        <cfvo type="max"/>
        <color rgb="FF638EC6"/>
      </dataBar>
    </cfRule>
    <cfRule priority="51" type="dataBar">
      <dataBar>
        <cfvo type="min"/>
        <cfvo type="max"/>
        <color rgb="FF638EC6"/>
      </dataBar>
    </cfRule>
  </conditionalFormatting>
  <conditionalFormatting sqref="P251">
    <cfRule priority="50" type="dataBar">
      <dataBar>
        <cfvo type="min"/>
        <cfvo type="max"/>
        <color rgb="FF638EC6"/>
      </dataBar>
    </cfRule>
  </conditionalFormatting>
  <conditionalFormatting sqref="K251">
    <cfRule priority="49" type="dataBar">
      <dataBar>
        <cfvo type="min"/>
        <cfvo type="max"/>
        <color rgb="FF638EC6"/>
      </dataBar>
    </cfRule>
  </conditionalFormatting>
  <conditionalFormatting sqref="M251">
    <cfRule priority="48" type="dataBar">
      <dataBar>
        <cfvo type="min"/>
        <cfvo type="max"/>
        <color rgb="FF638EC6"/>
      </dataBar>
    </cfRule>
  </conditionalFormatting>
  <conditionalFormatting sqref="S251">
    <cfRule priority="46" type="dataBar">
      <dataBar>
        <cfvo type="min"/>
        <cfvo type="max"/>
        <color rgb="FF638EC6"/>
      </dataBar>
    </cfRule>
  </conditionalFormatting>
  <conditionalFormatting sqref="I251">
    <cfRule priority="40" type="dataBar">
      <dataBar>
        <cfvo type="min"/>
        <cfvo type="max"/>
        <color rgb="FF638EC6"/>
      </dataBar>
    </cfRule>
    <cfRule priority="45" type="dataBar">
      <dataBar>
        <cfvo type="min"/>
        <cfvo type="max"/>
        <color rgb="FF638EC6"/>
      </dataBar>
    </cfRule>
  </conditionalFormatting>
  <conditionalFormatting sqref="H251">
    <cfRule priority="42" type="dataBar">
      <dataBar>
        <cfvo type="min"/>
        <cfvo type="max"/>
        <color rgb="FF638EC6"/>
      </dataBar>
    </cfRule>
    <cfRule priority="44" type="dataBar">
      <dataBar>
        <cfvo type="min"/>
        <cfvo type="max"/>
        <color rgb="FF638EC6"/>
      </dataBar>
    </cfRule>
  </conditionalFormatting>
  <conditionalFormatting sqref="J251">
    <cfRule priority="39" type="dataBar">
      <dataBar>
        <cfvo type="min"/>
        <cfvo type="max"/>
        <color rgb="FF638EC6"/>
      </dataBar>
    </cfRule>
    <cfRule priority="43" type="dataBar">
      <dataBar>
        <cfvo type="min"/>
        <cfvo type="max"/>
        <color rgb="FF638EC6"/>
      </dataBar>
    </cfRule>
  </conditionalFormatting>
  <conditionalFormatting sqref="E247:E250">
    <cfRule priority="19" type="dataBar">
      <dataBar>
        <cfvo type="min"/>
        <cfvo type="max"/>
        <color rgb="FF638EC6"/>
      </dataBar>
    </cfRule>
    <cfRule priority="29" type="dataBar">
      <dataBar>
        <cfvo type="min"/>
        <cfvo type="max"/>
        <color rgb="FF638EC6"/>
      </dataBar>
    </cfRule>
  </conditionalFormatting>
  <conditionalFormatting sqref="M247:M250 E247:E250">
    <cfRule priority="35" type="dataBar">
      <dataBar>
        <cfvo type="percent" val="0"/>
        <cfvo type="percentile" val="100"/>
        <color rgb="FF638EC6"/>
      </dataBar>
    </cfRule>
    <cfRule priority="36" type="dataBar">
      <dataBar>
        <cfvo type="percent" val="0"/>
        <cfvo type="percent" val="100"/>
        <color rgb="FF638EC6"/>
      </dataBar>
    </cfRule>
  </conditionalFormatting>
  <conditionalFormatting sqref="O247:O250">
    <cfRule priority="34" type="dataBar">
      <dataBar>
        <cfvo type="min"/>
        <cfvo type="max"/>
        <color rgb="FF638EC6"/>
      </dataBar>
    </cfRule>
  </conditionalFormatting>
  <conditionalFormatting sqref="G247:G250">
    <cfRule priority="22" type="dataBar">
      <dataBar>
        <cfvo type="min"/>
        <cfvo type="max"/>
        <color rgb="FF638EC6"/>
      </dataBar>
    </cfRule>
    <cfRule priority="33" type="dataBar">
      <dataBar>
        <cfvo type="min"/>
        <cfvo type="max"/>
        <color rgb="FF638EC6"/>
      </dataBar>
    </cfRule>
  </conditionalFormatting>
  <conditionalFormatting sqref="P247:P250">
    <cfRule priority="32" type="dataBar">
      <dataBar>
        <cfvo type="min"/>
        <cfvo type="max"/>
        <color rgb="FF638EC6"/>
      </dataBar>
    </cfRule>
  </conditionalFormatting>
  <conditionalFormatting sqref="K247:K250">
    <cfRule priority="31" type="dataBar">
      <dataBar>
        <cfvo type="min"/>
        <cfvo type="max"/>
        <color rgb="FF638EC6"/>
      </dataBar>
    </cfRule>
  </conditionalFormatting>
  <conditionalFormatting sqref="M247:M250">
    <cfRule priority="30" type="dataBar">
      <dataBar>
        <cfvo type="min"/>
        <cfvo type="max"/>
        <color rgb="FF638EC6"/>
      </dataBar>
    </cfRule>
  </conditionalFormatting>
  <conditionalFormatting sqref="Q247:R250">
    <cfRule priority="28" type="dataBar">
      <dataBar>
        <cfvo type="min"/>
        <cfvo type="max"/>
        <color rgb="FF638EC6"/>
      </dataBar>
    </cfRule>
  </conditionalFormatting>
  <conditionalFormatting sqref="S247:S250">
    <cfRule priority="27" type="dataBar">
      <dataBar>
        <cfvo type="min"/>
        <cfvo type="max"/>
        <color rgb="FF638EC6"/>
      </dataBar>
    </cfRule>
  </conditionalFormatting>
  <conditionalFormatting sqref="I247:I250">
    <cfRule priority="21" type="dataBar">
      <dataBar>
        <cfvo type="min"/>
        <cfvo type="max"/>
        <color rgb="FF638EC6"/>
      </dataBar>
    </cfRule>
    <cfRule priority="26" type="dataBar">
      <dataBar>
        <cfvo type="min"/>
        <cfvo type="max"/>
        <color rgb="FF638EC6"/>
      </dataBar>
    </cfRule>
  </conditionalFormatting>
  <conditionalFormatting sqref="H247:H250">
    <cfRule priority="23" type="dataBar">
      <dataBar>
        <cfvo type="min"/>
        <cfvo type="max"/>
        <color rgb="FF638EC6"/>
      </dataBar>
    </cfRule>
    <cfRule priority="25" type="dataBar">
      <dataBar>
        <cfvo type="min"/>
        <cfvo type="max"/>
        <color rgb="FF638EC6"/>
      </dataBar>
    </cfRule>
  </conditionalFormatting>
  <conditionalFormatting sqref="J247:J250">
    <cfRule priority="20" type="dataBar">
      <dataBar>
        <cfvo type="min"/>
        <cfvo type="max"/>
        <color rgb="FF638EC6"/>
      </dataBar>
    </cfRule>
    <cfRule priority="24" type="dataBar">
      <dataBar>
        <cfvo type="min"/>
        <cfvo type="max"/>
        <color rgb="FF638EC6"/>
      </dataBar>
    </cfRule>
  </conditionalFormatting>
  <conditionalFormatting sqref="E252:E255">
    <cfRule priority="1" type="dataBar">
      <dataBar>
        <cfvo type="min"/>
        <cfvo type="max"/>
        <color rgb="FF638EC6"/>
      </dataBar>
    </cfRule>
    <cfRule priority="11" type="dataBar">
      <dataBar>
        <cfvo type="min"/>
        <cfvo type="max"/>
        <color rgb="FF638EC6"/>
      </dataBar>
    </cfRule>
  </conditionalFormatting>
  <conditionalFormatting sqref="M252:M255 E252:E255">
    <cfRule priority="17" type="dataBar">
      <dataBar>
        <cfvo type="percent" val="0"/>
        <cfvo type="percentile" val="100"/>
        <color rgb="FF638EC6"/>
      </dataBar>
    </cfRule>
    <cfRule priority="18" type="dataBar">
      <dataBar>
        <cfvo type="percent" val="0"/>
        <cfvo type="percent" val="100"/>
        <color rgb="FF638EC6"/>
      </dataBar>
    </cfRule>
  </conditionalFormatting>
  <conditionalFormatting sqref="O252:O255">
    <cfRule priority="16" type="dataBar">
      <dataBar>
        <cfvo type="min"/>
        <cfvo type="max"/>
        <color rgb="FF638EC6"/>
      </dataBar>
    </cfRule>
  </conditionalFormatting>
  <conditionalFormatting sqref="G252:G255">
    <cfRule priority="4" type="dataBar">
      <dataBar>
        <cfvo type="min"/>
        <cfvo type="max"/>
        <color rgb="FF638EC6"/>
      </dataBar>
    </cfRule>
    <cfRule priority="15" type="dataBar">
      <dataBar>
        <cfvo type="min"/>
        <cfvo type="max"/>
        <color rgb="FF638EC6"/>
      </dataBar>
    </cfRule>
  </conditionalFormatting>
  <conditionalFormatting sqref="P252:P255">
    <cfRule priority="14" type="dataBar">
      <dataBar>
        <cfvo type="min"/>
        <cfvo type="max"/>
        <color rgb="FF638EC6"/>
      </dataBar>
    </cfRule>
  </conditionalFormatting>
  <conditionalFormatting sqref="K252:K255">
    <cfRule priority="13" type="dataBar">
      <dataBar>
        <cfvo type="min"/>
        <cfvo type="max"/>
        <color rgb="FF638EC6"/>
      </dataBar>
    </cfRule>
  </conditionalFormatting>
  <conditionalFormatting sqref="M252:M255">
    <cfRule priority="12" type="dataBar">
      <dataBar>
        <cfvo type="min"/>
        <cfvo type="max"/>
        <color rgb="FF638EC6"/>
      </dataBar>
    </cfRule>
  </conditionalFormatting>
  <conditionalFormatting sqref="Q252:R255">
    <cfRule priority="10" type="dataBar">
      <dataBar>
        <cfvo type="min"/>
        <cfvo type="max"/>
        <color rgb="FF638EC6"/>
      </dataBar>
    </cfRule>
  </conditionalFormatting>
  <conditionalFormatting sqref="S252:S255">
    <cfRule priority="9" type="dataBar">
      <dataBar>
        <cfvo type="min"/>
        <cfvo type="max"/>
        <color rgb="FF638EC6"/>
      </dataBar>
    </cfRule>
  </conditionalFormatting>
  <conditionalFormatting sqref="I252:I255">
    <cfRule priority="3" type="dataBar">
      <dataBar>
        <cfvo type="min"/>
        <cfvo type="max"/>
        <color rgb="FF638EC6"/>
      </dataBar>
    </cfRule>
    <cfRule priority="8" type="dataBar">
      <dataBar>
        <cfvo type="min"/>
        <cfvo type="max"/>
        <color rgb="FF638EC6"/>
      </dataBar>
    </cfRule>
  </conditionalFormatting>
  <conditionalFormatting sqref="H252:H255">
    <cfRule priority="5" type="dataBar">
      <dataBar>
        <cfvo type="min"/>
        <cfvo type="max"/>
        <color rgb="FF638EC6"/>
      </dataBar>
    </cfRule>
    <cfRule priority="7" type="dataBar">
      <dataBar>
        <cfvo type="min"/>
        <cfvo type="max"/>
        <color rgb="FF638EC6"/>
      </dataBar>
    </cfRule>
  </conditionalFormatting>
  <conditionalFormatting sqref="J252:J255">
    <cfRule priority="2" type="dataBar">
      <dataBar>
        <cfvo type="min"/>
        <cfvo type="max"/>
        <color rgb="FF638EC6"/>
      </dataBar>
    </cfRule>
    <cfRule priority="6" type="dataBar">
      <dataBar>
        <cfvo type="min"/>
        <cfvo type="max"/>
        <color rgb="FF638EC6"/>
      </dataBar>
    </cfRule>
  </conditionalFormatting>
  <pageMargins bottom="0.75" footer="0.3" header="0.3" left="0.7" right="0.7" top="0.75"/>
  <pageSetup horizontalDpi="0"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7"/>
  <sheetViews>
    <sheetView workbookViewId="0" zoomScale="120" zoomScaleNormal="120">
      <pane activePane="topRight" state="frozen" topLeftCell="N1" xSplit="1"/>
      <selection activeCell="U27" pane="topRight" sqref="U27"/>
    </sheetView>
  </sheetViews>
  <sheetFormatPr baseColWidth="10" defaultRowHeight="16" outlineLevelCol="0"/>
  <cols>
    <col customWidth="1" max="4" min="4" style="4" width="10.83203125"/>
    <col customWidth="1" max="5" min="5" style="20" width="20.33203125"/>
    <col customWidth="1" max="6" min="6" style="20" width="17.6640625"/>
    <col customWidth="1" max="10" min="7" style="20" width="21.6640625"/>
    <col customWidth="1" max="11" min="11" style="4" width="21.83203125"/>
    <col customWidth="1" max="12" min="12" style="85" width="10.83203125"/>
    <col customWidth="1" max="13" min="13" style="18" width="17.6640625"/>
    <col customWidth="1" max="14" min="14" style="9" width="14"/>
    <col customWidth="1" max="15" min="15" style="85" width="22.5"/>
    <col customWidth="1" max="16" min="16" style="9" width="18.6640625"/>
    <col customWidth="1" max="17" min="17" style="131" width="12.83203125"/>
    <col customWidth="1" max="20" min="20" style="131" width="14.5"/>
    <col customWidth="1" max="21" min="21" style="130" width="13.33203125"/>
    <col customWidth="1" max="22" min="22" style="131" width="13.33203125"/>
  </cols>
  <sheetData>
    <row r="1" spans="1:23">
      <c r="A1" t="s">
        <v>0</v>
      </c>
      <c r="C1" t="s">
        <v>1</v>
      </c>
      <c r="D1" s="4" t="s">
        <v>2</v>
      </c>
      <c r="E1" s="4" t="s">
        <v>3</v>
      </c>
      <c r="F1" s="4" t="s">
        <v>4</v>
      </c>
      <c r="G1" s="16" t="s">
        <v>5</v>
      </c>
      <c r="H1" s="16" t="s">
        <v>6</v>
      </c>
      <c r="I1" s="16" t="s">
        <v>7</v>
      </c>
      <c r="J1" s="16" t="s">
        <v>8</v>
      </c>
      <c r="K1" s="4" t="s">
        <v>9</v>
      </c>
      <c r="L1" s="85" t="s">
        <v>10</v>
      </c>
      <c r="M1" s="19" t="s">
        <v>11</v>
      </c>
      <c r="N1" s="9" t="s">
        <v>12</v>
      </c>
      <c r="O1" s="85" t="s">
        <v>13</v>
      </c>
      <c r="P1" s="9" t="s">
        <v>14</v>
      </c>
      <c r="Q1" s="131" t="s">
        <v>15</v>
      </c>
      <c r="R1" t="s">
        <v>16</v>
      </c>
      <c r="S1" t="s">
        <v>17</v>
      </c>
      <c r="T1" s="128" t="s">
        <v>18</v>
      </c>
      <c r="U1" s="127" t="s">
        <v>19</v>
      </c>
      <c r="V1" s="128" t="s">
        <v>20</v>
      </c>
    </row>
    <row r="2" spans="1:23">
      <c r="A2" t="s">
        <v>170</v>
      </c>
      <c r="B2" t="s">
        <v>24</v>
      </c>
      <c r="C2" s="120" t="n">
        <v>11.20391499621685</v>
      </c>
      <c r="D2" s="86" t="n">
        <v>7.398765619044908</v>
      </c>
      <c r="E2" s="20" t="n">
        <v>0.3396267624715827</v>
      </c>
      <c r="F2" s="88" t="n">
        <v>20.99469057818082</v>
      </c>
      <c r="G2" s="16" t="n">
        <v>0.8738709268385161</v>
      </c>
      <c r="H2" s="16" t="n">
        <v>-0.1810956839951715</v>
      </c>
      <c r="I2" s="16" t="n">
        <v>-0.07306284964913601</v>
      </c>
      <c r="J2" s="16" t="n">
        <v>0.1878879087373548</v>
      </c>
      <c r="K2" s="88" t="n">
        <v>2.837593682402793</v>
      </c>
      <c r="L2" s="91" t="n">
        <v>7.398765619044908</v>
      </c>
      <c r="M2" s="18" t="n">
        <v>0.3396267624715827</v>
      </c>
      <c r="N2" s="9" t="n">
        <v>14.824574507489</v>
      </c>
      <c r="O2" s="18" t="n">
        <v>0.3231602089532732</v>
      </c>
      <c r="P2" s="9" t="n">
        <v>2.003655105566471</v>
      </c>
      <c r="Q2" s="131" t="n">
        <v>0.113988475050121</v>
      </c>
      <c r="R2" s="96" t="n">
        <v>0.1129122761723885</v>
      </c>
      <c r="S2" s="96" t="n">
        <v>0.03330142534543841</v>
      </c>
      <c r="T2" t="n">
        <v>30077.148</v>
      </c>
      <c r="U2" s="129">
        <f>C2*S2</f>
        <v/>
      </c>
      <c r="V2" s="129">
        <f>Q2*(1-U2)+S2</f>
        <v/>
      </c>
      <c r="W2" s="96" t="n"/>
    </row>
    <row r="3" spans="1:23">
      <c r="A3" t="s">
        <v>171</v>
      </c>
      <c r="B3" t="s">
        <v>26</v>
      </c>
      <c r="C3" s="120" t="n">
        <v>11.54782542945394</v>
      </c>
      <c r="D3" s="86" t="n">
        <v>7.62023117921319</v>
      </c>
      <c r="E3" s="20" t="n">
        <v>0.3401154853123262</v>
      </c>
      <c r="F3" s="88" t="n">
        <v>23.76396981454008</v>
      </c>
      <c r="G3" s="16" t="n">
        <v>1.057874009242258</v>
      </c>
      <c r="H3" s="16" t="n">
        <v>-0.1190235770722371</v>
      </c>
      <c r="I3" s="16" t="n">
        <v>-0.0007537242787035714</v>
      </c>
      <c r="J3" s="16" t="n">
        <v>0.2231962201289064</v>
      </c>
      <c r="K3" s="88" t="n">
        <v>3.118536597598837</v>
      </c>
      <c r="L3" s="91" t="n">
        <v>8.115102661769875</v>
      </c>
      <c r="M3" s="18" t="n">
        <v>0.297261401175025</v>
      </c>
      <c r="N3" s="9" t="n">
        <v>14.67085827127586</v>
      </c>
      <c r="O3" s="18" t="n">
        <v>0.2704433714295942</v>
      </c>
      <c r="P3" s="9" t="n">
        <v>1.807846293847896</v>
      </c>
      <c r="R3" s="96" t="n"/>
      <c r="S3" s="96" t="n"/>
    </row>
    <row r="4" spans="1:23">
      <c r="A4" t="s">
        <v>172</v>
      </c>
      <c r="B4" t="s">
        <v>28</v>
      </c>
      <c r="C4" s="118" t="n">
        <v>1.277117185009941</v>
      </c>
      <c r="D4" s="86" t="n">
        <v>0.8844228432847142</v>
      </c>
      <c r="E4" s="20" t="n">
        <v>0.3074849718838996</v>
      </c>
      <c r="F4" s="88" t="n">
        <v>2.389774217443597</v>
      </c>
      <c r="G4" s="16" t="n">
        <v>0.8712254799272754</v>
      </c>
      <c r="H4" s="16" t="n">
        <v>-0.07988375868992903</v>
      </c>
      <c r="I4" s="16" t="n">
        <v>0.05717822661206884</v>
      </c>
      <c r="J4" s="16" t="n">
        <v>0.4508779766754412</v>
      </c>
      <c r="K4" s="88" t="n">
        <v>2.702072018592445</v>
      </c>
      <c r="L4" s="91" t="n">
        <v>0.8844228432847142</v>
      </c>
      <c r="M4" s="18" t="n">
        <v>0.3074849718838996</v>
      </c>
      <c r="N4" s="9" t="n">
        <v>1.504984746971779</v>
      </c>
      <c r="O4" s="18" t="n">
        <v>0.1784233777733282</v>
      </c>
      <c r="P4" s="9" t="n">
        <v>1.701657480241375</v>
      </c>
      <c r="R4" s="96" t="n"/>
      <c r="S4" s="96" t="n"/>
    </row>
    <row r="5" spans="1:23">
      <c r="A5" t="n">
        <v>3.81</v>
      </c>
      <c r="B5" t="s">
        <v>29</v>
      </c>
      <c r="C5" s="120" t="n">
        <v>1.303891254081033</v>
      </c>
      <c r="D5" s="86" t="n">
        <v>0.8788870532247611</v>
      </c>
      <c r="E5" s="20" t="n">
        <v>0.3259506492785015</v>
      </c>
      <c r="F5" s="88" t="n">
        <v>2.022322416446297</v>
      </c>
      <c r="G5" s="16" t="n">
        <v>0.5509900922463082</v>
      </c>
      <c r="H5" s="16" t="n">
        <v>-0.1022110712311386</v>
      </c>
      <c r="I5" s="16" t="n">
        <v>-0.000825683427269297</v>
      </c>
      <c r="J5" s="16" t="n">
        <v>0.2504082550969984</v>
      </c>
      <c r="K5" s="88" t="n">
        <v>2.301003762686125</v>
      </c>
      <c r="L5" s="91" t="n">
        <v>0.8788870532247611</v>
      </c>
      <c r="M5" s="18" t="n">
        <v>0.3259506492785015</v>
      </c>
      <c r="N5" s="9" t="n">
        <v>1.468408220548454</v>
      </c>
      <c r="O5" s="18" t="n">
        <v>0.1261738399981602</v>
      </c>
      <c r="P5" s="9" t="n">
        <v>1.670758734197593</v>
      </c>
      <c r="R5" s="96" t="n"/>
      <c r="S5" s="96" t="n"/>
    </row>
    <row r="6" spans="1:23">
      <c r="F6" s="5" t="n"/>
      <c r="K6" s="88" t="n"/>
      <c r="O6" s="18" t="n"/>
      <c r="R6" s="96" t="n"/>
      <c r="S6" s="96" t="n"/>
    </row>
    <row r="7" spans="1:23">
      <c r="A7" t="s">
        <v>173</v>
      </c>
      <c r="B7" t="s">
        <v>24</v>
      </c>
      <c r="C7" s="120" t="n">
        <v>10.03935161935431</v>
      </c>
      <c r="D7" s="86" t="n">
        <v>5.557408558046586</v>
      </c>
      <c r="E7" s="20" t="n">
        <v>0.4464375022653092</v>
      </c>
      <c r="F7" s="88" t="n">
        <v>22.50503367474543</v>
      </c>
      <c r="G7" s="16" t="n">
        <v>1.241681985852475</v>
      </c>
      <c r="H7" s="16" t="n">
        <v>-0.2610632103306267</v>
      </c>
      <c r="I7" s="16" t="n">
        <v>-0.1466265349307957</v>
      </c>
      <c r="J7" s="16" t="n">
        <v>0.3011748030591326</v>
      </c>
      <c r="K7" s="88" t="n">
        <v>4.049555370939993</v>
      </c>
      <c r="L7" s="91" t="n">
        <v>5.557408558046586</v>
      </c>
      <c r="M7" s="18" t="n">
        <v>0.4464375022653092</v>
      </c>
      <c r="N7" s="9" t="n">
        <v>11.91287441335952</v>
      </c>
      <c r="O7" s="18" t="n">
        <v>0.1866179077136167</v>
      </c>
      <c r="P7" s="9" t="n">
        <v>2.143602416293624</v>
      </c>
      <c r="Q7" s="131" t="n">
        <v>0.1155179468744137</v>
      </c>
      <c r="R7" s="96" t="n">
        <v>0.09781367142989643</v>
      </c>
      <c r="S7" s="96" t="n">
        <v>0.03386620107026074</v>
      </c>
      <c r="T7" s="80" t="n">
        <v>11793.649</v>
      </c>
      <c r="U7" s="129">
        <f>C7*S7</f>
        <v/>
      </c>
      <c r="V7" s="129">
        <f>Q7*(1-U7)+S7</f>
        <v/>
      </c>
    </row>
    <row r="8" spans="1:23">
      <c r="A8" t="s">
        <v>174</v>
      </c>
      <c r="B8" t="s">
        <v>26</v>
      </c>
      <c r="C8" s="120" t="n">
        <v>10.87059184103836</v>
      </c>
      <c r="D8" s="86" t="n">
        <v>6.479131580428658</v>
      </c>
      <c r="E8" s="20" t="n">
        <v>0.4039761886773432</v>
      </c>
      <c r="F8" s="88" t="n">
        <v>28.28288921672663</v>
      </c>
      <c r="G8" s="16" t="n">
        <v>1.60178007143584</v>
      </c>
      <c r="H8" s="16" t="n">
        <v>-0.1815666040148524</v>
      </c>
      <c r="I8" s="16" t="n">
        <v>-0.07428902491637857</v>
      </c>
      <c r="J8" s="16" t="n">
        <v>0.331982394442337</v>
      </c>
      <c r="K8" s="88" t="n">
        <v>4.365228405325184</v>
      </c>
      <c r="L8" s="91" t="n">
        <v>6.479131580428658</v>
      </c>
      <c r="M8" s="18" t="n">
        <v>0.4039761886773432</v>
      </c>
      <c r="N8" s="9" t="n">
        <v>12.75295911816648</v>
      </c>
      <c r="O8" s="18" t="n">
        <v>0.1731614345064327</v>
      </c>
      <c r="P8" s="9" t="n">
        <v>1.968313030821755</v>
      </c>
      <c r="T8" s="96" t="n"/>
    </row>
    <row r="9" spans="1:23">
      <c r="A9" t="s">
        <v>175</v>
      </c>
      <c r="B9" t="s">
        <v>28</v>
      </c>
      <c r="C9" s="118" t="n">
        <v>1.159725287018131</v>
      </c>
      <c r="D9" s="86" t="n">
        <v>0.7294160133822899</v>
      </c>
      <c r="E9" s="20" t="n">
        <v>0.3710441416193019</v>
      </c>
      <c r="F9" s="88" t="n">
        <v>2.682186457691786</v>
      </c>
      <c r="G9" s="16" t="n">
        <v>1.312777420408057</v>
      </c>
      <c r="H9" s="16" t="n">
        <v>-0.1482425091318138</v>
      </c>
      <c r="I9" s="16" t="n">
        <v>0.03988814709740396</v>
      </c>
      <c r="J9" s="16" t="n">
        <v>0.701437637597581</v>
      </c>
      <c r="K9" s="88" t="n">
        <v>3.677169692579866</v>
      </c>
      <c r="L9" s="91" t="n">
        <v>0.7294160133822899</v>
      </c>
      <c r="M9" s="18" t="n">
        <v>0.3710441416193019</v>
      </c>
      <c r="N9" s="9" t="n">
        <v>1.450389990986266</v>
      </c>
      <c r="O9" s="18" t="n">
        <v>0.2506323758064191</v>
      </c>
      <c r="P9" s="9" t="n">
        <v>1.988426308686084</v>
      </c>
      <c r="T9" s="96" t="n"/>
    </row>
    <row r="10" spans="1:23">
      <c r="B10" t="s">
        <v>29</v>
      </c>
      <c r="C10" s="118" t="n">
        <v>1.063292498587839</v>
      </c>
      <c r="D10" s="86" t="n">
        <v>0.7956951839387827</v>
      </c>
      <c r="E10" s="20" t="n">
        <v>0.2516685813211818</v>
      </c>
      <c r="F10" s="88" t="n">
        <v>2.507657506705044</v>
      </c>
      <c r="G10" s="16" t="n">
        <v>1.358389163880559</v>
      </c>
      <c r="H10" s="16" t="n">
        <v>-0.007180549637941236</v>
      </c>
      <c r="I10" s="16" t="n">
        <v>0.1881550646724339</v>
      </c>
      <c r="J10" s="16" t="n">
        <v>0.738013226977239</v>
      </c>
      <c r="K10" s="88" t="n">
        <v>3.151530331366153</v>
      </c>
      <c r="L10" s="91" t="n">
        <v>0.7956951839387827</v>
      </c>
      <c r="M10" s="18" t="n">
        <v>0.2516685813211818</v>
      </c>
      <c r="N10" s="9" t="n">
        <v>1.586276697299232</v>
      </c>
      <c r="O10" s="18" t="n">
        <v>0.491853558081121</v>
      </c>
      <c r="P10" s="9" t="n">
        <v>1.993573329735365</v>
      </c>
      <c r="T10" s="96" t="n"/>
    </row>
    <row r="12" spans="1:23">
      <c r="A12" t="s">
        <v>176</v>
      </c>
      <c r="B12" t="s">
        <v>24</v>
      </c>
      <c r="C12" s="104" t="n">
        <v>13.41</v>
      </c>
      <c r="D12" s="4" t="n">
        <v>8.01</v>
      </c>
      <c r="E12" s="20">
        <f>1-D12/C12</f>
        <v/>
      </c>
      <c r="F12" s="105" t="n">
        <v>19.89</v>
      </c>
      <c r="G12" s="20">
        <f>F12/C12-1</f>
        <v/>
      </c>
      <c r="H12" s="20">
        <f>12.01/C12-1</f>
        <v/>
      </c>
      <c r="I12" s="20">
        <f>12.9/C12-1</f>
        <v/>
      </c>
      <c r="J12" s="20">
        <f>13.85/C12-1</f>
        <v/>
      </c>
      <c r="Q12" s="131">
        <f>C14/C12</f>
        <v/>
      </c>
      <c r="S12" s="96" t="n">
        <v>0.019</v>
      </c>
      <c r="U12" s="129">
        <f>C12*S12</f>
        <v/>
      </c>
      <c r="V12" s="129">
        <f>Q12*(1-U12)+S12</f>
        <v/>
      </c>
    </row>
    <row r="14" spans="1:23">
      <c r="A14" t="s">
        <v>177</v>
      </c>
      <c r="B14" t="s">
        <v>28</v>
      </c>
      <c r="C14" s="106" t="n">
        <v>1.75</v>
      </c>
      <c r="D14" s="4" t="n">
        <v>1.01</v>
      </c>
      <c r="E14" s="20">
        <f>1-D14/C14</f>
        <v/>
      </c>
      <c r="F14" s="105" t="n">
        <v>2.09</v>
      </c>
      <c r="G14" s="20">
        <f>F14/C14-1</f>
        <v/>
      </c>
      <c r="H14" s="20">
        <f>1.36/C14-1</f>
        <v/>
      </c>
      <c r="I14" s="20">
        <f>1.43/C14-1</f>
        <v/>
      </c>
      <c r="J14" s="20">
        <f>1.55/C14-1</f>
        <v/>
      </c>
    </row>
    <row r="17" spans="1:23">
      <c r="A17" t="s">
        <v>178</v>
      </c>
      <c r="B17" t="s">
        <v>24</v>
      </c>
      <c r="C17" t="n">
        <v>9.68</v>
      </c>
      <c r="D17" s="4" t="n">
        <v>6.72</v>
      </c>
      <c r="E17" s="20">
        <f>1-D17/C17</f>
        <v/>
      </c>
      <c r="Q17" s="131">
        <f>C19/C17</f>
        <v/>
      </c>
      <c r="S17" s="96" t="n">
        <v>0.0348</v>
      </c>
      <c r="U17" s="129">
        <f>C17*S17</f>
        <v/>
      </c>
      <c r="V17" s="129">
        <f>Q17*(1-U17)+S17</f>
        <v/>
      </c>
    </row>
    <row r="18" spans="1:23">
      <c r="S18" s="96" t="n"/>
    </row>
    <row r="19" spans="1:23">
      <c r="A19" t="s">
        <v>179</v>
      </c>
      <c r="B19" t="s">
        <v>28</v>
      </c>
      <c r="C19" t="n">
        <v>1.16</v>
      </c>
      <c r="D19" s="4" t="n">
        <v>0.86</v>
      </c>
      <c r="E19" s="20">
        <f>1-D19/C19</f>
        <v/>
      </c>
      <c r="S19" s="96" t="n"/>
    </row>
    <row r="20" spans="1:23">
      <c r="S20" s="96" t="n"/>
    </row>
    <row r="21" spans="1:23">
      <c r="S21" s="96" t="n"/>
    </row>
    <row r="22" spans="1:23">
      <c r="A22" t="s">
        <v>180</v>
      </c>
      <c r="B22" t="s">
        <v>24</v>
      </c>
      <c r="C22" t="n">
        <v>21.18</v>
      </c>
      <c r="Q22" s="131">
        <f>C24/C22</f>
        <v/>
      </c>
      <c r="S22" s="96" t="n">
        <v>0.0016</v>
      </c>
      <c r="U22" s="129">
        <f>C22*S22</f>
        <v/>
      </c>
      <c r="V22" s="129">
        <f>Q22*(1-U22)+S22</f>
        <v/>
      </c>
    </row>
    <row r="23" spans="1:23">
      <c r="A23" t="s">
        <v>181</v>
      </c>
      <c r="S23" s="96" t="n"/>
    </row>
    <row r="24" spans="1:23">
      <c r="B24" t="s">
        <v>28</v>
      </c>
      <c r="C24" t="n">
        <v>5.18</v>
      </c>
    </row>
    <row r="27" spans="1:23">
      <c r="C27" t="n">
        <v>19.55</v>
      </c>
      <c r="Q27" s="131">
        <f>C29/C27</f>
        <v/>
      </c>
      <c r="S27" s="96" t="n">
        <v>0.0189</v>
      </c>
      <c r="U27" s="129">
        <f>C27*S27</f>
        <v/>
      </c>
      <c r="V27" s="129">
        <f>Q27*(1-U27)+S27</f>
        <v/>
      </c>
    </row>
    <row r="29" spans="1:23">
      <c r="C29" t="n">
        <v>3.26</v>
      </c>
    </row>
    <row r="32" spans="1:23">
      <c r="U32" s="129" t="n"/>
      <c r="V32" s="129" t="n"/>
    </row>
    <row r="37" spans="1:23">
      <c r="U37" s="129" t="n"/>
      <c r="V37" s="129" t="n"/>
    </row>
    <row r="42" spans="1:23">
      <c r="U42" s="129" t="n"/>
      <c r="V42" s="129" t="n"/>
    </row>
    <row r="47" spans="1:23">
      <c r="U47" s="129" t="n"/>
      <c r="V47" s="129" t="n"/>
    </row>
    <row r="52" spans="1:23">
      <c r="U52" s="129" t="n"/>
      <c r="V52" s="129" t="n"/>
    </row>
    <row r="57" spans="1:23">
      <c r="U57" s="129" t="n"/>
      <c r="V57" s="129" t="n"/>
    </row>
    <row r="62" spans="1:23">
      <c r="U62" s="129" t="n"/>
      <c r="V62" s="129" t="n"/>
    </row>
    <row r="67" spans="1:23">
      <c r="U67" s="129" t="n"/>
      <c r="V67" s="129" t="n"/>
    </row>
    <row r="72" spans="1:23">
      <c r="U72" s="129" t="n"/>
      <c r="V72" s="129" t="n"/>
    </row>
    <row r="77" spans="1:23">
      <c r="U77" s="129" t="n"/>
      <c r="V77" s="129" t="n"/>
    </row>
    <row r="82" spans="1:23">
      <c r="U82" s="129" t="n"/>
      <c r="V82" s="129" t="n"/>
    </row>
    <row r="87" spans="1:23">
      <c r="U87" s="129" t="n"/>
      <c r="V87" s="129" t="n"/>
    </row>
    <row r="92" spans="1:23">
      <c r="U92" s="129" t="n"/>
      <c r="V92" s="129" t="n"/>
    </row>
    <row r="97" spans="1:23">
      <c r="U97" s="129" t="n"/>
      <c r="V97" s="129" t="n"/>
    </row>
    <row r="102" spans="1:23">
      <c r="U102" s="129" t="n"/>
      <c r="V102" s="129" t="n"/>
    </row>
    <row r="107" spans="1:23">
      <c r="U107" s="129" t="n"/>
      <c r="V107" s="129" t="n"/>
    </row>
    <row r="112" spans="1:23">
      <c r="U112" s="129" t="n"/>
      <c r="V112" s="129" t="n"/>
    </row>
    <row r="117" spans="1:23">
      <c r="U117" s="129" t="n"/>
      <c r="V117" s="129" t="n"/>
    </row>
    <row r="122" spans="1:23">
      <c r="U122" s="129" t="n"/>
      <c r="V122" s="129" t="n"/>
    </row>
    <row r="127" spans="1:23">
      <c r="U127" s="129" t="n"/>
      <c r="V127" s="129" t="n"/>
    </row>
    <row r="132" spans="1:23">
      <c r="U132" s="129" t="n"/>
      <c r="V132" s="129" t="n"/>
    </row>
    <row r="137" spans="1:23">
      <c r="U137" s="129" t="n"/>
      <c r="V137" s="129" t="n"/>
    </row>
    <row r="142" spans="1:23">
      <c r="U142" s="129" t="n"/>
      <c r="V142" s="129" t="n"/>
    </row>
    <row r="147" spans="1:23">
      <c r="U147" s="129" t="n"/>
      <c r="V147" s="129" t="n"/>
    </row>
    <row r="152" spans="1:23">
      <c r="U152" s="129" t="n"/>
      <c r="V152" s="129" t="n"/>
    </row>
    <row r="157" spans="1:23">
      <c r="U157" s="129" t="n"/>
      <c r="V157" s="129" t="n"/>
    </row>
    <row r="162" spans="1:23">
      <c r="U162" s="129" t="n"/>
      <c r="V162" s="129" t="n"/>
    </row>
    <row r="167" spans="1:23">
      <c r="U167" s="129" t="n"/>
      <c r="V167" s="129" t="n"/>
    </row>
    <row r="172" spans="1:23">
      <c r="U172" s="129" t="n"/>
      <c r="V172" s="129" t="n"/>
    </row>
    <row r="177" spans="1:23">
      <c r="U177" s="129" t="n"/>
      <c r="V177" s="129" t="n"/>
    </row>
    <row r="182" spans="1:23">
      <c r="U182" s="129" t="n"/>
      <c r="V182" s="129" t="n"/>
    </row>
    <row r="187" spans="1:23">
      <c r="U187" s="129" t="n"/>
      <c r="V187" s="129" t="n"/>
    </row>
    <row r="192" spans="1:23">
      <c r="U192" s="129" t="n"/>
      <c r="V192" s="129" t="n"/>
    </row>
    <row r="197" spans="1:23">
      <c r="U197" s="129" t="n"/>
      <c r="V197" s="129" t="n"/>
    </row>
    <row r="202" spans="1:23">
      <c r="U202" s="129" t="n"/>
      <c r="V202" s="129" t="n"/>
    </row>
    <row r="207" spans="1:23">
      <c r="U207" s="129" t="n"/>
      <c r="V207" s="129" t="n"/>
    </row>
    <row r="212" spans="1:23">
      <c r="U212" s="129" t="n"/>
      <c r="V212" s="129" t="n"/>
    </row>
    <row r="217" spans="1:23">
      <c r="U217" s="129" t="n"/>
      <c r="V217" s="129" t="n"/>
    </row>
    <row r="222" spans="1:23">
      <c r="U222" s="129" t="n"/>
      <c r="V222" s="129" t="n"/>
    </row>
    <row r="227" spans="1:23">
      <c r="U227" s="129" t="n"/>
      <c r="V227" s="129" t="n"/>
    </row>
    <row r="232" spans="1:23">
      <c r="U232" s="129" t="n"/>
      <c r="V232" s="129" t="n"/>
    </row>
    <row r="237" spans="1:23">
      <c r="U237" s="129" t="n"/>
      <c r="V237" s="129" t="n"/>
    </row>
    <row r="242" spans="1:23">
      <c r="U242" s="129" t="n"/>
      <c r="V242" s="129" t="n"/>
    </row>
    <row r="247" spans="1:23">
      <c r="U247" s="129" t="n"/>
      <c r="V247" s="129" t="n"/>
    </row>
    <row r="252" spans="1:23">
      <c r="U252" s="129" t="n"/>
      <c r="V252" s="129" t="n"/>
    </row>
    <row r="257" spans="1:23">
      <c r="U257" s="129" t="n"/>
      <c r="V257" s="129" t="n"/>
    </row>
    <row r="262" spans="1:23">
      <c r="U262" s="129" t="n"/>
      <c r="V262" s="129" t="n"/>
    </row>
    <row r="267" spans="1:23">
      <c r="U267" s="129" t="n"/>
      <c r="V267" s="129" t="n"/>
    </row>
    <row r="272" spans="1:23">
      <c r="U272" s="129" t="n"/>
      <c r="V272" s="129" t="n"/>
    </row>
    <row r="277" spans="1:23">
      <c r="U277" s="129" t="n"/>
      <c r="V277" s="129" t="n"/>
    </row>
  </sheetData>
  <conditionalFormatting sqref="O2:O10">
    <cfRule priority="39" type="dataBar">
      <dataBar>
        <cfvo type="min"/>
        <cfvo type="max"/>
        <color rgb="FF638EC6"/>
      </dataBar>
    </cfRule>
  </conditionalFormatting>
  <conditionalFormatting sqref="E3:E10 G3:J10">
    <cfRule priority="38" type="dataBar">
      <dataBar>
        <cfvo type="min"/>
        <cfvo type="max"/>
        <color rgb="FF638EC6"/>
      </dataBar>
    </cfRule>
  </conditionalFormatting>
  <conditionalFormatting sqref="E3:E10 O2:O10 G3:J10">
    <cfRule priority="37" type="dataBar">
      <dataBar>
        <cfvo type="min"/>
        <cfvo type="max"/>
        <color rgb="FF638EC6"/>
      </dataBar>
    </cfRule>
  </conditionalFormatting>
  <conditionalFormatting sqref="T8:T10">
    <cfRule priority="35" type="dataBar">
      <dataBar>
        <cfvo type="min"/>
        <cfvo type="max"/>
        <color rgb="FF638EC6"/>
      </dataBar>
    </cfRule>
    <cfRule priority="36" type="dataBar">
      <dataBar>
        <cfvo type="min"/>
        <cfvo type="max"/>
        <color rgb="FF638EC6"/>
      </dataBar>
    </cfRule>
  </conditionalFormatting>
  <conditionalFormatting sqref="R1:S1">
    <cfRule priority="32" type="dataBar">
      <dataBar>
        <cfvo type="min"/>
        <cfvo type="max"/>
        <color rgb="FF638EC6"/>
      </dataBar>
    </cfRule>
  </conditionalFormatting>
  <conditionalFormatting sqref="R2:S7">
    <cfRule priority="31" type="dataBar">
      <dataBar>
        <cfvo type="min"/>
        <cfvo type="max"/>
        <color rgb="FF638EC6"/>
      </dataBar>
    </cfRule>
  </conditionalFormatting>
  <conditionalFormatting sqref="Q35:Q1048576 Q1:Q27">
    <cfRule priority="3" type="dataBar">
      <dataBar>
        <cfvo type="min"/>
        <cfvo type="max"/>
        <color rgb="FF638EC6"/>
      </dataBar>
    </cfRule>
  </conditionalFormatting>
  <conditionalFormatting sqref="M3:M26 M1 M35:M1048576">
    <cfRule priority="29" type="dataBar">
      <dataBar>
        <cfvo type="min"/>
        <cfvo type="max"/>
        <color rgb="FF638EC6"/>
      </dataBar>
    </cfRule>
  </conditionalFormatting>
  <conditionalFormatting sqref="E3:E16 E1 E21:E26 E35:E1048576">
    <cfRule priority="28" type="dataBar">
      <dataBar>
        <cfvo type="min"/>
        <cfvo type="max"/>
        <color rgb="FF638EC6"/>
      </dataBar>
    </cfRule>
  </conditionalFormatting>
  <conditionalFormatting sqref="G3:J26 G1:J1 G35:J1048576">
    <cfRule priority="27" type="dataBar">
      <dataBar>
        <cfvo type="min"/>
        <cfvo type="max"/>
        <color rgb="FF638EC6"/>
      </dataBar>
    </cfRule>
  </conditionalFormatting>
  <conditionalFormatting sqref="O1:O26 O35:O1048576">
    <cfRule priority="23" type="dataBar">
      <dataBar>
        <cfvo type="min"/>
        <cfvo type="max"/>
        <color rgb="FF638EC6"/>
      </dataBar>
    </cfRule>
  </conditionalFormatting>
  <conditionalFormatting sqref="G2:J2 E2">
    <cfRule priority="21" type="dataBar">
      <dataBar>
        <cfvo type="min"/>
        <cfvo type="max"/>
        <color rgb="FF638EC6"/>
      </dataBar>
    </cfRule>
    <cfRule priority="22" type="dataBar">
      <dataBar>
        <cfvo type="min"/>
        <cfvo type="max"/>
        <color rgb="FF638EC6"/>
      </dataBar>
    </cfRule>
  </conditionalFormatting>
  <conditionalFormatting sqref="M2">
    <cfRule priority="20" type="dataBar">
      <dataBar>
        <cfvo type="min"/>
        <cfvo type="max"/>
        <color rgb="FF638EC6"/>
      </dataBar>
    </cfRule>
  </conditionalFormatting>
  <conditionalFormatting sqref="E2">
    <cfRule priority="19" type="dataBar">
      <dataBar>
        <cfvo type="min"/>
        <cfvo type="max"/>
        <color rgb="FF638EC6"/>
      </dataBar>
    </cfRule>
  </conditionalFormatting>
  <conditionalFormatting sqref="G2:J2">
    <cfRule priority="18" type="dataBar">
      <dataBar>
        <cfvo type="min"/>
        <cfvo type="max"/>
        <color rgb="FF638EC6"/>
      </dataBar>
    </cfRule>
  </conditionalFormatting>
  <conditionalFormatting sqref="S35:S1048576 S1:S27">
    <cfRule priority="15" type="dataBar">
      <dataBar>
        <cfvo type="min"/>
        <cfvo type="max"/>
        <color rgb="FF638EC6"/>
      </dataBar>
    </cfRule>
  </conditionalFormatting>
  <conditionalFormatting sqref="Q2:Q7">
    <cfRule priority="14" type="dataBar">
      <dataBar>
        <cfvo type="min"/>
        <cfvo type="max"/>
        <color rgb="FF638EC6"/>
      </dataBar>
    </cfRule>
  </conditionalFormatting>
  <conditionalFormatting sqref="S2:S7">
    <cfRule priority="13" type="dataBar">
      <dataBar>
        <cfvo type="min"/>
        <cfvo type="max"/>
        <color rgb="FF638EC6"/>
      </dataBar>
    </cfRule>
  </conditionalFormatting>
  <conditionalFormatting sqref="E12">
    <cfRule priority="11" type="dataBar">
      <dataBar>
        <cfvo type="min"/>
        <cfvo type="max"/>
        <color rgb="FF638EC6"/>
      </dataBar>
    </cfRule>
    <cfRule priority="12" type="dataBar">
      <dataBar>
        <cfvo type="min"/>
        <cfvo type="max"/>
        <color rgb="FF638EC6"/>
      </dataBar>
    </cfRule>
  </conditionalFormatting>
  <conditionalFormatting sqref="E14">
    <cfRule priority="9" type="dataBar">
      <dataBar>
        <cfvo type="min"/>
        <cfvo type="max"/>
        <color rgb="FF638EC6"/>
      </dataBar>
    </cfRule>
    <cfRule priority="10" type="dataBar">
      <dataBar>
        <cfvo type="min"/>
        <cfvo type="max"/>
        <color rgb="FF638EC6"/>
      </dataBar>
    </cfRule>
  </conditionalFormatting>
  <conditionalFormatting sqref="E17:E20">
    <cfRule priority="8" type="dataBar">
      <dataBar>
        <cfvo type="min"/>
        <cfvo type="max"/>
        <color rgb="FF638EC6"/>
      </dataBar>
    </cfRule>
  </conditionalFormatting>
  <conditionalFormatting sqref="E17">
    <cfRule priority="6" type="dataBar">
      <dataBar>
        <cfvo type="min"/>
        <cfvo type="max"/>
        <color rgb="FF638EC6"/>
      </dataBar>
    </cfRule>
    <cfRule priority="7" type="dataBar">
      <dataBar>
        <cfvo type="min"/>
        <cfvo type="max"/>
        <color rgb="FF638EC6"/>
      </dataBar>
    </cfRule>
  </conditionalFormatting>
  <conditionalFormatting sqref="E19">
    <cfRule priority="4" type="dataBar">
      <dataBar>
        <cfvo type="min"/>
        <cfvo type="max"/>
        <color rgb="FF638EC6"/>
      </dataBar>
    </cfRule>
    <cfRule priority="5" type="dataBar">
      <dataBar>
        <cfvo type="min"/>
        <cfvo type="max"/>
        <color rgb="FF638EC6"/>
      </dataBar>
    </cfRule>
  </conditionalFormatting>
  <conditionalFormatting sqref="S17:S23 S12 S27">
    <cfRule priority="1" type="dataBar">
      <dataBar>
        <cfvo type="min"/>
        <cfvo type="max"/>
        <color rgb="FF638EC6"/>
      </dataBar>
    </cfRule>
    <cfRule priority="2" type="dataBar">
      <dataBar>
        <cfvo type="min"/>
        <cfvo type="max"/>
        <color rgb="FF638EC6"/>
      </dataBar>
    </cfRule>
  </conditionalFormatting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13"/>
  <sheetViews>
    <sheetView workbookViewId="0" zoomScale="116">
      <pane activePane="topRight" state="frozen" topLeftCell="N1" xSplit="1"/>
      <selection activeCell="V32" pane="topRight" sqref="V32"/>
    </sheetView>
  </sheetViews>
  <sheetFormatPr baseColWidth="10" defaultRowHeight="16" outlineLevelCol="0"/>
  <cols>
    <col customWidth="1" max="4" min="4" style="4" width="18.33203125"/>
    <col customWidth="1" max="5" min="5" style="16" width="19.6640625"/>
    <col customWidth="1" max="6" min="6" style="4" width="19.5"/>
    <col customWidth="1" max="7" min="7" style="16" width="21"/>
    <col customWidth="1" max="8" min="8" style="16" width="21.6640625"/>
    <col customWidth="1" max="10" min="9" style="16" width="19.6640625"/>
    <col customWidth="1" max="11" min="11" style="4" width="22.5"/>
    <col customWidth="1" max="12" min="12" style="85" width="16.5"/>
    <col customWidth="1" max="13" min="13" style="18" width="21"/>
    <col customWidth="1" max="14" min="14" style="85" width="10.83203125"/>
    <col customWidth="1" max="15" min="15" style="18" width="22.1640625"/>
    <col customWidth="1" max="16" min="16" style="85" width="22"/>
    <col customWidth="1" max="17" min="17" style="131" width="11.83203125"/>
    <col customWidth="1" max="19" min="18" style="131" width="10.83203125"/>
    <col customWidth="1" max="21" min="21" style="130" width="13.33203125"/>
    <col customWidth="1" max="22" min="22" style="131" width="13.33203125"/>
  </cols>
  <sheetData>
    <row customFormat="1" r="1" s="132" spans="1:22">
      <c r="A1" t="s">
        <v>0</v>
      </c>
      <c r="C1" s="132" t="s">
        <v>1</v>
      </c>
      <c r="D1" s="6" t="s">
        <v>2</v>
      </c>
      <c r="E1" s="17" t="s">
        <v>3</v>
      </c>
      <c r="F1" s="6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6" t="s">
        <v>9</v>
      </c>
      <c r="L1" s="10" t="s">
        <v>10</v>
      </c>
      <c r="M1" s="19" t="s">
        <v>11</v>
      </c>
      <c r="N1" s="10" t="s">
        <v>12</v>
      </c>
      <c r="O1" s="19" t="s">
        <v>13</v>
      </c>
      <c r="P1" s="10" t="s">
        <v>14</v>
      </c>
      <c r="Q1" s="128" t="s">
        <v>15</v>
      </c>
      <c r="R1" s="128" t="s">
        <v>16</v>
      </c>
      <c r="S1" s="128" t="s">
        <v>17</v>
      </c>
      <c r="T1" t="s">
        <v>18</v>
      </c>
      <c r="U1" s="127" t="s">
        <v>19</v>
      </c>
      <c r="V1" s="128" t="s">
        <v>20</v>
      </c>
    </row>
    <row r="2" spans="1:22">
      <c r="A2" t="s">
        <v>182</v>
      </c>
      <c r="B2" t="s">
        <v>24</v>
      </c>
      <c r="C2" s="123" t="n">
        <v>16.72408132285739</v>
      </c>
      <c r="D2" s="88" t="n">
        <v>10.66829722917889</v>
      </c>
      <c r="E2" s="16" t="n">
        <v>0.3620996559853995</v>
      </c>
      <c r="F2" s="88" t="n">
        <v>95.60027944100236</v>
      </c>
      <c r="G2" s="16" t="n">
        <v>4.716324717360831</v>
      </c>
      <c r="H2" s="16" t="n">
        <v>-0.2484380930043577</v>
      </c>
      <c r="I2" s="16" t="n">
        <v>0.007055034078055966</v>
      </c>
      <c r="J2" s="16" t="n">
        <v>0.8347449108553902</v>
      </c>
      <c r="K2" s="88" t="n">
        <v>8.961156348318248</v>
      </c>
      <c r="L2" s="9" t="n">
        <v>10.91373336172133</v>
      </c>
      <c r="M2" s="18" t="n">
        <v>0.3474240437467172</v>
      </c>
      <c r="N2" s="9" t="n">
        <v>95.60027944100236</v>
      </c>
      <c r="O2" s="18" t="n">
        <v>4.716324717360831</v>
      </c>
      <c r="P2" s="9" t="n">
        <v>8.75963121623526</v>
      </c>
      <c r="Q2" s="131" t="n">
        <v>0.07398572227614413</v>
      </c>
      <c r="R2" s="131" t="n">
        <v>0.0541736805664091</v>
      </c>
      <c r="S2" s="131" t="n">
        <v>0.03273518083574511</v>
      </c>
      <c r="U2" s="129">
        <f>C2*S2</f>
        <v/>
      </c>
      <c r="V2" s="129">
        <f>Q2*(1-U2)+S2</f>
        <v/>
      </c>
    </row>
    <row r="3" spans="1:22">
      <c r="A3" t="s">
        <v>183</v>
      </c>
      <c r="B3" t="s">
        <v>26</v>
      </c>
      <c r="C3" s="123" t="n">
        <v>30.17510989145365</v>
      </c>
      <c r="D3" s="88" t="n">
        <v>20.63666764051257</v>
      </c>
      <c r="E3" s="16" t="n">
        <v>0.3161029830629584</v>
      </c>
      <c r="F3" s="88" t="n">
        <v>-47.71715707375928</v>
      </c>
      <c r="G3" s="16" t="n">
        <v>-2.581341617160903</v>
      </c>
      <c r="H3" s="16" t="n">
        <v>-0.01414046354357767</v>
      </c>
      <c r="I3" s="16" t="n">
        <v>0.4397781137822097</v>
      </c>
      <c r="J3" s="16" t="n">
        <v>7.595706612474512</v>
      </c>
      <c r="K3" s="88" t="n">
        <v>-2.312251081666114</v>
      </c>
      <c r="L3" s="9" t="n">
        <v>20.63666764051257</v>
      </c>
      <c r="M3" s="18" t="n">
        <v>0.3161029830629584</v>
      </c>
      <c r="N3" s="9" t="n">
        <v>-47.71715707375928</v>
      </c>
      <c r="O3" s="18" t="n">
        <v>-2.581341617160903</v>
      </c>
      <c r="P3" s="9" t="n">
        <v>-2.312251081666114</v>
      </c>
    </row>
    <row r="4" spans="1:22">
      <c r="A4" s="21" t="n">
        <v>40879</v>
      </c>
      <c r="B4" t="s">
        <v>28</v>
      </c>
      <c r="C4" s="124" t="n">
        <v>1.237343236076576</v>
      </c>
      <c r="D4" s="88" t="n">
        <v>1.034528073770877</v>
      </c>
      <c r="E4" s="16" t="n">
        <v>0.1639118042531149</v>
      </c>
      <c r="F4" s="88" t="n">
        <v>4.210269848472177</v>
      </c>
      <c r="G4" s="16" t="n">
        <v>2.402669304454511</v>
      </c>
      <c r="H4" s="16" t="n">
        <v>0.01300677459076516</v>
      </c>
      <c r="I4" s="16" t="n">
        <v>0.1671493242376076</v>
      </c>
      <c r="J4" s="16" t="n">
        <v>0.8849577682277849</v>
      </c>
      <c r="K4" s="88" t="n">
        <v>4.069749246268064</v>
      </c>
      <c r="L4" s="9" t="n">
        <v>1.034528073770877</v>
      </c>
      <c r="M4" s="18" t="n">
        <v>0.1639118042531149</v>
      </c>
      <c r="N4" s="9" t="n">
        <v>2.206638660955844</v>
      </c>
      <c r="O4" s="18" t="n">
        <v>0.7833682656663266</v>
      </c>
      <c r="P4" s="9" t="n">
        <v>2.132990604027399</v>
      </c>
    </row>
    <row r="5" spans="1:22">
      <c r="B5" t="s">
        <v>29</v>
      </c>
      <c r="C5" s="124" t="n">
        <v>1.634696764315902</v>
      </c>
      <c r="D5" s="88" t="n">
        <v>1.21713554392641</v>
      </c>
      <c r="E5" s="16" t="n">
        <v>0.25543650021491</v>
      </c>
      <c r="F5" s="88" t="n">
        <v>5.126280049505975</v>
      </c>
      <c r="G5" s="16" t="n">
        <v>2.135921084208699</v>
      </c>
      <c r="H5" s="16" t="n">
        <v>0.1545869820799561</v>
      </c>
      <c r="I5" s="16" t="n">
        <v>0.4250868968076165</v>
      </c>
      <c r="J5" s="16" t="n">
        <v>1.198744854075932</v>
      </c>
      <c r="K5" s="88" t="n">
        <v>4.211757741433535</v>
      </c>
      <c r="L5" s="9" t="n">
        <v>1.21713554392641</v>
      </c>
      <c r="M5" s="18" t="n">
        <v>0.25543650021491</v>
      </c>
      <c r="N5" s="9" t="n">
        <v>3.97582796831757</v>
      </c>
      <c r="O5" s="18" t="n">
        <v>1.432150142525913</v>
      </c>
      <c r="P5" s="9" t="n">
        <v>3.266544953154333</v>
      </c>
    </row>
    <row r="6" spans="1:22">
      <c r="C6" s="70" t="n"/>
      <c r="D6" s="88" t="n"/>
      <c r="F6" s="88" t="n"/>
      <c r="K6" s="88" t="n"/>
      <c r="L6" s="9" t="n"/>
      <c r="N6" s="9" t="n"/>
      <c r="P6" s="9" t="n"/>
    </row>
    <row customHeight="1" ht="17" r="7" s="130" spans="1:22">
      <c r="A7" s="15" t="s">
        <v>184</v>
      </c>
      <c r="B7" t="s">
        <v>24</v>
      </c>
      <c r="C7" s="124" t="n">
        <v>18.39316343457136</v>
      </c>
      <c r="D7" s="88" t="n">
        <v>12.78778515601097</v>
      </c>
      <c r="E7" s="16" t="n">
        <v>0.3047533556965329</v>
      </c>
      <c r="F7" s="88" t="n">
        <v>-108.9766585279037</v>
      </c>
      <c r="G7" s="16" t="n">
        <v>-6.924845876325644</v>
      </c>
      <c r="H7" s="16" t="n">
        <v>0.6524023466639892</v>
      </c>
      <c r="I7" s="16" t="n">
        <v>1.478827318977108</v>
      </c>
      <c r="J7" s="16" t="n">
        <v>8.053413124619924</v>
      </c>
      <c r="K7" s="88" t="n">
        <v>-8.521933798416894</v>
      </c>
      <c r="L7" s="9" t="n">
        <v>12.78778515601097</v>
      </c>
      <c r="M7" s="18" t="n">
        <v>0.3047533556965329</v>
      </c>
      <c r="N7" s="9" t="n">
        <v>-426.8310777982774</v>
      </c>
      <c r="O7" s="18" t="n">
        <v>-24.20596341769115</v>
      </c>
      <c r="P7" s="9" t="n">
        <v>-33.37803009598133</v>
      </c>
      <c r="Q7" s="131" t="n">
        <v>0.1198858977031325</v>
      </c>
      <c r="R7" s="131" t="n">
        <v>0.08441777863308723</v>
      </c>
      <c r="S7" s="131" t="n">
        <v>0.01545499960034479</v>
      </c>
      <c r="U7" s="129">
        <f>C7*S7</f>
        <v/>
      </c>
      <c r="V7" s="129">
        <f>Q7*(1-U7)+S7</f>
        <v/>
      </c>
    </row>
    <row r="8" spans="1:22">
      <c r="A8" t="s">
        <v>185</v>
      </c>
      <c r="B8" t="s">
        <v>26</v>
      </c>
      <c r="C8" s="124" t="n">
        <v>28.65292293643114</v>
      </c>
      <c r="D8" s="88" t="n">
        <v>21.13528623234872</v>
      </c>
      <c r="E8" s="16" t="n">
        <v>0.2623689290185479</v>
      </c>
      <c r="F8" s="88" t="n">
        <v>-55.10485916574709</v>
      </c>
      <c r="G8" s="16" t="n">
        <v>-2.923184566126176</v>
      </c>
      <c r="H8" s="16" t="n">
        <v>0.6107395176821131</v>
      </c>
      <c r="I8" s="16" t="n">
        <v>1.850441146379211</v>
      </c>
      <c r="J8" s="16" t="n">
        <v>10.00728115444793</v>
      </c>
      <c r="K8" s="88" t="n">
        <v>-2.607244518004496</v>
      </c>
      <c r="L8" s="9" t="n">
        <v>21.13528623234872</v>
      </c>
      <c r="M8" s="18" t="n">
        <v>0.2623689290185479</v>
      </c>
      <c r="N8" s="9" t="n">
        <v>-367.3017196309986</v>
      </c>
      <c r="O8" s="18" t="n">
        <v>-13.81899652771508</v>
      </c>
      <c r="P8" s="9" t="n">
        <v>-17.37860162351732</v>
      </c>
    </row>
    <row r="9" spans="1:22">
      <c r="A9" s="21" t="n">
        <v>40879</v>
      </c>
      <c r="B9" t="s">
        <v>28</v>
      </c>
      <c r="C9" s="123" t="n">
        <v>2.205080909954019</v>
      </c>
      <c r="D9" s="88" t="n">
        <v>1.524424025939292</v>
      </c>
      <c r="E9" s="16" t="n">
        <v>0.3086766027233534</v>
      </c>
      <c r="F9" s="88" t="n">
        <v>4.530439979618527</v>
      </c>
      <c r="G9" s="16" t="n">
        <v>1.054545916735997</v>
      </c>
      <c r="H9" s="16" t="n">
        <v>-0.154860173303267</v>
      </c>
      <c r="I9" s="16" t="n">
        <v>0.145490118460025</v>
      </c>
      <c r="J9" s="16" t="n">
        <v>0.380314315446693</v>
      </c>
      <c r="K9" s="88" t="n">
        <v>2.971902766244479</v>
      </c>
      <c r="L9" s="9" t="n">
        <v>1.524424025939292</v>
      </c>
      <c r="M9" s="18" t="n">
        <v>0.3086766027233534</v>
      </c>
      <c r="N9" s="9" t="n">
        <v>4.530439979618527</v>
      </c>
      <c r="O9" s="18" t="n">
        <v>1.054545916735997</v>
      </c>
      <c r="P9" s="9" t="n">
        <v>2.971902766244479</v>
      </c>
    </row>
    <row r="10" spans="1:22">
      <c r="B10" t="s">
        <v>29</v>
      </c>
      <c r="C10" s="123" t="n">
        <v>2.418816105638552</v>
      </c>
      <c r="D10" s="88" t="n">
        <v>1.660203622067529</v>
      </c>
      <c r="E10" s="16" t="n">
        <v>0.31362966444725</v>
      </c>
      <c r="F10" s="88" t="n">
        <v>5.365604485209532</v>
      </c>
      <c r="G10" s="16" t="n">
        <v>1.218277145046976</v>
      </c>
      <c r="H10" s="16" t="n">
        <v>-0.1717626461847511</v>
      </c>
      <c r="I10" s="16" t="n">
        <v>0.1779227727560972</v>
      </c>
      <c r="J10" s="16" t="n">
        <v>0.4101295277216241</v>
      </c>
      <c r="K10" s="88" t="n">
        <v>3.231895421675743</v>
      </c>
      <c r="L10" s="9" t="n">
        <v>1.664093228055464</v>
      </c>
      <c r="M10" s="18" t="n">
        <v>0.3120216025615744</v>
      </c>
      <c r="N10" s="9" t="n">
        <v>5.365604485209532</v>
      </c>
      <c r="O10" s="18" t="n">
        <v>1.218277145046976</v>
      </c>
      <c r="P10" s="9" t="n">
        <v>3.224341277729601</v>
      </c>
    </row>
    <row r="11" spans="1:22">
      <c r="C11" s="70" t="n"/>
      <c r="D11" s="88" t="n"/>
      <c r="F11" s="88" t="n"/>
      <c r="K11" s="88" t="n"/>
      <c r="L11" s="9" t="n"/>
      <c r="N11" s="9" t="n"/>
      <c r="P11" s="9" t="n"/>
    </row>
    <row customHeight="1" ht="17" r="12" s="130" spans="1:22">
      <c r="A12" s="15" t="s">
        <v>186</v>
      </c>
      <c r="B12" t="s">
        <v>24</v>
      </c>
      <c r="C12" s="123" t="n">
        <v>24.18331893167709</v>
      </c>
      <c r="D12" s="88" t="n">
        <v>15.07270497306579</v>
      </c>
      <c r="E12" s="16" t="n">
        <v>0.37673133221915</v>
      </c>
      <c r="F12" s="88" t="n">
        <v>91.96539678993966</v>
      </c>
      <c r="G12" s="16" t="n">
        <v>2.802844309739331</v>
      </c>
      <c r="H12" s="16" t="n">
        <v>-0.1729826013642379</v>
      </c>
      <c r="I12" s="16" t="n">
        <v>0.1289508671089576</v>
      </c>
      <c r="J12" s="16" t="n">
        <v>0.6446307791174446</v>
      </c>
      <c r="K12" s="88" t="n">
        <v>6.101452722273637</v>
      </c>
      <c r="L12" s="9" t="n">
        <v>16.95212859279874</v>
      </c>
      <c r="M12" s="18" t="n">
        <v>0.2990156297118675</v>
      </c>
      <c r="N12" s="9" t="n">
        <v>61.74055880559587</v>
      </c>
      <c r="O12" s="18" t="n">
        <v>1.553022559890386</v>
      </c>
      <c r="P12" s="9" t="n">
        <v>3.642053472377696</v>
      </c>
      <c r="Q12" s="131" t="n">
        <v>0.08456956853445195</v>
      </c>
      <c r="R12" s="131" t="n">
        <v>0.05777786271539459</v>
      </c>
      <c r="S12" s="131" t="n">
        <v>0.01194599340798495</v>
      </c>
      <c r="U12" s="129">
        <f>C12*S12</f>
        <v/>
      </c>
      <c r="V12" s="129">
        <f>Q12*(1-U12)+S12</f>
        <v/>
      </c>
    </row>
    <row r="13" spans="1:22">
      <c r="A13" t="s">
        <v>187</v>
      </c>
      <c r="B13" t="s">
        <v>26</v>
      </c>
      <c r="C13" s="123" t="n">
        <v>40.80841489036313</v>
      </c>
      <c r="D13" s="88" t="n">
        <v>23.46469114930159</v>
      </c>
      <c r="E13" s="16" t="n">
        <v>0.4250036123102946</v>
      </c>
      <c r="F13" s="88" t="n">
        <v>108.0718142072666</v>
      </c>
      <c r="G13" s="16" t="n">
        <v>1.648272776524521</v>
      </c>
      <c r="H13" s="16" t="n">
        <v>-0.1808781942707942</v>
      </c>
      <c r="I13" s="16" t="n">
        <v>0.1318860667202089</v>
      </c>
      <c r="J13" s="16" t="n">
        <v>0.769294981260197</v>
      </c>
      <c r="K13" s="88" t="n">
        <v>4.60572071968155</v>
      </c>
      <c r="L13" s="9" t="n">
        <v>27.27984908976829</v>
      </c>
      <c r="M13" s="18" t="n">
        <v>0.3315141212159552</v>
      </c>
      <c r="N13" s="9" t="n">
        <v>108.0718142072666</v>
      </c>
      <c r="O13" s="18" t="n">
        <v>1.648272776524521</v>
      </c>
      <c r="P13" s="9" t="n">
        <v>3.961598682296248</v>
      </c>
    </row>
    <row r="14" spans="1:22">
      <c r="A14" s="21" t="n">
        <v>40879</v>
      </c>
      <c r="B14" t="s">
        <v>28</v>
      </c>
      <c r="C14" s="123" t="n">
        <v>2.045172847782975</v>
      </c>
      <c r="D14" s="88" t="n">
        <v>1.440171682321387</v>
      </c>
      <c r="E14" s="16" t="n">
        <v>0.2958190874269757</v>
      </c>
      <c r="F14" s="88" t="n">
        <v>5.154277943950804</v>
      </c>
      <c r="G14" s="16" t="n">
        <v>1.520216298362354</v>
      </c>
      <c r="H14" s="16" t="n">
        <v>-0.1435181959931302</v>
      </c>
      <c r="I14" s="16" t="n">
        <v>0.2172293183392411</v>
      </c>
      <c r="J14" s="16" t="n">
        <v>0.5856186920918507</v>
      </c>
      <c r="K14" s="88" t="n">
        <v>3.57893298918551</v>
      </c>
      <c r="L14" s="9" t="n">
        <v>1.518269068708378</v>
      </c>
      <c r="M14" s="18" t="n">
        <v>0.2576328840106478</v>
      </c>
      <c r="N14" s="9" t="n">
        <v>5.154277943950804</v>
      </c>
      <c r="O14" s="18" t="n">
        <v>1.520216298362354</v>
      </c>
      <c r="P14" s="9" t="n">
        <v>3.394838273518706</v>
      </c>
    </row>
    <row r="15" spans="1:22">
      <c r="B15" t="s">
        <v>29</v>
      </c>
      <c r="C15" s="123" t="n">
        <v>2.357822993168265</v>
      </c>
      <c r="D15" s="88" t="n">
        <v>1.599558085836462</v>
      </c>
      <c r="E15" s="16" t="n">
        <v>0.3215953485604549</v>
      </c>
      <c r="F15" s="88" t="n">
        <v>6.334467583148016</v>
      </c>
      <c r="G15" s="16" t="n">
        <v>1.68657469263044</v>
      </c>
      <c r="H15" s="16" t="n">
        <v>-0.1052274782607078</v>
      </c>
      <c r="I15" s="16" t="n">
        <v>0.3018359275506586</v>
      </c>
      <c r="J15" s="16" t="n">
        <v>0.5651747155380338</v>
      </c>
      <c r="K15" s="88" t="n">
        <v>3.960136014589</v>
      </c>
      <c r="L15" s="9" t="n">
        <v>1.599558085836462</v>
      </c>
      <c r="M15" s="18" t="n">
        <v>0.3215953485604549</v>
      </c>
      <c r="N15" s="9" t="n">
        <v>6.334467583148016</v>
      </c>
      <c r="O15" s="18" t="n">
        <v>1.68657469263044</v>
      </c>
      <c r="P15" s="9" t="n">
        <v>3.960136014589</v>
      </c>
    </row>
    <row r="16" spans="1:22">
      <c r="C16" s="70" t="n"/>
      <c r="D16" s="88" t="n"/>
      <c r="F16" s="88" t="n"/>
      <c r="K16" s="88" t="n"/>
      <c r="L16" s="9" t="n"/>
      <c r="N16" s="9" t="n"/>
      <c r="P16" s="9" t="n"/>
    </row>
    <row customHeight="1" ht="17" r="17" s="130" spans="1:22">
      <c r="A17" s="23" t="s">
        <v>188</v>
      </c>
      <c r="B17" t="s">
        <v>24</v>
      </c>
      <c r="C17" s="123" t="n">
        <v>20.79990539547182</v>
      </c>
      <c r="D17" s="88" t="n">
        <v>14.92501876704705</v>
      </c>
      <c r="E17" s="16" t="n">
        <v>0.2824477571760372</v>
      </c>
      <c r="F17" s="88" t="n">
        <v>84.19453006526039</v>
      </c>
      <c r="G17" s="16" t="n">
        <v>3.047832356179356</v>
      </c>
      <c r="H17" s="16" t="n">
        <v>-0.0466141123457009</v>
      </c>
      <c r="I17" s="16" t="n">
        <v>0.2147880938016309</v>
      </c>
      <c r="J17" s="16" t="n">
        <v>0.5445869753456203</v>
      </c>
      <c r="K17" s="88" t="n">
        <v>5.641167450399024</v>
      </c>
      <c r="L17" s="9" t="n">
        <v>14.92501876704705</v>
      </c>
      <c r="M17" s="18" t="n">
        <v>0.2824477571760372</v>
      </c>
      <c r="N17" s="9" t="n">
        <v>48.74364097000581</v>
      </c>
      <c r="O17" s="18" t="n">
        <v>1.343454936127613</v>
      </c>
      <c r="P17" s="9" t="n">
        <v>3.26590148600864</v>
      </c>
      <c r="Q17" s="131" t="n">
        <v>0.1061496843631799</v>
      </c>
      <c r="R17" s="131" t="n">
        <v>0.05908680219967045</v>
      </c>
      <c r="S17" s="131" t="n">
        <v>0.01790339925853473</v>
      </c>
      <c r="U17" s="129">
        <f>C17*S17</f>
        <v/>
      </c>
      <c r="V17" s="129">
        <f>Q17*(1-U17)+S17</f>
        <v/>
      </c>
    </row>
    <row r="18" spans="1:22">
      <c r="A18" t="s">
        <v>189</v>
      </c>
      <c r="B18" t="s">
        <v>26</v>
      </c>
      <c r="C18" s="123" t="n">
        <v>36.30032914518603</v>
      </c>
      <c r="D18" s="88" t="n">
        <v>22.91735655328199</v>
      </c>
      <c r="E18" s="16" t="n">
        <v>0.3686735880101191</v>
      </c>
      <c r="F18" s="88" t="n">
        <v>244.8533364656802</v>
      </c>
      <c r="G18" s="16" t="n">
        <v>5.745209815766959</v>
      </c>
      <c r="H18" s="16" t="n">
        <v>-0.1592028486108533</v>
      </c>
      <c r="I18" s="16" t="n">
        <v>0.1045518819532998</v>
      </c>
      <c r="J18" s="16" t="n">
        <v>0.5749276070140179</v>
      </c>
      <c r="K18" s="88" t="n">
        <v>10.68418758928</v>
      </c>
      <c r="L18" s="9" t="n">
        <v>22.91735655328199</v>
      </c>
      <c r="M18" s="18" t="n">
        <v>0.3686735880101191</v>
      </c>
      <c r="N18" s="9" t="n">
        <v>89.42613561085938</v>
      </c>
      <c r="O18" s="18" t="n">
        <v>1.463507569124029</v>
      </c>
      <c r="P18" s="9" t="n">
        <v>3.902113902314474</v>
      </c>
    </row>
    <row r="19" spans="1:22">
      <c r="A19" s="21" t="n">
        <v>40879</v>
      </c>
      <c r="B19" t="s">
        <v>28</v>
      </c>
      <c r="C19" s="124" t="n">
        <v>2.207903392513337</v>
      </c>
      <c r="D19" s="88" t="n">
        <v>1.655186829367963</v>
      </c>
      <c r="E19" s="16" t="n">
        <v>0.2503354834362553</v>
      </c>
      <c r="F19" s="88" t="n">
        <v>5.572661010056065</v>
      </c>
      <c r="G19" s="16" t="n">
        <v>1.523960526965132</v>
      </c>
      <c r="H19" s="16" t="n">
        <v>0.05022059031693638</v>
      </c>
      <c r="I19" s="16" t="n">
        <v>0.3264214462053403</v>
      </c>
      <c r="J19" s="16" t="n">
        <v>0.7139648371289473</v>
      </c>
      <c r="K19" s="88" t="n">
        <v>3.366786704183721</v>
      </c>
      <c r="L19" s="9" t="n">
        <v>1.655186829367963</v>
      </c>
      <c r="M19" s="18" t="n">
        <v>0.2503354834362553</v>
      </c>
      <c r="N19" s="9" t="n">
        <v>5.572661010056065</v>
      </c>
      <c r="O19" s="18" t="n">
        <v>1.523960526965132</v>
      </c>
      <c r="P19" s="9" t="n">
        <v>3.366786704183721</v>
      </c>
    </row>
    <row r="20" spans="1:22">
      <c r="B20" t="s">
        <v>29</v>
      </c>
      <c r="C20" s="124" t="n">
        <v>2.144870367984539</v>
      </c>
      <c r="D20" s="88" t="n">
        <v>1.517869940364291</v>
      </c>
      <c r="E20" s="16" t="n">
        <v>0.2923255582151657</v>
      </c>
      <c r="F20" s="88" t="n">
        <v>6.314915283660836</v>
      </c>
      <c r="G20" s="16" t="n">
        <v>1.944194380192191</v>
      </c>
      <c r="H20" s="16" t="n">
        <v>0.07140314688093041</v>
      </c>
      <c r="I20" s="16" t="n">
        <v>0.445544573630644</v>
      </c>
      <c r="J20" s="16" t="n">
        <v>0.8512506755896727</v>
      </c>
      <c r="K20" s="88" t="n">
        <v>4.160379697713263</v>
      </c>
      <c r="L20" s="9" t="n">
        <v>1.517869940364291</v>
      </c>
      <c r="M20" s="18" t="n">
        <v>0.2923255582151657</v>
      </c>
      <c r="N20" s="9" t="n">
        <v>6.314915283660836</v>
      </c>
      <c r="O20" s="18" t="n">
        <v>1.944194380192191</v>
      </c>
      <c r="P20" s="9" t="n">
        <v>4.160379697713263</v>
      </c>
    </row>
    <row r="21" spans="1:22">
      <c r="C21" s="70" t="n"/>
      <c r="D21" s="88" t="n"/>
      <c r="F21" s="88" t="n"/>
      <c r="K21" s="88" t="n"/>
      <c r="L21" s="9" t="n"/>
      <c r="N21" s="9" t="n"/>
      <c r="P21" s="9" t="n"/>
    </row>
    <row customHeight="1" ht="17" r="22" s="130" spans="1:22">
      <c r="A22" s="15" t="s">
        <v>190</v>
      </c>
      <c r="B22" t="s">
        <v>24</v>
      </c>
      <c r="C22" s="125" t="n">
        <v>35.40225026754603</v>
      </c>
      <c r="D22" s="88" t="n">
        <v>19.85529509551719</v>
      </c>
      <c r="E22" s="16" t="n">
        <v>0.4391516091360173</v>
      </c>
      <c r="F22" s="88" t="n">
        <v>68.0760844117348</v>
      </c>
      <c r="G22" s="16" t="n">
        <v>0.9229309972462836</v>
      </c>
      <c r="H22" s="16" t="n">
        <v>-0.2659066971833141</v>
      </c>
      <c r="I22" s="16" t="n">
        <v>-0.05948195932336486</v>
      </c>
      <c r="J22" s="16" t="n">
        <v>0.2583536004191982</v>
      </c>
      <c r="K22" s="88" t="n">
        <v>3.428611062401415</v>
      </c>
      <c r="L22" s="9" t="n">
        <v>22.22218374914999</v>
      </c>
      <c r="M22" s="18" t="n">
        <v>0.3722945976255774</v>
      </c>
      <c r="N22" s="9" t="n">
        <v>55.19774625199471</v>
      </c>
      <c r="O22" s="18" t="n">
        <v>0.5591592578112363</v>
      </c>
      <c r="P22" s="9" t="n">
        <v>2.483902881691636</v>
      </c>
      <c r="Q22" s="131" t="n">
        <v>0.1367363709367962</v>
      </c>
      <c r="R22" s="131" t="n">
        <v>0.0521082784776765</v>
      </c>
      <c r="S22" s="131" t="n">
        <v>0.01476245767907386</v>
      </c>
      <c r="U22" s="129">
        <f>C22*S22</f>
        <v/>
      </c>
      <c r="V22" s="129">
        <f>Q22*(1-U22)+S22</f>
        <v/>
      </c>
    </row>
    <row r="23" spans="1:22">
      <c r="A23" t="s">
        <v>191</v>
      </c>
      <c r="B23" t="s">
        <v>26</v>
      </c>
      <c r="C23" s="123" t="n">
        <v>55.57366553919601</v>
      </c>
      <c r="D23" s="88" t="n">
        <v>36.34996699696208</v>
      </c>
      <c r="E23" s="16" t="n">
        <v>0.3459138128773508</v>
      </c>
      <c r="F23" s="88" t="n">
        <v>233.436501688792</v>
      </c>
      <c r="G23" s="16" t="n">
        <v>3.200487756636273</v>
      </c>
      <c r="H23" s="16" t="n">
        <v>-0.112683351149248</v>
      </c>
      <c r="I23" s="16" t="n">
        <v>0.1714966649191869</v>
      </c>
      <c r="J23" s="16" t="n">
        <v>0.5722441680927177</v>
      </c>
      <c r="K23" s="88" t="n">
        <v>6.42191784406025</v>
      </c>
      <c r="L23" s="9" t="n">
        <v>37.74729355773918</v>
      </c>
      <c r="M23" s="18" t="n">
        <v>0.3207701311133403</v>
      </c>
      <c r="N23" s="9" t="n">
        <v>132.6996360372885</v>
      </c>
      <c r="O23" s="18" t="n">
        <v>1.387815069418009</v>
      </c>
      <c r="P23" s="9" t="n">
        <v>3.515474184508299</v>
      </c>
    </row>
    <row r="24" spans="1:22">
      <c r="A24" s="21" t="n">
        <v>40879</v>
      </c>
      <c r="B24" t="s">
        <v>28</v>
      </c>
      <c r="C24" s="125" t="n">
        <v>4.840775224580465</v>
      </c>
      <c r="D24" s="88" t="n">
        <v>2.777328641957976</v>
      </c>
      <c r="E24" s="16" t="n">
        <v>0.4262636637505351</v>
      </c>
      <c r="F24" s="88" t="n">
        <v>7.721853031897776</v>
      </c>
      <c r="G24" s="16" t="n">
        <v>0.5951686813896642</v>
      </c>
      <c r="H24" s="16" t="n">
        <v>-0.2645867191261078</v>
      </c>
      <c r="I24" s="16" t="n">
        <v>-0.1250075165318274</v>
      </c>
      <c r="J24" s="16" t="n">
        <v>0.1725533665536283</v>
      </c>
      <c r="K24" s="88" t="n">
        <v>2.780316637808474</v>
      </c>
      <c r="L24" s="9" t="n">
        <v>2.777328641957976</v>
      </c>
      <c r="M24" s="18" t="n">
        <v>0.4262636637505351</v>
      </c>
      <c r="N24" s="9" t="n">
        <v>6.076276107398084</v>
      </c>
      <c r="O24" s="18" t="n">
        <v>0.2552278974954256</v>
      </c>
      <c r="P24" s="9" t="n">
        <v>2.187813143753271</v>
      </c>
    </row>
    <row r="25" spans="1:22">
      <c r="B25" t="s">
        <v>29</v>
      </c>
      <c r="C25" s="123" t="n">
        <v>2.89584803994168</v>
      </c>
      <c r="D25" s="88" t="n">
        <v>2.011301029137824</v>
      </c>
      <c r="E25" s="16" t="n">
        <v>0.3054535316092312</v>
      </c>
      <c r="F25" s="88" t="n">
        <v>6.793713225428094</v>
      </c>
      <c r="G25" s="16" t="n">
        <v>1.346018551983451</v>
      </c>
      <c r="H25" s="16" t="n">
        <v>-0.01545946749225457</v>
      </c>
      <c r="I25" s="16" t="n">
        <v>0.2294900511086382</v>
      </c>
      <c r="J25" s="16" t="n">
        <v>0.5634903427860907</v>
      </c>
      <c r="K25" s="88" t="n">
        <v>3.377770471454652</v>
      </c>
      <c r="L25" s="9" t="n">
        <v>2.011301029137824</v>
      </c>
      <c r="M25" s="18" t="n">
        <v>0.3054535316092312</v>
      </c>
      <c r="N25" s="9" t="n">
        <v>6.793713225428094</v>
      </c>
      <c r="O25" s="18" t="n">
        <v>1.346018551983451</v>
      </c>
      <c r="P25" s="9" t="n">
        <v>3.377770471454652</v>
      </c>
    </row>
    <row r="26" spans="1:22">
      <c r="C26" s="70" t="n"/>
      <c r="D26" s="88" t="n"/>
      <c r="F26" s="88" t="n"/>
      <c r="K26" s="88" t="n"/>
      <c r="L26" s="9" t="n"/>
      <c r="N26" s="9" t="n"/>
      <c r="P26" s="9" t="n"/>
    </row>
    <row customHeight="1" ht="17" r="27" s="130" spans="1:22">
      <c r="A27" s="23" t="s">
        <v>192</v>
      </c>
      <c r="B27" t="s">
        <v>24</v>
      </c>
      <c r="C27" s="123" t="n">
        <v>36.92924139191557</v>
      </c>
      <c r="D27" s="88" t="n">
        <v>25.1440733513187</v>
      </c>
      <c r="E27" s="16" t="n">
        <v>0.3191283545612404</v>
      </c>
      <c r="F27" s="88" t="n">
        <v>79.31092777655607</v>
      </c>
      <c r="G27" s="16" t="n">
        <v>1.147645735119773</v>
      </c>
      <c r="H27" s="16" t="n">
        <v>-0.06763701938243794</v>
      </c>
      <c r="I27" s="16" t="n">
        <v>0.06977753948024978</v>
      </c>
      <c r="J27" s="16" t="n">
        <v>0.1985721979454804</v>
      </c>
      <c r="K27" s="88" t="n">
        <v>3.154259322600829</v>
      </c>
      <c r="L27" s="9" t="n">
        <v>25.92569373516995</v>
      </c>
      <c r="M27" s="18" t="n">
        <v>0.2979630028131169</v>
      </c>
      <c r="N27" s="9" t="n">
        <v>79.31092777655607</v>
      </c>
      <c r="O27" s="18" t="n">
        <v>1.147645735119773</v>
      </c>
      <c r="P27" s="9" t="n">
        <v>3.059163183315918</v>
      </c>
      <c r="Q27" s="131" t="n">
        <v>0.1104469547880809</v>
      </c>
      <c r="R27" s="131" t="n">
        <v>0.08325787112462477</v>
      </c>
      <c r="S27" s="131" t="n">
        <v>0.009146902693309053</v>
      </c>
      <c r="U27" s="129">
        <f>C27*S27</f>
        <v/>
      </c>
      <c r="V27" s="129">
        <f>Q27*(1-U27)+S27</f>
        <v/>
      </c>
    </row>
    <row r="28" spans="1:22">
      <c r="A28" t="s">
        <v>193</v>
      </c>
      <c r="B28" t="s">
        <v>26</v>
      </c>
      <c r="C28" s="124" t="n">
        <v>37.5075037929742</v>
      </c>
      <c r="D28" s="88" t="n">
        <v>25.3521771866911</v>
      </c>
      <c r="E28" s="16" t="n">
        <v>0.3240771946161876</v>
      </c>
      <c r="F28" s="88" t="n">
        <v>104.6931186860914</v>
      </c>
      <c r="G28" s="16" t="n">
        <v>1.791257964378377</v>
      </c>
      <c r="H28" s="16" t="n">
        <v>0.121815931117784</v>
      </c>
      <c r="I28" s="16" t="n">
        <v>0.3462871623892183</v>
      </c>
      <c r="J28" s="16" t="n">
        <v>0.6182873714420749</v>
      </c>
      <c r="K28" s="88" t="n">
        <v>4.129551395729877</v>
      </c>
      <c r="L28" s="9" t="n">
        <v>25.3521771866911</v>
      </c>
      <c r="M28" s="18" t="n">
        <v>0.3240771946161876</v>
      </c>
      <c r="N28" s="9" t="n">
        <v>104.6931186860914</v>
      </c>
      <c r="O28" s="18" t="n">
        <v>1.791257964378377</v>
      </c>
      <c r="P28" s="9" t="n">
        <v>4.129551395729877</v>
      </c>
    </row>
    <row r="29" spans="1:22">
      <c r="A29" s="21" t="n">
        <v>40879</v>
      </c>
      <c r="B29" t="s">
        <v>28</v>
      </c>
      <c r="C29" s="123" t="n">
        <v>4.078722254371025</v>
      </c>
      <c r="D29" s="88" t="n">
        <v>2.965233353393218</v>
      </c>
      <c r="E29" s="16" t="n">
        <v>0.2729994423583315</v>
      </c>
      <c r="F29" s="88" t="n">
        <v>8.517420785502685</v>
      </c>
      <c r="G29" s="16" t="n">
        <v>1.088257119340466</v>
      </c>
      <c r="H29" s="16" t="n">
        <v>-0.005954298719263673</v>
      </c>
      <c r="I29" s="16" t="n">
        <v>0.116551589091745</v>
      </c>
      <c r="J29" s="16" t="n">
        <v>0.364162658414166</v>
      </c>
      <c r="K29" s="88" t="n">
        <v>2.872428497324134</v>
      </c>
      <c r="L29" s="9" t="n">
        <v>2.965233353393218</v>
      </c>
      <c r="M29" s="18" t="n">
        <v>0.2729994423583315</v>
      </c>
      <c r="N29" s="9" t="n">
        <v>8.517420785502685</v>
      </c>
      <c r="O29" s="18" t="n">
        <v>1.088257119340466</v>
      </c>
      <c r="P29" s="9" t="n">
        <v>2.872428497324134</v>
      </c>
    </row>
    <row r="30" spans="1:22">
      <c r="B30" t="s">
        <v>29</v>
      </c>
      <c r="C30" s="124" t="n">
        <v>3.122794917001821</v>
      </c>
      <c r="D30" s="88" t="n">
        <v>2.143631790656613</v>
      </c>
      <c r="E30" s="16" t="n">
        <v>0.3135534520740469</v>
      </c>
      <c r="F30" s="88" t="n">
        <v>8.570628505439908</v>
      </c>
      <c r="G30" s="16" t="n">
        <v>1.744537740463765</v>
      </c>
      <c r="H30" s="16" t="n">
        <v>0.1439167705689093</v>
      </c>
      <c r="I30" s="16" t="n">
        <v>0.381509665599491</v>
      </c>
      <c r="J30" s="16" t="n">
        <v>0.7210535249470782</v>
      </c>
      <c r="K30" s="88" t="n">
        <v>3.998181284116267</v>
      </c>
      <c r="L30" s="9" t="n">
        <v>2.143631790656613</v>
      </c>
      <c r="M30" s="18" t="n">
        <v>0.3135534520740469</v>
      </c>
      <c r="N30" s="9" t="n">
        <v>8.570628505439908</v>
      </c>
      <c r="O30" s="18" t="n">
        <v>1.744537740463765</v>
      </c>
      <c r="P30" s="9" t="n">
        <v>3.998181284116267</v>
      </c>
    </row>
    <row r="31" spans="1:22">
      <c r="C31" s="70" t="n"/>
      <c r="D31" s="88" t="n"/>
      <c r="F31" s="88" t="n"/>
      <c r="K31" s="88" t="n"/>
      <c r="L31" s="9" t="n"/>
      <c r="N31" s="9" t="n"/>
      <c r="P31" s="9" t="n"/>
    </row>
    <row customHeight="1" ht="17" r="32" s="130" spans="1:22">
      <c r="A32" s="23" t="s">
        <v>194</v>
      </c>
      <c r="B32" t="s">
        <v>24</v>
      </c>
      <c r="C32" s="125" t="n">
        <v>10.19187708938933</v>
      </c>
      <c r="D32" s="88" t="n">
        <v>5.855695053039961</v>
      </c>
      <c r="E32" s="16" t="n">
        <v>0.4254547026340935</v>
      </c>
      <c r="F32" s="88" t="n">
        <v>25.27805579832981</v>
      </c>
      <c r="G32" s="16" t="n">
        <v>1.480215918679649</v>
      </c>
      <c r="H32" s="16" t="n">
        <v>-0.233949938297114</v>
      </c>
      <c r="I32" s="16" t="n">
        <v>-0.1123925187481892</v>
      </c>
      <c r="J32" s="100" t="n">
        <v>0.1621700423215719</v>
      </c>
      <c r="K32" s="88" t="n">
        <v>4.316832684995576</v>
      </c>
      <c r="L32" s="9" t="n">
        <v>5.865919970906475</v>
      </c>
      <c r="M32" s="18" t="n">
        <v>0.4244514607605077</v>
      </c>
      <c r="N32" s="9" t="n">
        <v>12.64652772907617</v>
      </c>
      <c r="O32" s="18" t="n">
        <v>0.2408438227971132</v>
      </c>
      <c r="P32" s="9" t="n">
        <v>2.155932537743413</v>
      </c>
      <c r="Q32" s="131" t="n">
        <v>0.1216964100608558</v>
      </c>
      <c r="R32" s="131" t="n">
        <v>0.08743963766274143</v>
      </c>
      <c r="S32" s="131" t="n">
        <v>0.02937435477406575</v>
      </c>
      <c r="U32" s="129">
        <f>C32*S32</f>
        <v/>
      </c>
      <c r="V32" s="42">
        <f>Q32*(1-U32)+S32</f>
        <v/>
      </c>
    </row>
    <row r="33" spans="1:22">
      <c r="A33" t="s">
        <v>195</v>
      </c>
      <c r="B33" t="s">
        <v>26</v>
      </c>
      <c r="C33" s="123" t="n">
        <v>18.58432901816466</v>
      </c>
      <c r="D33" s="88" t="n">
        <v>12.71329183331991</v>
      </c>
      <c r="E33" s="16" t="n">
        <v>0.315913325636147</v>
      </c>
      <c r="F33" s="88" t="n">
        <v>83.19951588691585</v>
      </c>
      <c r="G33" s="16" t="n">
        <v>3.476864125984594</v>
      </c>
      <c r="H33" s="16" t="n">
        <v>-0.05576062453784636</v>
      </c>
      <c r="I33" s="16" t="n">
        <v>0.2324391577314115</v>
      </c>
      <c r="J33" s="16" t="n">
        <v>0.5669301615973408</v>
      </c>
      <c r="K33" s="88" t="n">
        <v>6.544293718552153</v>
      </c>
      <c r="L33" s="9" t="n">
        <v>12.71329183331991</v>
      </c>
      <c r="M33" s="18" t="n">
        <v>0.315913325636147</v>
      </c>
      <c r="N33" s="9" t="n">
        <v>41.56627710472098</v>
      </c>
      <c r="O33" s="18" t="n">
        <v>1.236630500035452</v>
      </c>
      <c r="P33" s="9" t="n">
        <v>3.269513329016888</v>
      </c>
    </row>
    <row r="34" spans="1:22">
      <c r="A34" s="21" t="n">
        <v>40879</v>
      </c>
      <c r="B34" t="s">
        <v>28</v>
      </c>
      <c r="C34" s="123" t="n">
        <v>1.240314853560165</v>
      </c>
      <c r="D34" s="88" t="n">
        <v>0.9687292668712232</v>
      </c>
      <c r="E34" s="16" t="n">
        <v>0.2189650361030431</v>
      </c>
      <c r="F34" s="88" t="n">
        <v>3.722389622302802</v>
      </c>
      <c r="G34" s="16" t="n">
        <v>2.001165076446644</v>
      </c>
      <c r="H34" s="16" t="n">
        <v>-0.04444939968267647</v>
      </c>
      <c r="I34" s="16" t="n">
        <v>0.09971384559755347</v>
      </c>
      <c r="J34" s="16" t="n">
        <v>0.603551953307101</v>
      </c>
      <c r="K34" s="88" t="n">
        <v>3.842548944892808</v>
      </c>
      <c r="L34" s="9" t="n">
        <v>0.9687292668712232</v>
      </c>
      <c r="M34" s="18" t="n">
        <v>0.2189650361030431</v>
      </c>
      <c r="N34" s="9" t="n">
        <v>2.011608826403347</v>
      </c>
      <c r="O34" s="18" t="n">
        <v>0.6218533710446836</v>
      </c>
      <c r="P34" s="9" t="n">
        <v>2.076543875772836</v>
      </c>
    </row>
    <row r="35" spans="1:22">
      <c r="B35" t="s">
        <v>29</v>
      </c>
      <c r="C35" s="124" t="n">
        <v>1.625006995553489</v>
      </c>
      <c r="D35" s="88" t="n">
        <v>1.095910761861082</v>
      </c>
      <c r="E35" s="16" t="n">
        <v>0.3255962805945906</v>
      </c>
      <c r="F35" s="88" t="n">
        <v>5.066875409882788</v>
      </c>
      <c r="G35" s="16" t="n">
        <v>2.118063752185248</v>
      </c>
      <c r="H35" s="16" t="n">
        <v>0.1531087974462435</v>
      </c>
      <c r="I35" s="16" t="n">
        <v>0.3909095367215571</v>
      </c>
      <c r="J35" s="16" t="n">
        <v>0.9478735301967962</v>
      </c>
      <c r="K35" s="88" t="n">
        <v>4.62343795335871</v>
      </c>
      <c r="L35" s="9" t="n">
        <v>1.095910761861082</v>
      </c>
      <c r="M35" s="18" t="n">
        <v>0.3255962805945906</v>
      </c>
      <c r="N35" s="9" t="n">
        <v>4.329301596843266</v>
      </c>
      <c r="O35" s="18" t="n">
        <v>1.664174128905012</v>
      </c>
      <c r="P35" s="9" t="n">
        <v>3.950414347141932</v>
      </c>
    </row>
    <row r="36" spans="1:22">
      <c r="C36" s="70" t="n"/>
      <c r="D36" s="88" t="n"/>
      <c r="F36" s="88" t="n"/>
      <c r="K36" s="88" t="n"/>
      <c r="L36" s="9" t="n"/>
      <c r="N36" s="9" t="n"/>
      <c r="P36" s="9" t="n"/>
    </row>
    <row customHeight="1" ht="17" r="37" s="130" spans="1:22">
      <c r="A37" s="23" t="s">
        <v>196</v>
      </c>
      <c r="B37" t="s">
        <v>24</v>
      </c>
      <c r="C37" s="123" t="n">
        <v>52.56340092133338</v>
      </c>
      <c r="D37" s="88" t="n">
        <v>30.80786782952279</v>
      </c>
      <c r="E37" s="16" t="n">
        <v>0.4138912762583612</v>
      </c>
      <c r="F37" s="88" t="n">
        <v>525.4029212772518</v>
      </c>
      <c r="G37" s="16" t="n">
        <v>8.995603634239195</v>
      </c>
      <c r="H37" s="16" t="n">
        <v>-0.1105416072525173</v>
      </c>
      <c r="I37" s="16" t="n">
        <v>0.1453633588044283</v>
      </c>
      <c r="J37" s="16" t="n">
        <v>0.5662081629567381</v>
      </c>
      <c r="K37" s="88" t="n">
        <v>17.05417993171747</v>
      </c>
      <c r="L37" s="9" t="n">
        <v>33.91097580978322</v>
      </c>
      <c r="M37" s="18" t="n">
        <v>0.3548557510474916</v>
      </c>
      <c r="N37" s="9" t="n">
        <v>142.9124075031607</v>
      </c>
      <c r="O37" s="18" t="n">
        <v>1.718857703234311</v>
      </c>
      <c r="P37" s="9" t="n">
        <v>4.214340758130909</v>
      </c>
      <c r="Q37" s="131" t="n">
        <v>0.07100132879544713</v>
      </c>
      <c r="R37" s="131" t="n">
        <v>0.03887931357691436</v>
      </c>
      <c r="S37" s="131" t="n">
        <v>0.006155020942214253</v>
      </c>
      <c r="U37" s="129">
        <f>C37*S37</f>
        <v/>
      </c>
      <c r="V37" s="129">
        <f>Q37*(1-U37)+S37</f>
        <v/>
      </c>
    </row>
    <row r="38" spans="1:22">
      <c r="A38" t="s">
        <v>197</v>
      </c>
      <c r="B38" t="s">
        <v>26</v>
      </c>
      <c r="C38" s="125" t="n">
        <v>83.20739661483043</v>
      </c>
      <c r="D38" s="88" t="n">
        <v>35.97881469267168</v>
      </c>
      <c r="E38" s="16" t="n">
        <v>0.5676007643981615</v>
      </c>
      <c r="F38" s="88" t="n">
        <v>-3851.557910549357</v>
      </c>
      <c r="G38" s="16" t="n">
        <v>-47.2886482121095</v>
      </c>
      <c r="H38" s="16" t="n">
        <v>-0.2932816021413893</v>
      </c>
      <c r="I38" s="16" t="n">
        <v>-0.01089168078354241</v>
      </c>
      <c r="J38" s="16" t="n">
        <v>0.4034842831664223</v>
      </c>
      <c r="K38" s="88" t="n">
        <v>-107.0507170247012</v>
      </c>
      <c r="L38" s="9" t="n">
        <v>50.6191081725931</v>
      </c>
      <c r="M38" s="18" t="n">
        <v>0.3916513407226224</v>
      </c>
      <c r="N38" s="9" t="n">
        <v>185.1777519951536</v>
      </c>
      <c r="O38" s="18" t="n">
        <v>1.225496284330912</v>
      </c>
      <c r="P38" s="9" t="n">
        <v>3.658257892726271</v>
      </c>
    </row>
    <row r="39" spans="1:22">
      <c r="A39" s="21" t="n">
        <v>40879</v>
      </c>
      <c r="B39" t="s">
        <v>28</v>
      </c>
      <c r="C39" s="123" t="n">
        <v>3.7320713114225</v>
      </c>
      <c r="D39" s="88" t="n">
        <v>2.379826982981561</v>
      </c>
      <c r="E39" s="16" t="n">
        <v>0.3623307851332356</v>
      </c>
      <c r="F39" s="88" t="n">
        <v>11.19620353846243</v>
      </c>
      <c r="G39" s="16" t="n">
        <v>1.999997214467731</v>
      </c>
      <c r="H39" s="16" t="n">
        <v>-0.08939503060533582</v>
      </c>
      <c r="I39" s="16" t="n">
        <v>0.1336373662396289</v>
      </c>
      <c r="J39" s="16" t="n">
        <v>0.3682114242736778</v>
      </c>
      <c r="K39" s="88" t="n">
        <v>4.704629209824023</v>
      </c>
      <c r="L39" s="9" t="n">
        <v>2.557166721880559</v>
      </c>
      <c r="M39" s="18" t="n">
        <v>0.3148130063715529</v>
      </c>
      <c r="N39" s="9" t="n">
        <v>11.19620353846243</v>
      </c>
      <c r="O39" s="18" t="n">
        <v>1.999997214467731</v>
      </c>
      <c r="P39" s="9" t="n">
        <v>4.378362756976855</v>
      </c>
    </row>
    <row r="40" spans="1:22">
      <c r="B40" t="s">
        <v>29</v>
      </c>
      <c r="C40" s="123" t="n">
        <v>3.235046464906674</v>
      </c>
      <c r="D40" s="88" t="n">
        <v>2.046839449151149</v>
      </c>
      <c r="E40" s="16" t="n">
        <v>0.3672921018739688</v>
      </c>
      <c r="F40" s="88" t="n">
        <v>10.46845598570062</v>
      </c>
      <c r="G40" s="16" t="n">
        <v>2.23595228051929</v>
      </c>
      <c r="H40" s="16" t="n">
        <v>-0.06805027742251601</v>
      </c>
      <c r="I40" s="16" t="n">
        <v>0.2743540651320162</v>
      </c>
      <c r="J40" s="16" t="n">
        <v>0.610663632415186</v>
      </c>
      <c r="K40" s="88" t="n">
        <v>5.11444900577914</v>
      </c>
      <c r="L40" s="9" t="n">
        <v>2.181053278384363</v>
      </c>
      <c r="M40" s="18" t="n">
        <v>0.3258046516351093</v>
      </c>
      <c r="N40" s="9" t="n">
        <v>10.46845598570062</v>
      </c>
      <c r="O40" s="18" t="n">
        <v>2.23595228051929</v>
      </c>
      <c r="P40" s="9" t="n">
        <v>4.799725017930434</v>
      </c>
    </row>
    <row r="41" spans="1:22">
      <c r="C41" s="70" t="n"/>
      <c r="D41" s="88" t="n"/>
      <c r="F41" s="88" t="n"/>
      <c r="K41" s="88" t="n"/>
      <c r="L41" s="9" t="n"/>
      <c r="N41" s="9" t="n"/>
      <c r="P41" s="9" t="n"/>
    </row>
    <row customHeight="1" ht="17" r="42" s="130" spans="1:22">
      <c r="A42" s="15" t="s">
        <v>198</v>
      </c>
      <c r="B42" t="s">
        <v>24</v>
      </c>
      <c r="C42" s="126" t="n">
        <v>81.65652925842157</v>
      </c>
      <c r="D42" s="88" t="n">
        <v>11.77552621406524</v>
      </c>
      <c r="E42" s="16" t="n">
        <v>0.8557919823312747</v>
      </c>
      <c r="F42" s="88" t="n">
        <v>109.5466538264172</v>
      </c>
      <c r="G42" s="16" t="n">
        <v>0.341554127040236</v>
      </c>
      <c r="H42" s="16" t="n">
        <v>-0.5184243531385915</v>
      </c>
      <c r="I42" s="16" t="n">
        <v>-0.3311807541030979</v>
      </c>
      <c r="J42" s="16" t="n">
        <v>-0.08684448825758428</v>
      </c>
      <c r="K42" s="88" t="n">
        <v>9.302909427144714</v>
      </c>
      <c r="L42" s="9" t="n">
        <v>34.55509611354788</v>
      </c>
      <c r="M42" s="18" t="n">
        <v>0.5768238446163927</v>
      </c>
      <c r="N42" s="9" t="n">
        <v>109.5466538264172</v>
      </c>
      <c r="O42" s="18" t="n">
        <v>0.341554127040236</v>
      </c>
      <c r="P42" s="9" t="n">
        <v>3.170202550340114</v>
      </c>
      <c r="Q42" s="131" t="n">
        <v>0.03658099246232077</v>
      </c>
      <c r="R42" s="131" t="n">
        <v>0.04565181369043428</v>
      </c>
      <c r="S42" s="131" t="n">
        <v>0.005114222276373205</v>
      </c>
      <c r="U42" s="129">
        <f>C42*S42</f>
        <v/>
      </c>
      <c r="V42" s="129">
        <f>Q42*(1-U42)+S42</f>
        <v/>
      </c>
    </row>
    <row r="43" spans="1:22">
      <c r="A43" t="s">
        <v>199</v>
      </c>
      <c r="B43" t="s">
        <v>26</v>
      </c>
      <c r="C43" s="123" t="n">
        <v>77.24563674161146</v>
      </c>
      <c r="D43" s="88" t="n">
        <v>34.50973880741285</v>
      </c>
      <c r="E43" s="16" t="n">
        <v>0.5532467558931675</v>
      </c>
      <c r="F43" s="88" t="n">
        <v>-221.163425891144</v>
      </c>
      <c r="G43" s="16" t="n">
        <v>-3.863118685019595</v>
      </c>
      <c r="H43" s="16" t="n">
        <v>-0.3227789302350197</v>
      </c>
      <c r="I43" s="16" t="n">
        <v>0.0850799550766026</v>
      </c>
      <c r="J43" s="16" t="n">
        <v>0.5442913088846537</v>
      </c>
      <c r="K43" s="88" t="n">
        <v>-6.408725001524411</v>
      </c>
      <c r="L43" s="9" t="n">
        <v>44.40648266456409</v>
      </c>
      <c r="M43" s="18" t="n">
        <v>0.4251263302663313</v>
      </c>
      <c r="N43" s="9" t="n">
        <v>250.4474691008425</v>
      </c>
      <c r="O43" s="18" t="n">
        <v>2.242221563123305</v>
      </c>
      <c r="P43" s="9" t="n">
        <v>5.639885306671608</v>
      </c>
    </row>
    <row r="44" spans="1:22">
      <c r="A44" s="21" t="n">
        <v>40879</v>
      </c>
      <c r="B44" t="s">
        <v>28</v>
      </c>
      <c r="C44" s="125" t="n">
        <v>2.987076881301595</v>
      </c>
      <c r="D44" s="88" t="n">
        <v>1.434412243122195</v>
      </c>
      <c r="E44" s="16" t="n">
        <v>0.519793999243447</v>
      </c>
      <c r="F44" s="88" t="n">
        <v>7.188647909070763</v>
      </c>
      <c r="G44" s="16" t="n">
        <v>1.406582821510228</v>
      </c>
      <c r="H44" s="16" t="n">
        <v>-0.2386215023307174</v>
      </c>
      <c r="I44" s="16" t="n">
        <v>-0.01851365697087215</v>
      </c>
      <c r="J44" s="16" t="n">
        <v>0.2157778363393483</v>
      </c>
      <c r="K44" s="88" t="n">
        <v>5.01156340761822</v>
      </c>
      <c r="L44" s="9" t="n">
        <v>1.964600335845735</v>
      </c>
      <c r="M44" s="18" t="n">
        <v>0.3423000431814542</v>
      </c>
      <c r="N44" s="9" t="n">
        <v>7.188647909070763</v>
      </c>
      <c r="O44" s="18" t="n">
        <v>1.406582821510228</v>
      </c>
      <c r="P44" s="9" t="n">
        <v>3.659089219271737</v>
      </c>
    </row>
    <row r="45" spans="1:22">
      <c r="B45" t="s">
        <v>29</v>
      </c>
      <c r="C45" s="123" t="n">
        <v>3.526403416927011</v>
      </c>
      <c r="D45" s="88" t="n">
        <v>1.913264523780267</v>
      </c>
      <c r="E45" s="16" t="n">
        <v>0.4574459307189732</v>
      </c>
      <c r="F45" s="88" t="n">
        <v>9.412654204471798</v>
      </c>
      <c r="G45" s="16" t="n">
        <v>1.669193819201264</v>
      </c>
      <c r="H45" s="16" t="n">
        <v>-0.1695221772874576</v>
      </c>
      <c r="I45" s="16" t="n">
        <v>0.1646702393743487</v>
      </c>
      <c r="J45" s="16" t="n">
        <v>0.5653106392082019</v>
      </c>
      <c r="K45" s="88" t="n">
        <v>4.919682609216044</v>
      </c>
      <c r="L45" s="9" t="n">
        <v>2.184829473123096</v>
      </c>
      <c r="M45" s="18" t="n">
        <v>0.3804368885772558</v>
      </c>
      <c r="N45" s="9" t="n">
        <v>9.412654204471798</v>
      </c>
      <c r="O45" s="18" t="n">
        <v>1.669193819201264</v>
      </c>
      <c r="P45" s="9" t="n">
        <v>4.308187124103977</v>
      </c>
    </row>
    <row r="46" spans="1:22">
      <c r="C46" s="70" t="n"/>
      <c r="D46" s="88" t="n"/>
      <c r="F46" s="88" t="n"/>
      <c r="K46" s="88" t="n"/>
      <c r="L46" s="9" t="n"/>
      <c r="N46" s="9" t="n"/>
      <c r="P46" s="9" t="n"/>
    </row>
    <row customHeight="1" ht="17" r="47" s="130" spans="1:22">
      <c r="A47" s="15" t="s">
        <v>200</v>
      </c>
      <c r="B47" t="s">
        <v>24</v>
      </c>
      <c r="C47" s="125" t="n">
        <v>24.80812379370064</v>
      </c>
      <c r="D47" s="88" t="n">
        <v>10.44099953432479</v>
      </c>
      <c r="E47" s="16" t="n">
        <v>0.5791298196852759</v>
      </c>
      <c r="F47" s="88" t="n">
        <v>-137.97955089672</v>
      </c>
      <c r="G47" s="16" t="n">
        <v>-6.561869653833159</v>
      </c>
      <c r="H47" s="16" t="n">
        <v>-0.3314747841412218</v>
      </c>
      <c r="I47" s="16" t="n">
        <v>-0.07213325155879291</v>
      </c>
      <c r="J47" s="16" t="n">
        <v>0.1525192194463556</v>
      </c>
      <c r="K47" s="88" t="n">
        <v>-13.21516684711192</v>
      </c>
      <c r="L47" s="9" t="n">
        <v>10.63667834268476</v>
      </c>
      <c r="M47" s="18" t="n">
        <v>0.5712421289438399</v>
      </c>
      <c r="N47" s="9" t="n">
        <v>29.86627245512637</v>
      </c>
      <c r="O47" s="18" t="n">
        <v>0.2038908183258141</v>
      </c>
      <c r="P47" s="9" t="n">
        <v>2.807857067114051</v>
      </c>
      <c r="Q47" s="131" t="n">
        <v>0.06860871347639019</v>
      </c>
      <c r="R47" s="131" t="n">
        <v>0.02839455539442425</v>
      </c>
      <c r="S47" s="131" t="n">
        <v>0.02176213312692055</v>
      </c>
      <c r="U47" s="129">
        <f>C47*S47</f>
        <v/>
      </c>
      <c r="V47" s="129">
        <f>Q47*(1-U47)+S47</f>
        <v/>
      </c>
    </row>
    <row r="48" spans="1:22">
      <c r="A48" t="s">
        <v>201</v>
      </c>
      <c r="B48" t="s">
        <v>26</v>
      </c>
      <c r="C48" s="126" t="n">
        <v>59.474468387273</v>
      </c>
      <c r="D48" s="88" t="n">
        <v>15.70196708506923</v>
      </c>
      <c r="E48" s="16" t="n">
        <v>0.7359881053021853</v>
      </c>
      <c r="F48" s="88" t="n">
        <v>-76.06270821562158</v>
      </c>
      <c r="G48" s="16" t="n">
        <v>-2.278913629296068</v>
      </c>
      <c r="H48" s="16" t="n">
        <v>-0.5809552789079909</v>
      </c>
      <c r="I48" s="16" t="n">
        <v>-0.3868993970219672</v>
      </c>
      <c r="J48" s="16" t="n">
        <v>-0.1085088488451775</v>
      </c>
      <c r="K48" s="88" t="n">
        <v>-4.84415155142877</v>
      </c>
      <c r="L48" s="9" t="n">
        <v>16.01192388360463</v>
      </c>
      <c r="M48" s="18" t="n">
        <v>0.7307765110342535</v>
      </c>
      <c r="N48" s="9" t="n">
        <v>61.84923838138366</v>
      </c>
      <c r="O48" s="18" t="n">
        <v>0.03992923448507613</v>
      </c>
      <c r="P48" s="9" t="n">
        <v>3.86269875069254</v>
      </c>
    </row>
    <row r="49" spans="1:22">
      <c r="A49" s="21" t="n">
        <v>40879</v>
      </c>
      <c r="B49" t="s">
        <v>28</v>
      </c>
      <c r="C49" s="123" t="n">
        <v>1.702053457248826</v>
      </c>
      <c r="D49" s="88" t="n">
        <v>1.353100701665347</v>
      </c>
      <c r="E49" s="16" t="n">
        <v>0.2050186814622854</v>
      </c>
      <c r="F49" s="88" t="n">
        <v>3.824393078408548</v>
      </c>
      <c r="G49" s="16" t="n">
        <v>1.246928885882492</v>
      </c>
      <c r="H49" s="16" t="n">
        <v>-0.03602663368119596</v>
      </c>
      <c r="I49" s="16" t="n">
        <v>0.1014020139741736</v>
      </c>
      <c r="J49" s="16" t="n">
        <v>0.4397661704410598</v>
      </c>
      <c r="K49" s="88" t="n">
        <v>2.826392059143583</v>
      </c>
      <c r="L49" s="9" t="n">
        <v>1.353100701665347</v>
      </c>
      <c r="M49" s="18" t="n">
        <v>0.2050186814622854</v>
      </c>
      <c r="N49" s="9" t="n">
        <v>3.824393078408548</v>
      </c>
      <c r="O49" s="18" t="n">
        <v>1.246928885882492</v>
      </c>
      <c r="P49" s="9" t="n">
        <v>2.826392059143583</v>
      </c>
    </row>
    <row r="50" spans="1:22">
      <c r="B50" t="s">
        <v>29</v>
      </c>
      <c r="C50" s="124" t="n">
        <v>1.688751087176357</v>
      </c>
      <c r="D50" s="88" t="n">
        <v>1.193445359156259</v>
      </c>
      <c r="E50" s="16" t="n">
        <v>0.2932970594549037</v>
      </c>
      <c r="F50" s="88" t="n">
        <v>4.652278910462262</v>
      </c>
      <c r="G50" s="16" t="n">
        <v>1.754863606477977</v>
      </c>
      <c r="H50" s="16" t="n">
        <v>0.06640550912447463</v>
      </c>
      <c r="I50" s="16" t="n">
        <v>0.2769972280557313</v>
      </c>
      <c r="J50" s="16" t="n">
        <v>0.7124380745086234</v>
      </c>
      <c r="K50" s="88" t="n">
        <v>3.898191798031981</v>
      </c>
      <c r="L50" s="9" t="n">
        <v>1.193445359156259</v>
      </c>
      <c r="M50" s="18" t="n">
        <v>0.2932970594549037</v>
      </c>
      <c r="N50" s="9" t="n">
        <v>4.652278910462262</v>
      </c>
      <c r="O50" s="18" t="n">
        <v>1.754863606477977</v>
      </c>
      <c r="P50" s="9" t="n">
        <v>3.898191798031981</v>
      </c>
    </row>
    <row r="51" spans="1:22">
      <c r="C51" s="70" t="n"/>
      <c r="D51" s="88" t="n"/>
      <c r="F51" s="88" t="n"/>
      <c r="K51" s="88" t="n"/>
      <c r="L51" s="9" t="n"/>
      <c r="N51" s="9" t="n"/>
      <c r="P51" s="9" t="n"/>
    </row>
    <row r="52" spans="1:22">
      <c r="C52" s="70" t="n"/>
      <c r="D52" s="88" t="n"/>
      <c r="F52" s="88" t="n"/>
      <c r="K52" s="88" t="n"/>
      <c r="L52" s="9" t="n"/>
      <c r="N52" s="9" t="n"/>
      <c r="P52" s="9" t="n"/>
      <c r="U52" s="129" t="n"/>
      <c r="V52" s="129" t="n"/>
    </row>
    <row r="53" spans="1:22">
      <c r="C53" s="70" t="n"/>
      <c r="D53" s="88" t="n"/>
      <c r="F53" s="88" t="n"/>
      <c r="K53" s="88" t="n"/>
      <c r="L53" s="9" t="n"/>
      <c r="N53" s="9" t="n"/>
      <c r="P53" s="9" t="n"/>
    </row>
    <row r="54" spans="1:22">
      <c r="C54" s="70" t="n"/>
      <c r="D54" s="88" t="n"/>
      <c r="F54" s="88" t="n"/>
      <c r="K54" s="88" t="n"/>
      <c r="L54" s="9" t="n"/>
      <c r="N54" s="9" t="n"/>
      <c r="P54" s="9" t="n"/>
    </row>
    <row r="55" spans="1:22">
      <c r="C55" s="70" t="n"/>
      <c r="D55" s="88" t="n"/>
      <c r="F55" s="88" t="n"/>
      <c r="K55" s="88" t="n"/>
      <c r="L55" s="9" t="n"/>
      <c r="N55" s="9" t="n"/>
      <c r="P55" s="9" t="n"/>
    </row>
    <row r="56" spans="1:22">
      <c r="C56" s="70" t="n"/>
      <c r="D56" s="88" t="n"/>
      <c r="F56" s="88" t="n"/>
      <c r="K56" s="88" t="n"/>
      <c r="L56" s="9" t="n"/>
      <c r="N56" s="9" t="n"/>
      <c r="P56" s="9" t="n"/>
    </row>
    <row r="57" spans="1:22">
      <c r="C57" s="70" t="n"/>
      <c r="D57" s="88" t="n"/>
      <c r="F57" s="88" t="n"/>
      <c r="K57" s="88" t="n"/>
      <c r="L57" s="9" t="n"/>
      <c r="N57" s="9" t="n"/>
      <c r="P57" s="9" t="n"/>
      <c r="U57" s="129" t="n"/>
      <c r="V57" s="129" t="n"/>
    </row>
    <row r="58" spans="1:22">
      <c r="C58" s="70" t="n"/>
      <c r="D58" s="88" t="n"/>
      <c r="F58" s="88" t="n"/>
      <c r="K58" s="88" t="n"/>
      <c r="L58" s="9" t="n"/>
      <c r="N58" s="9" t="n"/>
      <c r="P58" s="9" t="n"/>
    </row>
    <row r="59" spans="1:22">
      <c r="C59" s="70" t="n"/>
      <c r="D59" s="88" t="n"/>
      <c r="F59" s="88" t="n"/>
      <c r="K59" s="88" t="n"/>
      <c r="L59" s="9" t="n"/>
      <c r="N59" s="9" t="n"/>
      <c r="P59" s="9" t="n"/>
    </row>
    <row r="60" spans="1:22">
      <c r="C60" s="70" t="n"/>
      <c r="D60" s="88" t="n"/>
      <c r="F60" s="88" t="n"/>
      <c r="K60" s="88" t="n"/>
      <c r="L60" s="9" t="n"/>
      <c r="N60" s="9" t="n"/>
      <c r="P60" s="9" t="n"/>
    </row>
    <row r="61" spans="1:22">
      <c r="C61" s="70" t="n"/>
      <c r="D61" s="88" t="n"/>
      <c r="F61" s="88" t="n"/>
      <c r="K61" s="88" t="n"/>
      <c r="L61" s="9" t="n"/>
      <c r="N61" s="9" t="n"/>
      <c r="P61" s="9" t="n"/>
    </row>
    <row r="62" spans="1:22">
      <c r="C62" s="70" t="n"/>
      <c r="D62" s="88" t="n"/>
      <c r="F62" s="88" t="n"/>
      <c r="K62" s="88" t="n"/>
      <c r="L62" s="9" t="n"/>
      <c r="N62" s="9" t="n"/>
      <c r="P62" s="9" t="n"/>
      <c r="U62" s="129" t="n"/>
      <c r="V62" s="129" t="n"/>
    </row>
    <row r="63" spans="1:22">
      <c r="C63" s="70" t="n"/>
      <c r="D63" s="88" t="n"/>
      <c r="F63" s="88" t="n"/>
      <c r="K63" s="88" t="n"/>
      <c r="L63" s="9" t="n"/>
      <c r="N63" s="9" t="n"/>
      <c r="P63" s="9" t="n"/>
    </row>
    <row r="64" spans="1:22">
      <c r="C64" s="70" t="n"/>
      <c r="D64" s="88" t="n"/>
      <c r="F64" s="88" t="n"/>
      <c r="K64" s="88" t="n"/>
      <c r="L64" s="9" t="n"/>
      <c r="N64" s="9" t="n"/>
      <c r="P64" s="9" t="n"/>
    </row>
    <row r="65" spans="1:22">
      <c r="C65" s="70" t="n"/>
      <c r="D65" s="88" t="n"/>
      <c r="F65" s="88" t="n"/>
      <c r="K65" s="88" t="n"/>
      <c r="L65" s="9" t="n"/>
      <c r="N65" s="9" t="n"/>
      <c r="P65" s="9" t="n"/>
    </row>
    <row r="66" spans="1:22">
      <c r="C66" s="70" t="n"/>
      <c r="D66" s="88" t="n"/>
      <c r="F66" s="88" t="n"/>
      <c r="K66" s="88" t="n"/>
      <c r="L66" s="9" t="n"/>
      <c r="N66" s="9" t="n"/>
      <c r="P66" s="9" t="n"/>
    </row>
    <row r="67" spans="1:22">
      <c r="C67" s="70" t="n"/>
      <c r="D67" s="88" t="n"/>
      <c r="F67" s="88" t="n"/>
      <c r="K67" s="88" t="n"/>
      <c r="L67" s="9" t="n"/>
      <c r="N67" s="9" t="n"/>
      <c r="P67" s="9" t="n"/>
      <c r="U67" s="129" t="n"/>
      <c r="V67" s="129" t="n"/>
    </row>
    <row r="68" spans="1:22">
      <c r="C68" s="70" t="n"/>
      <c r="D68" s="88" t="n"/>
      <c r="F68" s="88" t="n"/>
      <c r="K68" s="88" t="n"/>
      <c r="L68" s="9" t="n"/>
      <c r="N68" s="9" t="n"/>
      <c r="P68" s="9" t="n"/>
    </row>
    <row r="69" spans="1:22">
      <c r="C69" s="70" t="n"/>
      <c r="D69" s="88" t="n"/>
      <c r="F69" s="88" t="n"/>
      <c r="K69" s="88" t="n"/>
      <c r="L69" s="9" t="n"/>
      <c r="N69" s="9" t="n"/>
      <c r="P69" s="9" t="n"/>
    </row>
    <row r="70" spans="1:22">
      <c r="C70" s="70" t="n"/>
      <c r="D70" s="88" t="n"/>
      <c r="F70" s="88" t="n"/>
      <c r="K70" s="88" t="n"/>
      <c r="L70" s="9" t="n"/>
      <c r="N70" s="9" t="n"/>
      <c r="P70" s="9" t="n"/>
    </row>
    <row r="71" spans="1:22">
      <c r="C71" s="70" t="n"/>
      <c r="D71" s="88" t="n"/>
      <c r="F71" s="88" t="n"/>
      <c r="K71" s="88" t="n"/>
      <c r="L71" s="9" t="n"/>
      <c r="N71" s="9" t="n"/>
      <c r="P71" s="9" t="n"/>
    </row>
    <row r="72" spans="1:22">
      <c r="C72" s="70" t="n"/>
      <c r="D72" s="88" t="n"/>
      <c r="F72" s="88" t="n"/>
      <c r="K72" s="88" t="n"/>
      <c r="L72" s="9" t="n"/>
      <c r="N72" s="9" t="n"/>
      <c r="P72" s="9" t="n"/>
      <c r="U72" s="129" t="n"/>
      <c r="V72" s="129" t="n"/>
    </row>
    <row r="73" spans="1:22">
      <c r="C73" s="70" t="n"/>
      <c r="D73" s="88" t="n"/>
      <c r="F73" s="88" t="n"/>
      <c r="K73" s="88" t="n"/>
      <c r="L73" s="9" t="n"/>
      <c r="N73" s="9" t="n"/>
      <c r="P73" s="9" t="n"/>
    </row>
    <row r="74" spans="1:22">
      <c r="C74" s="70" t="n"/>
      <c r="D74" s="88" t="n"/>
      <c r="F74" s="88" t="n"/>
      <c r="K74" s="88" t="n"/>
      <c r="L74" s="9" t="n"/>
      <c r="N74" s="9" t="n"/>
      <c r="P74" s="9" t="n"/>
    </row>
    <row r="75" spans="1:22">
      <c r="C75" s="70" t="n"/>
      <c r="D75" s="88" t="n"/>
      <c r="F75" s="88" t="n"/>
      <c r="K75" s="88" t="n"/>
      <c r="L75" s="9" t="n"/>
      <c r="N75" s="9" t="n"/>
      <c r="P75" s="9" t="n"/>
    </row>
    <row r="76" spans="1:22">
      <c r="C76" s="70" t="n"/>
      <c r="D76" s="88" t="n"/>
      <c r="F76" s="88" t="n"/>
      <c r="K76" s="88" t="n"/>
      <c r="L76" s="9" t="n"/>
      <c r="N76" s="9" t="n"/>
      <c r="P76" s="9" t="n"/>
    </row>
    <row r="77" spans="1:22">
      <c r="C77" s="70" t="n"/>
      <c r="D77" s="88" t="n"/>
      <c r="F77" s="88" t="n"/>
      <c r="K77" s="88" t="n"/>
      <c r="L77" s="9" t="n"/>
      <c r="N77" s="9" t="n"/>
      <c r="P77" s="9" t="n"/>
      <c r="U77" s="129" t="n"/>
      <c r="V77" s="129" t="n"/>
    </row>
    <row r="78" spans="1:22">
      <c r="C78" s="70" t="n"/>
      <c r="D78" s="88" t="n"/>
      <c r="F78" s="88" t="n"/>
      <c r="K78" s="88" t="n"/>
      <c r="L78" s="9" t="n"/>
      <c r="N78" s="9" t="n"/>
      <c r="P78" s="9" t="n"/>
    </row>
    <row r="79" spans="1:22">
      <c r="C79" s="70" t="n"/>
      <c r="D79" s="88" t="n"/>
      <c r="F79" s="88" t="n"/>
      <c r="K79" s="88" t="n"/>
      <c r="L79" s="9" t="n"/>
      <c r="N79" s="9" t="n"/>
      <c r="P79" s="9" t="n"/>
    </row>
    <row r="80" spans="1:22">
      <c r="C80" s="70" t="n"/>
      <c r="D80" s="88" t="n"/>
      <c r="F80" s="88" t="n"/>
      <c r="K80" s="88" t="n"/>
      <c r="L80" s="9" t="n"/>
      <c r="N80" s="9" t="n"/>
      <c r="P80" s="9" t="n"/>
    </row>
    <row r="81" spans="1:22">
      <c r="C81" s="70" t="n"/>
      <c r="D81" s="88" t="n"/>
      <c r="F81" s="88" t="n"/>
      <c r="K81" s="88" t="n"/>
      <c r="L81" s="9" t="n"/>
      <c r="N81" s="9" t="n"/>
      <c r="P81" s="9" t="n"/>
    </row>
    <row r="82" spans="1:22">
      <c r="C82" s="70" t="n"/>
      <c r="D82" s="88" t="n"/>
      <c r="F82" s="88" t="n"/>
      <c r="K82" s="88" t="n"/>
      <c r="L82" s="9" t="n"/>
      <c r="N82" s="9" t="n"/>
      <c r="P82" s="9" t="n"/>
      <c r="U82" s="129" t="n"/>
      <c r="V82" s="129" t="n"/>
    </row>
    <row r="83" spans="1:22">
      <c r="C83" s="70" t="n"/>
      <c r="D83" s="88" t="n"/>
      <c r="F83" s="88" t="n"/>
      <c r="K83" s="88" t="n"/>
      <c r="L83" s="9" t="n"/>
      <c r="N83" s="9" t="n"/>
      <c r="P83" s="9" t="n"/>
    </row>
    <row r="84" spans="1:22">
      <c r="C84" s="70" t="n"/>
      <c r="D84" s="88" t="n"/>
      <c r="F84" s="88" t="n"/>
      <c r="K84" s="88" t="n"/>
      <c r="L84" s="9" t="n"/>
      <c r="N84" s="9" t="n"/>
      <c r="P84" s="9" t="n"/>
    </row>
    <row r="85" spans="1:22">
      <c r="C85" s="70" t="n"/>
      <c r="D85" s="88" t="n"/>
      <c r="F85" s="88" t="n"/>
      <c r="K85" s="88" t="n"/>
      <c r="L85" s="9" t="n"/>
      <c r="N85" s="9" t="n"/>
      <c r="P85" s="9" t="n"/>
    </row>
    <row r="86" spans="1:22">
      <c r="C86" s="70" t="n"/>
      <c r="D86" s="88" t="n"/>
      <c r="F86" s="88" t="n"/>
      <c r="K86" s="88" t="n"/>
      <c r="L86" s="9" t="n"/>
      <c r="N86" s="9" t="n"/>
      <c r="P86" s="9" t="n"/>
    </row>
    <row r="87" spans="1:22">
      <c r="C87" s="70" t="n"/>
      <c r="D87" s="88" t="n"/>
      <c r="F87" s="88" t="n"/>
      <c r="K87" s="88" t="n"/>
      <c r="L87" s="9" t="n"/>
      <c r="N87" s="9" t="n"/>
      <c r="P87" s="9" t="n"/>
      <c r="U87" s="129" t="n"/>
      <c r="V87" s="129" t="n"/>
    </row>
    <row r="88" spans="1:22">
      <c r="C88" s="70" t="n"/>
      <c r="D88" s="88" t="n"/>
      <c r="F88" s="88" t="n"/>
      <c r="K88" s="88" t="n"/>
      <c r="L88" s="9" t="n"/>
      <c r="N88" s="9" t="n"/>
      <c r="P88" s="9" t="n"/>
    </row>
    <row r="89" spans="1:22">
      <c r="C89" s="70" t="n"/>
      <c r="D89" s="88" t="n"/>
      <c r="F89" s="88" t="n"/>
      <c r="K89" s="88" t="n"/>
      <c r="L89" s="9" t="n"/>
      <c r="N89" s="9" t="n"/>
      <c r="P89" s="9" t="n"/>
    </row>
    <row r="90" spans="1:22">
      <c r="C90" s="70" t="n"/>
      <c r="D90" s="88" t="n"/>
      <c r="F90" s="88" t="n"/>
      <c r="K90" s="88" t="n"/>
      <c r="L90" s="9" t="n"/>
      <c r="N90" s="9" t="n"/>
      <c r="P90" s="9" t="n"/>
    </row>
    <row r="91" spans="1:22">
      <c r="C91" s="70" t="n"/>
      <c r="D91" s="88" t="n"/>
      <c r="F91" s="88" t="n"/>
      <c r="K91" s="88" t="n"/>
      <c r="L91" s="9" t="n"/>
      <c r="N91" s="9" t="n"/>
      <c r="P91" s="9" t="n"/>
    </row>
    <row r="92" spans="1:22">
      <c r="C92" s="70" t="n"/>
      <c r="D92" s="88" t="n"/>
      <c r="F92" s="88" t="n"/>
      <c r="K92" s="88" t="n"/>
      <c r="L92" s="9" t="n"/>
      <c r="N92" s="9" t="n"/>
      <c r="P92" s="9" t="n"/>
      <c r="U92" s="129" t="n"/>
      <c r="V92" s="129" t="n"/>
    </row>
    <row r="93" spans="1:22">
      <c r="C93" s="70" t="n"/>
      <c r="D93" s="88" t="n"/>
      <c r="F93" s="88" t="n"/>
      <c r="K93" s="88" t="n"/>
      <c r="L93" s="9" t="n"/>
      <c r="N93" s="9" t="n"/>
      <c r="P93" s="9" t="n"/>
    </row>
    <row r="94" spans="1:22">
      <c r="C94" s="70" t="n"/>
      <c r="D94" s="88" t="n"/>
      <c r="F94" s="88" t="n"/>
      <c r="K94" s="88" t="n"/>
      <c r="L94" s="9" t="n"/>
      <c r="N94" s="9" t="n"/>
      <c r="P94" s="9" t="n"/>
    </row>
    <row r="95" spans="1:22">
      <c r="C95" s="70" t="n"/>
      <c r="D95" s="88" t="n"/>
      <c r="F95" s="88" t="n"/>
      <c r="K95" s="88" t="n"/>
      <c r="L95" s="9" t="n"/>
      <c r="N95" s="9" t="n"/>
      <c r="P95" s="9" t="n"/>
    </row>
    <row r="96" spans="1:22">
      <c r="C96" s="70" t="n"/>
      <c r="D96" s="88" t="n"/>
      <c r="F96" s="88" t="n"/>
      <c r="K96" s="88" t="n"/>
      <c r="L96" s="9" t="n"/>
      <c r="N96" s="9" t="n"/>
      <c r="P96" s="9" t="n"/>
    </row>
    <row r="97" spans="1:22">
      <c r="C97" s="70" t="n"/>
      <c r="D97" s="88" t="n"/>
      <c r="F97" s="88" t="n"/>
      <c r="K97" s="88" t="n"/>
      <c r="L97" s="9" t="n"/>
      <c r="N97" s="9" t="n"/>
      <c r="P97" s="9" t="n"/>
      <c r="U97" s="129" t="n"/>
      <c r="V97" s="129" t="n"/>
    </row>
    <row r="98" spans="1:22">
      <c r="C98" s="70" t="n"/>
      <c r="D98" s="88" t="n"/>
      <c r="F98" s="88" t="n"/>
      <c r="K98" s="88" t="n"/>
      <c r="L98" s="9" t="n"/>
      <c r="N98" s="9" t="n"/>
      <c r="P98" s="9" t="n"/>
    </row>
    <row r="99" spans="1:22">
      <c r="C99" s="70" t="n"/>
      <c r="D99" s="88" t="n"/>
      <c r="F99" s="88" t="n"/>
      <c r="K99" s="88" t="n"/>
      <c r="L99" s="9" t="n"/>
      <c r="N99" s="9" t="n"/>
      <c r="P99" s="9" t="n"/>
    </row>
    <row r="100" spans="1:22">
      <c r="C100" s="70" t="n"/>
      <c r="D100" s="88" t="n"/>
      <c r="F100" s="88" t="n"/>
      <c r="K100" s="88" t="n"/>
      <c r="L100" s="9" t="n"/>
      <c r="N100" s="9" t="n"/>
      <c r="P100" s="9" t="n"/>
    </row>
    <row r="101" spans="1:22">
      <c r="C101" s="70" t="n"/>
      <c r="D101" s="88" t="n"/>
      <c r="F101" s="88" t="n"/>
      <c r="K101" s="88" t="n"/>
      <c r="L101" s="9" t="n"/>
      <c r="N101" s="9" t="n"/>
      <c r="P101" s="9" t="n"/>
    </row>
    <row r="102" spans="1:22">
      <c r="C102" s="70" t="n"/>
      <c r="D102" s="88" t="n"/>
      <c r="F102" s="88" t="n"/>
      <c r="K102" s="88" t="n"/>
      <c r="L102" s="9" t="n"/>
      <c r="N102" s="9" t="n"/>
      <c r="P102" s="9" t="n"/>
      <c r="U102" s="129" t="n"/>
      <c r="V102" s="129" t="n"/>
    </row>
    <row r="103" spans="1:22">
      <c r="C103" s="70" t="n"/>
      <c r="D103" s="88" t="n"/>
      <c r="F103" s="88" t="n"/>
      <c r="K103" s="88" t="n"/>
      <c r="L103" s="9" t="n"/>
      <c r="N103" s="9" t="n"/>
      <c r="P103" s="9" t="n"/>
    </row>
    <row r="104" spans="1:22">
      <c r="C104" s="70" t="n"/>
      <c r="D104" s="88" t="n"/>
      <c r="F104" s="88" t="n"/>
      <c r="K104" s="88" t="n"/>
      <c r="L104" s="9" t="n"/>
      <c r="N104" s="9" t="n"/>
      <c r="P104" s="9" t="n"/>
    </row>
    <row r="105" spans="1:22">
      <c r="C105" s="70" t="n"/>
      <c r="D105" s="88" t="n"/>
      <c r="F105" s="88" t="n"/>
      <c r="K105" s="88" t="n"/>
      <c r="L105" s="9" t="n"/>
      <c r="N105" s="9" t="n"/>
      <c r="P105" s="9" t="n"/>
    </row>
    <row r="106" spans="1:22">
      <c r="C106" s="70" t="n"/>
      <c r="D106" s="88" t="n"/>
      <c r="F106" s="88" t="n"/>
      <c r="K106" s="88" t="n"/>
      <c r="L106" s="9" t="n"/>
      <c r="N106" s="9" t="n"/>
      <c r="P106" s="9" t="n"/>
    </row>
    <row r="107" spans="1:22">
      <c r="C107" s="70" t="n"/>
      <c r="D107" s="88" t="n"/>
      <c r="F107" s="88" t="n"/>
      <c r="K107" s="88" t="n"/>
      <c r="L107" s="9" t="n"/>
      <c r="N107" s="9" t="n"/>
      <c r="P107" s="9" t="n"/>
      <c r="U107" s="129" t="n"/>
      <c r="V107" s="129" t="n"/>
    </row>
    <row r="108" spans="1:22">
      <c r="C108" s="70" t="n"/>
      <c r="D108" s="88" t="n"/>
      <c r="F108" s="88" t="n"/>
      <c r="K108" s="88" t="n"/>
      <c r="L108" s="9" t="n"/>
      <c r="N108" s="9" t="n"/>
      <c r="P108" s="9" t="n"/>
    </row>
    <row r="109" spans="1:22">
      <c r="C109" s="70" t="n"/>
      <c r="D109" s="88" t="n"/>
      <c r="F109" s="88" t="n"/>
      <c r="K109" s="88" t="n"/>
      <c r="L109" s="9" t="n"/>
      <c r="N109" s="9" t="n"/>
      <c r="P109" s="9" t="n"/>
    </row>
    <row r="110" spans="1:22">
      <c r="C110" s="70" t="n"/>
      <c r="D110" s="88" t="n"/>
      <c r="F110" s="88" t="n"/>
      <c r="K110" s="88" t="n"/>
      <c r="L110" s="9" t="n"/>
      <c r="N110" s="9" t="n"/>
      <c r="P110" s="9" t="n"/>
    </row>
    <row r="111" spans="1:22">
      <c r="C111" s="70" t="n"/>
      <c r="D111" s="88" t="n"/>
      <c r="F111" s="88" t="n"/>
      <c r="K111" s="88" t="n"/>
      <c r="L111" s="9" t="n"/>
      <c r="N111" s="9" t="n"/>
      <c r="P111" s="9" t="n"/>
    </row>
    <row r="112" spans="1:22">
      <c r="C112" s="70" t="n"/>
      <c r="D112" s="88" t="n"/>
      <c r="F112" s="88" t="n"/>
      <c r="K112" s="88" t="n"/>
      <c r="L112" s="9" t="n"/>
      <c r="N112" s="9" t="n"/>
      <c r="P112" s="9" t="n"/>
      <c r="U112" s="129" t="n"/>
      <c r="V112" s="129" t="n"/>
    </row>
    <row r="113" spans="1:22">
      <c r="C113" s="70" t="n"/>
      <c r="D113" s="88" t="n"/>
      <c r="F113" s="88" t="n"/>
      <c r="K113" s="88" t="n"/>
      <c r="L113" s="9" t="n"/>
      <c r="N113" s="9" t="n"/>
      <c r="P113" s="9" t="n"/>
    </row>
    <row r="114" spans="1:22">
      <c r="C114" s="70" t="n"/>
      <c r="D114" s="88" t="n"/>
      <c r="F114" s="88" t="n"/>
      <c r="K114" s="88" t="n"/>
      <c r="L114" s="9" t="n"/>
      <c r="N114" s="9" t="n"/>
      <c r="P114" s="9" t="n"/>
    </row>
    <row r="115" spans="1:22">
      <c r="C115" s="70" t="n"/>
      <c r="D115" s="88" t="n"/>
      <c r="F115" s="88" t="n"/>
      <c r="K115" s="88" t="n"/>
      <c r="L115" s="9" t="n"/>
      <c r="N115" s="9" t="n"/>
      <c r="P115" s="9" t="n"/>
    </row>
    <row r="116" spans="1:22">
      <c r="C116" s="70" t="n"/>
      <c r="D116" s="88" t="n"/>
      <c r="F116" s="88" t="n"/>
      <c r="K116" s="88" t="n"/>
      <c r="L116" s="9" t="n"/>
      <c r="N116" s="9" t="n"/>
      <c r="P116" s="9" t="n"/>
    </row>
    <row r="117" spans="1:22">
      <c r="C117" s="70" t="n"/>
      <c r="D117" s="88" t="n"/>
      <c r="F117" s="88" t="n"/>
      <c r="K117" s="88" t="n"/>
      <c r="L117" s="9" t="n"/>
      <c r="N117" s="9" t="n"/>
      <c r="P117" s="9" t="n"/>
      <c r="U117" s="129" t="n"/>
      <c r="V117" s="129" t="n"/>
    </row>
    <row r="118" spans="1:22">
      <c r="C118" s="70" t="n"/>
      <c r="D118" s="88" t="n"/>
      <c r="F118" s="88" t="n"/>
      <c r="K118" s="88" t="n"/>
      <c r="L118" s="9" t="n"/>
      <c r="N118" s="9" t="n"/>
      <c r="P118" s="9" t="n"/>
    </row>
    <row r="119" spans="1:22">
      <c r="C119" s="70" t="n"/>
      <c r="D119" s="88" t="n"/>
      <c r="F119" s="88" t="n"/>
      <c r="K119" s="88" t="n"/>
      <c r="L119" s="9" t="n"/>
      <c r="N119" s="9" t="n"/>
      <c r="P119" s="9" t="n"/>
    </row>
    <row r="120" spans="1:22">
      <c r="C120" s="70" t="n"/>
      <c r="D120" s="88" t="n"/>
      <c r="F120" s="88" t="n"/>
      <c r="K120" s="88" t="n"/>
      <c r="L120" s="9" t="n"/>
      <c r="N120" s="9" t="n"/>
      <c r="P120" s="9" t="n"/>
    </row>
    <row r="121" spans="1:22">
      <c r="C121" s="70" t="n"/>
      <c r="D121" s="88" t="n"/>
      <c r="F121" s="88" t="n"/>
      <c r="K121" s="88" t="n"/>
      <c r="L121" s="9" t="n"/>
      <c r="N121" s="9" t="n"/>
      <c r="P121" s="9" t="n"/>
    </row>
    <row r="122" spans="1:22">
      <c r="C122" s="70" t="n"/>
      <c r="D122" s="88" t="n"/>
      <c r="F122" s="88" t="n"/>
      <c r="K122" s="88" t="n"/>
      <c r="L122" s="9" t="n"/>
      <c r="N122" s="9" t="n"/>
      <c r="P122" s="9" t="n"/>
      <c r="U122" s="129" t="n"/>
      <c r="V122" s="129" t="n"/>
    </row>
    <row r="123" spans="1:22">
      <c r="C123" s="70" t="n"/>
      <c r="D123" s="88" t="n"/>
      <c r="F123" s="88" t="n"/>
      <c r="K123" s="88" t="n"/>
      <c r="L123" s="9" t="n"/>
      <c r="N123" s="9" t="n"/>
      <c r="P123" s="9" t="n"/>
    </row>
    <row r="124" spans="1:22">
      <c r="C124" s="70" t="n"/>
      <c r="D124" s="88" t="n"/>
      <c r="F124" s="88" t="n"/>
      <c r="K124" s="88" t="n"/>
      <c r="L124" s="9" t="n"/>
      <c r="N124" s="9" t="n"/>
      <c r="P124" s="9" t="n"/>
    </row>
    <row r="125" spans="1:22">
      <c r="C125" s="70" t="n"/>
      <c r="D125" s="88" t="n"/>
      <c r="F125" s="88" t="n"/>
      <c r="K125" s="88" t="n"/>
      <c r="L125" s="9" t="n"/>
      <c r="N125" s="9" t="n"/>
      <c r="P125" s="9" t="n"/>
    </row>
    <row r="126" spans="1:22">
      <c r="C126" s="70" t="n"/>
      <c r="D126" s="88" t="n"/>
      <c r="F126" s="88" t="n"/>
      <c r="K126" s="88" t="n"/>
      <c r="L126" s="9" t="n"/>
      <c r="N126" s="9" t="n"/>
      <c r="P126" s="9" t="n"/>
    </row>
    <row r="127" spans="1:22">
      <c r="C127" s="70" t="n"/>
      <c r="D127" s="88" t="n"/>
      <c r="F127" s="88" t="n"/>
      <c r="K127" s="88" t="n"/>
      <c r="L127" s="9" t="n"/>
      <c r="N127" s="9" t="n"/>
      <c r="P127" s="9" t="n"/>
      <c r="U127" s="129" t="n"/>
      <c r="V127" s="129" t="n"/>
    </row>
    <row r="128" spans="1:22">
      <c r="C128" s="70" t="n"/>
      <c r="D128" s="88" t="n"/>
      <c r="F128" s="88" t="n"/>
      <c r="K128" s="88" t="n"/>
      <c r="L128" s="9" t="n"/>
      <c r="N128" s="9" t="n"/>
      <c r="P128" s="9" t="n"/>
    </row>
    <row r="129" spans="1:22">
      <c r="C129" s="70" t="n"/>
      <c r="D129" s="88" t="n"/>
      <c r="F129" s="88" t="n"/>
      <c r="K129" s="88" t="n"/>
      <c r="L129" s="9" t="n"/>
      <c r="N129" s="9" t="n"/>
      <c r="P129" s="9" t="n"/>
    </row>
    <row r="130" spans="1:22">
      <c r="C130" s="70" t="n"/>
      <c r="D130" s="88" t="n"/>
      <c r="F130" s="88" t="n"/>
      <c r="K130" s="88" t="n"/>
      <c r="L130" s="9" t="n"/>
      <c r="N130" s="9" t="n"/>
      <c r="P130" s="9" t="n"/>
    </row>
    <row r="131" spans="1:22">
      <c r="C131" s="70" t="n"/>
      <c r="D131" s="88" t="n"/>
      <c r="F131" s="88" t="n"/>
      <c r="K131" s="88" t="n"/>
      <c r="L131" s="9" t="n"/>
      <c r="N131" s="9" t="n"/>
      <c r="P131" s="9" t="n"/>
    </row>
    <row r="132" spans="1:22">
      <c r="C132" s="70" t="n"/>
      <c r="D132" s="88" t="n"/>
      <c r="F132" s="88" t="n"/>
      <c r="K132" s="88" t="n"/>
      <c r="L132" s="9" t="n"/>
      <c r="N132" s="9" t="n"/>
      <c r="P132" s="9" t="n"/>
      <c r="U132" s="129" t="n"/>
      <c r="V132" s="129" t="n"/>
    </row>
    <row r="133" spans="1:22">
      <c r="C133" s="70" t="n"/>
      <c r="D133" s="88" t="n"/>
      <c r="F133" s="88" t="n"/>
      <c r="K133" s="88" t="n"/>
      <c r="L133" s="9" t="n"/>
      <c r="N133" s="9" t="n"/>
      <c r="P133" s="9" t="n"/>
    </row>
    <row r="134" spans="1:22">
      <c r="C134" s="70" t="n"/>
      <c r="D134" s="88" t="n"/>
      <c r="F134" s="88" t="n"/>
      <c r="K134" s="88" t="n"/>
      <c r="L134" s="9" t="n"/>
      <c r="N134" s="9" t="n"/>
      <c r="P134" s="9" t="n"/>
    </row>
    <row r="135" spans="1:22">
      <c r="C135" s="70" t="n"/>
      <c r="D135" s="88" t="n"/>
      <c r="F135" s="88" t="n"/>
      <c r="K135" s="88" t="n"/>
      <c r="L135" s="9" t="n"/>
      <c r="N135" s="9" t="n"/>
      <c r="P135" s="9" t="n"/>
    </row>
    <row r="136" spans="1:22">
      <c r="C136" s="70" t="n"/>
      <c r="D136" s="88" t="n"/>
      <c r="F136" s="88" t="n"/>
      <c r="K136" s="88" t="n"/>
      <c r="L136" s="9" t="n"/>
      <c r="N136" s="9" t="n"/>
      <c r="P136" s="9" t="n"/>
    </row>
    <row r="137" spans="1:22">
      <c r="C137" s="70" t="n"/>
      <c r="D137" s="88" t="n"/>
      <c r="F137" s="88" t="n"/>
      <c r="K137" s="88" t="n"/>
      <c r="L137" s="9" t="n"/>
      <c r="N137" s="9" t="n"/>
      <c r="P137" s="9" t="n"/>
      <c r="U137" s="129" t="n"/>
      <c r="V137" s="129" t="n"/>
    </row>
    <row r="138" spans="1:22">
      <c r="C138" s="70" t="n"/>
      <c r="D138" s="88" t="n"/>
      <c r="F138" s="88" t="n"/>
      <c r="K138" s="88" t="n"/>
      <c r="L138" s="9" t="n"/>
      <c r="N138" s="9" t="n"/>
      <c r="P138" s="9" t="n"/>
    </row>
    <row r="139" spans="1:22">
      <c r="C139" s="70" t="n"/>
      <c r="D139" s="88" t="n"/>
      <c r="F139" s="88" t="n"/>
      <c r="K139" s="88" t="n"/>
      <c r="L139" s="9" t="n"/>
      <c r="N139" s="9" t="n"/>
      <c r="P139" s="9" t="n"/>
    </row>
    <row r="140" spans="1:22">
      <c r="C140" s="70" t="n"/>
      <c r="D140" s="88" t="n"/>
      <c r="F140" s="88" t="n"/>
      <c r="K140" s="88" t="n"/>
      <c r="L140" s="9" t="n"/>
      <c r="N140" s="9" t="n"/>
      <c r="P140" s="9" t="n"/>
    </row>
    <row r="141" spans="1:22">
      <c r="C141" s="70" t="n"/>
      <c r="D141" s="88" t="n"/>
      <c r="F141" s="88" t="n"/>
      <c r="K141" s="88" t="n"/>
      <c r="L141" s="9" t="n"/>
      <c r="N141" s="9" t="n"/>
      <c r="P141" s="9" t="n"/>
    </row>
    <row r="142" spans="1:22">
      <c r="C142" s="70" t="n"/>
      <c r="D142" s="88" t="n"/>
      <c r="F142" s="88" t="n"/>
      <c r="K142" s="88" t="n"/>
      <c r="L142" s="9" t="n"/>
      <c r="N142" s="9" t="n"/>
      <c r="P142" s="9" t="n"/>
      <c r="U142" s="129" t="n"/>
      <c r="V142" s="129" t="n"/>
    </row>
    <row r="143" spans="1:22">
      <c r="C143" s="70" t="n"/>
      <c r="D143" s="88" t="n"/>
      <c r="F143" s="88" t="n"/>
      <c r="K143" s="88" t="n"/>
      <c r="L143" s="9" t="n"/>
      <c r="N143" s="9" t="n"/>
      <c r="P143" s="9" t="n"/>
    </row>
    <row r="144" spans="1:22">
      <c r="C144" s="70" t="n"/>
      <c r="D144" s="88" t="n"/>
      <c r="F144" s="88" t="n"/>
      <c r="K144" s="88" t="n"/>
      <c r="L144" s="9" t="n"/>
      <c r="N144" s="9" t="n"/>
      <c r="P144" s="9" t="n"/>
    </row>
    <row r="145" spans="1:22">
      <c r="C145" s="70" t="n"/>
      <c r="D145" s="88" t="n"/>
      <c r="F145" s="88" t="n"/>
      <c r="K145" s="88" t="n"/>
      <c r="L145" s="9" t="n"/>
      <c r="N145" s="9" t="n"/>
      <c r="P145" s="9" t="n"/>
    </row>
    <row r="146" spans="1:22">
      <c r="C146" s="70" t="n"/>
      <c r="D146" s="88" t="n"/>
      <c r="F146" s="88" t="n"/>
      <c r="K146" s="88" t="n"/>
      <c r="L146" s="9" t="n"/>
      <c r="N146" s="9" t="n"/>
      <c r="P146" s="9" t="n"/>
    </row>
    <row r="147" spans="1:22">
      <c r="C147" s="70" t="n"/>
      <c r="D147" s="88" t="n"/>
      <c r="F147" s="88" t="n"/>
      <c r="K147" s="88" t="n"/>
      <c r="L147" s="9" t="n"/>
      <c r="N147" s="9" t="n"/>
      <c r="P147" s="9" t="n"/>
      <c r="U147" s="129" t="n"/>
      <c r="V147" s="129" t="n"/>
    </row>
    <row r="148" spans="1:22">
      <c r="C148" s="70" t="n"/>
      <c r="D148" s="88" t="n"/>
      <c r="F148" s="88" t="n"/>
      <c r="K148" s="88" t="n"/>
      <c r="L148" s="9" t="n"/>
      <c r="N148" s="9" t="n"/>
      <c r="P148" s="9" t="n"/>
    </row>
    <row r="149" spans="1:22">
      <c r="C149" s="70" t="n"/>
      <c r="D149" s="88" t="n"/>
      <c r="F149" s="88" t="n"/>
      <c r="K149" s="88" t="n"/>
      <c r="L149" s="9" t="n"/>
      <c r="N149" s="9" t="n"/>
      <c r="P149" s="9" t="n"/>
    </row>
    <row r="150" spans="1:22">
      <c r="C150" s="70" t="n"/>
      <c r="D150" s="88" t="n"/>
      <c r="F150" s="88" t="n"/>
      <c r="K150" s="88" t="n"/>
      <c r="L150" s="9" t="n"/>
      <c r="N150" s="9" t="n"/>
      <c r="P150" s="9" t="n"/>
    </row>
    <row r="151" spans="1:22">
      <c r="C151" s="70" t="n"/>
      <c r="D151" s="88" t="n"/>
      <c r="F151" s="88" t="n"/>
      <c r="K151" s="88" t="n"/>
      <c r="L151" s="9" t="n"/>
      <c r="N151" s="9" t="n"/>
      <c r="P151" s="9" t="n"/>
    </row>
    <row r="152" spans="1:22">
      <c r="C152" s="70" t="n"/>
      <c r="D152" s="88" t="n"/>
      <c r="F152" s="88" t="n"/>
      <c r="K152" s="88" t="n"/>
      <c r="L152" s="9" t="n"/>
      <c r="N152" s="9" t="n"/>
      <c r="P152" s="9" t="n"/>
      <c r="U152" s="129" t="n"/>
      <c r="V152" s="129" t="n"/>
    </row>
    <row r="153" spans="1:22">
      <c r="C153" s="70" t="n"/>
      <c r="D153" s="88" t="n"/>
      <c r="F153" s="88" t="n"/>
      <c r="K153" s="88" t="n"/>
      <c r="L153" s="9" t="n"/>
      <c r="N153" s="9" t="n"/>
      <c r="P153" s="9" t="n"/>
    </row>
    <row r="154" spans="1:22">
      <c r="C154" s="70" t="n"/>
      <c r="D154" s="88" t="n"/>
      <c r="F154" s="88" t="n"/>
      <c r="K154" s="88" t="n"/>
      <c r="L154" s="9" t="n"/>
      <c r="N154" s="9" t="n"/>
      <c r="P154" s="9" t="n"/>
    </row>
    <row r="155" spans="1:22">
      <c r="C155" s="70" t="n"/>
      <c r="D155" s="88" t="n"/>
      <c r="F155" s="88" t="n"/>
      <c r="K155" s="88" t="n"/>
      <c r="L155" s="9" t="n"/>
      <c r="N155" s="9" t="n"/>
      <c r="P155" s="9" t="n"/>
    </row>
    <row r="156" spans="1:22">
      <c r="C156" s="70" t="n"/>
      <c r="D156" s="88" t="n"/>
      <c r="F156" s="88" t="n"/>
      <c r="K156" s="88" t="n"/>
      <c r="L156" s="9" t="n"/>
      <c r="N156" s="9" t="n"/>
      <c r="P156" s="9" t="n"/>
    </row>
    <row r="157" spans="1:22">
      <c r="C157" s="70" t="n"/>
      <c r="D157" s="88" t="n"/>
      <c r="F157" s="88" t="n"/>
      <c r="K157" s="88" t="n"/>
      <c r="L157" s="9" t="n"/>
      <c r="N157" s="9" t="n"/>
      <c r="P157" s="9" t="n"/>
      <c r="U157" s="129" t="n"/>
      <c r="V157" s="129" t="n"/>
    </row>
    <row r="158" spans="1:22">
      <c r="C158" s="70" t="n"/>
      <c r="D158" s="88" t="n"/>
      <c r="F158" s="88" t="n"/>
      <c r="K158" s="88" t="n"/>
      <c r="L158" s="9" t="n"/>
      <c r="N158" s="9" t="n"/>
      <c r="P158" s="9" t="n"/>
    </row>
    <row r="159" spans="1:22">
      <c r="C159" s="70" t="n"/>
      <c r="D159" s="88" t="n"/>
      <c r="F159" s="88" t="n"/>
      <c r="K159" s="88" t="n"/>
      <c r="L159" s="9" t="n"/>
      <c r="N159" s="9" t="n"/>
      <c r="P159" s="9" t="n"/>
    </row>
    <row r="160" spans="1:22">
      <c r="C160" s="70" t="n"/>
      <c r="D160" s="88" t="n"/>
      <c r="F160" s="88" t="n"/>
      <c r="K160" s="88" t="n"/>
      <c r="L160" s="9" t="n"/>
      <c r="N160" s="9" t="n"/>
      <c r="P160" s="9" t="n"/>
    </row>
    <row r="161" spans="1:22">
      <c r="C161" s="70" t="n"/>
      <c r="D161" s="88" t="n"/>
      <c r="F161" s="88" t="n"/>
      <c r="K161" s="88" t="n"/>
      <c r="L161" s="9" t="n"/>
      <c r="N161" s="9" t="n"/>
      <c r="P161" s="9" t="n"/>
    </row>
    <row r="162" spans="1:22">
      <c r="C162" s="70" t="n"/>
      <c r="D162" s="88" t="n"/>
      <c r="F162" s="88" t="n"/>
      <c r="K162" s="88" t="n"/>
      <c r="L162" s="9" t="n"/>
      <c r="N162" s="9" t="n"/>
      <c r="P162" s="9" t="n"/>
      <c r="U162" s="129" t="n"/>
      <c r="V162" s="129" t="n"/>
    </row>
    <row r="163" spans="1:22">
      <c r="C163" s="70" t="n"/>
      <c r="D163" s="88" t="n"/>
      <c r="F163" s="88" t="n"/>
      <c r="K163" s="88" t="n"/>
      <c r="L163" s="9" t="n"/>
      <c r="N163" s="9" t="n"/>
      <c r="P163" s="9" t="n"/>
    </row>
    <row r="164" spans="1:22">
      <c r="C164" s="70" t="n"/>
      <c r="D164" s="88" t="n"/>
      <c r="F164" s="88" t="n"/>
      <c r="K164" s="88" t="n"/>
      <c r="L164" s="9" t="n"/>
      <c r="N164" s="9" t="n"/>
      <c r="P164" s="9" t="n"/>
    </row>
    <row r="165" spans="1:22">
      <c r="C165" s="70" t="n"/>
      <c r="D165" s="88" t="n"/>
      <c r="F165" s="88" t="n"/>
      <c r="K165" s="88" t="n"/>
      <c r="L165" s="9" t="n"/>
      <c r="N165" s="9" t="n"/>
      <c r="P165" s="9" t="n"/>
    </row>
    <row r="166" spans="1:22">
      <c r="C166" s="70" t="n"/>
      <c r="D166" s="88" t="n"/>
      <c r="F166" s="88" t="n"/>
      <c r="K166" s="88" t="n"/>
      <c r="L166" s="9" t="n"/>
      <c r="N166" s="9" t="n"/>
      <c r="P166" s="9" t="n"/>
    </row>
    <row r="167" spans="1:22">
      <c r="C167" s="70" t="n"/>
      <c r="D167" s="88" t="n"/>
      <c r="F167" s="88" t="n"/>
      <c r="K167" s="88" t="n"/>
      <c r="L167" s="9" t="n"/>
      <c r="N167" s="9" t="n"/>
      <c r="P167" s="9" t="n"/>
      <c r="U167" s="129" t="n"/>
      <c r="V167" s="129" t="n"/>
    </row>
    <row r="168" spans="1:22">
      <c r="C168" s="70" t="n"/>
      <c r="D168" s="88" t="n"/>
      <c r="F168" s="88" t="n"/>
      <c r="K168" s="88" t="n"/>
      <c r="L168" s="9" t="n"/>
      <c r="N168" s="9" t="n"/>
      <c r="P168" s="9" t="n"/>
    </row>
    <row r="169" spans="1:22">
      <c r="C169" s="70" t="n"/>
      <c r="D169" s="88" t="n"/>
      <c r="F169" s="88" t="n"/>
      <c r="K169" s="88" t="n"/>
      <c r="L169" s="9" t="n"/>
      <c r="N169" s="9" t="n"/>
      <c r="P169" s="9" t="n"/>
    </row>
    <row r="170" spans="1:22">
      <c r="C170" s="70" t="n"/>
      <c r="D170" s="88" t="n"/>
      <c r="F170" s="88" t="n"/>
      <c r="K170" s="88" t="n"/>
      <c r="L170" s="9" t="n"/>
      <c r="N170" s="9" t="n"/>
      <c r="P170" s="9" t="n"/>
    </row>
    <row r="171" spans="1:22">
      <c r="C171" s="70" t="n"/>
      <c r="D171" s="88" t="n"/>
      <c r="F171" s="88" t="n"/>
      <c r="K171" s="88" t="n"/>
      <c r="L171" s="9" t="n"/>
      <c r="N171" s="9" t="n"/>
      <c r="P171" s="9" t="n"/>
    </row>
    <row r="172" spans="1:22">
      <c r="C172" s="70" t="n"/>
      <c r="D172" s="88" t="n"/>
      <c r="F172" s="88" t="n"/>
      <c r="K172" s="88" t="n"/>
      <c r="L172" s="9" t="n"/>
      <c r="N172" s="9" t="n"/>
      <c r="P172" s="9" t="n"/>
      <c r="U172" s="129" t="n"/>
      <c r="V172" s="129" t="n"/>
    </row>
    <row r="173" spans="1:22">
      <c r="C173" s="70" t="n"/>
      <c r="D173" s="88" t="n"/>
      <c r="F173" s="88" t="n"/>
      <c r="K173" s="88" t="n"/>
      <c r="L173" s="9" t="n"/>
      <c r="N173" s="9" t="n"/>
      <c r="P173" s="9" t="n"/>
    </row>
    <row r="174" spans="1:22">
      <c r="C174" s="70" t="n"/>
      <c r="D174" s="88" t="n"/>
      <c r="F174" s="88" t="n"/>
      <c r="K174" s="88" t="n"/>
      <c r="L174" s="9" t="n"/>
      <c r="N174" s="9" t="n"/>
      <c r="P174" s="9" t="n"/>
    </row>
    <row r="175" spans="1:22">
      <c r="C175" s="70" t="n"/>
      <c r="D175" s="88" t="n"/>
      <c r="F175" s="88" t="n"/>
      <c r="K175" s="88" t="n"/>
      <c r="L175" s="9" t="n"/>
      <c r="N175" s="9" t="n"/>
      <c r="P175" s="9" t="n"/>
    </row>
    <row r="176" spans="1:22">
      <c r="C176" s="70" t="n"/>
      <c r="D176" s="88" t="n"/>
      <c r="F176" s="88" t="n"/>
      <c r="K176" s="88" t="n"/>
      <c r="L176" s="9" t="n"/>
      <c r="N176" s="9" t="n"/>
      <c r="P176" s="9" t="n"/>
    </row>
    <row r="177" spans="1:22">
      <c r="C177" s="70" t="n"/>
      <c r="D177" s="88" t="n"/>
      <c r="F177" s="88" t="n"/>
      <c r="K177" s="88" t="n"/>
      <c r="L177" s="9" t="n"/>
      <c r="N177" s="9" t="n"/>
      <c r="P177" s="9" t="n"/>
      <c r="U177" s="129" t="n"/>
      <c r="V177" s="129" t="n"/>
    </row>
    <row r="178" spans="1:22">
      <c r="C178" s="70" t="n"/>
      <c r="D178" s="88" t="n"/>
      <c r="F178" s="88" t="n"/>
      <c r="K178" s="88" t="n"/>
      <c r="L178" s="9" t="n"/>
      <c r="N178" s="9" t="n"/>
      <c r="P178" s="9" t="n"/>
    </row>
    <row r="179" spans="1:22">
      <c r="C179" s="70" t="n"/>
      <c r="D179" s="88" t="n"/>
      <c r="F179" s="88" t="n"/>
      <c r="K179" s="88" t="n"/>
      <c r="L179" s="9" t="n"/>
      <c r="N179" s="9" t="n"/>
      <c r="P179" s="9" t="n"/>
    </row>
    <row r="180" spans="1:22">
      <c r="C180" s="70" t="n"/>
      <c r="D180" s="88" t="n"/>
      <c r="F180" s="88" t="n"/>
      <c r="K180" s="88" t="n"/>
      <c r="L180" s="9" t="n"/>
      <c r="N180" s="9" t="n"/>
      <c r="P180" s="9" t="n"/>
    </row>
    <row r="181" spans="1:22">
      <c r="C181" s="70" t="n"/>
      <c r="D181" s="88" t="n"/>
      <c r="F181" s="88" t="n"/>
      <c r="K181" s="88" t="n"/>
      <c r="L181" s="9" t="n"/>
      <c r="N181" s="9" t="n"/>
      <c r="P181" s="9" t="n"/>
    </row>
    <row r="182" spans="1:22">
      <c r="C182" s="70" t="n"/>
      <c r="D182" s="88" t="n"/>
      <c r="F182" s="88" t="n"/>
      <c r="K182" s="88" t="n"/>
      <c r="L182" s="9" t="n"/>
      <c r="N182" s="9" t="n"/>
      <c r="P182" s="9" t="n"/>
      <c r="U182" s="129" t="n"/>
      <c r="V182" s="129" t="n"/>
    </row>
    <row r="183" spans="1:22">
      <c r="C183" s="70" t="n"/>
      <c r="D183" s="88" t="n"/>
      <c r="F183" s="88" t="n"/>
      <c r="K183" s="88" t="n"/>
      <c r="L183" s="9" t="n"/>
      <c r="N183" s="9" t="n"/>
      <c r="P183" s="9" t="n"/>
    </row>
    <row r="184" spans="1:22">
      <c r="C184" s="70" t="n"/>
      <c r="D184" s="88" t="n"/>
      <c r="F184" s="88" t="n"/>
      <c r="K184" s="88" t="n"/>
      <c r="L184" s="9" t="n"/>
      <c r="N184" s="9" t="n"/>
      <c r="P184" s="9" t="n"/>
    </row>
    <row r="185" spans="1:22">
      <c r="C185" s="70" t="n"/>
      <c r="D185" s="88" t="n"/>
      <c r="F185" s="88" t="n"/>
      <c r="K185" s="88" t="n"/>
      <c r="L185" s="9" t="n"/>
      <c r="N185" s="9" t="n"/>
      <c r="P185" s="9" t="n"/>
    </row>
    <row r="186" spans="1:22">
      <c r="C186" s="70" t="n"/>
      <c r="D186" s="88" t="n"/>
      <c r="F186" s="88" t="n"/>
      <c r="K186" s="88" t="n"/>
      <c r="L186" s="9" t="n"/>
      <c r="N186" s="9" t="n"/>
      <c r="P186" s="9" t="n"/>
    </row>
    <row r="187" spans="1:22">
      <c r="C187" s="70" t="n"/>
      <c r="D187" s="88" t="n"/>
      <c r="F187" s="88" t="n"/>
      <c r="K187" s="88" t="n"/>
      <c r="L187" s="9" t="n"/>
      <c r="N187" s="9" t="n"/>
      <c r="P187" s="9" t="n"/>
      <c r="U187" s="129" t="n"/>
      <c r="V187" s="129" t="n"/>
    </row>
    <row r="188" spans="1:22">
      <c r="C188" s="70" t="n"/>
      <c r="D188" s="88" t="n"/>
      <c r="F188" s="88" t="n"/>
      <c r="K188" s="88" t="n"/>
      <c r="L188" s="9" t="n"/>
      <c r="N188" s="9" t="n"/>
      <c r="P188" s="9" t="n"/>
    </row>
    <row r="189" spans="1:22">
      <c r="C189" s="70" t="n"/>
      <c r="D189" s="88" t="n"/>
      <c r="F189" s="88" t="n"/>
      <c r="K189" s="88" t="n"/>
      <c r="L189" s="9" t="n"/>
      <c r="N189" s="9" t="n"/>
      <c r="P189" s="9" t="n"/>
    </row>
    <row r="190" spans="1:22">
      <c r="C190" s="70" t="n"/>
      <c r="D190" s="88" t="n"/>
      <c r="F190" s="88" t="n"/>
      <c r="K190" s="88" t="n"/>
      <c r="L190" s="9" t="n"/>
      <c r="N190" s="9" t="n"/>
      <c r="P190" s="9" t="n"/>
    </row>
    <row r="191" spans="1:22">
      <c r="C191" s="70" t="n"/>
      <c r="D191" s="88" t="n"/>
      <c r="F191" s="88" t="n"/>
      <c r="K191" s="88" t="n"/>
      <c r="L191" s="9" t="n"/>
      <c r="N191" s="9" t="n"/>
      <c r="P191" s="9" t="n"/>
    </row>
    <row r="192" spans="1:22">
      <c r="C192" s="70" t="n"/>
      <c r="D192" s="88" t="n"/>
      <c r="F192" s="88" t="n"/>
      <c r="K192" s="88" t="n"/>
      <c r="L192" s="9" t="n"/>
      <c r="N192" s="9" t="n"/>
      <c r="P192" s="9" t="n"/>
      <c r="U192" s="129" t="n"/>
      <c r="V192" s="129" t="n"/>
    </row>
    <row r="193" spans="1:22">
      <c r="C193" s="70" t="n"/>
      <c r="D193" s="88" t="n"/>
      <c r="F193" s="88" t="n"/>
      <c r="K193" s="88" t="n"/>
      <c r="L193" s="9" t="n"/>
      <c r="N193" s="9" t="n"/>
      <c r="P193" s="9" t="n"/>
    </row>
    <row r="194" spans="1:22">
      <c r="C194" s="70" t="n"/>
      <c r="D194" s="88" t="n"/>
      <c r="F194" s="88" t="n"/>
      <c r="K194" s="88" t="n"/>
      <c r="L194" s="9" t="n"/>
      <c r="N194" s="9" t="n"/>
      <c r="P194" s="9" t="n"/>
    </row>
    <row r="195" spans="1:22">
      <c r="C195" s="70" t="n"/>
      <c r="D195" s="88" t="n"/>
      <c r="F195" s="88" t="n"/>
      <c r="K195" s="88" t="n"/>
      <c r="L195" s="9" t="n"/>
      <c r="N195" s="9" t="n"/>
      <c r="P195" s="9" t="n"/>
    </row>
    <row r="196" spans="1:22">
      <c r="C196" s="70" t="n"/>
      <c r="D196" s="88" t="n"/>
      <c r="F196" s="88" t="n"/>
      <c r="K196" s="88" t="n"/>
      <c r="L196" s="9" t="n"/>
      <c r="N196" s="9" t="n"/>
      <c r="P196" s="9" t="n"/>
    </row>
    <row r="197" spans="1:22">
      <c r="C197" s="70" t="n"/>
      <c r="D197" s="88" t="n"/>
      <c r="F197" s="88" t="n"/>
      <c r="K197" s="88" t="n"/>
      <c r="L197" s="9" t="n"/>
      <c r="N197" s="9" t="n"/>
      <c r="P197" s="9" t="n"/>
      <c r="U197" s="129" t="n"/>
      <c r="V197" s="129" t="n"/>
    </row>
    <row r="198" spans="1:22">
      <c r="C198" s="70" t="n"/>
      <c r="D198" s="88" t="n"/>
      <c r="F198" s="88" t="n"/>
      <c r="K198" s="88" t="n"/>
      <c r="L198" s="9" t="n"/>
      <c r="N198" s="9" t="n"/>
      <c r="P198" s="9" t="n"/>
    </row>
    <row r="199" spans="1:22">
      <c r="C199" s="70" t="n"/>
      <c r="D199" s="88" t="n"/>
      <c r="F199" s="88" t="n"/>
      <c r="K199" s="88" t="n"/>
      <c r="L199" s="9" t="n"/>
      <c r="N199" s="9" t="n"/>
      <c r="P199" s="9" t="n"/>
    </row>
    <row r="200" spans="1:22">
      <c r="C200" s="70" t="n"/>
      <c r="D200" s="88" t="n"/>
      <c r="F200" s="88" t="n"/>
      <c r="K200" s="88" t="n"/>
      <c r="L200" s="9" t="n"/>
      <c r="N200" s="9" t="n"/>
      <c r="P200" s="9" t="n"/>
    </row>
    <row r="201" spans="1:22">
      <c r="C201" s="70" t="n"/>
      <c r="D201" s="88" t="n"/>
      <c r="F201" s="88" t="n"/>
      <c r="K201" s="88" t="n"/>
      <c r="L201" s="9" t="n"/>
      <c r="N201" s="9" t="n"/>
      <c r="P201" s="9" t="n"/>
    </row>
    <row r="202" spans="1:22">
      <c r="C202" s="70" t="n"/>
      <c r="D202" s="88" t="n"/>
      <c r="F202" s="88" t="n"/>
      <c r="K202" s="88" t="n"/>
      <c r="L202" s="9" t="n"/>
      <c r="N202" s="9" t="n"/>
      <c r="P202" s="9" t="n"/>
      <c r="U202" s="129" t="n"/>
      <c r="V202" s="129" t="n"/>
    </row>
    <row r="203" spans="1:22">
      <c r="C203" s="70" t="n"/>
      <c r="D203" s="88" t="n"/>
      <c r="F203" s="88" t="n"/>
      <c r="K203" s="88" t="n"/>
      <c r="L203" s="9" t="n"/>
      <c r="N203" s="9" t="n"/>
      <c r="P203" s="9" t="n"/>
    </row>
    <row r="204" spans="1:22">
      <c r="C204" s="70" t="n"/>
      <c r="D204" s="88" t="n"/>
      <c r="F204" s="88" t="n"/>
      <c r="K204" s="88" t="n"/>
      <c r="L204" s="9" t="n"/>
      <c r="N204" s="9" t="n"/>
      <c r="P204" s="9" t="n"/>
    </row>
    <row r="205" spans="1:22">
      <c r="C205" s="70" t="n"/>
      <c r="D205" s="88" t="n"/>
      <c r="F205" s="88" t="n"/>
      <c r="K205" s="88" t="n"/>
      <c r="L205" s="9" t="n"/>
      <c r="N205" s="9" t="n"/>
      <c r="P205" s="9" t="n"/>
    </row>
    <row r="206" spans="1:22">
      <c r="C206" s="70" t="n"/>
      <c r="D206" s="88" t="n"/>
      <c r="F206" s="88" t="n"/>
      <c r="K206" s="88" t="n"/>
      <c r="L206" s="9" t="n"/>
      <c r="N206" s="9" t="n"/>
      <c r="P206" s="9" t="n"/>
    </row>
    <row r="207" spans="1:22">
      <c r="C207" s="70" t="n"/>
      <c r="D207" s="88" t="n"/>
      <c r="F207" s="88" t="n"/>
      <c r="K207" s="88" t="n"/>
      <c r="L207" s="9" t="n"/>
      <c r="N207" s="9" t="n"/>
      <c r="P207" s="9" t="n"/>
      <c r="U207" s="129" t="n"/>
      <c r="V207" s="129" t="n"/>
    </row>
    <row r="208" spans="1:22">
      <c r="C208" s="70" t="n"/>
      <c r="D208" s="88" t="n"/>
      <c r="F208" s="88" t="n"/>
      <c r="K208" s="88" t="n"/>
      <c r="L208" s="9" t="n"/>
      <c r="N208" s="9" t="n"/>
      <c r="P208" s="9" t="n"/>
    </row>
    <row r="209" spans="1:22">
      <c r="C209" s="70" t="n"/>
      <c r="D209" s="88" t="n"/>
      <c r="F209" s="88" t="n"/>
      <c r="K209" s="88" t="n"/>
      <c r="L209" s="9" t="n"/>
      <c r="N209" s="9" t="n"/>
      <c r="P209" s="9" t="n"/>
    </row>
    <row r="210" spans="1:22">
      <c r="C210" s="70" t="n"/>
      <c r="D210" s="88" t="n"/>
      <c r="F210" s="88" t="n"/>
      <c r="K210" s="88" t="n"/>
      <c r="L210" s="9" t="n"/>
      <c r="N210" s="9" t="n"/>
      <c r="P210" s="9" t="n"/>
    </row>
    <row r="211" spans="1:22">
      <c r="C211" s="70" t="n"/>
      <c r="D211" s="88" t="n"/>
      <c r="F211" s="88" t="n"/>
      <c r="K211" s="88" t="n"/>
      <c r="L211" s="9" t="n"/>
      <c r="N211" s="9" t="n"/>
      <c r="P211" s="9" t="n"/>
    </row>
    <row r="212" spans="1:22">
      <c r="C212" s="70" t="n"/>
      <c r="D212" s="88" t="n"/>
      <c r="F212" s="88" t="n"/>
      <c r="K212" s="88" t="n"/>
      <c r="L212" s="9" t="n"/>
      <c r="N212" s="9" t="n"/>
      <c r="P212" s="9" t="n"/>
      <c r="U212" s="129" t="n"/>
      <c r="V212" s="129" t="n"/>
    </row>
    <row r="213" spans="1:22">
      <c r="C213" s="70" t="n"/>
      <c r="D213" s="88" t="n"/>
      <c r="F213" s="88" t="n"/>
      <c r="K213" s="88" t="n"/>
      <c r="L213" s="9" t="n"/>
      <c r="N213" s="9" t="n"/>
      <c r="P213" s="9" t="n"/>
    </row>
    <row r="214" spans="1:22">
      <c r="C214" s="70" t="n"/>
      <c r="D214" s="88" t="n"/>
      <c r="F214" s="88" t="n"/>
      <c r="K214" s="88" t="n"/>
      <c r="L214" s="9" t="n"/>
      <c r="N214" s="9" t="n"/>
      <c r="P214" s="9" t="n"/>
    </row>
    <row r="215" spans="1:22">
      <c r="C215" s="70" t="n"/>
      <c r="D215" s="88" t="n"/>
      <c r="F215" s="88" t="n"/>
      <c r="K215" s="88" t="n"/>
      <c r="L215" s="9" t="n"/>
      <c r="N215" s="9" t="n"/>
      <c r="P215" s="9" t="n"/>
    </row>
    <row r="216" spans="1:22">
      <c r="C216" s="70" t="n"/>
      <c r="D216" s="88" t="n"/>
      <c r="F216" s="88" t="n"/>
      <c r="K216" s="88" t="n"/>
      <c r="L216" s="9" t="n"/>
      <c r="N216" s="9" t="n"/>
      <c r="P216" s="9" t="n"/>
    </row>
    <row r="217" spans="1:22">
      <c r="C217" s="70" t="n"/>
      <c r="D217" s="88" t="n"/>
      <c r="F217" s="88" t="n"/>
      <c r="K217" s="88" t="n"/>
      <c r="L217" s="9" t="n"/>
      <c r="N217" s="9" t="n"/>
      <c r="P217" s="9" t="n"/>
      <c r="U217" s="129" t="n"/>
      <c r="V217" s="129" t="n"/>
    </row>
    <row r="218" spans="1:22">
      <c r="C218" s="70" t="n"/>
      <c r="D218" s="88" t="n"/>
      <c r="F218" s="88" t="n"/>
      <c r="K218" s="88" t="n"/>
      <c r="L218" s="9" t="n"/>
      <c r="N218" s="9" t="n"/>
      <c r="P218" s="9" t="n"/>
    </row>
    <row r="219" spans="1:22">
      <c r="C219" s="70" t="n"/>
      <c r="D219" s="88" t="n"/>
      <c r="F219" s="88" t="n"/>
      <c r="K219" s="88" t="n"/>
      <c r="L219" s="9" t="n"/>
      <c r="N219" s="9" t="n"/>
      <c r="P219" s="9" t="n"/>
    </row>
    <row r="220" spans="1:22">
      <c r="C220" s="70" t="n"/>
      <c r="D220" s="88" t="n"/>
      <c r="F220" s="88" t="n"/>
      <c r="K220" s="88" t="n"/>
      <c r="L220" s="9" t="n"/>
      <c r="N220" s="9" t="n"/>
      <c r="P220" s="9" t="n"/>
    </row>
    <row r="221" spans="1:22">
      <c r="C221" s="70" t="n"/>
      <c r="D221" s="88" t="n"/>
      <c r="F221" s="88" t="n"/>
      <c r="K221" s="88" t="n"/>
      <c r="L221" s="9" t="n"/>
      <c r="N221" s="9" t="n"/>
      <c r="P221" s="9" t="n"/>
    </row>
    <row r="222" spans="1:22">
      <c r="C222" s="70" t="n"/>
      <c r="D222" s="88" t="n"/>
      <c r="F222" s="88" t="n"/>
      <c r="K222" s="88" t="n"/>
      <c r="L222" s="9" t="n"/>
      <c r="N222" s="9" t="n"/>
      <c r="P222" s="9" t="n"/>
      <c r="U222" s="129" t="n"/>
      <c r="V222" s="129" t="n"/>
    </row>
    <row r="223" spans="1:22">
      <c r="C223" s="70" t="n"/>
      <c r="D223" s="88" t="n"/>
      <c r="F223" s="88" t="n"/>
      <c r="K223" s="88" t="n"/>
      <c r="L223" s="9" t="n"/>
      <c r="N223" s="9" t="n"/>
      <c r="P223" s="9" t="n"/>
    </row>
    <row r="224" spans="1:22">
      <c r="C224" s="70" t="n"/>
      <c r="D224" s="88" t="n"/>
      <c r="F224" s="88" t="n"/>
      <c r="K224" s="88" t="n"/>
      <c r="L224" s="9" t="n"/>
      <c r="N224" s="9" t="n"/>
      <c r="P224" s="9" t="n"/>
    </row>
    <row r="225" spans="1:22">
      <c r="C225" s="70" t="n"/>
      <c r="D225" s="88" t="n"/>
      <c r="F225" s="88" t="n"/>
      <c r="K225" s="88" t="n"/>
      <c r="L225" s="9" t="n"/>
      <c r="N225" s="9" t="n"/>
      <c r="P225" s="9" t="n"/>
    </row>
    <row r="226" spans="1:22">
      <c r="C226" s="70" t="n"/>
      <c r="D226" s="88" t="n"/>
      <c r="F226" s="88" t="n"/>
      <c r="K226" s="88" t="n"/>
      <c r="L226" s="9" t="n"/>
      <c r="N226" s="9" t="n"/>
      <c r="P226" s="9" t="n"/>
    </row>
    <row r="227" spans="1:22">
      <c r="C227" s="70" t="n"/>
      <c r="D227" s="88" t="n"/>
      <c r="F227" s="88" t="n"/>
      <c r="K227" s="88" t="n"/>
      <c r="L227" s="9" t="n"/>
      <c r="N227" s="9" t="n"/>
      <c r="P227" s="9" t="n"/>
      <c r="U227" s="129" t="n"/>
      <c r="V227" s="129" t="n"/>
    </row>
    <row r="228" spans="1:22">
      <c r="C228" s="70" t="n"/>
      <c r="D228" s="88" t="n"/>
      <c r="F228" s="88" t="n"/>
      <c r="K228" s="88" t="n"/>
      <c r="L228" s="9" t="n"/>
      <c r="N228" s="9" t="n"/>
      <c r="P228" s="9" t="n"/>
    </row>
    <row r="229" spans="1:22">
      <c r="C229" s="70" t="n"/>
      <c r="D229" s="88" t="n"/>
      <c r="F229" s="88" t="n"/>
      <c r="K229" s="88" t="n"/>
      <c r="L229" s="9" t="n"/>
      <c r="N229" s="9" t="n"/>
      <c r="P229" s="9" t="n"/>
    </row>
    <row r="230" spans="1:22">
      <c r="C230" s="70" t="n"/>
      <c r="D230" s="88" t="n"/>
      <c r="F230" s="88" t="n"/>
      <c r="K230" s="88" t="n"/>
      <c r="L230" s="9" t="n"/>
      <c r="N230" s="9" t="n"/>
      <c r="P230" s="9" t="n"/>
    </row>
    <row r="231" spans="1:22">
      <c r="C231" s="70" t="n"/>
      <c r="D231" s="88" t="n"/>
      <c r="F231" s="88" t="n"/>
      <c r="K231" s="88" t="n"/>
      <c r="L231" s="9" t="n"/>
      <c r="N231" s="9" t="n"/>
      <c r="P231" s="9" t="n"/>
    </row>
    <row r="232" spans="1:22">
      <c r="C232" s="70" t="n"/>
      <c r="D232" s="88" t="n"/>
      <c r="F232" s="88" t="n"/>
      <c r="K232" s="88" t="n"/>
      <c r="L232" s="9" t="n"/>
      <c r="N232" s="9" t="n"/>
      <c r="P232" s="9" t="n"/>
      <c r="U232" s="129" t="n"/>
      <c r="V232" s="129" t="n"/>
    </row>
    <row r="233" spans="1:22">
      <c r="C233" s="70" t="n"/>
      <c r="D233" s="88" t="n"/>
      <c r="F233" s="88" t="n"/>
      <c r="K233" s="88" t="n"/>
      <c r="L233" s="9" t="n"/>
      <c r="N233" s="9" t="n"/>
      <c r="P233" s="9" t="n"/>
    </row>
    <row r="234" spans="1:22">
      <c r="C234" s="70" t="n"/>
      <c r="D234" s="88" t="n"/>
      <c r="F234" s="88" t="n"/>
      <c r="K234" s="88" t="n"/>
      <c r="L234" s="9" t="n"/>
      <c r="N234" s="9" t="n"/>
      <c r="P234" s="9" t="n"/>
    </row>
    <row r="235" spans="1:22">
      <c r="C235" s="70" t="n"/>
      <c r="D235" s="88" t="n"/>
      <c r="F235" s="88" t="n"/>
      <c r="K235" s="88" t="n"/>
      <c r="L235" s="9" t="n"/>
      <c r="N235" s="9" t="n"/>
      <c r="P235" s="9" t="n"/>
    </row>
    <row r="236" spans="1:22">
      <c r="C236" s="70" t="n"/>
      <c r="D236" s="88" t="n"/>
      <c r="F236" s="88" t="n"/>
      <c r="K236" s="88" t="n"/>
      <c r="L236" s="9" t="n"/>
      <c r="N236" s="9" t="n"/>
      <c r="P236" s="9" t="n"/>
    </row>
    <row r="237" spans="1:22">
      <c r="C237" s="70" t="n"/>
      <c r="D237" s="88" t="n"/>
      <c r="F237" s="88" t="n"/>
      <c r="K237" s="88" t="n"/>
      <c r="L237" s="9" t="n"/>
      <c r="N237" s="9" t="n"/>
      <c r="P237" s="9" t="n"/>
      <c r="U237" s="129" t="n"/>
      <c r="V237" s="129" t="n"/>
    </row>
    <row r="238" spans="1:22">
      <c r="C238" s="70" t="n"/>
      <c r="D238" s="88" t="n"/>
      <c r="F238" s="88" t="n"/>
      <c r="K238" s="88" t="n"/>
      <c r="L238" s="9" t="n"/>
      <c r="N238" s="9" t="n"/>
      <c r="P238" s="9" t="n"/>
    </row>
    <row r="239" spans="1:22">
      <c r="C239" s="70" t="n"/>
      <c r="D239" s="88" t="n"/>
      <c r="F239" s="88" t="n"/>
      <c r="K239" s="88" t="n"/>
      <c r="L239" s="9" t="n"/>
      <c r="N239" s="9" t="n"/>
      <c r="P239" s="9" t="n"/>
    </row>
    <row r="240" spans="1:22">
      <c r="C240" s="70" t="n"/>
      <c r="D240" s="88" t="n"/>
      <c r="F240" s="88" t="n"/>
      <c r="K240" s="88" t="n"/>
      <c r="L240" s="9" t="n"/>
      <c r="N240" s="9" t="n"/>
      <c r="P240" s="9" t="n"/>
    </row>
    <row r="241" spans="1:22">
      <c r="C241" s="70" t="n"/>
      <c r="D241" s="88" t="n"/>
      <c r="F241" s="88" t="n"/>
      <c r="K241" s="88" t="n"/>
      <c r="L241" s="9" t="n"/>
      <c r="N241" s="9" t="n"/>
      <c r="P241" s="9" t="n"/>
    </row>
    <row r="242" spans="1:22">
      <c r="C242" s="70" t="n"/>
      <c r="D242" s="88" t="n"/>
      <c r="F242" s="88" t="n"/>
      <c r="K242" s="88" t="n"/>
      <c r="L242" s="9" t="n"/>
      <c r="N242" s="9" t="n"/>
      <c r="P242" s="9" t="n"/>
      <c r="U242" s="129" t="n"/>
      <c r="V242" s="129" t="n"/>
    </row>
    <row r="243" spans="1:22">
      <c r="C243" s="70" t="n"/>
      <c r="D243" s="88" t="n"/>
      <c r="F243" s="88" t="n"/>
      <c r="K243" s="88" t="n"/>
      <c r="L243" s="9" t="n"/>
      <c r="N243" s="9" t="n"/>
      <c r="P243" s="9" t="n"/>
    </row>
    <row r="244" spans="1:22">
      <c r="C244" s="70" t="n"/>
      <c r="D244" s="88" t="n"/>
      <c r="F244" s="88" t="n"/>
      <c r="K244" s="88" t="n"/>
      <c r="L244" s="9" t="n"/>
      <c r="N244" s="9" t="n"/>
      <c r="P244" s="9" t="n"/>
    </row>
    <row r="245" spans="1:22">
      <c r="C245" s="70" t="n"/>
      <c r="D245" s="88" t="n"/>
      <c r="F245" s="88" t="n"/>
      <c r="K245" s="88" t="n"/>
      <c r="L245" s="9" t="n"/>
      <c r="N245" s="9" t="n"/>
      <c r="P245" s="9" t="n"/>
    </row>
    <row r="246" spans="1:22">
      <c r="C246" s="70" t="n"/>
      <c r="D246" s="88" t="n"/>
      <c r="F246" s="88" t="n"/>
      <c r="K246" s="88" t="n"/>
      <c r="L246" s="9" t="n"/>
      <c r="N246" s="9" t="n"/>
      <c r="P246" s="9" t="n"/>
    </row>
    <row r="247" spans="1:22">
      <c r="C247" s="70" t="n"/>
      <c r="D247" s="88" t="n"/>
      <c r="F247" s="88" t="n"/>
      <c r="K247" s="88" t="n"/>
      <c r="L247" s="9" t="n"/>
      <c r="N247" s="9" t="n"/>
      <c r="P247" s="9" t="n"/>
      <c r="U247" s="129" t="n"/>
      <c r="V247" s="129" t="n"/>
    </row>
    <row r="248" spans="1:22">
      <c r="C248" s="70" t="n"/>
      <c r="D248" s="88" t="n"/>
      <c r="F248" s="88" t="n"/>
      <c r="K248" s="88" t="n"/>
      <c r="L248" s="9" t="n"/>
      <c r="N248" s="9" t="n"/>
      <c r="P248" s="9" t="n"/>
    </row>
    <row r="249" spans="1:22">
      <c r="C249" s="70" t="n"/>
      <c r="D249" s="88" t="n"/>
      <c r="F249" s="88" t="n"/>
      <c r="K249" s="88" t="n"/>
      <c r="L249" s="9" t="n"/>
      <c r="N249" s="9" t="n"/>
      <c r="P249" s="9" t="n"/>
    </row>
    <row r="250" spans="1:22">
      <c r="C250" s="70" t="n"/>
      <c r="D250" s="88" t="n"/>
      <c r="F250" s="88" t="n"/>
      <c r="K250" s="88" t="n"/>
      <c r="L250" s="9" t="n"/>
      <c r="N250" s="9" t="n"/>
      <c r="P250" s="9" t="n"/>
    </row>
    <row r="251" spans="1:22">
      <c r="C251" s="70" t="n"/>
      <c r="D251" s="88" t="n"/>
      <c r="F251" s="88" t="n"/>
      <c r="K251" s="88" t="n"/>
      <c r="L251" s="9" t="n"/>
      <c r="N251" s="9" t="n"/>
      <c r="P251" s="9" t="n"/>
    </row>
    <row r="252" spans="1:22">
      <c r="C252" s="70" t="n"/>
      <c r="D252" s="88" t="n"/>
      <c r="F252" s="88" t="n"/>
      <c r="K252" s="88" t="n"/>
      <c r="L252" s="9" t="n"/>
      <c r="N252" s="9" t="n"/>
      <c r="P252" s="9" t="n"/>
      <c r="U252" s="129" t="n"/>
      <c r="V252" s="129" t="n"/>
    </row>
    <row r="253" spans="1:22">
      <c r="C253" s="70" t="n"/>
      <c r="D253" s="88" t="n"/>
      <c r="F253" s="88" t="n"/>
      <c r="K253" s="88" t="n"/>
      <c r="L253" s="9" t="n"/>
      <c r="N253" s="9" t="n"/>
      <c r="P253" s="9" t="n"/>
    </row>
    <row r="254" spans="1:22">
      <c r="C254" s="70" t="n"/>
      <c r="D254" s="88" t="n"/>
      <c r="F254" s="88" t="n"/>
      <c r="K254" s="88" t="n"/>
      <c r="L254" s="9" t="n"/>
      <c r="N254" s="9" t="n"/>
      <c r="P254" s="9" t="n"/>
    </row>
    <row r="255" spans="1:22">
      <c r="C255" s="70" t="n"/>
      <c r="D255" s="88" t="n"/>
      <c r="F255" s="88" t="n"/>
      <c r="K255" s="88" t="n"/>
      <c r="L255" s="9" t="n"/>
      <c r="N255" s="9" t="n"/>
      <c r="P255" s="9" t="n"/>
    </row>
    <row r="256" spans="1:22">
      <c r="C256" s="70" t="n"/>
      <c r="D256" s="88" t="n"/>
      <c r="F256" s="88" t="n"/>
      <c r="K256" s="88" t="n"/>
      <c r="L256" s="9" t="n"/>
      <c r="N256" s="9" t="n"/>
      <c r="P256" s="9" t="n"/>
    </row>
    <row r="257" spans="1:22">
      <c r="C257" s="70" t="n"/>
      <c r="D257" s="88" t="n"/>
      <c r="F257" s="88" t="n"/>
      <c r="K257" s="88" t="n"/>
      <c r="L257" s="9" t="n"/>
      <c r="N257" s="9" t="n"/>
      <c r="P257" s="9" t="n"/>
      <c r="U257" s="129" t="n"/>
      <c r="V257" s="129" t="n"/>
    </row>
    <row r="258" spans="1:22">
      <c r="C258" s="70" t="n"/>
      <c r="D258" s="88" t="n"/>
      <c r="F258" s="88" t="n"/>
      <c r="K258" s="88" t="n"/>
      <c r="L258" s="9" t="n"/>
      <c r="N258" s="9" t="n"/>
      <c r="P258" s="9" t="n"/>
    </row>
    <row r="259" spans="1:22">
      <c r="C259" s="70" t="n"/>
      <c r="D259" s="88" t="n"/>
      <c r="F259" s="88" t="n"/>
      <c r="K259" s="88" t="n"/>
      <c r="L259" s="9" t="n"/>
      <c r="N259" s="9" t="n"/>
      <c r="P259" s="9" t="n"/>
    </row>
    <row r="260" spans="1:22">
      <c r="C260" s="70" t="n"/>
      <c r="D260" s="88" t="n"/>
      <c r="F260" s="88" t="n"/>
      <c r="K260" s="88" t="n"/>
      <c r="L260" s="9" t="n"/>
      <c r="N260" s="9" t="n"/>
      <c r="P260" s="9" t="n"/>
    </row>
    <row r="261" spans="1:22">
      <c r="C261" s="70" t="n"/>
      <c r="D261" s="88" t="n"/>
      <c r="F261" s="88" t="n"/>
      <c r="K261" s="88" t="n"/>
      <c r="L261" s="9" t="n"/>
      <c r="N261" s="9" t="n"/>
      <c r="P261" s="9" t="n"/>
    </row>
    <row r="262" spans="1:22">
      <c r="C262" s="70" t="n"/>
      <c r="D262" s="88" t="n"/>
      <c r="F262" s="88" t="n"/>
      <c r="K262" s="88" t="n"/>
      <c r="L262" s="9" t="n"/>
      <c r="N262" s="9" t="n"/>
      <c r="P262" s="9" t="n"/>
      <c r="U262" s="129" t="n"/>
      <c r="V262" s="129" t="n"/>
    </row>
    <row r="263" spans="1:22">
      <c r="C263" s="70" t="n"/>
      <c r="D263" s="88" t="n"/>
      <c r="F263" s="88" t="n"/>
      <c r="K263" s="88" t="n"/>
      <c r="L263" s="9" t="n"/>
      <c r="N263" s="9" t="n"/>
      <c r="P263" s="9" t="n"/>
    </row>
    <row r="264" spans="1:22">
      <c r="C264" s="70" t="n"/>
      <c r="D264" s="88" t="n"/>
      <c r="F264" s="88" t="n"/>
      <c r="K264" s="88" t="n"/>
      <c r="L264" s="9" t="n"/>
      <c r="N264" s="9" t="n"/>
      <c r="P264" s="9" t="n"/>
    </row>
    <row r="265" spans="1:22">
      <c r="C265" s="70" t="n"/>
      <c r="D265" s="88" t="n"/>
      <c r="F265" s="88" t="n"/>
      <c r="K265" s="88" t="n"/>
      <c r="L265" s="9" t="n"/>
      <c r="N265" s="9" t="n"/>
      <c r="P265" s="9" t="n"/>
    </row>
    <row r="266" spans="1:22">
      <c r="C266" s="70" t="n"/>
      <c r="D266" s="88" t="n"/>
      <c r="F266" s="88" t="n"/>
      <c r="K266" s="88" t="n"/>
      <c r="L266" s="9" t="n"/>
      <c r="N266" s="9" t="n"/>
      <c r="P266" s="9" t="n"/>
    </row>
    <row r="267" spans="1:22">
      <c r="C267" s="70" t="n"/>
      <c r="D267" s="88" t="n"/>
      <c r="F267" s="88" t="n"/>
      <c r="K267" s="88" t="n"/>
      <c r="L267" s="9" t="n"/>
      <c r="N267" s="9" t="n"/>
      <c r="P267" s="9" t="n"/>
      <c r="U267" s="129" t="n"/>
      <c r="V267" s="129" t="n"/>
    </row>
    <row r="268" spans="1:22">
      <c r="C268" s="70" t="n"/>
      <c r="D268" s="88" t="n"/>
      <c r="F268" s="88" t="n"/>
      <c r="K268" s="88" t="n"/>
      <c r="L268" s="9" t="n"/>
      <c r="N268" s="9" t="n"/>
      <c r="P268" s="9" t="n"/>
    </row>
    <row r="269" spans="1:22">
      <c r="C269" s="70" t="n"/>
      <c r="D269" s="88" t="n"/>
      <c r="F269" s="88" t="n"/>
      <c r="K269" s="88" t="n"/>
      <c r="L269" s="9" t="n"/>
      <c r="N269" s="9" t="n"/>
      <c r="P269" s="9" t="n"/>
    </row>
    <row r="270" spans="1:22">
      <c r="C270" s="70" t="n"/>
      <c r="D270" s="88" t="n"/>
      <c r="F270" s="88" t="n"/>
      <c r="K270" s="88" t="n"/>
      <c r="L270" s="9" t="n"/>
      <c r="N270" s="9" t="n"/>
      <c r="P270" s="9" t="n"/>
    </row>
    <row r="271" spans="1:22">
      <c r="C271" s="70" t="n"/>
      <c r="D271" s="88" t="n"/>
      <c r="F271" s="88" t="n"/>
      <c r="K271" s="88" t="n"/>
      <c r="L271" s="9" t="n"/>
      <c r="N271" s="9" t="n"/>
      <c r="P271" s="9" t="n"/>
    </row>
    <row r="272" spans="1:22">
      <c r="C272" s="70" t="n"/>
      <c r="D272" s="88" t="n"/>
      <c r="F272" s="88" t="n"/>
      <c r="K272" s="88" t="n"/>
      <c r="L272" s="9" t="n"/>
      <c r="N272" s="9" t="n"/>
      <c r="P272" s="9" t="n"/>
      <c r="U272" s="129" t="n"/>
      <c r="V272" s="129" t="n"/>
    </row>
    <row r="273" spans="1:22">
      <c r="C273" s="70" t="n"/>
      <c r="D273" s="88" t="n"/>
      <c r="F273" s="88" t="n"/>
      <c r="K273" s="88" t="n"/>
      <c r="L273" s="9" t="n"/>
      <c r="N273" s="9" t="n"/>
      <c r="P273" s="9" t="n"/>
    </row>
    <row r="274" spans="1:22">
      <c r="C274" s="70" t="n"/>
      <c r="D274" s="88" t="n"/>
      <c r="F274" s="88" t="n"/>
      <c r="K274" s="88" t="n"/>
      <c r="L274" s="9" t="n"/>
      <c r="N274" s="9" t="n"/>
      <c r="P274" s="9" t="n"/>
    </row>
    <row r="275" spans="1:22">
      <c r="C275" s="70" t="n"/>
      <c r="D275" s="88" t="n"/>
      <c r="F275" s="88" t="n"/>
      <c r="K275" s="88" t="n"/>
      <c r="L275" s="9" t="n"/>
      <c r="N275" s="9" t="n"/>
      <c r="P275" s="9" t="n"/>
    </row>
    <row r="276" spans="1:22">
      <c r="C276" s="70" t="n"/>
      <c r="D276" s="88" t="n"/>
      <c r="F276" s="88" t="n"/>
      <c r="K276" s="88" t="n"/>
      <c r="L276" s="9" t="n"/>
      <c r="N276" s="9" t="n"/>
      <c r="P276" s="9" t="n"/>
    </row>
    <row r="277" spans="1:22">
      <c r="C277" s="70" t="n"/>
      <c r="D277" s="88" t="n"/>
      <c r="F277" s="88" t="n"/>
      <c r="K277" s="88" t="n"/>
      <c r="L277" s="9" t="n"/>
      <c r="N277" s="9" t="n"/>
      <c r="P277" s="9" t="n"/>
      <c r="U277" s="129" t="n"/>
      <c r="V277" s="129" t="n"/>
    </row>
    <row r="278" spans="1:22">
      <c r="C278" s="70" t="n"/>
      <c r="D278" s="88" t="n"/>
      <c r="F278" s="88" t="n"/>
      <c r="K278" s="88" t="n"/>
      <c r="L278" s="9" t="n"/>
      <c r="N278" s="9" t="n"/>
      <c r="P278" s="9" t="n"/>
    </row>
    <row r="279" spans="1:22">
      <c r="C279" s="70" t="n"/>
      <c r="D279" s="88" t="n"/>
      <c r="F279" s="88" t="n"/>
      <c r="K279" s="88" t="n"/>
      <c r="L279" s="9" t="n"/>
      <c r="N279" s="9" t="n"/>
      <c r="P279" s="9" t="n"/>
    </row>
    <row r="280" spans="1:22">
      <c r="C280" s="70" t="n"/>
      <c r="D280" s="88" t="n"/>
      <c r="F280" s="88" t="n"/>
      <c r="K280" s="88" t="n"/>
      <c r="L280" s="9" t="n"/>
      <c r="N280" s="9" t="n"/>
      <c r="P280" s="9" t="n"/>
    </row>
    <row r="281" spans="1:22">
      <c r="C281" s="70" t="n"/>
      <c r="D281" s="88" t="n"/>
      <c r="F281" s="88" t="n"/>
      <c r="K281" s="88" t="n"/>
      <c r="L281" s="9" t="n"/>
      <c r="N281" s="9" t="n"/>
      <c r="P281" s="9" t="n"/>
    </row>
    <row r="282" spans="1:22">
      <c r="C282" s="70" t="n"/>
      <c r="D282" s="88" t="n"/>
      <c r="F282" s="88" t="n"/>
      <c r="K282" s="88" t="n"/>
      <c r="L282" s="9" t="n"/>
      <c r="N282" s="9" t="n"/>
      <c r="P282" s="9" t="n"/>
    </row>
    <row r="283" spans="1:22">
      <c r="C283" s="70" t="n"/>
      <c r="D283" s="88" t="n"/>
      <c r="F283" s="88" t="n"/>
      <c r="K283" s="88" t="n"/>
      <c r="L283" s="9" t="n"/>
      <c r="N283" s="9" t="n"/>
      <c r="P283" s="9" t="n"/>
    </row>
    <row r="284" spans="1:22">
      <c r="C284" s="70" t="n"/>
      <c r="D284" s="88" t="n"/>
      <c r="F284" s="88" t="n"/>
      <c r="K284" s="88" t="n"/>
      <c r="L284" s="9" t="n"/>
      <c r="N284" s="9" t="n"/>
      <c r="P284" s="9" t="n"/>
    </row>
    <row r="285" spans="1:22">
      <c r="C285" s="70" t="n"/>
      <c r="D285" s="88" t="n"/>
      <c r="F285" s="88" t="n"/>
      <c r="K285" s="88" t="n"/>
      <c r="L285" s="9" t="n"/>
      <c r="N285" s="9" t="n"/>
      <c r="P285" s="9" t="n"/>
    </row>
    <row r="286" spans="1:22">
      <c r="C286" s="70" t="n"/>
      <c r="D286" s="88" t="n"/>
      <c r="F286" s="88" t="n"/>
      <c r="K286" s="88" t="n"/>
      <c r="L286" s="9" t="n"/>
      <c r="N286" s="9" t="n"/>
      <c r="P286" s="9" t="n"/>
    </row>
    <row r="287" spans="1:22">
      <c r="C287" s="70" t="n"/>
      <c r="D287" s="88" t="n"/>
      <c r="F287" s="88" t="n"/>
      <c r="K287" s="88" t="n"/>
      <c r="L287" s="9" t="n"/>
      <c r="N287" s="9" t="n"/>
      <c r="P287" s="9" t="n"/>
    </row>
    <row r="288" spans="1:22">
      <c r="C288" s="70" t="n"/>
      <c r="D288" s="88" t="n"/>
      <c r="F288" s="88" t="n"/>
      <c r="K288" s="88" t="n"/>
      <c r="L288" s="9" t="n"/>
      <c r="N288" s="9" t="n"/>
      <c r="P288" s="9" t="n"/>
    </row>
    <row r="289" spans="1:22">
      <c r="C289" s="70" t="n"/>
      <c r="D289" s="88" t="n"/>
      <c r="F289" s="88" t="n"/>
      <c r="K289" s="88" t="n"/>
      <c r="L289" s="9" t="n"/>
      <c r="N289" s="9" t="n"/>
      <c r="P289" s="9" t="n"/>
    </row>
    <row r="290" spans="1:22">
      <c r="C290" s="70" t="n"/>
      <c r="D290" s="88" t="n"/>
      <c r="F290" s="88" t="n"/>
      <c r="K290" s="88" t="n"/>
      <c r="L290" s="9" t="n"/>
      <c r="N290" s="9" t="n"/>
      <c r="P290" s="9" t="n"/>
    </row>
    <row r="291" spans="1:22">
      <c r="C291" s="70" t="n"/>
      <c r="D291" s="88" t="n"/>
      <c r="F291" s="88" t="n"/>
      <c r="K291" s="88" t="n"/>
      <c r="L291" s="9" t="n"/>
      <c r="N291" s="9" t="n"/>
      <c r="P291" s="9" t="n"/>
    </row>
    <row r="292" spans="1:22">
      <c r="C292" s="70" t="n"/>
      <c r="D292" s="88" t="n"/>
      <c r="F292" s="88" t="n"/>
      <c r="K292" s="88" t="n"/>
      <c r="L292" s="9" t="n"/>
      <c r="N292" s="9" t="n"/>
      <c r="P292" s="9" t="n"/>
    </row>
    <row r="293" spans="1:22">
      <c r="C293" s="70" t="n"/>
      <c r="D293" s="88" t="n"/>
      <c r="F293" s="88" t="n"/>
      <c r="K293" s="88" t="n"/>
      <c r="L293" s="9" t="n"/>
      <c r="N293" s="9" t="n"/>
      <c r="P293" s="9" t="n"/>
    </row>
    <row r="294" spans="1:22">
      <c r="C294" s="70" t="n"/>
      <c r="D294" s="88" t="n"/>
      <c r="F294" s="88" t="n"/>
      <c r="K294" s="88" t="n"/>
      <c r="L294" s="9" t="n"/>
      <c r="N294" s="9" t="n"/>
      <c r="P294" s="9" t="n"/>
    </row>
    <row r="295" spans="1:22">
      <c r="C295" s="70" t="n"/>
      <c r="D295" s="88" t="n"/>
      <c r="F295" s="88" t="n"/>
      <c r="K295" s="88" t="n"/>
      <c r="L295" s="9" t="n"/>
      <c r="N295" s="9" t="n"/>
      <c r="P295" s="9" t="n"/>
    </row>
    <row r="296" spans="1:22">
      <c r="C296" s="70" t="n"/>
      <c r="D296" s="88" t="n"/>
      <c r="F296" s="88" t="n"/>
      <c r="K296" s="88" t="n"/>
      <c r="L296" s="9" t="n"/>
      <c r="N296" s="9" t="n"/>
      <c r="P296" s="9" t="n"/>
    </row>
    <row r="297" spans="1:22">
      <c r="C297" s="70" t="n"/>
      <c r="D297" s="88" t="n"/>
      <c r="F297" s="88" t="n"/>
      <c r="K297" s="88" t="n"/>
      <c r="L297" s="9" t="n"/>
      <c r="N297" s="9" t="n"/>
      <c r="P297" s="9" t="n"/>
    </row>
    <row r="298" spans="1:22">
      <c r="C298" s="70" t="n"/>
      <c r="D298" s="88" t="n"/>
      <c r="F298" s="88" t="n"/>
      <c r="K298" s="88" t="n"/>
      <c r="L298" s="9" t="n"/>
      <c r="N298" s="9" t="n"/>
      <c r="P298" s="9" t="n"/>
    </row>
    <row r="299" spans="1:22">
      <c r="C299" s="70" t="n"/>
      <c r="D299" s="88" t="n"/>
      <c r="F299" s="88" t="n"/>
      <c r="K299" s="88" t="n"/>
      <c r="L299" s="9" t="n"/>
      <c r="N299" s="9" t="n"/>
      <c r="P299" s="9" t="n"/>
    </row>
    <row r="300" spans="1:22">
      <c r="C300" s="70" t="n"/>
      <c r="D300" s="88" t="n"/>
      <c r="F300" s="88" t="n"/>
      <c r="K300" s="88" t="n"/>
      <c r="L300" s="9" t="n"/>
      <c r="N300" s="9" t="n"/>
      <c r="P300" s="9" t="n"/>
    </row>
    <row r="301" spans="1:22">
      <c r="C301" s="70" t="n"/>
      <c r="D301" s="88" t="n"/>
      <c r="F301" s="88" t="n"/>
      <c r="K301" s="88" t="n"/>
      <c r="L301" s="9" t="n"/>
      <c r="N301" s="9" t="n"/>
      <c r="P301" s="9" t="n"/>
    </row>
    <row r="302" spans="1:22">
      <c r="C302" s="70" t="n"/>
      <c r="D302" s="88" t="n"/>
      <c r="F302" s="88" t="n"/>
      <c r="K302" s="88" t="n"/>
      <c r="L302" s="9" t="n"/>
      <c r="N302" s="9" t="n"/>
      <c r="P302" s="9" t="n"/>
    </row>
    <row r="303" spans="1:22">
      <c r="C303" s="70" t="n"/>
      <c r="D303" s="88" t="n"/>
      <c r="F303" s="88" t="n"/>
      <c r="K303" s="88" t="n"/>
      <c r="L303" s="9" t="n"/>
      <c r="N303" s="9" t="n"/>
      <c r="P303" s="9" t="n"/>
    </row>
    <row r="304" spans="1:22">
      <c r="C304" s="70" t="n"/>
      <c r="D304" s="88" t="n"/>
      <c r="F304" s="88" t="n"/>
      <c r="K304" s="88" t="n"/>
      <c r="L304" s="9" t="n"/>
      <c r="N304" s="9" t="n"/>
      <c r="P304" s="9" t="n"/>
    </row>
    <row r="305" spans="1:22">
      <c r="C305" s="70" t="n"/>
      <c r="D305" s="88" t="n"/>
      <c r="F305" s="88" t="n"/>
      <c r="K305" s="88" t="n"/>
      <c r="L305" s="9" t="n"/>
      <c r="N305" s="9" t="n"/>
      <c r="P305" s="9" t="n"/>
    </row>
    <row r="306" spans="1:22">
      <c r="C306" s="70" t="n"/>
      <c r="D306" s="88" t="n"/>
      <c r="F306" s="88" t="n"/>
      <c r="K306" s="88" t="n"/>
      <c r="L306" s="9" t="n"/>
      <c r="N306" s="9" t="n"/>
      <c r="P306" s="9" t="n"/>
    </row>
    <row r="307" spans="1:22">
      <c r="C307" s="70" t="n"/>
      <c r="D307" s="88" t="n"/>
      <c r="F307" s="88" t="n"/>
      <c r="K307" s="88" t="n"/>
      <c r="L307" s="9" t="n"/>
      <c r="N307" s="9" t="n"/>
      <c r="P307" s="9" t="n"/>
    </row>
    <row r="308" spans="1:22">
      <c r="C308" s="70" t="n"/>
      <c r="D308" s="88" t="n"/>
      <c r="F308" s="88" t="n"/>
      <c r="K308" s="88" t="n"/>
      <c r="L308" s="9" t="n"/>
      <c r="N308" s="9" t="n"/>
      <c r="P308" s="9" t="n"/>
    </row>
    <row r="309" spans="1:22">
      <c r="C309" s="70" t="n"/>
      <c r="D309" s="88" t="n"/>
      <c r="F309" s="88" t="n"/>
      <c r="K309" s="88" t="n"/>
      <c r="L309" s="9" t="n"/>
      <c r="N309" s="9" t="n"/>
      <c r="P309" s="9" t="n"/>
    </row>
    <row r="310" spans="1:22">
      <c r="C310" s="70" t="n"/>
      <c r="D310" s="88" t="n"/>
      <c r="F310" s="88" t="n"/>
      <c r="K310" s="88" t="n"/>
      <c r="L310" s="9" t="n"/>
      <c r="N310" s="9" t="n"/>
      <c r="P310" s="9" t="n"/>
    </row>
    <row r="311" spans="1:22">
      <c r="C311" s="70" t="n"/>
      <c r="D311" s="88" t="n"/>
      <c r="F311" s="88" t="n"/>
      <c r="K311" s="88" t="n"/>
      <c r="L311" s="9" t="n"/>
      <c r="N311" s="9" t="n"/>
      <c r="P311" s="9" t="n"/>
    </row>
    <row r="312" spans="1:22">
      <c r="C312" s="70" t="n"/>
      <c r="D312" s="88" t="n"/>
      <c r="F312" s="88" t="n"/>
      <c r="K312" s="88" t="n"/>
      <c r="L312" s="9" t="n"/>
      <c r="N312" s="9" t="n"/>
      <c r="P312" s="9" t="n"/>
    </row>
    <row r="313" spans="1:22">
      <c r="C313" s="70" t="n"/>
      <c r="D313" s="88" t="n"/>
      <c r="F313" s="88" t="n"/>
      <c r="K313" s="88" t="n"/>
      <c r="L313" s="9" t="n"/>
      <c r="N313" s="9" t="n"/>
      <c r="P313" s="9" t="n"/>
    </row>
  </sheetData>
  <conditionalFormatting sqref="E1:E1048576">
    <cfRule priority="8" type="dataBar">
      <dataBar>
        <cfvo type="min"/>
        <cfvo type="max"/>
        <color rgb="FF638EC6"/>
      </dataBar>
    </cfRule>
  </conditionalFormatting>
  <conditionalFormatting sqref="M1:M1048576">
    <cfRule priority="7" type="dataBar">
      <dataBar>
        <cfvo type="min"/>
        <cfvo type="max"/>
        <color rgb="FF638EC6"/>
      </dataBar>
    </cfRule>
  </conditionalFormatting>
  <conditionalFormatting sqref="Q1:S1048576">
    <cfRule priority="6" type="dataBar">
      <dataBar>
        <cfvo type="min"/>
        <cfvo type="max"/>
        <color rgb="FF638EC6"/>
      </dataBar>
    </cfRule>
  </conditionalFormatting>
  <conditionalFormatting sqref="I1:I1048576">
    <cfRule priority="5" type="dataBar">
      <dataBar>
        <cfvo type="min"/>
        <cfvo type="max"/>
        <color rgb="FF638EC6"/>
      </dataBar>
    </cfRule>
  </conditionalFormatting>
  <conditionalFormatting sqref="H1:H1048576">
    <cfRule priority="3" type="dataBar">
      <dataBar>
        <cfvo type="min"/>
        <cfvo type="max"/>
        <color rgb="FF638EC6"/>
      </dataBar>
    </cfRule>
  </conditionalFormatting>
  <conditionalFormatting sqref="J1:J1048576">
    <cfRule priority="1" type="dataBar">
      <dataBar>
        <cfvo type="min"/>
        <cfvo type="max"/>
        <color rgb="FF638EC6"/>
      </dataBar>
    </cfRule>
  </conditionalFormatting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77"/>
  <sheetViews>
    <sheetView topLeftCell="A16" workbookViewId="0" zoomScale="125">
      <pane activePane="topRight" state="frozen" topLeftCell="N1" xSplit="1"/>
      <selection activeCell="V12" pane="topRight" sqref="V12"/>
    </sheetView>
  </sheetViews>
  <sheetFormatPr baseColWidth="10" defaultRowHeight="16" outlineLevelCol="0"/>
  <cols>
    <col customWidth="1" max="1" min="1" style="130" width="19.83203125"/>
    <col bestFit="1" customWidth="1" max="3" min="3" style="130" width="11"/>
    <col customWidth="1" max="4" min="4" style="4" width="14.5"/>
    <col customWidth="1" max="5" min="5" style="16" width="20.6640625"/>
    <col customWidth="1" max="6" min="6" style="4" width="13.33203125"/>
    <col customWidth="1" max="7" min="7" style="4" width="22.83203125"/>
    <col customWidth="1" max="10" min="8" style="16" width="20.6640625"/>
    <col customWidth="1" max="11" min="11" style="4" width="23.1640625"/>
    <col bestFit="1" customWidth="1" max="12" min="12" style="85" width="11"/>
    <col customWidth="1" max="13" min="13" style="18" width="21.1640625"/>
    <col customWidth="1" max="14" min="14" style="85" width="12.33203125"/>
    <col customWidth="1" max="15" min="15" style="85" width="21.1640625"/>
    <col customWidth="1" max="16" min="16" style="85" width="20"/>
    <col customWidth="1" max="17" min="17" style="131" width="15.5"/>
    <col bestFit="1" customWidth="1" max="19" min="18" style="131" width="11"/>
    <col customWidth="1" max="21" min="21" style="130" width="13.33203125"/>
    <col customWidth="1" max="22" min="22" style="131" width="13.33203125"/>
  </cols>
  <sheetData>
    <row customFormat="1" r="1" s="132" spans="1:22">
      <c r="A1" t="s">
        <v>0</v>
      </c>
      <c r="C1" s="132" t="s">
        <v>1</v>
      </c>
      <c r="D1" s="6" t="s">
        <v>2</v>
      </c>
      <c r="E1" s="17" t="s">
        <v>3</v>
      </c>
      <c r="F1" s="6" t="s">
        <v>4</v>
      </c>
      <c r="G1" s="6" t="s">
        <v>5</v>
      </c>
      <c r="H1" s="17" t="s">
        <v>6</v>
      </c>
      <c r="I1" s="17" t="s">
        <v>7</v>
      </c>
      <c r="J1" s="17" t="s">
        <v>8</v>
      </c>
      <c r="K1" s="6" t="s">
        <v>9</v>
      </c>
      <c r="L1" s="10" t="s">
        <v>10</v>
      </c>
      <c r="M1" s="19" t="s">
        <v>11</v>
      </c>
      <c r="N1" s="10" t="s">
        <v>12</v>
      </c>
      <c r="O1" s="10" t="s">
        <v>13</v>
      </c>
      <c r="P1" s="10" t="s">
        <v>14</v>
      </c>
      <c r="Q1" s="128" t="s">
        <v>15</v>
      </c>
      <c r="R1" s="128" t="s">
        <v>16</v>
      </c>
      <c r="S1" s="128" t="s">
        <v>17</v>
      </c>
      <c r="T1" t="s">
        <v>18</v>
      </c>
      <c r="U1" s="127" t="s">
        <v>19</v>
      </c>
      <c r="V1" s="128" t="s">
        <v>20</v>
      </c>
    </row>
    <row r="2" spans="1:22">
      <c r="A2" t="s">
        <v>182</v>
      </c>
      <c r="B2" t="s">
        <v>24</v>
      </c>
      <c r="C2" s="123" t="n">
        <v>16.72408132285739</v>
      </c>
      <c r="D2" s="88" t="n">
        <v>10.66829722917889</v>
      </c>
      <c r="E2" s="16" t="n">
        <v>0.3620996559853995</v>
      </c>
      <c r="F2" s="88" t="n">
        <v>95.60027944100236</v>
      </c>
      <c r="G2" s="88" t="n">
        <v>4.716324717360831</v>
      </c>
      <c r="H2" s="16" t="n">
        <v>-0.2484380930043577</v>
      </c>
      <c r="I2" s="16" t="n">
        <v>0.007055034078055966</v>
      </c>
      <c r="J2" s="16" t="n">
        <v>0.8347449108553902</v>
      </c>
      <c r="K2" s="88" t="n">
        <v>8.961156348318248</v>
      </c>
      <c r="L2" s="9" t="n">
        <v>10.91373336172133</v>
      </c>
      <c r="M2" s="18" t="n">
        <v>0.3474240437467172</v>
      </c>
      <c r="N2" s="9" t="n">
        <v>95.60027944100236</v>
      </c>
      <c r="O2" s="9" t="n">
        <v>4.716324717360831</v>
      </c>
      <c r="P2" s="9" t="n">
        <v>8.75963121623526</v>
      </c>
      <c r="Q2" s="131" t="n">
        <v>0.07398572227614413</v>
      </c>
      <c r="R2" s="131" t="n">
        <v>0.0541736805664091</v>
      </c>
      <c r="S2" s="131" t="n">
        <v>0.03273518083574511</v>
      </c>
      <c r="U2" s="129">
        <f>C2*S2</f>
        <v/>
      </c>
      <c r="V2" s="129">
        <f>Q2*(1-U2)+S2</f>
        <v/>
      </c>
    </row>
    <row r="3" spans="1:22">
      <c r="A3" t="s">
        <v>202</v>
      </c>
      <c r="B3" t="s">
        <v>26</v>
      </c>
      <c r="C3" s="123" t="n">
        <v>30.17510989145365</v>
      </c>
      <c r="D3" s="88" t="n">
        <v>20.63666764051257</v>
      </c>
      <c r="E3" s="16" t="n">
        <v>0.3161029830629584</v>
      </c>
      <c r="F3" s="88" t="n">
        <v>-47.71715707375928</v>
      </c>
      <c r="G3" s="88" t="n">
        <v>-2.581341617160903</v>
      </c>
      <c r="H3" s="16" t="n">
        <v>-0.01414046354357767</v>
      </c>
      <c r="I3" s="16" t="n">
        <v>0.4397781137822097</v>
      </c>
      <c r="J3" s="16" t="n">
        <v>7.595706612474512</v>
      </c>
      <c r="K3" s="88" t="n">
        <v>-2.312251081666114</v>
      </c>
      <c r="L3" s="9" t="n">
        <v>20.63666764051257</v>
      </c>
      <c r="M3" s="18" t="n">
        <v>0.3161029830629584</v>
      </c>
      <c r="N3" s="9" t="n">
        <v>-47.71715707375928</v>
      </c>
      <c r="O3" s="9" t="n">
        <v>-2.581341617160903</v>
      </c>
      <c r="P3" s="9" t="n">
        <v>-2.312251081666114</v>
      </c>
    </row>
    <row r="4" spans="1:22">
      <c r="B4" t="s">
        <v>28</v>
      </c>
      <c r="C4" s="124" t="n">
        <v>1.237343236076576</v>
      </c>
      <c r="D4" s="88" t="n">
        <v>1.034528073770877</v>
      </c>
      <c r="E4" s="16" t="n">
        <v>0.1639118042531149</v>
      </c>
      <c r="F4" s="88" t="n">
        <v>4.210269848472177</v>
      </c>
      <c r="G4" s="88" t="n">
        <v>2.402669304454511</v>
      </c>
      <c r="H4" s="16" t="n">
        <v>0.01300677459076516</v>
      </c>
      <c r="I4" s="16" t="n">
        <v>0.1671493242376076</v>
      </c>
      <c r="J4" s="16" t="n">
        <v>0.8849577682277849</v>
      </c>
      <c r="K4" s="88" t="n">
        <v>4.069749246268064</v>
      </c>
      <c r="L4" s="9" t="n">
        <v>1.034528073770877</v>
      </c>
      <c r="M4" s="18" t="n">
        <v>0.1639118042531149</v>
      </c>
      <c r="N4" s="9" t="n">
        <v>2.206638660955844</v>
      </c>
      <c r="O4" s="9" t="n">
        <v>0.7833682656663266</v>
      </c>
      <c r="P4" s="9" t="n">
        <v>2.132990604027399</v>
      </c>
    </row>
    <row r="5" spans="1:22">
      <c r="B5" t="s">
        <v>29</v>
      </c>
      <c r="C5" s="124" t="n">
        <v>1.634696764315902</v>
      </c>
      <c r="D5" s="88" t="n">
        <v>1.21713554392641</v>
      </c>
      <c r="E5" s="16" t="n">
        <v>0.25543650021491</v>
      </c>
      <c r="F5" s="88" t="n">
        <v>5.126280049505975</v>
      </c>
      <c r="G5" s="88" t="n">
        <v>2.135921084208699</v>
      </c>
      <c r="H5" s="16" t="n">
        <v>0.1545869820799561</v>
      </c>
      <c r="I5" s="16" t="n">
        <v>0.4250868968076165</v>
      </c>
      <c r="J5" s="16" t="n">
        <v>1.198744854075932</v>
      </c>
      <c r="K5" s="88" t="n">
        <v>4.211757741433535</v>
      </c>
      <c r="L5" s="9" t="n">
        <v>1.21713554392641</v>
      </c>
      <c r="M5" s="18" t="n">
        <v>0.25543650021491</v>
      </c>
      <c r="N5" s="9" t="n">
        <v>3.97582796831757</v>
      </c>
      <c r="O5" s="9" t="n">
        <v>1.432150142525913</v>
      </c>
      <c r="P5" s="9" t="n">
        <v>3.266544953154333</v>
      </c>
    </row>
    <row r="6" spans="1:22">
      <c r="C6" s="70" t="n"/>
      <c r="D6" s="88" t="n"/>
      <c r="F6" s="88" t="n"/>
      <c r="G6" s="88" t="n"/>
      <c r="K6" s="88" t="n"/>
      <c r="L6" s="9" t="n"/>
      <c r="N6" s="9" t="n"/>
      <c r="O6" s="9" t="n"/>
      <c r="P6" s="9" t="n"/>
    </row>
    <row r="7" spans="1:22">
      <c r="A7" t="s">
        <v>203</v>
      </c>
      <c r="B7" t="s">
        <v>24</v>
      </c>
      <c r="C7" s="124" t="n">
        <v>22.84029153720263</v>
      </c>
      <c r="D7" s="88" t="n">
        <v>15.47986330857102</v>
      </c>
      <c r="E7" s="16" t="n">
        <v>0.3222563169407373</v>
      </c>
      <c r="F7" s="88" t="n">
        <v>-171.6717095126898</v>
      </c>
      <c r="G7" s="88" t="n">
        <v>-8.516178558100634</v>
      </c>
      <c r="H7" s="16" t="n">
        <v>0.3737102806038455</v>
      </c>
      <c r="I7" s="16" t="n">
        <v>1.186074061989201</v>
      </c>
      <c r="J7" s="16" t="n">
        <v>2.340695477359915</v>
      </c>
      <c r="K7" s="88" t="n">
        <v>-11.09000164217452</v>
      </c>
      <c r="L7" s="9" t="n">
        <v>15.47986330857102</v>
      </c>
      <c r="M7" s="18" t="n">
        <v>0.3222563169407373</v>
      </c>
      <c r="N7" s="9" t="n">
        <v>134.4662847083703</v>
      </c>
      <c r="O7" s="9" t="n">
        <v>4.88724029591958</v>
      </c>
      <c r="P7" s="9" t="n">
        <v>8.686529204293288</v>
      </c>
      <c r="Q7" s="131" t="n">
        <v>0.1166397156413402</v>
      </c>
      <c r="R7" s="131" t="n">
        <v>0.08549639265740387</v>
      </c>
      <c r="S7" s="131" t="n">
        <v>0.01186645313895741</v>
      </c>
      <c r="U7" s="129">
        <f>C7*S7</f>
        <v/>
      </c>
      <c r="V7" s="129">
        <f>Q7*(1-U7)+S7</f>
        <v/>
      </c>
    </row>
    <row r="8" spans="1:22">
      <c r="A8" t="s">
        <v>204</v>
      </c>
      <c r="B8" t="s">
        <v>26</v>
      </c>
      <c r="C8" s="124" t="n">
        <v>30.8207102070835</v>
      </c>
      <c r="D8" s="88" t="n">
        <v>23.43053186771657</v>
      </c>
      <c r="E8" s="16" t="n">
        <v>0.2397796251193606</v>
      </c>
      <c r="F8" s="88" t="n">
        <v>-32.83375687918126</v>
      </c>
      <c r="G8" s="88" t="n">
        <v>-2.065314739945062</v>
      </c>
      <c r="H8" s="16" t="n">
        <v>0.5315131708829435</v>
      </c>
      <c r="I8" s="16" t="n">
        <v>1.808334851425282</v>
      </c>
      <c r="J8" s="16" t="n">
        <v>3.772152914707867</v>
      </c>
      <c r="K8" s="88" t="n">
        <v>-1.401323583457394</v>
      </c>
      <c r="L8" s="9" t="n">
        <v>23.43053186771657</v>
      </c>
      <c r="M8" s="18" t="n">
        <v>0.2397796251193606</v>
      </c>
      <c r="N8" s="9" t="n">
        <v>334.9824647534139</v>
      </c>
      <c r="O8" s="9" t="n">
        <v>9.868745804450189</v>
      </c>
      <c r="P8" s="9" t="n">
        <v>14.29683571182457</v>
      </c>
    </row>
    <row r="9" spans="1:22">
      <c r="B9" t="s">
        <v>28</v>
      </c>
      <c r="C9" s="123" t="n">
        <v>2.664085110064625</v>
      </c>
      <c r="D9" s="88" t="n">
        <v>1.752227533694495</v>
      </c>
      <c r="E9" s="16" t="n">
        <v>0.3422779448468933</v>
      </c>
      <c r="F9" s="88" t="n">
        <v>6.245016571614888</v>
      </c>
      <c r="G9" s="88" t="n">
        <v>1.344150548352187</v>
      </c>
      <c r="H9" s="16" t="n">
        <v>-0.1436933260182165</v>
      </c>
      <c r="I9" s="16" t="n">
        <v>0.1742777516784144</v>
      </c>
      <c r="J9" s="16" t="n">
        <v>0.4888765071514394</v>
      </c>
      <c r="K9" s="88" t="n">
        <v>3.564044310185871</v>
      </c>
      <c r="L9" s="9" t="n">
        <v>1.752227533694495</v>
      </c>
      <c r="M9" s="18" t="n">
        <v>0.3422779448468933</v>
      </c>
      <c r="N9" s="9" t="n">
        <v>6.245016571614888</v>
      </c>
      <c r="O9" s="9" t="n">
        <v>1.344150548352187</v>
      </c>
      <c r="P9" s="9" t="n">
        <v>3.564044310185871</v>
      </c>
    </row>
    <row r="10" spans="1:22">
      <c r="B10" t="s">
        <v>29</v>
      </c>
      <c r="C10" s="123" t="n">
        <v>2.635059541844866</v>
      </c>
      <c r="D10" s="88" t="n">
        <v>1.72811077926915</v>
      </c>
      <c r="E10" s="16" t="n">
        <v>0.3441853013844007</v>
      </c>
      <c r="F10" s="88" t="n">
        <v>6.124062077878875</v>
      </c>
      <c r="G10" s="88" t="n">
        <v>1.324069714793343</v>
      </c>
      <c r="H10" s="16" t="n">
        <v>-0.1679148839306432</v>
      </c>
      <c r="I10" s="16" t="n">
        <v>0.1772380681691643</v>
      </c>
      <c r="J10" s="16" t="n">
        <v>0.4252997870268564</v>
      </c>
      <c r="K10" s="88" t="n">
        <v>3.543790219553433</v>
      </c>
      <c r="L10" s="9" t="n">
        <v>1.770909605944954</v>
      </c>
      <c r="M10" s="18" t="n">
        <v>0.3279432294326453</v>
      </c>
      <c r="N10" s="9" t="n">
        <v>6.124062077878875</v>
      </c>
      <c r="O10" s="9" t="n">
        <v>1.324069714793343</v>
      </c>
      <c r="P10" s="9" t="n">
        <v>3.458144931463675</v>
      </c>
    </row>
    <row r="11" spans="1:22">
      <c r="C11" s="70" t="n"/>
      <c r="D11" s="88" t="n"/>
      <c r="F11" s="88" t="n"/>
      <c r="G11" s="88" t="n"/>
      <c r="K11" s="88" t="n"/>
      <c r="L11" s="9" t="n"/>
      <c r="N11" s="9" t="n"/>
      <c r="O11" s="9" t="n"/>
      <c r="P11" s="9" t="n"/>
    </row>
    <row r="12" spans="1:22">
      <c r="A12" t="s">
        <v>205</v>
      </c>
      <c r="B12" t="s">
        <v>24</v>
      </c>
      <c r="C12" s="124" t="n">
        <v>16.2672626501861</v>
      </c>
      <c r="D12" s="88" t="n">
        <v>11.54992603359958</v>
      </c>
      <c r="E12" s="16" t="n">
        <v>0.2899895771051904</v>
      </c>
      <c r="F12" s="88" t="n">
        <v>-69.8447621196305</v>
      </c>
      <c r="G12" s="88" t="n">
        <v>-5.293578066671928</v>
      </c>
      <c r="H12" s="16" t="n">
        <v>0.829501772151213</v>
      </c>
      <c r="I12" s="16" t="n">
        <v>1.679478488887227</v>
      </c>
      <c r="J12" s="16" t="n">
        <v>17.34730310926398</v>
      </c>
      <c r="K12" s="88" t="n">
        <v>-6.047204277884291</v>
      </c>
      <c r="L12" s="9" t="n">
        <v>11.54992603359958</v>
      </c>
      <c r="M12" s="18" t="n">
        <v>0.2899895771051904</v>
      </c>
      <c r="N12" s="9" t="n">
        <v>-69.8447621196305</v>
      </c>
      <c r="O12" s="9" t="n">
        <v>-5.293578066671928</v>
      </c>
      <c r="P12" s="9" t="n">
        <v>-6.047204277884291</v>
      </c>
      <c r="Q12" s="131" t="n">
        <v>0.121502393602904</v>
      </c>
      <c r="R12" s="131" t="n">
        <v>0.08350945191235891</v>
      </c>
      <c r="S12" s="131" t="n">
        <v>0.01786362404749546</v>
      </c>
      <c r="U12" s="129">
        <f>C12*S12</f>
        <v/>
      </c>
      <c r="V12" s="42">
        <f>Q12*(1-U12)+S12</f>
        <v/>
      </c>
    </row>
    <row r="13" spans="1:22">
      <c r="A13" t="s">
        <v>206</v>
      </c>
      <c r="B13" t="s">
        <v>26</v>
      </c>
      <c r="C13" s="126" t="n">
        <v>26.83105014020373</v>
      </c>
      <c r="D13" s="88" t="n">
        <v>18.84867330398808</v>
      </c>
      <c r="E13" s="16" t="n">
        <v>0.2975051962000859</v>
      </c>
      <c r="F13" s="88" t="n">
        <v>-75.65857907545461</v>
      </c>
      <c r="G13" s="88" t="n">
        <v>-3.819814307681068</v>
      </c>
      <c r="H13" s="16" t="n">
        <v>0.6175402562574683</v>
      </c>
      <c r="I13" s="16" t="n">
        <v>1.723293004148306</v>
      </c>
      <c r="J13" s="16" t="n">
        <v>-55.71516903052434</v>
      </c>
      <c r="K13" s="88" t="n">
        <v>-4.014000235202043</v>
      </c>
      <c r="L13" s="9" t="n">
        <v>18.84867330398808</v>
      </c>
      <c r="M13" s="18" t="n">
        <v>0.2975051962000859</v>
      </c>
      <c r="N13" s="9" t="n">
        <v>-75.65857907545461</v>
      </c>
      <c r="O13" s="9" t="n">
        <v>-3.819814307681068</v>
      </c>
      <c r="P13" s="9" t="n">
        <v>-4.014000235202043</v>
      </c>
    </row>
    <row r="14" spans="1:22">
      <c r="B14" t="s">
        <v>28</v>
      </c>
      <c r="C14" s="123" t="n">
        <v>1.976511349364732</v>
      </c>
      <c r="D14" s="88" t="n">
        <v>1.33431255520824</v>
      </c>
      <c r="E14" s="16" t="n">
        <v>0.3249153081579321</v>
      </c>
      <c r="F14" s="88" t="n">
        <v>3.938847122619181</v>
      </c>
      <c r="G14" s="88" t="n">
        <v>0.9928279814255361</v>
      </c>
      <c r="H14" s="16" t="n">
        <v>-0.1355637626691539</v>
      </c>
      <c r="I14" s="16" t="n">
        <v>0.1415079424810137</v>
      </c>
      <c r="J14" s="16" t="n">
        <v>0.3954335138943135</v>
      </c>
      <c r="K14" s="88" t="n">
        <v>2.951967368698306</v>
      </c>
      <c r="L14" s="9" t="n">
        <v>1.33431255520824</v>
      </c>
      <c r="M14" s="18" t="n">
        <v>0.3249153081579321</v>
      </c>
      <c r="N14" s="9" t="n">
        <v>3.898976152734181</v>
      </c>
      <c r="O14" s="9" t="n">
        <v>0.9726555853005077</v>
      </c>
      <c r="P14" s="9" t="n">
        <v>2.922086086588375</v>
      </c>
    </row>
    <row r="15" spans="1:22">
      <c r="B15" t="s">
        <v>29</v>
      </c>
      <c r="C15" s="123" t="n">
        <v>2.240646291441434</v>
      </c>
      <c r="D15" s="88" t="n">
        <v>1.537093365259617</v>
      </c>
      <c r="E15" s="16" t="n">
        <v>0.313995532837632</v>
      </c>
      <c r="F15" s="88" t="n">
        <v>4.839859246167411</v>
      </c>
      <c r="G15" s="88" t="n">
        <v>1.160028231432223</v>
      </c>
      <c r="H15" s="16" t="n">
        <v>-0.1630897997012152</v>
      </c>
      <c r="I15" s="16" t="n">
        <v>0.1870120393439014</v>
      </c>
      <c r="J15" s="16" t="n">
        <v>0.4188059826164272</v>
      </c>
      <c r="K15" s="88" t="n">
        <v>3.148708696267095</v>
      </c>
      <c r="L15" s="9" t="n">
        <v>1.572514193476083</v>
      </c>
      <c r="M15" s="18" t="n">
        <v>0.2981872241582291</v>
      </c>
      <c r="N15" s="9" t="n">
        <v>4.839859246167411</v>
      </c>
      <c r="O15" s="9" t="n">
        <v>1.160028231432223</v>
      </c>
      <c r="P15" s="9" t="n">
        <v>3.077784140993207</v>
      </c>
    </row>
    <row r="16" spans="1:22">
      <c r="C16" s="70" t="n"/>
      <c r="D16" s="88" t="n"/>
      <c r="F16" s="88" t="n"/>
      <c r="G16" s="88" t="n"/>
      <c r="K16" s="88" t="n"/>
      <c r="L16" s="9" t="n"/>
      <c r="N16" s="9" t="n"/>
      <c r="O16" s="9" t="n"/>
      <c r="P16" s="9" t="n"/>
    </row>
    <row r="17" spans="1:22">
      <c r="A17" t="s">
        <v>207</v>
      </c>
      <c r="B17" t="s">
        <v>24</v>
      </c>
      <c r="C17" s="123" t="n">
        <v>36.2697552790123</v>
      </c>
      <c r="D17" s="88" t="n">
        <v>18.39442662075226</v>
      </c>
      <c r="E17" s="16" t="n">
        <v>0.4928439279711296</v>
      </c>
      <c r="F17" s="88" t="n">
        <v>122.9382775455254</v>
      </c>
      <c r="G17" s="88" t="n">
        <v>2.389553543987223</v>
      </c>
      <c r="H17" s="16" t="n">
        <v>-0.2026560028452805</v>
      </c>
      <c r="I17" s="16" t="n">
        <v>0.09873228233717435</v>
      </c>
      <c r="J17" s="16" t="n">
        <v>0.9025687917175571</v>
      </c>
      <c r="K17" s="88" t="n">
        <v>6.683452552243661</v>
      </c>
      <c r="L17" s="9" t="n">
        <v>26.57457439513047</v>
      </c>
      <c r="M17" s="18" t="n">
        <v>0.2673075902856173</v>
      </c>
      <c r="N17" s="9" t="n">
        <v>122.9382775455254</v>
      </c>
      <c r="O17" s="9" t="n">
        <v>2.389553543987223</v>
      </c>
      <c r="P17" s="9" t="n">
        <v>4.626161673093536</v>
      </c>
      <c r="Q17" s="131" t="n">
        <v>0.06866638911972794</v>
      </c>
      <c r="R17" s="131" t="n">
        <v>0.04863012934780864</v>
      </c>
      <c r="S17" s="131" t="n">
        <v>0.009662811635139939</v>
      </c>
      <c r="U17" s="129">
        <f>C17*S17</f>
        <v/>
      </c>
      <c r="V17" s="129">
        <f>Q17*(1-U17)+S17</f>
        <v/>
      </c>
    </row>
    <row r="18" spans="1:22">
      <c r="A18" t="s">
        <v>208</v>
      </c>
      <c r="B18" t="s">
        <v>26</v>
      </c>
      <c r="C18" s="123" t="n">
        <v>51.58705256089765</v>
      </c>
      <c r="D18" s="88" t="n">
        <v>27.41447995432654</v>
      </c>
      <c r="E18" s="16" t="n">
        <v>0.4685782847941504</v>
      </c>
      <c r="F18" s="88" t="n">
        <v>160.0970583419219</v>
      </c>
      <c r="G18" s="88" t="n">
        <v>2.103434881318913</v>
      </c>
      <c r="H18" s="16" t="n">
        <v>-0.2035166692934616</v>
      </c>
      <c r="I18" s="16" t="n">
        <v>0.2072120988079571</v>
      </c>
      <c r="J18" s="16" t="n">
        <v>0.8492989618435547</v>
      </c>
      <c r="K18" s="88" t="n">
        <v>5.83987216276395</v>
      </c>
      <c r="L18" s="9" t="n">
        <v>35.04853763353255</v>
      </c>
      <c r="M18" s="18" t="n">
        <v>0.3205942984984781</v>
      </c>
      <c r="N18" s="9" t="n">
        <v>160.0970583419219</v>
      </c>
      <c r="O18" s="9" t="n">
        <v>2.103434881318913</v>
      </c>
      <c r="P18" s="9" t="n">
        <v>4.567866996788752</v>
      </c>
    </row>
    <row r="19" spans="1:22">
      <c r="B19" t="s">
        <v>28</v>
      </c>
      <c r="C19" s="123" t="n">
        <v>2.490513129265965</v>
      </c>
      <c r="D19" s="88" t="n">
        <v>1.706841437038863</v>
      </c>
      <c r="E19" s="16" t="n">
        <v>0.3146627427971342</v>
      </c>
      <c r="F19" s="88" t="n">
        <v>6.720994659560492</v>
      </c>
      <c r="G19" s="88" t="n">
        <v>1.69863851773445</v>
      </c>
      <c r="H19" s="16" t="n">
        <v>-0.1231745015174321</v>
      </c>
      <c r="I19" s="16" t="n">
        <v>0.238863725020152</v>
      </c>
      <c r="J19" s="16" t="n">
        <v>0.7135054091229553</v>
      </c>
      <c r="K19" s="88" t="n">
        <v>3.937679572169575</v>
      </c>
      <c r="L19" s="9" t="n">
        <v>1.749043820942801</v>
      </c>
      <c r="M19" s="18" t="n">
        <v>0.2977174862522003</v>
      </c>
      <c r="N19" s="9" t="n">
        <v>6.720994659560492</v>
      </c>
      <c r="O19" s="9" t="n">
        <v>1.69863851773445</v>
      </c>
      <c r="P19" s="9" t="n">
        <v>3.842667964681194</v>
      </c>
    </row>
    <row r="20" spans="1:22">
      <c r="B20" t="s">
        <v>29</v>
      </c>
      <c r="C20" s="123" t="n">
        <v>2.508685038708656</v>
      </c>
      <c r="D20" s="88" t="n">
        <v>1.658192280156108</v>
      </c>
      <c r="E20" s="16" t="n">
        <v>0.3390193449674089</v>
      </c>
      <c r="F20" s="88" t="n">
        <v>7.049839969712198</v>
      </c>
      <c r="G20" s="88" t="n">
        <v>1.810173401975204</v>
      </c>
      <c r="H20" s="16" t="n">
        <v>-0.09222665696246368</v>
      </c>
      <c r="I20" s="16" t="n">
        <v>0.334063735235502</v>
      </c>
      <c r="J20" s="16" t="n">
        <v>0.6739993955368084</v>
      </c>
      <c r="K20" s="88" t="n">
        <v>4.251521403204519</v>
      </c>
      <c r="L20" s="9" t="n">
        <v>1.658192280156108</v>
      </c>
      <c r="M20" s="18" t="n">
        <v>0.3390193449674089</v>
      </c>
      <c r="N20" s="9" t="n">
        <v>7.049839969712198</v>
      </c>
      <c r="O20" s="9" t="n">
        <v>1.810173401975204</v>
      </c>
      <c r="P20" s="9" t="n">
        <v>4.251521403204519</v>
      </c>
    </row>
    <row r="21" spans="1:22">
      <c r="C21" s="70" t="n"/>
      <c r="D21" s="88" t="n"/>
      <c r="F21" s="88" t="n"/>
      <c r="G21" s="88" t="n"/>
      <c r="K21" s="88" t="n"/>
      <c r="L21" s="9" t="n"/>
      <c r="N21" s="9" t="n"/>
      <c r="O21" s="9" t="n"/>
      <c r="P21" s="9" t="n"/>
    </row>
    <row r="22" spans="1:22">
      <c r="A22" t="s">
        <v>209</v>
      </c>
      <c r="B22" t="s">
        <v>24</v>
      </c>
      <c r="C22" s="123" t="n">
        <v>15.64667065172294</v>
      </c>
      <c r="D22" s="88" t="n">
        <v>10.53659977023243</v>
      </c>
      <c r="E22" s="16" t="n">
        <v>0.326591579463444</v>
      </c>
      <c r="F22" s="88" t="n">
        <v>55.50981121274816</v>
      </c>
      <c r="G22" s="88" t="n">
        <v>2.54770752502774</v>
      </c>
      <c r="H22" s="16" t="n">
        <v>-0.1409907438364791</v>
      </c>
      <c r="I22" s="16" t="n">
        <v>0.2605298145152941</v>
      </c>
      <c r="J22" s="16" t="n">
        <v>0.5774342015595979</v>
      </c>
      <c r="K22" s="88" t="n">
        <v>5.268285065697589</v>
      </c>
      <c r="L22" s="9" t="n">
        <v>10.53659977023243</v>
      </c>
      <c r="M22" s="18" t="n">
        <v>0.326591579463444</v>
      </c>
      <c r="N22" s="9" t="n">
        <v>38.60320248617595</v>
      </c>
      <c r="O22" s="9" t="n">
        <v>1.467183169214669</v>
      </c>
      <c r="P22" s="9" t="n">
        <v>3.663724856972943</v>
      </c>
      <c r="Q22" s="131" t="n">
        <v>0.1044762271229566</v>
      </c>
      <c r="R22" s="131" t="n">
        <v>0.07036941385709504</v>
      </c>
      <c r="S22" s="131" t="n">
        <v>0.01333668442007852</v>
      </c>
      <c r="U22" s="129">
        <f>C22*S22</f>
        <v/>
      </c>
      <c r="V22" s="129">
        <f>Q22*(1-U22)+S22</f>
        <v/>
      </c>
    </row>
    <row r="23" spans="1:22">
      <c r="A23" t="s">
        <v>210</v>
      </c>
      <c r="B23" t="s">
        <v>26</v>
      </c>
      <c r="C23" s="123" t="n">
        <v>33.42763921562936</v>
      </c>
      <c r="D23" s="88" t="n">
        <v>20.05351763937435</v>
      </c>
      <c r="E23" s="16" t="n">
        <v>0.4000917172159089</v>
      </c>
      <c r="F23" s="88" t="n">
        <v>80.10040873129947</v>
      </c>
      <c r="G23" s="88" t="n">
        <v>1.396232896215055</v>
      </c>
      <c r="H23" s="16" t="n">
        <v>-0.1966763317468152</v>
      </c>
      <c r="I23" s="16" t="n">
        <v>0.1994108450240937</v>
      </c>
      <c r="J23" s="16" t="n">
        <v>0.6856878951342857</v>
      </c>
      <c r="K23" s="88" t="n">
        <v>3.994332075387375</v>
      </c>
      <c r="L23" s="9" t="n">
        <v>21.62038839756134</v>
      </c>
      <c r="M23" s="18" t="n">
        <v>0.3532182078998699</v>
      </c>
      <c r="N23" s="9" t="n">
        <v>80.10040873129947</v>
      </c>
      <c r="O23" s="9" t="n">
        <v>1.396232896215055</v>
      </c>
      <c r="P23" s="9" t="n">
        <v>3.704855216215003</v>
      </c>
    </row>
    <row r="24" spans="1:22">
      <c r="B24" t="s">
        <v>28</v>
      </c>
      <c r="C24" s="123" t="n">
        <v>1.634705116727504</v>
      </c>
      <c r="D24" s="88" t="n">
        <v>1.265453157075164</v>
      </c>
      <c r="E24" s="16" t="n">
        <v>0.2258829166642244</v>
      </c>
      <c r="F24" s="88" t="n">
        <v>4.267679572897081</v>
      </c>
      <c r="G24" s="88" t="n">
        <v>1.610672426009466</v>
      </c>
      <c r="H24" s="16" t="n">
        <v>-0.06038111468459006</v>
      </c>
      <c r="I24" s="16" t="n">
        <v>0.2972872025932725</v>
      </c>
      <c r="J24" s="16" t="n">
        <v>0.6065989811200858</v>
      </c>
      <c r="K24" s="88" t="n">
        <v>3.372451638400388</v>
      </c>
      <c r="L24" s="9" t="n">
        <v>1.265453157075164</v>
      </c>
      <c r="M24" s="18" t="n">
        <v>0.2258829166642244</v>
      </c>
      <c r="N24" s="9" t="n">
        <v>4.267679572897081</v>
      </c>
      <c r="O24" s="9" t="n">
        <v>1.610672426009466</v>
      </c>
      <c r="P24" s="9" t="n">
        <v>3.372451638400388</v>
      </c>
    </row>
    <row r="25" spans="1:22">
      <c r="B25" t="s">
        <v>29</v>
      </c>
      <c r="C25" s="123" t="n">
        <v>2.352283378230282</v>
      </c>
      <c r="D25" s="88" t="n">
        <v>1.646296563092268</v>
      </c>
      <c r="E25" s="16" t="n">
        <v>0.3001283015778295</v>
      </c>
      <c r="F25" s="88" t="n">
        <v>6.453580430539966</v>
      </c>
      <c r="G25" s="88" t="n">
        <v>1.74353867831828</v>
      </c>
      <c r="H25" s="16" t="n">
        <v>-0.02895917635385836</v>
      </c>
      <c r="I25" s="16" t="n">
        <v>0.3344328937044505</v>
      </c>
      <c r="J25" s="16" t="n">
        <v>0.5854742397613986</v>
      </c>
      <c r="K25" s="88" t="n">
        <v>3.920059468761868</v>
      </c>
      <c r="L25" s="9" t="n">
        <v>1.646296563092268</v>
      </c>
      <c r="M25" s="18" t="n">
        <v>0.3001283015778295</v>
      </c>
      <c r="N25" s="9" t="n">
        <v>6.453580430539966</v>
      </c>
      <c r="O25" s="9" t="n">
        <v>1.74353867831828</v>
      </c>
      <c r="P25" s="9" t="n">
        <v>3.920059468761868</v>
      </c>
    </row>
    <row r="26" spans="1:22">
      <c r="C26" s="70" t="n"/>
      <c r="D26" s="88" t="n"/>
      <c r="F26" s="88" t="n"/>
      <c r="G26" s="88" t="n"/>
      <c r="K26" s="88" t="n"/>
      <c r="L26" s="9" t="n"/>
      <c r="N26" s="9" t="n"/>
      <c r="O26" s="9" t="n"/>
      <c r="P26" s="9" t="n"/>
    </row>
    <row r="27" spans="1:22">
      <c r="A27" t="s">
        <v>211</v>
      </c>
      <c r="B27" t="s">
        <v>24</v>
      </c>
      <c r="C27" s="125" t="n">
        <v>22.87495747010347</v>
      </c>
      <c r="D27" s="88" t="n">
        <v>12.50106897941502</v>
      </c>
      <c r="E27" s="16" t="n">
        <v>0.4535041651660621</v>
      </c>
      <c r="F27" s="88" t="n">
        <v>-81.00660566010421</v>
      </c>
      <c r="G27" s="88" t="n">
        <v>-4.541278962637468</v>
      </c>
      <c r="H27" s="16" t="n">
        <v>-0.2458414859366815</v>
      </c>
      <c r="I27" s="16" t="n">
        <v>-0.06486909753912073</v>
      </c>
      <c r="J27" s="16" t="n">
        <v>0.2560141011073735</v>
      </c>
      <c r="K27" s="88" t="n">
        <v>-6.479974296077748</v>
      </c>
      <c r="L27" s="9" t="n">
        <v>15.18650817631313</v>
      </c>
      <c r="M27" s="18" t="n">
        <v>0.3361076978542494</v>
      </c>
      <c r="N27" s="9" t="n">
        <v>40.14765853144507</v>
      </c>
      <c r="O27" s="9" t="n">
        <v>0.7550921606702981</v>
      </c>
      <c r="P27" s="9" t="n">
        <v>2.643639872005906</v>
      </c>
      <c r="Q27" s="131" t="n">
        <v>0.08306072134213072</v>
      </c>
      <c r="R27" s="131" t="n">
        <v>0.07131550363632987</v>
      </c>
      <c r="S27" s="131" t="n">
        <v>0.0149130801674428</v>
      </c>
      <c r="U27" s="129">
        <f>C27*S27</f>
        <v/>
      </c>
      <c r="V27" s="129">
        <f>Q27*(1-U27)+S27</f>
        <v/>
      </c>
    </row>
    <row r="28" spans="1:22">
      <c r="A28" t="s">
        <v>212</v>
      </c>
      <c r="B28" t="s">
        <v>26</v>
      </c>
      <c r="C28" s="123" t="n">
        <v>25.38522303488833</v>
      </c>
      <c r="D28" s="88" t="n">
        <v>16.1585834992559</v>
      </c>
      <c r="E28" s="16" t="n">
        <v>0.3634649781470009</v>
      </c>
      <c r="F28" s="88" t="n">
        <v>90.36384291399132</v>
      </c>
      <c r="G28" s="88" t="n">
        <v>2.559702539930385</v>
      </c>
      <c r="H28" s="16" t="n">
        <v>-0.2034429013572671</v>
      </c>
      <c r="I28" s="16" t="n">
        <v>0.04012744261523893</v>
      </c>
      <c r="J28" s="16" t="n">
        <v>0.3916583200418304</v>
      </c>
      <c r="K28" s="88" t="n">
        <v>5.592312155217848</v>
      </c>
      <c r="L28" s="9" t="n">
        <v>16.86599966668487</v>
      </c>
      <c r="M28" s="18" t="n">
        <v>0.3355977355997628</v>
      </c>
      <c r="N28" s="9" t="n">
        <v>54.01791918179669</v>
      </c>
      <c r="O28" s="9" t="n">
        <v>1.127927696658676</v>
      </c>
      <c r="P28" s="9" t="n">
        <v>3.202770084746141</v>
      </c>
    </row>
    <row r="29" spans="1:22">
      <c r="B29" t="s">
        <v>28</v>
      </c>
      <c r="C29" s="123" t="n">
        <v>1.900010468137356</v>
      </c>
      <c r="D29" s="88" t="n">
        <v>1.05001699750511</v>
      </c>
      <c r="E29" s="16" t="n">
        <v>0.4473625197789163</v>
      </c>
      <c r="F29" s="88" t="n">
        <v>3.870618089370855</v>
      </c>
      <c r="G29" s="88" t="n">
        <v>1.037156191652645</v>
      </c>
      <c r="H29" s="16" t="n">
        <v>-0.2719927582926438</v>
      </c>
      <c r="I29" s="16" t="n">
        <v>0.02560011566438236</v>
      </c>
      <c r="J29" s="16" t="n">
        <v>0.3668220012443257</v>
      </c>
      <c r="K29" s="88" t="n">
        <v>3.686243268982908</v>
      </c>
      <c r="L29" s="9" t="n">
        <v>1.197440827573006</v>
      </c>
      <c r="M29" s="18" t="n">
        <v>0.369771457761021</v>
      </c>
      <c r="N29" s="9" t="n">
        <v>3.870618089370855</v>
      </c>
      <c r="O29" s="9" t="n">
        <v>1.037156191652645</v>
      </c>
      <c r="P29" s="9" t="n">
        <v>3.232408650384747</v>
      </c>
    </row>
    <row r="30" spans="1:22">
      <c r="B30" t="s">
        <v>29</v>
      </c>
      <c r="C30" s="123" t="n">
        <v>1.810359965653623</v>
      </c>
      <c r="D30" s="88" t="n">
        <v>1.171489680535662</v>
      </c>
      <c r="E30" s="16" t="n">
        <v>0.3528968256251177</v>
      </c>
      <c r="F30" s="88" t="n">
        <v>4.175714167904885</v>
      </c>
      <c r="G30" s="88" t="n">
        <v>1.306565681481616</v>
      </c>
      <c r="H30" s="16" t="n">
        <v>-0.1939886434702669</v>
      </c>
      <c r="I30" s="16" t="n">
        <v>0.1366672755343539</v>
      </c>
      <c r="J30" s="16" t="n">
        <v>0.4219648100428208</v>
      </c>
      <c r="K30" s="88" t="n">
        <v>3.564448101664492</v>
      </c>
      <c r="L30" s="9" t="n">
        <v>1.287410213929886</v>
      </c>
      <c r="M30" s="18" t="n">
        <v>0.2888650664206046</v>
      </c>
      <c r="N30" s="9" t="n">
        <v>4.175714167904885</v>
      </c>
      <c r="O30" s="9" t="n">
        <v>1.306565681481616</v>
      </c>
      <c r="P30" s="9" t="n">
        <v>3.243499331233595</v>
      </c>
    </row>
    <row r="31" spans="1:22">
      <c r="C31" s="70" t="n"/>
      <c r="D31" s="88" t="n"/>
      <c r="F31" s="88" t="n"/>
      <c r="G31" s="88" t="n"/>
      <c r="K31" s="88" t="n"/>
      <c r="L31" s="9" t="n"/>
      <c r="N31" s="9" t="n"/>
      <c r="O31" s="9" t="n"/>
      <c r="P31" s="9" t="n"/>
    </row>
    <row r="32" spans="1:22">
      <c r="A32" t="s">
        <v>213</v>
      </c>
      <c r="B32" t="s">
        <v>24</v>
      </c>
      <c r="C32" s="123" t="n">
        <v>18.97331963864168</v>
      </c>
      <c r="D32" s="88" t="n">
        <v>11.89449104536132</v>
      </c>
      <c r="E32" s="16" t="n">
        <v>0.3730938353488435</v>
      </c>
      <c r="F32" s="88" t="n">
        <v>152.0435329031937</v>
      </c>
      <c r="G32" s="88" t="n">
        <v>7.01354406076293</v>
      </c>
      <c r="H32" s="16" t="n">
        <v>-0.1670423836964908</v>
      </c>
      <c r="I32" s="16" t="n">
        <v>0.008609990604167006</v>
      </c>
      <c r="J32" s="16" t="n">
        <v>0.1431439501563649</v>
      </c>
      <c r="K32" s="88" t="n">
        <v>12.78268505338767</v>
      </c>
      <c r="L32" s="9" t="n">
        <v>13.62687420465308</v>
      </c>
      <c r="M32" s="18" t="n">
        <v>0.2817875593630889</v>
      </c>
      <c r="N32" s="9" t="n">
        <v>32.4749668568743</v>
      </c>
      <c r="O32" s="9" t="n">
        <v>0.7116122784720669</v>
      </c>
      <c r="P32" s="9" t="n">
        <v>2.383155987877637</v>
      </c>
      <c r="Q32" s="131" t="n">
        <v>0.09742074605697</v>
      </c>
      <c r="R32" s="131" t="n">
        <v>0.05995124960541098</v>
      </c>
      <c r="S32" s="131" t="n">
        <v>0.02368092489551965</v>
      </c>
      <c r="U32" s="129">
        <f>C32*S32</f>
        <v/>
      </c>
      <c r="V32" s="129">
        <f>Q32*(1-U32)+S32</f>
        <v/>
      </c>
    </row>
    <row r="33" spans="1:22">
      <c r="A33" t="s">
        <v>214</v>
      </c>
      <c r="B33" t="s">
        <v>26</v>
      </c>
      <c r="C33" s="123" t="n">
        <v>34.84792030578602</v>
      </c>
      <c r="D33" s="88" t="n">
        <v>22.59405248015655</v>
      </c>
      <c r="E33" s="16" t="n">
        <v>0.3516384254240529</v>
      </c>
      <c r="F33" s="88" t="n">
        <v>404.3212728868617</v>
      </c>
      <c r="G33" s="88" t="n">
        <v>10.60245057205694</v>
      </c>
      <c r="H33" s="16" t="n">
        <v>-0.2154865824628701</v>
      </c>
      <c r="I33" s="16" t="n">
        <v>0.0009424874844108366</v>
      </c>
      <c r="J33" s="16" t="n">
        <v>0.3110943517426361</v>
      </c>
      <c r="K33" s="88" t="n">
        <v>17.89503114777488</v>
      </c>
      <c r="L33" s="9" t="n">
        <v>22.86458138160471</v>
      </c>
      <c r="M33" s="18" t="n">
        <v>0.3438752964030293</v>
      </c>
      <c r="N33" s="9" t="n">
        <v>73.03397308786991</v>
      </c>
      <c r="O33" s="9" t="n">
        <v>1.095791440264044</v>
      </c>
      <c r="P33" s="9" t="n">
        <v>3.194196817730855</v>
      </c>
    </row>
    <row r="34" spans="1:22">
      <c r="B34" t="s">
        <v>28</v>
      </c>
      <c r="C34" s="124" t="n">
        <v>1.848394954373833</v>
      </c>
      <c r="D34" s="88" t="n">
        <v>1.48740237049573</v>
      </c>
      <c r="E34" s="16" t="n">
        <v>0.1953005676756967</v>
      </c>
      <c r="F34" s="88" t="n">
        <v>4.455694961666134</v>
      </c>
      <c r="G34" s="88" t="n">
        <v>1.41057515934172</v>
      </c>
      <c r="H34" s="16" t="n">
        <v>0.08326134199395008</v>
      </c>
      <c r="I34" s="16" t="n">
        <v>0.3621051608020216</v>
      </c>
      <c r="J34" s="16" t="n">
        <v>0.71098665015332</v>
      </c>
      <c r="K34" s="88" t="n">
        <v>2.995621796798074</v>
      </c>
      <c r="L34" s="9" t="n">
        <v>1.48740237049573</v>
      </c>
      <c r="M34" s="18" t="n">
        <v>0.1953005676756967</v>
      </c>
      <c r="N34" s="9" t="n">
        <v>4.254861183631386</v>
      </c>
      <c r="O34" s="9" t="n">
        <v>1.301922093848591</v>
      </c>
      <c r="P34" s="9" t="n">
        <v>2.860598630223576</v>
      </c>
    </row>
    <row r="35" spans="1:22">
      <c r="B35" t="s">
        <v>29</v>
      </c>
      <c r="C35" s="123" t="n">
        <v>2.089176368481647</v>
      </c>
      <c r="D35" s="88" t="n">
        <v>1.484390587240961</v>
      </c>
      <c r="E35" s="16" t="n">
        <v>0.2894852681491066</v>
      </c>
      <c r="F35" s="88" t="n">
        <v>5.784965703476423</v>
      </c>
      <c r="G35" s="88" t="n">
        <v>1.769017394008132</v>
      </c>
      <c r="H35" s="16" t="n">
        <v>-0.01076744177449818</v>
      </c>
      <c r="I35" s="16" t="n">
        <v>0.412083258876117</v>
      </c>
      <c r="J35" s="16" t="n">
        <v>0.7602266121290788</v>
      </c>
      <c r="K35" s="88" t="n">
        <v>3.897199128855262</v>
      </c>
      <c r="L35" s="9" t="n">
        <v>1.484390587240961</v>
      </c>
      <c r="M35" s="18" t="n">
        <v>0.2894852681491066</v>
      </c>
      <c r="N35" s="9" t="n">
        <v>5.784965703476423</v>
      </c>
      <c r="O35" s="9" t="n">
        <v>1.769017394008132</v>
      </c>
      <c r="P35" s="9" t="n">
        <v>3.897199128855262</v>
      </c>
    </row>
    <row r="36" spans="1:22">
      <c r="C36" s="70" t="n"/>
      <c r="D36" s="88" t="n"/>
      <c r="F36" s="88" t="n"/>
      <c r="G36" s="88" t="n"/>
      <c r="K36" s="88" t="n"/>
      <c r="L36" s="9" t="n"/>
      <c r="N36" s="9" t="n"/>
      <c r="O36" s="9" t="n"/>
      <c r="P36" s="9" t="n"/>
    </row>
    <row r="37" spans="1:22">
      <c r="A37" s="22" t="s">
        <v>215</v>
      </c>
      <c r="B37" t="s">
        <v>24</v>
      </c>
      <c r="C37" s="123" t="n">
        <v>20.49218476796294</v>
      </c>
      <c r="D37" s="88" t="n">
        <v>13.48864896811526</v>
      </c>
      <c r="E37" s="16" t="n">
        <v>0.3417661844820407</v>
      </c>
      <c r="F37" s="88" t="n">
        <v>67.87378516148959</v>
      </c>
      <c r="G37" s="88" t="n">
        <v>2.312179054114428</v>
      </c>
      <c r="H37" s="16" t="n">
        <v>-0.1547833012983403</v>
      </c>
      <c r="I37" s="16" t="n">
        <v>0.1366740446108998</v>
      </c>
      <c r="J37" s="16" t="n">
        <v>0.3633902254785231</v>
      </c>
      <c r="K37" s="88" t="n">
        <v>5.031918713425713</v>
      </c>
      <c r="L37" s="9" t="n">
        <v>13.48864896811526</v>
      </c>
      <c r="M37" s="18" t="n">
        <v>0.3417661844820407</v>
      </c>
      <c r="N37" s="9" t="n">
        <v>35.04315425063338</v>
      </c>
      <c r="O37" s="9" t="n">
        <v>0.7100740915345991</v>
      </c>
      <c r="P37" s="9" t="n">
        <v>2.597973624598661</v>
      </c>
      <c r="Q37" s="131" t="n">
        <v>0.1565254080464923</v>
      </c>
      <c r="R37" s="131" t="n">
        <v>0.05596997087302602</v>
      </c>
      <c r="S37" s="131" t="n">
        <v>0.01749559164173686</v>
      </c>
      <c r="U37" s="129">
        <f>C37*S37</f>
        <v/>
      </c>
      <c r="V37" s="42">
        <f>Q37*(1-U37)+S37</f>
        <v/>
      </c>
    </row>
    <row r="38" spans="1:22">
      <c r="A38" t="s">
        <v>216</v>
      </c>
      <c r="B38" t="s">
        <v>26</v>
      </c>
      <c r="C38" s="125" t="n">
        <v>44.87281575191886</v>
      </c>
      <c r="D38" s="88" t="n">
        <v>23.54611921883576</v>
      </c>
      <c r="E38" s="16" t="n">
        <v>0.4752698527096804</v>
      </c>
      <c r="F38" s="88" t="n">
        <v>-182.9509379113856</v>
      </c>
      <c r="G38" s="88" t="n">
        <v>-5.077099572329875</v>
      </c>
      <c r="H38" s="16" t="n">
        <v>-0.2953623735477872</v>
      </c>
      <c r="I38" s="16" t="n">
        <v>-0.08863364361901205</v>
      </c>
      <c r="J38" s="16" t="n">
        <v>0.2703897505766475</v>
      </c>
      <c r="K38" s="88" t="n">
        <v>-7.769897714823159</v>
      </c>
      <c r="L38" s="9" t="n">
        <v>23.54611921883576</v>
      </c>
      <c r="M38" s="18" t="n">
        <v>0.4752698527096804</v>
      </c>
      <c r="N38" s="9" t="n">
        <v>86.52543248804683</v>
      </c>
      <c r="O38" s="9" t="n">
        <v>0.9282371974695351</v>
      </c>
      <c r="P38" s="9" t="n">
        <v>3.674721582944788</v>
      </c>
    </row>
    <row r="39" spans="1:22">
      <c r="B39" t="s">
        <v>28</v>
      </c>
      <c r="C39" s="123" t="n">
        <v>3.207547582569513</v>
      </c>
      <c r="D39" s="88" t="n">
        <v>1.907063964724281</v>
      </c>
      <c r="E39" s="16" t="n">
        <v>0.4054448404483016</v>
      </c>
      <c r="F39" s="88" t="n">
        <v>5.661444906170467</v>
      </c>
      <c r="G39" s="88" t="n">
        <v>0.7650384789101639</v>
      </c>
      <c r="H39" s="16" t="n">
        <v>-0.2096701951814234</v>
      </c>
      <c r="I39" s="16" t="n">
        <v>0.08396933263978945</v>
      </c>
      <c r="J39" s="16" t="n">
        <v>0.2447552874466785</v>
      </c>
      <c r="K39" s="88" t="n">
        <v>2.968670695316182</v>
      </c>
      <c r="L39" s="9" t="n">
        <v>2.231727608906271</v>
      </c>
      <c r="M39" s="18" t="n">
        <v>0.3042261879343748</v>
      </c>
      <c r="N39" s="9" t="n">
        <v>5.661444906170467</v>
      </c>
      <c r="O39" s="9" t="n">
        <v>0.7650384789101639</v>
      </c>
      <c r="P39" s="9" t="n">
        <v>2.536799241796824</v>
      </c>
    </row>
    <row r="40" spans="1:22">
      <c r="B40" t="s">
        <v>29</v>
      </c>
      <c r="C40" s="123" t="n">
        <v>2.511530190625562</v>
      </c>
      <c r="D40" s="88" t="n">
        <v>1.720452454347847</v>
      </c>
      <c r="E40" s="16" t="n">
        <v>0.3149783901585017</v>
      </c>
      <c r="F40" s="88" t="n">
        <v>6.805257755855751</v>
      </c>
      <c r="G40" s="88" t="n">
        <v>1.709606191976823</v>
      </c>
      <c r="H40" s="16" t="n">
        <v>-0.007219589289670925</v>
      </c>
      <c r="I40" s="16" t="n">
        <v>0.4023489480186366</v>
      </c>
      <c r="J40" s="16" t="n">
        <v>0.7591200765552377</v>
      </c>
      <c r="K40" s="88" t="n">
        <v>3.955504692185955</v>
      </c>
      <c r="L40" s="9" t="n">
        <v>1.720452454347847</v>
      </c>
      <c r="M40" s="18" t="n">
        <v>0.3149783901585017</v>
      </c>
      <c r="N40" s="9" t="n">
        <v>6.805257755855751</v>
      </c>
      <c r="O40" s="9" t="n">
        <v>1.709606191976823</v>
      </c>
      <c r="P40" s="9" t="n">
        <v>3.955504692185955</v>
      </c>
    </row>
    <row r="41" spans="1:22">
      <c r="C41" s="70" t="n"/>
      <c r="D41" s="88" t="n"/>
      <c r="F41" s="88" t="n"/>
      <c r="G41" s="88" t="n"/>
      <c r="K41" s="88" t="n"/>
      <c r="L41" s="9" t="n"/>
      <c r="N41" s="9" t="n"/>
      <c r="O41" s="9" t="n"/>
      <c r="P41" s="9" t="n"/>
    </row>
    <row r="42" spans="1:22">
      <c r="A42" t="s">
        <v>217</v>
      </c>
      <c r="B42" t="s">
        <v>24</v>
      </c>
      <c r="C42" s="123" t="n">
        <v>26.32996009148631</v>
      </c>
      <c r="D42" s="88" t="n">
        <v>17.82443793459678</v>
      </c>
      <c r="E42" s="16" t="n">
        <v>0.3230358924713963</v>
      </c>
      <c r="F42" s="88" t="n">
        <v>86.4721156296403</v>
      </c>
      <c r="G42" s="88" t="n">
        <v>2.284171921612624</v>
      </c>
      <c r="H42" s="16" t="n">
        <v>-0.1073574062656393</v>
      </c>
      <c r="I42" s="16" t="n">
        <v>0.2801083911697886</v>
      </c>
      <c r="J42" s="16" t="n">
        <v>0.867516897501097</v>
      </c>
      <c r="K42" s="88" t="n">
        <v>4.851323556284494</v>
      </c>
      <c r="L42" s="9" t="n">
        <v>18.80908907865421</v>
      </c>
      <c r="M42" s="18" t="n">
        <v>0.2856392864516323</v>
      </c>
      <c r="N42" s="9" t="n">
        <v>77.6743536980178</v>
      </c>
      <c r="O42" s="9" t="n">
        <v>1.950036894402035</v>
      </c>
      <c r="P42" s="9" t="n">
        <v>4.129618046530907</v>
      </c>
      <c r="Q42" s="131" t="n">
        <v>0.08316521496293271</v>
      </c>
      <c r="R42" s="131" t="n">
        <v>0.06234942468598743</v>
      </c>
      <c r="S42" s="131" t="n">
        <v>0.02149391641866192</v>
      </c>
      <c r="U42" s="129">
        <f>C42*S42</f>
        <v/>
      </c>
      <c r="V42" s="129">
        <f>Q42*(1-U42)+S42</f>
        <v/>
      </c>
    </row>
    <row r="43" spans="1:22">
      <c r="A43" t="s">
        <v>218</v>
      </c>
      <c r="B43" t="s">
        <v>26</v>
      </c>
      <c r="C43" s="123" t="n">
        <v>34.2182175878628</v>
      </c>
      <c r="D43" s="88" t="n">
        <v>22.5293613873002</v>
      </c>
      <c r="E43" s="16" t="n">
        <v>0.3415974596148644</v>
      </c>
      <c r="F43" s="88" t="n">
        <v>-3415.81688369836</v>
      </c>
      <c r="G43" s="88" t="n">
        <v>-100.8245123354978</v>
      </c>
      <c r="H43" s="16" t="n">
        <v>-0.02428014212854634</v>
      </c>
      <c r="I43" s="16" t="n">
        <v>0.2710229863551834</v>
      </c>
      <c r="J43" s="16" t="n">
        <v>1.246535289172058</v>
      </c>
      <c r="K43" s="88" t="n">
        <v>-151.6162320350481</v>
      </c>
      <c r="L43" s="9" t="n">
        <v>22.5293613873002</v>
      </c>
      <c r="M43" s="18" t="n">
        <v>0.3415974596148644</v>
      </c>
      <c r="N43" s="9" t="n">
        <v>97.11146723760814</v>
      </c>
      <c r="O43" s="9" t="n">
        <v>1.838004843129338</v>
      </c>
      <c r="P43" s="9" t="n">
        <v>4.310440299135593</v>
      </c>
    </row>
    <row r="44" spans="1:22">
      <c r="B44" t="s">
        <v>28</v>
      </c>
      <c r="C44" s="123" t="n">
        <v>2.189736790973899</v>
      </c>
      <c r="D44" s="88" t="n">
        <v>1.668485189749878</v>
      </c>
      <c r="E44" s="16" t="n">
        <v>0.2380430394066635</v>
      </c>
      <c r="F44" s="88" t="n">
        <v>6.457485841938825</v>
      </c>
      <c r="G44" s="88" t="n">
        <v>1.94897810027059</v>
      </c>
      <c r="H44" s="16" t="n">
        <v>-0.03797685513125693</v>
      </c>
      <c r="I44" s="16" t="n">
        <v>0.3832627020833297</v>
      </c>
      <c r="J44" s="16" t="n">
        <v>0.7330421730092358</v>
      </c>
      <c r="K44" s="88" t="n">
        <v>3.870268601489273</v>
      </c>
      <c r="L44" s="9" t="n">
        <v>1.668485189749878</v>
      </c>
      <c r="M44" s="18" t="n">
        <v>0.2380430394066635</v>
      </c>
      <c r="N44" s="9" t="n">
        <v>6.457485841938825</v>
      </c>
      <c r="O44" s="9" t="n">
        <v>1.94897810027059</v>
      </c>
      <c r="P44" s="9" t="n">
        <v>3.870268601489273</v>
      </c>
    </row>
    <row r="45" spans="1:22">
      <c r="B45" t="s">
        <v>29</v>
      </c>
      <c r="C45" s="123" t="n">
        <v>2.133486180383182</v>
      </c>
      <c r="D45" s="88" t="n">
        <v>1.568455976167931</v>
      </c>
      <c r="E45" s="16" t="n">
        <v>0.2648389332963804</v>
      </c>
      <c r="F45" s="88" t="n">
        <v>6.221256875880714</v>
      </c>
      <c r="G45" s="88" t="n">
        <v>1.91600523738258</v>
      </c>
      <c r="H45" s="16" t="n">
        <v>-0.008651012045442386</v>
      </c>
      <c r="I45" s="16" t="n">
        <v>0.4242309851994668</v>
      </c>
      <c r="J45" s="16" t="n">
        <v>0.7623304718886565</v>
      </c>
      <c r="K45" s="88" t="n">
        <v>3.966484855431236</v>
      </c>
      <c r="L45" s="9" t="n">
        <v>1.568455976167931</v>
      </c>
      <c r="M45" s="18" t="n">
        <v>0.2648389332963804</v>
      </c>
      <c r="N45" s="9" t="n">
        <v>6.221256875880714</v>
      </c>
      <c r="O45" s="9" t="n">
        <v>1.91600523738258</v>
      </c>
      <c r="P45" s="9" t="n">
        <v>3.966484855431236</v>
      </c>
    </row>
    <row r="46" spans="1:22">
      <c r="C46" s="70" t="n"/>
      <c r="D46" s="88" t="n"/>
      <c r="F46" s="88" t="n"/>
      <c r="G46" s="88" t="n"/>
      <c r="K46" s="88" t="n"/>
      <c r="L46" s="9" t="n"/>
      <c r="N46" s="9" t="n"/>
      <c r="O46" s="9" t="n"/>
      <c r="P46" s="9" t="n"/>
    </row>
    <row r="47" spans="1:22">
      <c r="A47" t="s">
        <v>219</v>
      </c>
      <c r="B47" t="s">
        <v>24</v>
      </c>
      <c r="C47" s="124" t="n">
        <v>21.49757312924779</v>
      </c>
      <c r="D47" s="88" t="n">
        <v>16.57426120182985</v>
      </c>
      <c r="E47" s="16" t="n">
        <v>0.229017103364086</v>
      </c>
      <c r="F47" s="88" t="n">
        <v>-618.0799434990091</v>
      </c>
      <c r="G47" s="88" t="n">
        <v>-29.75114971271346</v>
      </c>
      <c r="H47" s="16" t="n">
        <v>0.1822578748814372</v>
      </c>
      <c r="I47" s="16" t="n">
        <v>0.4697575280310771</v>
      </c>
      <c r="J47" s="16" t="n">
        <v>1.796137478233976</v>
      </c>
      <c r="K47" s="88" t="n">
        <v>-37.29155320846345</v>
      </c>
      <c r="L47" s="9" t="n">
        <v>16.57426120182985</v>
      </c>
      <c r="M47" s="18" t="n">
        <v>0.229017103364086</v>
      </c>
      <c r="N47" s="9" t="n">
        <v>69.70536049983674</v>
      </c>
      <c r="O47" s="9" t="n">
        <v>2.242475793930502</v>
      </c>
      <c r="P47" s="9" t="n">
        <v>4.205639071993209</v>
      </c>
      <c r="Q47" s="131" t="n">
        <v>0.1342888025778775</v>
      </c>
      <c r="R47" s="131" t="n">
        <v>0.0866658201427854</v>
      </c>
      <c r="S47" s="131" t="n">
        <v>0.01144774764669636</v>
      </c>
      <c r="U47" s="129">
        <f>C47*S47</f>
        <v/>
      </c>
      <c r="V47" s="42">
        <f>Q47*(1-U47)+S47</f>
        <v/>
      </c>
    </row>
    <row r="48" spans="1:22">
      <c r="A48" t="s">
        <v>220</v>
      </c>
      <c r="B48" t="s">
        <v>26</v>
      </c>
      <c r="C48" s="124" t="n">
        <v>33.3046224860719</v>
      </c>
      <c r="D48" s="88" t="n">
        <v>20.4958534998199</v>
      </c>
      <c r="E48" s="16" t="n">
        <v>0.3845943304599435</v>
      </c>
      <c r="F48" s="88" t="n">
        <v>200.5207568339254</v>
      </c>
      <c r="G48" s="88" t="n">
        <v>5.020808580484101</v>
      </c>
      <c r="H48" s="16" t="n">
        <v>0.3806783725290306</v>
      </c>
      <c r="I48" s="16" t="n">
        <v>0.9312143607942047</v>
      </c>
      <c r="J48" s="16" t="n">
        <v>2.134474047992966</v>
      </c>
      <c r="K48" s="88" t="n">
        <v>9.783479221086717</v>
      </c>
      <c r="L48" s="9" t="n">
        <v>25.78990601317677</v>
      </c>
      <c r="M48" s="18" t="n">
        <v>0.2256358400710834</v>
      </c>
      <c r="N48" s="9" t="n">
        <v>200.5207568339254</v>
      </c>
      <c r="O48" s="9" t="n">
        <v>5.020808580484101</v>
      </c>
      <c r="P48" s="9" t="n">
        <v>7.775164311629282</v>
      </c>
    </row>
    <row r="49" spans="1:22">
      <c r="B49" t="s">
        <v>28</v>
      </c>
      <c r="C49" s="124" t="n">
        <v>2.886883353857041</v>
      </c>
      <c r="D49" s="88" t="n">
        <v>2.114747534479584</v>
      </c>
      <c r="E49" s="16" t="n">
        <v>0.2674634630962278</v>
      </c>
      <c r="F49" s="88" t="n">
        <v>6.654856819188574</v>
      </c>
      <c r="G49" s="88" t="n">
        <v>1.30520461115871</v>
      </c>
      <c r="H49" s="16" t="n">
        <v>0.02280272047251719</v>
      </c>
      <c r="I49" s="16" t="n">
        <v>0.1676147437382247</v>
      </c>
      <c r="J49" s="16" t="n">
        <v>0.5832986978077912</v>
      </c>
      <c r="K49" s="88" t="n">
        <v>3.146880046287067</v>
      </c>
      <c r="L49" s="9" t="n">
        <v>2.114747534479584</v>
      </c>
      <c r="M49" s="18" t="n">
        <v>0.2674634630962278</v>
      </c>
      <c r="N49" s="9" t="n">
        <v>6.654856819188574</v>
      </c>
      <c r="O49" s="9" t="n">
        <v>1.30520461115871</v>
      </c>
      <c r="P49" s="9" t="n">
        <v>3.146880046287067</v>
      </c>
    </row>
    <row r="50" spans="1:22">
      <c r="B50" t="s">
        <v>29</v>
      </c>
      <c r="C50" s="124" t="n">
        <v>2.886372422301274</v>
      </c>
      <c r="D50" s="88" t="n">
        <v>2.079926845225963</v>
      </c>
      <c r="E50" s="16" t="n">
        <v>0.279397617176629</v>
      </c>
      <c r="F50" s="88" t="n">
        <v>7.744624591939657</v>
      </c>
      <c r="G50" s="88" t="n">
        <v>1.683168856555576</v>
      </c>
      <c r="H50" s="16" t="n">
        <v>0.08539409543684529</v>
      </c>
      <c r="I50" s="16" t="n">
        <v>0.3941447568056988</v>
      </c>
      <c r="J50" s="16" t="n">
        <v>0.7170116756293472</v>
      </c>
      <c r="K50" s="88" t="n">
        <v>3.723508165547179</v>
      </c>
      <c r="L50" s="9" t="n">
        <v>2.079926845225963</v>
      </c>
      <c r="M50" s="18" t="n">
        <v>0.279397617176629</v>
      </c>
      <c r="N50" s="9" t="n">
        <v>7.744624591939657</v>
      </c>
      <c r="O50" s="9" t="n">
        <v>1.683168856555576</v>
      </c>
      <c r="P50" s="9" t="n">
        <v>3.723508165547179</v>
      </c>
    </row>
    <row r="51" spans="1:22">
      <c r="C51" s="70" t="n"/>
      <c r="D51" s="88" t="n"/>
      <c r="F51" s="88" t="n"/>
      <c r="G51" s="88" t="n"/>
      <c r="K51" s="88" t="n"/>
      <c r="L51" s="9" t="n"/>
      <c r="N51" s="9" t="n"/>
      <c r="O51" s="9" t="n"/>
      <c r="P51" s="9" t="n"/>
    </row>
    <row r="52" spans="1:22">
      <c r="A52" s="39" t="s">
        <v>221</v>
      </c>
      <c r="B52" t="s">
        <v>24</v>
      </c>
      <c r="C52" s="124" t="n">
        <v>26.88057392006121</v>
      </c>
      <c r="D52" s="88" t="n">
        <v>18.47927164462345</v>
      </c>
      <c r="E52" s="16" t="n">
        <v>0.3125417746072675</v>
      </c>
      <c r="F52" s="88" t="n">
        <v>97.02289127661545</v>
      </c>
      <c r="G52" s="88" t="n">
        <v>2.60940549726159</v>
      </c>
      <c r="H52" s="16" t="n">
        <v>0.09401488428282212</v>
      </c>
      <c r="I52" s="16" t="n">
        <v>0.499724192500584</v>
      </c>
      <c r="J52" s="16" t="n">
        <v>1.059041039772612</v>
      </c>
      <c r="K52" s="88" t="n">
        <v>5.250363387825641</v>
      </c>
      <c r="L52" s="9" t="n">
        <v>18.47927164462345</v>
      </c>
      <c r="M52" s="18" t="n">
        <v>0.3125417746072675</v>
      </c>
      <c r="N52" s="9" t="n">
        <v>97.02289127661545</v>
      </c>
      <c r="O52" s="9" t="n">
        <v>2.60940549726159</v>
      </c>
      <c r="P52" s="9" t="n">
        <v>5.250363387825641</v>
      </c>
      <c r="Q52" s="131" t="n">
        <v>0.07991313086409293</v>
      </c>
      <c r="R52" s="131" t="n">
        <v>0.03937581882518112</v>
      </c>
      <c r="S52" s="131" t="n">
        <v>0.01207044418482282</v>
      </c>
      <c r="U52" s="129">
        <f>C52*S52</f>
        <v/>
      </c>
      <c r="V52" s="129">
        <f>Q52*(1-U52)+S52</f>
        <v/>
      </c>
    </row>
    <row r="53" spans="1:22">
      <c r="A53" t="s">
        <v>222</v>
      </c>
      <c r="B53" t="s">
        <v>26</v>
      </c>
      <c r="C53" s="125" t="n">
        <v>50.09774773781578</v>
      </c>
      <c r="D53" s="88" t="n">
        <v>22.12973530252945</v>
      </c>
      <c r="E53" s="16" t="n">
        <v>0.5582688583458006</v>
      </c>
      <c r="F53" s="88" t="n">
        <v>-566.1340822072117</v>
      </c>
      <c r="G53" s="88" t="n">
        <v>-12.30058950294628</v>
      </c>
      <c r="H53" s="16" t="n">
        <v>-0.3436459428203186</v>
      </c>
      <c r="I53" s="16" t="n">
        <v>-0.1143081966715856</v>
      </c>
      <c r="J53" s="16" t="n">
        <v>0.3209978696522962</v>
      </c>
      <c r="K53" s="88" t="n">
        <v>-25.58250582159028</v>
      </c>
      <c r="L53" s="9" t="n">
        <v>22.12973530252945</v>
      </c>
      <c r="M53" s="18" t="n">
        <v>0.5582688583458006</v>
      </c>
      <c r="N53" s="9" t="n">
        <v>95.4000246745328</v>
      </c>
      <c r="O53" s="9" t="n">
        <v>0.9042777167110261</v>
      </c>
      <c r="P53" s="9" t="n">
        <v>4.310942872580518</v>
      </c>
    </row>
    <row r="54" spans="1:22">
      <c r="B54" t="s">
        <v>28</v>
      </c>
      <c r="C54" s="124" t="n">
        <v>2.148110821375775</v>
      </c>
      <c r="D54" s="88" t="n">
        <v>1.573305145124702</v>
      </c>
      <c r="E54" s="16" t="n">
        <v>0.2675866023909019</v>
      </c>
      <c r="F54" s="88" t="n">
        <v>8.080064590697621</v>
      </c>
      <c r="G54" s="88" t="n">
        <v>2.761474738776595</v>
      </c>
      <c r="H54" s="16" t="n">
        <v>0.3734162317370711</v>
      </c>
      <c r="I54" s="16" t="n">
        <v>0.7959613498321347</v>
      </c>
      <c r="J54" s="16" t="n">
        <v>1.072222012029091</v>
      </c>
      <c r="K54" s="88" t="n">
        <v>5.135726286623938</v>
      </c>
      <c r="L54" s="9" t="n">
        <v>1.573305145124702</v>
      </c>
      <c r="M54" s="18" t="n">
        <v>0.2675866023909019</v>
      </c>
      <c r="N54" s="9" t="n">
        <v>8.080064590697621</v>
      </c>
      <c r="O54" s="9" t="n">
        <v>2.761474738776595</v>
      </c>
      <c r="P54" s="9" t="n">
        <v>5.135726286623938</v>
      </c>
    </row>
    <row r="55" spans="1:22">
      <c r="B55" t="s">
        <v>29</v>
      </c>
      <c r="C55" s="124" t="n">
        <v>1.972639838473862</v>
      </c>
      <c r="D55" s="88" t="n">
        <v>1.341581035263199</v>
      </c>
      <c r="E55" s="16" t="n">
        <v>0.3199057379368768</v>
      </c>
      <c r="F55" s="88" t="n">
        <v>7.79328273210344</v>
      </c>
      <c r="G55" s="88" t="n">
        <v>2.950687084436424</v>
      </c>
      <c r="H55" s="16" t="n">
        <v>0.4775297200796562</v>
      </c>
      <c r="I55" s="16" t="n">
        <v>0.8618124154610725</v>
      </c>
      <c r="J55" s="16" t="n">
        <v>1.272044356667379</v>
      </c>
      <c r="K55" s="88" t="n">
        <v>5.809028696186441</v>
      </c>
      <c r="L55" s="9" t="n">
        <v>1.341581035263199</v>
      </c>
      <c r="M55" s="18" t="n">
        <v>0.3199057379368768</v>
      </c>
      <c r="N55" s="9" t="n">
        <v>7.79328273210344</v>
      </c>
      <c r="O55" s="9" t="n">
        <v>2.950687084436424</v>
      </c>
      <c r="P55" s="9" t="n">
        <v>5.809028696186441</v>
      </c>
    </row>
    <row r="56" spans="1:22">
      <c r="C56" s="70" t="n"/>
      <c r="D56" s="88" t="n"/>
      <c r="F56" s="88" t="n"/>
      <c r="G56" s="88" t="n"/>
      <c r="K56" s="88" t="n"/>
      <c r="L56" s="9" t="n"/>
      <c r="N56" s="9" t="n"/>
      <c r="O56" s="9" t="n"/>
      <c r="P56" s="9" t="n"/>
    </row>
    <row r="57" spans="1:22">
      <c r="A57" t="s">
        <v>223</v>
      </c>
      <c r="B57" t="s">
        <v>24</v>
      </c>
      <c r="C57" s="124" t="n">
        <v>17.71063829827121</v>
      </c>
      <c r="D57" s="88" t="n">
        <v>13.82618055867252</v>
      </c>
      <c r="E57" s="16" t="n">
        <v>0.2193290650613008</v>
      </c>
      <c r="F57" s="88" t="n">
        <v>82.52930493879489</v>
      </c>
      <c r="G57" s="88" t="n">
        <v>3.659871854920715</v>
      </c>
      <c r="H57" s="16" t="n">
        <v>0.2225046020404009</v>
      </c>
      <c r="I57" s="16" t="n">
        <v>0.8676517268017017</v>
      </c>
      <c r="J57" s="16" t="n">
        <v>1.704387879180212</v>
      </c>
      <c r="K57" s="88" t="n">
        <v>5.969060261333571</v>
      </c>
      <c r="L57" s="9" t="n">
        <v>13.82618055867252</v>
      </c>
      <c r="M57" s="18" t="n">
        <v>0.2193290650613008</v>
      </c>
      <c r="N57" s="9" t="n">
        <v>82.52930493879489</v>
      </c>
      <c r="O57" s="9" t="n">
        <v>3.659871854920715</v>
      </c>
      <c r="P57" s="9" t="n">
        <v>5.969060261333571</v>
      </c>
      <c r="Q57" s="131" t="n">
        <v>0.09782533193552836</v>
      </c>
      <c r="R57" s="131" t="n">
        <v>0.06832920537713738</v>
      </c>
      <c r="S57" s="131" t="n">
        <v>0.01278889849096818</v>
      </c>
      <c r="U57" s="129">
        <f>C57*S57</f>
        <v/>
      </c>
      <c r="V57" s="129">
        <f>Q57*(1-U57)+S57</f>
        <v/>
      </c>
    </row>
    <row r="58" spans="1:22">
      <c r="A58" t="s">
        <v>224</v>
      </c>
      <c r="B58" t="s">
        <v>26</v>
      </c>
      <c r="C58" s="123" t="n">
        <v>26.23328684342148</v>
      </c>
      <c r="D58" s="88" t="n">
        <v>20.48812594851697</v>
      </c>
      <c r="E58" s="16" t="n">
        <v>0.2190027093896251</v>
      </c>
      <c r="F58" s="88" t="n">
        <v>102.8066593884199</v>
      </c>
      <c r="G58" s="88" t="n">
        <v>2.918939323236225</v>
      </c>
      <c r="H58" s="16" t="n">
        <v>-0.0570972112947491</v>
      </c>
      <c r="I58" s="16" t="n">
        <v>0.3768150620502047</v>
      </c>
      <c r="J58" s="16" t="n">
        <v>1.327022626250258</v>
      </c>
      <c r="K58" s="88" t="n">
        <v>5.01786545273857</v>
      </c>
      <c r="L58" s="9" t="n">
        <v>20.48812594851697</v>
      </c>
      <c r="M58" s="18" t="n">
        <v>0.2190027093896251</v>
      </c>
      <c r="N58" s="9" t="n">
        <v>83.46346247003669</v>
      </c>
      <c r="O58" s="9" t="n">
        <v>2.181586164486545</v>
      </c>
      <c r="P58" s="9" t="n">
        <v>4.073748017742842</v>
      </c>
    </row>
    <row r="59" spans="1:22">
      <c r="B59" t="s">
        <v>28</v>
      </c>
      <c r="C59" s="124" t="n">
        <v>1.732549070318462</v>
      </c>
      <c r="D59" s="88" t="n">
        <v>1.148972095543924</v>
      </c>
      <c r="E59" s="16" t="n">
        <v>0.3368314264641691</v>
      </c>
      <c r="F59" s="88" t="n">
        <v>5.572092119516527</v>
      </c>
      <c r="G59" s="88" t="n">
        <v>2.216123695989928</v>
      </c>
      <c r="H59" s="16" t="n">
        <v>0.1075449842578344</v>
      </c>
      <c r="I59" s="16" t="n">
        <v>0.4176948023806089</v>
      </c>
      <c r="J59" s="16" t="n">
        <v>1.326449402817601</v>
      </c>
      <c r="K59" s="88" t="n">
        <v>4.849632241833248</v>
      </c>
      <c r="L59" s="9" t="n">
        <v>1.148972095543924</v>
      </c>
      <c r="M59" s="18" t="n">
        <v>0.3368314264641691</v>
      </c>
      <c r="N59" s="9" t="n">
        <v>5.572092119516527</v>
      </c>
      <c r="O59" s="9" t="n">
        <v>2.216123695989928</v>
      </c>
      <c r="P59" s="9" t="n">
        <v>4.849632241833248</v>
      </c>
    </row>
    <row r="60" spans="1:22">
      <c r="B60" t="s">
        <v>29</v>
      </c>
      <c r="C60" s="124" t="n">
        <v>1.792499644441502</v>
      </c>
      <c r="D60" s="88" t="n">
        <v>1.29371449090244</v>
      </c>
      <c r="E60" s="16" t="n">
        <v>0.27826234447844</v>
      </c>
      <c r="F60" s="88" t="n">
        <v>5.61430543274173</v>
      </c>
      <c r="G60" s="88" t="n">
        <v>2.132109649310981</v>
      </c>
      <c r="H60" s="16" t="n">
        <v>0.154934979999529</v>
      </c>
      <c r="I60" s="16" t="n">
        <v>0.5297588708926775</v>
      </c>
      <c r="J60" s="16" t="n">
        <v>1.1721291034253</v>
      </c>
      <c r="K60" s="88" t="n">
        <v>4.339678864403407</v>
      </c>
      <c r="L60" s="9" t="n">
        <v>1.29371449090244</v>
      </c>
      <c r="M60" s="18" t="n">
        <v>0.27826234447844</v>
      </c>
      <c r="N60" s="9" t="n">
        <v>5.61430543274173</v>
      </c>
      <c r="O60" s="9" t="n">
        <v>2.132109649310981</v>
      </c>
      <c r="P60" s="9" t="n">
        <v>4.339678864403407</v>
      </c>
    </row>
    <row r="61" spans="1:22">
      <c r="C61" s="70" t="n"/>
      <c r="D61" s="88" t="n"/>
      <c r="F61" s="88" t="n"/>
      <c r="G61" s="88" t="n"/>
      <c r="K61" s="88" t="n"/>
      <c r="L61" s="9" t="n"/>
      <c r="N61" s="9" t="n"/>
      <c r="O61" s="9" t="n"/>
      <c r="P61" s="9" t="n"/>
    </row>
    <row r="62" spans="1:22">
      <c r="A62" t="s">
        <v>225</v>
      </c>
      <c r="B62" t="s">
        <v>24</v>
      </c>
      <c r="C62" s="124" t="n">
        <v>24.74944409505174</v>
      </c>
      <c r="D62" s="88" t="n">
        <v>19.15168160973291</v>
      </c>
      <c r="E62" s="16" t="n">
        <v>0.2261773017535376</v>
      </c>
      <c r="F62" s="88" t="n">
        <v>73.97198796415113</v>
      </c>
      <c r="G62" s="88" t="n">
        <v>1.988834322098599</v>
      </c>
      <c r="H62" s="16" t="n">
        <v>0.06109270240545972</v>
      </c>
      <c r="I62" s="16" t="n">
        <v>0.4007042789806556</v>
      </c>
      <c r="J62" s="16" t="n">
        <v>0.8331832212933812</v>
      </c>
      <c r="K62" s="88" t="n">
        <v>3.862427826001371</v>
      </c>
      <c r="L62" s="9" t="n">
        <v>19.15168160973291</v>
      </c>
      <c r="M62" s="18" t="n">
        <v>0.2261773017535376</v>
      </c>
      <c r="N62" s="9" t="n">
        <v>65.14799618050175</v>
      </c>
      <c r="O62" s="9" t="n">
        <v>1.632301393530171</v>
      </c>
      <c r="P62" s="9" t="n">
        <v>3.401685424187161</v>
      </c>
      <c r="Q62" s="131" t="n">
        <v>0.1024620716234355</v>
      </c>
      <c r="R62" s="131" t="n">
        <v>0.08089160178709212</v>
      </c>
      <c r="S62" s="131" t="n">
        <v>0.01384038065488527</v>
      </c>
      <c r="U62" s="129">
        <f>C62*S62</f>
        <v/>
      </c>
      <c r="V62" s="129">
        <f>Q62*(1-U62)+S62</f>
        <v/>
      </c>
    </row>
    <row r="63" spans="1:22">
      <c r="A63" t="s">
        <v>226</v>
      </c>
      <c r="B63" t="s">
        <v>26</v>
      </c>
      <c r="C63" s="124" t="n">
        <v>27.81109677118365</v>
      </c>
      <c r="D63" s="88" t="n">
        <v>20.71225057470881</v>
      </c>
      <c r="E63" s="16" t="n">
        <v>0.2552522920933589</v>
      </c>
      <c r="F63" s="88" t="n">
        <v>103.8876812424982</v>
      </c>
      <c r="G63" s="88" t="n">
        <v>2.735475882063774</v>
      </c>
      <c r="H63" s="16" t="n">
        <v>0.1674834063546389</v>
      </c>
      <c r="I63" s="16" t="n">
        <v>0.6023403989709668</v>
      </c>
      <c r="J63" s="16" t="n">
        <v>1.236222994419518</v>
      </c>
      <c r="K63" s="88" t="n">
        <v>5.015760159321013</v>
      </c>
      <c r="L63" s="9" t="n">
        <v>20.71225057470881</v>
      </c>
      <c r="M63" s="18" t="n">
        <v>0.2552522920933589</v>
      </c>
      <c r="N63" s="9" t="n">
        <v>103.8876812424982</v>
      </c>
      <c r="O63" s="9" t="n">
        <v>2.735475882063774</v>
      </c>
      <c r="P63" s="9" t="n">
        <v>5.015760159321013</v>
      </c>
    </row>
    <row r="64" spans="1:22">
      <c r="B64" t="s">
        <v>28</v>
      </c>
      <c r="C64" s="123" t="n">
        <v>2.535879313507403</v>
      </c>
      <c r="D64" s="88" t="n">
        <v>1.980485396332136</v>
      </c>
      <c r="E64" s="16" t="n">
        <v>0.2190143332992829</v>
      </c>
      <c r="F64" s="88" t="n">
        <v>5.949468581684741</v>
      </c>
      <c r="G64" s="88" t="n">
        <v>1.34611661130512</v>
      </c>
      <c r="H64" s="16" t="n">
        <v>-0.01963148513953383</v>
      </c>
      <c r="I64" s="16" t="n">
        <v>0.2361130928954935</v>
      </c>
      <c r="J64" s="16" t="n">
        <v>0.6708817238140659</v>
      </c>
      <c r="K64" s="88" t="n">
        <v>3.004045671178981</v>
      </c>
      <c r="L64" s="9" t="n">
        <v>1.980485396332136</v>
      </c>
      <c r="M64" s="18" t="n">
        <v>0.2190143332992829</v>
      </c>
      <c r="N64" s="9" t="n">
        <v>5.193881863367686</v>
      </c>
      <c r="O64" s="9" t="n">
        <v>1.048158142109677</v>
      </c>
      <c r="P64" s="9" t="n">
        <v>2.622529745983873</v>
      </c>
    </row>
    <row r="65" spans="1:22">
      <c r="B65" t="s">
        <v>29</v>
      </c>
      <c r="C65" s="124" t="n">
        <v>2.249684165276871</v>
      </c>
      <c r="D65" s="88" t="n">
        <v>1.694528119686111</v>
      </c>
      <c r="E65" s="16" t="n">
        <v>0.2467706597038865</v>
      </c>
      <c r="F65" s="88" t="n">
        <v>6.126335415685185</v>
      </c>
      <c r="G65" s="88" t="n">
        <v>1.723197998298224</v>
      </c>
      <c r="H65" s="16" t="n">
        <v>0.163983924336695</v>
      </c>
      <c r="I65" s="16" t="n">
        <v>0.4531822209925886</v>
      </c>
      <c r="J65" s="16" t="n">
        <v>0.8977719364026397</v>
      </c>
      <c r="K65" s="88" t="n">
        <v>3.615363678249263</v>
      </c>
      <c r="L65" s="9" t="n">
        <v>1.694528119686111</v>
      </c>
      <c r="M65" s="18" t="n">
        <v>0.2467706597038865</v>
      </c>
      <c r="N65" s="9" t="n">
        <v>6.126335415685185</v>
      </c>
      <c r="O65" s="9" t="n">
        <v>1.723197998298224</v>
      </c>
      <c r="P65" s="9" t="n">
        <v>3.615363678249263</v>
      </c>
    </row>
    <row r="66" spans="1:22">
      <c r="C66" s="70" t="n"/>
      <c r="D66" s="88" t="n"/>
      <c r="F66" s="88" t="n"/>
      <c r="G66" s="88" t="n"/>
      <c r="K66" s="88" t="n"/>
      <c r="L66" s="9" t="n"/>
      <c r="N66" s="9" t="n"/>
      <c r="O66" s="9" t="n"/>
      <c r="P66" s="9" t="n"/>
    </row>
    <row r="67" spans="1:22">
      <c r="A67" t="s">
        <v>227</v>
      </c>
      <c r="B67" t="s">
        <v>24</v>
      </c>
      <c r="C67" s="125" t="n">
        <v>51.38253531004858</v>
      </c>
      <c r="D67" s="88" t="n">
        <v>22.82199395889356</v>
      </c>
      <c r="E67" s="16" t="n">
        <v>0.5558414192452198</v>
      </c>
      <c r="F67" s="88" t="n">
        <v>-362.794492130551</v>
      </c>
      <c r="G67" s="88" t="n">
        <v>-8.060657671743989</v>
      </c>
      <c r="H67" s="16" t="n">
        <v>-0.4035339243777154</v>
      </c>
      <c r="I67" s="16" t="n">
        <v>-0.02460305572292143</v>
      </c>
      <c r="J67" s="16" t="n">
        <v>0.3108514898601309</v>
      </c>
      <c r="K67" s="88" t="n">
        <v>-15.89670441522366</v>
      </c>
      <c r="L67" s="9" t="n">
        <v>22.82199395889356</v>
      </c>
      <c r="M67" s="18" t="n">
        <v>0.5558414192452198</v>
      </c>
      <c r="N67" s="9" t="n">
        <v>152.0870919480063</v>
      </c>
      <c r="O67" s="9" t="n">
        <v>1.959898553667973</v>
      </c>
      <c r="P67" s="9" t="n">
        <v>6.664058023235921</v>
      </c>
      <c r="Q67" s="131" t="n">
        <v>0.0840390186174082</v>
      </c>
      <c r="R67" s="131" t="n">
        <v>0.0327219834422313</v>
      </c>
      <c r="S67" s="131" t="n">
        <v>0.007951682282976618</v>
      </c>
      <c r="U67" s="129">
        <f>C67*S67</f>
        <v/>
      </c>
      <c r="V67" s="129">
        <f>Q67*(1-U67)+S67</f>
        <v/>
      </c>
    </row>
    <row r="68" spans="1:22">
      <c r="A68" t="s">
        <v>228</v>
      </c>
      <c r="B68" t="s">
        <v>26</v>
      </c>
      <c r="C68" s="125" t="n">
        <v>88.63049371584918</v>
      </c>
      <c r="D68" s="88" t="n">
        <v>38.73442831911632</v>
      </c>
      <c r="E68" s="16" t="n">
        <v>0.5629672509407482</v>
      </c>
      <c r="F68" s="88" t="n">
        <v>-732.1221790607019</v>
      </c>
      <c r="G68" s="88" t="n">
        <v>-9.260387010907303</v>
      </c>
      <c r="H68" s="16" t="n">
        <v>-0.4031338700824969</v>
      </c>
      <c r="I68" s="16" t="n">
        <v>-0.1701513233289085</v>
      </c>
      <c r="J68" s="16" t="n">
        <v>0.5994141311405499</v>
      </c>
      <c r="K68" s="88" t="n">
        <v>-18.90107098080967</v>
      </c>
      <c r="L68" s="9" t="n">
        <v>40.61777944251502</v>
      </c>
      <c r="M68" s="18" t="n">
        <v>0.5417177797436593</v>
      </c>
      <c r="N68" s="9" t="n">
        <v>304.7868027575918</v>
      </c>
      <c r="O68" s="9" t="n">
        <v>2.438848075637977</v>
      </c>
      <c r="P68" s="9" t="n">
        <v>7.503778073071334</v>
      </c>
    </row>
    <row r="69" spans="1:22">
      <c r="B69" t="s">
        <v>28</v>
      </c>
      <c r="C69" s="125" t="n">
        <v>4.318137841530807</v>
      </c>
      <c r="D69" s="88" t="n">
        <v>2.352366288685905</v>
      </c>
      <c r="E69" s="16" t="n">
        <v>0.4552359431277495</v>
      </c>
      <c r="F69" s="88" t="n">
        <v>6.933566616828951</v>
      </c>
      <c r="G69" s="88" t="n">
        <v>0.6056844110309731</v>
      </c>
      <c r="H69" s="16" t="n">
        <v>-0.2973847394358169</v>
      </c>
      <c r="I69" s="16" t="n">
        <v>-0.1510729033384517</v>
      </c>
      <c r="J69" s="16" t="n">
        <v>0.1058096803983721</v>
      </c>
      <c r="K69" s="88" t="n">
        <v>2.94748596346457</v>
      </c>
      <c r="L69" s="9" t="n">
        <v>2.352366288685905</v>
      </c>
      <c r="M69" s="18" t="n">
        <v>0.4552359431277495</v>
      </c>
      <c r="N69" s="9" t="n">
        <v>6.933566616828951</v>
      </c>
      <c r="O69" s="9" t="n">
        <v>0.6056844110309731</v>
      </c>
      <c r="P69" s="9" t="n">
        <v>2.94748596346457</v>
      </c>
    </row>
    <row r="70" spans="1:22">
      <c r="B70" t="s">
        <v>29</v>
      </c>
      <c r="C70" s="123" t="n">
        <v>2.900165547846802</v>
      </c>
      <c r="D70" s="88" t="n">
        <v>1.784896125635191</v>
      </c>
      <c r="E70" s="16" t="n">
        <v>0.3845537104044394</v>
      </c>
      <c r="F70" s="88" t="n">
        <v>7.508162493532406</v>
      </c>
      <c r="G70" s="88" t="n">
        <v>1.588873762432894</v>
      </c>
      <c r="H70" s="16" t="n">
        <v>-0.02201271730322063</v>
      </c>
      <c r="I70" s="16" t="n">
        <v>0.2472816695294955</v>
      </c>
      <c r="J70" s="16" t="n">
        <v>0.5929184273378769</v>
      </c>
      <c r="K70" s="88" t="n">
        <v>4.206498286201656</v>
      </c>
      <c r="L70" s="9" t="n">
        <v>1.784896125635191</v>
      </c>
      <c r="M70" s="18" t="n">
        <v>0.3845537104044394</v>
      </c>
      <c r="N70" s="9" t="n">
        <v>7.508162493532406</v>
      </c>
      <c r="O70" s="9" t="n">
        <v>1.588873762432894</v>
      </c>
      <c r="P70" s="9" t="n">
        <v>4.206498286201656</v>
      </c>
    </row>
    <row r="71" spans="1:22">
      <c r="C71" s="70" t="n"/>
      <c r="D71" s="88" t="n"/>
      <c r="F71" s="88" t="n"/>
      <c r="G71" s="88" t="n"/>
      <c r="K71" s="88" t="n"/>
      <c r="L71" s="9" t="n"/>
      <c r="N71" s="9" t="n"/>
      <c r="O71" s="9" t="n"/>
      <c r="P71" s="9" t="n"/>
    </row>
    <row r="72" spans="1:22">
      <c r="A72" s="22" t="s">
        <v>94</v>
      </c>
      <c r="B72" t="s">
        <v>24</v>
      </c>
      <c r="C72" s="125" t="n">
        <v>34.71496267361579</v>
      </c>
      <c r="D72" s="88" t="n">
        <v>16.58408699603511</v>
      </c>
      <c r="E72" s="16" t="n">
        <v>0.5222784148738429</v>
      </c>
      <c r="F72" s="88" t="n">
        <v>62.92189798137985</v>
      </c>
      <c r="G72" s="88" t="n">
        <v>0.8125296164930635</v>
      </c>
      <c r="H72" s="16" t="n">
        <v>-0.3467915205534727</v>
      </c>
      <c r="I72" s="16" t="n">
        <v>-0.09445710401347807</v>
      </c>
      <c r="J72" s="16" t="n">
        <v>0.1424533779324588</v>
      </c>
      <c r="K72" s="88" t="n">
        <v>3.794112874373071</v>
      </c>
      <c r="L72" s="9" t="n">
        <v>17.39636829358001</v>
      </c>
      <c r="M72" s="18" t="n">
        <v>0.4988798214436317</v>
      </c>
      <c r="N72" s="9" t="n">
        <v>42.25047411506502</v>
      </c>
      <c r="O72" s="9" t="n">
        <v>0.2170681130294403</v>
      </c>
      <c r="P72" s="9" t="n">
        <v>2.428695081757796</v>
      </c>
      <c r="Q72" s="131" t="n">
        <v>0.1717811133592638</v>
      </c>
      <c r="R72" s="131" t="n">
        <v>0.04432430404271971</v>
      </c>
      <c r="S72" s="131" t="n">
        <v>0.01702873185650163</v>
      </c>
      <c r="U72" s="129">
        <f>C72*S72</f>
        <v/>
      </c>
      <c r="V72" s="129">
        <f>Q72*(1-U72)+S72</f>
        <v/>
      </c>
    </row>
    <row r="73" spans="1:22">
      <c r="A73" t="s">
        <v>229</v>
      </c>
      <c r="B73" t="s">
        <v>26</v>
      </c>
      <c r="C73" s="125" t="n">
        <v>73.28648814741318</v>
      </c>
      <c r="D73" s="88" t="n">
        <v>32.31624555651779</v>
      </c>
      <c r="E73" s="16" t="n">
        <v>0.5590422412994493</v>
      </c>
      <c r="F73" s="88" t="n">
        <v>626.5016741541176</v>
      </c>
      <c r="G73" s="88" t="n">
        <v>7.548665517904633</v>
      </c>
      <c r="H73" s="16" t="n">
        <v>-0.2998342901350544</v>
      </c>
      <c r="I73" s="16" t="n">
        <v>-0.1337652115942123</v>
      </c>
      <c r="J73" s="16" t="n">
        <v>0.05297559291537968</v>
      </c>
      <c r="K73" s="88" t="n">
        <v>19.38658601471605</v>
      </c>
      <c r="L73" s="9" t="n">
        <v>36.48368399573921</v>
      </c>
      <c r="M73" s="18" t="n">
        <v>0.5021772100424082</v>
      </c>
      <c r="N73" s="9" t="n">
        <v>145.6267055003642</v>
      </c>
      <c r="O73" s="9" t="n">
        <v>0.9870880592264328</v>
      </c>
      <c r="P73" s="9" t="n">
        <v>3.991557034573905</v>
      </c>
    </row>
    <row r="74" spans="1:22">
      <c r="B74" t="s">
        <v>28</v>
      </c>
      <c r="C74" s="125" t="n">
        <v>5.963374938299006</v>
      </c>
      <c r="D74" s="88" t="n">
        <v>2.950640593251186</v>
      </c>
      <c r="E74" s="16" t="n">
        <v>0.5052062592440603</v>
      </c>
      <c r="F74" s="88" t="n">
        <v>9.048317614778082</v>
      </c>
      <c r="G74" s="88" t="n">
        <v>0.5173148944008921</v>
      </c>
      <c r="H74" s="16" t="n">
        <v>-0.3500569975600791</v>
      </c>
      <c r="I74" s="16" t="n">
        <v>-0.1756288933237496</v>
      </c>
      <c r="J74" s="16" t="n">
        <v>0.106929981546616</v>
      </c>
      <c r="K74" s="88" t="n">
        <v>3.066560405721296</v>
      </c>
      <c r="L74" s="9" t="n">
        <v>2.950640593251186</v>
      </c>
      <c r="M74" s="18" t="n">
        <v>0.5052062592440603</v>
      </c>
      <c r="N74" s="9" t="n">
        <v>6.363126238510224</v>
      </c>
      <c r="O74" s="9" t="n">
        <v>0.06703440658139193</v>
      </c>
      <c r="P74" s="9" t="n">
        <v>2.156523655596754</v>
      </c>
    </row>
    <row r="75" spans="1:22">
      <c r="B75" t="s">
        <v>29</v>
      </c>
      <c r="C75" s="123" t="n">
        <v>3.248372582869116</v>
      </c>
      <c r="D75" s="88" t="n">
        <v>2.280923785048519</v>
      </c>
      <c r="E75" s="16" t="n">
        <v>0.2978256875219962</v>
      </c>
      <c r="F75" s="88" t="n">
        <v>6.638586639794213</v>
      </c>
      <c r="G75" s="88" t="n">
        <v>1.043665395651967</v>
      </c>
      <c r="H75" s="16" t="n">
        <v>-0.09220626850771874</v>
      </c>
      <c r="I75" s="16" t="n">
        <v>0.1370076922698444</v>
      </c>
      <c r="J75" s="16" t="n">
        <v>0.4659036617555588</v>
      </c>
      <c r="K75" s="88" t="n">
        <v>2.910481570366455</v>
      </c>
      <c r="L75" s="9" t="n">
        <v>2.280923785048519</v>
      </c>
      <c r="M75" s="18" t="n">
        <v>0.2978256875219962</v>
      </c>
      <c r="N75" s="9" t="n">
        <v>6.558736201738744</v>
      </c>
      <c r="O75" s="9" t="n">
        <v>1.019083720976908</v>
      </c>
      <c r="P75" s="9" t="n">
        <v>2.875473632539296</v>
      </c>
    </row>
    <row r="76" spans="1:22">
      <c r="C76" s="70" t="n"/>
      <c r="D76" s="88" t="n"/>
      <c r="F76" s="88" t="n"/>
      <c r="G76" s="88" t="n"/>
      <c r="K76" s="88" t="n"/>
      <c r="L76" s="9" t="n"/>
      <c r="N76" s="9" t="n"/>
      <c r="O76" s="9" t="n"/>
      <c r="P76" s="9" t="n"/>
    </row>
    <row r="77" spans="1:22">
      <c r="A77" t="s">
        <v>230</v>
      </c>
      <c r="B77" t="s">
        <v>24</v>
      </c>
      <c r="C77" s="124" t="n">
        <v>32.18436437455108</v>
      </c>
      <c r="D77" s="88" t="n">
        <v>22.51126858674133</v>
      </c>
      <c r="E77" s="16" t="n">
        <v>0.3005526433655</v>
      </c>
      <c r="F77" s="88" t="n">
        <v>-110.0396824146948</v>
      </c>
      <c r="G77" s="88" t="n">
        <v>-4.419041654329073</v>
      </c>
      <c r="H77" s="16" t="n">
        <v>0.3398123559068711</v>
      </c>
      <c r="I77" s="16" t="n">
        <v>0.7407628603827168</v>
      </c>
      <c r="J77" s="16" t="n">
        <v>2.533931620631872</v>
      </c>
      <c r="K77" s="88" t="n">
        <v>-4.888204411523298</v>
      </c>
      <c r="L77" s="9" t="n">
        <v>22.51126858674133</v>
      </c>
      <c r="M77" s="18" t="n">
        <v>0.3005526433655</v>
      </c>
      <c r="N77" s="9" t="n">
        <v>216.4901729579336</v>
      </c>
      <c r="O77" s="9" t="n">
        <v>5.726563571008951</v>
      </c>
      <c r="P77" s="9" t="n">
        <v>9.616969035918386</v>
      </c>
      <c r="Q77" s="131" t="n">
        <v>0.09294621700048659</v>
      </c>
      <c r="R77" s="131" t="n">
        <v>0.08390700686817298</v>
      </c>
      <c r="S77" s="131" t="n">
        <v>0.007029142742705254</v>
      </c>
      <c r="U77" s="129">
        <f>C77*S77</f>
        <v/>
      </c>
      <c r="V77" s="129">
        <f>Q77*(1-U77)+S77</f>
        <v/>
      </c>
    </row>
    <row r="78" spans="1:22">
      <c r="A78" t="s">
        <v>231</v>
      </c>
      <c r="B78" t="s">
        <v>26</v>
      </c>
      <c r="C78" s="126" t="n">
        <v>30.82880785706701</v>
      </c>
      <c r="D78" s="88" t="n">
        <v>26.0327637634951</v>
      </c>
      <c r="E78" s="16" t="n">
        <v>0.1555702093901268</v>
      </c>
      <c r="F78" s="88" t="n">
        <v>-38.64610168850356</v>
      </c>
      <c r="G78" s="88" t="n">
        <v>-2.25357107117733</v>
      </c>
      <c r="H78" s="16" t="n">
        <v>0.6952194056617178</v>
      </c>
      <c r="I78" s="16" t="n">
        <v>3.024205867769023</v>
      </c>
      <c r="J78" s="16" t="n">
        <v>-387.4276684066833</v>
      </c>
      <c r="K78" s="88" t="n">
        <v>-1.484517819145109</v>
      </c>
      <c r="L78" s="9" t="n">
        <v>26.0327637634951</v>
      </c>
      <c r="M78" s="18" t="n">
        <v>0.1555702093901268</v>
      </c>
      <c r="N78" s="9" t="n">
        <v>1596.618420843386</v>
      </c>
      <c r="O78" s="9" t="n">
        <v>50.78982036041938</v>
      </c>
      <c r="P78" s="9" t="n">
        <v>61.33111471945487</v>
      </c>
    </row>
    <row r="79" spans="1:22">
      <c r="B79" t="s">
        <v>28</v>
      </c>
      <c r="C79" s="124" t="n">
        <v>2.991414915179755</v>
      </c>
      <c r="D79" s="88" t="n">
        <v>2.266929871286004</v>
      </c>
      <c r="E79" s="16" t="n">
        <v>0.2421880830430426</v>
      </c>
      <c r="F79" s="88" t="n">
        <v>7.877464036518931</v>
      </c>
      <c r="G79" s="88" t="n">
        <v>1.633357210511058</v>
      </c>
      <c r="H79" s="16" t="n">
        <v>0.1314797873051472</v>
      </c>
      <c r="I79" s="16" t="n">
        <v>0.3205431851854601</v>
      </c>
      <c r="J79" s="16" t="n">
        <v>0.5176969648369827</v>
      </c>
      <c r="K79" s="88" t="n">
        <v>3.474948270918559</v>
      </c>
      <c r="L79" s="9" t="n">
        <v>2.266929871286004</v>
      </c>
      <c r="M79" s="18" t="n">
        <v>0.2421880830430426</v>
      </c>
      <c r="N79" s="9" t="n">
        <v>7.877464036518931</v>
      </c>
      <c r="O79" s="9" t="n">
        <v>1.633357210511058</v>
      </c>
      <c r="P79" s="9" t="n">
        <v>3.474948270918559</v>
      </c>
    </row>
    <row r="80" spans="1:22">
      <c r="B80" t="s">
        <v>29</v>
      </c>
      <c r="C80" s="124" t="n">
        <v>2.586752992600506</v>
      </c>
      <c r="D80" s="88" t="n">
        <v>1.912708557911005</v>
      </c>
      <c r="E80" s="16" t="n">
        <v>0.2605754923711803</v>
      </c>
      <c r="F80" s="88" t="n">
        <v>7.594333467450308</v>
      </c>
      <c r="G80" s="88" t="n">
        <v>1.935855680528505</v>
      </c>
      <c r="H80" s="16" t="n">
        <v>0.06661555075120384</v>
      </c>
      <c r="I80" s="16" t="n">
        <v>0.3006189515749982</v>
      </c>
      <c r="J80" s="16" t="n">
        <v>0.5762910743245979</v>
      </c>
      <c r="K80" s="88" t="n">
        <v>3.970460338058286</v>
      </c>
      <c r="L80" s="9" t="n">
        <v>1.912708557911005</v>
      </c>
      <c r="M80" s="18" t="n">
        <v>0.2605754923711803</v>
      </c>
      <c r="N80" s="9" t="n">
        <v>7.594333467450308</v>
      </c>
      <c r="O80" s="9" t="n">
        <v>1.935855680528505</v>
      </c>
      <c r="P80" s="9" t="n">
        <v>3.970460338058286</v>
      </c>
    </row>
    <row r="81" spans="1:22">
      <c r="C81" s="70" t="n"/>
      <c r="D81" s="88" t="n"/>
      <c r="F81" s="88" t="n"/>
      <c r="G81" s="88" t="n"/>
      <c r="K81" s="88" t="n"/>
      <c r="L81" s="9" t="n"/>
      <c r="N81" s="9" t="n"/>
      <c r="O81" s="9" t="n"/>
      <c r="P81" s="9" t="n"/>
    </row>
    <row r="82" spans="1:22">
      <c r="A82" s="22" t="s">
        <v>232</v>
      </c>
      <c r="B82" t="s">
        <v>24</v>
      </c>
      <c r="C82" s="123" t="n">
        <v>52.47631104704483</v>
      </c>
      <c r="D82" s="88" t="n">
        <v>29.31754264092825</v>
      </c>
      <c r="E82" s="16" t="n">
        <v>0.4413185291426989</v>
      </c>
      <c r="F82" s="88" t="n">
        <v>147.7556726080269</v>
      </c>
      <c r="G82" s="88" t="n">
        <v>1.815664242777363</v>
      </c>
      <c r="H82" s="16" t="n">
        <v>-0.09936091369460975</v>
      </c>
      <c r="I82" s="16" t="n">
        <v>0.2821300047901347</v>
      </c>
      <c r="J82" s="16" t="n">
        <v>0.4626167556381271</v>
      </c>
      <c r="K82" s="88" t="n">
        <v>5.039838243528471</v>
      </c>
      <c r="L82" s="9" t="n">
        <v>41.18052307895432</v>
      </c>
      <c r="M82" s="18" t="n">
        <v>0.2152549930189238</v>
      </c>
      <c r="N82" s="9" t="n">
        <v>147.7556726080269</v>
      </c>
      <c r="O82" s="9" t="n">
        <v>1.815664242777363</v>
      </c>
      <c r="P82" s="9" t="n">
        <v>3.587998926695002</v>
      </c>
      <c r="Q82" s="131" t="n">
        <v>0.1245679133668494</v>
      </c>
      <c r="R82" s="131" t="n">
        <v>0.06730376882616393</v>
      </c>
      <c r="S82" s="131" t="n">
        <v>0.003860221065360723</v>
      </c>
      <c r="U82" s="129">
        <f>C82*S82</f>
        <v/>
      </c>
      <c r="V82" s="42">
        <f>Q82*(1-U82)+S82</f>
        <v/>
      </c>
    </row>
    <row r="83" spans="1:22">
      <c r="A83" t="s">
        <v>233</v>
      </c>
      <c r="B83" t="s">
        <v>26</v>
      </c>
      <c r="C83" s="123" t="n">
        <v>52.88438201174652</v>
      </c>
      <c r="D83" s="88" t="n">
        <v>32.04986906577828</v>
      </c>
      <c r="E83" s="16" t="n">
        <v>0.3939634378509054</v>
      </c>
      <c r="F83" s="88" t="n">
        <v>160.7684921814945</v>
      </c>
      <c r="G83" s="88" t="n">
        <v>2.03999944909605</v>
      </c>
      <c r="H83" s="16" t="n">
        <v>-0.02333361918649435</v>
      </c>
      <c r="I83" s="16" t="n">
        <v>0.3257006399476954</v>
      </c>
      <c r="J83" s="16" t="n">
        <v>0.5525266001128777</v>
      </c>
      <c r="K83" s="88" t="n">
        <v>5.016198095896666</v>
      </c>
      <c r="L83" s="9" t="n">
        <v>43.16551839615767</v>
      </c>
      <c r="M83" s="18" t="n">
        <v>0.1837756866182181</v>
      </c>
      <c r="N83" s="9" t="n">
        <v>160.7684921814945</v>
      </c>
      <c r="O83" s="9" t="n">
        <v>2.03999944909605</v>
      </c>
      <c r="P83" s="9" t="n">
        <v>3.724465688237979</v>
      </c>
    </row>
    <row r="84" spans="1:22">
      <c r="B84" t="s">
        <v>28</v>
      </c>
      <c r="C84" s="125" t="n">
        <v>6.536864568320122</v>
      </c>
      <c r="D84" s="88" t="n">
        <v>3.20990556065695</v>
      </c>
      <c r="E84" s="16" t="n">
        <v>0.5089533327318347</v>
      </c>
      <c r="F84" s="88" t="n">
        <v>17.24652604863272</v>
      </c>
      <c r="G84" s="88" t="n">
        <v>1.63834838069237</v>
      </c>
      <c r="H84" s="16" t="n">
        <v>-0.2118152724179356</v>
      </c>
      <c r="I84" s="16" t="n">
        <v>-0.005920548531446745</v>
      </c>
      <c r="J84" s="16" t="n">
        <v>0.2522977979885455</v>
      </c>
      <c r="K84" s="88" t="n">
        <v>5.372907620716103</v>
      </c>
      <c r="L84" s="9" t="n">
        <v>4.30823982030276</v>
      </c>
      <c r="M84" s="18" t="n">
        <v>0.3409317608962007</v>
      </c>
      <c r="N84" s="9" t="n">
        <v>17.24652604863272</v>
      </c>
      <c r="O84" s="9" t="n">
        <v>1.63834838069237</v>
      </c>
      <c r="P84" s="9" t="n">
        <v>4.00314902790642</v>
      </c>
    </row>
    <row r="85" spans="1:22">
      <c r="B85" t="s">
        <v>29</v>
      </c>
      <c r="C85" s="124" t="n">
        <v>3.55931822143313</v>
      </c>
      <c r="D85" s="88" t="n">
        <v>2.555678271955676</v>
      </c>
      <c r="E85" s="16" t="n">
        <v>0.2819753354543688</v>
      </c>
      <c r="F85" s="88" t="n">
        <v>15.96427946892511</v>
      </c>
      <c r="G85" s="88" t="n">
        <v>3.485207131184023</v>
      </c>
      <c r="H85" s="16" t="n">
        <v>0.07323008854663504</v>
      </c>
      <c r="I85" s="16" t="n">
        <v>0.5430553467478112</v>
      </c>
      <c r="J85" s="16" t="n">
        <v>0.9562489379465333</v>
      </c>
      <c r="K85" s="88" t="n">
        <v>6.246592008120333</v>
      </c>
      <c r="L85" s="9" t="n">
        <v>2.555678271955676</v>
      </c>
      <c r="M85" s="18" t="n">
        <v>0.2819753354543688</v>
      </c>
      <c r="N85" s="9" t="n">
        <v>15.96427946892511</v>
      </c>
      <c r="O85" s="9" t="n">
        <v>3.485207131184023</v>
      </c>
      <c r="P85" s="9" t="n">
        <v>6.246592008120333</v>
      </c>
    </row>
    <row r="86" spans="1:22">
      <c r="C86" s="70" t="n"/>
      <c r="D86" s="88" t="n"/>
      <c r="F86" s="88" t="n"/>
      <c r="G86" s="88" t="n"/>
      <c r="K86" s="88" t="n"/>
      <c r="L86" s="9" t="n"/>
      <c r="N86" s="9" t="n"/>
      <c r="O86" s="9" t="n"/>
      <c r="P86" s="9" t="n"/>
    </row>
    <row r="87" spans="1:22">
      <c r="A87" s="22" t="s">
        <v>234</v>
      </c>
      <c r="B87" t="s">
        <v>24</v>
      </c>
      <c r="C87" s="124" t="n">
        <v>30.92917308810281</v>
      </c>
      <c r="D87" s="88" t="n">
        <v>21.15829767282101</v>
      </c>
      <c r="E87" s="16" t="n">
        <v>0.3159113044325216</v>
      </c>
      <c r="F87" s="88" t="n">
        <v>70.11730560329508</v>
      </c>
      <c r="G87" s="88" t="n">
        <v>1.26702813565573</v>
      </c>
      <c r="H87" s="16" t="n">
        <v>0.00294095038316966</v>
      </c>
      <c r="I87" s="16" t="n">
        <v>0.1506972695879694</v>
      </c>
      <c r="J87" s="16" t="n">
        <v>0.2783473031164378</v>
      </c>
      <c r="K87" s="88" t="n">
        <v>3.313938894685492</v>
      </c>
      <c r="L87" s="9" t="n">
        <v>21.15829767282101</v>
      </c>
      <c r="M87" s="18" t="n">
        <v>0.3159113044325216</v>
      </c>
      <c r="N87" s="9" t="n">
        <v>70.11730560329508</v>
      </c>
      <c r="O87" s="9" t="n">
        <v>1.26702813565573</v>
      </c>
      <c r="P87" s="9" t="n">
        <v>3.313938894685492</v>
      </c>
      <c r="Q87" s="131" t="n">
        <v>0.1092100992858281</v>
      </c>
      <c r="R87" s="131" t="n">
        <v>0.08358074450459449</v>
      </c>
      <c r="S87" s="131" t="n">
        <v>0.01124741094757057</v>
      </c>
      <c r="U87" s="129">
        <f>C87*S87</f>
        <v/>
      </c>
      <c r="V87" s="129">
        <f>Q87*(1-U87)+S87</f>
        <v/>
      </c>
    </row>
    <row r="88" spans="1:22">
      <c r="A88" t="s">
        <v>235</v>
      </c>
      <c r="B88" t="s">
        <v>26</v>
      </c>
      <c r="C88" s="124" t="n">
        <v>33.91517268769694</v>
      </c>
      <c r="D88" s="88" t="n">
        <v>22.64367191021815</v>
      </c>
      <c r="E88" s="16" t="n">
        <v>0.3323439005093919</v>
      </c>
      <c r="F88" s="88" t="n">
        <v>97.55088577018222</v>
      </c>
      <c r="G88" s="88" t="n">
        <v>1.876319889875417</v>
      </c>
      <c r="H88" s="16" t="n">
        <v>0.1720679654304549</v>
      </c>
      <c r="I88" s="16" t="n">
        <v>0.3895213465751026</v>
      </c>
      <c r="J88" s="16" t="n">
        <v>0.6474201300596361</v>
      </c>
      <c r="K88" s="88" t="n">
        <v>4.30808599227944</v>
      </c>
      <c r="L88" s="9" t="n">
        <v>22.64367191021815</v>
      </c>
      <c r="M88" s="18" t="n">
        <v>0.3323439005093919</v>
      </c>
      <c r="N88" s="9" t="n">
        <v>97.55088577018222</v>
      </c>
      <c r="O88" s="9" t="n">
        <v>1.876319889875417</v>
      </c>
      <c r="P88" s="9" t="n">
        <v>4.30808599227944</v>
      </c>
    </row>
    <row r="89" spans="1:22">
      <c r="B89" t="s">
        <v>28</v>
      </c>
      <c r="C89" s="124" t="n">
        <v>3.37777806378027</v>
      </c>
      <c r="D89" s="88" t="n">
        <v>2.390084003520105</v>
      </c>
      <c r="E89" s="16" t="n">
        <v>0.2924094009760897</v>
      </c>
      <c r="F89" s="88" t="n">
        <v>7.445056996351383</v>
      </c>
      <c r="G89" s="88" t="n">
        <v>1.204128529397571</v>
      </c>
      <c r="H89" s="16" t="n">
        <v>0.09846862790823452</v>
      </c>
      <c r="I89" s="16" t="n">
        <v>0.2082408140004894</v>
      </c>
      <c r="J89" s="16" t="n">
        <v>0.5079668079931345</v>
      </c>
      <c r="K89" s="88" t="n">
        <v>3.114977124396605</v>
      </c>
      <c r="L89" s="9" t="n">
        <v>2.390084003520105</v>
      </c>
      <c r="M89" s="18" t="n">
        <v>0.2924094009760897</v>
      </c>
      <c r="N89" s="9" t="n">
        <v>7.445056996351383</v>
      </c>
      <c r="O89" s="9" t="n">
        <v>1.204128529397571</v>
      </c>
      <c r="P89" s="9" t="n">
        <v>3.114977124396605</v>
      </c>
    </row>
    <row r="90" spans="1:22">
      <c r="B90" t="s">
        <v>29</v>
      </c>
      <c r="C90" s="124" t="n">
        <v>2.8346553832396</v>
      </c>
      <c r="D90" s="88" t="n">
        <v>1.939108565699543</v>
      </c>
      <c r="E90" s="16" t="n">
        <v>0.3159279335453388</v>
      </c>
      <c r="F90" s="88" t="n">
        <v>7.590883048855265</v>
      </c>
      <c r="G90" s="88" t="n">
        <v>1.677885676593247</v>
      </c>
      <c r="H90" s="16" t="n">
        <v>0.1697372354074498</v>
      </c>
      <c r="I90" s="16" t="n">
        <v>0.3908752037078944</v>
      </c>
      <c r="J90" s="16" t="n">
        <v>0.7734423245265187</v>
      </c>
      <c r="K90" s="88" t="n">
        <v>3.914625092750708</v>
      </c>
      <c r="L90" s="9" t="n">
        <v>1.939108565699543</v>
      </c>
      <c r="M90" s="18" t="n">
        <v>0.3159279335453388</v>
      </c>
      <c r="N90" s="9" t="n">
        <v>7.590883048855265</v>
      </c>
      <c r="O90" s="9" t="n">
        <v>1.677885676593247</v>
      </c>
      <c r="P90" s="9" t="n">
        <v>3.914625092750708</v>
      </c>
    </row>
    <row r="91" spans="1:22">
      <c r="C91" s="70" t="n"/>
      <c r="D91" s="88" t="n"/>
      <c r="F91" s="88" t="n"/>
      <c r="G91" s="88" t="n"/>
      <c r="K91" s="88" t="n"/>
      <c r="L91" s="9" t="n"/>
      <c r="N91" s="9" t="n"/>
      <c r="O91" s="9" t="n"/>
      <c r="P91" s="9" t="n"/>
    </row>
    <row r="92" spans="1:22">
      <c r="A92" t="s">
        <v>236</v>
      </c>
      <c r="B92" t="s">
        <v>24</v>
      </c>
      <c r="C92" s="125" t="n">
        <v>57.13964847200696</v>
      </c>
      <c r="D92" s="88" t="n">
        <v>30.22934607795504</v>
      </c>
      <c r="E92" s="16" t="n">
        <v>0.470956736936095</v>
      </c>
      <c r="F92" s="88" t="n">
        <v>164.8287395693694</v>
      </c>
      <c r="G92" s="88" t="n">
        <v>1.884664921418268</v>
      </c>
      <c r="H92" s="16" t="n">
        <v>-0.2106696176058801</v>
      </c>
      <c r="I92" s="16" t="n">
        <v>-0.05937358103410828</v>
      </c>
      <c r="J92" s="16" t="n">
        <v>0.2888356968620545</v>
      </c>
      <c r="K92" s="88" t="n">
        <v>5.452606852437735</v>
      </c>
      <c r="L92" s="9" t="n">
        <v>41.26343799024777</v>
      </c>
      <c r="M92" s="18" t="n">
        <v>0.2778492851515709</v>
      </c>
      <c r="N92" s="9" t="n">
        <v>110.245537905175</v>
      </c>
      <c r="O92" s="9" t="n">
        <v>0.9294052528024377</v>
      </c>
      <c r="P92" s="9" t="n">
        <v>2.671748726590124</v>
      </c>
      <c r="Q92" s="131" t="n">
        <v>0.1059595015365583</v>
      </c>
      <c r="R92" s="131" t="n">
        <v>0.1002337909308724</v>
      </c>
      <c r="S92" s="131" t="n">
        <v>0.007146374946913087</v>
      </c>
      <c r="U92" s="129">
        <f>C92*S92</f>
        <v/>
      </c>
      <c r="V92" s="129">
        <f>Q92*(1-U92)+S92</f>
        <v/>
      </c>
    </row>
    <row r="93" spans="1:22">
      <c r="A93" t="s">
        <v>237</v>
      </c>
      <c r="B93" t="s">
        <v>26</v>
      </c>
      <c r="C93" s="124" t="n">
        <v>44.42004170924277</v>
      </c>
      <c r="D93" s="88" t="n">
        <v>27.93926464096889</v>
      </c>
      <c r="E93" s="16" t="n">
        <v>0.3710211975069942</v>
      </c>
      <c r="F93" s="88" t="n">
        <v>-113.5002332030543</v>
      </c>
      <c r="G93" s="88" t="n">
        <v>-3.555158186162565</v>
      </c>
      <c r="H93" s="16" t="n">
        <v>0.05266196767038034</v>
      </c>
      <c r="I93" s="16" t="n">
        <v>0.313885534889027</v>
      </c>
      <c r="J93" s="16" t="n">
        <v>0.9629400911412915</v>
      </c>
      <c r="K93" s="88" t="n">
        <v>-4.062391571917845</v>
      </c>
      <c r="L93" s="9" t="n">
        <v>27.93926464096889</v>
      </c>
      <c r="M93" s="18" t="n">
        <v>0.3710211975069942</v>
      </c>
      <c r="N93" s="9" t="n">
        <v>114.4704075054868</v>
      </c>
      <c r="O93" s="9" t="n">
        <v>1.576999099973113</v>
      </c>
      <c r="P93" s="9" t="n">
        <v>4.097115975544772</v>
      </c>
    </row>
    <row r="94" spans="1:22">
      <c r="B94" t="s">
        <v>28</v>
      </c>
      <c r="C94" s="123" t="n">
        <v>6.05448867006802</v>
      </c>
      <c r="D94" s="88" t="n">
        <v>4.010306008098633</v>
      </c>
      <c r="E94" s="16" t="n">
        <v>0.3376309335708809</v>
      </c>
      <c r="F94" s="88" t="n">
        <v>12.34923379887148</v>
      </c>
      <c r="G94" s="88" t="n">
        <v>1.039682369862745</v>
      </c>
      <c r="H94" s="16" t="n">
        <v>-0.03413862215942276</v>
      </c>
      <c r="I94" s="16" t="n">
        <v>0.1417452521863498</v>
      </c>
      <c r="J94" s="16" t="n">
        <v>0.3672113673972617</v>
      </c>
      <c r="K94" s="88" t="n">
        <v>3.079374435250765</v>
      </c>
      <c r="L94" s="9" t="n">
        <v>4.694219470416582</v>
      </c>
      <c r="M94" s="18" t="n">
        <v>0.2246711941796657</v>
      </c>
      <c r="N94" s="9" t="n">
        <v>12.34923379887148</v>
      </c>
      <c r="O94" s="9" t="n">
        <v>1.039682369862745</v>
      </c>
      <c r="P94" s="9" t="n">
        <v>2.630732090115838</v>
      </c>
    </row>
    <row r="95" spans="1:22">
      <c r="B95" t="s">
        <v>29</v>
      </c>
      <c r="C95" s="124" t="n">
        <v>4.45238917382487</v>
      </c>
      <c r="D95" s="88" t="n">
        <v>2.836676063719031</v>
      </c>
      <c r="E95" s="16" t="n">
        <v>0.362886766413962</v>
      </c>
      <c r="F95" s="88" t="n">
        <v>11.3848035106735</v>
      </c>
      <c r="G95" s="88" t="n">
        <v>1.557009970647572</v>
      </c>
      <c r="H95" s="16" t="n">
        <v>0.03421342664862892</v>
      </c>
      <c r="I95" s="16" t="n">
        <v>0.2737932415528948</v>
      </c>
      <c r="J95" s="16" t="n">
        <v>0.575126169746496</v>
      </c>
      <c r="K95" s="88" t="n">
        <v>4.013430950500362</v>
      </c>
      <c r="L95" s="9" t="n">
        <v>2.836676063719031</v>
      </c>
      <c r="M95" s="18" t="n">
        <v>0.362886766413962</v>
      </c>
      <c r="N95" s="9" t="n">
        <v>11.3848035106735</v>
      </c>
      <c r="O95" s="9" t="n">
        <v>1.557009970647572</v>
      </c>
      <c r="P95" s="9" t="n">
        <v>4.013430950500362</v>
      </c>
    </row>
    <row r="96" spans="1:22">
      <c r="C96" s="70" t="n"/>
      <c r="D96" s="88" t="n"/>
      <c r="F96" s="88" t="n"/>
      <c r="G96" s="88" t="n"/>
      <c r="K96" s="88" t="n"/>
      <c r="L96" s="9" t="n"/>
      <c r="N96" s="9" t="n"/>
      <c r="O96" s="9" t="n"/>
      <c r="P96" s="9" t="n"/>
    </row>
    <row r="97" spans="1:22">
      <c r="A97" s="22" t="s">
        <v>238</v>
      </c>
      <c r="B97" t="s">
        <v>24</v>
      </c>
      <c r="C97" s="125" t="n">
        <v>7.125535063244763</v>
      </c>
      <c r="D97" s="88" t="n">
        <v>4.463197222629654</v>
      </c>
      <c r="E97" s="16" t="n">
        <v>0.3736333927185472</v>
      </c>
      <c r="F97" s="88" t="n">
        <v>18.31621560913802</v>
      </c>
      <c r="G97" s="88" t="n">
        <v>1.570503891506688</v>
      </c>
      <c r="H97" s="16" t="n">
        <v>-0.1841222077785412</v>
      </c>
      <c r="I97" s="16" t="n">
        <v>-0.06434435514261838</v>
      </c>
      <c r="J97" s="16" t="n">
        <v>0.3110536632438534</v>
      </c>
      <c r="K97" s="88" t="n">
        <v>4.103832901730109</v>
      </c>
      <c r="L97" s="9" t="n">
        <v>4.463197222629654</v>
      </c>
      <c r="M97" s="18" t="n">
        <v>0.3736333927185472</v>
      </c>
      <c r="N97" s="9" t="n">
        <v>9.084638393652934</v>
      </c>
      <c r="O97" s="9" t="n">
        <v>0.2749412237845408</v>
      </c>
      <c r="P97" s="9" t="n">
        <v>2.035455289224345</v>
      </c>
      <c r="Q97" s="131" t="n">
        <v>0.1287922973155268</v>
      </c>
      <c r="R97" s="131" t="n">
        <v>0.1261246549155067</v>
      </c>
      <c r="S97" s="131" t="n">
        <v>0.03901554118926998</v>
      </c>
      <c r="U97" s="129">
        <f>C97*S97</f>
        <v/>
      </c>
      <c r="V97" s="42">
        <f>Q97*(1-U97)+S97</f>
        <v/>
      </c>
    </row>
    <row r="98" spans="1:22">
      <c r="A98" t="s">
        <v>239</v>
      </c>
      <c r="B98" t="s">
        <v>26</v>
      </c>
      <c r="C98" s="125" t="n">
        <v>8.001408690484235</v>
      </c>
      <c r="D98" s="88" t="n">
        <v>4.571919583312054</v>
      </c>
      <c r="E98" s="16" t="n">
        <v>0.4286106659257062</v>
      </c>
      <c r="F98" s="88" t="n">
        <v>21.3363229366713</v>
      </c>
      <c r="G98" s="88" t="n">
        <v>1.666570820466371</v>
      </c>
      <c r="H98" s="16" t="n">
        <v>-0.2518499485790003</v>
      </c>
      <c r="I98" s="16" t="n">
        <v>-0.1003388905311599</v>
      </c>
      <c r="J98" s="16" t="n">
        <v>0.2560840871351016</v>
      </c>
      <c r="K98" s="88" t="n">
        <v>4.666819384695858</v>
      </c>
      <c r="L98" s="9" t="n">
        <v>4.571919583312054</v>
      </c>
      <c r="M98" s="18" t="n">
        <v>0.4286106659257062</v>
      </c>
      <c r="N98" s="9" t="n">
        <v>9.826408451626936</v>
      </c>
      <c r="O98" s="9" t="n">
        <v>0.2280848075305917</v>
      </c>
      <c r="P98" s="9" t="n">
        <v>2.149295995383268</v>
      </c>
    </row>
    <row r="99" spans="1:22">
      <c r="B99" t="s">
        <v>28</v>
      </c>
      <c r="C99" s="123" t="n">
        <v>0.9177140303976307</v>
      </c>
      <c r="D99" s="88" t="n">
        <v>0.7951964221825515</v>
      </c>
      <c r="E99" s="16" t="n">
        <v>0.1335030348854908</v>
      </c>
      <c r="F99" s="88" t="n">
        <v>3.205678662159003</v>
      </c>
      <c r="G99" s="88" t="n">
        <v>2.493112839050782</v>
      </c>
      <c r="H99" s="16" t="n">
        <v>-0.005397567482292587</v>
      </c>
      <c r="I99" s="16" t="n">
        <v>0.1865912379875418</v>
      </c>
      <c r="J99" s="16" t="n">
        <v>0.863178540883407</v>
      </c>
      <c r="K99" s="88" t="n">
        <v>4.031304181878075</v>
      </c>
      <c r="L99" s="9" t="n">
        <v>0.7951964221825515</v>
      </c>
      <c r="M99" s="18" t="n">
        <v>0.1335030348854908</v>
      </c>
      <c r="N99" s="9" t="n">
        <v>1.431324950837816</v>
      </c>
      <c r="O99" s="9" t="n">
        <v>0.5596633629079921</v>
      </c>
      <c r="P99" s="9" t="n">
        <v>1.799964022611296</v>
      </c>
    </row>
    <row r="100" spans="1:22">
      <c r="B100" t="s">
        <v>29</v>
      </c>
      <c r="C100" s="123" t="n">
        <v>1.00917490992526</v>
      </c>
      <c r="D100" s="88" t="n">
        <v>0.8124731428502798</v>
      </c>
      <c r="E100" s="16" t="n">
        <v>0.1949134536941157</v>
      </c>
      <c r="F100" s="88" t="n">
        <v>3.420867999186972</v>
      </c>
      <c r="G100" s="88" t="n">
        <v>2.389767190546108</v>
      </c>
      <c r="H100" s="16" t="n">
        <v>-0.05589696894794915</v>
      </c>
      <c r="I100" s="16" t="n">
        <v>0.1249027279831223</v>
      </c>
      <c r="J100" s="16" t="n">
        <v>0.671635500968085</v>
      </c>
      <c r="K100" s="88" t="n">
        <v>4.210438251763061</v>
      </c>
      <c r="L100" s="9" t="n">
        <v>0.8124731428502798</v>
      </c>
      <c r="M100" s="18" t="n">
        <v>0.1949134536941157</v>
      </c>
      <c r="N100" s="9" t="n">
        <v>1.521258747308089</v>
      </c>
      <c r="O100" s="9" t="n">
        <v>0.5074282290874168</v>
      </c>
      <c r="P100" s="9" t="n">
        <v>1.872380349670736</v>
      </c>
    </row>
    <row r="101" spans="1:22">
      <c r="C101" s="70" t="n"/>
      <c r="D101" s="88" t="n"/>
      <c r="F101" s="88" t="n"/>
      <c r="G101" s="88" t="n"/>
      <c r="K101" s="88" t="n"/>
      <c r="L101" s="9" t="n"/>
      <c r="N101" s="9" t="n"/>
      <c r="O101" s="9" t="n"/>
      <c r="P101" s="9" t="n"/>
    </row>
    <row r="102" spans="1:22">
      <c r="A102" t="s">
        <v>240</v>
      </c>
      <c r="B102" t="s">
        <v>24</v>
      </c>
      <c r="C102" s="125" t="n">
        <v>27.15670076931517</v>
      </c>
      <c r="D102" s="88" t="n">
        <v>11.16450264611876</v>
      </c>
      <c r="E102" s="16" t="n">
        <v>0.588885898145119</v>
      </c>
      <c r="F102" s="88" t="n">
        <v>107.8588809870827</v>
      </c>
      <c r="G102" s="88" t="n">
        <v>2.971722555817764</v>
      </c>
      <c r="H102" s="16" t="n">
        <v>-0.3662109939191922</v>
      </c>
      <c r="I102" s="16" t="n">
        <v>-0.252037682363321</v>
      </c>
      <c r="J102" s="16" t="n">
        <v>0.02981796876553133</v>
      </c>
      <c r="K102" s="88" t="n">
        <v>9.660876476622885</v>
      </c>
      <c r="L102" s="9" t="n">
        <v>11.16450264611876</v>
      </c>
      <c r="M102" s="18" t="n">
        <v>0.588885898145119</v>
      </c>
      <c r="N102" s="9" t="n">
        <v>37.0981266564537</v>
      </c>
      <c r="O102" s="9" t="n">
        <v>0.3660763496857293</v>
      </c>
      <c r="P102" s="9" t="n">
        <v>3.322864245041004</v>
      </c>
      <c r="Q102" s="131" t="n">
        <v>0.08209416879042451</v>
      </c>
      <c r="R102" s="131" t="n">
        <v>0.04277936412483949</v>
      </c>
      <c r="S102" s="131" t="n">
        <v>0.01558438466290813</v>
      </c>
      <c r="U102" s="129">
        <f>C102*S102</f>
        <v/>
      </c>
      <c r="V102" s="129">
        <f>Q102*(1-U102)+S102</f>
        <v/>
      </c>
    </row>
    <row r="103" spans="1:22">
      <c r="A103" t="s">
        <v>241</v>
      </c>
      <c r="B103" t="s">
        <v>26</v>
      </c>
      <c r="C103" s="126" t="n">
        <v>49.05950904651292</v>
      </c>
      <c r="D103" s="88" t="n">
        <v>12.52591207314271</v>
      </c>
      <c r="E103" s="16" t="n">
        <v>0.7446792208770987</v>
      </c>
      <c r="F103" s="88" t="n">
        <v>106.398136970858</v>
      </c>
      <c r="G103" s="88" t="n">
        <v>1.168756659794186</v>
      </c>
      <c r="H103" s="16" t="n">
        <v>-0.5048037703460895</v>
      </c>
      <c r="I103" s="16" t="n">
        <v>-0.4281323663017357</v>
      </c>
      <c r="J103" s="16" t="n">
        <v>-0.1513579219697672</v>
      </c>
      <c r="K103" s="88" t="n">
        <v>8.494242682653855</v>
      </c>
      <c r="L103" s="9" t="n">
        <v>12.52591207314271</v>
      </c>
      <c r="M103" s="18" t="n">
        <v>0.7446792208770987</v>
      </c>
      <c r="N103" s="9" t="n">
        <v>50.04950618082436</v>
      </c>
      <c r="O103" s="9" t="n">
        <v>0.02017951572594878</v>
      </c>
      <c r="P103" s="9" t="n">
        <v>3.995677591265984</v>
      </c>
    </row>
    <row r="104" spans="1:22">
      <c r="B104" t="s">
        <v>28</v>
      </c>
      <c r="C104" s="125" t="n">
        <v>2.229406776747211</v>
      </c>
      <c r="D104" s="88" t="n">
        <v>1.463409280917862</v>
      </c>
      <c r="E104" s="16" t="n">
        <v>0.3435880359828133</v>
      </c>
      <c r="F104" s="88" t="n">
        <v>5.979417200891008</v>
      </c>
      <c r="G104" s="88" t="n">
        <v>1.682066486590306</v>
      </c>
      <c r="H104" s="16" t="n">
        <v>-0.1709765959534209</v>
      </c>
      <c r="I104" s="16" t="n">
        <v>-0.01356188755677823</v>
      </c>
      <c r="J104" s="16" t="n">
        <v>0.3954374570370518</v>
      </c>
      <c r="K104" s="88" t="n">
        <v>4.085950033841981</v>
      </c>
      <c r="L104" s="9" t="n">
        <v>1.463409280917862</v>
      </c>
      <c r="M104" s="18" t="n">
        <v>0.3435880359828133</v>
      </c>
      <c r="N104" s="9" t="n">
        <v>4.190381375272423</v>
      </c>
      <c r="O104" s="9" t="n">
        <v>0.8795947957897345</v>
      </c>
      <c r="P104" s="9" t="n">
        <v>2.863437747671097</v>
      </c>
    </row>
    <row r="105" spans="1:22">
      <c r="B105" t="s">
        <v>29</v>
      </c>
      <c r="C105" s="123" t="n">
        <v>2.098734601286633</v>
      </c>
      <c r="D105" s="88" t="n">
        <v>1.161794037653005</v>
      </c>
      <c r="E105" s="16" t="n">
        <v>0.4464311795589757</v>
      </c>
      <c r="F105" s="88" t="n">
        <v>7.951731239107062</v>
      </c>
      <c r="G105" s="88" t="n">
        <v>2.788821718683362</v>
      </c>
      <c r="H105" s="16" t="n">
        <v>-0.01940638029977104</v>
      </c>
      <c r="I105" s="16" t="n">
        <v>0.1399041407724408</v>
      </c>
      <c r="J105" s="16" t="n">
        <v>0.6734829174790438</v>
      </c>
      <c r="K105" s="88" t="n">
        <v>6.844355351634211</v>
      </c>
      <c r="L105" s="9" t="n">
        <v>1.161794037653005</v>
      </c>
      <c r="M105" s="18" t="n">
        <v>0.4464311795589757</v>
      </c>
      <c r="N105" s="9" t="n">
        <v>5.171024298745647</v>
      </c>
      <c r="O105" s="9" t="n">
        <v>1.463877183697043</v>
      </c>
      <c r="P105" s="9" t="n">
        <v>4.45089588270902</v>
      </c>
    </row>
    <row r="106" spans="1:22">
      <c r="C106" s="70" t="n"/>
      <c r="D106" s="88" t="n"/>
      <c r="F106" s="88" t="n"/>
      <c r="G106" s="88" t="n"/>
      <c r="K106" s="88" t="n"/>
      <c r="L106" s="9" t="n"/>
      <c r="N106" s="9" t="n"/>
      <c r="O106" s="9" t="n"/>
      <c r="P106" s="9" t="n"/>
    </row>
    <row r="107" spans="1:22">
      <c r="A107" s="39" t="s">
        <v>242</v>
      </c>
      <c r="B107" t="s">
        <v>24</v>
      </c>
      <c r="C107" s="124" t="n">
        <v>12.23547053756746</v>
      </c>
      <c r="D107" s="88" t="n">
        <v>8.85154459933527</v>
      </c>
      <c r="E107" s="16" t="n">
        <v>0.2765668821515506</v>
      </c>
      <c r="F107" s="88" t="n">
        <v>62.11457649023119</v>
      </c>
      <c r="G107" s="88" t="n">
        <v>4.076598917836161</v>
      </c>
      <c r="H107" s="16" t="n">
        <v>0.1263895288400838</v>
      </c>
      <c r="I107" s="16" t="n">
        <v>0.4975702247318117</v>
      </c>
      <c r="J107" s="16" t="n">
        <v>1.073759160661995</v>
      </c>
      <c r="K107" s="88" t="n">
        <v>7.017371464738013</v>
      </c>
      <c r="L107" s="9" t="n">
        <v>8.85154459933527</v>
      </c>
      <c r="M107" s="18" t="n">
        <v>0.2765668821515506</v>
      </c>
      <c r="N107" s="9" t="n">
        <v>40.03733044486779</v>
      </c>
      <c r="O107" s="9" t="n">
        <v>2.272234633064438</v>
      </c>
      <c r="P107" s="9" t="n">
        <v>4.523202701579846</v>
      </c>
      <c r="Q107" s="131" t="n">
        <v>0.1463006745719256</v>
      </c>
      <c r="R107" s="131" t="n">
        <v>0.0910991581129517</v>
      </c>
      <c r="S107" s="131" t="n">
        <v>0.02510509863651096</v>
      </c>
      <c r="U107" s="129">
        <f>C107*S107</f>
        <v/>
      </c>
      <c r="V107" s="42">
        <f>Q107*(1-U107)+S107</f>
        <v/>
      </c>
    </row>
    <row r="108" spans="1:22">
      <c r="A108" t="s">
        <v>243</v>
      </c>
      <c r="B108" t="s">
        <v>26</v>
      </c>
      <c r="C108" s="124" t="n">
        <v>18.15084505712726</v>
      </c>
      <c r="D108" s="88" t="n">
        <v>12.89009356550079</v>
      </c>
      <c r="E108" s="16" t="n">
        <v>0.2898350724205394</v>
      </c>
      <c r="F108" s="88" t="n">
        <v>116.4127403134017</v>
      </c>
      <c r="G108" s="88" t="n">
        <v>5.413626470117994</v>
      </c>
      <c r="H108" s="16" t="n">
        <v>0.1123466010094345</v>
      </c>
      <c r="I108" s="16" t="n">
        <v>0.5834642563687669</v>
      </c>
      <c r="J108" s="16" t="n">
        <v>1.712011304505424</v>
      </c>
      <c r="K108" s="88" t="n">
        <v>9.031178844579552</v>
      </c>
      <c r="L108" s="9" t="n">
        <v>12.89009356550079</v>
      </c>
      <c r="M108" s="18" t="n">
        <v>0.2898350724205394</v>
      </c>
      <c r="N108" s="9" t="n">
        <v>69.23023624514229</v>
      </c>
      <c r="O108" s="9" t="n">
        <v>2.814160499263245</v>
      </c>
      <c r="P108" s="9" t="n">
        <v>5.370809443185967</v>
      </c>
    </row>
    <row r="109" spans="1:22">
      <c r="B109" t="s">
        <v>28</v>
      </c>
      <c r="C109" s="124" t="n">
        <v>1.79005759335104</v>
      </c>
      <c r="D109" s="88" t="n">
        <v>1.248823200956677</v>
      </c>
      <c r="E109" s="16" t="n">
        <v>0.3023558540265494</v>
      </c>
      <c r="F109" s="88" t="n">
        <v>4.822722993621892</v>
      </c>
      <c r="G109" s="88" t="n">
        <v>1.694171970519458</v>
      </c>
      <c r="H109" s="16" t="n">
        <v>0.04099425821109648</v>
      </c>
      <c r="I109" s="16" t="n">
        <v>0.282044324680256</v>
      </c>
      <c r="J109" s="16" t="n">
        <v>0.6933684181845789</v>
      </c>
      <c r="K109" s="88" t="n">
        <v>3.86181405816883</v>
      </c>
      <c r="L109" s="9" t="n">
        <v>1.248823200956677</v>
      </c>
      <c r="M109" s="18" t="n">
        <v>0.3023558540265494</v>
      </c>
      <c r="N109" s="9" t="n">
        <v>4.62660631304649</v>
      </c>
      <c r="O109" s="9" t="n">
        <v>1.58461310419926</v>
      </c>
      <c r="P109" s="9" t="n">
        <v>3.70477286897154</v>
      </c>
    </row>
    <row r="110" spans="1:22">
      <c r="B110" t="s">
        <v>29</v>
      </c>
      <c r="C110" s="124" t="n">
        <v>1.653526703742924</v>
      </c>
      <c r="D110" s="88" t="n">
        <v>1.122747958865174</v>
      </c>
      <c r="E110" s="16" t="n">
        <v>0.3209979879225892</v>
      </c>
      <c r="F110" s="88" t="n">
        <v>5.256917038740625</v>
      </c>
      <c r="G110" s="88" t="n">
        <v>2.179215084244521</v>
      </c>
      <c r="H110" s="16" t="n">
        <v>0.2364367407794659</v>
      </c>
      <c r="I110" s="16" t="n">
        <v>0.5384559580314994</v>
      </c>
      <c r="J110" s="16" t="n">
        <v>1.086887624714419</v>
      </c>
      <c r="K110" s="88" t="n">
        <v>4.682188016671251</v>
      </c>
      <c r="L110" s="9" t="n">
        <v>1.122747958865174</v>
      </c>
      <c r="M110" s="18" t="n">
        <v>0.3209979879225892</v>
      </c>
      <c r="N110" s="9" t="n">
        <v>5.256917038740625</v>
      </c>
      <c r="O110" s="9" t="n">
        <v>2.179215084244521</v>
      </c>
      <c r="P110" s="9" t="n">
        <v>4.682188016671251</v>
      </c>
    </row>
    <row r="111" spans="1:22">
      <c r="C111" s="70" t="n"/>
      <c r="D111" s="88" t="n"/>
      <c r="F111" s="88" t="n"/>
      <c r="G111" s="88" t="n"/>
      <c r="K111" s="88" t="n"/>
      <c r="L111" s="9" t="n"/>
      <c r="N111" s="9" t="n"/>
      <c r="O111" s="9" t="n"/>
      <c r="P111" s="9" t="n"/>
    </row>
    <row r="112" spans="1:22">
      <c r="A112" t="s">
        <v>244</v>
      </c>
      <c r="B112" t="s">
        <v>24</v>
      </c>
      <c r="C112" s="125" t="n">
        <v>79.32688471292322</v>
      </c>
      <c r="D112" s="88" t="n">
        <v>27.71953710762947</v>
      </c>
      <c r="E112" s="16" t="n">
        <v>0.6505656662562264</v>
      </c>
      <c r="F112" s="88" t="n">
        <v>212.6811663171106</v>
      </c>
      <c r="G112" s="88" t="n">
        <v>1.681072968978731</v>
      </c>
      <c r="H112" s="16" t="n">
        <v>-0.3956336078435398</v>
      </c>
      <c r="I112" s="16" t="n">
        <v>-0.1885595455733774</v>
      </c>
      <c r="J112" s="16" t="n">
        <v>0.1190335232232242</v>
      </c>
      <c r="K112" s="88" t="n">
        <v>7.67260887118395</v>
      </c>
      <c r="L112" s="9" t="n">
        <v>48.88020997465741</v>
      </c>
      <c r="M112" s="18" t="n">
        <v>0.3838128126227263</v>
      </c>
      <c r="N112" s="9" t="n">
        <v>212.6811663171106</v>
      </c>
      <c r="O112" s="9" t="n">
        <v>1.681072968978731</v>
      </c>
      <c r="P112" s="9" t="n">
        <v>4.351068999649918</v>
      </c>
      <c r="Q112" s="131" t="n">
        <v>0.05535528138872872</v>
      </c>
      <c r="R112" s="131" t="n">
        <v>0.03742036535958262</v>
      </c>
      <c r="S112" s="131" t="n">
        <v>0.003488065098488163</v>
      </c>
      <c r="U112" s="129">
        <f>C112*S112</f>
        <v/>
      </c>
      <c r="V112" s="129">
        <f>Q112*(1-U112)+S112</f>
        <v/>
      </c>
    </row>
    <row r="113" spans="1:22">
      <c r="A113" t="s">
        <v>245</v>
      </c>
      <c r="B113" t="s">
        <v>26</v>
      </c>
      <c r="C113" s="125" t="n">
        <v>89.62305558137268</v>
      </c>
      <c r="D113" s="88" t="n">
        <v>27.66301157427285</v>
      </c>
      <c r="E113" s="16" t="n">
        <v>0.691340454810131</v>
      </c>
      <c r="F113" s="88" t="n">
        <v>214.9638215082611</v>
      </c>
      <c r="G113" s="88" t="n">
        <v>1.398532610987427</v>
      </c>
      <c r="H113" s="16" t="n">
        <v>-0.4357367971751276</v>
      </c>
      <c r="I113" s="16" t="n">
        <v>-0.199470542433795</v>
      </c>
      <c r="J113" s="16" t="n">
        <v>0.01954415155177291</v>
      </c>
      <c r="K113" s="88" t="n">
        <v>7.770803295624607</v>
      </c>
      <c r="L113" s="9" t="n">
        <v>49.06946698498424</v>
      </c>
      <c r="M113" s="18" t="n">
        <v>0.4524905821757893</v>
      </c>
      <c r="N113" s="9" t="n">
        <v>214.9638215082611</v>
      </c>
      <c r="O113" s="9" t="n">
        <v>1.398532610987427</v>
      </c>
      <c r="P113" s="9" t="n">
        <v>4.380806124795328</v>
      </c>
    </row>
    <row r="114" spans="1:22">
      <c r="B114" t="s">
        <v>28</v>
      </c>
      <c r="C114" s="123" t="n">
        <v>4.391162024975107</v>
      </c>
      <c r="D114" s="88" t="n">
        <v>2.589213412723383</v>
      </c>
      <c r="E114" s="16" t="n">
        <v>0.4103580332501939</v>
      </c>
      <c r="F114" s="88" t="n">
        <v>21.79501427703237</v>
      </c>
      <c r="G114" s="88" t="n">
        <v>3.963381936961419</v>
      </c>
      <c r="H114" s="16" t="n">
        <v>-0.1344336824126949</v>
      </c>
      <c r="I114" s="16" t="n">
        <v>0.2695001912484545</v>
      </c>
      <c r="J114" s="16" t="n">
        <v>0.6253732945641863</v>
      </c>
      <c r="K114" s="88" t="n">
        <v>8.417619872480103</v>
      </c>
      <c r="L114" s="9" t="n">
        <v>2.905484356454711</v>
      </c>
      <c r="M114" s="18" t="n">
        <v>0.338333602830066</v>
      </c>
      <c r="N114" s="9" t="n">
        <v>21.79501427703237</v>
      </c>
      <c r="O114" s="9" t="n">
        <v>3.963381936961419</v>
      </c>
      <c r="P114" s="9" t="n">
        <v>7.501335957501687</v>
      </c>
    </row>
    <row r="115" spans="1:22">
      <c r="B115" t="s">
        <v>29</v>
      </c>
      <c r="C115" s="123" t="n">
        <v>3.353727484497146</v>
      </c>
      <c r="D115" s="88" t="n">
        <v>2.239369557313438</v>
      </c>
      <c r="E115" s="16" t="n">
        <v>0.332274441598165</v>
      </c>
      <c r="F115" s="88" t="n">
        <v>18.43698480766269</v>
      </c>
      <c r="G115" s="88" t="n">
        <v>4.497460629371056</v>
      </c>
      <c r="H115" s="16" t="n">
        <v>-0.03755592259895824</v>
      </c>
      <c r="I115" s="16" t="n">
        <v>0.4491849823941074</v>
      </c>
      <c r="J115" s="16" t="n">
        <v>1.003067346740899</v>
      </c>
      <c r="K115" s="88" t="n">
        <v>8.23311397953514</v>
      </c>
      <c r="L115" s="9" t="n">
        <v>2.244306606353035</v>
      </c>
      <c r="M115" s="18" t="n">
        <v>0.3308023336041737</v>
      </c>
      <c r="N115" s="9" t="n">
        <v>18.43698480766269</v>
      </c>
      <c r="O115" s="9" t="n">
        <v>4.497460629371056</v>
      </c>
      <c r="P115" s="9" t="n">
        <v>8.215002689682635</v>
      </c>
    </row>
    <row r="116" spans="1:22">
      <c r="C116" s="70" t="n"/>
      <c r="D116" s="88" t="n"/>
      <c r="F116" s="88" t="n"/>
      <c r="G116" s="88" t="n"/>
      <c r="K116" s="88" t="n"/>
      <c r="L116" s="9" t="n"/>
      <c r="N116" s="9" t="n"/>
      <c r="O116" s="9" t="n"/>
      <c r="P116" s="9" t="n"/>
    </row>
    <row r="117" spans="1:22">
      <c r="A117" t="s">
        <v>246</v>
      </c>
      <c r="B117" t="s">
        <v>24</v>
      </c>
      <c r="C117" s="124" t="n">
        <v>43.39807442514688</v>
      </c>
      <c r="D117" s="88" t="n">
        <v>27.69074509513737</v>
      </c>
      <c r="E117" s="16" t="n">
        <v>0.361936089056245</v>
      </c>
      <c r="F117" s="88" t="n">
        <v>-160.2041242029815</v>
      </c>
      <c r="G117" s="88" t="n">
        <v>-4.691503052267953</v>
      </c>
      <c r="H117" s="16" t="n">
        <v>0.03256695734275161</v>
      </c>
      <c r="I117" s="16" t="n">
        <v>0.2405062462572618</v>
      </c>
      <c r="J117" s="16" t="n">
        <v>0.8227816142832862</v>
      </c>
      <c r="K117" s="88" t="n">
        <v>-5.785475387266272</v>
      </c>
      <c r="L117" s="9" t="n">
        <v>27.69074509513737</v>
      </c>
      <c r="M117" s="18" t="n">
        <v>0.361936089056245</v>
      </c>
      <c r="N117" s="9" t="n">
        <v>112.3698858316129</v>
      </c>
      <c r="O117" s="9" t="n">
        <v>1.589282757819791</v>
      </c>
      <c r="P117" s="9" t="n">
        <v>4.058030415777637</v>
      </c>
      <c r="Q117" s="131" t="n">
        <v>0.07761125688288702</v>
      </c>
      <c r="R117" s="131" t="n">
        <v>0.03876021823199886</v>
      </c>
      <c r="S117" s="131" t="n">
        <v>0.008172414710961093</v>
      </c>
      <c r="U117" s="129">
        <f>C117*S117</f>
        <v/>
      </c>
      <c r="V117" s="129">
        <f>Q117*(1-U117)+S117</f>
        <v/>
      </c>
    </row>
    <row r="118" spans="1:22">
      <c r="A118" t="s">
        <v>247</v>
      </c>
      <c r="B118" t="s">
        <v>26</v>
      </c>
      <c r="C118" s="123" t="n">
        <v>80.8895488301128</v>
      </c>
      <c r="D118" s="88" t="n">
        <v>38.20517790253759</v>
      </c>
      <c r="E118" s="16" t="n">
        <v>0.5276870936345868</v>
      </c>
      <c r="F118" s="88" t="n">
        <v>-166.5831222314042</v>
      </c>
      <c r="G118" s="88" t="n">
        <v>-3.059389929115172</v>
      </c>
      <c r="H118" s="16" t="n">
        <v>-0.2515206574980077</v>
      </c>
      <c r="I118" s="16" t="n">
        <v>0.005977103906736669</v>
      </c>
      <c r="J118" s="16" t="n">
        <v>0.8692093663347018</v>
      </c>
      <c r="K118" s="88" t="n">
        <v>-4.360223702042747</v>
      </c>
      <c r="L118" s="9" t="n">
        <v>50.79071408297163</v>
      </c>
      <c r="M118" s="18" t="n">
        <v>0.3720979432133543</v>
      </c>
      <c r="N118" s="9" t="n">
        <v>-1281.119807756178</v>
      </c>
      <c r="O118" s="9" t="n">
        <v>-16.83789038614658</v>
      </c>
      <c r="P118" s="9" t="n">
        <v>-25.22350454973605</v>
      </c>
    </row>
    <row r="119" spans="1:22">
      <c r="B119" t="s">
        <v>28</v>
      </c>
      <c r="C119" s="123" t="n">
        <v>3.368179102432724</v>
      </c>
      <c r="D119" s="88" t="n">
        <v>2.367638995434115</v>
      </c>
      <c r="E119" s="16" t="n">
        <v>0.2970566815392778</v>
      </c>
      <c r="F119" s="88" t="n">
        <v>8.150073198043668</v>
      </c>
      <c r="G119" s="88" t="n">
        <v>1.419726787140607</v>
      </c>
      <c r="H119" s="16" t="n">
        <v>-0.0412738878843163</v>
      </c>
      <c r="I119" s="16" t="n">
        <v>0.1544251621225363</v>
      </c>
      <c r="J119" s="16" t="n">
        <v>0.3136455946437664</v>
      </c>
      <c r="K119" s="88" t="n">
        <v>3.442278664002711</v>
      </c>
      <c r="L119" s="9" t="n">
        <v>2.367979361757084</v>
      </c>
      <c r="M119" s="18" t="n">
        <v>0.2969556280285773</v>
      </c>
      <c r="N119" s="9" t="n">
        <v>8.150073198043668</v>
      </c>
      <c r="O119" s="9" t="n">
        <v>1.419726787140607</v>
      </c>
      <c r="P119" s="9" t="n">
        <v>3.441783881087614</v>
      </c>
    </row>
    <row r="120" spans="1:22">
      <c r="B120" t="s">
        <v>29</v>
      </c>
      <c r="C120" s="123" t="n">
        <v>3.135296565343101</v>
      </c>
      <c r="D120" s="88" t="n">
        <v>2.010605824275417</v>
      </c>
      <c r="E120" s="16" t="n">
        <v>0.3587190932748676</v>
      </c>
      <c r="F120" s="88" t="n">
        <v>8.782254392941532</v>
      </c>
      <c r="G120" s="88" t="n">
        <v>1.801092084882399</v>
      </c>
      <c r="H120" s="16" t="n">
        <v>-0.06444385144194709</v>
      </c>
      <c r="I120" s="16" t="n">
        <v>0.274327518023846</v>
      </c>
      <c r="J120" s="16" t="n">
        <v>0.5840444747142868</v>
      </c>
      <c r="K120" s="88" t="n">
        <v>4.36796426574885</v>
      </c>
      <c r="L120" s="9" t="n">
        <v>2.047834813147073</v>
      </c>
      <c r="M120" s="18" t="n">
        <v>0.3468449409911005</v>
      </c>
      <c r="N120" s="9" t="n">
        <v>8.782254392941532</v>
      </c>
      <c r="O120" s="9" t="n">
        <v>1.801092084882399</v>
      </c>
      <c r="P120" s="9" t="n">
        <v>4.288556057627097</v>
      </c>
    </row>
    <row r="121" spans="1:22">
      <c r="C121" s="70" t="n"/>
      <c r="D121" s="88" t="n"/>
      <c r="F121" s="88" t="n"/>
      <c r="G121" s="88" t="n"/>
      <c r="K121" s="88" t="n"/>
      <c r="L121" s="9" t="n"/>
      <c r="N121" s="9" t="n"/>
      <c r="O121" s="9" t="n"/>
      <c r="P121" s="9" t="n"/>
    </row>
    <row r="122" spans="1:22">
      <c r="A122" t="s">
        <v>248</v>
      </c>
      <c r="B122" t="s">
        <v>24</v>
      </c>
      <c r="C122" s="123" t="n">
        <v>49.21870458178618</v>
      </c>
      <c r="D122" s="88" t="n">
        <v>27.00268657070911</v>
      </c>
      <c r="E122" s="16" t="n">
        <v>0.4513734808717073</v>
      </c>
      <c r="F122" s="88" t="n">
        <v>363.8950847337566</v>
      </c>
      <c r="G122" s="88" t="n">
        <v>6.393430766327386</v>
      </c>
      <c r="H122" s="16" t="n">
        <v>-0.1758345828160335</v>
      </c>
      <c r="I122" s="16" t="n">
        <v>0.7771442388393111</v>
      </c>
      <c r="J122" s="16" t="n">
        <v>1.257706658640311</v>
      </c>
      <c r="K122" s="88" t="n">
        <v>13.47625480823409</v>
      </c>
      <c r="L122" s="9" t="n">
        <v>29.56048830930219</v>
      </c>
      <c r="M122" s="18" t="n">
        <v>0.3994053975926601</v>
      </c>
      <c r="N122" s="9" t="n">
        <v>168.8933719745718</v>
      </c>
      <c r="O122" s="9" t="n">
        <v>2.431487549492969</v>
      </c>
      <c r="P122" s="9" t="n">
        <v>5.713483830421837</v>
      </c>
      <c r="Q122" s="131" t="n">
        <v>0.08172956789873827</v>
      </c>
      <c r="R122" s="131" t="n">
        <v>0.04777654072614343</v>
      </c>
      <c r="S122" s="131" t="n">
        <v>0.004160654201033386</v>
      </c>
      <c r="U122" s="129">
        <f>C122*S122</f>
        <v/>
      </c>
      <c r="V122" s="129">
        <f>Q122*(1-U122)+S122</f>
        <v/>
      </c>
    </row>
    <row r="123" spans="1:22">
      <c r="A123" t="s">
        <v>249</v>
      </c>
      <c r="B123" t="s">
        <v>26</v>
      </c>
      <c r="C123" s="123" t="n">
        <v>72.04065907579258</v>
      </c>
      <c r="D123" s="88" t="n">
        <v>30.31267299191196</v>
      </c>
      <c r="E123" s="16" t="n">
        <v>0.5792282666373084</v>
      </c>
      <c r="F123" s="88" t="n">
        <v>660.1837758450088</v>
      </c>
      <c r="G123" s="88" t="n">
        <v>8.164044087248595</v>
      </c>
      <c r="H123" s="16" t="n">
        <v>-0.2112630117780953</v>
      </c>
      <c r="I123" s="16" t="n">
        <v>0.2669283145919288</v>
      </c>
      <c r="J123" s="16" t="n">
        <v>0.5826735738464037</v>
      </c>
      <c r="K123" s="88" t="n">
        <v>21.77913429215429</v>
      </c>
      <c r="L123" s="9" t="n">
        <v>52.59541829038733</v>
      </c>
      <c r="M123" s="18" t="n">
        <v>0.2699203621242178</v>
      </c>
      <c r="N123" s="9" t="n">
        <v>154.8151081159401</v>
      </c>
      <c r="O123" s="9" t="n">
        <v>1.148996276575733</v>
      </c>
      <c r="P123" s="9" t="n">
        <v>2.943509399643563</v>
      </c>
    </row>
    <row r="124" spans="1:22">
      <c r="B124" t="s">
        <v>28</v>
      </c>
      <c r="C124" s="125" t="n">
        <v>4.022623458005033</v>
      </c>
      <c r="D124" s="88" t="n">
        <v>1.951148937209855</v>
      </c>
      <c r="E124" s="16" t="n">
        <v>0.5149561082265698</v>
      </c>
      <c r="F124" s="88" t="n">
        <v>8.883431379267883</v>
      </c>
      <c r="G124" s="88" t="n">
        <v>1.208367616807342</v>
      </c>
      <c r="H124" s="16" t="n">
        <v>-0.3122007478703006</v>
      </c>
      <c r="I124" s="16" t="n">
        <v>-0.05414904177128921</v>
      </c>
      <c r="J124" s="16" t="n">
        <v>0.1693009553329869</v>
      </c>
      <c r="K124" s="88" t="n">
        <v>4.552923259651926</v>
      </c>
      <c r="L124" s="9" t="n">
        <v>2.605058741441934</v>
      </c>
      <c r="M124" s="18" t="n">
        <v>0.3523980634434331</v>
      </c>
      <c r="N124" s="9" t="n">
        <v>8.883431379267883</v>
      </c>
      <c r="O124" s="9" t="n">
        <v>1.208367616807342</v>
      </c>
      <c r="P124" s="9" t="n">
        <v>3.410069507434903</v>
      </c>
    </row>
    <row r="125" spans="1:22">
      <c r="B125" t="s">
        <v>29</v>
      </c>
      <c r="C125" s="123" t="n">
        <v>3.441853482272818</v>
      </c>
      <c r="D125" s="88" t="n">
        <v>1.662784764383508</v>
      </c>
      <c r="E125" s="16" t="n">
        <v>0.5168926356256476</v>
      </c>
      <c r="F125" s="88" t="n">
        <v>7.833933505421897</v>
      </c>
      <c r="G125" s="88" t="n">
        <v>1.276079892932799</v>
      </c>
      <c r="H125" s="16" t="n">
        <v>-0.2748288646699555</v>
      </c>
      <c r="I125" s="16" t="n">
        <v>0.008725078999256564</v>
      </c>
      <c r="J125" s="16" t="n">
        <v>0.2212143279714287</v>
      </c>
      <c r="K125" s="88" t="n">
        <v>4.711333464933688</v>
      </c>
      <c r="L125" s="9" t="n">
        <v>2.373001920021374</v>
      </c>
      <c r="M125" s="18" t="n">
        <v>0.3105453406882478</v>
      </c>
      <c r="N125" s="9" t="n">
        <v>7.833933505421897</v>
      </c>
      <c r="O125" s="9" t="n">
        <v>1.276079892932799</v>
      </c>
      <c r="P125" s="9" t="n">
        <v>3.301275670839464</v>
      </c>
    </row>
    <row r="126" spans="1:22">
      <c r="C126" s="70" t="n"/>
      <c r="D126" s="88" t="n"/>
      <c r="F126" s="88" t="n"/>
      <c r="G126" s="88" t="n"/>
      <c r="K126" s="88" t="n"/>
      <c r="L126" s="9" t="n"/>
      <c r="N126" s="9" t="n"/>
      <c r="O126" s="9" t="n"/>
      <c r="P126" s="9" t="n"/>
    </row>
    <row r="127" spans="1:22">
      <c r="A127" t="s">
        <v>250</v>
      </c>
      <c r="B127" t="s">
        <v>24</v>
      </c>
      <c r="C127" s="123" t="n">
        <v>50.75035825026005</v>
      </c>
      <c r="D127" s="88" t="n">
        <v>6.808187656090906</v>
      </c>
      <c r="E127" s="16" t="n">
        <v>0.8658494660763105</v>
      </c>
      <c r="F127" s="88" t="n">
        <v>234.3057419524062</v>
      </c>
      <c r="G127" s="88" t="n">
        <v>3.616829319647327</v>
      </c>
      <c r="H127" s="16" t="n">
        <v>-0.4453663755699604</v>
      </c>
      <c r="I127" s="16" t="n">
        <v>0.02811016979878955</v>
      </c>
      <c r="J127" s="16" t="n">
        <v>0.8102826535980374</v>
      </c>
      <c r="K127" s="88" t="n">
        <v>34.41528844211366</v>
      </c>
      <c r="L127" s="9" t="n">
        <v>22.58433559975065</v>
      </c>
      <c r="M127" s="18" t="n">
        <v>0.5549916024556354</v>
      </c>
      <c r="N127" s="9" t="n">
        <v>234.3057419524062</v>
      </c>
      <c r="O127" s="9" t="n">
        <v>3.616829319647327</v>
      </c>
      <c r="P127" s="9" t="n">
        <v>10.37470156770931</v>
      </c>
      <c r="Q127" s="131" t="n">
        <v>0.03278574298071785</v>
      </c>
      <c r="R127" s="131" t="n">
        <v>0.03743315566508481</v>
      </c>
      <c r="S127" s="131" t="n">
        <v>0.008087586588295873</v>
      </c>
      <c r="U127" s="129">
        <f>C127*S127</f>
        <v/>
      </c>
      <c r="V127" s="129">
        <f>Q127*(1-U127)+S127</f>
        <v/>
      </c>
    </row>
    <row r="128" spans="1:22">
      <c r="A128" t="s">
        <v>251</v>
      </c>
      <c r="B128" t="s">
        <v>26</v>
      </c>
      <c r="C128" s="126" t="n">
        <v>101.2418756535365</v>
      </c>
      <c r="D128" s="88" t="n">
        <v>16.71403422054864</v>
      </c>
      <c r="E128" s="16" t="n">
        <v>0.8349098719017578</v>
      </c>
      <c r="F128" s="88" t="n">
        <v>-12.61840794392105</v>
      </c>
      <c r="G128" s="88" t="n">
        <v>-1.124636252168055</v>
      </c>
      <c r="H128" s="16" t="n">
        <v>-0.5376431521866037</v>
      </c>
      <c r="I128" s="16" t="n">
        <v>-0.3789402616246005</v>
      </c>
      <c r="J128" s="16" t="n">
        <v>-0.05758902087352324</v>
      </c>
      <c r="K128" s="88" t="n">
        <v>-0.7549588434136186</v>
      </c>
      <c r="L128" s="9" t="n">
        <v>34.69447870565075</v>
      </c>
      <c r="M128" s="18" t="n">
        <v>0.6573109843956271</v>
      </c>
      <c r="N128" s="9" t="n">
        <v>-2741.011551720195</v>
      </c>
      <c r="O128" s="9" t="n">
        <v>-28.07389145080945</v>
      </c>
      <c r="P128" s="9" t="n">
        <v>-79.00425814075602</v>
      </c>
    </row>
    <row r="129" spans="1:22">
      <c r="B129" t="s">
        <v>28</v>
      </c>
      <c r="C129" s="123" t="n">
        <v>1.66388820177238</v>
      </c>
      <c r="D129" s="88" t="n">
        <v>1.055054563422881</v>
      </c>
      <c r="E129" s="16" t="n">
        <v>0.3659101841704069</v>
      </c>
      <c r="F129" s="88" t="n">
        <v>4.633647102652254</v>
      </c>
      <c r="G129" s="88" t="n">
        <v>1.784830794350531</v>
      </c>
      <c r="H129" s="16" t="n">
        <v>-0.1813635923905818</v>
      </c>
      <c r="I129" s="16" t="n">
        <v>0.06227469605647862</v>
      </c>
      <c r="J129" s="16" t="n">
        <v>0.4589337177012933</v>
      </c>
      <c r="K129" s="88" t="n">
        <v>4.391855419893597</v>
      </c>
      <c r="L129" s="9" t="n">
        <v>1.223193828259765</v>
      </c>
      <c r="M129" s="18" t="n">
        <v>0.264858163573241</v>
      </c>
      <c r="N129" s="9" t="n">
        <v>4.633647102652254</v>
      </c>
      <c r="O129" s="9" t="n">
        <v>1.784830794350531</v>
      </c>
      <c r="P129" s="9" t="n">
        <v>3.788154416413736</v>
      </c>
    </row>
    <row r="130" spans="1:22">
      <c r="B130" t="s">
        <v>29</v>
      </c>
      <c r="C130" s="125" t="n">
        <v>3.789802891163991</v>
      </c>
      <c r="D130" s="88" t="n">
        <v>1.941537717758296</v>
      </c>
      <c r="E130" s="16" t="n">
        <v>0.4876942750017331</v>
      </c>
      <c r="F130" s="88" t="n">
        <v>13.93954286472779</v>
      </c>
      <c r="G130" s="88" t="n">
        <v>2.678170940559505</v>
      </c>
      <c r="H130" s="16" t="n">
        <v>-0.2274340418548981</v>
      </c>
      <c r="I130" s="16" t="n">
        <v>-0.07100061147329029</v>
      </c>
      <c r="J130" s="16" t="n">
        <v>0.3697883873699697</v>
      </c>
      <c r="K130" s="88" t="n">
        <v>7.179640517528763</v>
      </c>
      <c r="L130" s="9" t="n">
        <v>2.482946714107944</v>
      </c>
      <c r="M130" s="18" t="n">
        <v>0.3448348672969275</v>
      </c>
      <c r="N130" s="9" t="n">
        <v>9.348964004740102</v>
      </c>
      <c r="O130" s="9" t="n">
        <v>1.466873416170909</v>
      </c>
      <c r="P130" s="9" t="n">
        <v>3.765269690090363</v>
      </c>
    </row>
    <row r="131" spans="1:22">
      <c r="C131" s="70" t="n"/>
      <c r="D131" s="88" t="n"/>
      <c r="F131" s="88" t="n"/>
      <c r="G131" s="88" t="n"/>
      <c r="K131" s="88" t="n"/>
      <c r="L131" s="9" t="n"/>
      <c r="N131" s="9" t="n"/>
      <c r="O131" s="9" t="n"/>
      <c r="P131" s="9" t="n"/>
    </row>
    <row r="132" spans="1:22">
      <c r="A132" t="s">
        <v>252</v>
      </c>
      <c r="B132" t="s">
        <v>24</v>
      </c>
      <c r="C132" s="126" t="n">
        <v>96.05251153081964</v>
      </c>
      <c r="D132" s="88" t="n">
        <v>27.19654338525542</v>
      </c>
      <c r="E132" s="16" t="n">
        <v>0.7168575506062735</v>
      </c>
      <c r="F132" s="88" t="n">
        <v>237.5782880686273</v>
      </c>
      <c r="G132" s="88" t="n">
        <v>1.473420884912493</v>
      </c>
      <c r="H132" s="16" t="n">
        <v>-0.5617639980582657</v>
      </c>
      <c r="I132" s="16" t="n">
        <v>-0.4107362646130466</v>
      </c>
      <c r="J132" s="16" t="n">
        <v>-0.1690027433654886</v>
      </c>
      <c r="K132" s="88" t="n">
        <v>8.735606018132074</v>
      </c>
      <c r="L132" s="9" t="n">
        <v>37.80471348489214</v>
      </c>
      <c r="M132" s="18" t="n">
        <v>0.6064161896197579</v>
      </c>
      <c r="N132" s="9" t="n">
        <v>123.5052195054104</v>
      </c>
      <c r="O132" s="9" t="n">
        <v>0.2858093717391472</v>
      </c>
      <c r="P132" s="9" t="n">
        <v>3.266926478751563</v>
      </c>
      <c r="Q132" s="131" t="n">
        <v>0.03866586307723197</v>
      </c>
      <c r="R132" s="131" t="n">
        <v>0.04621729376523134</v>
      </c>
      <c r="S132" s="131" t="n">
        <v>0.004382452258424041</v>
      </c>
      <c r="U132" s="129">
        <f>C132*S132</f>
        <v/>
      </c>
      <c r="V132" s="129">
        <f>Q132*(1-U132)+S132</f>
        <v/>
      </c>
    </row>
    <row r="133" spans="1:22">
      <c r="A133" t="s">
        <v>253</v>
      </c>
      <c r="B133" t="s">
        <v>26</v>
      </c>
      <c r="C133" s="123" t="n">
        <v>75.91973268389499</v>
      </c>
      <c r="D133" s="88" t="n">
        <v>33.65883004907689</v>
      </c>
      <c r="E133" s="16" t="n">
        <v>0.5566524161877482</v>
      </c>
      <c r="F133" s="88" t="n">
        <v>443.9341172050232</v>
      </c>
      <c r="G133" s="88" t="n">
        <v>4.847414124249094</v>
      </c>
      <c r="H133" s="16" t="n">
        <v>-0.3029201460323723</v>
      </c>
      <c r="I133" s="16" t="n">
        <v>0.2102415317274031</v>
      </c>
      <c r="J133" s="16" t="n">
        <v>0.6406108727832784</v>
      </c>
      <c r="K133" s="88" t="n">
        <v>13.18923196551207</v>
      </c>
      <c r="L133" s="9" t="n">
        <v>45.42135565501506</v>
      </c>
      <c r="M133" s="18" t="n">
        <v>0.4017187093619683</v>
      </c>
      <c r="N133" s="9" t="n">
        <v>269.8363629239715</v>
      </c>
      <c r="O133" s="9" t="n">
        <v>2.554232258001779</v>
      </c>
      <c r="P133" s="9" t="n">
        <v>5.940737766028751</v>
      </c>
    </row>
    <row r="134" spans="1:22">
      <c r="B134" t="s">
        <v>28</v>
      </c>
      <c r="C134" s="123" t="n">
        <v>3.713953259074917</v>
      </c>
      <c r="D134" s="88" t="n">
        <v>1.71128097348446</v>
      </c>
      <c r="E134" s="16" t="n">
        <v>0.5392292648532924</v>
      </c>
      <c r="F134" s="88" t="n">
        <v>8.812667690422739</v>
      </c>
      <c r="G134" s="88" t="n">
        <v>1.372853688691232</v>
      </c>
      <c r="H134" s="16" t="n">
        <v>-0.2152197009760833</v>
      </c>
      <c r="I134" s="16" t="n">
        <v>0.04845631716122401</v>
      </c>
      <c r="J134" s="16" t="n">
        <v>0.2558351328762518</v>
      </c>
      <c r="K134" s="88" t="n">
        <v>5.149749121839789</v>
      </c>
      <c r="L134" s="9" t="n">
        <v>2.421834792346239</v>
      </c>
      <c r="M134" s="18" t="n">
        <v>0.3479091891023213</v>
      </c>
      <c r="N134" s="9" t="n">
        <v>8.812667690422739</v>
      </c>
      <c r="O134" s="9" t="n">
        <v>1.372853688691232</v>
      </c>
      <c r="P134" s="9" t="n">
        <v>3.63883932887311</v>
      </c>
    </row>
    <row r="135" spans="1:22">
      <c r="B135" t="s">
        <v>29</v>
      </c>
      <c r="C135" s="123" t="n">
        <v>3.50880458802941</v>
      </c>
      <c r="D135" s="88" t="n">
        <v>1.910844851066751</v>
      </c>
      <c r="E135" s="16" t="n">
        <v>0.4554142862256385</v>
      </c>
      <c r="F135" s="88" t="n">
        <v>9.422472877838233</v>
      </c>
      <c r="G135" s="88" t="n">
        <v>1.685379775774294</v>
      </c>
      <c r="H135" s="16" t="n">
        <v>-0.1638962202127037</v>
      </c>
      <c r="I135" s="16" t="n">
        <v>0.1752942001089881</v>
      </c>
      <c r="J135" s="16" t="n">
        <v>0.5917988177441944</v>
      </c>
      <c r="K135" s="88" t="n">
        <v>4.931050719569425</v>
      </c>
      <c r="L135" s="9" t="n">
        <v>2.16272988857349</v>
      </c>
      <c r="M135" s="18" t="n">
        <v>0.3836277186960398</v>
      </c>
      <c r="N135" s="9" t="n">
        <v>9.422472877838233</v>
      </c>
      <c r="O135" s="9" t="n">
        <v>1.685379775774294</v>
      </c>
      <c r="P135" s="9" t="n">
        <v>4.356749739124003</v>
      </c>
    </row>
    <row r="136" spans="1:22">
      <c r="C136" s="70" t="n"/>
      <c r="D136" s="88" t="n"/>
      <c r="F136" s="88" t="n"/>
      <c r="G136" s="88" t="n"/>
      <c r="K136" s="88" t="n"/>
      <c r="L136" s="9" t="n"/>
      <c r="N136" s="9" t="n"/>
      <c r="O136" s="9" t="n"/>
      <c r="P136" s="9" t="n"/>
    </row>
    <row r="137" spans="1:22">
      <c r="A137" t="s">
        <v>200</v>
      </c>
      <c r="B137" t="s">
        <v>24</v>
      </c>
      <c r="C137" s="125" t="n">
        <v>24.80812379370064</v>
      </c>
      <c r="D137" s="88" t="n">
        <v>10.44099953432479</v>
      </c>
      <c r="E137" s="16" t="n">
        <v>0.5791298196852759</v>
      </c>
      <c r="F137" s="88" t="n">
        <v>-137.97955089672</v>
      </c>
      <c r="G137" s="88" t="n">
        <v>-6.561869653833159</v>
      </c>
      <c r="H137" s="16" t="n">
        <v>-0.3314747841412218</v>
      </c>
      <c r="I137" s="16" t="n">
        <v>-0.07213325155879291</v>
      </c>
      <c r="J137" s="16" t="n">
        <v>0.1525192194463556</v>
      </c>
      <c r="K137" s="88" t="n">
        <v>-13.21516684711192</v>
      </c>
      <c r="L137" s="9" t="n">
        <v>10.63667834268476</v>
      </c>
      <c r="M137" s="18" t="n">
        <v>0.5712421289438399</v>
      </c>
      <c r="N137" s="9" t="n">
        <v>29.86627245512637</v>
      </c>
      <c r="O137" s="9" t="n">
        <v>0.2038908183258141</v>
      </c>
      <c r="P137" s="9" t="n">
        <v>2.807857067114051</v>
      </c>
      <c r="Q137" s="131" t="n">
        <v>0.06860871347639019</v>
      </c>
      <c r="R137" s="131" t="n">
        <v>0.02839455539442425</v>
      </c>
      <c r="S137" s="131" t="n">
        <v>0.02176213312692055</v>
      </c>
      <c r="U137" s="129">
        <f>C137*S137</f>
        <v/>
      </c>
      <c r="V137" s="129">
        <f>Q137*(1-U137)+S137</f>
        <v/>
      </c>
    </row>
    <row r="138" spans="1:22">
      <c r="A138" t="s">
        <v>254</v>
      </c>
      <c r="B138" t="s">
        <v>26</v>
      </c>
      <c r="C138" s="126" t="n">
        <v>59.474468387273</v>
      </c>
      <c r="D138" s="88" t="n">
        <v>15.70196708506923</v>
      </c>
      <c r="E138" s="16" t="n">
        <v>0.7359881053021853</v>
      </c>
      <c r="F138" s="88" t="n">
        <v>-76.06270821562158</v>
      </c>
      <c r="G138" s="88" t="n">
        <v>-2.278913629296068</v>
      </c>
      <c r="H138" s="16" t="n">
        <v>-0.5809552789079909</v>
      </c>
      <c r="I138" s="16" t="n">
        <v>-0.3868993970219672</v>
      </c>
      <c r="J138" s="16" t="n">
        <v>-0.1085088488451775</v>
      </c>
      <c r="K138" s="88" t="n">
        <v>-4.84415155142877</v>
      </c>
      <c r="L138" s="9" t="n">
        <v>16.01192388360463</v>
      </c>
      <c r="M138" s="18" t="n">
        <v>0.7307765110342535</v>
      </c>
      <c r="N138" s="9" t="n">
        <v>61.84923838138366</v>
      </c>
      <c r="O138" s="9" t="n">
        <v>0.03992923448507613</v>
      </c>
      <c r="P138" s="9" t="n">
        <v>3.86269875069254</v>
      </c>
    </row>
    <row r="139" spans="1:22">
      <c r="B139" t="s">
        <v>28</v>
      </c>
      <c r="C139" s="123" t="n">
        <v>1.702053457248826</v>
      </c>
      <c r="D139" s="88" t="n">
        <v>1.353100701665347</v>
      </c>
      <c r="E139" s="16" t="n">
        <v>0.2050186814622854</v>
      </c>
      <c r="F139" s="88" t="n">
        <v>3.824393078408548</v>
      </c>
      <c r="G139" s="88" t="n">
        <v>1.246928885882492</v>
      </c>
      <c r="H139" s="16" t="n">
        <v>-0.03602663368119596</v>
      </c>
      <c r="I139" s="16" t="n">
        <v>0.1014020139741736</v>
      </c>
      <c r="J139" s="16" t="n">
        <v>0.4397661704410598</v>
      </c>
      <c r="K139" s="88" t="n">
        <v>2.826392059143583</v>
      </c>
      <c r="L139" s="9" t="n">
        <v>1.353100701665347</v>
      </c>
      <c r="M139" s="18" t="n">
        <v>0.2050186814622854</v>
      </c>
      <c r="N139" s="9" t="n">
        <v>3.824393078408548</v>
      </c>
      <c r="O139" s="9" t="n">
        <v>1.246928885882492</v>
      </c>
      <c r="P139" s="9" t="n">
        <v>2.826392059143583</v>
      </c>
    </row>
    <row r="140" spans="1:22">
      <c r="B140" t="s">
        <v>29</v>
      </c>
      <c r="C140" s="124" t="n">
        <v>1.688751087176357</v>
      </c>
      <c r="D140" s="88" t="n">
        <v>1.193445359156259</v>
      </c>
      <c r="E140" s="16" t="n">
        <v>0.2932970594549037</v>
      </c>
      <c r="F140" s="88" t="n">
        <v>4.652278910462262</v>
      </c>
      <c r="G140" s="88" t="n">
        <v>1.754863606477977</v>
      </c>
      <c r="H140" s="16" t="n">
        <v>0.06640550912447463</v>
      </c>
      <c r="I140" s="16" t="n">
        <v>0.2769972280557313</v>
      </c>
      <c r="J140" s="16" t="n">
        <v>0.7124380745086234</v>
      </c>
      <c r="K140" s="88" t="n">
        <v>3.898191798031981</v>
      </c>
      <c r="L140" s="9" t="n">
        <v>1.193445359156259</v>
      </c>
      <c r="M140" s="18" t="n">
        <v>0.2932970594549037</v>
      </c>
      <c r="N140" s="9" t="n">
        <v>4.652278910462262</v>
      </c>
      <c r="O140" s="9" t="n">
        <v>1.754863606477977</v>
      </c>
      <c r="P140" s="9" t="n">
        <v>3.898191798031981</v>
      </c>
    </row>
    <row r="142" spans="1:22">
      <c r="U142" s="129" t="n"/>
      <c r="V142" s="129" t="n"/>
    </row>
    <row r="147" spans="1:22">
      <c r="U147" s="129" t="n"/>
      <c r="V147" s="129" t="n"/>
    </row>
    <row r="152" spans="1:22">
      <c r="U152" s="129" t="n"/>
      <c r="V152" s="129" t="n"/>
    </row>
    <row r="157" spans="1:22">
      <c r="U157" s="129" t="n"/>
      <c r="V157" s="129" t="n"/>
    </row>
    <row r="162" spans="1:22">
      <c r="U162" s="129" t="n"/>
      <c r="V162" s="129" t="n"/>
    </row>
    <row r="167" spans="1:22">
      <c r="U167" s="129" t="n"/>
      <c r="V167" s="129" t="n"/>
    </row>
    <row r="172" spans="1:22">
      <c r="U172" s="129" t="n"/>
      <c r="V172" s="129" t="n"/>
    </row>
    <row r="177" spans="1:22">
      <c r="U177" s="129" t="n"/>
      <c r="V177" s="129" t="n"/>
    </row>
    <row r="182" spans="1:22">
      <c r="U182" s="129" t="n"/>
      <c r="V182" s="129" t="n"/>
    </row>
    <row r="187" spans="1:22">
      <c r="U187" s="129" t="n"/>
      <c r="V187" s="129" t="n"/>
    </row>
    <row r="192" spans="1:22">
      <c r="U192" s="129" t="n"/>
      <c r="V192" s="129" t="n"/>
    </row>
    <row r="197" spans="1:22">
      <c r="U197" s="129" t="n"/>
      <c r="V197" s="129" t="n"/>
    </row>
    <row r="202" spans="1:22">
      <c r="U202" s="129" t="n"/>
      <c r="V202" s="129" t="n"/>
    </row>
    <row r="207" spans="1:22">
      <c r="U207" s="129" t="n"/>
      <c r="V207" s="129" t="n"/>
    </row>
    <row r="212" spans="1:22">
      <c r="U212" s="129" t="n"/>
      <c r="V212" s="129" t="n"/>
    </row>
    <row r="217" spans="1:22">
      <c r="U217" s="129" t="n"/>
      <c r="V217" s="129" t="n"/>
    </row>
    <row r="222" spans="1:22">
      <c r="U222" s="129" t="n"/>
      <c r="V222" s="129" t="n"/>
    </row>
    <row r="227" spans="1:22">
      <c r="U227" s="129" t="n"/>
      <c r="V227" s="129" t="n"/>
    </row>
    <row r="232" spans="1:22">
      <c r="U232" s="129" t="n"/>
      <c r="V232" s="129" t="n"/>
    </row>
    <row r="237" spans="1:22">
      <c r="U237" s="129" t="n"/>
      <c r="V237" s="129" t="n"/>
    </row>
    <row r="242" spans="1:22">
      <c r="U242" s="129" t="n"/>
      <c r="V242" s="129" t="n"/>
    </row>
    <row r="247" spans="1:22">
      <c r="U247" s="129" t="n"/>
      <c r="V247" s="129" t="n"/>
    </row>
    <row r="252" spans="1:22">
      <c r="U252" s="129" t="n"/>
      <c r="V252" s="129" t="n"/>
    </row>
    <row r="257" spans="1:22">
      <c r="U257" s="129" t="n"/>
      <c r="V257" s="129" t="n"/>
    </row>
    <row r="262" spans="1:22">
      <c r="U262" s="129" t="n"/>
      <c r="V262" s="129" t="n"/>
    </row>
    <row r="267" spans="1:22">
      <c r="U267" s="129" t="n"/>
      <c r="V267" s="129" t="n"/>
    </row>
    <row r="272" spans="1:22">
      <c r="U272" s="129" t="n"/>
      <c r="V272" s="129" t="n"/>
    </row>
    <row r="277" spans="1:22">
      <c r="U277" s="129" t="n"/>
      <c r="V277" s="129" t="n"/>
    </row>
  </sheetData>
  <conditionalFormatting sqref="E1:E1048576 M1:M1048576 Q1:S1048576">
    <cfRule priority="10" type="dataBar">
      <dataBar>
        <cfvo type="min"/>
        <cfvo type="max"/>
        <color rgb="FF638EC6"/>
      </dataBar>
    </cfRule>
  </conditionalFormatting>
  <conditionalFormatting sqref="Q1:Q1048576">
    <cfRule priority="9" type="dataBar">
      <dataBar>
        <cfvo type="min"/>
        <cfvo type="max"/>
        <color rgb="FF638EC6"/>
      </dataBar>
    </cfRule>
  </conditionalFormatting>
  <conditionalFormatting sqref="R1:R1048576">
    <cfRule priority="8" type="dataBar">
      <dataBar>
        <cfvo type="min"/>
        <cfvo type="max"/>
        <color rgb="FF638EC6"/>
      </dataBar>
    </cfRule>
  </conditionalFormatting>
  <conditionalFormatting sqref="S1:S1048576">
    <cfRule priority="7" type="dataBar">
      <dataBar>
        <cfvo type="min"/>
        <cfvo type="max"/>
        <color rgb="FF638EC6"/>
      </dataBar>
    </cfRule>
  </conditionalFormatting>
  <conditionalFormatting sqref="M1:M1048576">
    <cfRule priority="6" type="dataBar">
      <dataBar>
        <cfvo type="min"/>
        <cfvo type="max"/>
        <color rgb="FF638EC6"/>
      </dataBar>
    </cfRule>
  </conditionalFormatting>
  <conditionalFormatting sqref="E1:E1048576">
    <cfRule priority="5" type="dataBar">
      <dataBar>
        <cfvo type="min"/>
        <cfvo type="max"/>
        <color rgb="FF638EC6"/>
      </dataBar>
    </cfRule>
  </conditionalFormatting>
  <conditionalFormatting sqref="I1:J1048576">
    <cfRule priority="3" type="dataBar">
      <dataBar>
        <cfvo type="min"/>
        <cfvo type="max"/>
        <color rgb="FF638EC6"/>
      </dataBar>
    </cfRule>
    <cfRule priority="4" type="dataBar">
      <dataBar>
        <cfvo type="min"/>
        <cfvo type="max"/>
        <color rgb="FF638EC6"/>
      </dataBar>
    </cfRule>
  </conditionalFormatting>
  <conditionalFormatting sqref="H1:H1048576">
    <cfRule priority="1" type="dataBar">
      <dataBar>
        <cfvo type="min"/>
        <cfvo type="max"/>
        <color rgb="FF638EC6"/>
      </dataBar>
    </cfRule>
    <cfRule priority="2" type="dataBar">
      <dataBar>
        <cfvo type="min"/>
        <cfvo type="max"/>
        <color rgb="FF638EC6"/>
      </dataBar>
    </cfRule>
  </conditionalFormatting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90"/>
  <sheetViews>
    <sheetView topLeftCell="A104" workbookViewId="0" zoomScale="125">
      <pane activePane="topRight" state="frozen" topLeftCell="M1" xSplit="1"/>
      <selection activeCell="V182" pane="topRight" sqref="V182"/>
    </sheetView>
  </sheetViews>
  <sheetFormatPr baseColWidth="10" defaultRowHeight="16" outlineLevelCol="0"/>
  <cols>
    <col customWidth="1" max="1" min="1" style="130" width="20.33203125"/>
    <col customWidth="1" max="4" min="4" style="4" width="10.83203125"/>
    <col customWidth="1" max="5" min="5" style="16" width="19.83203125"/>
    <col customWidth="1" max="6" min="6" style="4" width="14.83203125"/>
    <col customWidth="1" max="7" min="7" style="4" width="14.5"/>
    <col customWidth="1" max="10" min="8" style="16" width="19.83203125"/>
    <col customWidth="1" max="11" min="11" style="4" width="20.5"/>
    <col customWidth="1" max="12" min="12" style="85" width="10.83203125"/>
    <col customWidth="1" max="13" min="13" style="18" width="18.1640625"/>
    <col customWidth="1" max="14" min="14" style="85" width="10.83203125"/>
    <col customWidth="1" max="15" min="15" style="85" width="18.1640625"/>
    <col customWidth="1" max="16" min="16" style="85" width="22.33203125"/>
    <col customWidth="1" max="17" min="17" style="131" width="14.33203125"/>
    <col customWidth="1" max="19" min="18" style="131" width="10.83203125"/>
    <col customWidth="1" max="21" min="21" style="130" width="13.33203125"/>
    <col customWidth="1" max="22" min="22" style="131" width="13.33203125"/>
  </cols>
  <sheetData>
    <row customFormat="1" r="1" s="132" spans="1:22">
      <c r="A1" t="s">
        <v>0</v>
      </c>
      <c r="C1" s="132" t="s">
        <v>1</v>
      </c>
      <c r="D1" s="6" t="s">
        <v>2</v>
      </c>
      <c r="E1" s="17" t="s">
        <v>3</v>
      </c>
      <c r="F1" s="6" t="s">
        <v>4</v>
      </c>
      <c r="G1" s="6" t="s">
        <v>5</v>
      </c>
      <c r="H1" s="17" t="s">
        <v>6</v>
      </c>
      <c r="I1" s="17" t="s">
        <v>7</v>
      </c>
      <c r="J1" s="17" t="s">
        <v>8</v>
      </c>
      <c r="K1" s="6" t="s">
        <v>9</v>
      </c>
      <c r="L1" s="10" t="s">
        <v>10</v>
      </c>
      <c r="M1" s="19" t="s">
        <v>11</v>
      </c>
      <c r="N1" s="10" t="s">
        <v>12</v>
      </c>
      <c r="O1" s="10" t="s">
        <v>13</v>
      </c>
      <c r="P1" s="10" t="s">
        <v>14</v>
      </c>
      <c r="Q1" s="128" t="s">
        <v>15</v>
      </c>
      <c r="R1" s="128" t="s">
        <v>16</v>
      </c>
      <c r="S1" s="128" t="s">
        <v>17</v>
      </c>
      <c r="T1" t="s">
        <v>18</v>
      </c>
      <c r="U1" s="127" t="s">
        <v>19</v>
      </c>
      <c r="V1" s="128" t="s">
        <v>20</v>
      </c>
    </row>
    <row r="2" spans="1:22">
      <c r="A2" t="s">
        <v>255</v>
      </c>
      <c r="B2" t="s">
        <v>24</v>
      </c>
      <c r="C2" s="125" t="n">
        <v>136.5266237138297</v>
      </c>
      <c r="D2" s="88" t="n">
        <v>15.56124610369306</v>
      </c>
      <c r="E2" s="16" t="n">
        <v>0.8860204282476755</v>
      </c>
      <c r="F2" s="88" t="n">
        <v>-15.27908520688198</v>
      </c>
      <c r="G2" s="88" t="n">
        <v>-1.111912862057646</v>
      </c>
      <c r="H2" s="16" t="n">
        <v>-0.8270062881529913</v>
      </c>
      <c r="I2" s="16" t="n">
        <v>-0.7975605137081614</v>
      </c>
      <c r="J2" s="16" t="n">
        <v>0.04850283669812439</v>
      </c>
      <c r="K2" s="88" t="n">
        <v>-0.9818677183735232</v>
      </c>
      <c r="L2" s="9" t="n">
        <v>15.56124610369306</v>
      </c>
      <c r="M2" s="18" t="n">
        <v>0.8860204282476755</v>
      </c>
      <c r="N2" s="9" t="n">
        <v>-15.27908520688198</v>
      </c>
      <c r="O2" s="9" t="n">
        <v>-1.111912862057646</v>
      </c>
      <c r="P2" s="9" t="n">
        <v>-0.9818677183735232</v>
      </c>
      <c r="Q2" s="131" t="n">
        <v>0.01274155246760632</v>
      </c>
      <c r="R2" s="131" t="n">
        <v>0.00230955594304527</v>
      </c>
      <c r="S2" s="131" t="n">
        <v>0.00565205302241587</v>
      </c>
      <c r="U2" s="129">
        <f>C2*S2</f>
        <v/>
      </c>
      <c r="V2" s="129">
        <f>Q2*(1-U2)+S2</f>
        <v/>
      </c>
    </row>
    <row r="3" spans="1:22">
      <c r="A3" t="s">
        <v>256</v>
      </c>
      <c r="B3" t="s">
        <v>26</v>
      </c>
      <c r="C3" s="125" t="n">
        <v>930.5069723349648</v>
      </c>
      <c r="D3" s="88" t="n">
        <v>27.93453264294139</v>
      </c>
      <c r="E3" s="16" t="n">
        <v>0.9699792333926913</v>
      </c>
      <c r="F3" s="88" t="n">
        <v>-41.93701075458772</v>
      </c>
      <c r="G3" s="88" t="n">
        <v>-1.045068991422335</v>
      </c>
      <c r="H3" s="16" t="n">
        <v>-0.9547513024272136</v>
      </c>
      <c r="I3" s="16" t="n">
        <v>-0.9418440098921552</v>
      </c>
      <c r="J3" s="16" t="n">
        <v>0.640343575068971</v>
      </c>
      <c r="K3" s="88" t="n">
        <v>-1.501260511161068</v>
      </c>
      <c r="L3" s="9" t="n">
        <v>45.52509817598784</v>
      </c>
      <c r="M3" s="18" t="n">
        <v>0.9510749521180378</v>
      </c>
      <c r="N3" s="9" t="n">
        <v>-41.93701075458772</v>
      </c>
      <c r="O3" s="9" t="n">
        <v>-1.045068991422335</v>
      </c>
      <c r="P3" s="9" t="n">
        <v>-0.9211844111235185</v>
      </c>
    </row>
    <row r="4" spans="1:22">
      <c r="B4" t="s">
        <v>28</v>
      </c>
      <c r="C4" s="124" t="n">
        <v>1.739561139274906</v>
      </c>
      <c r="D4" s="88" t="n">
        <v>1.276249554197379</v>
      </c>
      <c r="E4" s="16" t="n">
        <v>0.2663382014101831</v>
      </c>
      <c r="F4" s="88" t="n">
        <v>4.759496646728834</v>
      </c>
      <c r="G4" s="88" t="n">
        <v>1.736032979394282</v>
      </c>
      <c r="H4" s="16" t="n">
        <v>0.1489981357351535</v>
      </c>
      <c r="I4" s="16" t="n">
        <v>0.5665934284596394</v>
      </c>
      <c r="J4" s="16" t="n">
        <v>0.9280832269794879</v>
      </c>
      <c r="K4" s="88" t="n">
        <v>3.72928368991442</v>
      </c>
      <c r="L4" s="9" t="n">
        <v>1.276249554197379</v>
      </c>
      <c r="M4" s="18" t="n">
        <v>0.2663382014101831</v>
      </c>
      <c r="N4" s="9" t="n">
        <v>4.04516932789402</v>
      </c>
      <c r="O4" s="9" t="n">
        <v>1.325396467283783</v>
      </c>
      <c r="P4" s="9" t="n">
        <v>3.169575507070785</v>
      </c>
    </row>
    <row r="5" spans="1:22">
      <c r="B5" t="s">
        <v>29</v>
      </c>
      <c r="C5" s="124" t="n">
        <v>2.149057908001278</v>
      </c>
      <c r="D5" s="88" t="n">
        <v>1.539631280728908</v>
      </c>
      <c r="E5" s="16" t="n">
        <v>0.2835785043313073</v>
      </c>
      <c r="F5" s="88" t="n">
        <v>5.748514429168456</v>
      </c>
      <c r="G5" s="88" t="n">
        <v>1.674899735258803</v>
      </c>
      <c r="H5" s="16" t="n">
        <v>0.2494833676395025</v>
      </c>
      <c r="I5" s="16" t="n">
        <v>0.4906355171168055</v>
      </c>
      <c r="J5" s="16" t="n">
        <v>0.7813077949902167</v>
      </c>
      <c r="K5" s="88" t="n">
        <v>3.733695529001552</v>
      </c>
      <c r="L5" s="9" t="n">
        <v>1.539631280728908</v>
      </c>
      <c r="M5" s="18" t="n">
        <v>0.2835785043313073</v>
      </c>
      <c r="N5" s="9" t="n">
        <v>5.748514429168456</v>
      </c>
      <c r="O5" s="9" t="n">
        <v>1.674899735258803</v>
      </c>
      <c r="P5" s="9" t="n">
        <v>3.733695529001552</v>
      </c>
    </row>
    <row r="6" spans="1:22">
      <c r="C6" s="70" t="n"/>
      <c r="D6" s="88" t="n"/>
      <c r="F6" s="88" t="n"/>
      <c r="G6" s="88" t="n"/>
      <c r="K6" s="88" t="n"/>
      <c r="L6" s="9" t="n"/>
      <c r="N6" s="9" t="n"/>
      <c r="O6" s="9" t="n"/>
      <c r="P6" s="9" t="n"/>
    </row>
    <row r="7" spans="1:22">
      <c r="A7" t="s">
        <v>257</v>
      </c>
      <c r="B7" t="s">
        <v>24</v>
      </c>
      <c r="C7" s="125" t="n">
        <v>19.25414478481766</v>
      </c>
      <c r="D7" s="88" t="n">
        <v>10.16759334394497</v>
      </c>
      <c r="E7" s="16" t="n">
        <v>0.4719270340190675</v>
      </c>
      <c r="F7" s="88" t="n">
        <v>59.56148981945244</v>
      </c>
      <c r="G7" s="88" t="n">
        <v>2.093437308439586</v>
      </c>
      <c r="H7" s="16" t="n">
        <v>-0.3867776540460302</v>
      </c>
      <c r="I7" s="16" t="n">
        <v>-0.1081807553807366</v>
      </c>
      <c r="J7" s="16" t="n">
        <v>0.6469218825795198</v>
      </c>
      <c r="K7" s="88" t="n">
        <v>5.857973249384789</v>
      </c>
      <c r="L7" s="9" t="n">
        <v>10.34123637040675</v>
      </c>
      <c r="M7" s="18" t="n">
        <v>0.4629085588594383</v>
      </c>
      <c r="N7" s="9" t="n">
        <v>59.56148981945244</v>
      </c>
      <c r="O7" s="9" t="n">
        <v>2.093437308439586</v>
      </c>
      <c r="P7" s="9" t="n">
        <v>5.759610136163024</v>
      </c>
      <c r="Q7" s="131" t="n">
        <v>0.06160831143416608</v>
      </c>
      <c r="R7" s="131" t="n">
        <v>0.03061556980295961</v>
      </c>
      <c r="S7" s="131" t="n">
        <v>0.03577017815296707</v>
      </c>
      <c r="U7" s="129">
        <f>C7*S7</f>
        <v/>
      </c>
      <c r="V7" s="129">
        <f>Q7*(1-U7)+S7</f>
        <v/>
      </c>
    </row>
    <row r="8" spans="1:22">
      <c r="A8" t="s">
        <v>258</v>
      </c>
      <c r="B8" t="s">
        <v>26</v>
      </c>
      <c r="C8" s="123" t="n">
        <v>60.25183340646607</v>
      </c>
      <c r="D8" s="88" t="n">
        <v>20.88242749057373</v>
      </c>
      <c r="E8" s="16" t="n">
        <v>0.6534142397012489</v>
      </c>
      <c r="F8" s="88" t="n">
        <v>-7.586647339283735</v>
      </c>
      <c r="G8" s="88" t="n">
        <v>-1.125915626303075</v>
      </c>
      <c r="H8" s="16" t="n">
        <v>-0.3605163006396351</v>
      </c>
      <c r="I8" s="16" t="n">
        <v>0.0407220831693702</v>
      </c>
      <c r="J8" s="16" t="n">
        <v>0.5031125389344309</v>
      </c>
      <c r="K8" s="88" t="n">
        <v>-0.3633029418015854</v>
      </c>
      <c r="L8" s="9" t="n">
        <v>30.71708805071879</v>
      </c>
      <c r="M8" s="18" t="n">
        <v>0.4901883259966938</v>
      </c>
      <c r="N8" s="9" t="n">
        <v>-7.586647339283735</v>
      </c>
      <c r="O8" s="9" t="n">
        <v>-1.125915626303075</v>
      </c>
      <c r="P8" s="9" t="n">
        <v>-0.2469845880819489</v>
      </c>
    </row>
    <row r="9" spans="1:22">
      <c r="B9" t="s">
        <v>28</v>
      </c>
      <c r="C9" s="124" t="n">
        <v>1.186215348301571</v>
      </c>
      <c r="D9" s="88" t="n">
        <v>1.030636962915539</v>
      </c>
      <c r="E9" s="16" t="n">
        <v>0.1311552624983227</v>
      </c>
      <c r="F9" s="88" t="n">
        <v>3.848439460876064</v>
      </c>
      <c r="G9" s="88" t="n">
        <v>2.244300848396776</v>
      </c>
      <c r="H9" s="16" t="n">
        <v>0.01583976248389352</v>
      </c>
      <c r="I9" s="16" t="n">
        <v>0.1552696983169881</v>
      </c>
      <c r="J9" s="16" t="n">
        <v>0.7431546671057245</v>
      </c>
      <c r="K9" s="88" t="n">
        <v>3.734039821344389</v>
      </c>
      <c r="L9" s="9" t="n">
        <v>1.030636962915539</v>
      </c>
      <c r="M9" s="18" t="n">
        <v>0.1311552624983227</v>
      </c>
      <c r="N9" s="9" t="n">
        <v>2.191888217427893</v>
      </c>
      <c r="O9" s="9" t="n">
        <v>0.8477995758242793</v>
      </c>
      <c r="P9" s="9" t="n">
        <v>2.126731619664914</v>
      </c>
    </row>
    <row r="10" spans="1:22">
      <c r="B10" t="s">
        <v>29</v>
      </c>
      <c r="C10" s="124" t="n">
        <v>1.844644211411955</v>
      </c>
      <c r="D10" s="88" t="n">
        <v>1.369193259417794</v>
      </c>
      <c r="E10" s="16" t="n">
        <v>0.2577466966544376</v>
      </c>
      <c r="F10" s="88" t="n">
        <v>4.624890206965406</v>
      </c>
      <c r="G10" s="88" t="n">
        <v>1.507199045947919</v>
      </c>
      <c r="H10" s="16" t="n">
        <v>0.05220938927157581</v>
      </c>
      <c r="I10" s="16" t="n">
        <v>0.3651051655688793</v>
      </c>
      <c r="J10" s="16" t="n">
        <v>0.6805949984247652</v>
      </c>
      <c r="K10" s="88" t="n">
        <v>3.377821337604302</v>
      </c>
      <c r="L10" s="9" t="n">
        <v>1.369193259417794</v>
      </c>
      <c r="M10" s="18" t="n">
        <v>0.2577466966544376</v>
      </c>
      <c r="N10" s="9" t="n">
        <v>4.624890206965406</v>
      </c>
      <c r="O10" s="9" t="n">
        <v>1.507199045947919</v>
      </c>
      <c r="P10" s="9" t="n">
        <v>3.377821337604302</v>
      </c>
    </row>
    <row r="11" spans="1:22">
      <c r="C11" s="70" t="n"/>
      <c r="D11" s="88" t="n"/>
      <c r="F11" s="88" t="n"/>
      <c r="G11" s="88" t="n"/>
      <c r="K11" s="88" t="n"/>
      <c r="L11" s="9" t="n"/>
      <c r="N11" s="9" t="n"/>
      <c r="O11" s="9" t="n"/>
      <c r="P11" s="9" t="n"/>
    </row>
    <row r="12" spans="1:22">
      <c r="A12" t="s">
        <v>259</v>
      </c>
      <c r="B12" t="s">
        <v>24</v>
      </c>
      <c r="C12" s="124" t="n">
        <v>11.10059618232774</v>
      </c>
      <c r="D12" s="88" t="n">
        <v>8.339390564441373</v>
      </c>
      <c r="E12" s="16" t="n">
        <v>0.2487439028078718</v>
      </c>
      <c r="F12" s="88" t="n">
        <v>-141.5123154598652</v>
      </c>
      <c r="G12" s="88" t="n">
        <v>-13.74817254276435</v>
      </c>
      <c r="H12" s="16" t="n">
        <v>0.03793103603080339</v>
      </c>
      <c r="I12" s="16" t="n">
        <v>0.5413248310801604</v>
      </c>
      <c r="J12" s="16" t="n">
        <v>1.766696907186293</v>
      </c>
      <c r="K12" s="88" t="n">
        <v>-16.96914353229415</v>
      </c>
      <c r="L12" s="9" t="n">
        <v>8.339390564441373</v>
      </c>
      <c r="M12" s="18" t="n">
        <v>0.2487439028078718</v>
      </c>
      <c r="N12" s="9" t="n">
        <v>-141.5123154598652</v>
      </c>
      <c r="O12" s="9" t="n">
        <v>-13.74817254276435</v>
      </c>
      <c r="P12" s="9" t="n">
        <v>-16.96914353229415</v>
      </c>
      <c r="Q12" s="131" t="n">
        <v>0.1157346543490047</v>
      </c>
      <c r="R12" s="131" t="n">
        <v>0.0855247702567226</v>
      </c>
      <c r="S12" s="131" t="n">
        <v>0.03162695170604689</v>
      </c>
      <c r="U12" s="129">
        <f>C12*S12</f>
        <v/>
      </c>
      <c r="V12" s="129">
        <f>Q12*(1-U12)+S12</f>
        <v/>
      </c>
    </row>
    <row r="13" spans="1:22">
      <c r="A13" t="s">
        <v>260</v>
      </c>
      <c r="B13" t="s">
        <v>26</v>
      </c>
      <c r="C13" s="124" t="n">
        <v>15.05627563478586</v>
      </c>
      <c r="D13" s="88" t="n">
        <v>9.687265542393618</v>
      </c>
      <c r="E13" s="16" t="n">
        <v>0.3565961611374685</v>
      </c>
      <c r="F13" s="88" t="n">
        <v>-17.89764144548534</v>
      </c>
      <c r="G13" s="88" t="n">
        <v>-2.188716378447192</v>
      </c>
      <c r="H13" s="16" t="n">
        <v>0.5678411285511697</v>
      </c>
      <c r="I13" s="16" t="n">
        <v>1.488138242697502</v>
      </c>
      <c r="J13" s="16" t="n">
        <v>42.37854488884442</v>
      </c>
      <c r="K13" s="88" t="n">
        <v>-1.847543186171712</v>
      </c>
      <c r="L13" s="9" t="n">
        <v>9.687265542393618</v>
      </c>
      <c r="M13" s="18" t="n">
        <v>0.3565961611374685</v>
      </c>
      <c r="N13" s="9" t="n">
        <v>-17.89764144548534</v>
      </c>
      <c r="O13" s="9" t="n">
        <v>-2.188716378447192</v>
      </c>
      <c r="P13" s="9" t="n">
        <v>-1.847543186171712</v>
      </c>
    </row>
    <row r="14" spans="1:22">
      <c r="B14" t="s">
        <v>28</v>
      </c>
      <c r="C14" s="123" t="n">
        <v>1.284723662229582</v>
      </c>
      <c r="D14" s="88" t="n">
        <v>0.9305305602975514</v>
      </c>
      <c r="E14" s="16" t="n">
        <v>0.2756959432951862</v>
      </c>
      <c r="F14" s="88" t="n">
        <v>5.429911095279053</v>
      </c>
      <c r="G14" s="88" t="n">
        <v>3.226520655699356</v>
      </c>
      <c r="H14" s="16" t="n">
        <v>-0.04847058130425297</v>
      </c>
      <c r="I14" s="16" t="n">
        <v>0.2126050923173264</v>
      </c>
      <c r="J14" s="16" t="n">
        <v>1.39482951236379</v>
      </c>
      <c r="K14" s="88" t="n">
        <v>5.835285080312413</v>
      </c>
      <c r="L14" s="9" t="n">
        <v>0.9431817648837648</v>
      </c>
      <c r="M14" s="18" t="n">
        <v>0.2658485302225121</v>
      </c>
      <c r="N14" s="9" t="n">
        <v>2.366310793965623</v>
      </c>
      <c r="O14" s="9" t="n">
        <v>0.8418830940336175</v>
      </c>
      <c r="P14" s="9" t="n">
        <v>2.508859778748205</v>
      </c>
    </row>
    <row r="15" spans="1:22">
      <c r="B15" t="s">
        <v>29</v>
      </c>
      <c r="C15" s="124" t="n">
        <v>1.287684514586951</v>
      </c>
      <c r="D15" s="88" t="n">
        <v>0.9584657291432616</v>
      </c>
      <c r="E15" s="16" t="n">
        <v>0.2556672707594781</v>
      </c>
      <c r="F15" s="88" t="n">
        <v>5.705661032784971</v>
      </c>
      <c r="G15" s="88" t="n">
        <v>3.430946375568686</v>
      </c>
      <c r="H15" s="16" t="n">
        <v>0.1832698747268171</v>
      </c>
      <c r="I15" s="16" t="n">
        <v>0.5005529498491037</v>
      </c>
      <c r="J15" s="16" t="n">
        <v>2.010298449859369</v>
      </c>
      <c r="K15" s="88" t="n">
        <v>5.952910844172862</v>
      </c>
      <c r="L15" s="9" t="n">
        <v>0.9584657291432616</v>
      </c>
      <c r="M15" s="18" t="n">
        <v>0.2556672707594781</v>
      </c>
      <c r="N15" s="9" t="n">
        <v>3.231865637518762</v>
      </c>
      <c r="O15" s="9" t="n">
        <v>1.509827213815214</v>
      </c>
      <c r="P15" s="9" t="n">
        <v>3.371915697400691</v>
      </c>
    </row>
    <row r="16" spans="1:22">
      <c r="C16" s="70" t="n"/>
      <c r="D16" s="88" t="n"/>
      <c r="F16" s="88" t="n"/>
      <c r="G16" s="88" t="n"/>
      <c r="K16" s="88" t="n"/>
      <c r="L16" s="9" t="n"/>
      <c r="N16" s="9" t="n"/>
      <c r="O16" s="9" t="n"/>
      <c r="P16" s="9" t="n"/>
    </row>
    <row r="17" spans="1:22">
      <c r="A17" t="s">
        <v>261</v>
      </c>
      <c r="B17" t="s">
        <v>24</v>
      </c>
      <c r="C17" s="124" t="n">
        <v>19.07768957559978</v>
      </c>
      <c r="D17" s="88" t="n">
        <v>12.47537782446325</v>
      </c>
      <c r="E17" s="16" t="n">
        <v>0.3460750173637818</v>
      </c>
      <c r="F17" s="88" t="n">
        <v>-66.923786521363</v>
      </c>
      <c r="G17" s="88" t="n">
        <v>-4.507960765173474</v>
      </c>
      <c r="H17" s="16" t="n">
        <v>0.4324820541780441</v>
      </c>
      <c r="I17" s="16" t="n">
        <v>1.350947349999016</v>
      </c>
      <c r="J17" s="16" t="n">
        <v>6.463432550200826</v>
      </c>
      <c r="K17" s="88" t="n">
        <v>-5.364469714907604</v>
      </c>
      <c r="L17" s="9" t="n">
        <v>12.47537782446325</v>
      </c>
      <c r="M17" s="18" t="n">
        <v>0.3460750173637818</v>
      </c>
      <c r="N17" s="9" t="n">
        <v>-66.923786521363</v>
      </c>
      <c r="O17" s="9" t="n">
        <v>-4.507960765173474</v>
      </c>
      <c r="P17" s="9" t="n">
        <v>-5.364469714907604</v>
      </c>
      <c r="Q17" s="131" t="n">
        <v>0.09255245097594279</v>
      </c>
      <c r="R17" s="131" t="n">
        <v>0.1064185628032224</v>
      </c>
      <c r="S17" s="131" t="n">
        <v>0.00840486796693859</v>
      </c>
      <c r="U17" s="129">
        <f>C17*S17</f>
        <v/>
      </c>
      <c r="V17" s="129">
        <f>Q17*(1-U17)+S17</f>
        <v/>
      </c>
    </row>
    <row r="18" spans="1:22">
      <c r="A18" t="s">
        <v>262</v>
      </c>
      <c r="B18" t="s">
        <v>26</v>
      </c>
      <c r="C18" s="124" t="n">
        <v>17.51324011636464</v>
      </c>
      <c r="D18" s="88" t="n">
        <v>12.8902627378218</v>
      </c>
      <c r="E18" s="16" t="n">
        <v>0.263970421682454</v>
      </c>
      <c r="F18" s="88" t="n">
        <v>-71.7138812380028</v>
      </c>
      <c r="G18" s="88" t="n">
        <v>-5.094838006074744</v>
      </c>
      <c r="H18" s="16" t="n">
        <v>0.8595869448777114</v>
      </c>
      <c r="I18" s="16" t="n">
        <v>1.977863334700422</v>
      </c>
      <c r="J18" s="16" t="n">
        <v>13.19959347535102</v>
      </c>
      <c r="K18" s="88" t="n">
        <v>-5.563415013069085</v>
      </c>
      <c r="L18" s="9" t="n">
        <v>12.8902627378218</v>
      </c>
      <c r="M18" s="18" t="n">
        <v>0.263970421682454</v>
      </c>
      <c r="N18" s="9" t="n">
        <v>-71.7138812380028</v>
      </c>
      <c r="O18" s="9" t="n">
        <v>-5.094838006074744</v>
      </c>
      <c r="P18" s="9" t="n">
        <v>-5.563415013069085</v>
      </c>
    </row>
    <row r="19" spans="1:22">
      <c r="B19" t="s">
        <v>28</v>
      </c>
      <c r="C19" s="124" t="n">
        <v>1.765686929179953</v>
      </c>
      <c r="D19" s="88" t="n">
        <v>1.30219987480595</v>
      </c>
      <c r="E19" s="16" t="n">
        <v>0.2624967352447148</v>
      </c>
      <c r="F19" s="88" t="n">
        <v>8.206625366871702</v>
      </c>
      <c r="G19" s="88" t="n">
        <v>3.647837185204256</v>
      </c>
      <c r="H19" s="16" t="n">
        <v>0.3799804439492043</v>
      </c>
      <c r="I19" s="16" t="n">
        <v>0.8097843117171781</v>
      </c>
      <c r="J19" s="16" t="n">
        <v>1.49797219817841</v>
      </c>
      <c r="K19" s="88" t="n">
        <v>6.302124217370726</v>
      </c>
      <c r="L19" s="9" t="n">
        <v>1.30219987480595</v>
      </c>
      <c r="M19" s="18" t="n">
        <v>0.2624967352447148</v>
      </c>
      <c r="N19" s="9" t="n">
        <v>8.206625366871702</v>
      </c>
      <c r="O19" s="9" t="n">
        <v>3.647837185204256</v>
      </c>
      <c r="P19" s="9" t="n">
        <v>6.302124217370726</v>
      </c>
    </row>
    <row r="20" spans="1:22">
      <c r="B20" t="s">
        <v>29</v>
      </c>
      <c r="C20" s="124" t="n">
        <v>1.863733843211265</v>
      </c>
      <c r="D20" s="88" t="n">
        <v>1.356580608983828</v>
      </c>
      <c r="E20" s="16" t="n">
        <v>0.2721167703611576</v>
      </c>
      <c r="F20" s="88" t="n">
        <v>8.606298059216174</v>
      </c>
      <c r="G20" s="88" t="n">
        <v>3.617772055041552</v>
      </c>
      <c r="H20" s="16" t="n">
        <v>0.2859181572964857</v>
      </c>
      <c r="I20" s="16" t="n">
        <v>0.8678106836846604</v>
      </c>
      <c r="J20" s="16" t="n">
        <v>1.567708906358247</v>
      </c>
      <c r="K20" s="88" t="n">
        <v>6.344111070305571</v>
      </c>
      <c r="L20" s="9" t="n">
        <v>1.356580608983828</v>
      </c>
      <c r="M20" s="18" t="n">
        <v>0.2721167703611576</v>
      </c>
      <c r="N20" s="9" t="n">
        <v>8.606298059216174</v>
      </c>
      <c r="O20" s="9" t="n">
        <v>3.617772055041552</v>
      </c>
      <c r="P20" s="9" t="n">
        <v>6.344111070305571</v>
      </c>
    </row>
    <row r="21" spans="1:22">
      <c r="C21" s="70" t="n"/>
      <c r="D21" s="88" t="n"/>
      <c r="F21" s="88" t="n"/>
      <c r="G21" s="88" t="n"/>
      <c r="K21" s="88" t="n"/>
      <c r="L21" s="9" t="n"/>
      <c r="N21" s="9" t="n"/>
      <c r="O21" s="9" t="n"/>
      <c r="P21" s="9" t="n"/>
    </row>
    <row r="22" spans="1:22">
      <c r="A22" t="s">
        <v>263</v>
      </c>
      <c r="B22" t="s">
        <v>24</v>
      </c>
      <c r="C22" s="124" t="n">
        <v>19.18950071069231</v>
      </c>
      <c r="D22" s="88" t="n">
        <v>12.43072737015739</v>
      </c>
      <c r="E22" s="16" t="n">
        <v>0.3522120477459303</v>
      </c>
      <c r="F22" s="88" t="n">
        <v>-71.09290914916332</v>
      </c>
      <c r="G22" s="88" t="n">
        <v>-4.704781600156519</v>
      </c>
      <c r="H22" s="16" t="n">
        <v>0.4262555021017529</v>
      </c>
      <c r="I22" s="16" t="n">
        <v>2.691934374038687</v>
      </c>
      <c r="J22" s="16" t="n">
        <v>4.599481171748376</v>
      </c>
      <c r="K22" s="88" t="n">
        <v>-5.71912704962358</v>
      </c>
      <c r="L22" s="9" t="n">
        <v>12.43072737015739</v>
      </c>
      <c r="M22" s="18" t="n">
        <v>0.3522120477459303</v>
      </c>
      <c r="N22" s="9" t="n">
        <v>129.3741749024857</v>
      </c>
      <c r="O22" s="9" t="n">
        <v>5.741925016860859</v>
      </c>
      <c r="P22" s="9" t="n">
        <v>10.4076109989409</v>
      </c>
      <c r="Q22" s="131" t="n">
        <v>0.1417800390219145</v>
      </c>
      <c r="R22" s="131" t="n">
        <v>0.09863194938261856</v>
      </c>
      <c r="S22" s="131" t="n">
        <v>0.01606404915500789</v>
      </c>
      <c r="U22" s="129">
        <f>C22*S22</f>
        <v/>
      </c>
      <c r="V22" s="42">
        <f>Q22*(1-U22)+S22</f>
        <v/>
      </c>
    </row>
    <row r="23" spans="1:22">
      <c r="A23" t="s">
        <v>264</v>
      </c>
      <c r="B23" t="s">
        <v>26</v>
      </c>
      <c r="C23" s="126" t="n">
        <v>26.98974775238957</v>
      </c>
      <c r="D23" s="88" t="n">
        <v>18.0551267649663</v>
      </c>
      <c r="E23" s="16" t="n">
        <v>0.3310375876570476</v>
      </c>
      <c r="F23" s="88" t="n">
        <v>-34.89319000788629</v>
      </c>
      <c r="G23" s="88" t="n">
        <v>-2.292831275342208</v>
      </c>
      <c r="H23" s="16" t="n">
        <v>0.5541601986312612</v>
      </c>
      <c r="I23" s="16" t="n">
        <v>4.839445119222204</v>
      </c>
      <c r="J23" s="16" t="n">
        <v>-13.88026056605604</v>
      </c>
      <c r="K23" s="88" t="n">
        <v>-1.932591804095894</v>
      </c>
      <c r="L23" s="9" t="n">
        <v>18.0551267649663</v>
      </c>
      <c r="M23" s="18" t="n">
        <v>0.3310375876570476</v>
      </c>
      <c r="N23" s="9" t="n">
        <v>-312.4490375458718</v>
      </c>
      <c r="O23" s="9" t="n">
        <v>-12.57658235313476</v>
      </c>
      <c r="P23" s="9" t="n">
        <v>-17.30528074453289</v>
      </c>
    </row>
    <row r="24" spans="1:22">
      <c r="B24" t="s">
        <v>28</v>
      </c>
      <c r="C24" s="123" t="n">
        <v>2.720688159573013</v>
      </c>
      <c r="D24" s="88" t="n">
        <v>1.751885925786706</v>
      </c>
      <c r="E24" s="16" t="n">
        <v>0.3560872018270377</v>
      </c>
      <c r="F24" s="88" t="n">
        <v>6.106874526697577</v>
      </c>
      <c r="G24" s="88" t="n">
        <v>1.244606573234029</v>
      </c>
      <c r="H24" s="16" t="n">
        <v>-0.1086701465894674</v>
      </c>
      <c r="I24" s="16" t="n">
        <v>0.1264877767640562</v>
      </c>
      <c r="J24" s="16" t="n">
        <v>0.3828022335683092</v>
      </c>
      <c r="K24" s="88" t="n">
        <v>3.485885945430614</v>
      </c>
      <c r="L24" s="9" t="n">
        <v>1.751885925786706</v>
      </c>
      <c r="M24" s="18" t="n">
        <v>0.3560872018270377</v>
      </c>
      <c r="N24" s="9" t="n">
        <v>6.106874526697577</v>
      </c>
      <c r="O24" s="9" t="n">
        <v>1.244606573234029</v>
      </c>
      <c r="P24" s="9" t="n">
        <v>3.485885945430614</v>
      </c>
    </row>
    <row r="25" spans="1:22">
      <c r="B25" t="s">
        <v>29</v>
      </c>
      <c r="C25" s="123" t="n">
        <v>2.662051434163331</v>
      </c>
      <c r="D25" s="88" t="n">
        <v>1.779209792026472</v>
      </c>
      <c r="E25" s="16" t="n">
        <v>0.3316395884793759</v>
      </c>
      <c r="F25" s="88" t="n">
        <v>6.11988215404851</v>
      </c>
      <c r="G25" s="88" t="n">
        <v>1.298934601904849</v>
      </c>
      <c r="H25" s="16" t="n">
        <v>-0.1480986918385048</v>
      </c>
      <c r="I25" s="16" t="n">
        <v>0.1557722383196651</v>
      </c>
      <c r="J25" s="16" t="n">
        <v>0.4182237489956524</v>
      </c>
      <c r="K25" s="88" t="n">
        <v>3.439663035508663</v>
      </c>
      <c r="L25" s="9" t="n">
        <v>1.779209792026472</v>
      </c>
      <c r="M25" s="18" t="n">
        <v>0.3316395884793759</v>
      </c>
      <c r="N25" s="9" t="n">
        <v>6.11988215404851</v>
      </c>
      <c r="O25" s="9" t="n">
        <v>1.298934601904849</v>
      </c>
      <c r="P25" s="9" t="n">
        <v>3.439663035508663</v>
      </c>
    </row>
    <row r="26" spans="1:22">
      <c r="C26" s="70" t="n"/>
      <c r="D26" s="88" t="n"/>
      <c r="F26" s="88" t="n"/>
      <c r="G26" s="88" t="n"/>
      <c r="K26" s="88" t="n"/>
      <c r="L26" s="9" t="n"/>
      <c r="N26" s="9" t="n"/>
      <c r="O26" s="9" t="n"/>
      <c r="P26" s="9" t="n"/>
    </row>
    <row r="27" spans="1:22">
      <c r="A27" t="s">
        <v>265</v>
      </c>
      <c r="B27" t="s">
        <v>24</v>
      </c>
      <c r="C27" s="123" t="n">
        <v>26.66920411751618</v>
      </c>
      <c r="D27" s="88" t="n">
        <v>17.02728448371285</v>
      </c>
      <c r="E27" s="16" t="n">
        <v>0.3615375843732274</v>
      </c>
      <c r="F27" s="88" t="n">
        <v>-21.67887035131653</v>
      </c>
      <c r="G27" s="88" t="n">
        <v>-1.812880289032621</v>
      </c>
      <c r="H27" s="16" t="n">
        <v>-0.04746430053805306</v>
      </c>
      <c r="I27" s="16" t="n">
        <v>0.4318845001245817</v>
      </c>
      <c r="J27" s="16" t="n">
        <v>1.104323893394788</v>
      </c>
      <c r="K27" s="88" t="n">
        <v>-1.273184245676582</v>
      </c>
      <c r="L27" s="9" t="n">
        <v>17.74093064039387</v>
      </c>
      <c r="M27" s="18" t="n">
        <v>0.3347783997520298</v>
      </c>
      <c r="N27" s="9" t="n">
        <v>82.84096360372466</v>
      </c>
      <c r="O27" s="9" t="n">
        <v>2.10624056266138</v>
      </c>
      <c r="P27" s="9" t="n">
        <v>4.669482412332203</v>
      </c>
      <c r="Q27" s="131" t="n">
        <v>0.104008100876429</v>
      </c>
      <c r="R27" s="131" t="n">
        <v>0.07275071109398552</v>
      </c>
      <c r="S27" s="131" t="n">
        <v>0.009630895593136474</v>
      </c>
      <c r="U27" s="129">
        <f>C27*S27</f>
        <v/>
      </c>
      <c r="V27" s="129">
        <f>Q27*(1-U27)+S27</f>
        <v/>
      </c>
    </row>
    <row r="28" spans="1:22">
      <c r="A28" t="s">
        <v>266</v>
      </c>
      <c r="B28" t="s">
        <v>26</v>
      </c>
      <c r="C28" s="123" t="n">
        <v>38.09369389308169</v>
      </c>
      <c r="D28" s="88" t="n">
        <v>20.60076732217428</v>
      </c>
      <c r="E28" s="16" t="n">
        <v>0.4592079366208262</v>
      </c>
      <c r="F28" s="88" t="n">
        <v>-11.19869669075856</v>
      </c>
      <c r="G28" s="88" t="n">
        <v>-1.293977704608804</v>
      </c>
      <c r="H28" s="16" t="n">
        <v>-0.07349707102924674</v>
      </c>
      <c r="I28" s="16" t="n">
        <v>0.298487730102178</v>
      </c>
      <c r="J28" s="16" t="n">
        <v>0.9295384092073882</v>
      </c>
      <c r="K28" s="88" t="n">
        <v>-0.5436058043675146</v>
      </c>
      <c r="L28" s="9" t="n">
        <v>25.88245884541386</v>
      </c>
      <c r="M28" s="18" t="n">
        <v>0.320557913914606</v>
      </c>
      <c r="N28" s="9" t="n">
        <v>113.8401994197592</v>
      </c>
      <c r="O28" s="9" t="n">
        <v>1.988426371547919</v>
      </c>
      <c r="P28" s="9" t="n">
        <v>4.398353344235325</v>
      </c>
    </row>
    <row r="29" spans="1:22">
      <c r="B29" t="s">
        <v>28</v>
      </c>
      <c r="C29" s="123" t="n">
        <v>2.773813272148698</v>
      </c>
      <c r="D29" s="88" t="n">
        <v>1.749301617141368</v>
      </c>
      <c r="E29" s="16" t="n">
        <v>0.3693513421736951</v>
      </c>
      <c r="F29" s="88" t="n">
        <v>7.35671958473167</v>
      </c>
      <c r="G29" s="88" t="n">
        <v>1.652204334948936</v>
      </c>
      <c r="H29" s="16" t="n">
        <v>-0.1211825295801583</v>
      </c>
      <c r="I29" s="16" t="n">
        <v>0.2399923154803782</v>
      </c>
      <c r="J29" s="16" t="n">
        <v>0.6845648223043259</v>
      </c>
      <c r="K29" s="88" t="n">
        <v>4.205518083698854</v>
      </c>
      <c r="L29" s="9" t="n">
        <v>1.796709475613413</v>
      </c>
      <c r="M29" s="18" t="n">
        <v>0.3522601201552349</v>
      </c>
      <c r="N29" s="9" t="n">
        <v>7.35671958473167</v>
      </c>
      <c r="O29" s="9" t="n">
        <v>1.652204334948936</v>
      </c>
      <c r="P29" s="9" t="n">
        <v>4.094551559160682</v>
      </c>
    </row>
    <row r="30" spans="1:22">
      <c r="B30" t="s">
        <v>29</v>
      </c>
      <c r="C30" s="123" t="n">
        <v>2.771343318918307</v>
      </c>
      <c r="D30" s="88" t="n">
        <v>1.744301157749395</v>
      </c>
      <c r="E30" s="16" t="n">
        <v>0.370593623012316</v>
      </c>
      <c r="F30" s="88" t="n">
        <v>8.278909336895669</v>
      </c>
      <c r="G30" s="88" t="n">
        <v>1.987327221560929</v>
      </c>
      <c r="H30" s="16" t="n">
        <v>-0.1536838790609709</v>
      </c>
      <c r="I30" s="16" t="n">
        <v>0.269125380874766</v>
      </c>
      <c r="J30" s="16" t="n">
        <v>0.86096513146224</v>
      </c>
      <c r="K30" s="88" t="n">
        <v>4.746261446949693</v>
      </c>
      <c r="L30" s="9" t="n">
        <v>1.880658204015846</v>
      </c>
      <c r="M30" s="18" t="n">
        <v>0.321391113407814</v>
      </c>
      <c r="N30" s="9" t="n">
        <v>6.560057841580282</v>
      </c>
      <c r="O30" s="9" t="n">
        <v>1.367103994946668</v>
      </c>
      <c r="P30" s="9" t="n">
        <v>3.488171230461933</v>
      </c>
    </row>
    <row r="31" spans="1:22">
      <c r="C31" s="70" t="n"/>
      <c r="D31" s="88" t="n"/>
      <c r="F31" s="88" t="n"/>
      <c r="G31" s="88" t="n"/>
      <c r="K31" s="88" t="n"/>
      <c r="L31" s="9" t="n"/>
      <c r="N31" s="9" t="n"/>
      <c r="O31" s="9" t="n"/>
      <c r="P31" s="9" t="n"/>
    </row>
    <row r="32" spans="1:22">
      <c r="A32" t="s">
        <v>267</v>
      </c>
      <c r="B32" t="s">
        <v>24</v>
      </c>
      <c r="C32" s="124" t="n">
        <v>24.98540936955632</v>
      </c>
      <c r="D32" s="88" t="n">
        <v>22.08175902416027</v>
      </c>
      <c r="E32" s="16" t="n">
        <v>0.1162138391430169</v>
      </c>
      <c r="F32" s="88" t="n">
        <v>-377.4765269624688</v>
      </c>
      <c r="G32" s="88" t="n">
        <v>-16.10787841732976</v>
      </c>
      <c r="H32" s="16" t="n">
        <v>0.221544334870694</v>
      </c>
      <c r="I32" s="16" t="n">
        <v>1.182534067807236</v>
      </c>
      <c r="J32" s="16" t="n">
        <v>2.791032879596755</v>
      </c>
      <c r="K32" s="88" t="n">
        <v>-17.0944953501875</v>
      </c>
      <c r="L32" s="9" t="n">
        <v>22.08175902416027</v>
      </c>
      <c r="M32" s="18" t="n">
        <v>0.1162138391430169</v>
      </c>
      <c r="N32" s="9" t="n">
        <v>-377.4765269624688</v>
      </c>
      <c r="O32" s="9" t="n">
        <v>-16.10787841732976</v>
      </c>
      <c r="P32" s="9" t="n">
        <v>-17.0944953501875</v>
      </c>
      <c r="Q32" s="131" t="n">
        <v>0.0924432204498848</v>
      </c>
      <c r="R32" s="131" t="n">
        <v>0.08771133669276114</v>
      </c>
      <c r="S32" s="131" t="n">
        <v>0.009585331617620752</v>
      </c>
      <c r="U32" s="129">
        <f>C32*S32</f>
        <v/>
      </c>
      <c r="V32" s="129">
        <f>Q32*(1-U32)+S32</f>
        <v/>
      </c>
    </row>
    <row r="33" spans="1:22">
      <c r="A33" t="s">
        <v>268</v>
      </c>
      <c r="B33" t="s">
        <v>26</v>
      </c>
      <c r="C33" s="124" t="n">
        <v>27.56829882342211</v>
      </c>
      <c r="D33" s="88" t="n">
        <v>22.00753291965861</v>
      </c>
      <c r="E33" s="16" t="n">
        <v>0.2017087067787825</v>
      </c>
      <c r="F33" s="88" t="n">
        <v>-85.96299373880511</v>
      </c>
      <c r="G33" s="88" t="n">
        <v>-4.118182746400393</v>
      </c>
      <c r="H33" s="16" t="n">
        <v>0.6710778390081065</v>
      </c>
      <c r="I33" s="16" t="n">
        <v>2.811969409467439</v>
      </c>
      <c r="J33" s="16" t="n">
        <v>18.17244857021661</v>
      </c>
      <c r="K33" s="88" t="n">
        <v>-3.906071346235142</v>
      </c>
      <c r="L33" s="9" t="n">
        <v>22.00753291965861</v>
      </c>
      <c r="M33" s="18" t="n">
        <v>0.2017087067787825</v>
      </c>
      <c r="N33" s="9" t="n">
        <v>-85.96299373880511</v>
      </c>
      <c r="O33" s="9" t="n">
        <v>-4.118182746400393</v>
      </c>
      <c r="P33" s="9" t="n">
        <v>-3.906071346235142</v>
      </c>
    </row>
    <row r="34" spans="1:22">
      <c r="B34" t="s">
        <v>28</v>
      </c>
      <c r="C34" s="123" t="n">
        <v>2.309731706380512</v>
      </c>
      <c r="D34" s="88" t="n">
        <v>1.5889298483183</v>
      </c>
      <c r="E34" s="16" t="n">
        <v>0.3120716817763013</v>
      </c>
      <c r="F34" s="88" t="n">
        <v>5.424060504286298</v>
      </c>
      <c r="G34" s="88" t="n">
        <v>1.348350888244993</v>
      </c>
      <c r="H34" s="16" t="n">
        <v>-0.1285956185752799</v>
      </c>
      <c r="I34" s="16" t="n">
        <v>0.1086500581842018</v>
      </c>
      <c r="J34" s="16" t="n">
        <v>0.7329769700916078</v>
      </c>
      <c r="K34" s="88" t="n">
        <v>3.41365637383365</v>
      </c>
      <c r="L34" s="9" t="n">
        <v>1.5889298483183</v>
      </c>
      <c r="M34" s="18" t="n">
        <v>0.3120716817763013</v>
      </c>
      <c r="N34" s="9" t="n">
        <v>5.22146689555181</v>
      </c>
      <c r="O34" s="9" t="n">
        <v>1.260637839939497</v>
      </c>
      <c r="P34" s="9" t="n">
        <v>3.286153193659327</v>
      </c>
    </row>
    <row r="35" spans="1:22">
      <c r="B35" t="s">
        <v>29</v>
      </c>
      <c r="C35" s="123" t="n">
        <v>2.418052340147828</v>
      </c>
      <c r="D35" s="88" t="n">
        <v>1.580845518116883</v>
      </c>
      <c r="E35" s="16" t="n">
        <v>0.3462318859399718</v>
      </c>
      <c r="F35" s="88" t="n">
        <v>5.216698601676788</v>
      </c>
      <c r="G35" s="88" t="n">
        <v>1.157396891317028</v>
      </c>
      <c r="H35" s="16" t="n">
        <v>-0.1791492861889709</v>
      </c>
      <c r="I35" s="16" t="n">
        <v>0.0797961514406853</v>
      </c>
      <c r="J35" s="16" t="n">
        <v>0.3135540636601382</v>
      </c>
      <c r="K35" s="88" t="n">
        <v>3.299942051194834</v>
      </c>
      <c r="L35" s="9" t="n">
        <v>1.611842899617619</v>
      </c>
      <c r="M35" s="18" t="n">
        <v>0.3334127335229318</v>
      </c>
      <c r="N35" s="9" t="n">
        <v>5.216698601676788</v>
      </c>
      <c r="O35" s="9" t="n">
        <v>1.157396891317028</v>
      </c>
      <c r="P35" s="9" t="n">
        <v>3.236480802759598</v>
      </c>
    </row>
    <row r="36" spans="1:22">
      <c r="C36" s="70" t="n"/>
      <c r="D36" s="88" t="n"/>
      <c r="F36" s="88" t="n"/>
      <c r="G36" s="88" t="n"/>
      <c r="K36" s="88" t="n"/>
      <c r="L36" s="9" t="n"/>
      <c r="N36" s="9" t="n"/>
      <c r="O36" s="9" t="n"/>
      <c r="P36" s="9" t="n"/>
    </row>
    <row r="37" spans="1:22">
      <c r="A37" t="s">
        <v>269</v>
      </c>
      <c r="B37" t="s">
        <v>24</v>
      </c>
      <c r="C37" s="126" t="n">
        <v>23.8297782957113</v>
      </c>
      <c r="D37" s="88" t="n">
        <v>13.95313346946492</v>
      </c>
      <c r="E37" s="16" t="n">
        <v>0.414466500849649</v>
      </c>
      <c r="F37" s="88" t="n">
        <v>-14.59983997032133</v>
      </c>
      <c r="G37" s="88" t="n">
        <v>-1.612672085705006</v>
      </c>
      <c r="H37" s="16" t="n">
        <v>0.3124158023650645</v>
      </c>
      <c r="I37" s="16" t="n">
        <v>1.622958760072319</v>
      </c>
      <c r="J37" s="16" t="n">
        <v>-4.579727366204134</v>
      </c>
      <c r="K37" s="88" t="n">
        <v>-1.046348478087138</v>
      </c>
      <c r="L37" s="9" t="n">
        <v>13.95313346946492</v>
      </c>
      <c r="M37" s="18" t="n">
        <v>0.414466500849649</v>
      </c>
      <c r="N37" s="9" t="n">
        <v>-45.16381525139023</v>
      </c>
      <c r="O37" s="9" t="n">
        <v>-2.895267958053914</v>
      </c>
      <c r="P37" s="9" t="n">
        <v>-3.236822420585802</v>
      </c>
      <c r="Q37" s="131" t="n">
        <v>0.1180477579103355</v>
      </c>
      <c r="R37" s="131" t="n">
        <v>0.08342585011295152</v>
      </c>
      <c r="S37" s="131" t="n">
        <v>0.009173984220236981</v>
      </c>
      <c r="U37" s="129">
        <f>C37*S37</f>
        <v/>
      </c>
      <c r="V37" s="129">
        <f>Q37*(1-U37)+S37</f>
        <v/>
      </c>
    </row>
    <row r="38" spans="1:22">
      <c r="A38" t="s">
        <v>270</v>
      </c>
      <c r="B38" t="s">
        <v>26</v>
      </c>
      <c r="C38" s="126" t="n">
        <v>28.76596178294829</v>
      </c>
      <c r="D38" s="88" t="n">
        <v>17.90289797645005</v>
      </c>
      <c r="E38" s="16" t="n">
        <v>0.377636036940631</v>
      </c>
      <c r="F38" s="88" t="n">
        <v>-15.81923199528588</v>
      </c>
      <c r="G38" s="88" t="n">
        <v>-1.549928840017548</v>
      </c>
      <c r="H38" s="16" t="n">
        <v>0.3615414748832384</v>
      </c>
      <c r="I38" s="16" t="n">
        <v>1.176380025640721</v>
      </c>
      <c r="J38" s="16" t="n">
        <v>-3.759101397588188</v>
      </c>
      <c r="K38" s="88" t="n">
        <v>-0.883612922114337</v>
      </c>
      <c r="L38" s="9" t="n">
        <v>17.90289797645005</v>
      </c>
      <c r="M38" s="18" t="n">
        <v>0.377636036940631</v>
      </c>
      <c r="N38" s="9" t="n">
        <v>-65.60752003105959</v>
      </c>
      <c r="O38" s="9" t="n">
        <v>-3.280734450184454</v>
      </c>
      <c r="P38" s="9" t="n">
        <v>-3.664631285804202</v>
      </c>
    </row>
    <row r="39" spans="1:22">
      <c r="B39" t="s">
        <v>28</v>
      </c>
      <c r="C39" s="123" t="n">
        <v>2.813051899309095</v>
      </c>
      <c r="D39" s="88" t="n">
        <v>1.75907003615993</v>
      </c>
      <c r="E39" s="16" t="n">
        <v>0.3746755839833709</v>
      </c>
      <c r="F39" s="88" t="n">
        <v>6.282487112435756</v>
      </c>
      <c r="G39" s="88" t="n">
        <v>1.23333494628335</v>
      </c>
      <c r="H39" s="16" t="n">
        <v>-0.2184866008712909</v>
      </c>
      <c r="I39" s="16" t="n">
        <v>0.01499818379444373</v>
      </c>
      <c r="J39" s="16" t="n">
        <v>0.3363005328011948</v>
      </c>
      <c r="K39" s="88" t="n">
        <v>3.571482080469347</v>
      </c>
      <c r="L39" s="9" t="n">
        <v>1.830807898341199</v>
      </c>
      <c r="M39" s="18" t="n">
        <v>0.3491737927797002</v>
      </c>
      <c r="N39" s="9" t="n">
        <v>6.282487112435756</v>
      </c>
      <c r="O39" s="9" t="n">
        <v>1.23333494628335</v>
      </c>
      <c r="P39" s="9" t="n">
        <v>3.431538130312849</v>
      </c>
    </row>
    <row r="40" spans="1:22">
      <c r="B40" t="s">
        <v>29</v>
      </c>
      <c r="C40" s="123" t="n">
        <v>2.399824816059136</v>
      </c>
      <c r="D40" s="88" t="n">
        <v>1.613525083185413</v>
      </c>
      <c r="E40" s="16" t="n">
        <v>0.3276488048677411</v>
      </c>
      <c r="F40" s="88" t="n">
        <v>6.823664993181261</v>
      </c>
      <c r="G40" s="88" t="n">
        <v>1.843401296427428</v>
      </c>
      <c r="H40" s="16" t="n">
        <v>-0.1404890109202033</v>
      </c>
      <c r="I40" s="16" t="n">
        <v>0.1586112297356665</v>
      </c>
      <c r="J40" s="16" t="n">
        <v>0.4741178204847876</v>
      </c>
      <c r="K40" s="88" t="n">
        <v>4.229041782052755</v>
      </c>
      <c r="L40" s="9" t="n">
        <v>1.613525083185413</v>
      </c>
      <c r="M40" s="18" t="n">
        <v>0.3276488048677411</v>
      </c>
      <c r="N40" s="9" t="n">
        <v>6.823664993181261</v>
      </c>
      <c r="O40" s="9" t="n">
        <v>1.843401296427428</v>
      </c>
      <c r="P40" s="9" t="n">
        <v>4.229041782052755</v>
      </c>
    </row>
    <row r="41" spans="1:22">
      <c r="C41" s="70" t="n"/>
      <c r="D41" s="88" t="n"/>
      <c r="F41" s="88" t="n"/>
      <c r="G41" s="88" t="n"/>
      <c r="K41" s="88" t="n"/>
      <c r="L41" s="9" t="n"/>
      <c r="N41" s="9" t="n"/>
      <c r="O41" s="9" t="n"/>
      <c r="P41" s="9" t="n"/>
    </row>
    <row r="42" spans="1:22">
      <c r="A42" t="s">
        <v>271</v>
      </c>
      <c r="B42" t="s">
        <v>24</v>
      </c>
      <c r="C42" s="124" t="n">
        <v>11.44147108913515</v>
      </c>
      <c r="D42" s="88" t="n">
        <v>7.871815665664019</v>
      </c>
      <c r="E42" s="16" t="n">
        <v>0.311992697063307</v>
      </c>
      <c r="F42" s="88" t="n">
        <v>46.58793020625292</v>
      </c>
      <c r="G42" s="88" t="n">
        <v>3.071847915648973</v>
      </c>
      <c r="H42" s="16" t="n">
        <v>0.1318585198606694</v>
      </c>
      <c r="I42" s="16" t="n">
        <v>0.8450005277703199</v>
      </c>
      <c r="J42" s="16" t="n">
        <v>1.696172523863684</v>
      </c>
      <c r="K42" s="88" t="n">
        <v>5.918320776928793</v>
      </c>
      <c r="L42" s="9" t="n">
        <v>7.871815665664019</v>
      </c>
      <c r="M42" s="18" t="n">
        <v>0.311992697063307</v>
      </c>
      <c r="N42" s="9" t="n">
        <v>45.09434272381899</v>
      </c>
      <c r="O42" s="9" t="n">
        <v>2.941306355844461</v>
      </c>
      <c r="P42" s="9" t="n">
        <v>5.728582151703002</v>
      </c>
      <c r="Q42" s="131" t="n">
        <v>0.1850184641201121</v>
      </c>
      <c r="R42" s="131" t="n">
        <v>0.1240066531416413</v>
      </c>
      <c r="S42" s="131" t="n">
        <v>0.02551336381177451</v>
      </c>
      <c r="U42" s="129">
        <f>C42*S42</f>
        <v/>
      </c>
      <c r="V42" s="42">
        <f>Q42*(1-U42)+S42</f>
        <v/>
      </c>
    </row>
    <row r="43" spans="1:22">
      <c r="A43" t="s">
        <v>272</v>
      </c>
      <c r="B43" t="s">
        <v>26</v>
      </c>
      <c r="C43" s="124" t="n">
        <v>18.59720641953467</v>
      </c>
      <c r="D43" s="88" t="n">
        <v>12.88991670579927</v>
      </c>
      <c r="E43" s="16" t="n">
        <v>0.3068896255160348</v>
      </c>
      <c r="F43" s="88" t="n">
        <v>348.9558622022668</v>
      </c>
      <c r="G43" s="88" t="n">
        <v>17.76388605525831</v>
      </c>
      <c r="H43" s="16" t="n">
        <v>0.2937912592723144</v>
      </c>
      <c r="I43" s="16" t="n">
        <v>0.8430873986068885</v>
      </c>
      <c r="J43" s="16" t="n">
        <v>2.49366959793188</v>
      </c>
      <c r="K43" s="88" t="n">
        <v>27.07200288154452</v>
      </c>
      <c r="L43" s="9" t="n">
        <v>12.88991670579927</v>
      </c>
      <c r="M43" s="18" t="n">
        <v>0.3068896255160348</v>
      </c>
      <c r="N43" s="9" t="n">
        <v>348.9558622022668</v>
      </c>
      <c r="O43" s="9" t="n">
        <v>17.76388605525831</v>
      </c>
      <c r="P43" s="9" t="n">
        <v>27.07200288154452</v>
      </c>
    </row>
    <row r="44" spans="1:22">
      <c r="B44" t="s">
        <v>28</v>
      </c>
      <c r="C44" s="125" t="n">
        <v>2.11688340818645</v>
      </c>
      <c r="D44" s="88" t="n">
        <v>1.363841144065832</v>
      </c>
      <c r="E44" s="16" t="n">
        <v>0.3557315727490893</v>
      </c>
      <c r="F44" s="88" t="n">
        <v>4.408232093944328</v>
      </c>
      <c r="G44" s="88" t="n">
        <v>1.082416101376548</v>
      </c>
      <c r="H44" s="16" t="n">
        <v>-0.2254473705636749</v>
      </c>
      <c r="I44" s="16" t="n">
        <v>-0.04002869455822156</v>
      </c>
      <c r="J44" s="16" t="n">
        <v>0.3958448652271747</v>
      </c>
      <c r="K44" s="88" t="n">
        <v>3.232218145877805</v>
      </c>
      <c r="L44" s="9" t="n">
        <v>1.382623392427635</v>
      </c>
      <c r="M44" s="18" t="n">
        <v>0.3468589781181484</v>
      </c>
      <c r="N44" s="9" t="n">
        <v>3.133064698258571</v>
      </c>
      <c r="O44" s="9" t="n">
        <v>0.4800364942832114</v>
      </c>
      <c r="P44" s="9" t="n">
        <v>2.266028996339689</v>
      </c>
    </row>
    <row r="45" spans="1:22">
      <c r="B45" t="s">
        <v>29</v>
      </c>
      <c r="C45" s="123" t="n">
        <v>2.306177325870741</v>
      </c>
      <c r="D45" s="88" t="n">
        <v>1.532561055291635</v>
      </c>
      <c r="E45" s="16" t="n">
        <v>0.3354539401201564</v>
      </c>
      <c r="F45" s="88" t="n">
        <v>4.962489134873205</v>
      </c>
      <c r="G45" s="88" t="n">
        <v>1.151824614353765</v>
      </c>
      <c r="H45" s="16" t="n">
        <v>-0.1266882521690095</v>
      </c>
      <c r="I45" s="16" t="n">
        <v>0.0695133576022211</v>
      </c>
      <c r="J45" s="16" t="n">
        <v>0.5171275120476595</v>
      </c>
      <c r="K45" s="88" t="n">
        <v>3.238036825833917</v>
      </c>
      <c r="L45" s="9" t="n">
        <v>1.532561055291635</v>
      </c>
      <c r="M45" s="18" t="n">
        <v>0.3354539401201564</v>
      </c>
      <c r="N45" s="9" t="n">
        <v>4.144957039769944</v>
      </c>
      <c r="O45" s="9" t="n">
        <v>0.797327982229179</v>
      </c>
      <c r="P45" s="9" t="n">
        <v>2.70459504726302</v>
      </c>
    </row>
    <row r="46" spans="1:22">
      <c r="C46" s="70" t="n"/>
      <c r="D46" s="88" t="n"/>
      <c r="F46" s="88" t="n"/>
      <c r="G46" s="88" t="n"/>
      <c r="K46" s="88" t="n"/>
      <c r="L46" s="9" t="n"/>
      <c r="N46" s="9" t="n"/>
      <c r="O46" s="9" t="n"/>
      <c r="P46" s="9" t="n"/>
    </row>
    <row r="47" spans="1:22">
      <c r="A47" t="s">
        <v>273</v>
      </c>
      <c r="B47" t="s">
        <v>24</v>
      </c>
      <c r="C47" s="125" t="n">
        <v>35.28739392893478</v>
      </c>
      <c r="D47" s="88" t="n">
        <v>16.49121494882823</v>
      </c>
      <c r="E47" s="16" t="n">
        <v>0.5326598789913515</v>
      </c>
      <c r="F47" s="88" t="n">
        <v>155.7888770328065</v>
      </c>
      <c r="G47" s="88" t="n">
        <v>3.414859236886392</v>
      </c>
      <c r="H47" s="16" t="n">
        <v>-0.25051807253401</v>
      </c>
      <c r="I47" s="16" t="n">
        <v>-0.0543589112181716</v>
      </c>
      <c r="J47" s="16" t="n">
        <v>0.4374563813483183</v>
      </c>
      <c r="K47" s="88" t="n">
        <v>9.446779847101318</v>
      </c>
      <c r="L47" s="9" t="n">
        <v>23.84659305029714</v>
      </c>
      <c r="M47" s="18" t="n">
        <v>0.3242177901172937</v>
      </c>
      <c r="N47" s="9" t="n">
        <v>155.7888770328065</v>
      </c>
      <c r="O47" s="9" t="n">
        <v>3.414859236886392</v>
      </c>
      <c r="P47" s="9" t="n">
        <v>6.532961614441829</v>
      </c>
      <c r="Q47" s="131" t="n">
        <v>0.08769819428005023</v>
      </c>
      <c r="R47" s="131" t="n">
        <v>0.06560052779633856</v>
      </c>
      <c r="S47" s="131" t="n">
        <v>0.01311110959472252</v>
      </c>
      <c r="U47" s="129">
        <f>C47*S47</f>
        <v/>
      </c>
      <c r="V47" s="129">
        <f>Q47*(1-U47)+S47</f>
        <v/>
      </c>
    </row>
    <row r="48" spans="1:22">
      <c r="A48" t="s">
        <v>274</v>
      </c>
      <c r="B48" t="s">
        <v>26</v>
      </c>
      <c r="C48" s="125" t="n">
        <v>40.56737072766601</v>
      </c>
      <c r="D48" s="88" t="n">
        <v>20.26215331728084</v>
      </c>
      <c r="E48" s="16" t="n">
        <v>0.5005307725436956</v>
      </c>
      <c r="F48" s="88" t="n">
        <v>-726.5571998616161</v>
      </c>
      <c r="G48" s="88" t="n">
        <v>-18.90989129512702</v>
      </c>
      <c r="H48" s="16" t="n">
        <v>-0.2807577778374618</v>
      </c>
      <c r="I48" s="16" t="n">
        <v>-0.09417925526452542</v>
      </c>
      <c r="J48" s="16" t="n">
        <v>0.5061524613379942</v>
      </c>
      <c r="K48" s="88" t="n">
        <v>-35.85784731191242</v>
      </c>
      <c r="L48" s="9" t="n">
        <v>25.87744213933475</v>
      </c>
      <c r="M48" s="18" t="n">
        <v>0.3621119220899635</v>
      </c>
      <c r="N48" s="9" t="n">
        <v>-726.5571998616161</v>
      </c>
      <c r="O48" s="9" t="n">
        <v>-18.90989129512702</v>
      </c>
      <c r="P48" s="9" t="n">
        <v>-28.07685535338209</v>
      </c>
    </row>
    <row r="49" spans="1:22">
      <c r="B49" t="s">
        <v>28</v>
      </c>
      <c r="C49" s="125" t="n">
        <v>3.094640728416387</v>
      </c>
      <c r="D49" s="88" t="n">
        <v>1.463636227026557</v>
      </c>
      <c r="E49" s="16" t="n">
        <v>0.5270416324626026</v>
      </c>
      <c r="F49" s="88" t="n">
        <v>7.2985549384725</v>
      </c>
      <c r="G49" s="88" t="n">
        <v>1.358449842482158</v>
      </c>
      <c r="H49" s="16" t="n">
        <v>-0.2850231869195301</v>
      </c>
      <c r="I49" s="16" t="n">
        <v>-0.0006534968003658603</v>
      </c>
      <c r="J49" s="16" t="n">
        <v>0.2590233887901676</v>
      </c>
      <c r="K49" s="88" t="n">
        <v>4.986590796061289</v>
      </c>
      <c r="L49" s="9" t="n">
        <v>2.081760227090102</v>
      </c>
      <c r="M49" s="18" t="n">
        <v>0.3273014835051963</v>
      </c>
      <c r="N49" s="9" t="n">
        <v>7.2985549384725</v>
      </c>
      <c r="O49" s="9" t="n">
        <v>1.358449842482158</v>
      </c>
      <c r="P49" s="9" t="n">
        <v>3.505953684529013</v>
      </c>
    </row>
    <row r="50" spans="1:22">
      <c r="B50" t="s">
        <v>29</v>
      </c>
      <c r="C50" s="123" t="n">
        <v>2.661240931044625</v>
      </c>
      <c r="D50" s="88" t="n">
        <v>1.532222609387684</v>
      </c>
      <c r="E50" s="16" t="n">
        <v>0.424245061199237</v>
      </c>
      <c r="F50" s="88" t="n">
        <v>6.291436561111108</v>
      </c>
      <c r="G50" s="88" t="n">
        <v>1.36409882612226</v>
      </c>
      <c r="H50" s="16" t="n">
        <v>-0.2326887166693388</v>
      </c>
      <c r="I50" s="16" t="n">
        <v>0.112824280787756</v>
      </c>
      <c r="J50" s="16" t="n">
        <v>0.4235495360754529</v>
      </c>
      <c r="K50" s="88" t="n">
        <v>4.106085187990621</v>
      </c>
      <c r="L50" s="9" t="n">
        <v>1.786441217654471</v>
      </c>
      <c r="M50" s="18" t="n">
        <v>0.3287187203477913</v>
      </c>
      <c r="N50" s="9" t="n">
        <v>6.291436561111108</v>
      </c>
      <c r="O50" s="9" t="n">
        <v>1.36409882612226</v>
      </c>
      <c r="P50" s="9" t="n">
        <v>3.5217708251109</v>
      </c>
    </row>
    <row r="51" spans="1:22">
      <c r="C51" s="70" t="n"/>
      <c r="D51" s="88" t="n"/>
      <c r="F51" s="88" t="n"/>
      <c r="G51" s="88" t="n"/>
      <c r="K51" s="88" t="n"/>
      <c r="L51" s="9" t="n"/>
      <c r="N51" s="9" t="n"/>
      <c r="O51" s="9" t="n"/>
      <c r="P51" s="9" t="n"/>
    </row>
    <row r="52" spans="1:22">
      <c r="A52" t="s">
        <v>275</v>
      </c>
      <c r="B52" t="s">
        <v>24</v>
      </c>
      <c r="C52" s="126" t="n">
        <v>8.508453994670802</v>
      </c>
      <c r="D52" s="88" t="n">
        <v>6.196522620694513</v>
      </c>
      <c r="E52" s="16" t="n">
        <v>0.2717216753389449</v>
      </c>
      <c r="F52" s="88" t="n">
        <v>-11.95327766530318</v>
      </c>
      <c r="G52" s="88" t="n">
        <v>-2.404870693640702</v>
      </c>
      <c r="H52" s="16" t="n">
        <v>1.541369310116184</v>
      </c>
      <c r="I52" s="16" t="n">
        <v>9.286031528672128</v>
      </c>
      <c r="J52" s="16" t="n">
        <v>-8.918827866012833</v>
      </c>
      <c r="K52" s="88" t="n">
        <v>-1.929029940983809</v>
      </c>
      <c r="L52" s="9" t="n">
        <v>6.196522620694513</v>
      </c>
      <c r="M52" s="18" t="n">
        <v>0.2717216753389449</v>
      </c>
      <c r="N52" s="9" t="n">
        <v>-11.95327766530318</v>
      </c>
      <c r="O52" s="9" t="n">
        <v>-2.404870693640702</v>
      </c>
      <c r="P52" s="9" t="n">
        <v>-1.929029940983809</v>
      </c>
      <c r="Q52" s="131" t="n">
        <v>0.1543066079205227</v>
      </c>
      <c r="R52" s="131" t="n">
        <v>0.1404636004514138</v>
      </c>
      <c r="S52" s="131" t="n">
        <v>0.03007036076535268</v>
      </c>
      <c r="U52" s="129">
        <f>C52*S52</f>
        <v/>
      </c>
      <c r="V52" s="42">
        <f>Q52*(1-U52)+S52</f>
        <v/>
      </c>
    </row>
    <row r="53" spans="1:22">
      <c r="A53" t="s">
        <v>276</v>
      </c>
      <c r="B53" t="s">
        <v>26</v>
      </c>
      <c r="C53" s="126" t="n">
        <v>11.86218043013667</v>
      </c>
      <c r="D53" s="88" t="n">
        <v>9.517130540835074</v>
      </c>
      <c r="E53" s="16" t="n">
        <v>0.1976913016213984</v>
      </c>
      <c r="F53" s="88" t="n">
        <v>-13.09152763878691</v>
      </c>
      <c r="G53" s="88" t="n">
        <v>-2.103635854798415</v>
      </c>
      <c r="H53" s="16" t="n">
        <v>1.856064314764907</v>
      </c>
      <c r="I53" s="16" t="n">
        <v>59.01621661842711</v>
      </c>
      <c r="J53" s="16" t="n">
        <v>-3.491001181093376</v>
      </c>
      <c r="K53" s="88" t="n">
        <v>-1.375575083541746</v>
      </c>
      <c r="L53" s="9" t="n">
        <v>9.517130540835074</v>
      </c>
      <c r="M53" s="18" t="n">
        <v>0.1976913016213984</v>
      </c>
      <c r="N53" s="9" t="n">
        <v>-13.09152763878691</v>
      </c>
      <c r="O53" s="9" t="n">
        <v>-2.103635854798415</v>
      </c>
      <c r="P53" s="9" t="n">
        <v>-1.375575083541746</v>
      </c>
    </row>
    <row r="54" spans="1:22">
      <c r="B54" t="s">
        <v>28</v>
      </c>
      <c r="C54" s="123" t="n">
        <v>1.312910674565472</v>
      </c>
      <c r="D54" s="88" t="n">
        <v>0.7387920260893583</v>
      </c>
      <c r="E54" s="16" t="n">
        <v>0.4372869073260657</v>
      </c>
      <c r="F54" s="88" t="n">
        <v>2.760697855607208</v>
      </c>
      <c r="G54" s="88" t="n">
        <v>1.102730908575256</v>
      </c>
      <c r="H54" s="16" t="n">
        <v>-0.2643477397781711</v>
      </c>
      <c r="I54" s="16" t="n">
        <v>0.08608470146600089</v>
      </c>
      <c r="J54" s="16" t="n">
        <v>0.3365086080098674</v>
      </c>
      <c r="K54" s="88" t="n">
        <v>3.73677267501165</v>
      </c>
      <c r="L54" s="9" t="n">
        <v>0.7387920260893583</v>
      </c>
      <c r="M54" s="18" t="n">
        <v>0.4372869073260657</v>
      </c>
      <c r="N54" s="9" t="n">
        <v>2.760697855607208</v>
      </c>
      <c r="O54" s="9" t="n">
        <v>1.102730908575256</v>
      </c>
      <c r="P54" s="9" t="n">
        <v>3.73677267501165</v>
      </c>
    </row>
    <row r="55" spans="1:22">
      <c r="B55" t="s">
        <v>29</v>
      </c>
      <c r="C55" s="123" t="n">
        <v>1.666204572421297</v>
      </c>
      <c r="D55" s="88" t="n">
        <v>0.9616765271437776</v>
      </c>
      <c r="E55" s="16" t="n">
        <v>0.4228340606782233</v>
      </c>
      <c r="F55" s="88" t="n">
        <v>3.350626346623676</v>
      </c>
      <c r="G55" s="88" t="n">
        <v>1.010933352412188</v>
      </c>
      <c r="H55" s="16" t="n">
        <v>-0.2684680456551813</v>
      </c>
      <c r="I55" s="16" t="n">
        <v>0.08901090726035221</v>
      </c>
      <c r="J55" s="16" t="n">
        <v>0.3598188910004179</v>
      </c>
      <c r="K55" s="88" t="n">
        <v>3.484151117398266</v>
      </c>
      <c r="L55" s="9" t="n">
        <v>0.9616765271437776</v>
      </c>
      <c r="M55" s="18" t="n">
        <v>0.4228340606782233</v>
      </c>
      <c r="N55" s="9" t="n">
        <v>3.350626346623676</v>
      </c>
      <c r="O55" s="9" t="n">
        <v>1.010933352412188</v>
      </c>
      <c r="P55" s="9" t="n">
        <v>3.484151117398266</v>
      </c>
    </row>
    <row r="56" spans="1:22">
      <c r="C56" s="70" t="n"/>
      <c r="D56" s="88" t="n"/>
      <c r="F56" s="88" t="n"/>
      <c r="G56" s="88" t="n"/>
      <c r="K56" s="88" t="n"/>
      <c r="L56" s="9" t="n"/>
      <c r="N56" s="9" t="n"/>
      <c r="O56" s="9" t="n"/>
      <c r="P56" s="9" t="n"/>
    </row>
    <row r="57" spans="1:22">
      <c r="A57" t="s">
        <v>277</v>
      </c>
      <c r="B57" t="s">
        <v>24</v>
      </c>
      <c r="C57" s="123" t="n">
        <v>40.94879194479815</v>
      </c>
      <c r="D57" s="88" t="n">
        <v>22.40732009489763</v>
      </c>
      <c r="E57" s="16" t="n">
        <v>0.4527965531900362</v>
      </c>
      <c r="F57" s="88" t="n">
        <v>-175.877045153611</v>
      </c>
      <c r="G57" s="88" t="n">
        <v>-5.295048444669762</v>
      </c>
      <c r="H57" s="16" t="n">
        <v>-0.02459823547828999</v>
      </c>
      <c r="I57" s="16" t="n">
        <v>0.5226820008824955</v>
      </c>
      <c r="J57" s="16" t="n">
        <v>20.49425762319823</v>
      </c>
      <c r="K57" s="88" t="n">
        <v>-7.849088798158417</v>
      </c>
      <c r="L57" s="9" t="n">
        <v>24.64208869128022</v>
      </c>
      <c r="M57" s="18" t="n">
        <v>0.3982218394989653</v>
      </c>
      <c r="N57" s="9" t="n">
        <v>-185.4032097876004</v>
      </c>
      <c r="O57" s="9" t="n">
        <v>-5.527684480595592</v>
      </c>
      <c r="P57" s="9" t="n">
        <v>-7.523843133200257</v>
      </c>
      <c r="Q57" s="131" t="n">
        <v>0.05830720402854434</v>
      </c>
      <c r="R57" s="131" t="n">
        <v>0.03072556634140327</v>
      </c>
      <c r="S57" s="131" t="n">
        <v>0.008366632978954906</v>
      </c>
      <c r="U57" s="129">
        <f>C57*S57</f>
        <v/>
      </c>
      <c r="V57" s="129">
        <f>Q57*(1-U57)+S57</f>
        <v/>
      </c>
    </row>
    <row r="58" spans="1:22">
      <c r="A58" t="s">
        <v>278</v>
      </c>
      <c r="B58" t="s">
        <v>26</v>
      </c>
      <c r="C58" s="126" t="n">
        <v>79.07025875066664</v>
      </c>
      <c r="D58" s="88" t="n">
        <v>32.58054498294348</v>
      </c>
      <c r="E58" s="16" t="n">
        <v>0.5879544913887259</v>
      </c>
      <c r="F58" s="88" t="n">
        <v>-151.2935736566944</v>
      </c>
      <c r="G58" s="88" t="n">
        <v>-2.913406836491715</v>
      </c>
      <c r="H58" s="16" t="n">
        <v>-0.2624377262834507</v>
      </c>
      <c r="I58" s="16" t="n">
        <v>0.2062128618722929</v>
      </c>
      <c r="J58" s="16" t="n">
        <v>-20.70189267439645</v>
      </c>
      <c r="K58" s="88" t="n">
        <v>-4.643678420232055</v>
      </c>
      <c r="L58" s="9" t="n">
        <v>32.58054498294348</v>
      </c>
      <c r="M58" s="18" t="n">
        <v>0.5879544913887259</v>
      </c>
      <c r="N58" s="9" t="n">
        <v>-154.451517055974</v>
      </c>
      <c r="O58" s="9" t="n">
        <v>-2.953345284261787</v>
      </c>
      <c r="P58" s="9" t="n">
        <v>-4.740605693883642</v>
      </c>
    </row>
    <row r="59" spans="1:22">
      <c r="B59" t="s">
        <v>28</v>
      </c>
      <c r="C59" s="124" t="n">
        <v>2.387609566647759</v>
      </c>
      <c r="D59" s="88" t="n">
        <v>1.739156632612728</v>
      </c>
      <c r="E59" s="16" t="n">
        <v>0.2715908593654486</v>
      </c>
      <c r="F59" s="88" t="n">
        <v>6.817819326981705</v>
      </c>
      <c r="G59" s="88" t="n">
        <v>1.855500087710752</v>
      </c>
      <c r="H59" s="16" t="n">
        <v>0.007052249827416368</v>
      </c>
      <c r="I59" s="16" t="n">
        <v>0.2684827522233961</v>
      </c>
      <c r="J59" s="16" t="n">
        <v>0.8679877475080422</v>
      </c>
      <c r="K59" s="88" t="n">
        <v>3.920187060287562</v>
      </c>
      <c r="L59" s="9" t="n">
        <v>1.739156632612728</v>
      </c>
      <c r="M59" s="18" t="n">
        <v>0.2715908593654486</v>
      </c>
      <c r="N59" s="9" t="n">
        <v>5.01781909209965</v>
      </c>
      <c r="O59" s="9" t="n">
        <v>1.101607885222518</v>
      </c>
      <c r="P59" s="9" t="n">
        <v>2.885202515981209</v>
      </c>
    </row>
    <row r="60" spans="1:22">
      <c r="B60" t="s">
        <v>29</v>
      </c>
      <c r="C60" s="124" t="n">
        <v>2.429478480875531</v>
      </c>
      <c r="D60" s="88" t="n">
        <v>1.652700233861012</v>
      </c>
      <c r="E60" s="16" t="n">
        <v>0.3197304496126201</v>
      </c>
      <c r="F60" s="88" t="n">
        <v>6.814422293938095</v>
      </c>
      <c r="G60" s="88" t="n">
        <v>1.804890986925856</v>
      </c>
      <c r="H60" s="16" t="n">
        <v>0.04151194403874769</v>
      </c>
      <c r="I60" s="16" t="n">
        <v>0.3270266574914804</v>
      </c>
      <c r="J60" s="16" t="n">
        <v>0.900474080328951</v>
      </c>
      <c r="K60" s="88" t="n">
        <v>4.123205257869632</v>
      </c>
      <c r="L60" s="9" t="n">
        <v>1.652700233861012</v>
      </c>
      <c r="M60" s="18" t="n">
        <v>0.3197304496126201</v>
      </c>
      <c r="N60" s="9" t="n">
        <v>5.634862246858328</v>
      </c>
      <c r="O60" s="9" t="n">
        <v>1.319371128913086</v>
      </c>
      <c r="P60" s="9" t="n">
        <v>3.409488382351258</v>
      </c>
    </row>
    <row r="61" spans="1:22">
      <c r="C61" s="70" t="n"/>
      <c r="D61" s="88" t="n"/>
      <c r="F61" s="88" t="n"/>
      <c r="G61" s="88" t="n"/>
      <c r="K61" s="88" t="n"/>
      <c r="L61" s="9" t="n"/>
      <c r="N61" s="9" t="n"/>
      <c r="O61" s="9" t="n"/>
      <c r="P61" s="9" t="n"/>
    </row>
    <row r="62" spans="1:22">
      <c r="A62" t="s">
        <v>279</v>
      </c>
      <c r="B62" t="s">
        <v>24</v>
      </c>
      <c r="C62" s="124" t="n">
        <v>22.1225448047636</v>
      </c>
      <c r="D62" s="88" t="n">
        <v>14.94737857493224</v>
      </c>
      <c r="E62" s="16" t="n">
        <v>0.3243372899977742</v>
      </c>
      <c r="F62" s="88" t="n">
        <v>117.8384268588253</v>
      </c>
      <c r="G62" s="88" t="n">
        <v>4.326621683842241</v>
      </c>
      <c r="H62" s="16" t="n">
        <v>0.41121641502045</v>
      </c>
      <c r="I62" s="16" t="n">
        <v>1.162761143484028</v>
      </c>
      <c r="J62" s="16" t="n">
        <v>2.454732789034054</v>
      </c>
      <c r="K62" s="88" t="n">
        <v>7.883551371104518</v>
      </c>
      <c r="L62" s="9" t="n">
        <v>14.94737857493224</v>
      </c>
      <c r="M62" s="18" t="n">
        <v>0.3243372899977742</v>
      </c>
      <c r="N62" s="9" t="n">
        <v>117.8384268588253</v>
      </c>
      <c r="O62" s="9" t="n">
        <v>4.326621683842241</v>
      </c>
      <c r="P62" s="9" t="n">
        <v>7.883551371104518</v>
      </c>
      <c r="Q62" s="131" t="n">
        <v>0.1261389457479377</v>
      </c>
      <c r="R62" s="131" t="n">
        <v>0.07853777995127881</v>
      </c>
      <c r="S62" s="131" t="n">
        <v>0.01870489230539841</v>
      </c>
      <c r="U62" s="129">
        <f>C62*S62</f>
        <v/>
      </c>
      <c r="V62" s="129">
        <f>Q62*(1-U62)+S62</f>
        <v/>
      </c>
    </row>
    <row r="63" spans="1:22">
      <c r="A63" t="s">
        <v>280</v>
      </c>
      <c r="B63" t="s">
        <v>26</v>
      </c>
      <c r="C63" s="124" t="n">
        <v>34.73035355283439</v>
      </c>
      <c r="D63" s="88" t="n">
        <v>21.57537740194023</v>
      </c>
      <c r="E63" s="16" t="n">
        <v>0.3787746108280133</v>
      </c>
      <c r="F63" s="88" t="n">
        <v>206.9849457615409</v>
      </c>
      <c r="G63" s="88" t="n">
        <v>4.959770764978251</v>
      </c>
      <c r="H63" s="16" t="n">
        <v>0.1242192083082356</v>
      </c>
      <c r="I63" s="16" t="n">
        <v>0.7943379912108737</v>
      </c>
      <c r="J63" s="16" t="n">
        <v>2.206014421517493</v>
      </c>
      <c r="K63" s="88" t="n">
        <v>9.593572427749383</v>
      </c>
      <c r="L63" s="9" t="n">
        <v>21.57537740194023</v>
      </c>
      <c r="M63" s="18" t="n">
        <v>0.3787746108280133</v>
      </c>
      <c r="N63" s="9" t="n">
        <v>182.5286984269047</v>
      </c>
      <c r="O63" s="9" t="n">
        <v>4.255595747081252</v>
      </c>
      <c r="P63" s="9" t="n">
        <v>8.460046608987252</v>
      </c>
    </row>
    <row r="64" spans="1:22">
      <c r="B64" t="s">
        <v>28</v>
      </c>
      <c r="C64" s="123" t="n">
        <v>2.790514478934398</v>
      </c>
      <c r="D64" s="88" t="n">
        <v>1.926558859641412</v>
      </c>
      <c r="E64" s="16" t="n">
        <v>0.3096044209105488</v>
      </c>
      <c r="F64" s="88" t="n">
        <v>6.25727744335858</v>
      </c>
      <c r="G64" s="88" t="n">
        <v>1.242338282275468</v>
      </c>
      <c r="H64" s="16" t="n">
        <v>-0.1212809985842537</v>
      </c>
      <c r="I64" s="16" t="n">
        <v>0.1734452149282852</v>
      </c>
      <c r="J64" s="16" t="n">
        <v>0.5661462608822421</v>
      </c>
      <c r="K64" s="88" t="n">
        <v>3.24790359352075</v>
      </c>
      <c r="L64" s="9" t="n">
        <v>1.926558859641412</v>
      </c>
      <c r="M64" s="18" t="n">
        <v>0.3096044209105488</v>
      </c>
      <c r="N64" s="9" t="n">
        <v>6.162940390680576</v>
      </c>
      <c r="O64" s="9" t="n">
        <v>1.208531952514359</v>
      </c>
      <c r="P64" s="9" t="n">
        <v>3.198936985412258</v>
      </c>
    </row>
    <row r="65" spans="1:22">
      <c r="B65" t="s">
        <v>29</v>
      </c>
      <c r="C65" s="123" t="n">
        <v>2.727644864962621</v>
      </c>
      <c r="D65" s="88" t="n">
        <v>1.83487688330999</v>
      </c>
      <c r="E65" s="16" t="n">
        <v>0.327303599204021</v>
      </c>
      <c r="F65" s="88" t="n">
        <v>6.272757329282507</v>
      </c>
      <c r="G65" s="88" t="n">
        <v>1.299697225932111</v>
      </c>
      <c r="H65" s="16" t="n">
        <v>-0.1404718021199111</v>
      </c>
      <c r="I65" s="16" t="n">
        <v>0.2120321770539157</v>
      </c>
      <c r="J65" s="16" t="n">
        <v>0.5342389917906427</v>
      </c>
      <c r="K65" s="88" t="n">
        <v>3.418625732516119</v>
      </c>
      <c r="L65" s="9" t="n">
        <v>1.83487688330999</v>
      </c>
      <c r="M65" s="18" t="n">
        <v>0.327303599204021</v>
      </c>
      <c r="N65" s="9" t="n">
        <v>6.272757329282507</v>
      </c>
      <c r="O65" s="9" t="n">
        <v>1.299697225932111</v>
      </c>
      <c r="P65" s="9" t="n">
        <v>3.418625732516119</v>
      </c>
    </row>
    <row r="66" spans="1:22">
      <c r="C66" s="70" t="n"/>
      <c r="D66" s="88" t="n"/>
      <c r="F66" s="88" t="n"/>
      <c r="G66" s="88" t="n"/>
      <c r="K66" s="88" t="n"/>
      <c r="L66" s="9" t="n"/>
      <c r="N66" s="9" t="n"/>
      <c r="O66" s="9" t="n"/>
      <c r="P66" s="9" t="n"/>
    </row>
    <row r="67" spans="1:22">
      <c r="A67" t="s">
        <v>281</v>
      </c>
      <c r="B67" t="s">
        <v>24</v>
      </c>
      <c r="C67" s="124" t="n">
        <v>16.88764371770189</v>
      </c>
      <c r="D67" s="88" t="n">
        <v>10.39223313018314</v>
      </c>
      <c r="E67" s="16" t="n">
        <v>0.384625036867053</v>
      </c>
      <c r="F67" s="88" t="n">
        <v>-106.124205726484</v>
      </c>
      <c r="G67" s="88" t="n">
        <v>-7.284133387729098</v>
      </c>
      <c r="H67" s="16" t="n">
        <v>1.026917471659698</v>
      </c>
      <c r="I67" s="16" t="n">
        <v>2.183641855089281</v>
      </c>
      <c r="J67" s="16" t="n">
        <v>12.41781841078197</v>
      </c>
      <c r="K67" s="88" t="n">
        <v>-10.21187692741971</v>
      </c>
      <c r="L67" s="9" t="n">
        <v>10.39223313018314</v>
      </c>
      <c r="M67" s="18" t="n">
        <v>0.384625036867053</v>
      </c>
      <c r="N67" s="9" t="n">
        <v>2814.975918355104</v>
      </c>
      <c r="O67" s="9" t="n">
        <v>165.6884951749902</v>
      </c>
      <c r="P67" s="9" t="n">
        <v>270.8730532785397</v>
      </c>
      <c r="Q67" s="131" t="n">
        <v>0.1147245188021875</v>
      </c>
      <c r="R67" s="131" t="n">
        <v>0.08827192913674474</v>
      </c>
      <c r="S67" s="131" t="n">
        <v>0.01278751278459339</v>
      </c>
      <c r="U67" s="129">
        <f>C67*S67</f>
        <v/>
      </c>
      <c r="V67" s="129">
        <f>Q67*(1-U67)+S67</f>
        <v/>
      </c>
    </row>
    <row r="68" spans="1:22">
      <c r="A68" t="s">
        <v>282</v>
      </c>
      <c r="B68" t="s">
        <v>26</v>
      </c>
      <c r="C68" s="126" t="n">
        <v>23.29955506115541</v>
      </c>
      <c r="D68" s="88" t="n">
        <v>16.42493907233613</v>
      </c>
      <c r="E68" s="16" t="n">
        <v>0.2950535308839658</v>
      </c>
      <c r="F68" s="88" t="n">
        <v>-71.20953795353812</v>
      </c>
      <c r="G68" s="88" t="n">
        <v>-4.056261708287183</v>
      </c>
      <c r="H68" s="16" t="n">
        <v>1.01685526890894</v>
      </c>
      <c r="I68" s="16" t="n">
        <v>2.527207263317952</v>
      </c>
      <c r="J68" s="16" t="n">
        <v>-52.5574223084029</v>
      </c>
      <c r="K68" s="88" t="n">
        <v>-4.335452182801304</v>
      </c>
      <c r="L68" s="9" t="n">
        <v>16.42493907233613</v>
      </c>
      <c r="M68" s="18" t="n">
        <v>0.2950535308839658</v>
      </c>
      <c r="N68" s="9" t="n">
        <v>-279.7784590500083</v>
      </c>
      <c r="O68" s="9" t="n">
        <v>-13.00788849038795</v>
      </c>
      <c r="P68" s="9" t="n">
        <v>-17.033759322811</v>
      </c>
    </row>
    <row r="69" spans="1:22">
      <c r="B69" t="s">
        <v>28</v>
      </c>
      <c r="C69" s="123" t="n">
        <v>1.937426799216134</v>
      </c>
      <c r="D69" s="88" t="n">
        <v>1.272759371491037</v>
      </c>
      <c r="E69" s="16" t="n">
        <v>0.3430671176810476</v>
      </c>
      <c r="F69" s="88" t="n">
        <v>5.586529609739843</v>
      </c>
      <c r="G69" s="88" t="n">
        <v>1.883479062021906</v>
      </c>
      <c r="H69" s="16" t="n">
        <v>-0.1234017765775609</v>
      </c>
      <c r="I69" s="16" t="n">
        <v>0.1325715717616294</v>
      </c>
      <c r="J69" s="16" t="n">
        <v>0.4262258893110453</v>
      </c>
      <c r="K69" s="88" t="n">
        <v>4.389305421648732</v>
      </c>
      <c r="L69" s="9" t="n">
        <v>1.317949286874114</v>
      </c>
      <c r="M69" s="18" t="n">
        <v>0.3197424091545836</v>
      </c>
      <c r="N69" s="9" t="n">
        <v>5.586529609739843</v>
      </c>
      <c r="O69" s="9" t="n">
        <v>1.883479062021906</v>
      </c>
      <c r="P69" s="9" t="n">
        <v>4.238804683441094</v>
      </c>
    </row>
    <row r="70" spans="1:22">
      <c r="B70" t="s">
        <v>29</v>
      </c>
      <c r="C70" s="123" t="n">
        <v>2.056696673275993</v>
      </c>
      <c r="D70" s="88" t="n">
        <v>1.384590926671069</v>
      </c>
      <c r="E70" s="16" t="n">
        <v>0.3267889501344726</v>
      </c>
      <c r="F70" s="88" t="n">
        <v>5.951327826803759</v>
      </c>
      <c r="G70" s="88" t="n">
        <v>1.893634197075952</v>
      </c>
      <c r="H70" s="16" t="n">
        <v>-0.1104974211144437</v>
      </c>
      <c r="I70" s="16" t="n">
        <v>0.2368561294259914</v>
      </c>
      <c r="J70" s="16" t="n">
        <v>0.4586126019221977</v>
      </c>
      <c r="K70" s="88" t="n">
        <v>4.29825713296588</v>
      </c>
      <c r="L70" s="9" t="n">
        <v>1.384590926671069</v>
      </c>
      <c r="M70" s="18" t="n">
        <v>0.3267889501344726</v>
      </c>
      <c r="N70" s="9" t="n">
        <v>5.951327826803759</v>
      </c>
      <c r="O70" s="9" t="n">
        <v>1.893634197075952</v>
      </c>
      <c r="P70" s="9" t="n">
        <v>4.29825713296588</v>
      </c>
    </row>
    <row r="71" spans="1:22">
      <c r="C71" s="70" t="n"/>
      <c r="D71" s="88" t="n"/>
      <c r="F71" s="88" t="n"/>
      <c r="G71" s="88" t="n"/>
      <c r="K71" s="88" t="n"/>
      <c r="L71" s="9" t="n"/>
      <c r="N71" s="9" t="n"/>
      <c r="O71" s="9" t="n"/>
      <c r="P71" s="9" t="n"/>
    </row>
    <row r="72" spans="1:22">
      <c r="A72" t="s">
        <v>283</v>
      </c>
      <c r="B72" t="s">
        <v>24</v>
      </c>
      <c r="C72" s="124" t="n">
        <v>63.4150818088436</v>
      </c>
      <c r="D72" s="88" t="n">
        <v>44.75195426588873</v>
      </c>
      <c r="E72" s="16" t="n">
        <v>0.2943010875427459</v>
      </c>
      <c r="F72" s="88" t="n">
        <v>215.4331427045132</v>
      </c>
      <c r="G72" s="88" t="n">
        <v>2.397190960880693</v>
      </c>
      <c r="H72" s="16" t="n">
        <v>0.009096414517153706</v>
      </c>
      <c r="I72" s="16" t="n">
        <v>0.2743952816196791</v>
      </c>
      <c r="J72" s="16" t="n">
        <v>0.7366488926742942</v>
      </c>
      <c r="K72" s="88" t="n">
        <v>4.813938212050836</v>
      </c>
      <c r="L72" s="9" t="n">
        <v>44.75195426588873</v>
      </c>
      <c r="M72" s="18" t="n">
        <v>0.2943010875427459</v>
      </c>
      <c r="N72" s="9" t="n">
        <v>215.4331427045132</v>
      </c>
      <c r="O72" s="9" t="n">
        <v>2.397190960880693</v>
      </c>
      <c r="P72" s="9" t="n">
        <v>4.813938212050836</v>
      </c>
      <c r="Q72" s="131" t="n">
        <v>0.05116929049350091</v>
      </c>
      <c r="R72" s="131" t="n">
        <v>0.05008233383498038</v>
      </c>
      <c r="S72" s="131" t="n">
        <v>0.003241454206928922</v>
      </c>
      <c r="U72" s="129">
        <f>C72*S72</f>
        <v/>
      </c>
      <c r="V72" s="129">
        <f>Q72*(1-U72)+S72</f>
        <v/>
      </c>
    </row>
    <row r="73" spans="1:22">
      <c r="A73" t="s">
        <v>284</v>
      </c>
      <c r="B73" t="s">
        <v>26</v>
      </c>
      <c r="C73" s="123" t="n">
        <v>67.8823232178253</v>
      </c>
      <c r="D73" s="88" t="n">
        <v>44.52277272460459</v>
      </c>
      <c r="E73" s="16" t="n">
        <v>0.3441183121895083</v>
      </c>
      <c r="F73" s="88" t="n">
        <v>2703.729076138925</v>
      </c>
      <c r="G73" s="88" t="n">
        <v>38.82964854433487</v>
      </c>
      <c r="H73" s="16" t="n">
        <v>-0.06555330648032698</v>
      </c>
      <c r="I73" s="16" t="n">
        <v>0.2180382201094719</v>
      </c>
      <c r="J73" s="16" t="n">
        <v>1.153820959316791</v>
      </c>
      <c r="K73" s="88" t="n">
        <v>60.72687999156812</v>
      </c>
      <c r="L73" s="9" t="n">
        <v>48.68688408334751</v>
      </c>
      <c r="M73" s="18" t="n">
        <v>0.2827752237188788</v>
      </c>
      <c r="N73" s="9" t="n">
        <v>212.1958511441694</v>
      </c>
      <c r="O73" s="9" t="n">
        <v>2.125936784209069</v>
      </c>
      <c r="P73" s="9" t="n">
        <v>4.358378136931282</v>
      </c>
    </row>
    <row r="74" spans="1:22">
      <c r="B74" t="s">
        <v>28</v>
      </c>
      <c r="C74" s="124" t="n">
        <v>3.244904742745843</v>
      </c>
      <c r="D74" s="88" t="n">
        <v>2.157734559759071</v>
      </c>
      <c r="E74" s="16" t="n">
        <v>0.3350391673028921</v>
      </c>
      <c r="F74" s="88" t="n">
        <v>11.11363877433405</v>
      </c>
      <c r="G74" s="88" t="n">
        <v>2.424950701304617</v>
      </c>
      <c r="H74" s="16" t="n">
        <v>0.01322821730812018</v>
      </c>
      <c r="I74" s="16" t="n">
        <v>0.255401565540968</v>
      </c>
      <c r="J74" s="16" t="n">
        <v>0.535314414902895</v>
      </c>
      <c r="K74" s="88" t="n">
        <v>5.150605167845568</v>
      </c>
      <c r="L74" s="9" t="n">
        <v>2.460386534036089</v>
      </c>
      <c r="M74" s="18" t="n">
        <v>0.2417692570062607</v>
      </c>
      <c r="N74" s="9" t="n">
        <v>11.11363877433405</v>
      </c>
      <c r="O74" s="9" t="n">
        <v>2.424950701304617</v>
      </c>
      <c r="P74" s="9" t="n">
        <v>4.517029588884523</v>
      </c>
    </row>
    <row r="75" spans="1:22">
      <c r="B75" t="s">
        <v>29</v>
      </c>
      <c r="C75" s="123" t="n">
        <v>3.399705172889167</v>
      </c>
      <c r="D75" s="88" t="n">
        <v>2.092360926789675</v>
      </c>
      <c r="E75" s="16" t="n">
        <v>0.3845463590563274</v>
      </c>
      <c r="F75" s="88" t="n">
        <v>10.61632931575853</v>
      </c>
      <c r="G75" s="88" t="n">
        <v>2.122720581895772</v>
      </c>
      <c r="H75" s="16" t="n">
        <v>-0.0419873647014859</v>
      </c>
      <c r="I75" s="16" t="n">
        <v>0.240319286191363</v>
      </c>
      <c r="J75" s="16" t="n">
        <v>0.5271132621564625</v>
      </c>
      <c r="K75" s="88" t="n">
        <v>5.073851829209618</v>
      </c>
      <c r="L75" s="9" t="n">
        <v>2.35374668808785</v>
      </c>
      <c r="M75" s="18" t="n">
        <v>0.3076615269883626</v>
      </c>
      <c r="N75" s="9" t="n">
        <v>10.61632931575853</v>
      </c>
      <c r="O75" s="9" t="n">
        <v>2.122720581895772</v>
      </c>
      <c r="P75" s="9" t="n">
        <v>4.510395859285554</v>
      </c>
    </row>
    <row r="76" spans="1:22">
      <c r="C76" s="70" t="n"/>
      <c r="D76" s="88" t="n"/>
      <c r="F76" s="88" t="n"/>
      <c r="G76" s="88" t="n"/>
      <c r="K76" s="88" t="n"/>
      <c r="L76" s="9" t="n"/>
      <c r="N76" s="9" t="n"/>
      <c r="O76" s="9" t="n"/>
      <c r="P76" s="9" t="n"/>
    </row>
    <row r="77" spans="1:22">
      <c r="A77" t="s">
        <v>285</v>
      </c>
      <c r="B77" t="s">
        <v>24</v>
      </c>
      <c r="C77" s="124" t="n">
        <v>24.36662602521895</v>
      </c>
      <c r="D77" s="88" t="n">
        <v>17.52829038367684</v>
      </c>
      <c r="E77" s="16" t="n">
        <v>0.2806435176730897</v>
      </c>
      <c r="F77" s="88" t="n">
        <v>-321.6031552148167</v>
      </c>
      <c r="G77" s="88" t="n">
        <v>-14.19850991606159</v>
      </c>
      <c r="H77" s="16" t="n">
        <v>0.6054092919173941</v>
      </c>
      <c r="I77" s="16" t="n">
        <v>1.198151627037951</v>
      </c>
      <c r="J77" s="16" t="n">
        <v>3.416263914818185</v>
      </c>
      <c r="K77" s="88" t="n">
        <v>-18.34766244597981</v>
      </c>
      <c r="L77" s="9" t="n">
        <v>17.52829038367684</v>
      </c>
      <c r="M77" s="18" t="n">
        <v>0.2806435176730897</v>
      </c>
      <c r="N77" s="9" t="n">
        <v>949.9611275078934</v>
      </c>
      <c r="O77" s="9" t="n">
        <v>37.9861578096493</v>
      </c>
      <c r="P77" s="9" t="n">
        <v>54.19588030059915</v>
      </c>
      <c r="Q77" s="131" t="n">
        <v>0.09548728765228696</v>
      </c>
      <c r="R77" s="131" t="n">
        <v>0.06164202215075675</v>
      </c>
      <c r="S77" s="131" t="n">
        <v>0.01016907209359918</v>
      </c>
      <c r="U77" s="129">
        <f>C77*S77</f>
        <v/>
      </c>
      <c r="V77" s="129">
        <f>Q77*(1-U77)+S77</f>
        <v/>
      </c>
    </row>
    <row r="78" spans="1:22">
      <c r="A78" t="s">
        <v>286</v>
      </c>
      <c r="B78" t="s">
        <v>26</v>
      </c>
      <c r="C78" s="124" t="n">
        <v>35.93158776839818</v>
      </c>
      <c r="D78" s="88" t="n">
        <v>21.88733864988905</v>
      </c>
      <c r="E78" s="16" t="n">
        <v>0.3908607993900297</v>
      </c>
      <c r="F78" s="88" t="n">
        <v>-94.66141954994617</v>
      </c>
      <c r="G78" s="88" t="n">
        <v>-3.634490303075359</v>
      </c>
      <c r="H78" s="16" t="n">
        <v>0.2311062766309457</v>
      </c>
      <c r="I78" s="16" t="n">
        <v>0.772415596795865</v>
      </c>
      <c r="J78" s="16" t="n">
        <v>1.727480095051082</v>
      </c>
      <c r="K78" s="88" t="n">
        <v>-4.32493968609683</v>
      </c>
      <c r="L78" s="9" t="n">
        <v>21.88733864988905</v>
      </c>
      <c r="M78" s="18" t="n">
        <v>0.3908607993900297</v>
      </c>
      <c r="N78" s="9" t="n">
        <v>155.314521292284</v>
      </c>
      <c r="O78" s="9" t="n">
        <v>3.322506489092114</v>
      </c>
      <c r="P78" s="9" t="n">
        <v>7.096089834250876</v>
      </c>
    </row>
    <row r="79" spans="1:22">
      <c r="B79" t="s">
        <v>28</v>
      </c>
      <c r="C79" s="123" t="n">
        <v>2.326703028385783</v>
      </c>
      <c r="D79" s="88" t="n">
        <v>1.54007015816192</v>
      </c>
      <c r="E79" s="16" t="n">
        <v>0.3380890730905233</v>
      </c>
      <c r="F79" s="88" t="n">
        <v>6.63003988094135</v>
      </c>
      <c r="G79" s="88" t="n">
        <v>1.849542808022703</v>
      </c>
      <c r="H79" s="16" t="n">
        <v>-0.02006970801521879</v>
      </c>
      <c r="I79" s="16" t="n">
        <v>0.4519166580772338</v>
      </c>
      <c r="J79" s="16" t="n">
        <v>0.8563786395244466</v>
      </c>
      <c r="K79" s="88" t="n">
        <v>4.305024576837674</v>
      </c>
      <c r="L79" s="9" t="n">
        <v>1.54007015816192</v>
      </c>
      <c r="M79" s="18" t="n">
        <v>0.3380890730905233</v>
      </c>
      <c r="N79" s="9" t="n">
        <v>6.63003988094135</v>
      </c>
      <c r="O79" s="9" t="n">
        <v>1.849542808022703</v>
      </c>
      <c r="P79" s="9" t="n">
        <v>4.305024576837674</v>
      </c>
    </row>
    <row r="80" spans="1:22">
      <c r="B80" t="s">
        <v>29</v>
      </c>
      <c r="C80" s="124" t="n">
        <v>2.214895729131461</v>
      </c>
      <c r="D80" s="88" t="n">
        <v>1.45988586590398</v>
      </c>
      <c r="E80" s="16" t="n">
        <v>0.3408782875406723</v>
      </c>
      <c r="F80" s="88" t="n">
        <v>6.322443705943217</v>
      </c>
      <c r="G80" s="88" t="n">
        <v>1.854510766708856</v>
      </c>
      <c r="H80" s="16" t="n">
        <v>0.01645186423234057</v>
      </c>
      <c r="I80" s="16" t="n">
        <v>0.5290268076954732</v>
      </c>
      <c r="J80" s="16" t="n">
        <v>1.018848121351545</v>
      </c>
      <c r="K80" s="88" t="n">
        <v>4.330779449000474</v>
      </c>
      <c r="L80" s="9" t="n">
        <v>1.45988586590398</v>
      </c>
      <c r="M80" s="18" t="n">
        <v>0.3408782875406723</v>
      </c>
      <c r="N80" s="9" t="n">
        <v>6.322443705943217</v>
      </c>
      <c r="O80" s="9" t="n">
        <v>1.854510766708856</v>
      </c>
      <c r="P80" s="9" t="n">
        <v>4.330779449000474</v>
      </c>
    </row>
    <row r="81" spans="1:22">
      <c r="C81" s="70" t="n"/>
      <c r="D81" s="88" t="n"/>
      <c r="F81" s="88" t="n"/>
      <c r="G81" s="88" t="n"/>
      <c r="K81" s="88" t="n"/>
      <c r="L81" s="9" t="n"/>
      <c r="N81" s="9" t="n"/>
      <c r="O81" s="9" t="n"/>
      <c r="P81" s="9" t="n"/>
    </row>
    <row r="82" spans="1:22">
      <c r="A82" t="s">
        <v>287</v>
      </c>
      <c r="B82" t="s">
        <v>24</v>
      </c>
      <c r="C82" s="123" t="n">
        <v>35.10822047562279</v>
      </c>
      <c r="D82" s="88" t="n">
        <v>23.38130506149518</v>
      </c>
      <c r="E82" s="16" t="n">
        <v>0.3340219257843083</v>
      </c>
      <c r="F82" s="88" t="n">
        <v>108.0359266238524</v>
      </c>
      <c r="G82" s="88" t="n">
        <v>2.077225936269444</v>
      </c>
      <c r="H82" s="16" t="n">
        <v>-0.08411403501111114</v>
      </c>
      <c r="I82" s="16" t="n">
        <v>0.2900759538779909</v>
      </c>
      <c r="J82" s="16" t="n">
        <v>0.6385043411618077</v>
      </c>
      <c r="K82" s="88" t="n">
        <v>4.620611481681928</v>
      </c>
      <c r="L82" s="9" t="n">
        <v>23.38130506149518</v>
      </c>
      <c r="M82" s="18" t="n">
        <v>0.3340219257843083</v>
      </c>
      <c r="N82" s="9" t="n">
        <v>108.0359266238524</v>
      </c>
      <c r="O82" s="9" t="n">
        <v>2.077225936269444</v>
      </c>
      <c r="P82" s="9" t="n">
        <v>4.620611481681928</v>
      </c>
      <c r="Q82" s="131" t="n">
        <v>0.07928590286713297</v>
      </c>
      <c r="R82" s="131" t="n">
        <v>0.05618571564057278</v>
      </c>
      <c r="S82" s="131" t="n">
        <v>0.008585111484259276</v>
      </c>
      <c r="U82" s="129">
        <f>C82*S82</f>
        <v/>
      </c>
      <c r="V82" s="129">
        <f>Q82*(1-U82)+S82</f>
        <v/>
      </c>
    </row>
    <row r="83" spans="1:22">
      <c r="A83" t="s">
        <v>288</v>
      </c>
      <c r="B83" t="s">
        <v>26</v>
      </c>
      <c r="C83" s="123" t="n">
        <v>44.40213821815704</v>
      </c>
      <c r="D83" s="88" t="n">
        <v>25.84659083791629</v>
      </c>
      <c r="E83" s="16" t="n">
        <v>0.4178976086483368</v>
      </c>
      <c r="F83" s="88" t="n">
        <v>141.3520732153577</v>
      </c>
      <c r="G83" s="88" t="n">
        <v>2.183451943707424</v>
      </c>
      <c r="H83" s="16" t="n">
        <v>-0.1480474363880477</v>
      </c>
      <c r="I83" s="16" t="n">
        <v>0.2369536237869254</v>
      </c>
      <c r="J83" s="16" t="n">
        <v>0.632469270320843</v>
      </c>
      <c r="K83" s="88" t="n">
        <v>5.468886558454658</v>
      </c>
      <c r="L83" s="9" t="n">
        <v>25.84659083791629</v>
      </c>
      <c r="M83" s="18" t="n">
        <v>0.4178976086483368</v>
      </c>
      <c r="N83" s="9" t="n">
        <v>141.3520732153577</v>
      </c>
      <c r="O83" s="9" t="n">
        <v>2.183451943707424</v>
      </c>
      <c r="P83" s="9" t="n">
        <v>5.468886558454658</v>
      </c>
    </row>
    <row r="84" spans="1:22">
      <c r="B84" t="s">
        <v>28</v>
      </c>
      <c r="C84" s="123" t="n">
        <v>2.783586958468117</v>
      </c>
      <c r="D84" s="88" t="n">
        <v>1.924503879767276</v>
      </c>
      <c r="E84" s="16" t="n">
        <v>0.3086244803983482</v>
      </c>
      <c r="F84" s="88" t="n">
        <v>8.769553457667707</v>
      </c>
      <c r="G84" s="88" t="n">
        <v>2.150450691324488</v>
      </c>
      <c r="H84" s="16" t="n">
        <v>-0.04740676490138906</v>
      </c>
      <c r="I84" s="16" t="n">
        <v>0.3079036496437109</v>
      </c>
      <c r="J84" s="16" t="n">
        <v>0.7533152839338066</v>
      </c>
      <c r="K84" s="88" t="n">
        <v>4.55678658269485</v>
      </c>
      <c r="L84" s="9" t="n">
        <v>2.005580263994312</v>
      </c>
      <c r="M84" s="18" t="n">
        <v>0.2794978946524318</v>
      </c>
      <c r="N84" s="9" t="n">
        <v>8.769553457667707</v>
      </c>
      <c r="O84" s="9" t="n">
        <v>2.150450691324488</v>
      </c>
      <c r="P84" s="9" t="n">
        <v>4.37257666277702</v>
      </c>
    </row>
    <row r="85" spans="1:22">
      <c r="B85" t="s">
        <v>29</v>
      </c>
      <c r="C85" s="123" t="n">
        <v>2.494765911758781</v>
      </c>
      <c r="D85" s="88" t="n">
        <v>1.667076315336674</v>
      </c>
      <c r="E85" s="16" t="n">
        <v>0.3317704448825803</v>
      </c>
      <c r="F85" s="88" t="n">
        <v>8.443276507142935</v>
      </c>
      <c r="G85" s="88" t="n">
        <v>2.384396294396425</v>
      </c>
      <c r="H85" s="16" t="n">
        <v>-0.05297578423503158</v>
      </c>
      <c r="I85" s="16" t="n">
        <v>0.4005790244573659</v>
      </c>
      <c r="J85" s="16" t="n">
        <v>0.8774283338280893</v>
      </c>
      <c r="K85" s="88" t="n">
        <v>5.064721050540375</v>
      </c>
      <c r="L85" s="9" t="n">
        <v>1.667076315336674</v>
      </c>
      <c r="M85" s="18" t="n">
        <v>0.3317704448825803</v>
      </c>
      <c r="N85" s="9" t="n">
        <v>8.443276507142935</v>
      </c>
      <c r="O85" s="9" t="n">
        <v>2.384396294396425</v>
      </c>
      <c r="P85" s="9" t="n">
        <v>5.064721050540375</v>
      </c>
    </row>
    <row r="86" spans="1:22">
      <c r="C86" s="70" t="n"/>
      <c r="D86" s="88" t="n"/>
      <c r="F86" s="88" t="n"/>
      <c r="G86" s="88" t="n"/>
      <c r="K86" s="88" t="n"/>
      <c r="L86" s="9" t="n"/>
      <c r="N86" s="9" t="n"/>
      <c r="O86" s="9" t="n"/>
      <c r="P86" s="9" t="n"/>
    </row>
    <row r="87" spans="1:22">
      <c r="A87" t="s">
        <v>289</v>
      </c>
      <c r="B87" t="s">
        <v>24</v>
      </c>
      <c r="C87" s="124" t="n">
        <v>28.96035294667104</v>
      </c>
      <c r="D87" s="88" t="n">
        <v>21.37931288159151</v>
      </c>
      <c r="E87" s="16" t="n">
        <v>0.2617730550121271</v>
      </c>
      <c r="F87" s="88" t="n">
        <v>96.02701316397979</v>
      </c>
      <c r="G87" s="88" t="n">
        <v>2.315809491024106</v>
      </c>
      <c r="H87" s="16" t="n">
        <v>0.05171338984100293</v>
      </c>
      <c r="I87" s="16" t="n">
        <v>0.4583938732712349</v>
      </c>
      <c r="J87" s="16" t="n">
        <v>0.898649452863316</v>
      </c>
      <c r="K87" s="88" t="n">
        <v>4.491585566656032</v>
      </c>
      <c r="L87" s="9" t="n">
        <v>21.37931288159151</v>
      </c>
      <c r="M87" s="18" t="n">
        <v>0.2617730550121271</v>
      </c>
      <c r="N87" s="9" t="n">
        <v>95.78994283825217</v>
      </c>
      <c r="O87" s="9" t="n">
        <v>2.307623460758379</v>
      </c>
      <c r="P87" s="9" t="n">
        <v>4.480496794671608</v>
      </c>
      <c r="Q87" s="131" t="n">
        <v>0.06931800669207858</v>
      </c>
      <c r="R87" s="131" t="n">
        <v>0.03943561658911587</v>
      </c>
      <c r="S87" s="131" t="n">
        <v>0.01194865214818912</v>
      </c>
      <c r="U87" s="129">
        <f>C87*S87</f>
        <v/>
      </c>
      <c r="V87" s="129">
        <f>Q87*(1-U87)+S87</f>
        <v/>
      </c>
    </row>
    <row r="88" spans="1:22">
      <c r="A88" t="s">
        <v>290</v>
      </c>
      <c r="B88" t="s">
        <v>26</v>
      </c>
      <c r="C88" s="123" t="n">
        <v>59.44371984652543</v>
      </c>
      <c r="D88" s="88" t="n">
        <v>33.59838729387025</v>
      </c>
      <c r="E88" s="16" t="n">
        <v>0.4347865951085137</v>
      </c>
      <c r="F88" s="88" t="n">
        <v>-77.04832630916339</v>
      </c>
      <c r="G88" s="88" t="n">
        <v>-2.29615586824126</v>
      </c>
      <c r="H88" s="16" t="n">
        <v>-0.1832311302140607</v>
      </c>
      <c r="I88" s="16" t="n">
        <v>0.1545257294303857</v>
      </c>
      <c r="J88" s="16" t="n">
        <v>0.7782687716594034</v>
      </c>
      <c r="K88" s="88" t="n">
        <v>-2.293215017591639</v>
      </c>
      <c r="L88" s="9" t="n">
        <v>42.10474960474876</v>
      </c>
      <c r="M88" s="18" t="n">
        <v>0.2916871670639595</v>
      </c>
      <c r="N88" s="9" t="n">
        <v>-81.68664202821527</v>
      </c>
      <c r="O88" s="9" t="n">
        <v>-2.374184560439987</v>
      </c>
      <c r="P88" s="9" t="n">
        <v>-1.940081411124276</v>
      </c>
    </row>
    <row r="89" spans="1:22">
      <c r="B89" t="s">
        <v>28</v>
      </c>
      <c r="C89" s="124" t="n">
        <v>2.007473939362301</v>
      </c>
      <c r="D89" s="88" t="n">
        <v>1.482642887252574</v>
      </c>
      <c r="E89" s="16" t="n">
        <v>0.2614385381642593</v>
      </c>
      <c r="F89" s="88" t="n">
        <v>7.958899476242713</v>
      </c>
      <c r="G89" s="88" t="n">
        <v>2.964634020988067</v>
      </c>
      <c r="H89" s="16" t="n">
        <v>0.003309444170996878</v>
      </c>
      <c r="I89" s="16" t="n">
        <v>0.3603793320874349</v>
      </c>
      <c r="J89" s="16" t="n">
        <v>1.302682133196016</v>
      </c>
      <c r="K89" s="88" t="n">
        <v>5.368048870480896</v>
      </c>
      <c r="L89" s="9" t="n">
        <v>1.482642887252574</v>
      </c>
      <c r="M89" s="18" t="n">
        <v>0.2614385381642593</v>
      </c>
      <c r="N89" s="9" t="n">
        <v>6.385499364701944</v>
      </c>
      <c r="O89" s="9" t="n">
        <v>2.180862894155616</v>
      </c>
      <c r="P89" s="9" t="n">
        <v>4.306835732058619</v>
      </c>
    </row>
    <row r="90" spans="1:22">
      <c r="B90" t="s">
        <v>29</v>
      </c>
      <c r="C90" s="123" t="n">
        <v>2.344199744498394</v>
      </c>
      <c r="D90" s="88" t="n">
        <v>1.583181044649176</v>
      </c>
      <c r="E90" s="16" t="n">
        <v>0.3246390166346762</v>
      </c>
      <c r="F90" s="88" t="n">
        <v>6.824401497076427</v>
      </c>
      <c r="G90" s="88" t="n">
        <v>1.911186008399082</v>
      </c>
      <c r="H90" s="16" t="n">
        <v>-0.02613615955949933</v>
      </c>
      <c r="I90" s="16" t="n">
        <v>0.361496010757149</v>
      </c>
      <c r="J90" s="16" t="n">
        <v>1.016284991558138</v>
      </c>
      <c r="K90" s="88" t="n">
        <v>4.31056291391404</v>
      </c>
      <c r="L90" s="9" t="n">
        <v>1.583181044649176</v>
      </c>
      <c r="M90" s="18" t="n">
        <v>0.3246390166346762</v>
      </c>
      <c r="N90" s="9" t="n">
        <v>6.824401497076427</v>
      </c>
      <c r="O90" s="9" t="n">
        <v>1.911186008399082</v>
      </c>
      <c r="P90" s="9" t="n">
        <v>4.31056291391404</v>
      </c>
    </row>
    <row r="91" spans="1:22">
      <c r="C91" s="70" t="n"/>
      <c r="D91" s="88" t="n"/>
      <c r="F91" s="88" t="n"/>
      <c r="G91" s="88" t="n"/>
      <c r="K91" s="88" t="n"/>
      <c r="L91" s="9" t="n"/>
      <c r="N91" s="9" t="n"/>
      <c r="O91" s="9" t="n"/>
      <c r="P91" s="9" t="n"/>
    </row>
    <row r="92" spans="1:22">
      <c r="A92" t="s">
        <v>291</v>
      </c>
      <c r="B92" t="s">
        <v>24</v>
      </c>
      <c r="C92" s="123" t="n">
        <v>32.70120129709392</v>
      </c>
      <c r="D92" s="88" t="n">
        <v>17.42787806517273</v>
      </c>
      <c r="E92" s="16" t="n">
        <v>0.467056946720746</v>
      </c>
      <c r="F92" s="88" t="n">
        <v>200.4230661355751</v>
      </c>
      <c r="G92" s="88" t="n">
        <v>5.128920595751514</v>
      </c>
      <c r="H92" s="16" t="n">
        <v>-0.1810150910784596</v>
      </c>
      <c r="I92" s="16" t="n">
        <v>0.1675656093359104</v>
      </c>
      <c r="J92" s="16" t="n">
        <v>1.051995784589879</v>
      </c>
      <c r="K92" s="88" t="n">
        <v>11.50014163434466</v>
      </c>
      <c r="L92" s="9" t="n">
        <v>21.18317134331769</v>
      </c>
      <c r="M92" s="18" t="n">
        <v>0.3522203924294307</v>
      </c>
      <c r="N92" s="9" t="n">
        <v>200.4230661355751</v>
      </c>
      <c r="O92" s="9" t="n">
        <v>5.128920595751514</v>
      </c>
      <c r="P92" s="9" t="n">
        <v>9.461428739224131</v>
      </c>
      <c r="Q92" s="131" t="n">
        <v>0.07628953554734509</v>
      </c>
      <c r="R92" s="131" t="n">
        <v>0.04624453226053886</v>
      </c>
      <c r="S92" s="131" t="n">
        <v>0.01313297695362413</v>
      </c>
      <c r="U92" s="129">
        <f>C92*S92</f>
        <v/>
      </c>
      <c r="V92" s="129">
        <f>Q92*(1-U92)+S92</f>
        <v/>
      </c>
    </row>
    <row r="93" spans="1:22">
      <c r="A93" t="s">
        <v>292</v>
      </c>
      <c r="B93" t="s">
        <v>26</v>
      </c>
      <c r="C93" s="123" t="n">
        <v>52.9114602883679</v>
      </c>
      <c r="D93" s="88" t="n">
        <v>26.91411893641261</v>
      </c>
      <c r="E93" s="16" t="n">
        <v>0.4913366822663666</v>
      </c>
      <c r="F93" s="88" t="n">
        <v>209.8544570039366</v>
      </c>
      <c r="G93" s="88" t="n">
        <v>2.966143740131685</v>
      </c>
      <c r="H93" s="16" t="n">
        <v>-0.2545896214985862</v>
      </c>
      <c r="I93" s="16" t="n">
        <v>0.1233487369707194</v>
      </c>
      <c r="J93" s="16" t="n">
        <v>0.9046476424159569</v>
      </c>
      <c r="K93" s="88" t="n">
        <v>7.797188438519555</v>
      </c>
      <c r="L93" s="9" t="n">
        <v>33.60023494521224</v>
      </c>
      <c r="M93" s="18" t="n">
        <v>0.3649724509191264</v>
      </c>
      <c r="N93" s="9" t="n">
        <v>209.8544570039366</v>
      </c>
      <c r="O93" s="9" t="n">
        <v>2.966143740131685</v>
      </c>
      <c r="P93" s="9" t="n">
        <v>6.24562469119994</v>
      </c>
    </row>
    <row r="94" spans="1:22">
      <c r="B94" t="s">
        <v>28</v>
      </c>
      <c r="C94" s="123" t="n">
        <v>2.494759458795534</v>
      </c>
      <c r="D94" s="88" t="n">
        <v>1.687116172027413</v>
      </c>
      <c r="E94" s="16" t="n">
        <v>0.3237359353105931</v>
      </c>
      <c r="F94" s="88" t="n">
        <v>5.952464454995749</v>
      </c>
      <c r="G94" s="88" t="n">
        <v>1.385987327960504</v>
      </c>
      <c r="H94" s="16" t="n">
        <v>-0.1281836531313479</v>
      </c>
      <c r="I94" s="16" t="n">
        <v>0.1857634766587866</v>
      </c>
      <c r="J94" s="16" t="n">
        <v>0.4984530835670387</v>
      </c>
      <c r="K94" s="88" t="n">
        <v>3.52818884300223</v>
      </c>
      <c r="L94" s="9" t="n">
        <v>1.687116172027413</v>
      </c>
      <c r="M94" s="18" t="n">
        <v>0.3237359353105931</v>
      </c>
      <c r="N94" s="9" t="n">
        <v>5.952464454995749</v>
      </c>
      <c r="O94" s="9" t="n">
        <v>1.385987327960504</v>
      </c>
      <c r="P94" s="9" t="n">
        <v>3.52818884300223</v>
      </c>
    </row>
    <row r="95" spans="1:22">
      <c r="B95" t="s">
        <v>29</v>
      </c>
      <c r="C95" s="123" t="n">
        <v>2.44686573225765</v>
      </c>
      <c r="D95" s="88" t="n">
        <v>1.613716340663969</v>
      </c>
      <c r="E95" s="16" t="n">
        <v>0.3404965710255621</v>
      </c>
      <c r="F95" s="88" t="n">
        <v>6.43456475210083</v>
      </c>
      <c r="G95" s="88" t="n">
        <v>1.629717138653068</v>
      </c>
      <c r="H95" s="16" t="n">
        <v>-0.08178226971041991</v>
      </c>
      <c r="I95" s="16" t="n">
        <v>0.3103050841039396</v>
      </c>
      <c r="J95" s="16" t="n">
        <v>0.5896122728097484</v>
      </c>
      <c r="K95" s="88" t="n">
        <v>3.987419963444942</v>
      </c>
      <c r="L95" s="9" t="n">
        <v>1.613716340663969</v>
      </c>
      <c r="M95" s="18" t="n">
        <v>0.3404965710255621</v>
      </c>
      <c r="N95" s="9" t="n">
        <v>6.43456475210083</v>
      </c>
      <c r="O95" s="9" t="n">
        <v>1.629717138653068</v>
      </c>
      <c r="P95" s="9" t="n">
        <v>3.987419963444942</v>
      </c>
    </row>
    <row r="96" spans="1:22">
      <c r="C96" s="70" t="n"/>
      <c r="D96" s="88" t="n"/>
      <c r="F96" s="88" t="n"/>
      <c r="G96" s="88" t="n"/>
      <c r="K96" s="88" t="n"/>
      <c r="L96" s="9" t="n"/>
      <c r="N96" s="9" t="n"/>
      <c r="O96" s="9" t="n"/>
      <c r="P96" s="9" t="n"/>
    </row>
    <row r="97" spans="1:22">
      <c r="A97" t="s">
        <v>293</v>
      </c>
      <c r="B97" t="s">
        <v>24</v>
      </c>
      <c r="C97" s="125" t="n">
        <v>38.20441739987581</v>
      </c>
      <c r="D97" s="88" t="n">
        <v>13.9437193020739</v>
      </c>
      <c r="E97" s="16" t="n">
        <v>0.635023375539834</v>
      </c>
      <c r="F97" s="88" t="n">
        <v>160.9179182101477</v>
      </c>
      <c r="G97" s="88" t="n">
        <v>3.212023874775036</v>
      </c>
      <c r="H97" s="16" t="n">
        <v>-0.3760403704127034</v>
      </c>
      <c r="I97" s="16" t="n">
        <v>-0.1134059904308217</v>
      </c>
      <c r="J97" s="16" t="n">
        <v>1.137097081073864</v>
      </c>
      <c r="K97" s="88" t="n">
        <v>11.54053052303009</v>
      </c>
      <c r="L97" s="9" t="n">
        <v>27.93499991241088</v>
      </c>
      <c r="M97" s="18" t="n">
        <v>0.2688018346145049</v>
      </c>
      <c r="N97" s="9" t="n">
        <v>160.9179182101477</v>
      </c>
      <c r="O97" s="9" t="n">
        <v>3.212023874775036</v>
      </c>
      <c r="P97" s="9" t="n">
        <v>5.760440977794869</v>
      </c>
      <c r="Q97" s="131" t="n">
        <v>0.06250390148633006</v>
      </c>
      <c r="R97" s="131" t="n">
        <v>0.0454820738260646</v>
      </c>
      <c r="S97" s="131" t="n">
        <v>0.009960907214724654</v>
      </c>
      <c r="U97" s="129">
        <f>C97*S97</f>
        <v/>
      </c>
      <c r="V97" s="129">
        <f>Q97*(1-U97)+S97</f>
        <v/>
      </c>
    </row>
    <row r="98" spans="1:22">
      <c r="A98" t="s">
        <v>294</v>
      </c>
      <c r="B98" t="s">
        <v>26</v>
      </c>
      <c r="C98" s="123" t="n">
        <v>56.85493911935914</v>
      </c>
      <c r="D98" s="88" t="n">
        <v>22.45095453909373</v>
      </c>
      <c r="E98" s="16" t="n">
        <v>0.6051186601051313</v>
      </c>
      <c r="F98" s="88" t="n">
        <v>-8150.028161792368</v>
      </c>
      <c r="G98" s="88" t="n">
        <v>-144.3477598961543</v>
      </c>
      <c r="H98" s="16" t="n">
        <v>-0.3264345030990488</v>
      </c>
      <c r="I98" s="16" t="n">
        <v>0.1608574537081078</v>
      </c>
      <c r="J98" s="16" t="n">
        <v>1.603731245722738</v>
      </c>
      <c r="K98" s="88" t="n">
        <v>-363.0147728285124</v>
      </c>
      <c r="L98" s="9" t="n">
        <v>38.3626550326689</v>
      </c>
      <c r="M98" s="18" t="n">
        <v>0.3252537839829225</v>
      </c>
      <c r="N98" s="9" t="n">
        <v>-8150.028161792368</v>
      </c>
      <c r="O98" s="9" t="n">
        <v>-144.3477598961543</v>
      </c>
      <c r="P98" s="9" t="n">
        <v>-212.4469267012922</v>
      </c>
    </row>
    <row r="99" spans="1:22">
      <c r="B99" t="s">
        <v>28</v>
      </c>
      <c r="C99" s="123" t="n">
        <v>2.387925141504472</v>
      </c>
      <c r="D99" s="88" t="n">
        <v>1.558916939602899</v>
      </c>
      <c r="E99" s="16" t="n">
        <v>0.347166746349205</v>
      </c>
      <c r="F99" s="88" t="n">
        <v>6.318839712592496</v>
      </c>
      <c r="G99" s="88" t="n">
        <v>1.646163232994573</v>
      </c>
      <c r="H99" s="16" t="n">
        <v>-0.2018772273606343</v>
      </c>
      <c r="I99" s="16" t="n">
        <v>0.1780677504435368</v>
      </c>
      <c r="J99" s="16" t="n">
        <v>0.5705201219247165</v>
      </c>
      <c r="K99" s="88" t="n">
        <v>4.053352396184805</v>
      </c>
      <c r="L99" s="9" t="n">
        <v>1.640015142223334</v>
      </c>
      <c r="M99" s="18" t="n">
        <v>0.3132049603573123</v>
      </c>
      <c r="N99" s="9" t="n">
        <v>6.318839712592496</v>
      </c>
      <c r="O99" s="9" t="n">
        <v>1.646163232994573</v>
      </c>
      <c r="P99" s="9" t="n">
        <v>3.852915470052414</v>
      </c>
    </row>
    <row r="100" spans="1:22">
      <c r="B100" t="s">
        <v>29</v>
      </c>
      <c r="C100" s="123" t="n">
        <v>2.585880538403101</v>
      </c>
      <c r="D100" s="88" t="n">
        <v>1.657940944580302</v>
      </c>
      <c r="E100" s="16" t="n">
        <v>0.3588485933676748</v>
      </c>
      <c r="F100" s="88" t="n">
        <v>6.745724053159418</v>
      </c>
      <c r="G100" s="88" t="n">
        <v>1.608675827432156</v>
      </c>
      <c r="H100" s="16" t="n">
        <v>-0.1800629329278014</v>
      </c>
      <c r="I100" s="16" t="n">
        <v>0.2617723454900684</v>
      </c>
      <c r="J100" s="16" t="n">
        <v>0.5531070857318581</v>
      </c>
      <c r="K100" s="88" t="n">
        <v>4.068736027788407</v>
      </c>
      <c r="L100" s="9" t="n">
        <v>1.697076276440924</v>
      </c>
      <c r="M100" s="18" t="n">
        <v>0.3437143552312181</v>
      </c>
      <c r="N100" s="9" t="n">
        <v>6.745724053159418</v>
      </c>
      <c r="O100" s="9" t="n">
        <v>1.608675827432156</v>
      </c>
      <c r="P100" s="9" t="n">
        <v>3.974909169849703</v>
      </c>
    </row>
    <row r="101" spans="1:22">
      <c r="C101" s="70" t="n"/>
      <c r="D101" s="88" t="n"/>
      <c r="F101" s="88" t="n"/>
      <c r="G101" s="88" t="n"/>
      <c r="K101" s="88" t="n"/>
      <c r="L101" s="9" t="n"/>
      <c r="N101" s="9" t="n"/>
      <c r="O101" s="9" t="n"/>
      <c r="P101" s="9" t="n"/>
    </row>
    <row r="102" spans="1:22">
      <c r="A102" t="s">
        <v>295</v>
      </c>
      <c r="B102" t="s">
        <v>24</v>
      </c>
      <c r="C102" s="126" t="n">
        <v>107.3633542486525</v>
      </c>
      <c r="D102" s="88" t="n">
        <v>14.35704079626388</v>
      </c>
      <c r="E102" s="16" t="n">
        <v>0.8662761526338576</v>
      </c>
      <c r="F102" s="88" t="n">
        <v>-83.72646895076251</v>
      </c>
      <c r="G102" s="88" t="n">
        <v>-1.779842149462402</v>
      </c>
      <c r="H102" s="16" t="n">
        <v>-0.7924248978554348</v>
      </c>
      <c r="I102" s="16" t="n">
        <v>-0.6215502772208171</v>
      </c>
      <c r="J102" s="16" t="n">
        <v>-0.1389201735647593</v>
      </c>
      <c r="K102" s="88" t="n">
        <v>-5.831735810944451</v>
      </c>
      <c r="L102" s="9" t="n">
        <v>21.44696086853563</v>
      </c>
      <c r="M102" s="18" t="n">
        <v>0.800239467007852</v>
      </c>
      <c r="N102" s="9" t="n">
        <v>-83.72646895076251</v>
      </c>
      <c r="O102" s="9" t="n">
        <v>-1.779842149462402</v>
      </c>
      <c r="P102" s="9" t="n">
        <v>-3.903885005618479</v>
      </c>
      <c r="Q102" s="131" t="n">
        <v>0.01763294232246027</v>
      </c>
      <c r="R102" s="131" t="n">
        <v>0.006070881577643994</v>
      </c>
      <c r="S102" s="131" t="n">
        <v>0.003316287893160773</v>
      </c>
      <c r="U102" s="129">
        <f>C102*S102</f>
        <v/>
      </c>
      <c r="V102" s="129">
        <f>Q102*(1-U102)+S102</f>
        <v/>
      </c>
    </row>
    <row r="103" spans="1:22">
      <c r="A103" t="s">
        <v>296</v>
      </c>
      <c r="B103" t="s">
        <v>26</v>
      </c>
      <c r="C103" s="126" t="n">
        <v>287.7234959576838</v>
      </c>
      <c r="D103" s="88" t="n">
        <v>16.75600413439584</v>
      </c>
      <c r="E103" s="16" t="n">
        <v>0.941763518204783</v>
      </c>
      <c r="F103" s="88" t="n">
        <v>-49.58330000278282</v>
      </c>
      <c r="G103" s="88" t="n">
        <v>-1.172329687006428</v>
      </c>
      <c r="H103" s="16" t="n">
        <v>-0.8969829715803559</v>
      </c>
      <c r="I103" s="16" t="n">
        <v>-0.8364290768764027</v>
      </c>
      <c r="J103" s="16" t="n">
        <v>-0.4693032714410417</v>
      </c>
      <c r="K103" s="88" t="n">
        <v>-2.959136295568277</v>
      </c>
      <c r="L103" s="9" t="n">
        <v>27.98814222492863</v>
      </c>
      <c r="M103" s="18" t="n">
        <v>0.9027255590240537</v>
      </c>
      <c r="N103" s="9" t="n">
        <v>-49.58330000278282</v>
      </c>
      <c r="O103" s="9" t="n">
        <v>-1.172329687006428</v>
      </c>
      <c r="P103" s="9" t="n">
        <v>-1.771582393868918</v>
      </c>
    </row>
    <row r="104" spans="1:22">
      <c r="B104" t="s">
        <v>28</v>
      </c>
      <c r="C104" s="124" t="n">
        <v>1.89313183301236</v>
      </c>
      <c r="D104" s="88" t="n">
        <v>1.18483111678917</v>
      </c>
      <c r="E104" s="16" t="n">
        <v>0.374142309516891</v>
      </c>
      <c r="F104" s="88" t="n">
        <v>6.849556744011525</v>
      </c>
      <c r="G104" s="88" t="n">
        <v>2.618108694053536</v>
      </c>
      <c r="H104" s="16" t="n">
        <v>0.3649344686093421</v>
      </c>
      <c r="I104" s="16" t="n">
        <v>0.6900487740229913</v>
      </c>
      <c r="J104" s="16" t="n">
        <v>1.172441220743551</v>
      </c>
      <c r="K104" s="88" t="n">
        <v>5.781040560931133</v>
      </c>
      <c r="L104" s="9" t="n">
        <v>1.18483111678917</v>
      </c>
      <c r="M104" s="18" t="n">
        <v>0.374142309516891</v>
      </c>
      <c r="N104" s="9" t="n">
        <v>6.849556744011525</v>
      </c>
      <c r="O104" s="9" t="n">
        <v>2.618108694053536</v>
      </c>
      <c r="P104" s="9" t="n">
        <v>5.781040560931133</v>
      </c>
    </row>
    <row r="105" spans="1:22">
      <c r="B105" t="s">
        <v>29</v>
      </c>
      <c r="C105" s="124" t="n">
        <v>1.746735271064829</v>
      </c>
      <c r="D105" s="88" t="n">
        <v>1.152966470233263</v>
      </c>
      <c r="E105" s="16" t="n">
        <v>0.3399306183756157</v>
      </c>
      <c r="F105" s="88" t="n">
        <v>6.009533977195779</v>
      </c>
      <c r="G105" s="88" t="n">
        <v>2.440437756508061</v>
      </c>
      <c r="H105" s="16" t="n">
        <v>0.4828391728279371</v>
      </c>
      <c r="I105" s="16" t="n">
        <v>0.7617491882835068</v>
      </c>
      <c r="J105" s="16" t="n">
        <v>1.290331490503992</v>
      </c>
      <c r="K105" s="88" t="n">
        <v>5.212236550105362</v>
      </c>
      <c r="L105" s="9" t="n">
        <v>1.152966470233263</v>
      </c>
      <c r="M105" s="18" t="n">
        <v>0.3399306183756157</v>
      </c>
      <c r="N105" s="9" t="n">
        <v>6.009533977195779</v>
      </c>
      <c r="O105" s="9" t="n">
        <v>2.440437756508061</v>
      </c>
      <c r="P105" s="9" t="n">
        <v>5.212236550105362</v>
      </c>
    </row>
    <row r="106" spans="1:22">
      <c r="C106" s="70" t="n"/>
      <c r="D106" s="88" t="n"/>
      <c r="F106" s="88" t="n"/>
      <c r="G106" s="88" t="n"/>
      <c r="K106" s="88" t="n"/>
      <c r="L106" s="9" t="n"/>
      <c r="N106" s="9" t="n"/>
      <c r="O106" s="9" t="n"/>
      <c r="P106" s="9" t="n"/>
    </row>
    <row r="107" spans="1:22">
      <c r="A107" t="s">
        <v>297</v>
      </c>
      <c r="B107" t="s">
        <v>24</v>
      </c>
      <c r="C107" s="123" t="n">
        <v>12.79450428024057</v>
      </c>
      <c r="D107" s="88" t="n">
        <v>7.575466044873654</v>
      </c>
      <c r="E107" s="16" t="n">
        <v>0.407912500637249</v>
      </c>
      <c r="F107" s="88" t="n">
        <v>55.47429709606471</v>
      </c>
      <c r="G107" s="88" t="n">
        <v>3.335791045983505</v>
      </c>
      <c r="H107" s="16" t="n">
        <v>-0.1460647750406462</v>
      </c>
      <c r="I107" s="16" t="n">
        <v>0.2267329784571739</v>
      </c>
      <c r="J107" s="16" t="n">
        <v>0.5883066141135733</v>
      </c>
      <c r="K107" s="88" t="n">
        <v>7.322889016657183</v>
      </c>
      <c r="L107" s="9" t="n">
        <v>7.575466044873654</v>
      </c>
      <c r="M107" s="18" t="n">
        <v>0.407912500637249</v>
      </c>
      <c r="N107" s="9" t="n">
        <v>31.21950520358506</v>
      </c>
      <c r="O107" s="9" t="n">
        <v>1.440071496306385</v>
      </c>
      <c r="P107" s="9" t="n">
        <v>4.121133276639979</v>
      </c>
      <c r="Q107" s="131" t="n">
        <v>0.1107066642800589</v>
      </c>
      <c r="R107" s="131" t="n">
        <v>0.07597320413078432</v>
      </c>
      <c r="S107" s="131" t="n">
        <v>0.01520966700681414</v>
      </c>
      <c r="U107" s="129">
        <f>C107*S107</f>
        <v/>
      </c>
      <c r="V107" s="42">
        <f>Q107*(1-U107)+S107</f>
        <v/>
      </c>
    </row>
    <row r="108" spans="1:22">
      <c r="A108" t="s">
        <v>298</v>
      </c>
      <c r="B108" t="s">
        <v>26</v>
      </c>
      <c r="C108" s="123" t="n">
        <v>27.63353854217382</v>
      </c>
      <c r="D108" s="88" t="n">
        <v>16.52285154374313</v>
      </c>
      <c r="E108" s="16" t="n">
        <v>0.4020725388271845</v>
      </c>
      <c r="F108" s="88" t="n">
        <v>65.0529547194995</v>
      </c>
      <c r="G108" s="88" t="n">
        <v>1.354130457097155</v>
      </c>
      <c r="H108" s="16" t="n">
        <v>-0.2364736748506183</v>
      </c>
      <c r="I108" s="16" t="n">
        <v>0.1462201985718941</v>
      </c>
      <c r="J108" s="16" t="n">
        <v>0.4574045097805206</v>
      </c>
      <c r="K108" s="88" t="n">
        <v>3.937150590942259</v>
      </c>
      <c r="L108" s="9" t="n">
        <v>16.52285154374313</v>
      </c>
      <c r="M108" s="18" t="n">
        <v>0.4020725388271845</v>
      </c>
      <c r="N108" s="9" t="n">
        <v>58.54900794229756</v>
      </c>
      <c r="O108" s="9" t="n">
        <v>1.118766217831317</v>
      </c>
      <c r="P108" s="9" t="n">
        <v>3.543517157876352</v>
      </c>
    </row>
    <row r="109" spans="1:22">
      <c r="B109" t="s">
        <v>28</v>
      </c>
      <c r="C109" s="123" t="n">
        <v>1.416436889982369</v>
      </c>
      <c r="D109" s="88" t="n">
        <v>0.9709291268122607</v>
      </c>
      <c r="E109" s="16" t="n">
        <v>0.3145270829367158</v>
      </c>
      <c r="F109" s="88" t="n">
        <v>3.6774605322001</v>
      </c>
      <c r="G109" s="88" t="n">
        <v>1.596275597034101</v>
      </c>
      <c r="H109" s="16" t="n">
        <v>-0.09325629482926867</v>
      </c>
      <c r="I109" s="16" t="n">
        <v>0.2627384694022015</v>
      </c>
      <c r="J109" s="16" t="n">
        <v>0.590510450694504</v>
      </c>
      <c r="K109" s="88" t="n">
        <v>3.787568454428678</v>
      </c>
      <c r="L109" s="9" t="n">
        <v>0.9709291268122607</v>
      </c>
      <c r="M109" s="18" t="n">
        <v>0.3145270829367158</v>
      </c>
      <c r="N109" s="9" t="n">
        <v>3.6774605322001</v>
      </c>
      <c r="O109" s="9" t="n">
        <v>1.596275597034101</v>
      </c>
      <c r="P109" s="9" t="n">
        <v>3.787568454428678</v>
      </c>
    </row>
    <row r="110" spans="1:22">
      <c r="B110" t="s">
        <v>29</v>
      </c>
      <c r="C110" s="123" t="n">
        <v>2.099408464520467</v>
      </c>
      <c r="D110" s="88" t="n">
        <v>1.575834777711484</v>
      </c>
      <c r="E110" s="16" t="n">
        <v>0.2493910526023217</v>
      </c>
      <c r="F110" s="88" t="n">
        <v>5.546110518932334</v>
      </c>
      <c r="G110" s="88" t="n">
        <v>1.641749146324005</v>
      </c>
      <c r="H110" s="16" t="n">
        <v>-0.06651797784306956</v>
      </c>
      <c r="I110" s="16" t="n">
        <v>0.3114516517409751</v>
      </c>
      <c r="J110" s="16" t="n">
        <v>0.5825607894968035</v>
      </c>
      <c r="K110" s="88" t="n">
        <v>3.519474628543678</v>
      </c>
      <c r="L110" s="9" t="n">
        <v>1.575834777711484</v>
      </c>
      <c r="M110" s="18" t="n">
        <v>0.2493910526023217</v>
      </c>
      <c r="N110" s="9" t="n">
        <v>5.546110518932334</v>
      </c>
      <c r="O110" s="9" t="n">
        <v>1.641749146324005</v>
      </c>
      <c r="P110" s="9" t="n">
        <v>3.519474628543678</v>
      </c>
    </row>
    <row r="111" spans="1:22">
      <c r="C111" s="70" t="n"/>
      <c r="D111" s="88" t="n"/>
      <c r="F111" s="88" t="n"/>
      <c r="G111" s="88" t="n"/>
      <c r="K111" s="88" t="n"/>
      <c r="L111" s="9" t="n"/>
      <c r="N111" s="9" t="n"/>
      <c r="O111" s="9" t="n"/>
      <c r="P111" s="9" t="n"/>
    </row>
    <row r="112" spans="1:22">
      <c r="A112" t="s">
        <v>299</v>
      </c>
      <c r="B112" t="s">
        <v>24</v>
      </c>
      <c r="C112" s="124" t="n">
        <v>21.43459317437483</v>
      </c>
      <c r="D112" s="88" t="n">
        <v>12.26697362813354</v>
      </c>
      <c r="E112" s="16" t="n">
        <v>0.4277020548820694</v>
      </c>
      <c r="F112" s="88" t="n">
        <v>276.5134999290958</v>
      </c>
      <c r="G112" s="88" t="n">
        <v>11.90033814402734</v>
      </c>
      <c r="H112" s="16" t="n">
        <v>0.04381023241211235</v>
      </c>
      <c r="I112" s="16" t="n">
        <v>0.4062012725832289</v>
      </c>
      <c r="J112" s="16" t="n">
        <v>1.645382661379361</v>
      </c>
      <c r="K112" s="88" t="n">
        <v>22.54129733310336</v>
      </c>
      <c r="L112" s="9" t="n">
        <v>12.26697362813354</v>
      </c>
      <c r="M112" s="18" t="n">
        <v>0.4277020548820694</v>
      </c>
      <c r="N112" s="9" t="n">
        <v>276.5134999290958</v>
      </c>
      <c r="O112" s="9" t="n">
        <v>11.90033814402734</v>
      </c>
      <c r="P112" s="9" t="n">
        <v>22.54129733310336</v>
      </c>
      <c r="Q112" s="131" t="n">
        <v>0.07640172684795121</v>
      </c>
      <c r="R112" s="131" t="n">
        <v>0.05350315040714744</v>
      </c>
      <c r="S112" s="131" t="n">
        <v>0.01070092964529537</v>
      </c>
      <c r="U112" s="129">
        <f>C112*S112</f>
        <v/>
      </c>
      <c r="V112" s="129">
        <f>Q112*(1-U112)+S112</f>
        <v/>
      </c>
    </row>
    <row r="113" spans="1:22">
      <c r="A113" t="s">
        <v>300</v>
      </c>
      <c r="B113" t="s">
        <v>26</v>
      </c>
      <c r="C113" s="123" t="n">
        <v>36.04456807949243</v>
      </c>
      <c r="D113" s="88" t="n">
        <v>20.15165335485718</v>
      </c>
      <c r="E113" s="16" t="n">
        <v>0.4409239885906008</v>
      </c>
      <c r="F113" s="88" t="n">
        <v>-174.2311179860544</v>
      </c>
      <c r="G113" s="88" t="n">
        <v>-5.833769060619796</v>
      </c>
      <c r="H113" s="16" t="n">
        <v>-0.07973057408720652</v>
      </c>
      <c r="I113" s="16" t="n">
        <v>0.4418144775548882</v>
      </c>
      <c r="J113" s="16" t="n">
        <v>1.707784050281547</v>
      </c>
      <c r="K113" s="88" t="n">
        <v>-8.645996182941449</v>
      </c>
      <c r="L113" s="9" t="n">
        <v>22.50379263427129</v>
      </c>
      <c r="M113" s="18" t="n">
        <v>0.3756675739700476</v>
      </c>
      <c r="N113" s="9" t="n">
        <v>-174.2311179860544</v>
      </c>
      <c r="O113" s="9" t="n">
        <v>-5.833769060619796</v>
      </c>
      <c r="P113" s="9" t="n">
        <v>-7.742300189911799</v>
      </c>
    </row>
    <row r="114" spans="1:22">
      <c r="B114" t="s">
        <v>28</v>
      </c>
      <c r="C114" s="124" t="n">
        <v>1.637639932805546</v>
      </c>
      <c r="D114" s="88" t="n">
        <v>1.071139903232698</v>
      </c>
      <c r="E114" s="16" t="n">
        <v>0.3459246554902576</v>
      </c>
      <c r="F114" s="88" t="n">
        <v>5.439143831811185</v>
      </c>
      <c r="G114" s="88" t="n">
        <v>2.321330728967411</v>
      </c>
      <c r="H114" s="16" t="n">
        <v>0.2064887596044178</v>
      </c>
      <c r="I114" s="16" t="n">
        <v>0.499366514834334</v>
      </c>
      <c r="J114" s="16" t="n">
        <v>1.030531374235604</v>
      </c>
      <c r="K114" s="88" t="n">
        <v>5.077902350006622</v>
      </c>
      <c r="L114" s="9" t="n">
        <v>1.071139903232698</v>
      </c>
      <c r="M114" s="18" t="n">
        <v>0.3459246554902576</v>
      </c>
      <c r="N114" s="9" t="n">
        <v>5.439143831811185</v>
      </c>
      <c r="O114" s="9" t="n">
        <v>2.321330728967411</v>
      </c>
      <c r="P114" s="9" t="n">
        <v>5.077902350006622</v>
      </c>
    </row>
    <row r="115" spans="1:22">
      <c r="B115" t="s">
        <v>29</v>
      </c>
      <c r="C115" s="124" t="n">
        <v>1.928497947317749</v>
      </c>
      <c r="D115" s="88" t="n">
        <v>1.26326625710161</v>
      </c>
      <c r="E115" s="16" t="n">
        <v>0.3449480934845567</v>
      </c>
      <c r="F115" s="88" t="n">
        <v>5.91033078232635</v>
      </c>
      <c r="G115" s="88" t="n">
        <v>2.064732731785757</v>
      </c>
      <c r="H115" s="16" t="n">
        <v>0.1577270650525204</v>
      </c>
      <c r="I115" s="16" t="n">
        <v>0.4302114700600848</v>
      </c>
      <c r="J115" s="16" t="n">
        <v>0.8025218915963377</v>
      </c>
      <c r="K115" s="88" t="n">
        <v>4.678610505980573</v>
      </c>
      <c r="L115" s="9" t="n">
        <v>1.26326625710161</v>
      </c>
      <c r="M115" s="18" t="n">
        <v>0.3449480934845567</v>
      </c>
      <c r="N115" s="9" t="n">
        <v>5.91033078232635</v>
      </c>
      <c r="O115" s="9" t="n">
        <v>2.064732731785757</v>
      </c>
      <c r="P115" s="9" t="n">
        <v>4.678610505980573</v>
      </c>
    </row>
    <row r="116" spans="1:22">
      <c r="C116" s="70" t="n"/>
      <c r="D116" s="88" t="n"/>
      <c r="F116" s="88" t="n"/>
      <c r="G116" s="88" t="n"/>
      <c r="K116" s="88" t="n"/>
      <c r="L116" s="9" t="n"/>
      <c r="N116" s="9" t="n"/>
      <c r="O116" s="9" t="n"/>
      <c r="P116" s="9" t="n"/>
    </row>
    <row r="117" spans="1:22">
      <c r="A117" t="s">
        <v>301</v>
      </c>
      <c r="B117" t="s">
        <v>24</v>
      </c>
      <c r="C117" s="123" t="n">
        <v>35.1294542255436</v>
      </c>
      <c r="D117" s="88" t="n">
        <v>20.64827716660294</v>
      </c>
      <c r="E117" s="16" t="n">
        <v>0.4122232291445904</v>
      </c>
      <c r="F117" s="88" t="n">
        <v>125.3794220949809</v>
      </c>
      <c r="G117" s="88" t="n">
        <v>2.569068317714256</v>
      </c>
      <c r="H117" s="16" t="n">
        <v>-0.07136211217522903</v>
      </c>
      <c r="I117" s="16" t="n">
        <v>0.2532429492688848</v>
      </c>
      <c r="J117" s="16" t="n">
        <v>0.7642893069138035</v>
      </c>
      <c r="K117" s="88" t="n">
        <v>6.072149317027418</v>
      </c>
      <c r="L117" s="9" t="n">
        <v>20.64827716660294</v>
      </c>
      <c r="M117" s="18" t="n">
        <v>0.4122232291445904</v>
      </c>
      <c r="N117" s="9" t="n">
        <v>86.96292166923773</v>
      </c>
      <c r="O117" s="9" t="n">
        <v>1.475498796847364</v>
      </c>
      <c r="P117" s="9" t="n">
        <v>4.211630876879831</v>
      </c>
      <c r="Q117" s="131" t="n">
        <v>0.09036259049711765</v>
      </c>
      <c r="R117" s="131" t="n">
        <v>0.0736916395990528</v>
      </c>
      <c r="S117" s="131" t="n">
        <v>0.008878751689233326</v>
      </c>
      <c r="U117" s="129">
        <f>C117*S117</f>
        <v/>
      </c>
      <c r="V117" s="129">
        <f>Q117*(1-U117)+S117</f>
        <v/>
      </c>
    </row>
    <row r="118" spans="1:22">
      <c r="A118" t="s">
        <v>302</v>
      </c>
      <c r="B118" t="s">
        <v>26</v>
      </c>
      <c r="C118" s="123" t="n">
        <v>43.10549998015482</v>
      </c>
      <c r="D118" s="88" t="n">
        <v>18.65272816459344</v>
      </c>
      <c r="E118" s="16" t="n">
        <v>0.5672773039825336</v>
      </c>
      <c r="F118" s="88" t="n">
        <v>379.3997192232587</v>
      </c>
      <c r="G118" s="88" t="n">
        <v>7.801654531276267</v>
      </c>
      <c r="H118" s="16" t="n">
        <v>-0.1788302584164863</v>
      </c>
      <c r="I118" s="16" t="n">
        <v>0.2320218714127482</v>
      </c>
      <c r="J118" s="16" t="n">
        <v>0.5720217112704633</v>
      </c>
      <c r="K118" s="88" t="n">
        <v>20.34017307684966</v>
      </c>
      <c r="L118" s="9" t="n">
        <v>24.22445506873223</v>
      </c>
      <c r="M118" s="18" t="n">
        <v>0.4380193924235926</v>
      </c>
      <c r="N118" s="9" t="n">
        <v>105.7595583356702</v>
      </c>
      <c r="O118" s="9" t="n">
        <v>1.4535049676807</v>
      </c>
      <c r="P118" s="9" t="n">
        <v>4.365817849590333</v>
      </c>
    </row>
    <row r="119" spans="1:22">
      <c r="B119" t="s">
        <v>28</v>
      </c>
      <c r="C119" s="124" t="n">
        <v>3.174388486570035</v>
      </c>
      <c r="D119" s="88" t="n">
        <v>2.073985673835971</v>
      </c>
      <c r="E119" s="16" t="n">
        <v>0.3466503288395753</v>
      </c>
      <c r="F119" s="88" t="n">
        <v>9.331816495350397</v>
      </c>
      <c r="G119" s="88" t="n">
        <v>1.939720999754991</v>
      </c>
      <c r="H119" s="16" t="n">
        <v>0.05114675948916148</v>
      </c>
      <c r="I119" s="16" t="n">
        <v>0.3622760304692068</v>
      </c>
      <c r="J119" s="16" t="n">
        <v>0.9751737433868273</v>
      </c>
      <c r="K119" s="88" t="n">
        <v>4.499460441349432</v>
      </c>
      <c r="L119" s="9" t="n">
        <v>2.073985673835971</v>
      </c>
      <c r="M119" s="18" t="n">
        <v>0.3466503288395753</v>
      </c>
      <c r="N119" s="9" t="n">
        <v>9.331816495350397</v>
      </c>
      <c r="O119" s="9" t="n">
        <v>1.939720999754991</v>
      </c>
      <c r="P119" s="9" t="n">
        <v>4.499460441349432</v>
      </c>
    </row>
    <row r="120" spans="1:22">
      <c r="B120" t="s">
        <v>29</v>
      </c>
      <c r="C120" s="124" t="n">
        <v>3.176514969274547</v>
      </c>
      <c r="D120" s="88" t="n">
        <v>2.036518127151065</v>
      </c>
      <c r="E120" s="16" t="n">
        <v>0.3588828804996421</v>
      </c>
      <c r="F120" s="88" t="n">
        <v>9.8680606943804</v>
      </c>
      <c r="G120" s="88" t="n">
        <v>2.106568295704922</v>
      </c>
      <c r="H120" s="16" t="n">
        <v>0.006867261297684779</v>
      </c>
      <c r="I120" s="16" t="n">
        <v>0.4108382279347673</v>
      </c>
      <c r="J120" s="16" t="n">
        <v>1.097264833879652</v>
      </c>
      <c r="K120" s="88" t="n">
        <v>4.845555049482948</v>
      </c>
      <c r="L120" s="9" t="n">
        <v>2.036518127151065</v>
      </c>
      <c r="M120" s="18" t="n">
        <v>0.3588828804996421</v>
      </c>
      <c r="N120" s="9" t="n">
        <v>9.8680606943804</v>
      </c>
      <c r="O120" s="9" t="n">
        <v>2.106568295704922</v>
      </c>
      <c r="P120" s="9" t="n">
        <v>4.845555049482948</v>
      </c>
    </row>
    <row r="121" spans="1:22">
      <c r="C121" s="70" t="n"/>
      <c r="D121" s="88" t="n"/>
      <c r="F121" s="88" t="n"/>
      <c r="G121" s="88" t="n"/>
      <c r="K121" s="88" t="n"/>
      <c r="L121" s="9" t="n"/>
      <c r="N121" s="9" t="n"/>
      <c r="O121" s="9" t="n"/>
      <c r="P121" s="9" t="n"/>
    </row>
    <row r="122" spans="1:22">
      <c r="A122" t="s">
        <v>303</v>
      </c>
      <c r="B122" t="s">
        <v>24</v>
      </c>
      <c r="C122" s="123" t="n">
        <v>36.09383771806684</v>
      </c>
      <c r="D122" s="88" t="n">
        <v>19.49687861710978</v>
      </c>
      <c r="E122" s="16" t="n">
        <v>0.4598280523838402</v>
      </c>
      <c r="F122" s="88" t="n">
        <v>119.1619182181523</v>
      </c>
      <c r="G122" s="88" t="n">
        <v>2.301447719384673</v>
      </c>
      <c r="H122" s="16" t="n">
        <v>-0.2484314403379732</v>
      </c>
      <c r="I122" s="16" t="n">
        <v>0.02860912491762879</v>
      </c>
      <c r="J122" s="16" t="n">
        <v>0.5856283737228738</v>
      </c>
      <c r="K122" s="88" t="n">
        <v>6.111845929716151</v>
      </c>
      <c r="L122" s="9" t="n">
        <v>22.30210030498796</v>
      </c>
      <c r="M122" s="18" t="n">
        <v>0.3821078135499957</v>
      </c>
      <c r="N122" s="9" t="n">
        <v>119.1619182181523</v>
      </c>
      <c r="O122" s="9" t="n">
        <v>2.301447719384673</v>
      </c>
      <c r="P122" s="9" t="n">
        <v>5.343080543472456</v>
      </c>
      <c r="Q122" s="131" t="n">
        <v>0.09243148228972538</v>
      </c>
      <c r="R122" s="131" t="n">
        <v>0.07407366456731698</v>
      </c>
      <c r="S122" s="131" t="n">
        <v>0.006615389294694548</v>
      </c>
      <c r="U122" s="129">
        <f>C122*S122</f>
        <v/>
      </c>
      <c r="V122" s="129">
        <f>Q122*(1-U122)+S122</f>
        <v/>
      </c>
    </row>
    <row r="123" spans="1:22">
      <c r="A123" t="s">
        <v>304</v>
      </c>
      <c r="B123" t="s">
        <v>26</v>
      </c>
      <c r="C123" s="123" t="n">
        <v>37.13492129685112</v>
      </c>
      <c r="D123" s="88" t="n">
        <v>20.48339491960405</v>
      </c>
      <c r="E123" s="16" t="n">
        <v>0.4484061308259472</v>
      </c>
      <c r="F123" s="88" t="n">
        <v>-162.0454171421892</v>
      </c>
      <c r="G123" s="88" t="n">
        <v>-5.363693566140125</v>
      </c>
      <c r="H123" s="16" t="n">
        <v>-0.2132783886468176</v>
      </c>
      <c r="I123" s="16" t="n">
        <v>0.1755177878860639</v>
      </c>
      <c r="J123" s="16" t="n">
        <v>0.8106626583208723</v>
      </c>
      <c r="K123" s="88" t="n">
        <v>-7.911062486380143</v>
      </c>
      <c r="L123" s="9" t="n">
        <v>20.48339491960405</v>
      </c>
      <c r="M123" s="18" t="n">
        <v>0.4484061308259472</v>
      </c>
      <c r="N123" s="9" t="n">
        <v>-162.0454171421892</v>
      </c>
      <c r="O123" s="9" t="n">
        <v>-5.363693566140125</v>
      </c>
      <c r="P123" s="9" t="n">
        <v>-7.911062486380143</v>
      </c>
    </row>
    <row r="124" spans="1:22">
      <c r="B124" t="s">
        <v>28</v>
      </c>
      <c r="C124" s="123" t="n">
        <v>3.336206921805717</v>
      </c>
      <c r="D124" s="88" t="n">
        <v>1.719277712425571</v>
      </c>
      <c r="E124" s="16" t="n">
        <v>0.4846609479801047</v>
      </c>
      <c r="F124" s="88" t="n">
        <v>11.56351523606002</v>
      </c>
      <c r="G124" s="88" t="n">
        <v>2.466066556147927</v>
      </c>
      <c r="H124" s="16" t="n">
        <v>-0.1453334254950979</v>
      </c>
      <c r="I124" s="16" t="n">
        <v>0.01942190510303154</v>
      </c>
      <c r="J124" s="16" t="n">
        <v>0.3142092368091152</v>
      </c>
      <c r="K124" s="88" t="n">
        <v>6.725798370145865</v>
      </c>
      <c r="L124" s="9" t="n">
        <v>2.523676548332471</v>
      </c>
      <c r="M124" s="18" t="n">
        <v>0.2435491540295305</v>
      </c>
      <c r="N124" s="9" t="n">
        <v>11.56351523606002</v>
      </c>
      <c r="O124" s="9" t="n">
        <v>2.466066556147927</v>
      </c>
      <c r="P124" s="9" t="n">
        <v>4.582011606717453</v>
      </c>
    </row>
    <row r="125" spans="1:22">
      <c r="B125" t="s">
        <v>29</v>
      </c>
      <c r="C125" s="123" t="n">
        <v>2.750719703876666</v>
      </c>
      <c r="D125" s="88" t="n">
        <v>1.83178451940327</v>
      </c>
      <c r="E125" s="16" t="n">
        <v>0.3340708190581231</v>
      </c>
      <c r="F125" s="88" t="n">
        <v>11.24006592640506</v>
      </c>
      <c r="G125" s="88" t="n">
        <v>3.086227291920775</v>
      </c>
      <c r="H125" s="16" t="n">
        <v>-0.01454310131313086</v>
      </c>
      <c r="I125" s="16" t="n">
        <v>0.2911607679736952</v>
      </c>
      <c r="J125" s="16" t="n">
        <v>0.5277254128050242</v>
      </c>
      <c r="K125" s="88" t="n">
        <v>6.136128899083979</v>
      </c>
      <c r="L125" s="9" t="n">
        <v>1.83178451940327</v>
      </c>
      <c r="M125" s="18" t="n">
        <v>0.3340708190581231</v>
      </c>
      <c r="N125" s="9" t="n">
        <v>11.24006592640506</v>
      </c>
      <c r="O125" s="9" t="n">
        <v>3.086227291920775</v>
      </c>
      <c r="P125" s="9" t="n">
        <v>6.136128899083979</v>
      </c>
    </row>
    <row r="126" spans="1:22">
      <c r="C126" s="70" t="n"/>
      <c r="D126" s="88" t="n"/>
      <c r="F126" s="88" t="n"/>
      <c r="G126" s="88" t="n"/>
      <c r="K126" s="88" t="n"/>
      <c r="L126" s="9" t="n"/>
      <c r="N126" s="9" t="n"/>
      <c r="O126" s="9" t="n"/>
      <c r="P126" s="9" t="n"/>
    </row>
    <row r="127" spans="1:22">
      <c r="A127" t="s">
        <v>305</v>
      </c>
      <c r="B127" t="s">
        <v>24</v>
      </c>
      <c r="C127" s="125" t="n">
        <v>28.51007165971991</v>
      </c>
      <c r="D127" s="88" t="n">
        <v>7.197088466671051</v>
      </c>
      <c r="E127" s="16" t="n">
        <v>0.7475597903585993</v>
      </c>
      <c r="F127" s="88" t="n">
        <v>-5.53707152985178</v>
      </c>
      <c r="G127" s="88" t="n">
        <v>-1.194214577779359</v>
      </c>
      <c r="H127" s="16" t="n">
        <v>-0.5799688967341439</v>
      </c>
      <c r="I127" s="16" t="n">
        <v>-0.4070546234766582</v>
      </c>
      <c r="J127" s="16" t="n">
        <v>0.06143266038879491</v>
      </c>
      <c r="K127" s="88" t="n">
        <v>-0.7693488214704276</v>
      </c>
      <c r="L127" s="9" t="n">
        <v>12.30315322789782</v>
      </c>
      <c r="M127" s="18" t="n">
        <v>0.568462914623951</v>
      </c>
      <c r="N127" s="9" t="n">
        <v>60.79090685535815</v>
      </c>
      <c r="O127" s="9" t="n">
        <v>1.13226075265345</v>
      </c>
      <c r="P127" s="9" t="n">
        <v>4.941083454728719</v>
      </c>
      <c r="Q127" s="131" t="n">
        <v>0.06019839472316622</v>
      </c>
      <c r="R127" s="131" t="n">
        <v>0.06174491444585992</v>
      </c>
      <c r="S127" s="131" t="n">
        <v>0.007525679684521309</v>
      </c>
      <c r="U127" s="129">
        <f>C127*S127</f>
        <v/>
      </c>
      <c r="V127" s="129">
        <f>Q127*(1-U127)+S127</f>
        <v/>
      </c>
    </row>
    <row r="128" spans="1:22">
      <c r="A128" t="s">
        <v>306</v>
      </c>
      <c r="B128" t="s">
        <v>26</v>
      </c>
      <c r="C128" s="125" t="n">
        <v>28.67538648509087</v>
      </c>
      <c r="D128" s="88" t="n">
        <v>8.252278142907629</v>
      </c>
      <c r="E128" s="16" t="n">
        <v>0.7122173698618424</v>
      </c>
      <c r="F128" s="88" t="n">
        <v>-6.566455234205929</v>
      </c>
      <c r="G128" s="88" t="n">
        <v>-1.228992736946022</v>
      </c>
      <c r="H128" s="16" t="n">
        <v>-0.5354081098066913</v>
      </c>
      <c r="I128" s="16" t="n">
        <v>-0.3317490780766218</v>
      </c>
      <c r="J128" s="16" t="n">
        <v>0.09553315817643737</v>
      </c>
      <c r="K128" s="88" t="n">
        <v>-0.7957142404184994</v>
      </c>
      <c r="L128" s="9" t="n">
        <v>13.45842470330239</v>
      </c>
      <c r="M128" s="18" t="n">
        <v>0.5306628313344688</v>
      </c>
      <c r="N128" s="9" t="n">
        <v>51.77307694177485</v>
      </c>
      <c r="O128" s="9" t="n">
        <v>0.8054883748016128</v>
      </c>
      <c r="P128" s="9" t="n">
        <v>3.846889816835021</v>
      </c>
    </row>
    <row r="129" spans="1:22">
      <c r="B129" t="s">
        <v>28</v>
      </c>
      <c r="C129" s="123" t="n">
        <v>1.716260547357574</v>
      </c>
      <c r="D129" s="88" t="n">
        <v>0.8791698691101768</v>
      </c>
      <c r="E129" s="16" t="n">
        <v>0.4877410248322823</v>
      </c>
      <c r="F129" s="88" t="n">
        <v>7.831499225884674</v>
      </c>
      <c r="G129" s="88" t="n">
        <v>3.563117900683772</v>
      </c>
      <c r="H129" s="16" t="n">
        <v>-0.2446955243626764</v>
      </c>
      <c r="I129" s="16" t="n">
        <v>0.06273615614552597</v>
      </c>
      <c r="J129" s="16" t="n">
        <v>1.093315344233053</v>
      </c>
      <c r="K129" s="88" t="n">
        <v>8.90783397048294</v>
      </c>
      <c r="L129" s="9" t="n">
        <v>0.8791698691101768</v>
      </c>
      <c r="M129" s="18" t="n">
        <v>0.4877410248322823</v>
      </c>
      <c r="N129" s="9" t="n">
        <v>4.072306757423264</v>
      </c>
      <c r="O129" s="9" t="n">
        <v>1.3727788672257</v>
      </c>
      <c r="P129" s="9" t="n">
        <v>4.631990813726268</v>
      </c>
    </row>
    <row r="130" spans="1:22">
      <c r="B130" t="s">
        <v>29</v>
      </c>
      <c r="C130" s="123" t="n">
        <v>1.770559285223904</v>
      </c>
      <c r="D130" s="88" t="n">
        <v>1.002962290674347</v>
      </c>
      <c r="E130" s="16" t="n">
        <v>0.4335336302802686</v>
      </c>
      <c r="F130" s="88" t="n">
        <v>5.872362163525134</v>
      </c>
      <c r="G130" s="88" t="n">
        <v>2.316670733667367</v>
      </c>
      <c r="H130" s="16" t="n">
        <v>-0.2250164555881575</v>
      </c>
      <c r="I130" s="16" t="n">
        <v>0.1206001272678954</v>
      </c>
      <c r="J130" s="16" t="n">
        <v>0.7894101677799568</v>
      </c>
      <c r="K130" s="88" t="n">
        <v>5.855017898605958</v>
      </c>
      <c r="L130" s="9" t="n">
        <v>1.002962290674347</v>
      </c>
      <c r="M130" s="18" t="n">
        <v>0.4335336302802686</v>
      </c>
      <c r="N130" s="9" t="n">
        <v>4.395539182633494</v>
      </c>
      <c r="O130" s="9" t="n">
        <v>1.482571026746295</v>
      </c>
      <c r="P130" s="9" t="n">
        <v>4.382556775567434</v>
      </c>
    </row>
    <row r="131" spans="1:22">
      <c r="C131" s="70" t="n"/>
      <c r="D131" s="88" t="n"/>
      <c r="F131" s="88" t="n"/>
      <c r="G131" s="88" t="n"/>
      <c r="K131" s="88" t="n"/>
      <c r="L131" s="9" t="n"/>
      <c r="N131" s="9" t="n"/>
      <c r="O131" s="9" t="n"/>
      <c r="P131" s="9" t="n"/>
    </row>
    <row r="132" spans="1:22">
      <c r="A132" t="s">
        <v>307</v>
      </c>
      <c r="B132" t="s">
        <v>24</v>
      </c>
      <c r="C132" s="126" t="n">
        <v>46.15242317401908</v>
      </c>
      <c r="D132" s="88" t="n">
        <v>5.446763022412118</v>
      </c>
      <c r="E132" s="16" t="n">
        <v>0.881983162576861</v>
      </c>
      <c r="F132" s="88" t="n">
        <v>-6.462656687714428</v>
      </c>
      <c r="G132" s="88" t="n">
        <v>-1.140028545486047</v>
      </c>
      <c r="H132" s="16" t="n">
        <v>-0.2730155883419851</v>
      </c>
      <c r="I132" s="16" t="n">
        <v>-2.287409313266259</v>
      </c>
      <c r="J132" s="16" t="n">
        <v>-1.3393296148494</v>
      </c>
      <c r="K132" s="88" t="n">
        <v>-1.186513285252571</v>
      </c>
      <c r="L132" s="9" t="n">
        <v>22.7745934065338</v>
      </c>
      <c r="M132" s="18" t="n">
        <v>0.5065352620671395</v>
      </c>
      <c r="N132" s="9" t="n">
        <v>-13.55442595173719</v>
      </c>
      <c r="O132" s="9" t="n">
        <v>-1.293688283725208</v>
      </c>
      <c r="P132" s="9" t="n">
        <v>-0.5951555625949644</v>
      </c>
      <c r="Q132" s="131" t="n">
        <v>0.04326165421691184</v>
      </c>
      <c r="R132" s="131" t="n">
        <v>0.05347224430364928</v>
      </c>
      <c r="S132" s="131" t="n">
        <v>0.005746853145385394</v>
      </c>
      <c r="U132" s="129">
        <f>C132*S132</f>
        <v/>
      </c>
      <c r="V132" s="129">
        <f>Q132*(1-U132)+S132</f>
        <v/>
      </c>
    </row>
    <row r="133" spans="1:22">
      <c r="A133" t="s">
        <v>308</v>
      </c>
      <c r="B133" t="s">
        <v>26</v>
      </c>
      <c r="C133" s="126" t="n">
        <v>35.25196424587288</v>
      </c>
      <c r="D133" s="88" t="n">
        <v>12.45161176126953</v>
      </c>
      <c r="E133" s="16" t="n">
        <v>0.6467824693562346</v>
      </c>
      <c r="F133" s="88" t="n">
        <v>-8.230704982712142</v>
      </c>
      <c r="G133" s="88" t="n">
        <v>-1.233482166420719</v>
      </c>
      <c r="H133" s="16" t="n">
        <v>0.05474638836547574</v>
      </c>
      <c r="I133" s="16" t="n">
        <v>-12.31189782480929</v>
      </c>
      <c r="J133" s="16" t="n">
        <v>-2.218223336701313</v>
      </c>
      <c r="K133" s="88" t="n">
        <v>-0.6610152276280871</v>
      </c>
      <c r="L133" s="9" t="n">
        <v>21.80347050611051</v>
      </c>
      <c r="M133" s="18" t="n">
        <v>0.3814962946734763</v>
      </c>
      <c r="N133" s="9" t="n">
        <v>-32.30094802873799</v>
      </c>
      <c r="O133" s="9" t="n">
        <v>-1.916287892596499</v>
      </c>
      <c r="P133" s="9" t="n">
        <v>-1.481459019089898</v>
      </c>
    </row>
    <row r="134" spans="1:22">
      <c r="B134" t="s">
        <v>28</v>
      </c>
      <c r="C134" s="125" t="n">
        <v>1.996630172627002</v>
      </c>
      <c r="D134" s="88" t="n">
        <v>0.9444689031549368</v>
      </c>
      <c r="E134" s="16" t="n">
        <v>0.5269685312266508</v>
      </c>
      <c r="F134" s="88" t="n">
        <v>4.587989654102415</v>
      </c>
      <c r="G134" s="88" t="n">
        <v>1.297866533823795</v>
      </c>
      <c r="H134" s="16" t="n">
        <v>-0.3621653905076817</v>
      </c>
      <c r="I134" s="16" t="n">
        <v>-0.02884184967999837</v>
      </c>
      <c r="J134" s="16" t="n">
        <v>0.1814176706524269</v>
      </c>
      <c r="K134" s="88" t="n">
        <v>4.857745595198036</v>
      </c>
      <c r="L134" s="9" t="n">
        <v>1.127077309361774</v>
      </c>
      <c r="M134" s="18" t="n">
        <v>0.4355102287776921</v>
      </c>
      <c r="N134" s="9" t="n">
        <v>4.587989654102415</v>
      </c>
      <c r="O134" s="9" t="n">
        <v>1.297866533823795</v>
      </c>
      <c r="P134" s="9" t="n">
        <v>4.070696496144032</v>
      </c>
    </row>
    <row r="135" spans="1:22">
      <c r="B135" t="s">
        <v>29</v>
      </c>
      <c r="C135" s="123" t="n">
        <v>1.885001644338824</v>
      </c>
      <c r="D135" s="88" t="n">
        <v>1.185905618991906</v>
      </c>
      <c r="E135" s="16" t="n">
        <v>0.3708728994727907</v>
      </c>
      <c r="F135" s="88" t="n">
        <v>4.539706287350446</v>
      </c>
      <c r="G135" s="88" t="n">
        <v>1.408330147076755</v>
      </c>
      <c r="H135" s="16" t="n">
        <v>-0.1155870958082398</v>
      </c>
      <c r="I135" s="16" t="n">
        <v>0.1374061407423617</v>
      </c>
      <c r="J135" s="16" t="n">
        <v>0.5185559966928528</v>
      </c>
      <c r="K135" s="88" t="n">
        <v>3.828050238272317</v>
      </c>
      <c r="L135" s="9" t="n">
        <v>1.185905618991906</v>
      </c>
      <c r="M135" s="18" t="n">
        <v>0.3708728994727907</v>
      </c>
      <c r="N135" s="9" t="n">
        <v>4.539706287350446</v>
      </c>
      <c r="O135" s="9" t="n">
        <v>1.408330147076755</v>
      </c>
      <c r="P135" s="9" t="n">
        <v>3.828050238272317</v>
      </c>
    </row>
    <row r="136" spans="1:22">
      <c r="C136" s="70" t="n"/>
      <c r="D136" s="88" t="n"/>
      <c r="F136" s="88" t="n"/>
      <c r="G136" s="88" t="n"/>
      <c r="K136" s="88" t="n"/>
      <c r="L136" s="9" t="n"/>
      <c r="N136" s="9" t="n"/>
      <c r="O136" s="9" t="n"/>
      <c r="P136" s="9" t="n"/>
    </row>
    <row r="137" spans="1:22">
      <c r="A137" t="s">
        <v>309</v>
      </c>
      <c r="B137" t="s">
        <v>24</v>
      </c>
      <c r="C137" s="123" t="n">
        <v>13.09077899334169</v>
      </c>
      <c r="D137" s="88" t="n">
        <v>9.164059033550634</v>
      </c>
      <c r="E137" s="16" t="n">
        <v>0.2999607557188374</v>
      </c>
      <c r="F137" s="88" t="n">
        <v>30.855448939736</v>
      </c>
      <c r="G137" s="88" t="n">
        <v>1.35703688492716</v>
      </c>
      <c r="H137" s="16" t="n">
        <v>-0.1281389880418254</v>
      </c>
      <c r="I137" s="16" t="n">
        <v>0.1200545943712954</v>
      </c>
      <c r="J137" s="16" t="n">
        <v>0.6115928487317768</v>
      </c>
      <c r="K137" s="88" t="n">
        <v>3.367006784523189</v>
      </c>
      <c r="L137" s="9" t="n">
        <v>9.798512982161373</v>
      </c>
      <c r="M137" s="18" t="n">
        <v>0.2514950418806129</v>
      </c>
      <c r="N137" s="9" t="n">
        <v>27.37476109044576</v>
      </c>
      <c r="O137" s="9" t="n">
        <v>1.09114836514842</v>
      </c>
      <c r="P137" s="9" t="n">
        <v>2.793766884861277</v>
      </c>
      <c r="Q137" s="131" t="n">
        <v>0.1018445003738211</v>
      </c>
      <c r="R137" s="131" t="n">
        <v>0.06022982638345725</v>
      </c>
      <c r="S137" s="131" t="n">
        <v>0.03588648920974809</v>
      </c>
      <c r="U137" s="129">
        <f>C137*S137</f>
        <v/>
      </c>
      <c r="V137" s="129">
        <f>Q137*(1-U137)+S137</f>
        <v/>
      </c>
    </row>
    <row r="138" spans="1:22">
      <c r="A138" t="s">
        <v>310</v>
      </c>
      <c r="B138" t="s">
        <v>26</v>
      </c>
      <c r="C138" s="125" t="n">
        <v>28.43547557342963</v>
      </c>
      <c r="D138" s="88" t="n">
        <v>13.99447562287918</v>
      </c>
      <c r="E138" s="16" t="n">
        <v>0.5078515361298988</v>
      </c>
      <c r="F138" s="88" t="n">
        <v>56.18647185142062</v>
      </c>
      <c r="G138" s="88" t="n">
        <v>0.9759286847982864</v>
      </c>
      <c r="H138" s="16" t="n">
        <v>-0.2978612403406468</v>
      </c>
      <c r="I138" s="16" t="n">
        <v>-0.004876149273334907</v>
      </c>
      <c r="J138" s="16" t="n">
        <v>0.4163056177137658</v>
      </c>
      <c r="K138" s="88" t="n">
        <v>4.014903692394371</v>
      </c>
      <c r="L138" s="9" t="n">
        <v>19.46386906000278</v>
      </c>
      <c r="M138" s="18" t="n">
        <v>0.3155075247558022</v>
      </c>
      <c r="N138" s="9" t="n">
        <v>56.18647185142062</v>
      </c>
      <c r="O138" s="9" t="n">
        <v>0.9759286847982864</v>
      </c>
      <c r="P138" s="9" t="n">
        <v>2.886706218491824</v>
      </c>
    </row>
    <row r="139" spans="1:22">
      <c r="B139" t="s">
        <v>28</v>
      </c>
      <c r="C139" s="124" t="n">
        <v>1.333223846080997</v>
      </c>
      <c r="D139" s="88" t="n">
        <v>1.114555547794925</v>
      </c>
      <c r="E139" s="16" t="n">
        <v>0.164014691853019</v>
      </c>
      <c r="F139" s="88" t="n">
        <v>3.720938840354268</v>
      </c>
      <c r="G139" s="88" t="n">
        <v>1.790933308980293</v>
      </c>
      <c r="H139" s="16" t="n">
        <v>0.02858287928714831</v>
      </c>
      <c r="I139" s="16" t="n">
        <v>0.2014301413237831</v>
      </c>
      <c r="J139" s="16" t="n">
        <v>0.7055225452764973</v>
      </c>
      <c r="K139" s="88" t="n">
        <v>3.338495643143045</v>
      </c>
      <c r="L139" s="9" t="n">
        <v>1.114555547794925</v>
      </c>
      <c r="M139" s="18" t="n">
        <v>0.164014691853019</v>
      </c>
      <c r="N139" s="9" t="n">
        <v>3.068707972609483</v>
      </c>
      <c r="O139" s="9" t="n">
        <v>1.301719986204816</v>
      </c>
      <c r="P139" s="9" t="n">
        <v>2.753301958507783</v>
      </c>
    </row>
    <row r="140" spans="1:22">
      <c r="B140" t="s">
        <v>29</v>
      </c>
      <c r="C140" s="124" t="n">
        <v>1.712663756918706</v>
      </c>
      <c r="D140" s="88" t="n">
        <v>1.270184413283616</v>
      </c>
      <c r="E140" s="16" t="n">
        <v>0.2583573931821652</v>
      </c>
      <c r="F140" s="88" t="n">
        <v>4.778634843041167</v>
      </c>
      <c r="G140" s="88" t="n">
        <v>1.790176894756342</v>
      </c>
      <c r="H140" s="16" t="n">
        <v>0.009253986200001618</v>
      </c>
      <c r="I140" s="16" t="n">
        <v>0.2658152910568239</v>
      </c>
      <c r="J140" s="16" t="n">
        <v>0.747617125608437</v>
      </c>
      <c r="K140" s="88" t="n">
        <v>3.762158307932376</v>
      </c>
      <c r="L140" s="9" t="n">
        <v>1.270184413283616</v>
      </c>
      <c r="M140" s="18" t="n">
        <v>0.2583573931821652</v>
      </c>
      <c r="N140" s="9" t="n">
        <v>4.778634843041167</v>
      </c>
      <c r="O140" s="9" t="n">
        <v>1.790176894756342</v>
      </c>
      <c r="P140" s="9" t="n">
        <v>3.762158307932376</v>
      </c>
    </row>
    <row r="141" spans="1:22">
      <c r="C141" s="70" t="n"/>
      <c r="D141" s="88" t="n"/>
      <c r="F141" s="88" t="n"/>
      <c r="G141" s="88" t="n"/>
      <c r="K141" s="88" t="n"/>
      <c r="L141" s="9" t="n"/>
      <c r="N141" s="9" t="n"/>
      <c r="O141" s="9" t="n"/>
      <c r="P141" s="9" t="n"/>
    </row>
    <row r="142" spans="1:22">
      <c r="A142" t="s">
        <v>311</v>
      </c>
      <c r="B142" t="s">
        <v>24</v>
      </c>
      <c r="C142" s="123" t="n">
        <v>18.40553466525282</v>
      </c>
      <c r="D142" s="88" t="n">
        <v>10.74270120069797</v>
      </c>
      <c r="E142" s="16" t="n">
        <v>0.4163331087045925</v>
      </c>
      <c r="F142" s="88" t="n">
        <v>39.04466323473902</v>
      </c>
      <c r="G142" s="88" t="n">
        <v>1.121354469992665</v>
      </c>
      <c r="H142" s="16" t="n">
        <v>-0.2599288772969994</v>
      </c>
      <c r="I142" s="16" t="n">
        <v>0.03022100604308853</v>
      </c>
      <c r="J142" s="16" t="n">
        <v>0.2440249426385892</v>
      </c>
      <c r="K142" s="88" t="n">
        <v>3.634529389331077</v>
      </c>
      <c r="L142" s="9" t="n">
        <v>13.05229556478379</v>
      </c>
      <c r="M142" s="18" t="n">
        <v>0.2908494209937418</v>
      </c>
      <c r="N142" s="9" t="n">
        <v>37.05502828388008</v>
      </c>
      <c r="O142" s="9" t="n">
        <v>1.013254651810524</v>
      </c>
      <c r="P142" s="9" t="n">
        <v>2.838966379512406</v>
      </c>
      <c r="Q142" s="131" t="n">
        <v>0.0943745637115707</v>
      </c>
      <c r="R142" s="131" t="n">
        <v>0.07865235889065711</v>
      </c>
      <c r="S142" s="131" t="n">
        <v>0.02044302985461845</v>
      </c>
      <c r="U142" s="129">
        <f>C142*S142</f>
        <v/>
      </c>
      <c r="V142" s="129">
        <f>Q142*(1-U142)+S142</f>
        <v/>
      </c>
    </row>
    <row r="143" spans="1:22">
      <c r="A143" t="s">
        <v>312</v>
      </c>
      <c r="B143" t="s">
        <v>26</v>
      </c>
      <c r="C143" s="123" t="n">
        <v>18.34557683864318</v>
      </c>
      <c r="D143" s="88" t="n">
        <v>11.60070344669871</v>
      </c>
      <c r="E143" s="16" t="n">
        <v>0.3676566537682833</v>
      </c>
      <c r="F143" s="88" t="n">
        <v>39.78899380147469</v>
      </c>
      <c r="G143" s="88" t="n">
        <v>1.168860328101705</v>
      </c>
      <c r="H143" s="16" t="n">
        <v>-0.2254722255756455</v>
      </c>
      <c r="I143" s="16" t="n">
        <v>0.1200009523873113</v>
      </c>
      <c r="J143" s="16" t="n">
        <v>0.3084688726107412</v>
      </c>
      <c r="K143" s="88" t="n">
        <v>3.42987767804699</v>
      </c>
      <c r="L143" s="9" t="n">
        <v>13.02391625083686</v>
      </c>
      <c r="M143" s="18" t="n">
        <v>0.2900786731653354</v>
      </c>
      <c r="N143" s="9" t="n">
        <v>39.78899380147469</v>
      </c>
      <c r="O143" s="9" t="n">
        <v>1.168860328101705</v>
      </c>
      <c r="P143" s="9" t="n">
        <v>3.055071380616259</v>
      </c>
    </row>
    <row r="144" spans="1:22">
      <c r="B144" t="s">
        <v>28</v>
      </c>
      <c r="C144" s="123" t="n">
        <v>1.737014303911425</v>
      </c>
      <c r="D144" s="88" t="n">
        <v>1.003108240034545</v>
      </c>
      <c r="E144" s="16" t="n">
        <v>0.4225100865457834</v>
      </c>
      <c r="F144" s="88" t="n">
        <v>3.607110438906803</v>
      </c>
      <c r="G144" s="88" t="n">
        <v>1.076615276445495</v>
      </c>
      <c r="H144" s="16" t="n">
        <v>-0.2418039767757051</v>
      </c>
      <c r="I144" s="16" t="n">
        <v>0.03702339972767743</v>
      </c>
      <c r="J144" s="16" t="n">
        <v>0.2930539095772653</v>
      </c>
      <c r="K144" s="88" t="n">
        <v>3.595933414705656</v>
      </c>
      <c r="L144" s="9" t="n">
        <v>1.229861840158793</v>
      </c>
      <c r="M144" s="18" t="n">
        <v>0.291967926004191</v>
      </c>
      <c r="N144" s="9" t="n">
        <v>3.607110438906803</v>
      </c>
      <c r="O144" s="9" t="n">
        <v>1.076615276445495</v>
      </c>
      <c r="P144" s="9" t="n">
        <v>2.932939555585425</v>
      </c>
    </row>
    <row r="145" spans="1:22">
      <c r="B145" t="s">
        <v>29</v>
      </c>
      <c r="C145" s="123" t="n">
        <v>1.44292289356909</v>
      </c>
      <c r="D145" s="88" t="n">
        <v>0.9755384571872399</v>
      </c>
      <c r="E145" s="16" t="n">
        <v>0.3239150466493524</v>
      </c>
      <c r="F145" s="88" t="n">
        <v>3.357902123666116</v>
      </c>
      <c r="G145" s="88" t="n">
        <v>1.32715284969961</v>
      </c>
      <c r="H145" s="16" t="n">
        <v>-0.1710543389317372</v>
      </c>
      <c r="I145" s="16" t="n">
        <v>0.1622357106161991</v>
      </c>
      <c r="J145" s="16" t="n">
        <v>0.4899610390106321</v>
      </c>
      <c r="K145" s="88" t="n">
        <v>3.442101230276376</v>
      </c>
      <c r="L145" s="9" t="n">
        <v>1.067051634824443</v>
      </c>
      <c r="M145" s="18" t="n">
        <v>0.2604929621810386</v>
      </c>
      <c r="N145" s="9" t="n">
        <v>3.357902123666116</v>
      </c>
      <c r="O145" s="9" t="n">
        <v>1.32715284969961</v>
      </c>
      <c r="P145" s="9" t="n">
        <v>3.146897501561466</v>
      </c>
    </row>
    <row r="146" spans="1:22">
      <c r="C146" s="70" t="n"/>
      <c r="D146" s="88" t="n"/>
      <c r="F146" s="88" t="n"/>
      <c r="G146" s="88" t="n"/>
      <c r="K146" s="88" t="n"/>
      <c r="L146" s="9" t="n"/>
      <c r="N146" s="9" t="n"/>
      <c r="O146" s="9" t="n"/>
      <c r="P146" s="9" t="n"/>
    </row>
    <row r="147" spans="1:22">
      <c r="A147" t="s">
        <v>313</v>
      </c>
      <c r="B147" t="s">
        <v>24</v>
      </c>
      <c r="C147" s="123" t="n">
        <v>21.97316600410656</v>
      </c>
      <c r="D147" s="88" t="n">
        <v>15.94282355150369</v>
      </c>
      <c r="E147" s="16" t="n">
        <v>0.2744412185060568</v>
      </c>
      <c r="F147" s="88" t="n">
        <v>730.5531868356973</v>
      </c>
      <c r="G147" s="88" t="n">
        <v>32.24751593371499</v>
      </c>
      <c r="H147" s="16" t="n">
        <v>-0.1033436655333936</v>
      </c>
      <c r="I147" s="16" t="n">
        <v>0.1786500225690359</v>
      </c>
      <c r="J147" s="16" t="n">
        <v>0.7274359204191418</v>
      </c>
      <c r="K147" s="88" t="n">
        <v>45.82332511400048</v>
      </c>
      <c r="L147" s="9" t="n">
        <v>16.37153172799715</v>
      </c>
      <c r="M147" s="18" t="n">
        <v>0.2549306856855549</v>
      </c>
      <c r="N147" s="9" t="n">
        <v>57.52033398083686</v>
      </c>
      <c r="O147" s="9" t="n">
        <v>1.617753580439292</v>
      </c>
      <c r="P147" s="9" t="n">
        <v>3.513436307396373</v>
      </c>
      <c r="Q147" s="131" t="n">
        <v>0.0954787477282758</v>
      </c>
      <c r="R147" s="131" t="n">
        <v>0.07528368630865222</v>
      </c>
      <c r="S147" s="131" t="n">
        <v>0.01987329096947216</v>
      </c>
      <c r="U147" s="129">
        <f>C147*S147</f>
        <v/>
      </c>
      <c r="V147" s="129">
        <f>Q147*(1-U147)+S147</f>
        <v/>
      </c>
    </row>
    <row r="148" spans="1:22">
      <c r="A148" t="s">
        <v>314</v>
      </c>
      <c r="B148" t="s">
        <v>26</v>
      </c>
      <c r="C148" s="123" t="n">
        <v>28.61159942109856</v>
      </c>
      <c r="D148" s="88" t="n">
        <v>19.99117654799647</v>
      </c>
      <c r="E148" s="16" t="n">
        <v>0.3012911912483048</v>
      </c>
      <c r="F148" s="88" t="n">
        <v>-407.3983529721859</v>
      </c>
      <c r="G148" s="88" t="n">
        <v>-15.23892271718879</v>
      </c>
      <c r="H148" s="16" t="n">
        <v>-0.09037661151899246</v>
      </c>
      <c r="I148" s="16" t="n">
        <v>0.2159620340681077</v>
      </c>
      <c r="J148" s="16" t="n">
        <v>0.8125899542921151</v>
      </c>
      <c r="K148" s="88" t="n">
        <v>-20.37890826455713</v>
      </c>
      <c r="L148" s="9" t="n">
        <v>20.42599830008524</v>
      </c>
      <c r="M148" s="18" t="n">
        <v>0.2860937971533726</v>
      </c>
      <c r="N148" s="9" t="n">
        <v>73.42301878116903</v>
      </c>
      <c r="O148" s="9" t="n">
        <v>1.566197635460601</v>
      </c>
      <c r="P148" s="9" t="n">
        <v>3.594586551045715</v>
      </c>
    </row>
    <row r="149" spans="1:22">
      <c r="B149" t="s">
        <v>28</v>
      </c>
      <c r="C149" s="124" t="n">
        <v>2.097970373697616</v>
      </c>
      <c r="D149" s="88" t="n">
        <v>1.627459964088703</v>
      </c>
      <c r="E149" s="16" t="n">
        <v>0.2242693297806925</v>
      </c>
      <c r="F149" s="88" t="n">
        <v>6.522381737629773</v>
      </c>
      <c r="G149" s="88" t="n">
        <v>2.10890078306218</v>
      </c>
      <c r="H149" s="16" t="n">
        <v>0.03778267707549432</v>
      </c>
      <c r="I149" s="16" t="n">
        <v>0.4500217501687587</v>
      </c>
      <c r="J149" s="16" t="n">
        <v>0.7904384221329248</v>
      </c>
      <c r="K149" s="88" t="n">
        <v>4.007706414628752</v>
      </c>
      <c r="L149" s="9" t="n">
        <v>1.627459964088703</v>
      </c>
      <c r="M149" s="18" t="n">
        <v>0.2242693297806925</v>
      </c>
      <c r="N149" s="9" t="n">
        <v>6.522381737629773</v>
      </c>
      <c r="O149" s="9" t="n">
        <v>2.10890078306218</v>
      </c>
      <c r="P149" s="9" t="n">
        <v>4.007706414628752</v>
      </c>
    </row>
    <row r="150" spans="1:22">
      <c r="B150" t="s">
        <v>29</v>
      </c>
      <c r="C150" s="123" t="n">
        <v>2.1539866756068</v>
      </c>
      <c r="D150" s="88" t="n">
        <v>1.551892183965059</v>
      </c>
      <c r="E150" s="16" t="n">
        <v>0.2795256342391831</v>
      </c>
      <c r="F150" s="88" t="n">
        <v>6.464906467585043</v>
      </c>
      <c r="G150" s="88" t="n">
        <v>2.001367901110072</v>
      </c>
      <c r="H150" s="16" t="n">
        <v>-0.01198935651354904</v>
      </c>
      <c r="I150" s="16" t="n">
        <v>0.4562005945753385</v>
      </c>
      <c r="J150" s="16" t="n">
        <v>0.8027639098368908</v>
      </c>
      <c r="K150" s="88" t="n">
        <v>4.1658219136508</v>
      </c>
      <c r="L150" s="9" t="n">
        <v>1.551892183965059</v>
      </c>
      <c r="M150" s="18" t="n">
        <v>0.2795256342391831</v>
      </c>
      <c r="N150" s="9" t="n">
        <v>6.464906467585043</v>
      </c>
      <c r="O150" s="9" t="n">
        <v>2.001367901110072</v>
      </c>
      <c r="P150" s="9" t="n">
        <v>4.1658219136508</v>
      </c>
    </row>
    <row r="151" spans="1:22">
      <c r="C151" s="70" t="n"/>
      <c r="D151" s="88" t="n"/>
      <c r="F151" s="88" t="n"/>
      <c r="G151" s="88" t="n"/>
      <c r="K151" s="88" t="n"/>
      <c r="L151" s="9" t="n"/>
      <c r="N151" s="9" t="n"/>
      <c r="O151" s="9" t="n"/>
      <c r="P151" s="9" t="n"/>
    </row>
    <row r="152" spans="1:22">
      <c r="A152" s="22" t="s">
        <v>315</v>
      </c>
      <c r="B152" t="s">
        <v>24</v>
      </c>
      <c r="C152" s="125" t="n">
        <v>16.65868440890573</v>
      </c>
      <c r="D152" s="88" t="n">
        <v>10.31603329600939</v>
      </c>
      <c r="E152" s="16" t="n">
        <v>0.3807414173417898</v>
      </c>
      <c r="F152" s="88" t="n">
        <v>111.0096216948186</v>
      </c>
      <c r="G152" s="88" t="n">
        <v>5.663768816910472</v>
      </c>
      <c r="H152" s="16" t="n">
        <v>-0.1721447556547213</v>
      </c>
      <c r="I152" s="16" t="n">
        <v>-0.09189454387431528</v>
      </c>
      <c r="J152" s="16" t="n">
        <v>0.05233194750701831</v>
      </c>
      <c r="K152" s="88" t="n">
        <v>10.7608824544761</v>
      </c>
      <c r="L152" s="9" t="n">
        <v>11.69412161653284</v>
      </c>
      <c r="M152" s="18" t="n">
        <v>0.298016498212718</v>
      </c>
      <c r="N152" s="9" t="n">
        <v>23.36959891494162</v>
      </c>
      <c r="O152" s="9" t="n">
        <v>0.4028478084648892</v>
      </c>
      <c r="P152" s="9" t="n">
        <v>1.998405667502406</v>
      </c>
      <c r="Q152" s="131" t="n">
        <v>0.09897401577300319</v>
      </c>
      <c r="R152" s="131" t="n">
        <v>0.002552900329016844</v>
      </c>
      <c r="S152" s="131" t="n">
        <v>0.02755609409333081</v>
      </c>
      <c r="U152" s="129">
        <f>C152*S152</f>
        <v/>
      </c>
      <c r="V152" s="129">
        <f>Q152*(1-U152)+S152</f>
        <v/>
      </c>
    </row>
    <row r="153" spans="1:22">
      <c r="A153" t="s">
        <v>316</v>
      </c>
      <c r="B153" t="s">
        <v>26</v>
      </c>
      <c r="C153" s="126" t="n">
        <v>722.6789220607956</v>
      </c>
      <c r="D153" s="88" t="n">
        <v>23.02549564565225</v>
      </c>
      <c r="E153" s="16" t="n">
        <v>0.9681386921041054</v>
      </c>
      <c r="F153" s="88" t="n">
        <v>1094.803757837398</v>
      </c>
      <c r="G153" s="88" t="n">
        <v>0.5149241584567723</v>
      </c>
      <c r="H153" s="16" t="n">
        <v>-0.9604867852226513</v>
      </c>
      <c r="I153" s="16" t="n">
        <v>-0.9530193805675649</v>
      </c>
      <c r="J153" s="16" t="n">
        <v>-0.9184000226339459</v>
      </c>
      <c r="K153" s="88" t="n">
        <v>47.54745672734835</v>
      </c>
      <c r="L153" s="9" t="n">
        <v>25.9181851902541</v>
      </c>
      <c r="M153" s="18" t="n">
        <v>0.9641359607993746</v>
      </c>
      <c r="N153" s="9" t="n">
        <v>1094.803757837398</v>
      </c>
      <c r="O153" s="9" t="n">
        <v>0.5149241584567723</v>
      </c>
      <c r="P153" s="9" t="n">
        <v>42.24075682000576</v>
      </c>
    </row>
    <row r="154" spans="1:22">
      <c r="B154" t="s">
        <v>28</v>
      </c>
      <c r="C154" s="124" t="n">
        <v>1.648776893444518</v>
      </c>
      <c r="D154" s="88" t="n">
        <v>1.342684273633094</v>
      </c>
      <c r="E154" s="16" t="n">
        <v>0.1856482954294409</v>
      </c>
      <c r="F154" s="88" t="n">
        <v>4.422772305333923</v>
      </c>
      <c r="G154" s="88" t="n">
        <v>1.682456506346443</v>
      </c>
      <c r="H154" s="16" t="n">
        <v>0.1441812095730308</v>
      </c>
      <c r="I154" s="16" t="n">
        <v>0.327833487818378</v>
      </c>
      <c r="J154" s="16" t="n">
        <v>0.687010720193719</v>
      </c>
      <c r="K154" s="88" t="n">
        <v>3.293977886079347</v>
      </c>
      <c r="L154" s="9" t="n">
        <v>1.342684273633094</v>
      </c>
      <c r="M154" s="18" t="n">
        <v>0.1856482954294409</v>
      </c>
      <c r="N154" s="9" t="n">
        <v>3.245286767943485</v>
      </c>
      <c r="O154" s="9" t="n">
        <v>0.9682995199936619</v>
      </c>
      <c r="P154" s="9" t="n">
        <v>2.417014060321304</v>
      </c>
    </row>
    <row r="155" spans="1:22">
      <c r="B155" t="s">
        <v>29</v>
      </c>
      <c r="C155" s="124" t="n">
        <v>1.844927257902543</v>
      </c>
      <c r="D155" s="88" t="n">
        <v>1.234988188994383</v>
      </c>
      <c r="E155" s="16" t="n">
        <v>0.3306033158193925</v>
      </c>
      <c r="F155" s="88" t="n">
        <v>4.535803318076979</v>
      </c>
      <c r="G155" s="88" t="n">
        <v>1.458526914082039</v>
      </c>
      <c r="H155" s="16" t="n">
        <v>0.0332609489250042</v>
      </c>
      <c r="I155" s="16" t="n">
        <v>0.3709971440078361</v>
      </c>
      <c r="J155" s="16" t="n">
        <v>0.7842154066967846</v>
      </c>
      <c r="K155" s="88" t="n">
        <v>3.672750361904561</v>
      </c>
      <c r="L155" s="9" t="n">
        <v>1.234988188994383</v>
      </c>
      <c r="M155" s="18" t="n">
        <v>0.3306033158193925</v>
      </c>
      <c r="N155" s="9" t="n">
        <v>4.535803318076979</v>
      </c>
      <c r="O155" s="9" t="n">
        <v>1.458526914082039</v>
      </c>
      <c r="P155" s="9" t="n">
        <v>3.672750361904561</v>
      </c>
    </row>
    <row r="156" spans="1:22">
      <c r="C156" s="70" t="n"/>
      <c r="D156" s="88" t="n"/>
      <c r="F156" s="88" t="n"/>
      <c r="G156" s="88" t="n"/>
      <c r="K156" s="88" t="n"/>
      <c r="L156" s="9" t="n"/>
      <c r="N156" s="9" t="n"/>
      <c r="O156" s="9" t="n"/>
      <c r="P156" s="9" t="n"/>
    </row>
    <row r="157" spans="1:22">
      <c r="A157" s="22" t="s">
        <v>317</v>
      </c>
      <c r="B157" t="s">
        <v>24</v>
      </c>
      <c r="C157" s="123" t="n">
        <v>17.7740557251205</v>
      </c>
      <c r="D157" s="88" t="n">
        <v>11.64240514693481</v>
      </c>
      <c r="E157" s="16" t="n">
        <v>0.3449775714115536</v>
      </c>
      <c r="F157" s="88" t="n">
        <v>51.73428385643722</v>
      </c>
      <c r="G157" s="88" t="n">
        <v>1.910662859198754</v>
      </c>
      <c r="H157" s="16" t="n">
        <v>-0.1879864721590634</v>
      </c>
      <c r="I157" s="16" t="n">
        <v>0.06557331538697864</v>
      </c>
      <c r="J157" s="16" t="n">
        <v>0.3053620327598061</v>
      </c>
      <c r="K157" s="88" t="n">
        <v>4.443607931824785</v>
      </c>
      <c r="L157" s="9" t="n">
        <v>11.64240514693481</v>
      </c>
      <c r="M157" s="18" t="n">
        <v>0.3449775714115536</v>
      </c>
      <c r="N157" s="9" t="n">
        <v>27.41266816247037</v>
      </c>
      <c r="O157" s="9" t="n">
        <v>0.5422854854521122</v>
      </c>
      <c r="P157" s="9" t="n">
        <v>2.354553704024595</v>
      </c>
      <c r="Q157" s="131" t="n">
        <v>0.1747716826414929</v>
      </c>
      <c r="R157" s="131" t="n">
        <v>0.04314081184498465</v>
      </c>
      <c r="S157" s="131" t="n">
        <v>0.01962057015784846</v>
      </c>
      <c r="U157" s="129">
        <f>C157*S157</f>
        <v/>
      </c>
      <c r="V157" s="42">
        <f>Q157*(1-U157)+S157</f>
        <v/>
      </c>
    </row>
    <row r="158" spans="1:22">
      <c r="A158" t="s">
        <v>318</v>
      </c>
      <c r="B158" t="s">
        <v>26</v>
      </c>
      <c r="C158" s="126" t="n">
        <v>52.44062108741726</v>
      </c>
      <c r="D158" s="88" t="n">
        <v>18.93461350323813</v>
      </c>
      <c r="E158" s="16" t="n">
        <v>0.6389323179129671</v>
      </c>
      <c r="F158" s="88" t="n">
        <v>14795.51998103146</v>
      </c>
      <c r="G158" s="88" t="n">
        <v>281.1385344839391</v>
      </c>
      <c r="H158" s="16" t="n">
        <v>-0.5049803958730558</v>
      </c>
      <c r="I158" s="16" t="n">
        <v>-0.327100339618515</v>
      </c>
      <c r="J158" s="16" t="n">
        <v>-0.0857168774584447</v>
      </c>
      <c r="K158" s="88" t="n">
        <v>781.4006860241001</v>
      </c>
      <c r="L158" s="9" t="n">
        <v>21.21791082143042</v>
      </c>
      <c r="M158" s="18" t="n">
        <v>0.595391694807339</v>
      </c>
      <c r="N158" s="9" t="n">
        <v>72.29654235847265</v>
      </c>
      <c r="O158" s="9" t="n">
        <v>0.3786362720219512</v>
      </c>
      <c r="P158" s="9" t="n">
        <v>3.407335574502086</v>
      </c>
    </row>
    <row r="159" spans="1:22">
      <c r="B159" t="s">
        <v>28</v>
      </c>
      <c r="C159" s="123" t="n">
        <v>3.106401626442969</v>
      </c>
      <c r="D159" s="88" t="n">
        <v>1.829763208682674</v>
      </c>
      <c r="E159" s="16" t="n">
        <v>0.4109701742662712</v>
      </c>
      <c r="F159" s="88" t="n">
        <v>4.851543616645681</v>
      </c>
      <c r="G159" s="88" t="n">
        <v>0.5617889120799269</v>
      </c>
      <c r="H159" s="16" t="n">
        <v>-0.2347263533573302</v>
      </c>
      <c r="I159" s="16" t="n">
        <v>0.01174338663232732</v>
      </c>
      <c r="J159" s="16" t="n">
        <v>0.2031299383897125</v>
      </c>
      <c r="K159" s="88" t="n">
        <v>2.651459813829418</v>
      </c>
      <c r="L159" s="9" t="n">
        <v>2.171141981604261</v>
      </c>
      <c r="M159" s="18" t="n">
        <v>0.3010749276195948</v>
      </c>
      <c r="N159" s="9" t="n">
        <v>4.851543616645681</v>
      </c>
      <c r="O159" s="9" t="n">
        <v>0.5617889120799269</v>
      </c>
      <c r="P159" s="9" t="n">
        <v>2.234558429504857</v>
      </c>
    </row>
    <row r="160" spans="1:22">
      <c r="B160" t="s">
        <v>29</v>
      </c>
      <c r="C160" s="123" t="n">
        <v>2.262330967366402</v>
      </c>
      <c r="D160" s="88" t="n">
        <v>1.55238342679271</v>
      </c>
      <c r="E160" s="16" t="n">
        <v>0.3138124133093348</v>
      </c>
      <c r="F160" s="88" t="n">
        <v>5.866930210876837</v>
      </c>
      <c r="G160" s="88" t="n">
        <v>1.593312073037031</v>
      </c>
      <c r="H160" s="16" t="n">
        <v>-0.001044025684605487</v>
      </c>
      <c r="I160" s="16" t="n">
        <v>0.3916150071971691</v>
      </c>
      <c r="J160" s="16" t="n">
        <v>0.7688507305333996</v>
      </c>
      <c r="K160" s="88" t="n">
        <v>3.779304848028534</v>
      </c>
      <c r="L160" s="9" t="n">
        <v>1.55238342679271</v>
      </c>
      <c r="M160" s="18" t="n">
        <v>0.3138124133093348</v>
      </c>
      <c r="N160" s="9" t="n">
        <v>5.866930210876837</v>
      </c>
      <c r="O160" s="9" t="n">
        <v>1.593312073037031</v>
      </c>
      <c r="P160" s="9" t="n">
        <v>3.779304848028534</v>
      </c>
    </row>
    <row r="161" spans="1:22">
      <c r="C161" s="70" t="n"/>
      <c r="D161" s="88" t="n"/>
      <c r="F161" s="88" t="n"/>
      <c r="G161" s="88" t="n"/>
      <c r="K161" s="88" t="n"/>
      <c r="L161" s="9" t="n"/>
      <c r="N161" s="9" t="n"/>
      <c r="O161" s="9" t="n"/>
      <c r="P161" s="9" t="n"/>
    </row>
    <row r="162" spans="1:22">
      <c r="A162" t="s">
        <v>319</v>
      </c>
      <c r="B162" t="s">
        <v>24</v>
      </c>
      <c r="C162" s="123" t="n">
        <v>28.11130486641817</v>
      </c>
      <c r="D162" s="88" t="n">
        <v>18.16347762940512</v>
      </c>
      <c r="E162" s="16" t="n">
        <v>0.3538728381440861</v>
      </c>
      <c r="F162" s="88" t="n">
        <v>-139.3823783744381</v>
      </c>
      <c r="G162" s="88" t="n">
        <v>-5.958232249864167</v>
      </c>
      <c r="H162" s="16" t="n">
        <v>-0.0065909716457484</v>
      </c>
      <c r="I162" s="16" t="n">
        <v>0.2516249305975036</v>
      </c>
      <c r="J162" s="16" t="n">
        <v>0.6829862943742375</v>
      </c>
      <c r="K162" s="88" t="n">
        <v>-7.673771577133993</v>
      </c>
      <c r="L162" s="9" t="n">
        <v>18.16347762940512</v>
      </c>
      <c r="M162" s="18" t="n">
        <v>0.3538728381440861</v>
      </c>
      <c r="N162" s="9" t="n">
        <v>62.05708197839503</v>
      </c>
      <c r="O162" s="9" t="n">
        <v>1.207548965559708</v>
      </c>
      <c r="P162" s="9" t="n">
        <v>3.416585922837261</v>
      </c>
      <c r="Q162" s="131" t="n">
        <v>0.1382814973397981</v>
      </c>
      <c r="R162" s="131" t="n">
        <v>0.09018659454759677</v>
      </c>
      <c r="S162" s="131" t="n">
        <v>0.01494284085865261</v>
      </c>
      <c r="U162" s="129">
        <f>C162*S162</f>
        <v/>
      </c>
      <c r="V162" s="129">
        <f>Q162*(1-U162)+S162</f>
        <v/>
      </c>
    </row>
    <row r="163" spans="1:22">
      <c r="A163" t="s">
        <v>320</v>
      </c>
      <c r="B163" t="s">
        <v>26</v>
      </c>
      <c r="C163" s="124" t="n">
        <v>29.24685946554326</v>
      </c>
      <c r="D163" s="88" t="n">
        <v>18.74509385787391</v>
      </c>
      <c r="E163" s="16" t="n">
        <v>0.3590732748602238</v>
      </c>
      <c r="F163" s="88" t="n">
        <v>-38.18614745420349</v>
      </c>
      <c r="G163" s="88" t="n">
        <v>-2.30564950056234</v>
      </c>
      <c r="H163" s="16" t="n">
        <v>0.1098670762933367</v>
      </c>
      <c r="I163" s="16" t="n">
        <v>0.5219182814221992</v>
      </c>
      <c r="J163" s="16" t="n">
        <v>1.000837655981345</v>
      </c>
      <c r="K163" s="88" t="n">
        <v>-2.037127567550873</v>
      </c>
      <c r="L163" s="9" t="n">
        <v>18.74509385787391</v>
      </c>
      <c r="M163" s="18" t="n">
        <v>0.3590732748602238</v>
      </c>
      <c r="N163" s="9" t="n">
        <v>70.78688541749666</v>
      </c>
      <c r="O163" s="9" t="n">
        <v>1.420324325792762</v>
      </c>
      <c r="P163" s="9" t="n">
        <v>3.776288662740545</v>
      </c>
    </row>
    <row r="164" spans="1:22">
      <c r="B164" t="s">
        <v>28</v>
      </c>
      <c r="C164" s="125" t="n">
        <v>3.887273329103858</v>
      </c>
      <c r="D164" s="88" t="n">
        <v>1.774009751023077</v>
      </c>
      <c r="E164" s="16" t="n">
        <v>0.5436364770799271</v>
      </c>
      <c r="F164" s="88" t="n">
        <v>5.983802333257243</v>
      </c>
      <c r="G164" s="88" t="n">
        <v>0.5393315125172076</v>
      </c>
      <c r="H164" s="16" t="n">
        <v>-0.3610888883320865</v>
      </c>
      <c r="I164" s="16" t="n">
        <v>-0.04183361378681794</v>
      </c>
      <c r="J164" s="16" t="n">
        <v>0.186822088796841</v>
      </c>
      <c r="K164" s="88" t="n">
        <v>3.373038017297462</v>
      </c>
      <c r="L164" s="9" t="n">
        <v>2.148532194952548</v>
      </c>
      <c r="M164" s="18" t="n">
        <v>0.4472906808825161</v>
      </c>
      <c r="N164" s="9" t="n">
        <v>5.983802333257243</v>
      </c>
      <c r="O164" s="9" t="n">
        <v>0.5393315125172076</v>
      </c>
      <c r="P164" s="9" t="n">
        <v>2.785065240034441</v>
      </c>
    </row>
    <row r="165" spans="1:22">
      <c r="B165" t="s">
        <v>29</v>
      </c>
      <c r="C165" s="123" t="n">
        <v>2.637674656409493</v>
      </c>
      <c r="D165" s="88" t="n">
        <v>1.801553064032452</v>
      </c>
      <c r="E165" s="16" t="n">
        <v>0.3169919346744617</v>
      </c>
      <c r="F165" s="88" t="n">
        <v>6.585209785875619</v>
      </c>
      <c r="G165" s="88" t="n">
        <v>1.496596678393865</v>
      </c>
      <c r="H165" s="16" t="n">
        <v>-0.1173105151861508</v>
      </c>
      <c r="I165" s="16" t="n">
        <v>0.328695587611743</v>
      </c>
      <c r="J165" s="16" t="n">
        <v>0.739879152051774</v>
      </c>
      <c r="K165" s="88" t="n">
        <v>3.655296042813091</v>
      </c>
      <c r="L165" s="9" t="n">
        <v>1.87647360088346</v>
      </c>
      <c r="M165" s="18" t="n">
        <v>0.2885879248512815</v>
      </c>
      <c r="N165" s="9" t="n">
        <v>6.074772862564273</v>
      </c>
      <c r="O165" s="9" t="n">
        <v>1.303078906188337</v>
      </c>
      <c r="P165" s="9" t="n">
        <v>3.237334572521679</v>
      </c>
    </row>
    <row r="166" spans="1:22">
      <c r="C166" s="70" t="n"/>
      <c r="D166" s="88" t="n"/>
      <c r="F166" s="88" t="n"/>
      <c r="G166" s="88" t="n"/>
      <c r="K166" s="88" t="n"/>
      <c r="L166" s="9" t="n"/>
      <c r="N166" s="9" t="n"/>
      <c r="O166" s="9" t="n"/>
      <c r="P166" s="9" t="n"/>
    </row>
    <row r="167" spans="1:22">
      <c r="A167" t="s">
        <v>321</v>
      </c>
      <c r="B167" t="s">
        <v>24</v>
      </c>
      <c r="C167" s="125" t="n">
        <v>91.01731834110441</v>
      </c>
      <c r="D167" s="88" t="n">
        <v>32.79064396347933</v>
      </c>
      <c r="E167" s="16" t="n">
        <v>0.6397318163056589</v>
      </c>
      <c r="F167" s="88" t="n">
        <v>-249.5043108710902</v>
      </c>
      <c r="G167" s="88" t="n">
        <v>-3.741283916276529</v>
      </c>
      <c r="H167" s="16" t="n">
        <v>-0.3962123640302789</v>
      </c>
      <c r="I167" s="16" t="n">
        <v>-0.2076956427225729</v>
      </c>
      <c r="J167" s="16" t="n">
        <v>0.1947913925784941</v>
      </c>
      <c r="K167" s="88" t="n">
        <v>-7.609009178013593</v>
      </c>
      <c r="L167" s="9" t="n">
        <v>32.79064396347933</v>
      </c>
      <c r="M167" s="18" t="n">
        <v>0.6397318163056589</v>
      </c>
      <c r="N167" s="9" t="n">
        <v>140.8020955351273</v>
      </c>
      <c r="O167" s="9" t="n">
        <v>0.5469813668586141</v>
      </c>
      <c r="P167" s="9" t="n">
        <v>4.293971649106557</v>
      </c>
      <c r="Q167" s="131" t="n">
        <v>0.03164021325884819</v>
      </c>
      <c r="R167" s="131" t="n">
        <v>0.0375772350524765</v>
      </c>
      <c r="S167" s="131" t="n">
        <v>0.003841234551567503</v>
      </c>
      <c r="U167" s="129">
        <f>C167*S167</f>
        <v/>
      </c>
      <c r="V167" s="129">
        <f>Q167*(1-U167)+S167</f>
        <v/>
      </c>
    </row>
    <row r="168" spans="1:22">
      <c r="A168" t="s">
        <v>322</v>
      </c>
      <c r="B168" t="s">
        <v>26</v>
      </c>
      <c r="C168" s="125" t="n">
        <v>79.58249758600981</v>
      </c>
      <c r="D168" s="88" t="n">
        <v>26.71843181241814</v>
      </c>
      <c r="E168" s="16" t="n">
        <v>0.6642674881679624</v>
      </c>
      <c r="F168" s="88" t="n">
        <v>414.2419976191877</v>
      </c>
      <c r="G168" s="88" t="n">
        <v>4.205189711110666</v>
      </c>
      <c r="H168" s="16" t="n">
        <v>-0.2966929840299529</v>
      </c>
      <c r="I168" s="16" t="n">
        <v>-0.05549630739841271</v>
      </c>
      <c r="J168" s="16" t="n">
        <v>0.5432868408093199</v>
      </c>
      <c r="K168" s="88" t="n">
        <v>15.50397869633415</v>
      </c>
      <c r="L168" s="9" t="n">
        <v>26.71843181241814</v>
      </c>
      <c r="M168" s="18" t="n">
        <v>0.6642674881679624</v>
      </c>
      <c r="N168" s="9" t="n">
        <v>188.3587852964393</v>
      </c>
      <c r="O168" s="9" t="n">
        <v>1.366836817264601</v>
      </c>
      <c r="P168" s="9" t="n">
        <v>7.049769485681201</v>
      </c>
    </row>
    <row r="169" spans="1:22">
      <c r="B169" t="s">
        <v>28</v>
      </c>
      <c r="C169" s="124" t="n">
        <v>2.879807362561018</v>
      </c>
      <c r="D169" s="88" t="n">
        <v>1.868371958485127</v>
      </c>
      <c r="E169" s="16" t="n">
        <v>0.3512163407959411</v>
      </c>
      <c r="F169" s="88" t="n">
        <v>23.2817236135786</v>
      </c>
      <c r="G169" s="88" t="n">
        <v>7.084472564468379</v>
      </c>
      <c r="H169" s="16" t="n">
        <v>0.2253592641477578</v>
      </c>
      <c r="I169" s="16" t="n">
        <v>0.8237726765691116</v>
      </c>
      <c r="J169" s="16" t="n">
        <v>1.746140765794355</v>
      </c>
      <c r="K169" s="88" t="n">
        <v>12.46096822843315</v>
      </c>
      <c r="L169" s="9" t="n">
        <v>1.868371958485127</v>
      </c>
      <c r="M169" s="18" t="n">
        <v>0.3512163407959411</v>
      </c>
      <c r="N169" s="9" t="n">
        <v>12.80763004934389</v>
      </c>
      <c r="O169" s="9" t="n">
        <v>3.447391244237266</v>
      </c>
      <c r="P169" s="9" t="n">
        <v>6.854968033093522</v>
      </c>
    </row>
    <row r="170" spans="1:22">
      <c r="B170" t="s">
        <v>29</v>
      </c>
      <c r="C170" s="124" t="n">
        <v>2.990490217852634</v>
      </c>
      <c r="D170" s="88" t="n">
        <v>1.934928239790585</v>
      </c>
      <c r="E170" s="16" t="n">
        <v>0.352972891120176</v>
      </c>
      <c r="F170" s="88" t="n">
        <v>14.07937532458907</v>
      </c>
      <c r="G170" s="88" t="n">
        <v>3.708049282535013</v>
      </c>
      <c r="H170" s="16" t="n">
        <v>0.0748960443895359</v>
      </c>
      <c r="I170" s="16" t="n">
        <v>0.6109671712615778</v>
      </c>
      <c r="J170" s="16" t="n">
        <v>1.097523229913028</v>
      </c>
      <c r="K170" s="88" t="n">
        <v>7.276432807716355</v>
      </c>
      <c r="L170" s="9" t="n">
        <v>1.934928239790585</v>
      </c>
      <c r="M170" s="18" t="n">
        <v>0.352972891120176</v>
      </c>
      <c r="N170" s="9" t="n">
        <v>11.37861751239748</v>
      </c>
      <c r="O170" s="9" t="n">
        <v>2.8049338681897</v>
      </c>
      <c r="P170" s="9" t="n">
        <v>5.88064057281472</v>
      </c>
    </row>
    <row r="171" spans="1:22">
      <c r="C171" s="70" t="n"/>
      <c r="D171" s="88" t="n"/>
      <c r="F171" s="88" t="n"/>
      <c r="G171" s="88" t="n"/>
      <c r="K171" s="88" t="n"/>
      <c r="L171" s="9" t="n"/>
      <c r="N171" s="9" t="n"/>
      <c r="O171" s="9" t="n"/>
      <c r="P171" s="9" t="n"/>
    </row>
    <row r="172" spans="1:22">
      <c r="A172" t="s">
        <v>323</v>
      </c>
      <c r="B172" t="s">
        <v>24</v>
      </c>
      <c r="C172" s="123" t="n">
        <v>27.96737137995108</v>
      </c>
      <c r="D172" s="88" t="n">
        <v>15.24417328919243</v>
      </c>
      <c r="E172" s="16" t="n">
        <v>0.4549300653932569</v>
      </c>
      <c r="F172" s="88" t="n">
        <v>64.86170625280452</v>
      </c>
      <c r="G172" s="88" t="n">
        <v>1.319192081787916</v>
      </c>
      <c r="H172" s="16" t="n">
        <v>-0.2595001933229795</v>
      </c>
      <c r="I172" s="16" t="n">
        <v>0.0787096190366301</v>
      </c>
      <c r="J172" s="16" t="n">
        <v>0.5437725083200859</v>
      </c>
      <c r="K172" s="88" t="n">
        <v>4.254852330942021</v>
      </c>
      <c r="L172" s="9" t="n">
        <v>19.11505323139806</v>
      </c>
      <c r="M172" s="18" t="n">
        <v>0.3165230664079842</v>
      </c>
      <c r="N172" s="9" t="n">
        <v>64.73610281015925</v>
      </c>
      <c r="O172" s="9" t="n">
        <v>1.314701011070583</v>
      </c>
      <c r="P172" s="9" t="n">
        <v>3.386655638699704</v>
      </c>
      <c r="Q172" s="131" t="n">
        <v>0.08091591116297991</v>
      </c>
      <c r="R172" s="131" t="n">
        <v>0.05514454728277061</v>
      </c>
      <c r="S172" s="131" t="n">
        <v>0.02177871621138606</v>
      </c>
      <c r="U172" s="129">
        <f>C172*S172</f>
        <v/>
      </c>
      <c r="V172" s="129">
        <f>Q172*(1-U172)+S172</f>
        <v/>
      </c>
    </row>
    <row r="173" spans="1:22">
      <c r="A173" t="s">
        <v>324</v>
      </c>
      <c r="B173" t="s">
        <v>26</v>
      </c>
      <c r="C173" s="123" t="n">
        <v>38.8116704283015</v>
      </c>
      <c r="D173" s="88" t="n">
        <v>19.06352408203189</v>
      </c>
      <c r="E173" s="16" t="n">
        <v>0.5088197990022416</v>
      </c>
      <c r="F173" s="88" t="n">
        <v>-260.7037292459615</v>
      </c>
      <c r="G173" s="88" t="n">
        <v>-7.717147867355282</v>
      </c>
      <c r="H173" s="16" t="n">
        <v>-0.3413903392048346</v>
      </c>
      <c r="I173" s="16" t="n">
        <v>0.0412247661582068</v>
      </c>
      <c r="J173" s="16" t="n">
        <v>0.7601003831838984</v>
      </c>
      <c r="K173" s="88" t="n">
        <v>-13.67552652511321</v>
      </c>
      <c r="L173" s="9" t="n">
        <v>21.95071921675583</v>
      </c>
      <c r="M173" s="18" t="n">
        <v>0.4344299285621742</v>
      </c>
      <c r="N173" s="9" t="n">
        <v>93.74169743928438</v>
      </c>
      <c r="O173" s="9" t="n">
        <v>1.415296646725307</v>
      </c>
      <c r="P173" s="9" t="n">
        <v>4.270552436738734</v>
      </c>
    </row>
    <row r="174" spans="1:22">
      <c r="B174" t="s">
        <v>28</v>
      </c>
      <c r="C174" s="123" t="n">
        <v>2.263005338042189</v>
      </c>
      <c r="D174" s="88" t="n">
        <v>1.722859150630061</v>
      </c>
      <c r="E174" s="16" t="n">
        <v>0.2386853350860537</v>
      </c>
      <c r="F174" s="88" t="n">
        <v>6.829533374404524</v>
      </c>
      <c r="G174" s="88" t="n">
        <v>2.017904226559629</v>
      </c>
      <c r="H174" s="16" t="n">
        <v>-0.04454541364909292</v>
      </c>
      <c r="I174" s="16" t="n">
        <v>0.4154561191828154</v>
      </c>
      <c r="J174" s="16" t="n">
        <v>0.7976478600376951</v>
      </c>
      <c r="K174" s="88" t="n">
        <v>3.964069478289574</v>
      </c>
      <c r="L174" s="9" t="n">
        <v>1.72581984134496</v>
      </c>
      <c r="M174" s="18" t="n">
        <v>0.2373770347187814</v>
      </c>
      <c r="N174" s="9" t="n">
        <v>6.829533374404524</v>
      </c>
      <c r="O174" s="9" t="n">
        <v>2.017904226559629</v>
      </c>
      <c r="P174" s="9" t="n">
        <v>3.957269009656393</v>
      </c>
    </row>
    <row r="175" spans="1:22">
      <c r="B175" t="s">
        <v>29</v>
      </c>
      <c r="C175" s="123" t="n">
        <v>2.140251995056782</v>
      </c>
      <c r="D175" s="88" t="n">
        <v>1.544771338000338</v>
      </c>
      <c r="E175" s="16" t="n">
        <v>0.2782292264797753</v>
      </c>
      <c r="F175" s="88" t="n">
        <v>6.430806346143569</v>
      </c>
      <c r="G175" s="88" t="n">
        <v>2.004695877399687</v>
      </c>
      <c r="H175" s="16" t="n">
        <v>-0.002546450184630511</v>
      </c>
      <c r="I175" s="16" t="n">
        <v>0.4747589416356808</v>
      </c>
      <c r="J175" s="16" t="n">
        <v>0.8759770871214652</v>
      </c>
      <c r="K175" s="88" t="n">
        <v>4.162950326660037</v>
      </c>
      <c r="L175" s="9" t="n">
        <v>1.544771338000338</v>
      </c>
      <c r="M175" s="18" t="n">
        <v>0.2782292264797753</v>
      </c>
      <c r="N175" s="9" t="n">
        <v>6.430806346143569</v>
      </c>
      <c r="O175" s="9" t="n">
        <v>2.004695877399687</v>
      </c>
      <c r="P175" s="9" t="n">
        <v>4.162950326660037</v>
      </c>
    </row>
    <row r="176" spans="1:22">
      <c r="C176" s="70" t="n"/>
      <c r="D176" s="88" t="n"/>
      <c r="F176" s="88" t="n"/>
      <c r="G176" s="88" t="n"/>
      <c r="K176" s="88" t="n"/>
      <c r="L176" s="9" t="n"/>
      <c r="N176" s="9" t="n"/>
      <c r="O176" s="9" t="n"/>
      <c r="P176" s="9" t="n"/>
    </row>
    <row r="177" spans="1:22">
      <c r="A177" t="s">
        <v>325</v>
      </c>
      <c r="B177" t="s">
        <v>24</v>
      </c>
      <c r="C177" s="124" t="n">
        <v>23.26080842900949</v>
      </c>
      <c r="D177" s="88" t="n">
        <v>17.65116162388081</v>
      </c>
      <c r="E177" s="16" t="n">
        <v>0.2411630198601639</v>
      </c>
      <c r="F177" s="88" t="n">
        <v>145.1755805650135</v>
      </c>
      <c r="G177" s="88" t="n">
        <v>5.241209586849923</v>
      </c>
      <c r="H177" s="16" t="n">
        <v>0.4082993830871964</v>
      </c>
      <c r="I177" s="16" t="n">
        <v>0.9213523119122176</v>
      </c>
      <c r="J177" s="16" t="n">
        <v>1.951463776887657</v>
      </c>
      <c r="K177" s="88" t="n">
        <v>8.224704053958746</v>
      </c>
      <c r="L177" s="9" t="n">
        <v>17.65116162388081</v>
      </c>
      <c r="M177" s="18" t="n">
        <v>0.2411630198601639</v>
      </c>
      <c r="N177" s="9" t="n">
        <v>106.8726609241447</v>
      </c>
      <c r="O177" s="9" t="n">
        <v>3.59453768558016</v>
      </c>
      <c r="P177" s="9" t="n">
        <v>6.054709780661311</v>
      </c>
      <c r="Q177" s="131" t="n">
        <v>0.0877366861235517</v>
      </c>
      <c r="R177" s="131" t="n">
        <v>0.07393667542350361</v>
      </c>
      <c r="S177" s="131" t="n">
        <v>0.02085207596916041</v>
      </c>
      <c r="U177" s="129">
        <f>C177*S177</f>
        <v/>
      </c>
      <c r="V177" s="129">
        <f>Q177*(1-U177)+S177</f>
        <v/>
      </c>
    </row>
    <row r="178" spans="1:22">
      <c r="A178" t="s">
        <v>326</v>
      </c>
      <c r="B178" t="s">
        <v>26</v>
      </c>
      <c r="C178" s="124" t="n">
        <v>28.70841893455364</v>
      </c>
      <c r="D178" s="88" t="n">
        <v>22.26736641744543</v>
      </c>
      <c r="E178" s="16" t="n">
        <v>0.224361102288211</v>
      </c>
      <c r="F178" s="88" t="n">
        <v>631.5082894450068</v>
      </c>
      <c r="G178" s="88" t="n">
        <v>20.99732039875311</v>
      </c>
      <c r="H178" s="16" t="n">
        <v>0.4131813381800709</v>
      </c>
      <c r="I178" s="16" t="n">
        <v>1.374458246871877</v>
      </c>
      <c r="J178" s="16" t="n">
        <v>2.193588180740246</v>
      </c>
      <c r="K178" s="88" t="n">
        <v>28.36025947595894</v>
      </c>
      <c r="L178" s="9" t="n">
        <v>22.26736641744543</v>
      </c>
      <c r="M178" s="18" t="n">
        <v>0.224361102288211</v>
      </c>
      <c r="N178" s="9" t="n">
        <v>130.5221303710968</v>
      </c>
      <c r="O178" s="9" t="n">
        <v>3.546475745273437</v>
      </c>
      <c r="P178" s="9" t="n">
        <v>5.861588116178789</v>
      </c>
    </row>
    <row r="179" spans="1:22">
      <c r="B179" t="s">
        <v>28</v>
      </c>
      <c r="C179" s="123" t="n">
        <v>2.040826248116072</v>
      </c>
      <c r="D179" s="88" t="n">
        <v>1.501330350653208</v>
      </c>
      <c r="E179" s="16" t="n">
        <v>0.2643517045906693</v>
      </c>
      <c r="F179" s="88" t="n">
        <v>6.0099380431506</v>
      </c>
      <c r="G179" s="88" t="n">
        <v>1.944855324503247</v>
      </c>
      <c r="H179" s="16" t="n">
        <v>-0.004885612244316717</v>
      </c>
      <c r="I179" s="16" t="n">
        <v>0.3441266872569169</v>
      </c>
      <c r="J179" s="16" t="n">
        <v>0.6679826479549331</v>
      </c>
      <c r="K179" s="88" t="n">
        <v>4.003075033110306</v>
      </c>
      <c r="L179" s="9" t="n">
        <v>1.501330350653208</v>
      </c>
      <c r="M179" s="18" t="n">
        <v>0.2643517045906693</v>
      </c>
      <c r="N179" s="9" t="n">
        <v>6.0099380431506</v>
      </c>
      <c r="O179" s="9" t="n">
        <v>1.944855324503247</v>
      </c>
      <c r="P179" s="9" t="n">
        <v>4.003075033110306</v>
      </c>
    </row>
    <row r="180" spans="1:22">
      <c r="B180" t="s">
        <v>29</v>
      </c>
      <c r="C180" s="123" t="n">
        <v>2.122605052686058</v>
      </c>
      <c r="D180" s="88" t="n">
        <v>1.564246964963965</v>
      </c>
      <c r="E180" s="16" t="n">
        <v>0.2630532170907238</v>
      </c>
      <c r="F180" s="88" t="n">
        <v>6.006395248121867</v>
      </c>
      <c r="G180" s="88" t="n">
        <v>1.829728140202556</v>
      </c>
      <c r="H180" s="16" t="n">
        <v>0</v>
      </c>
      <c r="I180" s="16" t="n">
        <v>0.3643454077639927</v>
      </c>
      <c r="J180" s="16" t="n">
        <v>0.6967335336005316</v>
      </c>
      <c r="K180" s="88" t="n">
        <v>3.839799841491292</v>
      </c>
      <c r="L180" s="9" t="n">
        <v>1.564246964963965</v>
      </c>
      <c r="M180" s="18" t="n">
        <v>0.2630532170907238</v>
      </c>
      <c r="N180" s="9" t="n">
        <v>6.006395248121867</v>
      </c>
      <c r="O180" s="9" t="n">
        <v>1.829728140202556</v>
      </c>
      <c r="P180" s="9" t="n">
        <v>3.839799841491292</v>
      </c>
    </row>
    <row r="181" spans="1:22">
      <c r="C181" s="70" t="n"/>
      <c r="D181" s="88" t="n"/>
      <c r="F181" s="88" t="n"/>
      <c r="G181" s="88" t="n"/>
      <c r="K181" s="88" t="n"/>
      <c r="L181" s="9" t="n"/>
      <c r="N181" s="9" t="n"/>
      <c r="O181" s="9" t="n"/>
      <c r="P181" s="9" t="n"/>
    </row>
    <row r="182" spans="1:22">
      <c r="A182" t="s">
        <v>327</v>
      </c>
      <c r="B182" t="s">
        <v>24</v>
      </c>
      <c r="C182" s="124" t="n">
        <v>20.49391057910679</v>
      </c>
      <c r="D182" s="88" t="n">
        <v>15.80517557561563</v>
      </c>
      <c r="E182" s="16" t="n">
        <v>0.228786740597534</v>
      </c>
      <c r="F182" s="88" t="n">
        <v>-712.6292277622025</v>
      </c>
      <c r="G182" s="88" t="n">
        <v>-35.77273041723508</v>
      </c>
      <c r="H182" s="16" t="n">
        <v>0.1885906564746618</v>
      </c>
      <c r="I182" s="16" t="n">
        <v>0.4549925494325557</v>
      </c>
      <c r="J182" s="16" t="n">
        <v>1.876297435046109</v>
      </c>
      <c r="K182" s="88" t="n">
        <v>-45.0883461783021</v>
      </c>
      <c r="L182" s="9" t="n">
        <v>15.80517557561563</v>
      </c>
      <c r="M182" s="18" t="n">
        <v>0.228786740597534</v>
      </c>
      <c r="N182" s="9" t="n">
        <v>65.53980612320291</v>
      </c>
      <c r="O182" s="9" t="n">
        <v>2.198013667046039</v>
      </c>
      <c r="P182" s="9" t="n">
        <v>4.146730658552022</v>
      </c>
      <c r="Q182" s="131" t="n">
        <v>0.1386336416322035</v>
      </c>
      <c r="R182" s="131" t="n">
        <v>0.08685390454904518</v>
      </c>
      <c r="S182" s="131" t="n">
        <v>0.01209398985609518</v>
      </c>
      <c r="U182" s="129">
        <f>C182*S182</f>
        <v/>
      </c>
      <c r="V182" s="42">
        <f>Q182*(1-U182)+S182</f>
        <v/>
      </c>
    </row>
    <row r="183" spans="1:22">
      <c r="A183" t="s">
        <v>328</v>
      </c>
      <c r="B183" t="s">
        <v>26</v>
      </c>
      <c r="C183" s="124" t="n">
        <v>31.89860082830276</v>
      </c>
      <c r="D183" s="88" t="n">
        <v>19.87458540778419</v>
      </c>
      <c r="E183" s="16" t="n">
        <v>0.3769449163378347</v>
      </c>
      <c r="F183" s="88" t="n">
        <v>200.1824553164587</v>
      </c>
      <c r="G183" s="88" t="n">
        <v>5.275587333562362</v>
      </c>
      <c r="H183" s="16" t="n">
        <v>0.3956404337349413</v>
      </c>
      <c r="I183" s="16" t="n">
        <v>0.9266789397004198</v>
      </c>
      <c r="J183" s="16" t="n">
        <v>2.149354437021106</v>
      </c>
      <c r="K183" s="88" t="n">
        <v>10.07228333115588</v>
      </c>
      <c r="L183" s="9" t="n">
        <v>25.03799257311822</v>
      </c>
      <c r="M183" s="18" t="n">
        <v>0.2150755229708166</v>
      </c>
      <c r="N183" s="9" t="n">
        <v>200.1824553164587</v>
      </c>
      <c r="O183" s="9" t="n">
        <v>5.275587333562362</v>
      </c>
      <c r="P183" s="9" t="n">
        <v>7.995147962915464</v>
      </c>
    </row>
    <row r="184" spans="1:22">
      <c r="B184" t="s">
        <v>28</v>
      </c>
      <c r="C184" s="124" t="n">
        <v>2.841145454866314</v>
      </c>
      <c r="D184" s="88" t="n">
        <v>2.06774036047539</v>
      </c>
      <c r="E184" s="16" t="n">
        <v>0.2722159448282507</v>
      </c>
      <c r="F184" s="88" t="n">
        <v>6.584989425013551</v>
      </c>
      <c r="G184" s="88" t="n">
        <v>1.317723442752563</v>
      </c>
      <c r="H184" s="16" t="n">
        <v>0.01459639133946133</v>
      </c>
      <c r="I184" s="16" t="n">
        <v>0.1467087130903766</v>
      </c>
      <c r="J184" s="16" t="n">
        <v>0.5910570185488526</v>
      </c>
      <c r="K184" s="88" t="n">
        <v>3.184630696815151</v>
      </c>
      <c r="L184" s="9" t="n">
        <v>2.06774036047539</v>
      </c>
      <c r="M184" s="18" t="n">
        <v>0.2722159448282507</v>
      </c>
      <c r="N184" s="9" t="n">
        <v>6.36297455918331</v>
      </c>
      <c r="O184" s="9" t="n">
        <v>1.239580711464388</v>
      </c>
      <c r="P184" s="9" t="n">
        <v>3.077259931087486</v>
      </c>
    </row>
    <row r="185" spans="1:22">
      <c r="B185" t="s">
        <v>29</v>
      </c>
      <c r="C185" s="124" t="n">
        <v>2.770518031589501</v>
      </c>
      <c r="D185" s="88" t="n">
        <v>1.952092889893301</v>
      </c>
      <c r="E185" s="16" t="n">
        <v>0.2954050947745153</v>
      </c>
      <c r="F185" s="88" t="n">
        <v>7.505986487386936</v>
      </c>
      <c r="G185" s="88" t="n">
        <v>1.709235746457352</v>
      </c>
      <c r="H185" s="16" t="n">
        <v>0.1070518190043532</v>
      </c>
      <c r="I185" s="16" t="n">
        <v>0.4089913547187556</v>
      </c>
      <c r="J185" s="16" t="n">
        <v>0.7320362562130593</v>
      </c>
      <c r="K185" s="88" t="n">
        <v>3.845096986033899</v>
      </c>
      <c r="L185" s="9" t="n">
        <v>1.952092889893301</v>
      </c>
      <c r="M185" s="18" t="n">
        <v>0.2954050947745153</v>
      </c>
      <c r="N185" s="9" t="n">
        <v>7.505986487386936</v>
      </c>
      <c r="O185" s="9" t="n">
        <v>1.709235746457352</v>
      </c>
      <c r="P185" s="9" t="n">
        <v>3.845096986033899</v>
      </c>
    </row>
    <row r="186" spans="1:22">
      <c r="C186" s="70" t="n"/>
      <c r="D186" s="88" t="n"/>
      <c r="F186" s="88" t="n"/>
      <c r="G186" s="88" t="n"/>
      <c r="K186" s="88" t="n"/>
      <c r="L186" s="9" t="n"/>
      <c r="N186" s="9" t="n"/>
      <c r="O186" s="9" t="n"/>
      <c r="P186" s="9" t="n"/>
    </row>
    <row r="187" spans="1:22">
      <c r="A187" t="s">
        <v>329</v>
      </c>
      <c r="B187" t="s">
        <v>24</v>
      </c>
      <c r="C187" s="126" t="n">
        <v>40.40956300519461</v>
      </c>
      <c r="D187" s="88" t="n">
        <v>28.00294299593865</v>
      </c>
      <c r="E187" s="16" t="n">
        <v>0.3070218801341925</v>
      </c>
      <c r="F187" s="88" t="n">
        <v>-30.38597645220086</v>
      </c>
      <c r="G187" s="88" t="n">
        <v>-1.751950137354734</v>
      </c>
      <c r="H187" s="16" t="n">
        <v>0.6364046788126041</v>
      </c>
      <c r="I187" s="16" t="n">
        <v>2.327278739416072</v>
      </c>
      <c r="J187" s="16" t="n">
        <v>-7.443917169352147</v>
      </c>
      <c r="K187" s="88" t="n">
        <v>-1.085099393181918</v>
      </c>
      <c r="L187" s="9" t="n">
        <v>28.00294299593865</v>
      </c>
      <c r="M187" s="18" t="n">
        <v>0.3070218801341925</v>
      </c>
      <c r="N187" s="9" t="n">
        <v>214.89866941569</v>
      </c>
      <c r="O187" s="9" t="n">
        <v>4.318015178438453</v>
      </c>
      <c r="P187" s="9" t="n">
        <v>7.674145872698356</v>
      </c>
      <c r="Q187" s="131" t="n">
        <v>0.08442931325442347</v>
      </c>
      <c r="R187" s="131" t="n">
        <v>0.08547148296051907</v>
      </c>
      <c r="S187" s="131" t="n">
        <v>0.005272057318332077</v>
      </c>
      <c r="U187" s="129">
        <f>C187*S187</f>
        <v/>
      </c>
      <c r="V187" s="129">
        <f>Q187*(1-U187)+S187</f>
        <v/>
      </c>
    </row>
    <row r="188" spans="1:22">
      <c r="A188" t="s">
        <v>330</v>
      </c>
      <c r="B188" t="s">
        <v>26</v>
      </c>
      <c r="C188" s="126" t="n">
        <v>42.37727506972826</v>
      </c>
      <c r="D188" s="88" t="n">
        <v>29.37377060750851</v>
      </c>
      <c r="E188" s="16" t="n">
        <v>0.3068508874349181</v>
      </c>
      <c r="F188" s="88" t="n">
        <v>-30.38597645220086</v>
      </c>
      <c r="G188" s="88" t="n">
        <v>-1.717034693764601</v>
      </c>
      <c r="H188" s="16" t="n">
        <v>0.8469902896449784</v>
      </c>
      <c r="I188" s="16" t="n">
        <v>2.726239513082323</v>
      </c>
      <c r="J188" s="16" t="n">
        <v>-7.144705539153504</v>
      </c>
      <c r="K188" s="88" t="n">
        <v>-1.034459513496494</v>
      </c>
      <c r="L188" s="9" t="n">
        <v>29.37377060750851</v>
      </c>
      <c r="M188" s="18" t="n">
        <v>0.3068508874349181</v>
      </c>
      <c r="N188" s="9" t="n">
        <v>211.7501213687743</v>
      </c>
      <c r="O188" s="9" t="n">
        <v>3.996784739470796</v>
      </c>
      <c r="P188" s="9" t="n">
        <v>7.208816470931616</v>
      </c>
    </row>
    <row r="189" spans="1:22">
      <c r="B189" t="s">
        <v>28</v>
      </c>
      <c r="C189" s="123" t="n">
        <v>3.411751653439938</v>
      </c>
      <c r="D189" s="88" t="n">
        <v>1.948655386964987</v>
      </c>
      <c r="E189" s="16" t="n">
        <v>0.4288402014841165</v>
      </c>
      <c r="F189" s="88" t="n">
        <v>13.40298982888174</v>
      </c>
      <c r="G189" s="88" t="n">
        <v>2.928477565290551</v>
      </c>
      <c r="H189" s="16" t="n">
        <v>-0.1152259074643591</v>
      </c>
      <c r="I189" s="16" t="n">
        <v>0.3436473715032706</v>
      </c>
      <c r="J189" s="16" t="n">
        <v>0.7355171041630897</v>
      </c>
      <c r="K189" s="88" t="n">
        <v>6.87807085775016</v>
      </c>
      <c r="L189" s="9" t="n">
        <v>2.350674478375678</v>
      </c>
      <c r="M189" s="18" t="n">
        <v>0.311006568720914</v>
      </c>
      <c r="N189" s="9" t="n">
        <v>13.40298982888174</v>
      </c>
      <c r="O189" s="9" t="n">
        <v>2.928477565290551</v>
      </c>
      <c r="P189" s="9" t="n">
        <v>5.701763452225525</v>
      </c>
    </row>
    <row r="190" spans="1:22">
      <c r="B190" t="s">
        <v>29</v>
      </c>
      <c r="C190" s="123" t="n">
        <v>3.622048544035508</v>
      </c>
      <c r="D190" s="88" t="n">
        <v>2.126017360170597</v>
      </c>
      <c r="E190" s="16" t="n">
        <v>0.4130345481781165</v>
      </c>
      <c r="F190" s="88" t="n">
        <v>12.31100870787423</v>
      </c>
      <c r="G190" s="88" t="n">
        <v>2.398907706012663</v>
      </c>
      <c r="H190" s="16" t="n">
        <v>-0.107708829687591</v>
      </c>
      <c r="I190" s="16" t="n">
        <v>0.3413685609909758</v>
      </c>
      <c r="J190" s="16" t="n">
        <v>0.9053285637149988</v>
      </c>
      <c r="K190" s="88" t="n">
        <v>5.790643547184566</v>
      </c>
      <c r="L190" s="9" t="n">
        <v>2.413676064959565</v>
      </c>
      <c r="M190" s="18" t="n">
        <v>0.3336157603590907</v>
      </c>
      <c r="N190" s="9" t="n">
        <v>12.31100870787423</v>
      </c>
      <c r="O190" s="9" t="n">
        <v>2.398907706012663</v>
      </c>
      <c r="P190" s="9" t="n">
        <v>5.100522347053426</v>
      </c>
    </row>
    <row r="191" spans="1:22">
      <c r="C191" s="70" t="n"/>
      <c r="D191" s="88" t="n"/>
      <c r="F191" s="88" t="n"/>
      <c r="G191" s="88" t="n"/>
      <c r="K191" s="88" t="n"/>
      <c r="L191" s="9" t="n"/>
      <c r="N191" s="9" t="n"/>
      <c r="O191" s="9" t="n"/>
      <c r="P191" s="9" t="n"/>
    </row>
    <row r="192" spans="1:22">
      <c r="A192" s="39" t="s">
        <v>221</v>
      </c>
      <c r="B192" t="s">
        <v>24</v>
      </c>
      <c r="C192" s="124" t="n">
        <v>26.88057392006121</v>
      </c>
      <c r="D192" s="88" t="n">
        <v>18.47927164462345</v>
      </c>
      <c r="E192" s="16" t="n">
        <v>0.3125417746072675</v>
      </c>
      <c r="F192" s="88" t="n">
        <v>97.02289127661545</v>
      </c>
      <c r="G192" s="88" t="n">
        <v>2.60940549726159</v>
      </c>
      <c r="H192" s="16" t="n">
        <v>0.09401488428282212</v>
      </c>
      <c r="I192" s="16" t="n">
        <v>0.499724192500584</v>
      </c>
      <c r="J192" s="16" t="n">
        <v>1.059041039772612</v>
      </c>
      <c r="K192" s="88" t="n">
        <v>5.250363387825641</v>
      </c>
      <c r="L192" s="9" t="n">
        <v>18.47927164462345</v>
      </c>
      <c r="M192" s="18" t="n">
        <v>0.3125417746072675</v>
      </c>
      <c r="N192" s="9" t="n">
        <v>97.02289127661545</v>
      </c>
      <c r="O192" s="9" t="n">
        <v>2.60940549726159</v>
      </c>
      <c r="P192" s="9" t="n">
        <v>5.250363387825641</v>
      </c>
      <c r="Q192" s="131" t="n">
        <v>0.07991313086409293</v>
      </c>
      <c r="R192" s="131" t="n">
        <v>0.03937581882518112</v>
      </c>
      <c r="S192" s="131" t="n">
        <v>0.01207044418482282</v>
      </c>
      <c r="U192" s="129">
        <f>C192*S192</f>
        <v/>
      </c>
      <c r="V192" s="129">
        <f>Q192*(1-U192)+S192</f>
        <v/>
      </c>
    </row>
    <row r="193" spans="1:22">
      <c r="A193" t="s">
        <v>331</v>
      </c>
      <c r="B193" t="s">
        <v>26</v>
      </c>
      <c r="C193" s="125" t="n">
        <v>50.09774773781578</v>
      </c>
      <c r="D193" s="88" t="n">
        <v>22.12973530252945</v>
      </c>
      <c r="E193" s="16" t="n">
        <v>0.5582688583458006</v>
      </c>
      <c r="F193" s="88" t="n">
        <v>-566.1340822072117</v>
      </c>
      <c r="G193" s="88" t="n">
        <v>-12.30058950294628</v>
      </c>
      <c r="H193" s="16" t="n">
        <v>-0.3436459428203186</v>
      </c>
      <c r="I193" s="16" t="n">
        <v>-0.1143081966715856</v>
      </c>
      <c r="J193" s="16" t="n">
        <v>0.3209978696522962</v>
      </c>
      <c r="K193" s="88" t="n">
        <v>-25.58250582159028</v>
      </c>
      <c r="L193" s="9" t="n">
        <v>22.12973530252945</v>
      </c>
      <c r="M193" s="18" t="n">
        <v>0.5582688583458006</v>
      </c>
      <c r="N193" s="9" t="n">
        <v>95.4000246745328</v>
      </c>
      <c r="O193" s="9" t="n">
        <v>0.9042777167110261</v>
      </c>
      <c r="P193" s="9" t="n">
        <v>4.310942872580518</v>
      </c>
    </row>
    <row r="194" spans="1:22">
      <c r="B194" t="s">
        <v>28</v>
      </c>
      <c r="C194" s="124" t="n">
        <v>2.148110821375775</v>
      </c>
      <c r="D194" s="88" t="n">
        <v>1.573305145124702</v>
      </c>
      <c r="E194" s="16" t="n">
        <v>0.2675866023909019</v>
      </c>
      <c r="F194" s="88" t="n">
        <v>8.080064590697621</v>
      </c>
      <c r="G194" s="88" t="n">
        <v>2.761474738776595</v>
      </c>
      <c r="H194" s="16" t="n">
        <v>0.3734162317370711</v>
      </c>
      <c r="I194" s="16" t="n">
        <v>0.7959613498321347</v>
      </c>
      <c r="J194" s="16" t="n">
        <v>1.072222012029091</v>
      </c>
      <c r="K194" s="88" t="n">
        <v>5.135726286623938</v>
      </c>
      <c r="L194" s="9" t="n">
        <v>1.573305145124702</v>
      </c>
      <c r="M194" s="18" t="n">
        <v>0.2675866023909019</v>
      </c>
      <c r="N194" s="9" t="n">
        <v>8.080064590697621</v>
      </c>
      <c r="O194" s="9" t="n">
        <v>2.761474738776595</v>
      </c>
      <c r="P194" s="9" t="n">
        <v>5.135726286623938</v>
      </c>
    </row>
    <row r="195" spans="1:22">
      <c r="B195" t="s">
        <v>29</v>
      </c>
      <c r="C195" s="124" t="n">
        <v>1.972639838473862</v>
      </c>
      <c r="D195" s="88" t="n">
        <v>1.341581035263199</v>
      </c>
      <c r="E195" s="16" t="n">
        <v>0.3199057379368768</v>
      </c>
      <c r="F195" s="88" t="n">
        <v>7.79328273210344</v>
      </c>
      <c r="G195" s="88" t="n">
        <v>2.950687084436424</v>
      </c>
      <c r="H195" s="16" t="n">
        <v>0.4775297200796562</v>
      </c>
      <c r="I195" s="16" t="n">
        <v>0.8618124154610725</v>
      </c>
      <c r="J195" s="16" t="n">
        <v>1.272044356667379</v>
      </c>
      <c r="K195" s="88" t="n">
        <v>5.809028696186441</v>
      </c>
      <c r="L195" s="9" t="n">
        <v>1.341581035263199</v>
      </c>
      <c r="M195" s="18" t="n">
        <v>0.3199057379368768</v>
      </c>
      <c r="N195" s="9" t="n">
        <v>7.79328273210344</v>
      </c>
      <c r="O195" s="9" t="n">
        <v>2.950687084436424</v>
      </c>
      <c r="P195" s="9" t="n">
        <v>5.809028696186441</v>
      </c>
    </row>
    <row r="196" spans="1:22">
      <c r="C196" s="70" t="n"/>
      <c r="D196" s="88" t="n"/>
      <c r="F196" s="88" t="n"/>
      <c r="G196" s="88" t="n"/>
      <c r="K196" s="88" t="n"/>
      <c r="L196" s="9" t="n"/>
      <c r="N196" s="9" t="n"/>
      <c r="O196" s="9" t="n"/>
      <c r="P196" s="9" t="n"/>
    </row>
    <row r="197" spans="1:22">
      <c r="A197" t="s">
        <v>332</v>
      </c>
      <c r="B197" t="s">
        <v>24</v>
      </c>
      <c r="C197" s="124" t="n">
        <v>16.32329370098158</v>
      </c>
      <c r="D197" s="88" t="n">
        <v>11.11202405922141</v>
      </c>
      <c r="E197" s="16" t="n">
        <v>0.3192535610289728</v>
      </c>
      <c r="F197" s="88" t="n">
        <v>11443.09298384978</v>
      </c>
      <c r="G197" s="88" t="n">
        <v>700.0284317289265</v>
      </c>
      <c r="H197" s="16" t="n">
        <v>0.1341060514287191</v>
      </c>
      <c r="I197" s="16" t="n">
        <v>0.8300599945983256</v>
      </c>
      <c r="J197" s="16" t="n">
        <v>2.792957586370455</v>
      </c>
      <c r="K197" s="88" t="n">
        <v>1029.793755202827</v>
      </c>
      <c r="L197" s="9" t="n">
        <v>11.11202405922141</v>
      </c>
      <c r="M197" s="18" t="n">
        <v>0.3192535610289728</v>
      </c>
      <c r="N197" s="9" t="n">
        <v>53.87475167666793</v>
      </c>
      <c r="O197" s="9" t="n">
        <v>2.300482896624487</v>
      </c>
      <c r="P197" s="9" t="n">
        <v>4.848329286324709</v>
      </c>
      <c r="Q197" s="131" t="n">
        <v>0.08248594537686421</v>
      </c>
      <c r="R197" s="131" t="n">
        <v>0.05947614828695709</v>
      </c>
      <c r="S197" s="131" t="n">
        <v>0.0110804084226296</v>
      </c>
      <c r="U197" s="129">
        <f>C197*S197</f>
        <v/>
      </c>
      <c r="V197" s="129">
        <f>Q197*(1-U197)+S197</f>
        <v/>
      </c>
    </row>
    <row r="198" spans="1:22">
      <c r="A198" t="s">
        <v>333</v>
      </c>
      <c r="B198" t="s">
        <v>26</v>
      </c>
      <c r="C198" s="123" t="n">
        <v>35.20125159555258</v>
      </c>
      <c r="D198" s="88" t="n">
        <v>18.62930276164592</v>
      </c>
      <c r="E198" s="16" t="n">
        <v>0.4707772616812409</v>
      </c>
      <c r="F198" s="88" t="n">
        <v>-73.91607312837344</v>
      </c>
      <c r="G198" s="88" t="n">
        <v>-3.099813778715533</v>
      </c>
      <c r="H198" s="16" t="n">
        <v>-0.07709850581144762</v>
      </c>
      <c r="I198" s="16" t="n">
        <v>0.2557233894242468</v>
      </c>
      <c r="J198" s="16" t="n">
        <v>2.109208895146051</v>
      </c>
      <c r="K198" s="88" t="n">
        <v>-3.967731593291409</v>
      </c>
      <c r="L198" s="9" t="n">
        <v>18.62930276164592</v>
      </c>
      <c r="M198" s="18" t="n">
        <v>0.4707772616812409</v>
      </c>
      <c r="N198" s="9" t="n">
        <v>92.80113232878621</v>
      </c>
      <c r="O198" s="9" t="n">
        <v>1.636302066614897</v>
      </c>
      <c r="P198" s="9" t="n">
        <v>4.981460311002381</v>
      </c>
    </row>
    <row r="199" spans="1:22">
      <c r="B199" t="s">
        <v>28</v>
      </c>
      <c r="C199" s="124" t="n">
        <v>1.346442312589678</v>
      </c>
      <c r="D199" s="88" t="n">
        <v>0.907582231831895</v>
      </c>
      <c r="E199" s="16" t="n">
        <v>0.3259405001271107</v>
      </c>
      <c r="F199" s="88" t="n">
        <v>4.079284530930702</v>
      </c>
      <c r="G199" s="88" t="n">
        <v>2.029676424149813</v>
      </c>
      <c r="H199" s="16" t="n">
        <v>0.06016514441673193</v>
      </c>
      <c r="I199" s="16" t="n">
        <v>0.3722291231855361</v>
      </c>
      <c r="J199" s="16" t="n">
        <v>1.129888380604775</v>
      </c>
      <c r="K199" s="88" t="n">
        <v>4.494672094557133</v>
      </c>
      <c r="L199" s="9" t="n">
        <v>0.907582231831895</v>
      </c>
      <c r="M199" s="18" t="n">
        <v>0.3259405001271107</v>
      </c>
      <c r="N199" s="9" t="n">
        <v>4.079284530930702</v>
      </c>
      <c r="O199" s="9" t="n">
        <v>2.029676424149813</v>
      </c>
      <c r="P199" s="9" t="n">
        <v>4.494672094557133</v>
      </c>
    </row>
    <row r="200" spans="1:22">
      <c r="B200" t="s">
        <v>29</v>
      </c>
      <c r="C200" s="123" t="n">
        <v>2.09363485978357</v>
      </c>
      <c r="D200" s="88" t="n">
        <v>1.18856894527182</v>
      </c>
      <c r="E200" s="16" t="n">
        <v>0.4322940603908896</v>
      </c>
      <c r="F200" s="88" t="n">
        <v>5.384256516930712</v>
      </c>
      <c r="G200" s="88" t="n">
        <v>1.571726627386836</v>
      </c>
      <c r="H200" s="16" t="n">
        <v>-0.1858929016371708</v>
      </c>
      <c r="I200" s="16" t="n">
        <v>0.1822005997824734</v>
      </c>
      <c r="J200" s="16" t="n">
        <v>0.7668020858974434</v>
      </c>
      <c r="K200" s="88" t="n">
        <v>4.530032976504665</v>
      </c>
      <c r="L200" s="9" t="n">
        <v>1.18856894527182</v>
      </c>
      <c r="M200" s="18" t="n">
        <v>0.4322940603908896</v>
      </c>
      <c r="N200" s="9" t="n">
        <v>5.384256516930712</v>
      </c>
      <c r="O200" s="9" t="n">
        <v>1.571726627386836</v>
      </c>
      <c r="P200" s="9" t="n">
        <v>4.530032976504665</v>
      </c>
    </row>
    <row r="201" spans="1:22">
      <c r="C201" s="70" t="n"/>
      <c r="D201" s="88" t="n"/>
      <c r="F201" s="88" t="n"/>
      <c r="G201" s="88" t="n"/>
      <c r="K201" s="88" t="n"/>
      <c r="L201" s="9" t="n"/>
      <c r="N201" s="9" t="n"/>
      <c r="O201" s="9" t="n"/>
      <c r="P201" s="9" t="n"/>
    </row>
    <row r="202" spans="1:22">
      <c r="A202" t="s">
        <v>334</v>
      </c>
      <c r="B202" t="s">
        <v>24</v>
      </c>
      <c r="C202" s="123" t="n">
        <v>49.00585687214504</v>
      </c>
      <c r="D202" s="88" t="n">
        <v>21.44163490866742</v>
      </c>
      <c r="E202" s="16" t="n">
        <v>0.5624679114456039</v>
      </c>
      <c r="F202" s="88" t="n">
        <v>586.9310129534387</v>
      </c>
      <c r="G202" s="88" t="n">
        <v>10.97675238053129</v>
      </c>
      <c r="H202" s="16" t="n">
        <v>-0.3649677081718852</v>
      </c>
      <c r="I202" s="16" t="n">
        <v>0.09740566037735854</v>
      </c>
      <c r="J202" s="16" t="n">
        <v>1.368605449043379</v>
      </c>
      <c r="K202" s="88" t="n">
        <v>27.37342630137693</v>
      </c>
      <c r="L202" s="9" t="n">
        <v>32.12115220753183</v>
      </c>
      <c r="M202" s="18" t="n">
        <v>0.3445446267507362</v>
      </c>
      <c r="N202" s="9" t="n">
        <v>586.9310129534387</v>
      </c>
      <c r="O202" s="9" t="n">
        <v>10.97675238053129</v>
      </c>
      <c r="P202" s="9" t="n">
        <v>18.27241467433456</v>
      </c>
      <c r="Q202" s="131" t="n">
        <v>0.1533257242860257</v>
      </c>
      <c r="R202" s="131" t="n">
        <v>0.1533257242860257</v>
      </c>
      <c r="S202" s="131" t="n">
        <v>0.0004776425498361555</v>
      </c>
      <c r="U202" s="129">
        <f>C202*S202</f>
        <v/>
      </c>
      <c r="V202" s="42">
        <f>Q202*(1-U202)+S202</f>
        <v/>
      </c>
    </row>
    <row r="203" spans="1:22">
      <c r="A203" t="s">
        <v>335</v>
      </c>
      <c r="B203" t="s">
        <v>26</v>
      </c>
      <c r="C203" s="123" t="n">
        <v>49.00585687214504</v>
      </c>
      <c r="D203" s="88" t="n">
        <v>21.44163490866742</v>
      </c>
      <c r="E203" s="16" t="n">
        <v>0.5624679114456039</v>
      </c>
      <c r="F203" s="88" t="n">
        <v>586.9310129534387</v>
      </c>
      <c r="G203" s="88" t="n">
        <v>10.97675238053129</v>
      </c>
      <c r="H203" s="16" t="n">
        <v>-0.3672647654108938</v>
      </c>
      <c r="I203" s="16" t="n">
        <v>0.08964431895086955</v>
      </c>
      <c r="J203" s="16" t="n">
        <v>1.368605449043379</v>
      </c>
      <c r="K203" s="88" t="n">
        <v>27.37342630137693</v>
      </c>
      <c r="L203" s="9" t="n">
        <v>32.12115220753183</v>
      </c>
      <c r="M203" s="18" t="n">
        <v>0.3445446267507362</v>
      </c>
      <c r="N203" s="9" t="n">
        <v>586.9310129534387</v>
      </c>
      <c r="O203" s="9" t="n">
        <v>10.97675238053129</v>
      </c>
      <c r="P203" s="9" t="n">
        <v>18.27241467433456</v>
      </c>
    </row>
    <row r="204" spans="1:22">
      <c r="B204" t="s">
        <v>28</v>
      </c>
      <c r="C204" s="125" t="n">
        <v>7.513858499178948</v>
      </c>
      <c r="D204" s="88" t="n">
        <v>1.622593542462287</v>
      </c>
      <c r="E204" s="16" t="n">
        <v>0.7840532207733762</v>
      </c>
      <c r="F204" s="88" t="n">
        <v>23.41529753836229</v>
      </c>
      <c r="G204" s="88" t="n">
        <v>2.116281407338309</v>
      </c>
      <c r="H204" s="16" t="n">
        <v>-0.6549202172173649</v>
      </c>
      <c r="I204" s="16" t="n">
        <v>-0.1831847471168155</v>
      </c>
      <c r="J204" s="16" t="n">
        <v>0.108813092704293</v>
      </c>
      <c r="K204" s="88" t="n">
        <v>14.43078437427377</v>
      </c>
      <c r="L204" s="9" t="n">
        <v>1.625863277085965</v>
      </c>
      <c r="M204" s="18" t="n">
        <v>0.7836180602464599</v>
      </c>
      <c r="N204" s="9" t="n">
        <v>23.41529753836229</v>
      </c>
      <c r="O204" s="9" t="n">
        <v>2.116281407338309</v>
      </c>
      <c r="P204" s="9" t="n">
        <v>14.40176297008782</v>
      </c>
    </row>
    <row r="205" spans="1:22">
      <c r="B205" t="s">
        <v>29</v>
      </c>
      <c r="C205" s="125" t="n">
        <v>7.513858499178948</v>
      </c>
      <c r="D205" s="88" t="n">
        <v>1.622593542462287</v>
      </c>
      <c r="E205" s="16" t="n">
        <v>0.7840532207733762</v>
      </c>
      <c r="F205" s="88" t="n">
        <v>23.41529753836229</v>
      </c>
      <c r="G205" s="88" t="n">
        <v>2.116281407338309</v>
      </c>
      <c r="H205" s="16" t="n">
        <v>-0.6822139597153891</v>
      </c>
      <c r="I205" s="16" t="n">
        <v>-0.1831847471168155</v>
      </c>
      <c r="J205" s="16" t="n">
        <v>0.111662928337827</v>
      </c>
      <c r="K205" s="88" t="n">
        <v>14.43078437427377</v>
      </c>
      <c r="L205" s="9" t="n">
        <v>1.625863277085965</v>
      </c>
      <c r="M205" s="18" t="n">
        <v>0.7836180602464599</v>
      </c>
      <c r="N205" s="9" t="n">
        <v>23.41529753836229</v>
      </c>
      <c r="O205" s="9" t="n">
        <v>2.116281407338309</v>
      </c>
      <c r="P205" s="9" t="n">
        <v>14.40176297008782</v>
      </c>
    </row>
    <row r="206" spans="1:22">
      <c r="C206" s="70" t="n"/>
      <c r="D206" s="88" t="n"/>
      <c r="F206" s="88" t="n"/>
      <c r="G206" s="88" t="n"/>
      <c r="K206" s="88" t="n"/>
      <c r="L206" s="9" t="n"/>
      <c r="N206" s="9" t="n"/>
      <c r="O206" s="9" t="n"/>
      <c r="P206" s="9" t="n"/>
    </row>
    <row r="207" spans="1:22">
      <c r="A207" t="s">
        <v>336</v>
      </c>
      <c r="B207" t="s">
        <v>24</v>
      </c>
      <c r="C207" s="124" t="n">
        <v>17.87564385662729</v>
      </c>
      <c r="D207" s="88" t="n">
        <v>14.10684158691732</v>
      </c>
      <c r="E207" s="16" t="n">
        <v>0.2108344907706753</v>
      </c>
      <c r="F207" s="88" t="n">
        <v>60.25303510109902</v>
      </c>
      <c r="G207" s="88" t="n">
        <v>2.370677754846887</v>
      </c>
      <c r="H207" s="16" t="n">
        <v>0.008708293356211705</v>
      </c>
      <c r="I207" s="16" t="n">
        <v>0.6673617447954832</v>
      </c>
      <c r="J207" s="16" t="n">
        <v>1.580415872895282</v>
      </c>
      <c r="K207" s="88" t="n">
        <v>4.271192437361574</v>
      </c>
      <c r="L207" s="9" t="n">
        <v>14.10684158691732</v>
      </c>
      <c r="M207" s="18" t="n">
        <v>0.2108344907706753</v>
      </c>
      <c r="N207" s="9" t="n">
        <v>59.26414028130961</v>
      </c>
      <c r="O207" s="9" t="n">
        <v>2.315356960378117</v>
      </c>
      <c r="P207" s="9" t="n">
        <v>4.201092067006064</v>
      </c>
      <c r="Q207" s="131" t="n">
        <v>0.08458237645357257</v>
      </c>
      <c r="R207" s="131" t="n">
        <v>0.07453025709982407</v>
      </c>
      <c r="S207" s="131" t="n">
        <v>0.01620007837416804</v>
      </c>
      <c r="U207" s="129">
        <f>C207*S207</f>
        <v/>
      </c>
      <c r="V207" s="129">
        <f>Q207*(1-U207)+S207</f>
        <v/>
      </c>
    </row>
    <row r="208" spans="1:22">
      <c r="A208" t="s">
        <v>337</v>
      </c>
      <c r="B208" t="s">
        <v>26</v>
      </c>
      <c r="C208" s="123" t="n">
        <v>22.7097741207912</v>
      </c>
      <c r="D208" s="88" t="n">
        <v>16.88400090837999</v>
      </c>
      <c r="E208" s="16" t="n">
        <v>0.2565315348987823</v>
      </c>
      <c r="F208" s="88" t="n">
        <v>70.83584083541515</v>
      </c>
      <c r="G208" s="88" t="n">
        <v>2.119178573007633</v>
      </c>
      <c r="H208" s="16" t="n">
        <v>-0.03661194043172966</v>
      </c>
      <c r="I208" s="16" t="n">
        <v>0.3845389928595475</v>
      </c>
      <c r="J208" s="16" t="n">
        <v>1.278295623313859</v>
      </c>
      <c r="K208" s="88" t="n">
        <v>4.19544166218668</v>
      </c>
      <c r="L208" s="9" t="n">
        <v>17.46635487232665</v>
      </c>
      <c r="M208" s="18" t="n">
        <v>0.2308882167024333</v>
      </c>
      <c r="N208" s="9" t="n">
        <v>63.54911919789178</v>
      </c>
      <c r="O208" s="9" t="n">
        <v>1.798315776276764</v>
      </c>
      <c r="P208" s="9" t="n">
        <v>3.638373298974806</v>
      </c>
    </row>
    <row r="209" spans="1:22">
      <c r="B209" t="s">
        <v>28</v>
      </c>
      <c r="C209" s="124" t="n">
        <v>1.511964438031241</v>
      </c>
      <c r="D209" s="88" t="n">
        <v>1.118040690200738</v>
      </c>
      <c r="E209" s="16" t="n">
        <v>0.2605377070531095</v>
      </c>
      <c r="F209" s="88" t="n">
        <v>5.363000486923548</v>
      </c>
      <c r="G209" s="88" t="n">
        <v>2.547041419774937</v>
      </c>
      <c r="H209" s="16" t="n">
        <v>0.3268059507485428</v>
      </c>
      <c r="I209" s="16" t="n">
        <v>0.6796262949852205</v>
      </c>
      <c r="J209" s="16" t="n">
        <v>1.578917285372905</v>
      </c>
      <c r="K209" s="88" t="n">
        <v>4.796784709115238</v>
      </c>
      <c r="L209" s="9" t="n">
        <v>1.118040690200738</v>
      </c>
      <c r="M209" s="18" t="n">
        <v>0.2605377070531095</v>
      </c>
      <c r="N209" s="9" t="n">
        <v>5.363000486923548</v>
      </c>
      <c r="O209" s="9" t="n">
        <v>2.547041419774937</v>
      </c>
      <c r="P209" s="9" t="n">
        <v>4.796784709115238</v>
      </c>
    </row>
    <row r="210" spans="1:22">
      <c r="B210" t="s">
        <v>29</v>
      </c>
      <c r="C210" s="124" t="n">
        <v>1.692565303901499</v>
      </c>
      <c r="D210" s="88" t="n">
        <v>1.270104584670061</v>
      </c>
      <c r="E210" s="16" t="n">
        <v>0.2495978844997189</v>
      </c>
      <c r="F210" s="88" t="n">
        <v>5.093531118344994</v>
      </c>
      <c r="G210" s="88" t="n">
        <v>2.009355743381951</v>
      </c>
      <c r="H210" s="16" t="n">
        <v>0.215942815152586</v>
      </c>
      <c r="I210" s="16" t="n">
        <v>0.5599272695581852</v>
      </c>
      <c r="J210" s="16" t="n">
        <v>1.251268833067964</v>
      </c>
      <c r="K210" s="88" t="n">
        <v>4.010324173161028</v>
      </c>
      <c r="L210" s="9" t="n">
        <v>1.270104584670061</v>
      </c>
      <c r="M210" s="18" t="n">
        <v>0.2495978844997189</v>
      </c>
      <c r="N210" s="9" t="n">
        <v>4.903475455300353</v>
      </c>
      <c r="O210" s="9" t="n">
        <v>1.897067217434652</v>
      </c>
      <c r="P210" s="9" t="n">
        <v>3.860686367472757</v>
      </c>
    </row>
    <row r="211" spans="1:22">
      <c r="C211" s="70" t="n"/>
      <c r="D211" s="88" t="n"/>
      <c r="F211" s="88" t="n"/>
      <c r="G211" s="88" t="n"/>
      <c r="K211" s="88" t="n"/>
      <c r="L211" s="9" t="n"/>
      <c r="N211" s="9" t="n"/>
      <c r="O211" s="9" t="n"/>
      <c r="P211" s="9" t="n"/>
    </row>
    <row r="212" spans="1:22">
      <c r="A212" t="s">
        <v>338</v>
      </c>
      <c r="B212" t="s">
        <v>24</v>
      </c>
      <c r="C212" s="124" t="n">
        <v>16.77006958108193</v>
      </c>
      <c r="D212" s="88" t="n">
        <v>12.63107691069949</v>
      </c>
      <c r="E212" s="16" t="n">
        <v>0.246808318258356</v>
      </c>
      <c r="F212" s="88" t="n">
        <v>209.9023591485601</v>
      </c>
      <c r="G212" s="88" t="n">
        <v>11.51648707440951</v>
      </c>
      <c r="H212" s="16" t="n">
        <v>0.341910415802761</v>
      </c>
      <c r="I212" s="16" t="n">
        <v>1.270658961476281</v>
      </c>
      <c r="J212" s="16" t="n">
        <v>2.776560866947691</v>
      </c>
      <c r="K212" s="88" t="n">
        <v>16.61793057175963</v>
      </c>
      <c r="L212" s="9" t="n">
        <v>12.63107691069949</v>
      </c>
      <c r="M212" s="18" t="n">
        <v>0.246808318258356</v>
      </c>
      <c r="N212" s="9" t="n">
        <v>209.9023591485601</v>
      </c>
      <c r="O212" s="9" t="n">
        <v>11.51648707440951</v>
      </c>
      <c r="P212" s="9" t="n">
        <v>16.61793057175963</v>
      </c>
      <c r="Q212" s="131" t="n">
        <v>0.1079978822095486</v>
      </c>
      <c r="R212" s="131" t="n">
        <v>0.05687483710829323</v>
      </c>
      <c r="S212" s="131" t="n">
        <v>0.01198993011276414</v>
      </c>
      <c r="U212" s="129">
        <f>C212*S212</f>
        <v/>
      </c>
      <c r="V212" s="129">
        <f>Q212*(1-U212)+S212</f>
        <v/>
      </c>
    </row>
    <row r="213" spans="1:22">
      <c r="A213" t="s">
        <v>339</v>
      </c>
      <c r="B213" t="s">
        <v>26</v>
      </c>
      <c r="C213" s="123" t="n">
        <v>32.84894029337362</v>
      </c>
      <c r="D213" s="88" t="n">
        <v>20.74118641174742</v>
      </c>
      <c r="E213" s="16" t="n">
        <v>0.3685888729892638</v>
      </c>
      <c r="F213" s="88" t="n">
        <v>-576.6926641469602</v>
      </c>
      <c r="G213" s="88" t="n">
        <v>-18.55589857683453</v>
      </c>
      <c r="H213" s="16" t="n">
        <v>-0.004049404918260335</v>
      </c>
      <c r="I213" s="16" t="n">
        <v>0.3186394552996548</v>
      </c>
      <c r="J213" s="16" t="n">
        <v>1.673095961406634</v>
      </c>
      <c r="K213" s="88" t="n">
        <v>-27.80422742935922</v>
      </c>
      <c r="L213" s="9" t="n">
        <v>23.43696010873882</v>
      </c>
      <c r="M213" s="18" t="n">
        <v>0.2865230993930544</v>
      </c>
      <c r="N213" s="9" t="n">
        <v>-576.6926641469602</v>
      </c>
      <c r="O213" s="9" t="n">
        <v>-18.55589857683453</v>
      </c>
      <c r="P213" s="9" t="n">
        <v>-24.60612048112553</v>
      </c>
    </row>
    <row r="214" spans="1:22">
      <c r="B214" t="s">
        <v>28</v>
      </c>
      <c r="C214" s="124" t="n">
        <v>1.811131999263621</v>
      </c>
      <c r="D214" s="88" t="n">
        <v>1.146556294502968</v>
      </c>
      <c r="E214" s="16" t="n">
        <v>0.3669394086299947</v>
      </c>
      <c r="F214" s="88" t="n">
        <v>6.891847907266164</v>
      </c>
      <c r="G214" s="88" t="n">
        <v>2.805270907956066</v>
      </c>
      <c r="H214" s="16" t="n">
        <v>0.005439659668351027</v>
      </c>
      <c r="I214" s="16" t="n">
        <v>0.377078685816965</v>
      </c>
      <c r="J214" s="16" t="n">
        <v>1.536068212654795</v>
      </c>
      <c r="K214" s="88" t="n">
        <v>6.010911056272017</v>
      </c>
      <c r="L214" s="9" t="n">
        <v>1.146556294502968</v>
      </c>
      <c r="M214" s="18" t="n">
        <v>0.3669394086299947</v>
      </c>
      <c r="N214" s="9" t="n">
        <v>5.908985580309255</v>
      </c>
      <c r="O214" s="9" t="n">
        <v>2.262592446443307</v>
      </c>
      <c r="P214" s="9" t="n">
        <v>5.153681165625454</v>
      </c>
    </row>
    <row r="215" spans="1:22">
      <c r="B215" t="s">
        <v>29</v>
      </c>
      <c r="C215" s="124" t="n">
        <v>1.868278128365675</v>
      </c>
      <c r="D215" s="88" t="n">
        <v>1.35119892602449</v>
      </c>
      <c r="E215" s="16" t="n">
        <v>0.2767677866001211</v>
      </c>
      <c r="F215" s="88" t="n">
        <v>7.852134676006294</v>
      </c>
      <c r="G215" s="88" t="n">
        <v>3.202872450728283</v>
      </c>
      <c r="H215" s="16" t="n">
        <v>0.09017013517427008</v>
      </c>
      <c r="I215" s="16" t="n">
        <v>0.5820567850850418</v>
      </c>
      <c r="J215" s="16" t="n">
        <v>1.315433728801449</v>
      </c>
      <c r="K215" s="88" t="n">
        <v>5.811235137011926</v>
      </c>
      <c r="L215" s="9" t="n">
        <v>1.35119892602449</v>
      </c>
      <c r="M215" s="18" t="n">
        <v>0.2767677866001211</v>
      </c>
      <c r="N215" s="9" t="n">
        <v>7.852134676006294</v>
      </c>
      <c r="O215" s="9" t="n">
        <v>3.202872450728283</v>
      </c>
      <c r="P215" s="9" t="n">
        <v>5.811235137011926</v>
      </c>
    </row>
    <row r="216" spans="1:22">
      <c r="C216" s="70" t="n"/>
      <c r="D216" s="88" t="n"/>
      <c r="F216" s="88" t="n"/>
      <c r="G216" s="88" t="n"/>
      <c r="K216" s="88" t="n"/>
      <c r="L216" s="9" t="n"/>
      <c r="N216" s="9" t="n"/>
      <c r="O216" s="9" t="n"/>
      <c r="P216" s="9" t="n"/>
    </row>
    <row r="217" spans="1:22">
      <c r="A217" t="s">
        <v>225</v>
      </c>
      <c r="B217" t="s">
        <v>24</v>
      </c>
      <c r="C217" s="124" t="n">
        <v>24.74944409505174</v>
      </c>
      <c r="D217" s="88" t="n">
        <v>19.15168160973291</v>
      </c>
      <c r="E217" s="16" t="n">
        <v>0.2261773017535376</v>
      </c>
      <c r="F217" s="88" t="n">
        <v>73.97198796415113</v>
      </c>
      <c r="G217" s="88" t="n">
        <v>1.988834322098599</v>
      </c>
      <c r="H217" s="16" t="n">
        <v>0.06109270240545972</v>
      </c>
      <c r="I217" s="16" t="n">
        <v>0.4007042789806556</v>
      </c>
      <c r="J217" s="16" t="n">
        <v>0.8331832212933812</v>
      </c>
      <c r="K217" s="88" t="n">
        <v>3.862427826001371</v>
      </c>
      <c r="L217" s="9" t="n">
        <v>19.15168160973291</v>
      </c>
      <c r="M217" s="18" t="n">
        <v>0.2261773017535376</v>
      </c>
      <c r="N217" s="9" t="n">
        <v>65.14799618050175</v>
      </c>
      <c r="O217" s="9" t="n">
        <v>1.632301393530171</v>
      </c>
      <c r="P217" s="9" t="n">
        <v>3.401685424187161</v>
      </c>
      <c r="Q217" s="131" t="n">
        <v>0.1024620716234355</v>
      </c>
      <c r="R217" s="131" t="n">
        <v>0.08089160178709212</v>
      </c>
      <c r="S217" s="131" t="n">
        <v>0.01384038065488527</v>
      </c>
      <c r="U217" s="129">
        <f>C217*S217</f>
        <v/>
      </c>
      <c r="V217" s="129">
        <f>Q217*(1-U217)+S217</f>
        <v/>
      </c>
    </row>
    <row r="218" spans="1:22">
      <c r="A218" t="s">
        <v>340</v>
      </c>
      <c r="B218" t="s">
        <v>26</v>
      </c>
      <c r="C218" s="124" t="n">
        <v>27.81109677118365</v>
      </c>
      <c r="D218" s="88" t="n">
        <v>20.71225057470881</v>
      </c>
      <c r="E218" s="16" t="n">
        <v>0.2552522920933589</v>
      </c>
      <c r="F218" s="88" t="n">
        <v>103.8876812424982</v>
      </c>
      <c r="G218" s="88" t="n">
        <v>2.735475882063774</v>
      </c>
      <c r="H218" s="16" t="n">
        <v>0.1674834063546389</v>
      </c>
      <c r="I218" s="16" t="n">
        <v>0.6023403989709668</v>
      </c>
      <c r="J218" s="16" t="n">
        <v>1.236222994419518</v>
      </c>
      <c r="K218" s="88" t="n">
        <v>5.015760159321013</v>
      </c>
      <c r="L218" s="9" t="n">
        <v>20.71225057470881</v>
      </c>
      <c r="M218" s="18" t="n">
        <v>0.2552522920933589</v>
      </c>
      <c r="N218" s="9" t="n">
        <v>103.8876812424982</v>
      </c>
      <c r="O218" s="9" t="n">
        <v>2.735475882063774</v>
      </c>
      <c r="P218" s="9" t="n">
        <v>5.015760159321013</v>
      </c>
    </row>
    <row r="219" spans="1:22">
      <c r="B219" t="s">
        <v>28</v>
      </c>
      <c r="C219" s="123" t="n">
        <v>2.535879313507403</v>
      </c>
      <c r="D219" s="88" t="n">
        <v>1.980485396332136</v>
      </c>
      <c r="E219" s="16" t="n">
        <v>0.2190143332992829</v>
      </c>
      <c r="F219" s="88" t="n">
        <v>5.949468581684741</v>
      </c>
      <c r="G219" s="88" t="n">
        <v>1.34611661130512</v>
      </c>
      <c r="H219" s="16" t="n">
        <v>-0.01963148513953383</v>
      </c>
      <c r="I219" s="16" t="n">
        <v>0.2361130928954935</v>
      </c>
      <c r="J219" s="16" t="n">
        <v>0.6708817238140659</v>
      </c>
      <c r="K219" s="88" t="n">
        <v>3.004045671178981</v>
      </c>
      <c r="L219" s="9" t="n">
        <v>1.980485396332136</v>
      </c>
      <c r="M219" s="18" t="n">
        <v>0.2190143332992829</v>
      </c>
      <c r="N219" s="9" t="n">
        <v>5.193881863367686</v>
      </c>
      <c r="O219" s="9" t="n">
        <v>1.048158142109677</v>
      </c>
      <c r="P219" s="9" t="n">
        <v>2.622529745983873</v>
      </c>
    </row>
    <row r="220" spans="1:22">
      <c r="B220" t="s">
        <v>29</v>
      </c>
      <c r="C220" s="124" t="n">
        <v>2.249684165276871</v>
      </c>
      <c r="D220" s="88" t="n">
        <v>1.694528119686111</v>
      </c>
      <c r="E220" s="16" t="n">
        <v>0.2467706597038865</v>
      </c>
      <c r="F220" s="88" t="n">
        <v>6.126335415685185</v>
      </c>
      <c r="G220" s="88" t="n">
        <v>1.723197998298224</v>
      </c>
      <c r="H220" s="16" t="n">
        <v>0.163983924336695</v>
      </c>
      <c r="I220" s="16" t="n">
        <v>0.4531822209925886</v>
      </c>
      <c r="J220" s="16" t="n">
        <v>0.8977719364026397</v>
      </c>
      <c r="K220" s="88" t="n">
        <v>3.615363678249263</v>
      </c>
      <c r="L220" s="9" t="n">
        <v>1.694528119686111</v>
      </c>
      <c r="M220" s="18" t="n">
        <v>0.2467706597038865</v>
      </c>
      <c r="N220" s="9" t="n">
        <v>6.126335415685185</v>
      </c>
      <c r="O220" s="9" t="n">
        <v>1.723197998298224</v>
      </c>
      <c r="P220" s="9" t="n">
        <v>3.615363678249263</v>
      </c>
    </row>
    <row r="221" spans="1:22">
      <c r="C221" s="70" t="n"/>
      <c r="D221" s="88" t="n"/>
      <c r="F221" s="88" t="n"/>
      <c r="G221" s="88" t="n"/>
      <c r="K221" s="88" t="n"/>
      <c r="L221" s="9" t="n"/>
      <c r="N221" s="9" t="n"/>
      <c r="O221" s="9" t="n"/>
      <c r="P221" s="9" t="n"/>
    </row>
    <row r="222" spans="1:22">
      <c r="A222" t="s">
        <v>227</v>
      </c>
      <c r="B222" t="s">
        <v>24</v>
      </c>
      <c r="C222" s="125" t="n">
        <v>51.38253531004858</v>
      </c>
      <c r="D222" s="88" t="n">
        <v>22.82199395889356</v>
      </c>
      <c r="E222" s="16" t="n">
        <v>0.5558414192452198</v>
      </c>
      <c r="F222" s="88" t="n">
        <v>-362.794492130551</v>
      </c>
      <c r="G222" s="88" t="n">
        <v>-8.060657671743989</v>
      </c>
      <c r="H222" s="16" t="n">
        <v>-0.4035339243777154</v>
      </c>
      <c r="I222" s="16" t="n">
        <v>-0.02460305572292143</v>
      </c>
      <c r="J222" s="16" t="n">
        <v>0.3108514898601309</v>
      </c>
      <c r="K222" s="88" t="n">
        <v>-15.89670441522366</v>
      </c>
      <c r="L222" s="9" t="n">
        <v>22.82199395889356</v>
      </c>
      <c r="M222" s="18" t="n">
        <v>0.5558414192452198</v>
      </c>
      <c r="N222" s="9" t="n">
        <v>152.0870919480063</v>
      </c>
      <c r="O222" s="9" t="n">
        <v>1.959898553667973</v>
      </c>
      <c r="P222" s="9" t="n">
        <v>6.664058023235921</v>
      </c>
      <c r="Q222" s="131" t="n">
        <v>0.0840390186174082</v>
      </c>
      <c r="R222" s="131" t="n">
        <v>0.0327219834422313</v>
      </c>
      <c r="S222" s="131" t="n">
        <v>0.007951682282976618</v>
      </c>
      <c r="U222" s="129">
        <f>C222*S222</f>
        <v/>
      </c>
      <c r="V222" s="129">
        <f>Q222*(1-U222)+S222</f>
        <v/>
      </c>
    </row>
    <row r="223" spans="1:22">
      <c r="A223" t="s">
        <v>341</v>
      </c>
      <c r="B223" t="s">
        <v>26</v>
      </c>
      <c r="C223" s="125" t="n">
        <v>88.63049371584918</v>
      </c>
      <c r="D223" s="88" t="n">
        <v>38.73442831911632</v>
      </c>
      <c r="E223" s="16" t="n">
        <v>0.5629672509407482</v>
      </c>
      <c r="F223" s="88" t="n">
        <v>-732.1221790607019</v>
      </c>
      <c r="G223" s="88" t="n">
        <v>-9.260387010907303</v>
      </c>
      <c r="H223" s="16" t="n">
        <v>-0.4031338700824969</v>
      </c>
      <c r="I223" s="16" t="n">
        <v>-0.1701513233289085</v>
      </c>
      <c r="J223" s="16" t="n">
        <v>0.5994141311405499</v>
      </c>
      <c r="K223" s="88" t="n">
        <v>-18.90107098080967</v>
      </c>
      <c r="L223" s="9" t="n">
        <v>40.61777944251502</v>
      </c>
      <c r="M223" s="18" t="n">
        <v>0.5417177797436593</v>
      </c>
      <c r="N223" s="9" t="n">
        <v>304.7868027575918</v>
      </c>
      <c r="O223" s="9" t="n">
        <v>2.438848075637977</v>
      </c>
      <c r="P223" s="9" t="n">
        <v>7.503778073071334</v>
      </c>
    </row>
    <row r="224" spans="1:22">
      <c r="B224" t="s">
        <v>28</v>
      </c>
      <c r="C224" s="125" t="n">
        <v>4.318137841530807</v>
      </c>
      <c r="D224" s="88" t="n">
        <v>2.352366288685905</v>
      </c>
      <c r="E224" s="16" t="n">
        <v>0.4552359431277495</v>
      </c>
      <c r="F224" s="88" t="n">
        <v>6.933566616828951</v>
      </c>
      <c r="G224" s="88" t="n">
        <v>0.6056844110309731</v>
      </c>
      <c r="H224" s="16" t="n">
        <v>-0.2973847394358169</v>
      </c>
      <c r="I224" s="16" t="n">
        <v>-0.1510729033384517</v>
      </c>
      <c r="J224" s="16" t="n">
        <v>0.1058096803983721</v>
      </c>
      <c r="K224" s="88" t="n">
        <v>2.94748596346457</v>
      </c>
      <c r="L224" s="9" t="n">
        <v>2.352366288685905</v>
      </c>
      <c r="M224" s="18" t="n">
        <v>0.4552359431277495</v>
      </c>
      <c r="N224" s="9" t="n">
        <v>6.933566616828951</v>
      </c>
      <c r="O224" s="9" t="n">
        <v>0.6056844110309731</v>
      </c>
      <c r="P224" s="9" t="n">
        <v>2.94748596346457</v>
      </c>
    </row>
    <row r="225" spans="1:22">
      <c r="B225" t="s">
        <v>29</v>
      </c>
      <c r="C225" s="123" t="n">
        <v>2.900165547846802</v>
      </c>
      <c r="D225" s="88" t="n">
        <v>1.784896125635191</v>
      </c>
      <c r="E225" s="16" t="n">
        <v>0.3845537104044394</v>
      </c>
      <c r="F225" s="88" t="n">
        <v>7.508162493532406</v>
      </c>
      <c r="G225" s="88" t="n">
        <v>1.588873762432894</v>
      </c>
      <c r="H225" s="16" t="n">
        <v>-0.02201271730322063</v>
      </c>
      <c r="I225" s="16" t="n">
        <v>0.2472816695294955</v>
      </c>
      <c r="J225" s="16" t="n">
        <v>0.5929184273378769</v>
      </c>
      <c r="K225" s="88" t="n">
        <v>4.206498286201656</v>
      </c>
      <c r="L225" s="9" t="n">
        <v>1.784896125635191</v>
      </c>
      <c r="M225" s="18" t="n">
        <v>0.3845537104044394</v>
      </c>
      <c r="N225" s="9" t="n">
        <v>7.508162493532406</v>
      </c>
      <c r="O225" s="9" t="n">
        <v>1.588873762432894</v>
      </c>
      <c r="P225" s="9" t="n">
        <v>4.206498286201656</v>
      </c>
    </row>
    <row r="226" spans="1:22">
      <c r="C226" s="70" t="n"/>
      <c r="D226" s="88" t="n"/>
      <c r="F226" s="88" t="n"/>
      <c r="G226" s="88" t="n"/>
      <c r="K226" s="88" t="n"/>
      <c r="L226" s="9" t="n"/>
      <c r="N226" s="9" t="n"/>
      <c r="O226" s="9" t="n"/>
      <c r="P226" s="9" t="n"/>
    </row>
    <row r="227" spans="1:22">
      <c r="A227" t="s">
        <v>342</v>
      </c>
      <c r="B227" t="s">
        <v>24</v>
      </c>
      <c r="C227" s="125" t="n">
        <v>44.52349744189631</v>
      </c>
      <c r="D227" s="88" t="n">
        <v>29.83572563080176</v>
      </c>
      <c r="E227" s="16" t="n">
        <v>0.3298880962858379</v>
      </c>
      <c r="F227" s="88" t="n">
        <v>-118.3882552743984</v>
      </c>
      <c r="G227" s="88" t="n">
        <v>-3.659006189459767</v>
      </c>
      <c r="H227" s="16" t="n">
        <v>-0.1820978352377882</v>
      </c>
      <c r="I227" s="16" t="n">
        <v>-0.06212784411630057</v>
      </c>
      <c r="J227" s="16" t="n">
        <v>0.2540596732037277</v>
      </c>
      <c r="K227" s="88" t="n">
        <v>-3.968003216659725</v>
      </c>
      <c r="L227" s="9" t="n">
        <v>29.83572563080176</v>
      </c>
      <c r="M227" s="18" t="n">
        <v>0.3298880962858379</v>
      </c>
      <c r="N227" s="9" t="n">
        <v>65.44065533208483</v>
      </c>
      <c r="O227" s="9" t="n">
        <v>0.469800422068946</v>
      </c>
      <c r="P227" s="9" t="n">
        <v>2.193365636280195</v>
      </c>
      <c r="Q227" s="131" t="n">
        <v>0.11485469153616</v>
      </c>
      <c r="R227" s="131" t="n">
        <v>0.04376454208028958</v>
      </c>
      <c r="S227" s="131" t="n">
        <v>0.01939186679274728</v>
      </c>
      <c r="U227" s="129">
        <f>C227*S227</f>
        <v/>
      </c>
      <c r="V227" s="129">
        <f>Q227*(1-U227)+S227</f>
        <v/>
      </c>
    </row>
    <row r="228" spans="1:22">
      <c r="A228" t="s">
        <v>343</v>
      </c>
      <c r="B228" t="s">
        <v>26</v>
      </c>
      <c r="C228" s="123" t="n">
        <v>73.54449243700414</v>
      </c>
      <c r="D228" s="88" t="n">
        <v>37.29769822617014</v>
      </c>
      <c r="E228" s="16" t="n">
        <v>0.4928553180495717</v>
      </c>
      <c r="F228" s="88" t="n">
        <v>-100.9095004538077</v>
      </c>
      <c r="G228" s="88" t="n">
        <v>-2.372087794884757</v>
      </c>
      <c r="H228" s="16" t="n">
        <v>-0.238670459051139</v>
      </c>
      <c r="I228" s="16" t="n">
        <v>0.02001965308568177</v>
      </c>
      <c r="J228" s="16" t="n">
        <v>0.5580577160185995</v>
      </c>
      <c r="K228" s="88" t="n">
        <v>-2.705515494331604</v>
      </c>
      <c r="L228" s="9" t="n">
        <v>37.29769822617014</v>
      </c>
      <c r="M228" s="18" t="n">
        <v>0.4928553180495717</v>
      </c>
      <c r="N228" s="9" t="n">
        <v>272.5006725193488</v>
      </c>
      <c r="O228" s="9" t="n">
        <v>2.705249210235071</v>
      </c>
      <c r="P228" s="9" t="n">
        <v>7.306098914386816</v>
      </c>
    </row>
    <row r="229" spans="1:22">
      <c r="B229" t="s">
        <v>28</v>
      </c>
      <c r="C229" s="125" t="n">
        <v>5.11373256480001</v>
      </c>
      <c r="D229" s="88" t="n">
        <v>2.655830795198697</v>
      </c>
      <c r="E229" s="16" t="n">
        <v>0.4806473037952931</v>
      </c>
      <c r="F229" s="88" t="n">
        <v>7.875042317512622</v>
      </c>
      <c r="G229" s="88" t="n">
        <v>0.539979304299149</v>
      </c>
      <c r="H229" s="16" t="n">
        <v>-0.2268740788011331</v>
      </c>
      <c r="I229" s="16" t="n">
        <v>-0.1029225059602505</v>
      </c>
      <c r="J229" s="16" t="n">
        <v>0.01662732727456118</v>
      </c>
      <c r="K229" s="88" t="n">
        <v>2.965189774796421</v>
      </c>
      <c r="L229" s="9" t="n">
        <v>3.474374700830604</v>
      </c>
      <c r="M229" s="18" t="n">
        <v>0.3205795068857924</v>
      </c>
      <c r="N229" s="9" t="n">
        <v>7.875042317512622</v>
      </c>
      <c r="O229" s="9" t="n">
        <v>0.539979304299149</v>
      </c>
      <c r="P229" s="9" t="n">
        <v>2.266607086342751</v>
      </c>
    </row>
    <row r="230" spans="1:22">
      <c r="B230" t="s">
        <v>29</v>
      </c>
      <c r="C230" s="123" t="n">
        <v>3.218641034032807</v>
      </c>
      <c r="D230" s="88" t="n">
        <v>2.133728181527199</v>
      </c>
      <c r="E230" s="16" t="n">
        <v>0.3370717147498312</v>
      </c>
      <c r="F230" s="88" t="n">
        <v>6.970263776879859</v>
      </c>
      <c r="G230" s="88" t="n">
        <v>1.165592156186005</v>
      </c>
      <c r="H230" s="16" t="n">
        <v>-0.119943253036087</v>
      </c>
      <c r="I230" s="16" t="n">
        <v>0.1455879417598163</v>
      </c>
      <c r="J230" s="16" t="n">
        <v>0.3956534412938979</v>
      </c>
      <c r="K230" s="88" t="n">
        <v>3.266706526738073</v>
      </c>
      <c r="L230" s="9" t="n">
        <v>2.24192958774177</v>
      </c>
      <c r="M230" s="18" t="n">
        <v>0.3034546058301081</v>
      </c>
      <c r="N230" s="9" t="n">
        <v>6.970263776879859</v>
      </c>
      <c r="O230" s="9" t="n">
        <v>1.165592156186005</v>
      </c>
      <c r="P230" s="9" t="n">
        <v>3.109046695753189</v>
      </c>
    </row>
    <row r="231" spans="1:22">
      <c r="C231" s="70" t="n"/>
      <c r="D231" s="88" t="n"/>
      <c r="F231" s="88" t="n"/>
      <c r="G231" s="88" t="n"/>
      <c r="K231" s="88" t="n"/>
      <c r="L231" s="9" t="n"/>
      <c r="N231" s="9" t="n"/>
      <c r="O231" s="9" t="n"/>
      <c r="P231" s="9" t="n"/>
    </row>
    <row r="232" spans="1:22">
      <c r="A232" s="22" t="s">
        <v>344</v>
      </c>
      <c r="B232" t="s">
        <v>24</v>
      </c>
      <c r="C232" s="125" t="n">
        <v>31.71150538970489</v>
      </c>
      <c r="D232" s="88" t="n">
        <v>11.04830995684832</v>
      </c>
      <c r="E232" s="16" t="n">
        <v>0.6515993226724852</v>
      </c>
      <c r="F232" s="88" t="n">
        <v>47.67289862721617</v>
      </c>
      <c r="G232" s="88" t="n">
        <v>0.5033313001499173</v>
      </c>
      <c r="H232" s="16" t="n">
        <v>-0.4160317426410899</v>
      </c>
      <c r="I232" s="16" t="n">
        <v>-0.1324362573867437</v>
      </c>
      <c r="J232" s="16" t="n">
        <v>0.1468342866622592</v>
      </c>
      <c r="K232" s="88" t="n">
        <v>4.31494941881731</v>
      </c>
      <c r="L232" s="9" t="n">
        <v>12.54393517296053</v>
      </c>
      <c r="M232" s="18" t="n">
        <v>0.6044358342876743</v>
      </c>
      <c r="N232" s="9" t="n">
        <v>40.57054320264032</v>
      </c>
      <c r="O232" s="9" t="n">
        <v>0.2793635213486743</v>
      </c>
      <c r="P232" s="9" t="n">
        <v>3.234275579651703</v>
      </c>
      <c r="Q232" s="131" t="n">
        <v>0.2025168506643021</v>
      </c>
      <c r="R232" s="131" t="n">
        <v>0.04529657167197302</v>
      </c>
      <c r="S232" s="131" t="n">
        <v>0.01601276800102471</v>
      </c>
      <c r="U232" s="129">
        <f>C232*S232</f>
        <v/>
      </c>
      <c r="V232" s="42">
        <f>Q232*(1-U232)+S232</f>
        <v/>
      </c>
    </row>
    <row r="233" spans="1:22">
      <c r="A233" t="s">
        <v>345</v>
      </c>
      <c r="B233" t="s">
        <v>26</v>
      </c>
      <c r="C233" s="126" t="n">
        <v>72.86254641273169</v>
      </c>
      <c r="D233" s="88" t="n">
        <v>21.57142501299463</v>
      </c>
      <c r="E233" s="16" t="n">
        <v>0.7039435749225293</v>
      </c>
      <c r="F233" s="88" t="n">
        <v>127.2987549030853</v>
      </c>
      <c r="G233" s="88" t="n">
        <v>0.7471082355809848</v>
      </c>
      <c r="H233" s="16" t="n">
        <v>-0.4151126008903714</v>
      </c>
      <c r="I233" s="16" t="n">
        <v>-0.2621030607253252</v>
      </c>
      <c r="J233" s="16" t="n">
        <v>-0.1052455634852418</v>
      </c>
      <c r="K233" s="88" t="n">
        <v>5.901267757062897</v>
      </c>
      <c r="L233" s="9" t="n">
        <v>26.05854339824716</v>
      </c>
      <c r="M233" s="18" t="n">
        <v>0.6423602429341695</v>
      </c>
      <c r="N233" s="9" t="n">
        <v>85.72429515795231</v>
      </c>
      <c r="O233" s="9" t="n">
        <v>0.1765207143923426</v>
      </c>
      <c r="P233" s="9" t="n">
        <v>3.289681002036307</v>
      </c>
    </row>
    <row r="234" spans="1:22">
      <c r="B234" t="s">
        <v>28</v>
      </c>
      <c r="C234" s="125" t="n">
        <v>6.422114201347078</v>
      </c>
      <c r="D234" s="88" t="n">
        <v>2.620326219381661</v>
      </c>
      <c r="E234" s="16" t="n">
        <v>0.5919838643118444</v>
      </c>
      <c r="F234" s="88" t="n">
        <v>10.22894310563261</v>
      </c>
      <c r="G234" s="88" t="n">
        <v>0.5927687962146526</v>
      </c>
      <c r="H234" s="16" t="n">
        <v>-0.4376629050316904</v>
      </c>
      <c r="I234" s="16" t="n">
        <v>-0.1969373022738571</v>
      </c>
      <c r="J234" s="16" t="n">
        <v>0.1692312483112286</v>
      </c>
      <c r="K234" s="88" t="n">
        <v>3.90369070460487</v>
      </c>
      <c r="L234" s="9" t="n">
        <v>2.620326219381661</v>
      </c>
      <c r="M234" s="18" t="n">
        <v>0.5919838643118444</v>
      </c>
      <c r="N234" s="9" t="n">
        <v>7.073845787743145</v>
      </c>
      <c r="O234" s="9" t="n">
        <v>0.1014824037634463</v>
      </c>
      <c r="P234" s="9" t="n">
        <v>2.699605009261945</v>
      </c>
    </row>
    <row r="235" spans="1:22">
      <c r="B235" t="s">
        <v>29</v>
      </c>
      <c r="C235" s="123" t="n">
        <v>3.300423555786761</v>
      </c>
      <c r="D235" s="88" t="n">
        <v>2.280049143081277</v>
      </c>
      <c r="E235" s="16" t="n">
        <v>0.3091646861253377</v>
      </c>
      <c r="F235" s="88" t="n">
        <v>7.780772490175345</v>
      </c>
      <c r="G235" s="88" t="n">
        <v>1.357507258888942</v>
      </c>
      <c r="H235" s="16" t="n">
        <v>-0.05675258759697199</v>
      </c>
      <c r="I235" s="16" t="n">
        <v>0.1709548049159342</v>
      </c>
      <c r="J235" s="16" t="n">
        <v>0.6473444490773768</v>
      </c>
      <c r="K235" s="88" t="n">
        <v>3.412545959277153</v>
      </c>
      <c r="L235" s="9" t="n">
        <v>2.280049143081277</v>
      </c>
      <c r="M235" s="18" t="n">
        <v>0.3091646861253377</v>
      </c>
      <c r="N235" s="9" t="n">
        <v>6.043354887204192</v>
      </c>
      <c r="O235" s="9" t="n">
        <v>0.8310846426387128</v>
      </c>
      <c r="P235" s="9" t="n">
        <v>2.650537119141719</v>
      </c>
    </row>
    <row r="236" spans="1:22">
      <c r="C236" s="70" t="n"/>
      <c r="D236" s="88" t="n"/>
      <c r="F236" s="88" t="n"/>
      <c r="G236" s="88" t="n"/>
      <c r="K236" s="88" t="n"/>
      <c r="L236" s="9" t="n"/>
      <c r="N236" s="9" t="n"/>
      <c r="O236" s="9" t="n"/>
      <c r="P236" s="9" t="n"/>
    </row>
    <row r="237" spans="1:22">
      <c r="A237" t="s">
        <v>346</v>
      </c>
      <c r="B237" t="s">
        <v>24</v>
      </c>
      <c r="C237" s="126" t="n">
        <v>33.51757057672503</v>
      </c>
      <c r="D237" s="88" t="n">
        <v>18.65438095999945</v>
      </c>
      <c r="E237" s="16" t="n">
        <v>0.4434447175311311</v>
      </c>
      <c r="F237" s="88" t="n">
        <v>-18.93848461522704</v>
      </c>
      <c r="G237" s="88" t="n">
        <v>-1.565031542840343</v>
      </c>
      <c r="H237" s="16" t="n">
        <v>0.6226959624950172</v>
      </c>
      <c r="I237" s="16" t="n">
        <v>11.85863808015891</v>
      </c>
      <c r="J237" s="16" t="n">
        <v>-6.467373544821256</v>
      </c>
      <c r="K237" s="88" t="n">
        <v>-1.01522986240266</v>
      </c>
      <c r="L237" s="9" t="n">
        <v>28.32669572118492</v>
      </c>
      <c r="M237" s="18" t="n">
        <v>0.1548702595749797</v>
      </c>
      <c r="N237" s="9" t="n">
        <v>-164.2838864944755</v>
      </c>
      <c r="O237" s="9" t="n">
        <v>-5.90142583927476</v>
      </c>
      <c r="P237" s="9" t="n">
        <v>-5.799613485155316</v>
      </c>
      <c r="Q237" s="131" t="n">
        <v>0.08209654068853024</v>
      </c>
      <c r="R237" s="131" t="n">
        <v>0.06887727266564207</v>
      </c>
      <c r="S237" s="131" t="n">
        <v>0.005578902193867415</v>
      </c>
      <c r="U237" s="129">
        <f>C237*S237</f>
        <v/>
      </c>
      <c r="V237" s="129">
        <f>Q237*(1-U237)+S237</f>
        <v/>
      </c>
    </row>
    <row r="238" spans="1:22">
      <c r="A238" t="s">
        <v>347</v>
      </c>
      <c r="B238" t="s">
        <v>26</v>
      </c>
      <c r="C238" s="126" t="n">
        <v>34.64150443454858</v>
      </c>
      <c r="D238" s="88" t="n">
        <v>21.47499635620956</v>
      </c>
      <c r="E238" s="16" t="n">
        <v>0.3800789917544065</v>
      </c>
      <c r="F238" s="88" t="n">
        <v>-22.61435710988052</v>
      </c>
      <c r="G238" s="88" t="n">
        <v>-1.652811056535028</v>
      </c>
      <c r="H238" s="16" t="n">
        <v>0.6881984055531951</v>
      </c>
      <c r="I238" s="16" t="n">
        <v>39.62975237416967</v>
      </c>
      <c r="J238" s="16" t="n">
        <v>-3.823446651558821</v>
      </c>
      <c r="K238" s="88" t="n">
        <v>-1.053055224539841</v>
      </c>
      <c r="L238" s="9" t="n">
        <v>26.98179308890317</v>
      </c>
      <c r="M238" s="18" t="n">
        <v>0.2211137036533046</v>
      </c>
      <c r="N238" s="9" t="n">
        <v>-35.24619632829462</v>
      </c>
      <c r="O238" s="9" t="n">
        <v>-2.017455705334291</v>
      </c>
      <c r="P238" s="9" t="n">
        <v>-1.306295553159154</v>
      </c>
    </row>
    <row r="239" spans="1:22">
      <c r="B239" t="s">
        <v>28</v>
      </c>
      <c r="C239" s="123" t="n">
        <v>2.751676596632791</v>
      </c>
      <c r="D239" s="88" t="n">
        <v>1.818775944997095</v>
      </c>
      <c r="E239" s="16" t="n">
        <v>0.3390299037238899</v>
      </c>
      <c r="F239" s="88" t="n">
        <v>6.6984374850386</v>
      </c>
      <c r="G239" s="88" t="n">
        <v>1.43431131886481</v>
      </c>
      <c r="H239" s="16" t="n">
        <v>-0.05951106714302612</v>
      </c>
      <c r="I239" s="16" t="n">
        <v>0.1224912781576093</v>
      </c>
      <c r="J239" s="16" t="n">
        <v>0.3695194400616506</v>
      </c>
      <c r="K239" s="88" t="n">
        <v>3.682937144327198</v>
      </c>
      <c r="L239" s="9" t="n">
        <v>1.818775944997095</v>
      </c>
      <c r="M239" s="18" t="n">
        <v>0.3390299037238899</v>
      </c>
      <c r="N239" s="9" t="n">
        <v>6.6984374850386</v>
      </c>
      <c r="O239" s="9" t="n">
        <v>1.43431131886481</v>
      </c>
      <c r="P239" s="9" t="n">
        <v>3.682937144327198</v>
      </c>
    </row>
    <row r="240" spans="1:22">
      <c r="B240" t="s">
        <v>29</v>
      </c>
      <c r="C240" s="124" t="n">
        <v>2.386012346486452</v>
      </c>
      <c r="D240" s="88" t="n">
        <v>1.725983733320521</v>
      </c>
      <c r="E240" s="16" t="n">
        <v>0.2766241399118756</v>
      </c>
      <c r="F240" s="88" t="n">
        <v>6.354617610081037</v>
      </c>
      <c r="G240" s="88" t="n">
        <v>1.66327943333512</v>
      </c>
      <c r="H240" s="16" t="n">
        <v>0.1302416134218076</v>
      </c>
      <c r="I240" s="16" t="n">
        <v>0.3328252821572026</v>
      </c>
      <c r="J240" s="16" t="n">
        <v>0.7069800833191757</v>
      </c>
      <c r="K240" s="88" t="n">
        <v>3.681736674224475</v>
      </c>
      <c r="L240" s="9" t="n">
        <v>1.725983733320521</v>
      </c>
      <c r="M240" s="18" t="n">
        <v>0.2766241399118756</v>
      </c>
      <c r="N240" s="9" t="n">
        <v>6.354617610081037</v>
      </c>
      <c r="O240" s="9" t="n">
        <v>1.66327943333512</v>
      </c>
      <c r="P240" s="9" t="n">
        <v>3.681736674224475</v>
      </c>
    </row>
    <row r="241" spans="1:22">
      <c r="C241" s="70" t="n"/>
      <c r="D241" s="88" t="n"/>
      <c r="F241" s="88" t="n"/>
      <c r="G241" s="88" t="n"/>
      <c r="K241" s="88" t="n"/>
      <c r="L241" s="9" t="n"/>
      <c r="N241" s="9" t="n"/>
      <c r="O241" s="9" t="n"/>
      <c r="P241" s="9" t="n"/>
    </row>
    <row r="242" spans="1:22">
      <c r="A242" t="s">
        <v>348</v>
      </c>
      <c r="B242" t="s">
        <v>24</v>
      </c>
      <c r="C242" s="124" t="n">
        <v>31.7385441143819</v>
      </c>
      <c r="D242" s="88" t="n">
        <v>15.36706198093198</v>
      </c>
      <c r="E242" s="16" t="n">
        <v>0.5158233495036528</v>
      </c>
      <c r="F242" s="88" t="n">
        <v>106.8845237784642</v>
      </c>
      <c r="G242" s="88" t="n">
        <v>2.367656795890361</v>
      </c>
      <c r="H242" s="16" t="n">
        <v>0.0002170125184610683</v>
      </c>
      <c r="I242" s="16" t="n">
        <v>0.3947996314531597</v>
      </c>
      <c r="J242" s="16" t="n">
        <v>0.940838366386205</v>
      </c>
      <c r="K242" s="88" t="n">
        <v>6.955429991177916</v>
      </c>
      <c r="L242" s="9" t="n">
        <v>15.36706198093198</v>
      </c>
      <c r="M242" s="18" t="n">
        <v>0.5158233495036528</v>
      </c>
      <c r="N242" s="9" t="n">
        <v>106.8845237784642</v>
      </c>
      <c r="O242" s="9" t="n">
        <v>2.367656795890361</v>
      </c>
      <c r="P242" s="9" t="n">
        <v>6.955429991177916</v>
      </c>
      <c r="Q242" s="131" t="n">
        <v>0.09724371767464046</v>
      </c>
      <c r="R242" s="131" t="n">
        <v>0.09241188416913662</v>
      </c>
      <c r="S242" s="131" t="n">
        <v>0.007541281980455719</v>
      </c>
      <c r="U242" s="129">
        <f>C242*S242</f>
        <v/>
      </c>
      <c r="V242" s="129">
        <f>Q242*(1-U242)+S242</f>
        <v/>
      </c>
    </row>
    <row r="243" spans="1:22">
      <c r="A243" t="s">
        <v>349</v>
      </c>
      <c r="B243" t="s">
        <v>26</v>
      </c>
      <c r="C243" s="124" t="n">
        <v>29.22076687180858</v>
      </c>
      <c r="D243" s="88" t="n">
        <v>20.80894667988096</v>
      </c>
      <c r="E243" s="16" t="n">
        <v>0.2878713015585884</v>
      </c>
      <c r="F243" s="88" t="n">
        <v>-38.45271409917106</v>
      </c>
      <c r="G243" s="88" t="n">
        <v>-2.315937883076889</v>
      </c>
      <c r="H243" s="16" t="n">
        <v>0.3152968381759842</v>
      </c>
      <c r="I243" s="16" t="n">
        <v>1.02464270174137</v>
      </c>
      <c r="J243" s="16" t="n">
        <v>4.3749498679955</v>
      </c>
      <c r="K243" s="88" t="n">
        <v>-1.84789334562277</v>
      </c>
      <c r="L243" s="9" t="n">
        <v>20.80894667988096</v>
      </c>
      <c r="M243" s="18" t="n">
        <v>0.2878713015585884</v>
      </c>
      <c r="N243" s="9" t="n">
        <v>103.9508536996327</v>
      </c>
      <c r="O243" s="9" t="n">
        <v>2.557430718901554</v>
      </c>
      <c r="P243" s="9" t="n">
        <v>4.995488493424664</v>
      </c>
    </row>
    <row r="244" spans="1:22">
      <c r="B244" t="s">
        <v>28</v>
      </c>
      <c r="C244" s="124" t="n">
        <v>3.086374023263075</v>
      </c>
      <c r="D244" s="88" t="n">
        <v>2.302238881327534</v>
      </c>
      <c r="E244" s="16" t="n">
        <v>0.2540635503102481</v>
      </c>
      <c r="F244" s="88" t="n">
        <v>9.552414421314342</v>
      </c>
      <c r="G244" s="88" t="n">
        <v>2.095028129874886</v>
      </c>
      <c r="H244" s="16" t="n">
        <v>0.1837245892716688</v>
      </c>
      <c r="I244" s="16" t="n">
        <v>0.5538169421533705</v>
      </c>
      <c r="J244" s="16" t="n">
        <v>0.9672562918619916</v>
      </c>
      <c r="K244" s="88" t="n">
        <v>4.149184734386103</v>
      </c>
      <c r="L244" s="9" t="n">
        <v>2.302238881327534</v>
      </c>
      <c r="M244" s="18" t="n">
        <v>0.2540635503102481</v>
      </c>
      <c r="N244" s="9" t="n">
        <v>9.552414421314342</v>
      </c>
      <c r="O244" s="9" t="n">
        <v>2.095028129874886</v>
      </c>
      <c r="P244" s="9" t="n">
        <v>4.149184734386103</v>
      </c>
    </row>
    <row r="245" spans="1:22">
      <c r="B245" t="s">
        <v>29</v>
      </c>
      <c r="C245" s="124" t="n">
        <v>2.700346123490919</v>
      </c>
      <c r="D245" s="88" t="n">
        <v>1.910534482254372</v>
      </c>
      <c r="E245" s="16" t="n">
        <v>0.2924853352560245</v>
      </c>
      <c r="F245" s="88" t="n">
        <v>10.0555257717961</v>
      </c>
      <c r="G245" s="88" t="n">
        <v>2.723791437075719</v>
      </c>
      <c r="H245" s="16" t="n">
        <v>0.02888052221509252</v>
      </c>
      <c r="I245" s="16" t="n">
        <v>0.2880947519537684</v>
      </c>
      <c r="J245" s="16" t="n">
        <v>0.5583883488291808</v>
      </c>
      <c r="K245" s="88" t="n">
        <v>5.263200358431054</v>
      </c>
      <c r="L245" s="9" t="n">
        <v>1.910534482254372</v>
      </c>
      <c r="M245" s="18" t="n">
        <v>0.2924853352560245</v>
      </c>
      <c r="N245" s="9" t="n">
        <v>10.0555257717961</v>
      </c>
      <c r="O245" s="9" t="n">
        <v>2.723791437075719</v>
      </c>
      <c r="P245" s="9" t="n">
        <v>5.263200358431054</v>
      </c>
    </row>
    <row r="246" spans="1:22">
      <c r="C246" s="70" t="n"/>
      <c r="D246" s="88" t="n"/>
      <c r="F246" s="88" t="n"/>
      <c r="G246" s="88" t="n"/>
      <c r="K246" s="88" t="n"/>
      <c r="L246" s="9" t="n"/>
      <c r="N246" s="9" t="n"/>
      <c r="O246" s="9" t="n"/>
      <c r="P246" s="9" t="n"/>
    </row>
    <row r="247" spans="1:22">
      <c r="A247" t="s">
        <v>350</v>
      </c>
      <c r="B247" t="s">
        <v>24</v>
      </c>
      <c r="C247" s="123" t="n">
        <v>44.43476142519907</v>
      </c>
      <c r="D247" s="88" t="n">
        <v>28.22072251629065</v>
      </c>
      <c r="E247" s="16" t="n">
        <v>0.36489537445144</v>
      </c>
      <c r="F247" s="88" t="n">
        <v>145.4886839153618</v>
      </c>
      <c r="G247" s="88" t="n">
        <v>2.274208733184618</v>
      </c>
      <c r="H247" s="16" t="n">
        <v>-0.03718076297042405</v>
      </c>
      <c r="I247" s="16" t="n">
        <v>0.3870245423982384</v>
      </c>
      <c r="J247" s="16" t="n">
        <v>0.6567448319571965</v>
      </c>
      <c r="K247" s="88" t="n">
        <v>5.155384800349361</v>
      </c>
      <c r="L247" s="9" t="n">
        <v>32.79545492506336</v>
      </c>
      <c r="M247" s="18" t="n">
        <v>0.2619414648985834</v>
      </c>
      <c r="N247" s="9" t="n">
        <v>145.4886839153618</v>
      </c>
      <c r="O247" s="9" t="n">
        <v>2.274208733184618</v>
      </c>
      <c r="P247" s="9" t="n">
        <v>4.436245334842864</v>
      </c>
      <c r="Q247" s="131" t="n">
        <v>0.139605498450619</v>
      </c>
      <c r="R247" s="131" t="n">
        <v>0.07394410343984573</v>
      </c>
      <c r="S247" s="131" t="n">
        <v>0.004090043925301066</v>
      </c>
      <c r="U247" s="129">
        <f>C247*S247</f>
        <v/>
      </c>
      <c r="V247" s="129">
        <f>Q247*(1-U247)+S247</f>
        <v/>
      </c>
    </row>
    <row r="248" spans="1:22">
      <c r="A248" t="s">
        <v>351</v>
      </c>
      <c r="B248" t="s">
        <v>26</v>
      </c>
      <c r="C248" s="123" t="n">
        <v>47.6795889283664</v>
      </c>
      <c r="D248" s="88" t="n">
        <v>31.41769438957861</v>
      </c>
      <c r="E248" s="16" t="n">
        <v>0.3410661648786358</v>
      </c>
      <c r="F248" s="88" t="n">
        <v>163.0016447567473</v>
      </c>
      <c r="G248" s="88" t="n">
        <v>2.418688130924121</v>
      </c>
      <c r="H248" s="16" t="n">
        <v>-0.003646790049432247</v>
      </c>
      <c r="I248" s="16" t="n">
        <v>0.4988463756204418</v>
      </c>
      <c r="J248" s="16" t="n">
        <v>0.7470464179311629</v>
      </c>
      <c r="K248" s="88" t="n">
        <v>5.188211545237251</v>
      </c>
      <c r="L248" s="9" t="n">
        <v>35.55881758636248</v>
      </c>
      <c r="M248" s="18" t="n">
        <v>0.2542130000368525</v>
      </c>
      <c r="N248" s="9" t="n">
        <v>163.0016447567473</v>
      </c>
      <c r="O248" s="9" t="n">
        <v>2.418688130924121</v>
      </c>
      <c r="P248" s="9" t="n">
        <v>4.584000701397387</v>
      </c>
    </row>
    <row r="249" spans="1:22">
      <c r="B249" t="s">
        <v>28</v>
      </c>
      <c r="C249" s="125" t="n">
        <v>6.203337017299252</v>
      </c>
      <c r="D249" s="88" t="n">
        <v>2.97366757429706</v>
      </c>
      <c r="E249" s="16" t="n">
        <v>0.5206342060725719</v>
      </c>
      <c r="F249" s="88" t="n">
        <v>15.4243502769694</v>
      </c>
      <c r="G249" s="88" t="n">
        <v>1.486460147813265</v>
      </c>
      <c r="H249" s="16" t="n">
        <v>-0.2626485529982807</v>
      </c>
      <c r="I249" s="16" t="n">
        <v>-0.08173580657179003</v>
      </c>
      <c r="J249" s="16" t="n">
        <v>0.1941149039373147</v>
      </c>
      <c r="K249" s="88" t="n">
        <v>5.186978669132354</v>
      </c>
      <c r="L249" s="9" t="n">
        <v>3.34625551876663</v>
      </c>
      <c r="M249" s="18" t="n">
        <v>0.4605717036757919</v>
      </c>
      <c r="N249" s="9" t="n">
        <v>15.4243502769694</v>
      </c>
      <c r="O249" s="9" t="n">
        <v>1.486460147813265</v>
      </c>
      <c r="P249" s="9" t="n">
        <v>4.609435887506443</v>
      </c>
    </row>
    <row r="250" spans="1:22">
      <c r="B250" t="s">
        <v>29</v>
      </c>
      <c r="C250" s="124" t="n">
        <v>3.525624455688448</v>
      </c>
      <c r="D250" s="88" t="n">
        <v>2.419497686296018</v>
      </c>
      <c r="E250" s="16" t="n">
        <v>0.3137392491159235</v>
      </c>
      <c r="F250" s="88" t="n">
        <v>14.6616987006083</v>
      </c>
      <c r="G250" s="88" t="n">
        <v>3.15861044898082</v>
      </c>
      <c r="H250" s="16" t="n">
        <v>0.0213342848331306</v>
      </c>
      <c r="I250" s="16" t="n">
        <v>0.3950892860712121</v>
      </c>
      <c r="J250" s="16" t="n">
        <v>0.7868296494947855</v>
      </c>
      <c r="K250" s="88" t="n">
        <v>6.059811002776253</v>
      </c>
      <c r="L250" s="9" t="n">
        <v>2.419497686296018</v>
      </c>
      <c r="M250" s="18" t="n">
        <v>0.3137392491159235</v>
      </c>
      <c r="N250" s="9" t="n">
        <v>14.6616987006083</v>
      </c>
      <c r="O250" s="9" t="n">
        <v>3.15861044898082</v>
      </c>
      <c r="P250" s="9" t="n">
        <v>6.059811002776253</v>
      </c>
    </row>
    <row r="251" spans="1:22">
      <c r="C251" s="70" t="n"/>
      <c r="D251" s="88" t="n"/>
      <c r="F251" s="88" t="n"/>
      <c r="G251" s="88" t="n"/>
      <c r="K251" s="88" t="n"/>
      <c r="L251" s="9" t="n"/>
      <c r="N251" s="9" t="n"/>
      <c r="O251" s="9" t="n"/>
      <c r="P251" s="9" t="n"/>
    </row>
    <row r="252" spans="1:22">
      <c r="A252" t="s">
        <v>352</v>
      </c>
      <c r="B252" t="s">
        <v>24</v>
      </c>
      <c r="C252" s="125" t="n">
        <v>74.409628085782</v>
      </c>
      <c r="D252" s="88" t="n">
        <v>35.31258813089995</v>
      </c>
      <c r="E252" s="16" t="n">
        <v>0.5254298531073105</v>
      </c>
      <c r="F252" s="88" t="n">
        <v>168.4665527883051</v>
      </c>
      <c r="G252" s="88" t="n">
        <v>1.264042397767276</v>
      </c>
      <c r="H252" s="16" t="n">
        <v>-0.2508549490835796</v>
      </c>
      <c r="I252" s="16" t="n">
        <v>-0.02854664843414245</v>
      </c>
      <c r="J252" s="16" t="n">
        <v>0.3141254298511313</v>
      </c>
      <c r="K252" s="88" t="n">
        <v>4.770722331759366</v>
      </c>
      <c r="L252" s="9" t="n">
        <v>46.70874962482119</v>
      </c>
      <c r="M252" s="18" t="n">
        <v>0.3722754591519565</v>
      </c>
      <c r="N252" s="9" t="n">
        <v>168.4665527883051</v>
      </c>
      <c r="O252" s="9" t="n">
        <v>1.264042397767276</v>
      </c>
      <c r="P252" s="9" t="n">
        <v>3.606745077559975</v>
      </c>
      <c r="Q252" s="131" t="n">
        <v>0.09628124284855814</v>
      </c>
      <c r="R252" s="131" t="n">
        <v>0.04788834232485423</v>
      </c>
      <c r="S252" s="131" t="n">
        <v>0.003485893755032931</v>
      </c>
      <c r="U252" s="129">
        <f>C252*S252</f>
        <v/>
      </c>
      <c r="V252" s="129">
        <f>Q252*(1-U252)+S252</f>
        <v/>
      </c>
    </row>
    <row r="253" spans="1:22">
      <c r="A253" t="s">
        <v>353</v>
      </c>
      <c r="B253" t="s">
        <v>26</v>
      </c>
      <c r="C253" s="125" t="n">
        <v>76.38255967461579</v>
      </c>
      <c r="D253" s="88" t="n">
        <v>36.45052969798003</v>
      </c>
      <c r="E253" s="16" t="n">
        <v>0.5227898900841152</v>
      </c>
      <c r="F253" s="88" t="n">
        <v>2923.232491436679</v>
      </c>
      <c r="G253" s="88" t="n">
        <v>37.27094174232231</v>
      </c>
      <c r="H253" s="16" t="n">
        <v>-0.3291204129019656</v>
      </c>
      <c r="I253" s="16" t="n">
        <v>-0.02976231101627047</v>
      </c>
      <c r="J253" s="16" t="n">
        <v>0.4564761576255727</v>
      </c>
      <c r="K253" s="88" t="n">
        <v>80.19725682062378</v>
      </c>
      <c r="L253" s="9" t="n">
        <v>41.62584321797887</v>
      </c>
      <c r="M253" s="18" t="n">
        <v>0.4550347174105979</v>
      </c>
      <c r="N253" s="9" t="n">
        <v>2923.232491436679</v>
      </c>
      <c r="O253" s="9" t="n">
        <v>37.27094174232231</v>
      </c>
      <c r="P253" s="9" t="n">
        <v>70.22638499186216</v>
      </c>
    </row>
    <row r="254" spans="1:22">
      <c r="B254" t="s">
        <v>28</v>
      </c>
      <c r="C254" s="123" t="n">
        <v>7.16425147199807</v>
      </c>
      <c r="D254" s="88" t="n">
        <v>4.910441498868655</v>
      </c>
      <c r="E254" s="16" t="n">
        <v>0.3145911309700076</v>
      </c>
      <c r="F254" s="88" t="n">
        <v>28.36955940651239</v>
      </c>
      <c r="G254" s="88" t="n">
        <v>2.959877667247807</v>
      </c>
      <c r="H254" s="16" t="n">
        <v>-0.058821110139057</v>
      </c>
      <c r="I254" s="16" t="n">
        <v>0.1916469219259564</v>
      </c>
      <c r="J254" s="16" t="n">
        <v>0.4902101621853667</v>
      </c>
      <c r="K254" s="88" t="n">
        <v>5.777394845870501</v>
      </c>
      <c r="L254" s="9" t="n">
        <v>5.401138918473564</v>
      </c>
      <c r="M254" s="18" t="n">
        <v>0.246098641346656</v>
      </c>
      <c r="N254" s="9" t="n">
        <v>28.36955940651239</v>
      </c>
      <c r="O254" s="9" t="n">
        <v>2.959877667247807</v>
      </c>
      <c r="P254" s="9" t="n">
        <v>5.252514300174678</v>
      </c>
    </row>
    <row r="255" spans="1:22">
      <c r="B255" t="s">
        <v>29</v>
      </c>
      <c r="C255" s="124" t="n">
        <v>3.657834165346608</v>
      </c>
      <c r="D255" s="88" t="n">
        <v>2.707192209088924</v>
      </c>
      <c r="E255" s="16" t="n">
        <v>0.2598920326306273</v>
      </c>
      <c r="F255" s="88" t="n">
        <v>28.08399729626401</v>
      </c>
      <c r="G255" s="88" t="n">
        <v>6.677766685631807</v>
      </c>
      <c r="H255" s="16" t="n">
        <v>0.567161354986681</v>
      </c>
      <c r="I255" s="16" t="n">
        <v>1.300713313892051</v>
      </c>
      <c r="J255" s="16" t="n">
        <v>1.989113181589282</v>
      </c>
      <c r="K255" s="88" t="n">
        <v>10.37384682254068</v>
      </c>
      <c r="L255" s="9" t="n">
        <v>2.707192209088924</v>
      </c>
      <c r="M255" s="18" t="n">
        <v>0.2598920326306273</v>
      </c>
      <c r="N255" s="9" t="n">
        <v>28.08399729626401</v>
      </c>
      <c r="O255" s="9" t="n">
        <v>6.677766685631807</v>
      </c>
      <c r="P255" s="9" t="n">
        <v>10.37384682254068</v>
      </c>
    </row>
    <row r="256" spans="1:22">
      <c r="C256" s="70" t="n"/>
      <c r="D256" s="88" t="n"/>
      <c r="F256" s="88" t="n"/>
      <c r="G256" s="88" t="n"/>
      <c r="K256" s="88" t="n"/>
      <c r="L256" s="9" t="n"/>
      <c r="N256" s="9" t="n"/>
      <c r="O256" s="9" t="n"/>
      <c r="P256" s="9" t="n"/>
    </row>
    <row r="257" spans="1:22">
      <c r="A257" t="s">
        <v>354</v>
      </c>
      <c r="B257" t="s">
        <v>24</v>
      </c>
      <c r="C257" s="123" t="n">
        <v>29.68648146935366</v>
      </c>
      <c r="D257" s="88" t="n">
        <v>14.95543108354745</v>
      </c>
      <c r="E257" s="16" t="n">
        <v>0.4962208270122399</v>
      </c>
      <c r="F257" s="88" t="n">
        <v>108.2491529275684</v>
      </c>
      <c r="G257" s="88" t="n">
        <v>2.646412359083968</v>
      </c>
      <c r="H257" s="16" t="n">
        <v>-0.2119604886705632</v>
      </c>
      <c r="I257" s="16" t="n">
        <v>0.1117492463475531</v>
      </c>
      <c r="J257" s="16" t="n">
        <v>0.5677701780720403</v>
      </c>
      <c r="K257" s="88" t="n">
        <v>7.238116529228892</v>
      </c>
      <c r="L257" s="9" t="n">
        <v>19.3471532653618</v>
      </c>
      <c r="M257" s="18" t="n">
        <v>0.3482840569929277</v>
      </c>
      <c r="N257" s="9" t="n">
        <v>108.2491529275684</v>
      </c>
      <c r="O257" s="9" t="n">
        <v>2.646412359083968</v>
      </c>
      <c r="P257" s="9" t="n">
        <v>5.595094608640559</v>
      </c>
      <c r="Q257" s="131" t="n">
        <v>0.105553500934247</v>
      </c>
      <c r="R257" s="131" t="n">
        <v>0.09186498310214282</v>
      </c>
      <c r="S257" s="131" t="n">
        <v>0.01007984355279927</v>
      </c>
      <c r="U257" s="129">
        <f>C257*S257</f>
        <v/>
      </c>
      <c r="V257" s="129">
        <f>Q257*(1-U257)+S257</f>
        <v/>
      </c>
    </row>
    <row r="258" spans="1:22">
      <c r="A258" t="s">
        <v>355</v>
      </c>
      <c r="B258" t="s">
        <v>26</v>
      </c>
      <c r="C258" s="124" t="n">
        <v>31.19642024927047</v>
      </c>
      <c r="D258" s="88" t="n">
        <v>21.54290812726935</v>
      </c>
      <c r="E258" s="16" t="n">
        <v>0.3094429439296604</v>
      </c>
      <c r="F258" s="88" t="n">
        <v>174.4481482319497</v>
      </c>
      <c r="G258" s="88" t="n">
        <v>4.59192839556741</v>
      </c>
      <c r="H258" s="16" t="n">
        <v>0.1121277299018111</v>
      </c>
      <c r="I258" s="16" t="n">
        <v>0.422549654241039</v>
      </c>
      <c r="J258" s="16" t="n">
        <v>0.9380468034535603</v>
      </c>
      <c r="K258" s="88" t="n">
        <v>8.097706549243949</v>
      </c>
      <c r="L258" s="9" t="n">
        <v>21.54290812726935</v>
      </c>
      <c r="M258" s="18" t="n">
        <v>0.3094429439296604</v>
      </c>
      <c r="N258" s="9" t="n">
        <v>174.4481482319497</v>
      </c>
      <c r="O258" s="9" t="n">
        <v>4.59192839556741</v>
      </c>
      <c r="P258" s="9" t="n">
        <v>8.097706549243949</v>
      </c>
    </row>
    <row r="259" spans="1:22">
      <c r="B259" t="s">
        <v>28</v>
      </c>
      <c r="C259" s="123" t="n">
        <v>3.133512049509928</v>
      </c>
      <c r="D259" s="88" t="n">
        <v>1.935173641998182</v>
      </c>
      <c r="E259" s="16" t="n">
        <v>0.3824266154327259</v>
      </c>
      <c r="F259" s="88" t="n">
        <v>6.731567346503969</v>
      </c>
      <c r="G259" s="88" t="n">
        <v>1.148250027491283</v>
      </c>
      <c r="H259" s="16" t="n">
        <v>-0.1488398268435177</v>
      </c>
      <c r="I259" s="16" t="n">
        <v>0.06912784723549792</v>
      </c>
      <c r="J259" s="16" t="n">
        <v>0.4184935655139737</v>
      </c>
      <c r="K259" s="88" t="n">
        <v>3.478534019072947</v>
      </c>
      <c r="L259" s="9" t="n">
        <v>1.980806017583095</v>
      </c>
      <c r="M259" s="18" t="n">
        <v>0.3678639219233615</v>
      </c>
      <c r="N259" s="9" t="n">
        <v>6.731567346503969</v>
      </c>
      <c r="O259" s="9" t="n">
        <v>1.148250027491283</v>
      </c>
      <c r="P259" s="9" t="n">
        <v>3.398398069649229</v>
      </c>
    </row>
    <row r="260" spans="1:22">
      <c r="B260" t="s">
        <v>29</v>
      </c>
      <c r="C260" s="123" t="n">
        <v>2.865858619046578</v>
      </c>
      <c r="D260" s="88" t="n">
        <v>1.916405256961111</v>
      </c>
      <c r="E260" s="16" t="n">
        <v>0.3312980465174984</v>
      </c>
      <c r="F260" s="88" t="n">
        <v>6.695258685760934</v>
      </c>
      <c r="G260" s="88" t="n">
        <v>1.336213880637396</v>
      </c>
      <c r="H260" s="16" t="n">
        <v>-0.1027387071949255</v>
      </c>
      <c r="I260" s="16" t="n">
        <v>0.1468971490669526</v>
      </c>
      <c r="J260" s="16" t="n">
        <v>0.4728652922169605</v>
      </c>
      <c r="K260" s="88" t="n">
        <v>3.493654936209977</v>
      </c>
      <c r="L260" s="9" t="n">
        <v>1.916405256961111</v>
      </c>
      <c r="M260" s="18" t="n">
        <v>0.3312980465174984</v>
      </c>
      <c r="N260" s="9" t="n">
        <v>6.695258685760934</v>
      </c>
      <c r="O260" s="9" t="n">
        <v>1.336213880637396</v>
      </c>
      <c r="P260" s="9" t="n">
        <v>3.493654936209977</v>
      </c>
    </row>
    <row r="261" spans="1:22">
      <c r="C261" s="70" t="n"/>
      <c r="D261" s="88" t="n"/>
      <c r="F261" s="88" t="n"/>
      <c r="G261" s="88" t="n"/>
      <c r="K261" s="88" t="n"/>
      <c r="L261" s="9" t="n"/>
      <c r="N261" s="9" t="n"/>
      <c r="O261" s="9" t="n"/>
      <c r="P261" s="9" t="n"/>
    </row>
    <row r="262" spans="1:22">
      <c r="A262" t="s">
        <v>356</v>
      </c>
      <c r="B262" t="s">
        <v>24</v>
      </c>
      <c r="C262" s="125" t="n">
        <v>38.12387214740677</v>
      </c>
      <c r="D262" s="88" t="n">
        <v>22.82846424706506</v>
      </c>
      <c r="E262" s="16" t="n">
        <v>0.40120289568703</v>
      </c>
      <c r="F262" s="88" t="n">
        <v>86.30566479137002</v>
      </c>
      <c r="G262" s="88" t="n">
        <v>1.263822112760931</v>
      </c>
      <c r="H262" s="16" t="n">
        <v>-0.1492872628498481</v>
      </c>
      <c r="I262" s="16" t="n">
        <v>-0.0313464145163449</v>
      </c>
      <c r="J262" s="16" t="n">
        <v>0.08568799714417485</v>
      </c>
      <c r="K262" s="88" t="n">
        <v>3.780616333070495</v>
      </c>
      <c r="L262" s="9" t="n">
        <v>22.82846424706506</v>
      </c>
      <c r="M262" s="18" t="n">
        <v>0.40120289568703</v>
      </c>
      <c r="N262" s="9" t="n">
        <v>86.30566479137002</v>
      </c>
      <c r="O262" s="9" t="n">
        <v>1.263822112760931</v>
      </c>
      <c r="P262" s="9" t="n">
        <v>3.780616333070495</v>
      </c>
      <c r="Q262" s="131" t="n">
        <v>0.09383646381141934</v>
      </c>
      <c r="R262" s="131" t="n">
        <v>0.07439941397989157</v>
      </c>
      <c r="S262" s="131" t="n">
        <v>0.009625896196619568</v>
      </c>
      <c r="U262" s="129">
        <f>C262*S262</f>
        <v/>
      </c>
      <c r="V262" s="129">
        <f>Q262*(1-U262)+S262</f>
        <v/>
      </c>
    </row>
    <row r="263" spans="1:22">
      <c r="A263" t="s">
        <v>357</v>
      </c>
      <c r="B263" t="s">
        <v>26</v>
      </c>
      <c r="C263" s="124" t="n">
        <v>38.2295311485831</v>
      </c>
      <c r="D263" s="88" t="n">
        <v>23.54011157030173</v>
      </c>
      <c r="E263" s="16" t="n">
        <v>0.384242734267114</v>
      </c>
      <c r="F263" s="88" t="n">
        <v>144.4500644944771</v>
      </c>
      <c r="G263" s="88" t="n">
        <v>2.778494272740535</v>
      </c>
      <c r="H263" s="16" t="n">
        <v>0.09271591374661581</v>
      </c>
      <c r="I263" s="16" t="n">
        <v>0.4445973941631707</v>
      </c>
      <c r="J263" s="16" t="n">
        <v>0.6849108635550432</v>
      </c>
      <c r="K263" s="88" t="n">
        <v>6.136337292331094</v>
      </c>
      <c r="L263" s="9" t="n">
        <v>23.54011157030173</v>
      </c>
      <c r="M263" s="18" t="n">
        <v>0.384242734267114</v>
      </c>
      <c r="N263" s="9" t="n">
        <v>113.5443399274931</v>
      </c>
      <c r="O263" s="9" t="n">
        <v>1.970068858186909</v>
      </c>
      <c r="P263" s="9" t="n">
        <v>4.823441026963565</v>
      </c>
    </row>
    <row r="264" spans="1:22">
      <c r="B264" t="s">
        <v>28</v>
      </c>
      <c r="C264" s="123" t="n">
        <v>3.577409349111313</v>
      </c>
      <c r="D264" s="88" t="n">
        <v>2.534296761599133</v>
      </c>
      <c r="E264" s="16" t="n">
        <v>0.2915832340437379</v>
      </c>
      <c r="F264" s="88" t="n">
        <v>7.180686020659532</v>
      </c>
      <c r="G264" s="88" t="n">
        <v>1.007230741554173</v>
      </c>
      <c r="H264" s="16" t="n">
        <v>-0.03100050427559264</v>
      </c>
      <c r="I264" s="16" t="n">
        <v>0.1160941111122553</v>
      </c>
      <c r="J264" s="16" t="n">
        <v>0.4086377979664939</v>
      </c>
      <c r="K264" s="88" t="n">
        <v>2.833403778698964</v>
      </c>
      <c r="L264" s="9" t="n">
        <v>2.534296761599133</v>
      </c>
      <c r="M264" s="18" t="n">
        <v>0.2915832340437379</v>
      </c>
      <c r="N264" s="9" t="n">
        <v>7.180686020659532</v>
      </c>
      <c r="O264" s="9" t="n">
        <v>1.007230741554173</v>
      </c>
      <c r="P264" s="9" t="n">
        <v>2.833403778698964</v>
      </c>
    </row>
    <row r="265" spans="1:22">
      <c r="B265" t="s">
        <v>29</v>
      </c>
      <c r="C265" s="124" t="n">
        <v>2.844254714180594</v>
      </c>
      <c r="D265" s="88" t="n">
        <v>1.959006872634611</v>
      </c>
      <c r="E265" s="16" t="n">
        <v>0.3112407046852746</v>
      </c>
      <c r="F265" s="88" t="n">
        <v>7.642721943578144</v>
      </c>
      <c r="G265" s="88" t="n">
        <v>1.687073666600198</v>
      </c>
      <c r="H265" s="16" t="n">
        <v>0.1735025394784118</v>
      </c>
      <c r="I265" s="16" t="n">
        <v>0.3807139160131523</v>
      </c>
      <c r="J265" s="16" t="n">
        <v>0.904197829924948</v>
      </c>
      <c r="K265" s="88" t="n">
        <v>3.901324722408794</v>
      </c>
      <c r="L265" s="9" t="n">
        <v>1.959006872634611</v>
      </c>
      <c r="M265" s="18" t="n">
        <v>0.3112407046852746</v>
      </c>
      <c r="N265" s="9" t="n">
        <v>7.352819575007775</v>
      </c>
      <c r="O265" s="9" t="n">
        <v>1.585148066503622</v>
      </c>
      <c r="P265" s="9" t="n">
        <v>3.753340367366441</v>
      </c>
    </row>
    <row r="266" spans="1:22">
      <c r="C266" s="70" t="n"/>
      <c r="D266" s="88" t="n"/>
      <c r="F266" s="88" t="n"/>
      <c r="G266" s="88" t="n"/>
      <c r="K266" s="88" t="n"/>
      <c r="L266" s="9" t="n"/>
      <c r="N266" s="9" t="n"/>
      <c r="O266" s="9" t="n"/>
      <c r="P266" s="9" t="n"/>
    </row>
    <row r="267" spans="1:22">
      <c r="A267" s="22" t="s">
        <v>358</v>
      </c>
      <c r="B267" t="s">
        <v>24</v>
      </c>
      <c r="C267" s="124" t="n">
        <v>25.07943782494192</v>
      </c>
      <c r="D267" s="88" t="n">
        <v>17.71092088901411</v>
      </c>
      <c r="E267" s="16" t="n">
        <v>0.2938071015531177</v>
      </c>
      <c r="F267" s="88" t="n">
        <v>55.65928091558751</v>
      </c>
      <c r="G267" s="88" t="n">
        <v>1.219319320636183</v>
      </c>
      <c r="H267" s="16" t="n">
        <v>0.2037319521110612</v>
      </c>
      <c r="I267" s="16" t="n">
        <v>0.3683256151589831</v>
      </c>
      <c r="J267" s="16" t="n">
        <v>0.6345699334611234</v>
      </c>
      <c r="K267" s="88" t="n">
        <v>3.142653127094727</v>
      </c>
      <c r="L267" s="9" t="n">
        <v>17.71092088901411</v>
      </c>
      <c r="M267" s="18" t="n">
        <v>0.2938071015531177</v>
      </c>
      <c r="N267" s="9" t="n">
        <v>55.65928091558751</v>
      </c>
      <c r="O267" s="9" t="n">
        <v>1.219319320636183</v>
      </c>
      <c r="P267" s="9" t="n">
        <v>3.142653127094727</v>
      </c>
      <c r="Q267" s="131" t="n">
        <v>0.128866159983662</v>
      </c>
      <c r="R267" s="131" t="n">
        <v>0.09237068113694777</v>
      </c>
      <c r="S267" s="131" t="n">
        <v>0.01380654479276168</v>
      </c>
      <c r="U267" s="129">
        <f>C267*S267</f>
        <v/>
      </c>
      <c r="V267" s="42">
        <f>Q267*(1-U267)+S267</f>
        <v/>
      </c>
    </row>
    <row r="268" spans="1:22">
      <c r="A268" t="s">
        <v>359</v>
      </c>
      <c r="B268" t="s">
        <v>26</v>
      </c>
      <c r="C268" s="124" t="n">
        <v>30.37006664371694</v>
      </c>
      <c r="D268" s="88" t="n">
        <v>20.44626831747012</v>
      </c>
      <c r="E268" s="16" t="n">
        <v>0.3267624810530303</v>
      </c>
      <c r="F268" s="88" t="n">
        <v>71.82093397657981</v>
      </c>
      <c r="G268" s="88" t="n">
        <v>1.364859281316011</v>
      </c>
      <c r="H268" s="16" t="n">
        <v>0.1667116815290539</v>
      </c>
      <c r="I268" s="16" t="n">
        <v>0.3519665274343251</v>
      </c>
      <c r="J268" s="16" t="n">
        <v>0.6485776370451197</v>
      </c>
      <c r="K268" s="88" t="n">
        <v>3.512667097066955</v>
      </c>
      <c r="L268" s="9" t="n">
        <v>20.44626831747012</v>
      </c>
      <c r="M268" s="18" t="n">
        <v>0.3267624810530303</v>
      </c>
      <c r="N268" s="9" t="n">
        <v>71.82093397657981</v>
      </c>
      <c r="O268" s="9" t="n">
        <v>1.364859281316011</v>
      </c>
      <c r="P268" s="9" t="n">
        <v>3.512667097066955</v>
      </c>
    </row>
    <row r="269" spans="1:22">
      <c r="B269" t="s">
        <v>28</v>
      </c>
      <c r="C269" s="124" t="n">
        <v>3.231890847049269</v>
      </c>
      <c r="D269" s="88" t="n">
        <v>2.359918919468745</v>
      </c>
      <c r="E269" s="16" t="n">
        <v>0.2698024063456965</v>
      </c>
      <c r="F269" s="88" t="n">
        <v>7.97768913423506</v>
      </c>
      <c r="G269" s="88" t="n">
        <v>1.468427775498274</v>
      </c>
      <c r="H269" s="16" t="n">
        <v>0.2562089524438407</v>
      </c>
      <c r="I269" s="16" t="n">
        <v>0.4345516406207248</v>
      </c>
      <c r="J269" s="16" t="n">
        <v>0.6978040287804435</v>
      </c>
      <c r="K269" s="88" t="n">
        <v>3.380492892540123</v>
      </c>
      <c r="L269" s="9" t="n">
        <v>2.359918919468745</v>
      </c>
      <c r="M269" s="18" t="n">
        <v>0.2698024063456965</v>
      </c>
      <c r="N269" s="9" t="n">
        <v>7.97768913423506</v>
      </c>
      <c r="O269" s="9" t="n">
        <v>1.468427775498274</v>
      </c>
      <c r="P269" s="9" t="n">
        <v>3.380492892540123</v>
      </c>
    </row>
    <row r="270" spans="1:22">
      <c r="B270" t="s">
        <v>29</v>
      </c>
      <c r="C270" s="124" t="n">
        <v>2.805303742054631</v>
      </c>
      <c r="D270" s="88" t="n">
        <v>1.922883271391516</v>
      </c>
      <c r="E270" s="16" t="n">
        <v>0.3145543412767212</v>
      </c>
      <c r="F270" s="88" t="n">
        <v>8.405159636497366</v>
      </c>
      <c r="G270" s="88" t="n">
        <v>1.996167406222239</v>
      </c>
      <c r="H270" s="16" t="n">
        <v>0.2952147983618245</v>
      </c>
      <c r="I270" s="16" t="n">
        <v>0.5018827985079877</v>
      </c>
      <c r="J270" s="16" t="n">
        <v>0.8121407423967699</v>
      </c>
      <c r="K270" s="88" t="n">
        <v>4.37112317817133</v>
      </c>
      <c r="L270" s="9" t="n">
        <v>1.922883271391516</v>
      </c>
      <c r="M270" s="18" t="n">
        <v>0.3145543412767212</v>
      </c>
      <c r="N270" s="9" t="n">
        <v>8.405159636497366</v>
      </c>
      <c r="O270" s="9" t="n">
        <v>1.996167406222239</v>
      </c>
      <c r="P270" s="9" t="n">
        <v>4.37112317817133</v>
      </c>
    </row>
    <row r="271" spans="1:22">
      <c r="C271" s="70" t="n"/>
      <c r="D271" s="88" t="n"/>
      <c r="F271" s="88" t="n"/>
      <c r="G271" s="88" t="n"/>
      <c r="K271" s="88" t="n"/>
      <c r="L271" s="9" t="n"/>
      <c r="N271" s="9" t="n"/>
      <c r="O271" s="9" t="n"/>
      <c r="P271" s="9" t="n"/>
    </row>
    <row r="272" spans="1:22">
      <c r="A272" t="s">
        <v>236</v>
      </c>
      <c r="B272" t="s">
        <v>24</v>
      </c>
      <c r="C272" s="125" t="n">
        <v>57.13964847200696</v>
      </c>
      <c r="D272" s="88" t="n">
        <v>30.22934607795504</v>
      </c>
      <c r="E272" s="16" t="n">
        <v>0.470956736936095</v>
      </c>
      <c r="F272" s="88" t="n">
        <v>164.8287395693694</v>
      </c>
      <c r="G272" s="88" t="n">
        <v>1.884664921418268</v>
      </c>
      <c r="H272" s="16" t="n">
        <v>-0.2106696176058801</v>
      </c>
      <c r="I272" s="16" t="n">
        <v>-0.05937358103410828</v>
      </c>
      <c r="J272" s="16" t="n">
        <v>0.2888356968620545</v>
      </c>
      <c r="K272" s="88" t="n">
        <v>5.452606852437735</v>
      </c>
      <c r="L272" s="9" t="n">
        <v>41.26343799024777</v>
      </c>
      <c r="M272" s="18" t="n">
        <v>0.2778492851515709</v>
      </c>
      <c r="N272" s="9" t="n">
        <v>110.245537905175</v>
      </c>
      <c r="O272" s="9" t="n">
        <v>0.9294052528024377</v>
      </c>
      <c r="P272" s="9" t="n">
        <v>2.671748726590124</v>
      </c>
      <c r="Q272" s="131" t="n">
        <v>0.1059595015365583</v>
      </c>
      <c r="R272" s="131" t="n">
        <v>0.1002337909308724</v>
      </c>
      <c r="S272" s="131" t="n">
        <v>0.007146374946913087</v>
      </c>
      <c r="U272" s="129">
        <f>C272*S272</f>
        <v/>
      </c>
      <c r="V272" s="129">
        <f>Q272*(1-U272)+S272</f>
        <v/>
      </c>
    </row>
    <row r="273" spans="1:22">
      <c r="A273" t="s">
        <v>360</v>
      </c>
      <c r="B273" t="s">
        <v>26</v>
      </c>
      <c r="C273" s="124" t="n">
        <v>44.42004170924277</v>
      </c>
      <c r="D273" s="88" t="n">
        <v>27.93926464096889</v>
      </c>
      <c r="E273" s="16" t="n">
        <v>0.3710211975069942</v>
      </c>
      <c r="F273" s="88" t="n">
        <v>-113.5002332030543</v>
      </c>
      <c r="G273" s="88" t="n">
        <v>-3.555158186162565</v>
      </c>
      <c r="H273" s="16" t="n">
        <v>0.05266196767038034</v>
      </c>
      <c r="I273" s="16" t="n">
        <v>0.313885534889027</v>
      </c>
      <c r="J273" s="16" t="n">
        <v>0.9629400911412915</v>
      </c>
      <c r="K273" s="88" t="n">
        <v>-4.062391571917845</v>
      </c>
      <c r="L273" s="9" t="n">
        <v>27.93926464096889</v>
      </c>
      <c r="M273" s="18" t="n">
        <v>0.3710211975069942</v>
      </c>
      <c r="N273" s="9" t="n">
        <v>114.4704075054868</v>
      </c>
      <c r="O273" s="9" t="n">
        <v>1.576999099973113</v>
      </c>
      <c r="P273" s="9" t="n">
        <v>4.097115975544772</v>
      </c>
    </row>
    <row r="274" spans="1:22">
      <c r="B274" t="s">
        <v>28</v>
      </c>
      <c r="C274" s="123" t="n">
        <v>6.05448867006802</v>
      </c>
      <c r="D274" s="88" t="n">
        <v>4.010306008098633</v>
      </c>
      <c r="E274" s="16" t="n">
        <v>0.3376309335708809</v>
      </c>
      <c r="F274" s="88" t="n">
        <v>12.34923379887148</v>
      </c>
      <c r="G274" s="88" t="n">
        <v>1.039682369862745</v>
      </c>
      <c r="H274" s="16" t="n">
        <v>-0.03413862215942276</v>
      </c>
      <c r="I274" s="16" t="n">
        <v>0.1417452521863498</v>
      </c>
      <c r="J274" s="16" t="n">
        <v>0.3672113673972617</v>
      </c>
      <c r="K274" s="88" t="n">
        <v>3.079374435250765</v>
      </c>
      <c r="L274" s="9" t="n">
        <v>4.694219470416582</v>
      </c>
      <c r="M274" s="18" t="n">
        <v>0.2246711941796657</v>
      </c>
      <c r="N274" s="9" t="n">
        <v>12.34923379887148</v>
      </c>
      <c r="O274" s="9" t="n">
        <v>1.039682369862745</v>
      </c>
      <c r="P274" s="9" t="n">
        <v>2.630732090115838</v>
      </c>
    </row>
    <row r="275" spans="1:22">
      <c r="B275" t="s">
        <v>29</v>
      </c>
      <c r="C275" s="124" t="n">
        <v>4.45238917382487</v>
      </c>
      <c r="D275" s="88" t="n">
        <v>2.836676063719031</v>
      </c>
      <c r="E275" s="16" t="n">
        <v>0.362886766413962</v>
      </c>
      <c r="F275" s="88" t="n">
        <v>11.3848035106735</v>
      </c>
      <c r="G275" s="88" t="n">
        <v>1.557009970647572</v>
      </c>
      <c r="H275" s="16" t="n">
        <v>0.03421342664862892</v>
      </c>
      <c r="I275" s="16" t="n">
        <v>0.2737932415528948</v>
      </c>
      <c r="J275" s="16" t="n">
        <v>0.575126169746496</v>
      </c>
      <c r="K275" s="88" t="n">
        <v>4.013430950500362</v>
      </c>
      <c r="L275" s="9" t="n">
        <v>2.836676063719031</v>
      </c>
      <c r="M275" s="18" t="n">
        <v>0.362886766413962</v>
      </c>
      <c r="N275" s="9" t="n">
        <v>11.3848035106735</v>
      </c>
      <c r="O275" s="9" t="n">
        <v>1.557009970647572</v>
      </c>
      <c r="P275" s="9" t="n">
        <v>4.013430950500362</v>
      </c>
    </row>
    <row r="276" spans="1:22">
      <c r="C276" s="70" t="n"/>
      <c r="D276" s="88" t="n"/>
      <c r="F276" s="88" t="n"/>
      <c r="G276" s="88" t="n"/>
      <c r="K276" s="88" t="n"/>
      <c r="L276" s="9" t="n"/>
      <c r="N276" s="9" t="n"/>
      <c r="O276" s="9" t="n"/>
      <c r="P276" s="9" t="n"/>
    </row>
    <row r="277" spans="1:22">
      <c r="A277" s="22" t="s">
        <v>238</v>
      </c>
      <c r="B277" t="s">
        <v>24</v>
      </c>
      <c r="C277" s="125" t="n">
        <v>7.125535063244763</v>
      </c>
      <c r="D277" s="88" t="n">
        <v>4.463197222629654</v>
      </c>
      <c r="E277" s="16" t="n">
        <v>0.3736333927185472</v>
      </c>
      <c r="F277" s="88" t="n">
        <v>18.31621560913802</v>
      </c>
      <c r="G277" s="88" t="n">
        <v>1.570503891506688</v>
      </c>
      <c r="H277" s="16" t="n">
        <v>-0.1841222077785412</v>
      </c>
      <c r="I277" s="16" t="n">
        <v>-0.06434435514261838</v>
      </c>
      <c r="J277" s="16" t="n">
        <v>0.3110536632438534</v>
      </c>
      <c r="K277" s="88" t="n">
        <v>4.103832901730109</v>
      </c>
      <c r="L277" s="9" t="n">
        <v>4.463197222629654</v>
      </c>
      <c r="M277" s="18" t="n">
        <v>0.3736333927185472</v>
      </c>
      <c r="N277" s="9" t="n">
        <v>9.084638393652934</v>
      </c>
      <c r="O277" s="9" t="n">
        <v>0.2749412237845408</v>
      </c>
      <c r="P277" s="9" t="n">
        <v>2.035455289224345</v>
      </c>
      <c r="Q277" s="131" t="n">
        <v>0.1287922973155268</v>
      </c>
      <c r="R277" s="131" t="n">
        <v>0.1261246549155067</v>
      </c>
      <c r="S277" s="131" t="n">
        <v>0.03901554118926998</v>
      </c>
      <c r="U277" s="129">
        <f>C277*S277</f>
        <v/>
      </c>
      <c r="V277" s="42">
        <f>Q277*(1-U277)+S277</f>
        <v/>
      </c>
    </row>
    <row r="278" spans="1:22">
      <c r="A278" t="s">
        <v>361</v>
      </c>
      <c r="B278" t="s">
        <v>26</v>
      </c>
      <c r="C278" s="125" t="n">
        <v>8.001408690484235</v>
      </c>
      <c r="D278" s="88" t="n">
        <v>4.571919583312054</v>
      </c>
      <c r="E278" s="16" t="n">
        <v>0.4286106659257062</v>
      </c>
      <c r="F278" s="88" t="n">
        <v>21.3363229366713</v>
      </c>
      <c r="G278" s="88" t="n">
        <v>1.666570820466371</v>
      </c>
      <c r="H278" s="16" t="n">
        <v>-0.2518499485790003</v>
      </c>
      <c r="I278" s="16" t="n">
        <v>-0.1003388905311599</v>
      </c>
      <c r="J278" s="16" t="n">
        <v>0.2560840871351016</v>
      </c>
      <c r="K278" s="88" t="n">
        <v>4.666819384695858</v>
      </c>
      <c r="L278" s="9" t="n">
        <v>4.571919583312054</v>
      </c>
      <c r="M278" s="18" t="n">
        <v>0.4286106659257062</v>
      </c>
      <c r="N278" s="9" t="n">
        <v>9.826408451626936</v>
      </c>
      <c r="O278" s="9" t="n">
        <v>0.2280848075305917</v>
      </c>
      <c r="P278" s="9" t="n">
        <v>2.149295995383268</v>
      </c>
    </row>
    <row r="279" spans="1:22">
      <c r="B279" t="s">
        <v>28</v>
      </c>
      <c r="C279" s="123" t="n">
        <v>0.9177140303976307</v>
      </c>
      <c r="D279" s="88" t="n">
        <v>0.7951964221825515</v>
      </c>
      <c r="E279" s="16" t="n">
        <v>0.1335030348854908</v>
      </c>
      <c r="F279" s="88" t="n">
        <v>3.205678662159003</v>
      </c>
      <c r="G279" s="88" t="n">
        <v>2.493112839050782</v>
      </c>
      <c r="H279" s="16" t="n">
        <v>-0.005397567482292587</v>
      </c>
      <c r="I279" s="16" t="n">
        <v>0.1865912379875418</v>
      </c>
      <c r="J279" s="16" t="n">
        <v>0.863178540883407</v>
      </c>
      <c r="K279" s="88" t="n">
        <v>4.031304181878075</v>
      </c>
      <c r="L279" s="9" t="n">
        <v>0.7951964221825515</v>
      </c>
      <c r="M279" s="18" t="n">
        <v>0.1335030348854908</v>
      </c>
      <c r="N279" s="9" t="n">
        <v>1.431324950837816</v>
      </c>
      <c r="O279" s="9" t="n">
        <v>0.5596633629079921</v>
      </c>
      <c r="P279" s="9" t="n">
        <v>1.799964022611296</v>
      </c>
    </row>
    <row r="280" spans="1:22">
      <c r="B280" t="s">
        <v>29</v>
      </c>
      <c r="C280" s="123" t="n">
        <v>1.00917490992526</v>
      </c>
      <c r="D280" s="88" t="n">
        <v>0.8124731428502798</v>
      </c>
      <c r="E280" s="16" t="n">
        <v>0.1949134536941157</v>
      </c>
      <c r="F280" s="88" t="n">
        <v>3.420867999186972</v>
      </c>
      <c r="G280" s="88" t="n">
        <v>2.389767190546108</v>
      </c>
      <c r="H280" s="16" t="n">
        <v>-0.05589696894794915</v>
      </c>
      <c r="I280" s="16" t="n">
        <v>0.1249027279831223</v>
      </c>
      <c r="J280" s="16" t="n">
        <v>0.671635500968085</v>
      </c>
      <c r="K280" s="88" t="n">
        <v>4.210438251763061</v>
      </c>
      <c r="L280" s="9" t="n">
        <v>0.8124731428502798</v>
      </c>
      <c r="M280" s="18" t="n">
        <v>0.1949134536941157</v>
      </c>
      <c r="N280" s="9" t="n">
        <v>1.521258747308089</v>
      </c>
      <c r="O280" s="9" t="n">
        <v>0.5074282290874168</v>
      </c>
      <c r="P280" s="9" t="n">
        <v>1.872380349670736</v>
      </c>
    </row>
    <row r="281" spans="1:22">
      <c r="A281" s="131">
        <f>2.08/C284-1</f>
        <v/>
      </c>
      <c r="B281" s="131">
        <f>2.21/C284-1</f>
        <v/>
      </c>
      <c r="C281" s="131">
        <f>2.54/C284-1</f>
        <v/>
      </c>
      <c r="D281" s="131">
        <f>2.95/C284-1</f>
        <v/>
      </c>
      <c r="F281" s="16" t="n"/>
      <c r="G281" s="88" t="n"/>
      <c r="K281" s="88" t="n"/>
      <c r="L281" s="9" t="n"/>
      <c r="N281" s="9" t="n"/>
      <c r="O281" s="9" t="n"/>
      <c r="P281" s="9" t="n"/>
    </row>
    <row r="282" spans="1:22">
      <c r="A282" s="39" t="s">
        <v>362</v>
      </c>
      <c r="B282" t="s">
        <v>24</v>
      </c>
      <c r="C282" s="126" t="n">
        <v>45.77682236141207</v>
      </c>
      <c r="D282" s="88" t="n">
        <v>10.42069270218741</v>
      </c>
      <c r="E282" s="16" t="n">
        <v>0.7723587578902895</v>
      </c>
      <c r="F282" s="88" t="n">
        <v>59.16821967574342</v>
      </c>
      <c r="G282" s="88" t="n">
        <v>0.2925366293143958</v>
      </c>
      <c r="H282" s="16" t="n">
        <v>-0.5786128704165132</v>
      </c>
      <c r="I282" s="16" t="n">
        <v>-0.4466402614001372</v>
      </c>
      <c r="J282" s="16" t="n">
        <v>-0.2633783616185306</v>
      </c>
      <c r="K282" s="88" t="n">
        <v>5.677954562782894</v>
      </c>
      <c r="L282" s="9" t="n">
        <v>10.42069270218741</v>
      </c>
      <c r="M282" s="18" t="n">
        <v>0.7723587578902895</v>
      </c>
      <c r="N282" s="9" t="n">
        <v>59.16821967574342</v>
      </c>
      <c r="O282" s="9" t="n">
        <v>0.2925366293143958</v>
      </c>
      <c r="P282" s="9" t="n">
        <v>5.677954562782894</v>
      </c>
      <c r="Q282" s="131" t="n">
        <v>0.04309838573519741</v>
      </c>
      <c r="R282" s="131" t="n">
        <v>0.03120967253589792</v>
      </c>
      <c r="S282" s="131" t="n">
        <v>0.009693770383597457</v>
      </c>
      <c r="U282" s="129">
        <f>C282*S282</f>
        <v/>
      </c>
      <c r="V282" s="129">
        <f>Q282*(1-U282)+S282</f>
        <v/>
      </c>
    </row>
    <row r="283" spans="1:22">
      <c r="A283" t="s">
        <v>363</v>
      </c>
      <c r="B283" t="s">
        <v>26</v>
      </c>
      <c r="C283" s="126" t="n">
        <v>65.76489533796767</v>
      </c>
      <c r="D283" s="88" t="n">
        <v>11.58148045052225</v>
      </c>
      <c r="E283" s="16" t="n">
        <v>0.8238957061969812</v>
      </c>
      <c r="F283" s="88" t="n">
        <v>75.93413886350773</v>
      </c>
      <c r="G283" s="88" t="n">
        <v>0.1546302700442237</v>
      </c>
      <c r="H283" s="16" t="n">
        <v>-0.646110176564076</v>
      </c>
      <c r="I283" s="16" t="n">
        <v>-0.5179207947164126</v>
      </c>
      <c r="J283" s="16" t="n">
        <v>-0.3241471776179004</v>
      </c>
      <c r="K283" s="88" t="n">
        <v>6.556514012859523</v>
      </c>
      <c r="L283" s="9" t="n">
        <v>11.58148045052225</v>
      </c>
      <c r="M283" s="18" t="n">
        <v>0.8238957061969812</v>
      </c>
      <c r="N283" s="9" t="n">
        <v>68.55011343202216</v>
      </c>
      <c r="O283" s="9" t="n">
        <v>0.04235113702745474</v>
      </c>
      <c r="P283" s="9" t="n">
        <v>5.918942204744732</v>
      </c>
    </row>
    <row r="284" spans="1:22">
      <c r="B284" t="s">
        <v>28</v>
      </c>
      <c r="C284" s="123" t="n">
        <v>1.972907147863748</v>
      </c>
      <c r="D284" s="88" t="n">
        <v>1.063188938943287</v>
      </c>
      <c r="E284" s="16" t="n">
        <v>0.461105435147061</v>
      </c>
      <c r="F284" s="88" t="n">
        <v>5.682491998097035</v>
      </c>
      <c r="G284" s="88" t="n">
        <v>1.880263272526538</v>
      </c>
      <c r="H284" s="16" t="n">
        <v>-0.09750622196437519</v>
      </c>
      <c r="I284" s="100" t="n">
        <v>0.05335875817293556</v>
      </c>
      <c r="J284" s="16" t="n">
        <v>0.4624544155085555</v>
      </c>
      <c r="K284" s="88" t="n">
        <v>5.344762148997631</v>
      </c>
      <c r="L284" s="9" t="n">
        <v>1.063188938943287</v>
      </c>
      <c r="M284" s="18" t="n">
        <v>0.461105435147061</v>
      </c>
      <c r="N284" s="9" t="n">
        <v>5.32057005930944</v>
      </c>
      <c r="O284" s="9" t="n">
        <v>1.696817265359154</v>
      </c>
      <c r="P284" s="9" t="n">
        <v>5.004350463425251</v>
      </c>
    </row>
    <row r="285" spans="1:22">
      <c r="B285" t="s">
        <v>29</v>
      </c>
      <c r="C285" s="123" t="n">
        <v>2.052500847855571</v>
      </c>
      <c r="D285" s="88" t="n">
        <v>1.047658131208033</v>
      </c>
      <c r="E285" s="16" t="n">
        <v>0.4895699398601396</v>
      </c>
      <c r="F285" s="88" t="n">
        <v>8.081551038235032</v>
      </c>
      <c r="G285" s="88" t="n">
        <v>2.937416662545374</v>
      </c>
      <c r="H285" s="16" t="n">
        <v>-0.06024422727773926</v>
      </c>
      <c r="I285" s="16" t="n">
        <v>0.1172039474168933</v>
      </c>
      <c r="J285" s="16" t="n">
        <v>0.5786477240193919</v>
      </c>
      <c r="K285" s="88" t="n">
        <v>7.713920025530046</v>
      </c>
      <c r="L285" s="9" t="n">
        <v>1.047658131208033</v>
      </c>
      <c r="M285" s="18" t="n">
        <v>0.4895699398601396</v>
      </c>
      <c r="N285" s="9" t="n">
        <v>5.726970403541229</v>
      </c>
      <c r="O285" s="9" t="n">
        <v>1.79024021331085</v>
      </c>
      <c r="P285" s="9" t="n">
        <v>5.466449629840199</v>
      </c>
    </row>
    <row r="286" spans="1:22">
      <c r="C286" s="70" t="n"/>
      <c r="D286" s="88" t="n"/>
      <c r="F286" s="88" t="n"/>
      <c r="G286" s="88" t="n"/>
      <c r="K286" s="88" t="n"/>
      <c r="L286" s="9" t="n"/>
      <c r="N286" s="9" t="n"/>
      <c r="O286" s="9" t="n"/>
      <c r="P286" s="9" t="n"/>
    </row>
    <row r="287" spans="1:22">
      <c r="A287" s="22" t="s">
        <v>364</v>
      </c>
      <c r="B287" t="s">
        <v>24</v>
      </c>
      <c r="C287" s="125" t="n">
        <v>20.74763541940966</v>
      </c>
      <c r="D287" s="88" t="n">
        <v>11.78480780729017</v>
      </c>
      <c r="E287" s="16" t="n">
        <v>0.4319927274090549</v>
      </c>
      <c r="F287" s="88" t="n">
        <v>179.9219464823279</v>
      </c>
      <c r="G287" s="88" t="n">
        <v>7.6719253951228</v>
      </c>
      <c r="H287" s="16" t="n">
        <v>-0.2950571688525959</v>
      </c>
      <c r="I287" s="16" t="n">
        <v>-0.09817219055798199</v>
      </c>
      <c r="J287" s="16" t="n">
        <v>0.2266298863154359</v>
      </c>
      <c r="K287" s="88" t="n">
        <v>15.26727880712886</v>
      </c>
      <c r="L287" s="9" t="n">
        <v>11.78480780729017</v>
      </c>
      <c r="M287" s="18" t="n">
        <v>0.4319927274090549</v>
      </c>
      <c r="N287" s="9" t="n">
        <v>28.43917791041575</v>
      </c>
      <c r="O287" s="9" t="n">
        <v>0.3707189920934588</v>
      </c>
      <c r="P287" s="9" t="n">
        <v>2.413206763781338</v>
      </c>
      <c r="Q287" s="131" t="n">
        <v>0.1255969070153758</v>
      </c>
      <c r="R287" s="131" t="n">
        <v>0.08560719816850926</v>
      </c>
      <c r="S287" s="131" t="n">
        <v>0.02047231737116033</v>
      </c>
      <c r="U287" s="129">
        <f>C287*S287</f>
        <v/>
      </c>
      <c r="V287" s="129">
        <f>Q287*(1-U287)+S287</f>
        <v/>
      </c>
    </row>
    <row r="288" spans="1:22">
      <c r="A288" t="s">
        <v>365</v>
      </c>
      <c r="B288" t="s">
        <v>26</v>
      </c>
      <c r="C288" s="125" t="n">
        <v>25.32706434217859</v>
      </c>
      <c r="D288" s="88" t="n">
        <v>12.36625008154477</v>
      </c>
      <c r="E288" s="16" t="n">
        <v>0.5117377239433725</v>
      </c>
      <c r="F288" s="88" t="n">
        <v>-3563.383738931308</v>
      </c>
      <c r="G288" s="88" t="n">
        <v>-141.6947007670764</v>
      </c>
      <c r="H288" s="16" t="n">
        <v>-0.3317440878821846</v>
      </c>
      <c r="I288" s="16" t="n">
        <v>-0.2164536735165091</v>
      </c>
      <c r="J288" s="16" t="n">
        <v>0.04725146039014061</v>
      </c>
      <c r="K288" s="88" t="n">
        <v>-288.1539444402192</v>
      </c>
      <c r="L288" s="9" t="n">
        <v>12.36625008154477</v>
      </c>
      <c r="M288" s="18" t="n">
        <v>0.5117377239433725</v>
      </c>
      <c r="N288" s="9" t="n">
        <v>28.16545155751984</v>
      </c>
      <c r="O288" s="9" t="n">
        <v>0.112069333302649</v>
      </c>
      <c r="P288" s="9" t="n">
        <v>2.277606499285793</v>
      </c>
    </row>
    <row r="289" spans="1:22">
      <c r="B289" t="s">
        <v>28</v>
      </c>
      <c r="C289" s="125" t="n">
        <v>2.605838836560511</v>
      </c>
      <c r="D289" s="88" t="n">
        <v>1.525002207596356</v>
      </c>
      <c r="E289" s="16" t="n">
        <v>0.4147749330464233</v>
      </c>
      <c r="F289" s="88" t="n">
        <v>6.095068292294253</v>
      </c>
      <c r="G289" s="88" t="n">
        <v>1.339004318601388</v>
      </c>
      <c r="H289" s="16" t="n">
        <v>-0.2740039001236398</v>
      </c>
      <c r="I289" s="16" t="n">
        <v>-0.09931590636692555</v>
      </c>
      <c r="J289" s="16" t="n">
        <v>0.1877476361439618</v>
      </c>
      <c r="K289" s="88" t="n">
        <v>3.996760307580829</v>
      </c>
      <c r="L289" s="9" t="n">
        <v>1.586643864448885</v>
      </c>
      <c r="M289" s="18" t="n">
        <v>0.3911197261365856</v>
      </c>
      <c r="N289" s="9" t="n">
        <v>3.514306423389832</v>
      </c>
      <c r="O289" s="9" t="n">
        <v>0.3486276948840097</v>
      </c>
      <c r="P289" s="9" t="n">
        <v>2.214930837431822</v>
      </c>
    </row>
    <row r="290" spans="1:22">
      <c r="B290" t="s">
        <v>29</v>
      </c>
      <c r="C290" s="123" t="n">
        <v>2.168179016167468</v>
      </c>
      <c r="D290" s="88" t="n">
        <v>1.495100697390864</v>
      </c>
      <c r="E290" s="16" t="n">
        <v>0.3104348459041706</v>
      </c>
      <c r="F290" s="88" t="n">
        <v>5.531295772939453</v>
      </c>
      <c r="G290" s="88" t="n">
        <v>1.551125037044553</v>
      </c>
      <c r="H290" s="16" t="n">
        <v>-0.151545541294991</v>
      </c>
      <c r="I290" s="16" t="n">
        <v>0.06830865643118145</v>
      </c>
      <c r="J290" s="16" t="n">
        <v>0.3821831473246611</v>
      </c>
      <c r="K290" s="88" t="n">
        <v>3.699614201633543</v>
      </c>
      <c r="L290" s="9" t="n">
        <v>1.536302464185283</v>
      </c>
      <c r="M290" s="18" t="n">
        <v>0.2914319100362419</v>
      </c>
      <c r="N290" s="9" t="n">
        <v>3.326798497014232</v>
      </c>
      <c r="O290" s="9" t="n">
        <v>0.5343744553412253</v>
      </c>
      <c r="P290" s="9" t="n">
        <v>2.165458023123375</v>
      </c>
    </row>
    <row r="291" spans="1:22">
      <c r="C291" s="70" t="n"/>
      <c r="D291" s="88" t="n"/>
      <c r="F291" s="88" t="n"/>
      <c r="G291" s="88" t="n"/>
      <c r="K291" s="88" t="n"/>
      <c r="L291" s="9" t="n"/>
      <c r="N291" s="9" t="n"/>
      <c r="O291" s="9" t="n"/>
      <c r="P291" s="9" t="n"/>
    </row>
    <row r="292" spans="1:22">
      <c r="A292" t="s">
        <v>366</v>
      </c>
      <c r="B292" t="s">
        <v>24</v>
      </c>
      <c r="C292" s="123" t="n">
        <v>25.12780242847951</v>
      </c>
      <c r="D292" s="88" t="n">
        <v>11.65516081375353</v>
      </c>
      <c r="E292" s="16" t="n">
        <v>0.5361647383639196</v>
      </c>
      <c r="F292" s="88" t="n">
        <v>308.1276114624928</v>
      </c>
      <c r="G292" s="88" t="n">
        <v>11.26241778760824</v>
      </c>
      <c r="H292" s="16" t="n">
        <v>-0.09010653055796092</v>
      </c>
      <c r="I292" s="16" t="n">
        <v>0.2569044834732022</v>
      </c>
      <c r="J292" s="16" t="n">
        <v>1.979719495841846</v>
      </c>
      <c r="K292" s="88" t="n">
        <v>26.43701072737586</v>
      </c>
      <c r="L292" s="9" t="n">
        <v>11.65516081375353</v>
      </c>
      <c r="M292" s="18" t="n">
        <v>0.5361647383639196</v>
      </c>
      <c r="N292" s="9" t="n">
        <v>51.91896568595015</v>
      </c>
      <c r="O292" s="9" t="n">
        <v>1.066196032610711</v>
      </c>
      <c r="P292" s="9" t="n">
        <v>4.454590246810135</v>
      </c>
      <c r="Q292" s="131" t="n">
        <v>0.0914127723317225</v>
      </c>
      <c r="R292" s="131" t="n">
        <v>0.08661488705913027</v>
      </c>
      <c r="S292" s="131" t="n">
        <v>0.01959627219710354</v>
      </c>
      <c r="U292" s="129">
        <f>C292*S292</f>
        <v/>
      </c>
      <c r="V292" s="129">
        <f>Q292*(1-U292)+S292</f>
        <v/>
      </c>
    </row>
    <row r="293" spans="1:22">
      <c r="A293" t="s">
        <v>367</v>
      </c>
      <c r="B293" t="s">
        <v>26</v>
      </c>
      <c r="C293" s="123" t="n">
        <v>28.35562458620832</v>
      </c>
      <c r="D293" s="88" t="n">
        <v>16.14213467230433</v>
      </c>
      <c r="E293" s="16" t="n">
        <v>0.4307254765900806</v>
      </c>
      <c r="F293" s="88" t="n">
        <v>212.2035065922817</v>
      </c>
      <c r="G293" s="88" t="n">
        <v>6.483647766147032</v>
      </c>
      <c r="H293" s="16" t="n">
        <v>-0.08573986671430489</v>
      </c>
      <c r="I293" s="16" t="n">
        <v>0.2004371635219073</v>
      </c>
      <c r="J293" s="16" t="n">
        <v>1.543988830033728</v>
      </c>
      <c r="K293" s="88" t="n">
        <v>13.14593830990441</v>
      </c>
      <c r="L293" s="9" t="n">
        <v>16.14213467230433</v>
      </c>
      <c r="M293" s="18" t="n">
        <v>0.4307254765900806</v>
      </c>
      <c r="N293" s="9" t="n">
        <v>42.61282328334752</v>
      </c>
      <c r="O293" s="9" t="n">
        <v>0.502799670442585</v>
      </c>
      <c r="P293" s="9" t="n">
        <v>2.639850561800847</v>
      </c>
    </row>
    <row r="294" spans="1:22">
      <c r="B294" t="s">
        <v>28</v>
      </c>
      <c r="C294" s="124" t="n">
        <v>2.297002082591102</v>
      </c>
      <c r="D294" s="88" t="n">
        <v>1.452683923017575</v>
      </c>
      <c r="E294" s="16" t="n">
        <v>0.3675739634598438</v>
      </c>
      <c r="F294" s="88" t="n">
        <v>14.04557115729734</v>
      </c>
      <c r="G294" s="88" t="n">
        <v>5.114740279840506</v>
      </c>
      <c r="H294" s="16" t="n">
        <v>0.2316396626308426</v>
      </c>
      <c r="I294" s="16" t="n">
        <v>0.5168584723670575</v>
      </c>
      <c r="J294" s="16" t="n">
        <v>2.656010939333252</v>
      </c>
      <c r="K294" s="88" t="n">
        <v>9.668704206570483</v>
      </c>
      <c r="L294" s="9" t="n">
        <v>1.452683923017575</v>
      </c>
      <c r="M294" s="18" t="n">
        <v>0.3675739634598438</v>
      </c>
      <c r="N294" s="9" t="n">
        <v>7.547174647660362</v>
      </c>
      <c r="O294" s="9" t="n">
        <v>2.28566295383889</v>
      </c>
      <c r="P294" s="9" t="n">
        <v>5.195331570809333</v>
      </c>
    </row>
    <row r="295" spans="1:22">
      <c r="B295" t="s">
        <v>29</v>
      </c>
      <c r="C295" s="124" t="n">
        <v>2.456019221025531</v>
      </c>
      <c r="D295" s="88" t="n">
        <v>1.570529745571791</v>
      </c>
      <c r="E295" s="16" t="n">
        <v>0.3605384957386436</v>
      </c>
      <c r="F295" s="88" t="n">
        <v>13.67558523571413</v>
      </c>
      <c r="G295" s="88" t="n">
        <v>4.56819145332412</v>
      </c>
      <c r="H295" s="16" t="n">
        <v>0.2156930178089713</v>
      </c>
      <c r="I295" s="16" t="n">
        <v>0.5475352384131167</v>
      </c>
      <c r="J295" s="16" t="n">
        <v>2.168350356451186</v>
      </c>
      <c r="K295" s="88" t="n">
        <v>8.707625738559434</v>
      </c>
      <c r="L295" s="9" t="n">
        <v>1.570529745571791</v>
      </c>
      <c r="M295" s="18" t="n">
        <v>0.3605384957386436</v>
      </c>
      <c r="N295" s="9" t="n">
        <v>7.240361524221565</v>
      </c>
      <c r="O295" s="9" t="n">
        <v>1.948006865027014</v>
      </c>
      <c r="P295" s="9" t="n">
        <v>4.610139696262505</v>
      </c>
    </row>
    <row r="296" spans="1:22">
      <c r="C296" s="70" t="n"/>
      <c r="D296" s="88" t="n"/>
      <c r="F296" s="88" t="n"/>
      <c r="G296" s="88" t="n"/>
      <c r="K296" s="88" t="n"/>
      <c r="L296" s="9" t="n"/>
      <c r="N296" s="9" t="n"/>
      <c r="O296" s="9" t="n"/>
      <c r="P296" s="9" t="n"/>
    </row>
    <row r="297" spans="1:22">
      <c r="A297" t="s">
        <v>368</v>
      </c>
      <c r="B297" t="s">
        <v>24</v>
      </c>
      <c r="C297" s="126" t="n">
        <v>17.96246548104626</v>
      </c>
      <c r="D297" s="88" t="n">
        <v>11.92863408617409</v>
      </c>
      <c r="E297" s="16" t="n">
        <v>0.3359133188725673</v>
      </c>
      <c r="F297" s="88" t="n">
        <v>23.85079725714581</v>
      </c>
      <c r="G297" s="88" t="n">
        <v>0.3278131157614657</v>
      </c>
      <c r="H297" s="16" t="n">
        <v>-0.272539520384774</v>
      </c>
      <c r="I297" s="16" t="n">
        <v>-0.2249932884644805</v>
      </c>
      <c r="J297" s="16" t="n">
        <v>-0.01899929333032624</v>
      </c>
      <c r="K297" s="88" t="n">
        <v>1.999457530916313</v>
      </c>
      <c r="L297" s="9" t="n">
        <v>11.92863408617409</v>
      </c>
      <c r="M297" s="18" t="n">
        <v>0.3359133188725673</v>
      </c>
      <c r="N297" s="9" t="n">
        <v>23.85079725714581</v>
      </c>
      <c r="O297" s="9" t="n">
        <v>0.3278131157614657</v>
      </c>
      <c r="P297" s="9" t="n">
        <v>1.999457530916313</v>
      </c>
      <c r="Q297" s="131" t="n">
        <v>0.08166620953982474</v>
      </c>
      <c r="R297" s="131" t="n">
        <v>0.0267804809143337</v>
      </c>
      <c r="S297" s="131" t="n">
        <v>0.01436857301277027</v>
      </c>
      <c r="U297" s="129">
        <f>C297*S297</f>
        <v/>
      </c>
      <c r="V297" s="129">
        <f>Q297*(1-U297)+S297</f>
        <v/>
      </c>
    </row>
    <row r="298" spans="1:22">
      <c r="A298" t="s">
        <v>369</v>
      </c>
      <c r="B298" t="s">
        <v>26</v>
      </c>
      <c r="C298" s="126" t="n">
        <v>73.222656556562</v>
      </c>
      <c r="D298" s="88" t="n">
        <v>20.11014269544445</v>
      </c>
      <c r="E298" s="16" t="n">
        <v>0.7253562812227381</v>
      </c>
      <c r="F298" s="88" t="n">
        <v>75.54132169041415</v>
      </c>
      <c r="G298" s="88" t="n">
        <v>0.03166595208220913</v>
      </c>
      <c r="H298" s="16" t="n">
        <v>-0.6984990467679156</v>
      </c>
      <c r="I298" s="16" t="n">
        <v>-0.6350994226378369</v>
      </c>
      <c r="J298" s="16" t="n">
        <v>-0.5068382043405114</v>
      </c>
      <c r="K298" s="88" t="n">
        <v>3.756379198021629</v>
      </c>
      <c r="L298" s="9" t="n">
        <v>20.11014269544445</v>
      </c>
      <c r="M298" s="18" t="n">
        <v>0.7253562812227381</v>
      </c>
      <c r="N298" s="9" t="n">
        <v>75.54132169041415</v>
      </c>
      <c r="O298" s="9" t="n">
        <v>0.03166595208220913</v>
      </c>
      <c r="P298" s="9" t="n">
        <v>3.756379198021629</v>
      </c>
    </row>
    <row r="299" spans="1:22">
      <c r="B299" t="s">
        <v>28</v>
      </c>
      <c r="C299" s="123" t="n">
        <v>1.466926469826993</v>
      </c>
      <c r="D299" s="88" t="n">
        <v>1.044745467131147</v>
      </c>
      <c r="E299" s="16" t="n">
        <v>0.2877997032432288</v>
      </c>
      <c r="F299" s="88" t="n">
        <v>2.136889876266581</v>
      </c>
      <c r="G299" s="88" t="n">
        <v>0.4567123303178264</v>
      </c>
      <c r="H299" s="16" t="n">
        <v>-0.1956285002835192</v>
      </c>
      <c r="I299" s="16" t="n">
        <v>0.02869050447194632</v>
      </c>
      <c r="J299" s="16" t="n">
        <v>0.2248954272781976</v>
      </c>
      <c r="K299" s="88" t="n">
        <v>2.045368889835382</v>
      </c>
      <c r="L299" s="9" t="n">
        <v>1.044745467131147</v>
      </c>
      <c r="M299" s="18" t="n">
        <v>0.2877997032432288</v>
      </c>
      <c r="N299" s="9" t="n">
        <v>2.136889876266581</v>
      </c>
      <c r="O299" s="9" t="n">
        <v>0.4567123303178264</v>
      </c>
      <c r="P299" s="9" t="n">
        <v>2.045368889835382</v>
      </c>
    </row>
    <row r="300" spans="1:22">
      <c r="B300" t="s">
        <v>29</v>
      </c>
      <c r="C300" s="125" t="n">
        <v>1.96093795640982</v>
      </c>
      <c r="D300" s="88" t="n">
        <v>1.250979036151423</v>
      </c>
      <c r="E300" s="16" t="n">
        <v>0.3620506798482419</v>
      </c>
      <c r="F300" s="88" t="n">
        <v>2.761671379446763</v>
      </c>
      <c r="G300" s="88" t="n">
        <v>0.4083420489768905</v>
      </c>
      <c r="H300" s="16" t="n">
        <v>-0.2629802740453469</v>
      </c>
      <c r="I300" s="16" t="n">
        <v>-0.01264705144202882</v>
      </c>
      <c r="J300" s="16" t="n">
        <v>0.1344926727825726</v>
      </c>
      <c r="K300" s="88" t="n">
        <v>2.207608041093089</v>
      </c>
      <c r="L300" s="9" t="n">
        <v>1.250979036151423</v>
      </c>
      <c r="M300" s="18" t="n">
        <v>0.3620506798482419</v>
      </c>
      <c r="N300" s="9" t="n">
        <v>2.761671379446763</v>
      </c>
      <c r="O300" s="9" t="n">
        <v>0.4083420489768905</v>
      </c>
      <c r="P300" s="9" t="n">
        <v>2.207608041093089</v>
      </c>
    </row>
    <row r="301" spans="1:22">
      <c r="C301" s="70" t="n"/>
      <c r="D301" s="88" t="n"/>
      <c r="F301" s="88" t="n"/>
      <c r="G301" s="88" t="n"/>
      <c r="K301" s="88" t="n"/>
      <c r="L301" s="9" t="n"/>
      <c r="N301" s="9" t="n"/>
      <c r="O301" s="9" t="n"/>
      <c r="P301" s="9" t="n"/>
    </row>
    <row r="302" spans="1:22">
      <c r="A302" t="s">
        <v>370</v>
      </c>
      <c r="B302" t="s">
        <v>24</v>
      </c>
      <c r="C302" s="124" t="n">
        <v>11.8616974164073</v>
      </c>
      <c r="D302" s="88" t="n">
        <v>8.627643112995756</v>
      </c>
      <c r="E302" s="16" t="n">
        <v>0.2726468388021889</v>
      </c>
      <c r="F302" s="88" t="n">
        <v>62.4666234635795</v>
      </c>
      <c r="G302" s="88" t="n">
        <v>4.266246580963585</v>
      </c>
      <c r="H302" s="16" t="n">
        <v>0.1251556314415665</v>
      </c>
      <c r="I302" s="16" t="n">
        <v>0.4712529957015608</v>
      </c>
      <c r="J302" s="16" t="n">
        <v>1.028672428399299</v>
      </c>
      <c r="K302" s="88" t="n">
        <v>7.240288297216013</v>
      </c>
      <c r="L302" s="9" t="n">
        <v>8.627643112995756</v>
      </c>
      <c r="M302" s="18" t="n">
        <v>0.2726468388021889</v>
      </c>
      <c r="N302" s="9" t="n">
        <v>36.50506042965184</v>
      </c>
      <c r="O302" s="9" t="n">
        <v>2.077557886374461</v>
      </c>
      <c r="P302" s="9" t="n">
        <v>4.231174140092158</v>
      </c>
      <c r="Q302" s="131" t="n">
        <v>0.1502182643766177</v>
      </c>
      <c r="R302" s="131" t="n">
        <v>0.0935108985653504</v>
      </c>
      <c r="S302" s="131" t="n">
        <v>0.02587655182427487</v>
      </c>
      <c r="U302" s="129">
        <f>C302*S302</f>
        <v/>
      </c>
      <c r="V302" s="42">
        <f>Q302*(1-U302)+S302</f>
        <v/>
      </c>
    </row>
    <row r="303" spans="1:22">
      <c r="A303" t="s">
        <v>371</v>
      </c>
      <c r="B303" t="s">
        <v>26</v>
      </c>
      <c r="C303" s="124" t="n">
        <v>17.15968892483802</v>
      </c>
      <c r="D303" s="88" t="n">
        <v>12.33178939031295</v>
      </c>
      <c r="E303" s="16" t="n">
        <v>0.2813512270340092</v>
      </c>
      <c r="F303" s="88" t="n">
        <v>110.4248812167486</v>
      </c>
      <c r="G303" s="88" t="n">
        <v>5.435133043519961</v>
      </c>
      <c r="H303" s="16" t="n">
        <v>0.1536094876264571</v>
      </c>
      <c r="I303" s="16" t="n">
        <v>0.5834972848833966</v>
      </c>
      <c r="J303" s="16" t="n">
        <v>1.791784187842184</v>
      </c>
      <c r="K303" s="88" t="n">
        <v>8.954489711241036</v>
      </c>
      <c r="L303" s="9" t="n">
        <v>12.33178939031295</v>
      </c>
      <c r="M303" s="18" t="n">
        <v>0.2813512270340092</v>
      </c>
      <c r="N303" s="9" t="n">
        <v>63.26330696091359</v>
      </c>
      <c r="O303" s="9" t="n">
        <v>2.686739732754845</v>
      </c>
      <c r="P303" s="9" t="n">
        <v>5.130099530454935</v>
      </c>
    </row>
    <row r="304" spans="1:22">
      <c r="B304" t="s">
        <v>28</v>
      </c>
      <c r="C304" s="124" t="n">
        <v>1.781843598453314</v>
      </c>
      <c r="D304" s="88" t="n">
        <v>1.238490465795704</v>
      </c>
      <c r="E304" s="16" t="n">
        <v>0.3049387348750781</v>
      </c>
      <c r="F304" s="88" t="n">
        <v>4.864353991046768</v>
      </c>
      <c r="G304" s="88" t="n">
        <v>1.729955645528682</v>
      </c>
      <c r="H304" s="16" t="n">
        <v>0.01162879578349774</v>
      </c>
      <c r="I304" s="16" t="n">
        <v>0.2538508071832477</v>
      </c>
      <c r="J304" s="16" t="n">
        <v>0.6257587607178221</v>
      </c>
      <c r="K304" s="88" t="n">
        <v>3.927647507501419</v>
      </c>
      <c r="L304" s="9" t="n">
        <v>1.238490465795704</v>
      </c>
      <c r="M304" s="18" t="n">
        <v>0.3049387348750781</v>
      </c>
      <c r="N304" s="9" t="n">
        <v>4.332462970844226</v>
      </c>
      <c r="O304" s="9" t="n">
        <v>1.431449637108956</v>
      </c>
      <c r="P304" s="9" t="n">
        <v>3.498180317488928</v>
      </c>
    </row>
    <row r="305" spans="1:22">
      <c r="B305" t="s">
        <v>29</v>
      </c>
      <c r="C305" s="124" t="n">
        <v>1.604617930463495</v>
      </c>
      <c r="D305" s="88" t="n">
        <v>1.084681460061421</v>
      </c>
      <c r="E305" s="16" t="n">
        <v>0.324025090665595</v>
      </c>
      <c r="F305" s="88" t="n">
        <v>5.19571518579681</v>
      </c>
      <c r="G305" s="88" t="n">
        <v>2.23797652210955</v>
      </c>
      <c r="H305" s="16" t="n">
        <v>0.2245690007085954</v>
      </c>
      <c r="I305" s="16" t="n">
        <v>0.515594214033567</v>
      </c>
      <c r="J305" s="16" t="n">
        <v>1.068943333411763</v>
      </c>
      <c r="K305" s="88" t="n">
        <v>4.790083888317402</v>
      </c>
      <c r="L305" s="9" t="n">
        <v>1.084681460061421</v>
      </c>
      <c r="M305" s="18" t="n">
        <v>0.324025090665595</v>
      </c>
      <c r="N305" s="9" t="n">
        <v>4.962955807054679</v>
      </c>
      <c r="O305" s="9" t="n">
        <v>2.092920571828041</v>
      </c>
      <c r="P305" s="9" t="n">
        <v>4.575496115489654</v>
      </c>
    </row>
    <row r="306" spans="1:22">
      <c r="C306" s="70" t="n"/>
      <c r="D306" s="88" t="n"/>
      <c r="F306" s="88" t="n"/>
      <c r="G306" s="88" t="n"/>
      <c r="K306" s="88" t="n"/>
      <c r="L306" s="9" t="n"/>
      <c r="N306" s="9" t="n"/>
      <c r="O306" s="9" t="n"/>
      <c r="P306" s="9" t="n"/>
    </row>
    <row r="307" spans="1:22">
      <c r="A307" s="85" t="s">
        <v>372</v>
      </c>
      <c r="B307" t="s">
        <v>24</v>
      </c>
      <c r="C307" s="123" t="n">
        <v>23.97031707694018</v>
      </c>
      <c r="D307" s="88" t="n">
        <v>11.77060253359021</v>
      </c>
      <c r="E307" s="16" t="n">
        <v>0.508950903911333</v>
      </c>
      <c r="F307" s="88" t="n">
        <v>139.4725271656613</v>
      </c>
      <c r="G307" s="88" t="n">
        <v>4.818551616066695</v>
      </c>
      <c r="H307" s="16" t="n">
        <v>-0.09431584648430047</v>
      </c>
      <c r="I307" s="16" t="n">
        <v>0.7419201128777828</v>
      </c>
      <c r="J307" s="16" t="n">
        <v>1.434171044674182</v>
      </c>
      <c r="K307" s="88" t="n">
        <v>11.84922579516582</v>
      </c>
      <c r="L307" s="9" t="n">
        <v>12.83513966958148</v>
      </c>
      <c r="M307" s="18" t="n">
        <v>0.464540263343905</v>
      </c>
      <c r="N307" s="9" t="n">
        <v>139.4725271656613</v>
      </c>
      <c r="O307" s="9" t="n">
        <v>4.818551616066695</v>
      </c>
      <c r="P307" s="9" t="n">
        <v>10.86645963784897</v>
      </c>
      <c r="Q307" s="131" t="n">
        <v>0.08043904480914882</v>
      </c>
      <c r="R307" s="131" t="n">
        <v>0.06803020131960083</v>
      </c>
      <c r="S307" s="131" t="n">
        <v>0.01311971367462013</v>
      </c>
      <c r="U307" s="129">
        <f>C307*S307</f>
        <v/>
      </c>
      <c r="V307" s="129">
        <f>Q307*(1-U307)+S307</f>
        <v/>
      </c>
    </row>
    <row r="308" spans="1:22">
      <c r="A308" t="s">
        <v>373</v>
      </c>
      <c r="B308" t="s">
        <v>26</v>
      </c>
      <c r="C308" s="124" t="n">
        <v>31.18251086423585</v>
      </c>
      <c r="D308" s="88" t="n">
        <v>11.46741821018596</v>
      </c>
      <c r="E308" s="16" t="n">
        <v>0.6322484016725449</v>
      </c>
      <c r="F308" s="88" t="n">
        <v>-527.3570568774711</v>
      </c>
      <c r="G308" s="88" t="n">
        <v>-17.91194975201027</v>
      </c>
      <c r="H308" s="16" t="n">
        <v>0.007984518627907278</v>
      </c>
      <c r="I308" s="16" t="n">
        <v>0.9010925987471452</v>
      </c>
      <c r="J308" s="16" t="n">
        <v>4.305364574793161</v>
      </c>
      <c r="K308" s="88" t="n">
        <v>-45.98742691786063</v>
      </c>
      <c r="L308" s="9" t="n">
        <v>14.03507041875391</v>
      </c>
      <c r="M308" s="18" t="n">
        <v>0.5499056993883342</v>
      </c>
      <c r="N308" s="9" t="n">
        <v>-527.3570568774711</v>
      </c>
      <c r="O308" s="9" t="n">
        <v>-17.91194975201027</v>
      </c>
      <c r="P308" s="9" t="n">
        <v>-37.57423661892052</v>
      </c>
    </row>
    <row r="309" spans="1:22">
      <c r="B309" t="s">
        <v>28</v>
      </c>
      <c r="C309" s="124" t="n">
        <v>1.928149409441496</v>
      </c>
      <c r="D309" s="88" t="n">
        <v>1.409556108919786</v>
      </c>
      <c r="E309" s="16" t="n">
        <v>0.2689590848003447</v>
      </c>
      <c r="F309" s="88" t="n">
        <v>9.257579312004685</v>
      </c>
      <c r="G309" s="88" t="n">
        <v>3.801276948079567</v>
      </c>
      <c r="H309" s="16" t="n">
        <v>0.4649033898256909</v>
      </c>
      <c r="I309" s="16" t="n">
        <v>0.8524918002979363</v>
      </c>
      <c r="J309" s="16" t="n">
        <v>1.370502551064667</v>
      </c>
      <c r="K309" s="88" t="n">
        <v>6.567726714404603</v>
      </c>
      <c r="L309" s="9" t="n">
        <v>1.409556108919786</v>
      </c>
      <c r="M309" s="18" t="n">
        <v>0.2689590848003447</v>
      </c>
      <c r="N309" s="9" t="n">
        <v>9.257579312004685</v>
      </c>
      <c r="O309" s="9" t="n">
        <v>3.801276948079567</v>
      </c>
      <c r="P309" s="9" t="n">
        <v>6.567726714404603</v>
      </c>
    </row>
    <row r="310" spans="1:22">
      <c r="B310" t="s">
        <v>29</v>
      </c>
      <c r="C310" s="124" t="n">
        <v>2.121352491744605</v>
      </c>
      <c r="D310" s="88" t="n">
        <v>1.503868876083023</v>
      </c>
      <c r="E310" s="16" t="n">
        <v>0.291080156675783</v>
      </c>
      <c r="F310" s="88" t="n">
        <v>9.550146263063009</v>
      </c>
      <c r="G310" s="88" t="n">
        <v>3.501913897019985</v>
      </c>
      <c r="H310" s="16" t="n">
        <v>0.4075541974017542</v>
      </c>
      <c r="I310" s="16" t="n">
        <v>0.9067995638010431</v>
      </c>
      <c r="J310" s="16" t="n">
        <v>1.418914112078582</v>
      </c>
      <c r="K310" s="88" t="n">
        <v>6.350384940432655</v>
      </c>
      <c r="L310" s="9" t="n">
        <v>1.503868876083023</v>
      </c>
      <c r="M310" s="18" t="n">
        <v>0.291080156675783</v>
      </c>
      <c r="N310" s="9" t="n">
        <v>9.550146263063009</v>
      </c>
      <c r="O310" s="9" t="n">
        <v>3.501913897019985</v>
      </c>
      <c r="P310" s="9" t="n">
        <v>6.350384940432655</v>
      </c>
    </row>
    <row r="311" spans="1:22">
      <c r="C311" s="70" t="n"/>
      <c r="D311" s="88" t="n"/>
      <c r="F311" s="88" t="n"/>
      <c r="G311" s="88" t="n"/>
      <c r="K311" s="88" t="n"/>
      <c r="L311" s="9" t="n"/>
      <c r="N311" s="9" t="n"/>
      <c r="O311" s="9" t="n"/>
      <c r="P311" s="9" t="n"/>
    </row>
    <row r="312" spans="1:22">
      <c r="A312" t="s">
        <v>374</v>
      </c>
      <c r="B312" t="s">
        <v>24</v>
      </c>
      <c r="C312" s="125" t="n">
        <v>115.5532202921555</v>
      </c>
      <c r="D312" s="88" t="n">
        <v>34.296483930128</v>
      </c>
      <c r="E312" s="16" t="n">
        <v>0.7031975063661964</v>
      </c>
      <c r="F312" s="88" t="n">
        <v>-194.0596233646851</v>
      </c>
      <c r="G312" s="88" t="n">
        <v>-2.679396064203492</v>
      </c>
      <c r="H312" s="16" t="n">
        <v>-0.5388233233304153</v>
      </c>
      <c r="I312" s="16" t="n">
        <v>-0.2196872236430573</v>
      </c>
      <c r="J312" s="16" t="n">
        <v>0.1741846861339291</v>
      </c>
      <c r="K312" s="88" t="n">
        <v>-5.658294994905059</v>
      </c>
      <c r="L312" s="9" t="n">
        <v>49.99587505930243</v>
      </c>
      <c r="M312" s="18" t="n">
        <v>0.567334645171317</v>
      </c>
      <c r="N312" s="9" t="n">
        <v>-194.0596233646851</v>
      </c>
      <c r="O312" s="9" t="n">
        <v>-2.679396064203492</v>
      </c>
      <c r="P312" s="9" t="n">
        <v>-3.881512687486756</v>
      </c>
      <c r="Q312" s="131" t="n">
        <v>0.0369613023940166</v>
      </c>
      <c r="R312" s="131" t="n">
        <v>0.005161226651038525</v>
      </c>
      <c r="S312" s="131" t="n">
        <v>0.002767451587906622</v>
      </c>
      <c r="U312" s="129">
        <f>C312*S312</f>
        <v/>
      </c>
      <c r="V312" s="129">
        <f>Q312*(1-U312)+S312</f>
        <v/>
      </c>
    </row>
    <row r="313" spans="1:22">
      <c r="A313" t="s">
        <v>375</v>
      </c>
      <c r="B313" t="s">
        <v>26</v>
      </c>
      <c r="C313" s="126" t="n">
        <v>560.6269778165821</v>
      </c>
      <c r="D313" s="88" t="n">
        <v>34.61796147288487</v>
      </c>
      <c r="E313" s="16" t="n">
        <v>0.93825134564928</v>
      </c>
      <c r="F313" s="88" t="n">
        <v>-168.1557341064519</v>
      </c>
      <c r="G313" s="88" t="n">
        <v>-1.299942280268694</v>
      </c>
      <c r="H313" s="16" t="n">
        <v>-0.9023513855995864</v>
      </c>
      <c r="I313" s="16" t="n">
        <v>-0.8342619713697123</v>
      </c>
      <c r="J313" s="16" t="n">
        <v>-0.7306542612768969</v>
      </c>
      <c r="K313" s="88" t="n">
        <v>-4.85747071612414</v>
      </c>
      <c r="L313" s="9" t="n">
        <v>53.25891853662424</v>
      </c>
      <c r="M313" s="18" t="n">
        <v>0.9050011493488123</v>
      </c>
      <c r="N313" s="9" t="n">
        <v>-168.1557341064519</v>
      </c>
      <c r="O313" s="9" t="n">
        <v>-1.299942280268694</v>
      </c>
      <c r="P313" s="9" t="n">
        <v>-3.157325359335212</v>
      </c>
    </row>
    <row r="314" spans="1:22">
      <c r="B314" t="s">
        <v>28</v>
      </c>
      <c r="C314" s="123" t="n">
        <v>4.270997517820774</v>
      </c>
      <c r="D314" s="88" t="n">
        <v>2.541539976436928</v>
      </c>
      <c r="E314" s="16" t="n">
        <v>0.4049305892049034</v>
      </c>
      <c r="F314" s="88" t="n">
        <v>30.34791878795257</v>
      </c>
      <c r="G314" s="88" t="n">
        <v>6.105580993977545</v>
      </c>
      <c r="H314" s="16" t="n">
        <v>-0.1267253508415666</v>
      </c>
      <c r="I314" s="16" t="n">
        <v>0.3003835256501717</v>
      </c>
      <c r="J314" s="16" t="n">
        <v>1.005431101472977</v>
      </c>
      <c r="K314" s="88" t="n">
        <v>11.9407599602263</v>
      </c>
      <c r="L314" s="9" t="n">
        <v>2.70855923672026</v>
      </c>
      <c r="M314" s="18" t="n">
        <v>0.3658251437939793</v>
      </c>
      <c r="N314" s="9" t="n">
        <v>30.34791878795257</v>
      </c>
      <c r="O314" s="9" t="n">
        <v>6.105580993977545</v>
      </c>
      <c r="P314" s="9" t="n">
        <v>11.20445082999191</v>
      </c>
    </row>
    <row r="315" spans="1:22">
      <c r="B315" t="s">
        <v>29</v>
      </c>
      <c r="C315" s="124" t="n">
        <v>2.893522899198127</v>
      </c>
      <c r="D315" s="88" t="n">
        <v>1.923502375155815</v>
      </c>
      <c r="E315" s="16" t="n">
        <v>0.3352385855702512</v>
      </c>
      <c r="F315" s="88" t="n">
        <v>24.6904161521141</v>
      </c>
      <c r="G315" s="88" t="n">
        <v>7.532994903533154</v>
      </c>
      <c r="H315" s="16" t="n">
        <v>0.1024292727426332</v>
      </c>
      <c r="I315" s="16" t="n">
        <v>0.8436983410084786</v>
      </c>
      <c r="J315" s="16" t="n">
        <v>1.709178387514827</v>
      </c>
      <c r="K315" s="88" t="n">
        <v>12.83617658653218</v>
      </c>
      <c r="L315" s="9" t="n">
        <v>1.923502375155815</v>
      </c>
      <c r="M315" s="18" t="n">
        <v>0.3352385855702512</v>
      </c>
      <c r="N315" s="9" t="n">
        <v>24.6904161521141</v>
      </c>
      <c r="O315" s="9" t="n">
        <v>7.532994903533154</v>
      </c>
      <c r="P315" s="9" t="n">
        <v>12.83617658653218</v>
      </c>
    </row>
    <row r="316" spans="1:22">
      <c r="C316" s="70" t="n"/>
      <c r="D316" s="88" t="n"/>
      <c r="F316" s="88" t="n"/>
      <c r="G316" s="88" t="n"/>
      <c r="K316" s="88" t="n"/>
      <c r="L316" s="9" t="n"/>
      <c r="N316" s="9" t="n"/>
      <c r="O316" s="9" t="n"/>
      <c r="P316" s="9" t="n"/>
    </row>
    <row r="317" spans="1:22">
      <c r="A317" t="s">
        <v>376</v>
      </c>
      <c r="B317" t="s">
        <v>24</v>
      </c>
      <c r="C317" s="126" t="n">
        <v>102.3584449874226</v>
      </c>
      <c r="D317" s="88" t="n">
        <v>26.93309371801403</v>
      </c>
      <c r="E317" s="16" t="n">
        <v>0.7368747276170182</v>
      </c>
      <c r="F317" s="88" t="n">
        <v>-219.2925884826769</v>
      </c>
      <c r="G317" s="88" t="n">
        <v>-3.142398592608775</v>
      </c>
      <c r="H317" s="16" t="n">
        <v>-0.5526527815622085</v>
      </c>
      <c r="I317" s="16" t="n">
        <v>-0.3735242402375381</v>
      </c>
      <c r="J317" s="16" t="n">
        <v>-0.1041674644901873</v>
      </c>
      <c r="K317" s="88" t="n">
        <v>-8.142123989863238</v>
      </c>
      <c r="L317" s="9" t="n">
        <v>40.38387353739199</v>
      </c>
      <c r="M317" s="18" t="n">
        <v>0.6054661289319685</v>
      </c>
      <c r="N317" s="9" t="n">
        <v>227.5004700265563</v>
      </c>
      <c r="O317" s="9" t="n">
        <v>1.222586226808258</v>
      </c>
      <c r="P317" s="9" t="n">
        <v>5.633448456000895</v>
      </c>
      <c r="Q317" s="131" t="n">
        <v>0.03494868038414321</v>
      </c>
      <c r="R317" s="131" t="n">
        <v>0.03796870005154748</v>
      </c>
      <c r="S317" s="131" t="n">
        <v>0.003673649072414187</v>
      </c>
      <c r="U317" s="129">
        <f>C317*S317</f>
        <v/>
      </c>
      <c r="V317" s="129">
        <f>Q317*(1-U317)+S317</f>
        <v/>
      </c>
    </row>
    <row r="318" spans="1:22">
      <c r="A318" t="s">
        <v>377</v>
      </c>
      <c r="B318" t="s">
        <v>26</v>
      </c>
      <c r="C318" s="125" t="n">
        <v>84.46525979756024</v>
      </c>
      <c r="D318" s="88" t="n">
        <v>26.45708705510439</v>
      </c>
      <c r="E318" s="16" t="n">
        <v>0.6867696006794429</v>
      </c>
      <c r="F318" s="88" t="n">
        <v>419.7626530167432</v>
      </c>
      <c r="G318" s="88" t="n">
        <v>3.969648516121275</v>
      </c>
      <c r="H318" s="16" t="n">
        <v>-0.425228446632981</v>
      </c>
      <c r="I318" s="16" t="n">
        <v>-0.1953197048777044</v>
      </c>
      <c r="J318" s="16" t="n">
        <v>0.2048549072838775</v>
      </c>
      <c r="K318" s="88" t="n">
        <v>15.86579248662063</v>
      </c>
      <c r="L318" s="9" t="n">
        <v>42.41442661412022</v>
      </c>
      <c r="M318" s="18" t="n">
        <v>0.4978476747034719</v>
      </c>
      <c r="N318" s="9" t="n">
        <v>243.6798242478725</v>
      </c>
      <c r="O318" s="9" t="n">
        <v>1.884970990818063</v>
      </c>
      <c r="P318" s="9" t="n">
        <v>5.745210856316252</v>
      </c>
    </row>
    <row r="319" spans="1:22">
      <c r="B319" t="s">
        <v>28</v>
      </c>
      <c r="C319" s="123" t="n">
        <v>3.577292578483339</v>
      </c>
      <c r="D319" s="88" t="n">
        <v>2.228482590018152</v>
      </c>
      <c r="E319" s="16" t="n">
        <v>0.3770477138431435</v>
      </c>
      <c r="F319" s="88" t="n">
        <v>18.8366250420367</v>
      </c>
      <c r="G319" s="88" t="n">
        <v>4.265609292159951</v>
      </c>
      <c r="H319" s="16" t="n">
        <v>-0.1266542472229373</v>
      </c>
      <c r="I319" s="16" t="n">
        <v>0.2739105619764084</v>
      </c>
      <c r="J319" s="16" t="n">
        <v>0.7198535831062971</v>
      </c>
      <c r="K319" s="88" t="n">
        <v>8.452668702196712</v>
      </c>
      <c r="L319" s="9" t="n">
        <v>2.228482590018152</v>
      </c>
      <c r="M319" s="18" t="n">
        <v>0.3770477138431435</v>
      </c>
      <c r="N319" s="9" t="n">
        <v>18.8366250420367</v>
      </c>
      <c r="O319" s="9" t="n">
        <v>4.265609292159951</v>
      </c>
      <c r="P319" s="9" t="n">
        <v>8.452668702196712</v>
      </c>
    </row>
    <row r="320" spans="1:22">
      <c r="B320" t="s">
        <v>29</v>
      </c>
      <c r="C320" s="123" t="n">
        <v>3.207036114029596</v>
      </c>
      <c r="D320" s="88" t="n">
        <v>2.075575256538002</v>
      </c>
      <c r="E320" s="16" t="n">
        <v>0.3528057736992332</v>
      </c>
      <c r="F320" s="88" t="n">
        <v>17.16084384908092</v>
      </c>
      <c r="G320" s="88" t="n">
        <v>4.350998005294851</v>
      </c>
      <c r="H320" s="16" t="n">
        <v>-0.06328370100415259</v>
      </c>
      <c r="I320" s="16" t="n">
        <v>0.4091043974210471</v>
      </c>
      <c r="J320" s="16" t="n">
        <v>0.9058144924863769</v>
      </c>
      <c r="K320" s="88" t="n">
        <v>8.267994039254784</v>
      </c>
      <c r="L320" s="9" t="n">
        <v>2.110842685028418</v>
      </c>
      <c r="M320" s="18" t="n">
        <v>0.3418088821032408</v>
      </c>
      <c r="N320" s="9" t="n">
        <v>17.16084384908092</v>
      </c>
      <c r="O320" s="9" t="n">
        <v>4.350998005294851</v>
      </c>
      <c r="P320" s="9" t="n">
        <v>8.12985447508604</v>
      </c>
    </row>
    <row r="321" spans="1:22">
      <c r="C321" s="70" t="n"/>
      <c r="D321" s="88" t="n"/>
      <c r="F321" s="88" t="n"/>
      <c r="G321" s="88" t="n"/>
      <c r="K321" s="88" t="n"/>
      <c r="L321" s="9" t="n"/>
      <c r="N321" s="9" t="n"/>
      <c r="O321" s="9" t="n"/>
      <c r="P321" s="9" t="n"/>
    </row>
    <row r="322" spans="1:22">
      <c r="A322" t="s">
        <v>378</v>
      </c>
      <c r="B322" t="s">
        <v>24</v>
      </c>
      <c r="C322" s="125" t="n">
        <v>54.40515587739242</v>
      </c>
      <c r="D322" s="88" t="n">
        <v>24.79069470531008</v>
      </c>
      <c r="E322" s="16" t="n">
        <v>0.5443318871987346</v>
      </c>
      <c r="F322" s="88" t="n">
        <v>186.9647221380992</v>
      </c>
      <c r="G322" s="88" t="n">
        <v>2.436525805742443</v>
      </c>
      <c r="H322" s="16" t="n">
        <v>-0.2806525231202064</v>
      </c>
      <c r="I322" s="16" t="n">
        <v>-0.01218975553201374</v>
      </c>
      <c r="J322" s="16" t="n">
        <v>0.3195623305691786</v>
      </c>
      <c r="K322" s="88" t="n">
        <v>7.541729845031413</v>
      </c>
      <c r="L322" s="9" t="n">
        <v>36.94899889117463</v>
      </c>
      <c r="M322" s="18" t="n">
        <v>0.3208548290084313</v>
      </c>
      <c r="N322" s="9" t="n">
        <v>186.9647221380992</v>
      </c>
      <c r="O322" s="9" t="n">
        <v>2.436525805742443</v>
      </c>
      <c r="P322" s="9" t="n">
        <v>5.060075448559887</v>
      </c>
      <c r="Q322" s="131" t="n">
        <v>0.09645325201868299</v>
      </c>
      <c r="R322" s="131" t="n">
        <v>0.08354795393365322</v>
      </c>
      <c r="S322" s="131" t="n">
        <v>0.004127121567560226</v>
      </c>
      <c r="U322" s="129">
        <f>C322*S322</f>
        <v/>
      </c>
      <c r="V322" s="129">
        <f>Q322*(1-U322)+S322</f>
        <v/>
      </c>
    </row>
    <row r="323" spans="1:22">
      <c r="A323" t="s">
        <v>379</v>
      </c>
      <c r="B323" t="s">
        <v>26</v>
      </c>
      <c r="C323" s="123" t="n">
        <v>50.45742835882601</v>
      </c>
      <c r="D323" s="88" t="n">
        <v>26.86005121726919</v>
      </c>
      <c r="E323" s="16" t="n">
        <v>0.4676690411914178</v>
      </c>
      <c r="F323" s="88" t="n">
        <v>192.9911623999606</v>
      </c>
      <c r="G323" s="88" t="n">
        <v>2.824831519900531</v>
      </c>
      <c r="H323" s="16" t="n">
        <v>-0.09230869390919372</v>
      </c>
      <c r="I323" s="16" t="n">
        <v>0.2105155582155402</v>
      </c>
      <c r="J323" s="16" t="n">
        <v>0.6362065357102313</v>
      </c>
      <c r="K323" s="88" t="n">
        <v>7.185063082675001</v>
      </c>
      <c r="L323" s="9" t="n">
        <v>35.76730290393208</v>
      </c>
      <c r="M323" s="18" t="n">
        <v>0.2911390043587968</v>
      </c>
      <c r="N323" s="9" t="n">
        <v>192.9911623999606</v>
      </c>
      <c r="O323" s="9" t="n">
        <v>2.824831519900531</v>
      </c>
      <c r="P323" s="9" t="n">
        <v>5.395742668054071</v>
      </c>
    </row>
    <row r="324" spans="1:22">
      <c r="B324" t="s">
        <v>28</v>
      </c>
      <c r="C324" s="123" t="n">
        <v>5.247554210957864</v>
      </c>
      <c r="D324" s="88" t="n">
        <v>2.980888923465501</v>
      </c>
      <c r="E324" s="16" t="n">
        <v>0.4319469978526655</v>
      </c>
      <c r="F324" s="88" t="n">
        <v>20.70701452791042</v>
      </c>
      <c r="G324" s="88" t="n">
        <v>2.946031559744603</v>
      </c>
      <c r="H324" s="16" t="n">
        <v>-0.1484682355781538</v>
      </c>
      <c r="I324" s="16" t="n">
        <v>0.1308137920361312</v>
      </c>
      <c r="J324" s="16" t="n">
        <v>0.4003532031196595</v>
      </c>
      <c r="K324" s="88" t="n">
        <v>6.946590449883991</v>
      </c>
      <c r="L324" s="9" t="n">
        <v>3.379576246766385</v>
      </c>
      <c r="M324" s="18" t="n">
        <v>0.3559711608678182</v>
      </c>
      <c r="N324" s="9" t="n">
        <v>20.70701452791042</v>
      </c>
      <c r="O324" s="9" t="n">
        <v>2.946031559744603</v>
      </c>
      <c r="P324" s="9" t="n">
        <v>6.127103818924965</v>
      </c>
    </row>
    <row r="325" spans="1:22">
      <c r="B325" t="s">
        <v>29</v>
      </c>
      <c r="C325" s="123" t="n">
        <v>4.215614900133803</v>
      </c>
      <c r="D325" s="88" t="n">
        <v>2.581540961158319</v>
      </c>
      <c r="E325" s="16" t="n">
        <v>0.3876241017469643</v>
      </c>
      <c r="F325" s="88" t="n">
        <v>18.16025679063797</v>
      </c>
      <c r="G325" s="88" t="n">
        <v>3.307854778210781</v>
      </c>
      <c r="H325" s="16" t="n">
        <v>-0.1192413969991066</v>
      </c>
      <c r="I325" s="16" t="n">
        <v>0.2825657205906758</v>
      </c>
      <c r="J325" s="16" t="n">
        <v>0.6541679247997241</v>
      </c>
      <c r="K325" s="88" t="n">
        <v>7.034657618792765</v>
      </c>
      <c r="L325" s="9" t="n">
        <v>2.722673426400452</v>
      </c>
      <c r="M325" s="18" t="n">
        <v>0.3541456013180818</v>
      </c>
      <c r="N325" s="9" t="n">
        <v>18.16025679063797</v>
      </c>
      <c r="O325" s="9" t="n">
        <v>3.307854778210781</v>
      </c>
      <c r="P325" s="9" t="n">
        <v>6.670009195574728</v>
      </c>
    </row>
    <row r="326" spans="1:22">
      <c r="C326" s="70" t="n"/>
      <c r="D326" s="88" t="n"/>
      <c r="F326" s="88" t="n"/>
      <c r="G326" s="88" t="n"/>
      <c r="K326" s="88" t="n"/>
      <c r="L326" s="9" t="n"/>
      <c r="N326" s="9" t="n"/>
      <c r="O326" s="9" t="n"/>
      <c r="P326" s="9" t="n"/>
    </row>
    <row r="327" spans="1:22">
      <c r="A327" t="s">
        <v>380</v>
      </c>
      <c r="B327" t="s">
        <v>24</v>
      </c>
      <c r="C327" s="125" t="n">
        <v>60.63025946345956</v>
      </c>
      <c r="D327" s="88" t="n">
        <v>27.49177820350441</v>
      </c>
      <c r="E327" s="16" t="n">
        <v>0.5465667070075286</v>
      </c>
      <c r="F327" s="88" t="n">
        <v>124.0382614390493</v>
      </c>
      <c r="G327" s="88" t="n">
        <v>1.045814458600565</v>
      </c>
      <c r="H327" s="16" t="n">
        <v>-0.3928709995523905</v>
      </c>
      <c r="I327" s="16" t="n">
        <v>-0.2356580648448499</v>
      </c>
      <c r="J327" s="16" t="n">
        <v>0.02434032393052266</v>
      </c>
      <c r="K327" s="88" t="n">
        <v>4.511831156241394</v>
      </c>
      <c r="L327" s="9" t="n">
        <v>27.49177820350441</v>
      </c>
      <c r="M327" s="18" t="n">
        <v>0.5465667070075286</v>
      </c>
      <c r="N327" s="9" t="n">
        <v>124.0382614390493</v>
      </c>
      <c r="O327" s="9" t="n">
        <v>1.045814458600565</v>
      </c>
      <c r="P327" s="9" t="n">
        <v>4.511831156241394</v>
      </c>
      <c r="Q327" s="131" t="n">
        <v>0.04900992410751218</v>
      </c>
      <c r="R327" s="131" t="n">
        <v>0.04794076519108501</v>
      </c>
      <c r="S327" s="131" t="n">
        <v>0.005741590674205947</v>
      </c>
      <c r="U327" s="129">
        <f>C327*S327</f>
        <v/>
      </c>
      <c r="V327" s="129">
        <f>Q327*(1-U327)+S327</f>
        <v/>
      </c>
    </row>
    <row r="328" spans="1:22">
      <c r="A328" t="s">
        <v>381</v>
      </c>
      <c r="B328" t="s">
        <v>26</v>
      </c>
      <c r="C328" s="123" t="n">
        <v>59.20209284361893</v>
      </c>
      <c r="D328" s="88" t="n">
        <v>36.22633411495783</v>
      </c>
      <c r="E328" s="16" t="n">
        <v>0.3880903127757844</v>
      </c>
      <c r="F328" s="88" t="n">
        <v>152.0988930878449</v>
      </c>
      <c r="G328" s="88" t="n">
        <v>1.569147234196786</v>
      </c>
      <c r="H328" s="16" t="n">
        <v>-0.1546351969309524</v>
      </c>
      <c r="I328" s="16" t="n">
        <v>0.1077781370831141</v>
      </c>
      <c r="J328" s="16" t="n">
        <v>0.448690424424171</v>
      </c>
      <c r="K328" s="88" t="n">
        <v>4.198572579968652</v>
      </c>
      <c r="L328" s="9" t="n">
        <v>36.22633411495783</v>
      </c>
      <c r="M328" s="18" t="n">
        <v>0.3880903127757844</v>
      </c>
      <c r="N328" s="9" t="n">
        <v>152.0988930878449</v>
      </c>
      <c r="O328" s="9" t="n">
        <v>1.569147234196786</v>
      </c>
      <c r="P328" s="9" t="n">
        <v>4.198572579968652</v>
      </c>
    </row>
    <row r="329" spans="1:22">
      <c r="B329" t="s">
        <v>28</v>
      </c>
      <c r="C329" s="123" t="n">
        <v>2.971484414922925</v>
      </c>
      <c r="D329" s="88" t="n">
        <v>1.871382088902498</v>
      </c>
      <c r="E329" s="16" t="n">
        <v>0.3702197866142811</v>
      </c>
      <c r="F329" s="88" t="n">
        <v>9.43157418070645</v>
      </c>
      <c r="G329" s="88" t="n">
        <v>2.17402781362092</v>
      </c>
      <c r="H329" s="16" t="n">
        <v>-0.1107614798153913</v>
      </c>
      <c r="I329" s="16" t="n">
        <v>0.1203425894943126</v>
      </c>
      <c r="J329" s="16" t="n">
        <v>0.3370343382670333</v>
      </c>
      <c r="K329" s="88" t="n">
        <v>5.039897643905393</v>
      </c>
      <c r="L329" s="9" t="n">
        <v>1.973294300136516</v>
      </c>
      <c r="M329" s="18" t="n">
        <v>0.3359230523887169</v>
      </c>
      <c r="N329" s="9" t="n">
        <v>9.43157418070645</v>
      </c>
      <c r="O329" s="9" t="n">
        <v>2.17402781362092</v>
      </c>
      <c r="P329" s="9" t="n">
        <v>4.779608485188428</v>
      </c>
    </row>
    <row r="330" spans="1:22">
      <c r="B330" t="s">
        <v>29</v>
      </c>
      <c r="C330" s="123" t="n">
        <v>2.83819363183675</v>
      </c>
      <c r="D330" s="88" t="n">
        <v>1.916056602925025</v>
      </c>
      <c r="E330" s="16" t="n">
        <v>0.3249027897772285</v>
      </c>
      <c r="F330" s="88" t="n">
        <v>10.04893353819853</v>
      </c>
      <c r="G330" s="88" t="n">
        <v>2.54060886666683</v>
      </c>
      <c r="H330" s="16" t="n">
        <v>-0.05863071634086914</v>
      </c>
      <c r="I330" s="16" t="n">
        <v>0.2233316568062285</v>
      </c>
      <c r="J330" s="16" t="n">
        <v>0.5359458253878897</v>
      </c>
      <c r="K330" s="88" t="n">
        <v>5.244591168579239</v>
      </c>
      <c r="L330" s="9" t="n">
        <v>1.955749597268216</v>
      </c>
      <c r="M330" s="18" t="n">
        <v>0.3109174880353233</v>
      </c>
      <c r="N330" s="9" t="n">
        <v>10.04893353819853</v>
      </c>
      <c r="O330" s="9" t="n">
        <v>2.54060886666683</v>
      </c>
      <c r="P330" s="9" t="n">
        <v>5.138149358299672</v>
      </c>
    </row>
    <row r="331" spans="1:22">
      <c r="C331" s="70" t="n"/>
      <c r="D331" s="88" t="n"/>
      <c r="F331" s="88" t="n"/>
      <c r="G331" s="88" t="n"/>
      <c r="K331" s="88" t="n"/>
      <c r="L331" s="9" t="n"/>
      <c r="N331" s="9" t="n"/>
      <c r="O331" s="9" t="n"/>
      <c r="P331" s="9" t="n"/>
    </row>
    <row r="332" spans="1:22">
      <c r="A332" t="s">
        <v>382</v>
      </c>
      <c r="B332" t="s">
        <v>24</v>
      </c>
      <c r="C332" s="125" t="n">
        <v>53.23307426028074</v>
      </c>
      <c r="D332" s="88" t="n">
        <v>27.46802261303835</v>
      </c>
      <c r="E332" s="16" t="n">
        <v>0.4840045780798854</v>
      </c>
      <c r="F332" s="88" t="n">
        <v>106.197754796509</v>
      </c>
      <c r="G332" s="88" t="n">
        <v>0.9949581396945024</v>
      </c>
      <c r="H332" s="16" t="n">
        <v>-0.2715630785660667</v>
      </c>
      <c r="I332" s="16" t="n">
        <v>-0.0712437188436883</v>
      </c>
      <c r="J332" s="16" t="n">
        <v>0.08337196284029136</v>
      </c>
      <c r="K332" s="88" t="n">
        <v>3.866232247315089</v>
      </c>
      <c r="L332" s="9" t="n">
        <v>28.60291678999523</v>
      </c>
      <c r="M332" s="18" t="n">
        <v>0.4626852349322801</v>
      </c>
      <c r="N332" s="9" t="n">
        <v>106.197754796509</v>
      </c>
      <c r="O332" s="9" t="n">
        <v>0.9949581396945024</v>
      </c>
      <c r="P332" s="9" t="n">
        <v>3.712829554280106</v>
      </c>
      <c r="Q332" s="131" t="n">
        <v>0.08470366630640729</v>
      </c>
      <c r="R332" s="131" t="n">
        <v>0.005916350834971356</v>
      </c>
      <c r="S332" s="131" t="n">
        <v>0.008116225194302164</v>
      </c>
      <c r="U332" s="129">
        <f>C332*S332</f>
        <v/>
      </c>
      <c r="V332" s="129">
        <f>Q332*(1-U332)+S332</f>
        <v/>
      </c>
    </row>
    <row r="333" spans="1:22">
      <c r="A333" t="s">
        <v>383</v>
      </c>
      <c r="B333" t="s">
        <v>26</v>
      </c>
      <c r="C333" s="126" t="n">
        <v>606.5596083841491</v>
      </c>
      <c r="D333" s="88" t="n">
        <v>29.65394041148079</v>
      </c>
      <c r="E333" s="16" t="n">
        <v>0.9511112510599284</v>
      </c>
      <c r="F333" s="88" t="n">
        <v>-30.22784316384687</v>
      </c>
      <c r="G333" s="88" t="n">
        <v>-1.049834909456587</v>
      </c>
      <c r="H333" s="16" t="n">
        <v>-0.91456321970694</v>
      </c>
      <c r="I333" s="16" t="n">
        <v>-0.8798500161606838</v>
      </c>
      <c r="J333" s="16" t="n">
        <v>-0.8427195047809375</v>
      </c>
      <c r="K333" s="88" t="n">
        <v>-1.019353338693022</v>
      </c>
      <c r="L333" s="9" t="n">
        <v>49.84746495426552</v>
      </c>
      <c r="M333" s="18" t="n">
        <v>0.917819346581522</v>
      </c>
      <c r="N333" s="9" t="n">
        <v>-30.22784316384687</v>
      </c>
      <c r="O333" s="9" t="n">
        <v>-1.049834909456587</v>
      </c>
      <c r="P333" s="9" t="n">
        <v>-0.606406829145285</v>
      </c>
    </row>
    <row r="334" spans="1:22">
      <c r="B334" t="s">
        <v>28</v>
      </c>
      <c r="C334" s="123" t="n">
        <v>4.509036558607019</v>
      </c>
      <c r="D334" s="88" t="n">
        <v>2.80883713519419</v>
      </c>
      <c r="E334" s="16" t="n">
        <v>0.3770649009636935</v>
      </c>
      <c r="F334" s="88" t="n">
        <v>12.23194525347963</v>
      </c>
      <c r="G334" s="88" t="n">
        <v>1.712762492495394</v>
      </c>
      <c r="H334" s="16" t="n">
        <v>-0.1100358735279309</v>
      </c>
      <c r="I334" s="16" t="n">
        <v>0.1116066637511082</v>
      </c>
      <c r="J334" s="16" t="n">
        <v>0.2876759432121447</v>
      </c>
      <c r="K334" s="88" t="n">
        <v>4.354807582189692</v>
      </c>
      <c r="L334" s="9" t="n">
        <v>3.202635864364163</v>
      </c>
      <c r="M334" s="18" t="n">
        <v>0.2897294526807838</v>
      </c>
      <c r="N334" s="9" t="n">
        <v>12.23194525347963</v>
      </c>
      <c r="O334" s="9" t="n">
        <v>1.712762492495394</v>
      </c>
      <c r="P334" s="9" t="n">
        <v>3.819336874848902</v>
      </c>
    </row>
    <row r="335" spans="1:22">
      <c r="B335" t="s">
        <v>29</v>
      </c>
      <c r="C335" s="123" t="n">
        <v>3.588619445523459</v>
      </c>
      <c r="D335" s="88" t="n">
        <v>2.133727372689677</v>
      </c>
      <c r="E335" s="16" t="n">
        <v>0.4054183217026965</v>
      </c>
      <c r="F335" s="88" t="n">
        <v>11.4054151825417</v>
      </c>
      <c r="G335" s="88" t="n">
        <v>2.178218074019836</v>
      </c>
      <c r="H335" s="16" t="n">
        <v>-0.1374320972228228</v>
      </c>
      <c r="I335" s="16" t="n">
        <v>0.2349311241660523</v>
      </c>
      <c r="J335" s="16" t="n">
        <v>0.5887763937104156</v>
      </c>
      <c r="K335" s="88" t="n">
        <v>5.345301057915646</v>
      </c>
      <c r="L335" s="9" t="n">
        <v>2.288147842621114</v>
      </c>
      <c r="M335" s="18" t="n">
        <v>0.3623877155669399</v>
      </c>
      <c r="N335" s="9" t="n">
        <v>11.4054151825417</v>
      </c>
      <c r="O335" s="9" t="n">
        <v>2.178218074019836</v>
      </c>
      <c r="P335" s="9" t="n">
        <v>4.984562172991669</v>
      </c>
    </row>
    <row r="336" spans="1:22">
      <c r="C336" s="70" t="n"/>
      <c r="D336" s="88" t="n"/>
      <c r="F336" s="88" t="n"/>
      <c r="G336" s="88" t="n"/>
      <c r="K336" s="88" t="n"/>
      <c r="L336" s="9" t="n"/>
      <c r="N336" s="9" t="n"/>
      <c r="O336" s="9" t="n"/>
      <c r="P336" s="9" t="n"/>
    </row>
    <row r="337" spans="1:22">
      <c r="A337" t="s">
        <v>384</v>
      </c>
      <c r="B337" t="s">
        <v>24</v>
      </c>
      <c r="C337" s="124" t="n">
        <v>40.27021521781559</v>
      </c>
      <c r="D337" s="88" t="n">
        <v>30.24217998009707</v>
      </c>
      <c r="E337" s="16" t="n">
        <v>0.2490186651220604</v>
      </c>
      <c r="F337" s="88" t="n">
        <v>-45.38282064796612</v>
      </c>
      <c r="G337" s="88" t="n">
        <v>-2.126957489611049</v>
      </c>
      <c r="H337" s="16" t="n">
        <v>0.1345741182711917</v>
      </c>
      <c r="I337" s="16" t="n">
        <v>0.5622457587594429</v>
      </c>
      <c r="J337" s="16" t="n">
        <v>10.48183084952357</v>
      </c>
      <c r="K337" s="88" t="n">
        <v>-1.500646470520094</v>
      </c>
      <c r="L337" s="9" t="n">
        <v>30.24217998009707</v>
      </c>
      <c r="M337" s="18" t="n">
        <v>0.2490186651220604</v>
      </c>
      <c r="N337" s="9" t="n">
        <v>128.7225029388854</v>
      </c>
      <c r="O337" s="9" t="n">
        <v>2.196469207890858</v>
      </c>
      <c r="P337" s="9" t="n">
        <v>4.256389685650968</v>
      </c>
      <c r="Q337" s="131" t="n">
        <v>0.08636381858932946</v>
      </c>
      <c r="R337" s="131" t="n">
        <v>0.05935248054153342</v>
      </c>
      <c r="S337" s="131" t="n">
        <v>0.008813912875777621</v>
      </c>
      <c r="U337" s="129">
        <f>C337*S337</f>
        <v/>
      </c>
      <c r="V337" s="129">
        <f>Q337*(1-U337)+S337</f>
        <v/>
      </c>
    </row>
    <row r="338" spans="1:22">
      <c r="A338" t="s">
        <v>385</v>
      </c>
      <c r="B338" t="s">
        <v>26</v>
      </c>
      <c r="C338" s="126" t="n">
        <v>52.72926811518469</v>
      </c>
      <c r="D338" s="88" t="n">
        <v>39.8950382830834</v>
      </c>
      <c r="E338" s="16" t="n">
        <v>0.2433985960902301</v>
      </c>
      <c r="F338" s="88" t="n">
        <v>-45.59789675049551</v>
      </c>
      <c r="G338" s="88" t="n">
        <v>-1.864754971582177</v>
      </c>
      <c r="H338" s="16" t="n">
        <v>0.113569676215584</v>
      </c>
      <c r="I338" s="16" t="n">
        <v>0.4279796380481231</v>
      </c>
      <c r="J338" s="16" t="n">
        <v>-4.262530242784742</v>
      </c>
      <c r="K338" s="88" t="n">
        <v>-1.142946559593359</v>
      </c>
      <c r="L338" s="9" t="n">
        <v>39.8950382830834</v>
      </c>
      <c r="M338" s="18" t="n">
        <v>0.2433985960902301</v>
      </c>
      <c r="N338" s="9" t="n">
        <v>189.752094935903</v>
      </c>
      <c r="O338" s="9" t="n">
        <v>2.598610443850617</v>
      </c>
      <c r="P338" s="9" t="n">
        <v>4.756283064311861</v>
      </c>
    </row>
    <row r="339" spans="1:22">
      <c r="B339" t="s">
        <v>28</v>
      </c>
      <c r="C339" s="124" t="n">
        <v>3.47788956162468</v>
      </c>
      <c r="D339" s="88" t="n">
        <v>2.393589254214024</v>
      </c>
      <c r="E339" s="16" t="n">
        <v>0.3117696201095385</v>
      </c>
      <c r="F339" s="88" t="n">
        <v>8.604271728768811</v>
      </c>
      <c r="G339" s="88" t="n">
        <v>1.473992223246263</v>
      </c>
      <c r="H339" s="16" t="n">
        <v>0.01921884970263088</v>
      </c>
      <c r="I339" s="16" t="n">
        <v>0.1855316198889547</v>
      </c>
      <c r="J339" s="16" t="n">
        <v>0.4808899318682598</v>
      </c>
      <c r="K339" s="88" t="n">
        <v>3.594715222597442</v>
      </c>
      <c r="L339" s="9" t="n">
        <v>2.393589254214024</v>
      </c>
      <c r="M339" s="18" t="n">
        <v>0.3117696201095385</v>
      </c>
      <c r="N339" s="9" t="n">
        <v>7.470905368674007</v>
      </c>
      <c r="O339" s="9" t="n">
        <v>1.148114606946866</v>
      </c>
      <c r="P339" s="9" t="n">
        <v>3.121214450441375</v>
      </c>
    </row>
    <row r="340" spans="1:22">
      <c r="B340" t="s">
        <v>29</v>
      </c>
      <c r="C340" s="123" t="n">
        <v>3.129612859775798</v>
      </c>
      <c r="D340" s="88" t="n">
        <v>2.001533828095634</v>
      </c>
      <c r="E340" s="16" t="n">
        <v>0.360453219687044</v>
      </c>
      <c r="F340" s="88" t="n">
        <v>7.766209766437018</v>
      </c>
      <c r="G340" s="88" t="n">
        <v>1.481524109979974</v>
      </c>
      <c r="H340" s="16" t="n">
        <v>-0.001745705835196287</v>
      </c>
      <c r="I340" s="16" t="n">
        <v>0.2350616417138029</v>
      </c>
      <c r="J340" s="16" t="n">
        <v>0.5893188785504391</v>
      </c>
      <c r="K340" s="88" t="n">
        <v>3.880129157660155</v>
      </c>
      <c r="L340" s="9" t="n">
        <v>2.011862089153925</v>
      </c>
      <c r="M340" s="18" t="n">
        <v>0.3571530475823604</v>
      </c>
      <c r="N340" s="9" t="n">
        <v>7.671408238549897</v>
      </c>
      <c r="O340" s="9" t="n">
        <v>1.451232335203105</v>
      </c>
      <c r="P340" s="9" t="n">
        <v>3.813088521279336</v>
      </c>
    </row>
    <row r="341" spans="1:22">
      <c r="C341" s="70" t="n"/>
      <c r="D341" s="88" t="n"/>
      <c r="F341" s="88" t="n"/>
      <c r="G341" s="88" t="n"/>
      <c r="K341" s="88" t="n"/>
      <c r="L341" s="9" t="n"/>
      <c r="N341" s="9" t="n"/>
      <c r="O341" s="9" t="n"/>
      <c r="P341" s="9" t="n"/>
    </row>
    <row r="342" spans="1:22">
      <c r="A342" t="s">
        <v>386</v>
      </c>
      <c r="B342" t="s">
        <v>24</v>
      </c>
      <c r="C342" s="126" t="n">
        <v>29.13497055506791</v>
      </c>
      <c r="D342" s="88" t="n">
        <v>18.85136064896392</v>
      </c>
      <c r="E342" s="16" t="n">
        <v>0.3529644859831581</v>
      </c>
      <c r="F342" s="88" t="n">
        <v>-20.26535866811011</v>
      </c>
      <c r="G342" s="88" t="n">
        <v>-1.695568187714713</v>
      </c>
      <c r="H342" s="16" t="n">
        <v>0.344699157382911</v>
      </c>
      <c r="I342" s="16" t="n">
        <v>1.274211079216391</v>
      </c>
      <c r="J342" s="16" t="n">
        <v>-9.806331604510735</v>
      </c>
      <c r="K342" s="88" t="n">
        <v>-1.075007743232789</v>
      </c>
      <c r="L342" s="9" t="n">
        <v>18.85136064896392</v>
      </c>
      <c r="M342" s="18" t="n">
        <v>0.3529644859831581</v>
      </c>
      <c r="N342" s="9" t="n">
        <v>113.7818699270057</v>
      </c>
      <c r="O342" s="9" t="n">
        <v>2.905336705659166</v>
      </c>
      <c r="P342" s="9" t="n">
        <v>6.035737793455202</v>
      </c>
      <c r="Q342" s="131" t="n">
        <v>0.0698622970381035</v>
      </c>
      <c r="R342" s="131" t="n">
        <v>0.06366572762504499</v>
      </c>
      <c r="S342" s="131" t="n">
        <v>0.008392688789149715</v>
      </c>
      <c r="U342" s="129">
        <f>C342*S342</f>
        <v/>
      </c>
      <c r="V342" s="129">
        <f>Q342*(1-U342)+S342</f>
        <v/>
      </c>
    </row>
    <row r="343" spans="1:22">
      <c r="A343" t="s">
        <v>387</v>
      </c>
      <c r="B343" t="s">
        <v>26</v>
      </c>
      <c r="C343" s="124" t="n">
        <v>37.65380706112232</v>
      </c>
      <c r="D343" s="88" t="n">
        <v>26.80451595074362</v>
      </c>
      <c r="E343" s="16" t="n">
        <v>0.2881326473248074</v>
      </c>
      <c r="F343" s="88" t="n">
        <v>-21.10655784408845</v>
      </c>
      <c r="G343" s="88" t="n">
        <v>-1.560542465462438</v>
      </c>
      <c r="H343" s="16" t="n">
        <v>0.3986735196941613</v>
      </c>
      <c r="I343" s="16" t="n">
        <v>1.088433714025175</v>
      </c>
      <c r="J343" s="16" t="n">
        <v>8.398750514219858</v>
      </c>
      <c r="K343" s="88" t="n">
        <v>-0.7874254428945544</v>
      </c>
      <c r="L343" s="9" t="n">
        <v>26.80451595074362</v>
      </c>
      <c r="M343" s="18" t="n">
        <v>0.2881326473248074</v>
      </c>
      <c r="N343" s="9" t="n">
        <v>278.0465837062448</v>
      </c>
      <c r="O343" s="9" t="n">
        <v>6.384288745488602</v>
      </c>
      <c r="P343" s="9" t="n">
        <v>10.37312459651155</v>
      </c>
    </row>
    <row r="344" spans="1:22">
      <c r="B344" t="s">
        <v>28</v>
      </c>
      <c r="C344" s="124" t="n">
        <v>2.035435967114553</v>
      </c>
      <c r="D344" s="88" t="n">
        <v>1.401870720394716</v>
      </c>
      <c r="E344" s="16" t="n">
        <v>0.3112675893302521</v>
      </c>
      <c r="F344" s="88" t="n">
        <v>4.802746608619094</v>
      </c>
      <c r="G344" s="88" t="n">
        <v>1.35956654309666</v>
      </c>
      <c r="H344" s="16" t="n">
        <v>0.03948954133696381</v>
      </c>
      <c r="I344" s="16" t="n">
        <v>0.3364563375227845</v>
      </c>
      <c r="J344" s="16" t="n">
        <v>0.5268686690300204</v>
      </c>
      <c r="K344" s="88" t="n">
        <v>3.425955431373026</v>
      </c>
      <c r="L344" s="9" t="n">
        <v>1.401870720394716</v>
      </c>
      <c r="M344" s="18" t="n">
        <v>0.3112675893302521</v>
      </c>
      <c r="N344" s="9" t="n">
        <v>4.802746608619094</v>
      </c>
      <c r="O344" s="9" t="n">
        <v>1.35956654309666</v>
      </c>
      <c r="P344" s="9" t="n">
        <v>3.425955431373026</v>
      </c>
    </row>
    <row r="345" spans="1:22">
      <c r="B345" t="s">
        <v>29</v>
      </c>
      <c r="C345" s="124" t="n">
        <v>2.39725702439941</v>
      </c>
      <c r="D345" s="88" t="n">
        <v>1.608367249186276</v>
      </c>
      <c r="E345" s="16" t="n">
        <v>0.3290801808833059</v>
      </c>
      <c r="F345" s="88" t="n">
        <v>6.535946489810573</v>
      </c>
      <c r="G345" s="88" t="n">
        <v>1.726427088663152</v>
      </c>
      <c r="H345" s="16" t="n">
        <v>0.07546239935803123</v>
      </c>
      <c r="I345" s="16" t="n">
        <v>0.3966668717336119</v>
      </c>
      <c r="J345" s="16" t="n">
        <v>0.7303650536084736</v>
      </c>
      <c r="K345" s="88" t="n">
        <v>4.063715232399388</v>
      </c>
      <c r="L345" s="9" t="n">
        <v>1.608367249186276</v>
      </c>
      <c r="M345" s="18" t="n">
        <v>0.3290801808833059</v>
      </c>
      <c r="N345" s="9" t="n">
        <v>6.535946489810573</v>
      </c>
      <c r="O345" s="9" t="n">
        <v>1.726427088663152</v>
      </c>
      <c r="P345" s="9" t="n">
        <v>4.063715232399388</v>
      </c>
    </row>
    <row r="346" spans="1:22">
      <c r="C346" s="70" t="n"/>
      <c r="D346" s="88" t="n"/>
      <c r="F346" s="88" t="n"/>
      <c r="G346" s="88" t="n"/>
      <c r="K346" s="88" t="n"/>
      <c r="L346" s="9" t="n"/>
      <c r="N346" s="9" t="n"/>
      <c r="O346" s="9" t="n"/>
      <c r="P346" s="9" t="n"/>
    </row>
    <row r="347" spans="1:22">
      <c r="A347" t="s">
        <v>248</v>
      </c>
      <c r="B347" t="s">
        <v>24</v>
      </c>
      <c r="C347" s="123" t="n">
        <v>49.21870458178618</v>
      </c>
      <c r="D347" s="88" t="n">
        <v>27.00268657070911</v>
      </c>
      <c r="E347" s="16" t="n">
        <v>0.4513734808717073</v>
      </c>
      <c r="F347" s="88" t="n">
        <v>363.8950847337566</v>
      </c>
      <c r="G347" s="88" t="n">
        <v>6.393430766327386</v>
      </c>
      <c r="H347" s="16" t="n">
        <v>-0.1758345828160335</v>
      </c>
      <c r="I347" s="16" t="n">
        <v>0.7771442388393111</v>
      </c>
      <c r="J347" s="16" t="n">
        <v>1.257706658640311</v>
      </c>
      <c r="K347" s="88" t="n">
        <v>13.47625480823409</v>
      </c>
      <c r="L347" s="9" t="n">
        <v>29.56048830930219</v>
      </c>
      <c r="M347" s="18" t="n">
        <v>0.3994053975926601</v>
      </c>
      <c r="N347" s="9" t="n">
        <v>168.8933719745718</v>
      </c>
      <c r="O347" s="9" t="n">
        <v>2.431487549492969</v>
      </c>
      <c r="P347" s="9" t="n">
        <v>5.713483830421837</v>
      </c>
      <c r="Q347" s="131" t="n">
        <v>0.08172956789873827</v>
      </c>
      <c r="R347" s="131" t="n">
        <v>0.04777654072614343</v>
      </c>
      <c r="S347" s="131" t="n">
        <v>0.004160654201033386</v>
      </c>
      <c r="U347" s="129">
        <f>C347*S347</f>
        <v/>
      </c>
      <c r="V347" s="129">
        <f>Q347*(1-U347)+S347</f>
        <v/>
      </c>
    </row>
    <row r="348" spans="1:22">
      <c r="A348" t="s">
        <v>388</v>
      </c>
      <c r="B348" t="s">
        <v>26</v>
      </c>
      <c r="C348" s="123" t="n">
        <v>72.04065907579258</v>
      </c>
      <c r="D348" s="88" t="n">
        <v>30.31267299191196</v>
      </c>
      <c r="E348" s="16" t="n">
        <v>0.5792282666373084</v>
      </c>
      <c r="F348" s="88" t="n">
        <v>660.1837758450088</v>
      </c>
      <c r="G348" s="88" t="n">
        <v>8.164044087248595</v>
      </c>
      <c r="H348" s="16" t="n">
        <v>-0.2112630117780953</v>
      </c>
      <c r="I348" s="16" t="n">
        <v>0.2669283145919288</v>
      </c>
      <c r="J348" s="16" t="n">
        <v>0.5826735738464037</v>
      </c>
      <c r="K348" s="88" t="n">
        <v>21.77913429215429</v>
      </c>
      <c r="L348" s="9" t="n">
        <v>52.59541829038733</v>
      </c>
      <c r="M348" s="18" t="n">
        <v>0.2699203621242178</v>
      </c>
      <c r="N348" s="9" t="n">
        <v>154.8151081159401</v>
      </c>
      <c r="O348" s="9" t="n">
        <v>1.148996276575733</v>
      </c>
      <c r="P348" s="9" t="n">
        <v>2.943509399643563</v>
      </c>
    </row>
    <row r="349" spans="1:22">
      <c r="B349" t="s">
        <v>28</v>
      </c>
      <c r="C349" s="125" t="n">
        <v>4.022623458005033</v>
      </c>
      <c r="D349" s="88" t="n">
        <v>1.951148937209855</v>
      </c>
      <c r="E349" s="16" t="n">
        <v>0.5149561082265698</v>
      </c>
      <c r="F349" s="88" t="n">
        <v>8.883431379267883</v>
      </c>
      <c r="G349" s="88" t="n">
        <v>1.208367616807342</v>
      </c>
      <c r="H349" s="16" t="n">
        <v>-0.3122007478703006</v>
      </c>
      <c r="I349" s="16" t="n">
        <v>-0.05414904177128921</v>
      </c>
      <c r="J349" s="16" t="n">
        <v>0.1693009553329869</v>
      </c>
      <c r="K349" s="88" t="n">
        <v>4.552923259651926</v>
      </c>
      <c r="L349" s="9" t="n">
        <v>2.605058741441934</v>
      </c>
      <c r="M349" s="18" t="n">
        <v>0.3523980634434331</v>
      </c>
      <c r="N349" s="9" t="n">
        <v>8.883431379267883</v>
      </c>
      <c r="O349" s="9" t="n">
        <v>1.208367616807342</v>
      </c>
      <c r="P349" s="9" t="n">
        <v>3.410069507434903</v>
      </c>
    </row>
    <row r="350" spans="1:22">
      <c r="B350" t="s">
        <v>29</v>
      </c>
      <c r="C350" s="123" t="n">
        <v>3.441853482272818</v>
      </c>
      <c r="D350" s="88" t="n">
        <v>1.662784764383508</v>
      </c>
      <c r="E350" s="16" t="n">
        <v>0.5168926356256476</v>
      </c>
      <c r="F350" s="88" t="n">
        <v>7.833933505421897</v>
      </c>
      <c r="G350" s="88" t="n">
        <v>1.276079892932799</v>
      </c>
      <c r="H350" s="16" t="n">
        <v>-0.2748288646699555</v>
      </c>
      <c r="I350" s="16" t="n">
        <v>0.008725078999256564</v>
      </c>
      <c r="J350" s="16" t="n">
        <v>0.2212143279714287</v>
      </c>
      <c r="K350" s="88" t="n">
        <v>4.711333464933688</v>
      </c>
      <c r="L350" s="9" t="n">
        <v>2.373001920021374</v>
      </c>
      <c r="M350" s="18" t="n">
        <v>0.3105453406882478</v>
      </c>
      <c r="N350" s="9" t="n">
        <v>7.833933505421897</v>
      </c>
      <c r="O350" s="9" t="n">
        <v>1.276079892932799</v>
      </c>
      <c r="P350" s="9" t="n">
        <v>3.301275670839464</v>
      </c>
    </row>
    <row r="351" spans="1:22">
      <c r="C351" s="70" t="n"/>
      <c r="D351" s="88" t="n"/>
      <c r="F351" s="88" t="n"/>
      <c r="G351" s="88" t="n"/>
      <c r="K351" s="88" t="n"/>
      <c r="L351" s="9" t="n"/>
      <c r="N351" s="9" t="n"/>
      <c r="O351" s="9" t="n"/>
      <c r="P351" s="9" t="n"/>
    </row>
    <row r="352" spans="1:22">
      <c r="A352" t="s">
        <v>389</v>
      </c>
      <c r="B352" t="s">
        <v>24</v>
      </c>
      <c r="C352" s="125" t="n">
        <v>51.49696349376761</v>
      </c>
      <c r="D352" s="88" t="n">
        <v>6.183385619971139</v>
      </c>
      <c r="E352" s="16" t="n">
        <v>0.8799271801585062</v>
      </c>
      <c r="F352" s="88" t="n">
        <v>1071.701556155459</v>
      </c>
      <c r="G352" s="88" t="n">
        <v>19.81096599579431</v>
      </c>
      <c r="H352" s="16" t="n">
        <v>-0.5868807771228977</v>
      </c>
      <c r="I352" s="16" t="n">
        <v>-0.08811484890104559</v>
      </c>
      <c r="J352" s="16" t="n">
        <v>1.138761551501872</v>
      </c>
      <c r="K352" s="88" t="n">
        <v>173.3195407858876</v>
      </c>
      <c r="L352" s="9" t="n">
        <v>16.48549533594791</v>
      </c>
      <c r="M352" s="18" t="n">
        <v>0.6798744194316805</v>
      </c>
      <c r="N352" s="9" t="n">
        <v>1071.701556155459</v>
      </c>
      <c r="O352" s="9" t="n">
        <v>19.81096599579431</v>
      </c>
      <c r="P352" s="9" t="n">
        <v>65.00875674742569</v>
      </c>
      <c r="Q352" s="131" t="n">
        <v>0.02911834375995449</v>
      </c>
      <c r="R352" s="131" t="n">
        <v>0.02911834375995449</v>
      </c>
      <c r="S352" s="131" t="n">
        <v>0.007872968980797637</v>
      </c>
      <c r="U352" s="129">
        <f>C352*S352</f>
        <v/>
      </c>
      <c r="V352" s="129">
        <f>Q352*(1-U352)+S352</f>
        <v/>
      </c>
    </row>
    <row r="353" spans="1:22">
      <c r="A353" t="s">
        <v>390</v>
      </c>
      <c r="B353" t="s">
        <v>26</v>
      </c>
      <c r="C353" s="125" t="n">
        <v>51.49696349376761</v>
      </c>
      <c r="D353" s="88" t="n">
        <v>5.840994533115187</v>
      </c>
      <c r="E353" s="16" t="n">
        <v>0.8865759427966643</v>
      </c>
      <c r="F353" s="88" t="n">
        <v>-4.403050333902135</v>
      </c>
      <c r="G353" s="88" t="n">
        <v>-1.085501164246995</v>
      </c>
      <c r="H353" s="16" t="n">
        <v>-0.5291490949625435</v>
      </c>
      <c r="I353" s="16" t="n">
        <v>-0.06012427881135785</v>
      </c>
      <c r="J353" s="16" t="n">
        <v>1.366730363857954</v>
      </c>
      <c r="K353" s="88" t="n">
        <v>-0.7538186021129263</v>
      </c>
      <c r="L353" s="9" t="n">
        <v>16.48549533594791</v>
      </c>
      <c r="M353" s="18" t="n">
        <v>0.6798744194316805</v>
      </c>
      <c r="N353" s="9" t="n">
        <v>1071.701556155459</v>
      </c>
      <c r="O353" s="9" t="n">
        <v>19.81096599579431</v>
      </c>
      <c r="P353" s="9" t="n">
        <v>65.00875674742569</v>
      </c>
    </row>
    <row r="354" spans="1:22">
      <c r="B354" t="s">
        <v>28</v>
      </c>
      <c r="C354" s="125" t="n">
        <v>1.499506285605352</v>
      </c>
      <c r="D354" s="88" t="n">
        <v>0.848837693174466</v>
      </c>
      <c r="E354" s="16" t="n">
        <v>0.4339218839407604</v>
      </c>
      <c r="F354" s="88" t="n">
        <v>2.850593687500725</v>
      </c>
      <c r="G354" s="88" t="n">
        <v>0.9010214994530266</v>
      </c>
      <c r="H354" s="16" t="n">
        <v>-0.2987579247372121</v>
      </c>
      <c r="I354" s="16" t="n">
        <v>-0.03406247565800891</v>
      </c>
      <c r="J354" s="16" t="n">
        <v>0.2765150788558379</v>
      </c>
      <c r="K354" s="88" t="n">
        <v>3.358231744917138</v>
      </c>
      <c r="L354" s="9" t="n">
        <v>0.848837693174466</v>
      </c>
      <c r="M354" s="18" t="n">
        <v>0.4339218839407604</v>
      </c>
      <c r="N354" s="9" t="n">
        <v>2.850593687500725</v>
      </c>
      <c r="O354" s="9" t="n">
        <v>0.9010214994530266</v>
      </c>
      <c r="P354" s="9" t="n">
        <v>3.358231744917138</v>
      </c>
    </row>
    <row r="355" spans="1:22">
      <c r="B355" t="s">
        <v>29</v>
      </c>
      <c r="C355" s="125" t="n">
        <v>1.499506285605352</v>
      </c>
      <c r="D355" s="88" t="n">
        <v>0.8488376931744661</v>
      </c>
      <c r="E355" s="16" t="n">
        <v>0.4339218839407603</v>
      </c>
      <c r="F355" s="88" t="n">
        <v>-40.67840794069078</v>
      </c>
      <c r="G355" s="88" t="n">
        <v>-28.12786757293843</v>
      </c>
      <c r="H355" s="16" t="n">
        <v>-0.2987579247372121</v>
      </c>
      <c r="I355" s="16" t="n">
        <v>-0.03406247565800891</v>
      </c>
      <c r="J355" s="16" t="n">
        <v>0.3624548808695531</v>
      </c>
      <c r="K355" s="88" t="n">
        <v>-47.92248066713731</v>
      </c>
      <c r="L355" s="9" t="n">
        <v>0.8488376931744661</v>
      </c>
      <c r="M355" s="18" t="n">
        <v>0.4339218839407603</v>
      </c>
      <c r="N355" s="9" t="n">
        <v>2.850593687500725</v>
      </c>
      <c r="O355" s="9" t="n">
        <v>0.9010214994530266</v>
      </c>
      <c r="P355" s="9" t="n">
        <v>3.358231744917138</v>
      </c>
    </row>
    <row r="356" spans="1:22">
      <c r="C356" s="70" t="n"/>
      <c r="D356" s="88" t="n"/>
      <c r="F356" s="88" t="n"/>
      <c r="G356" s="88" t="n"/>
      <c r="K356" s="88" t="n"/>
      <c r="L356" s="9" t="n"/>
      <c r="N356" s="9" t="n"/>
      <c r="O356" s="9" t="n"/>
      <c r="P356" s="9" t="n"/>
    </row>
    <row r="357" spans="1:22">
      <c r="A357" t="s">
        <v>391</v>
      </c>
      <c r="B357" t="s">
        <v>24</v>
      </c>
      <c r="C357" s="124" t="n">
        <v>47.27538338801165</v>
      </c>
      <c r="D357" s="88" t="n">
        <v>28.25545165699674</v>
      </c>
      <c r="E357" s="16" t="n">
        <v>0.4023221044007035</v>
      </c>
      <c r="F357" s="88" t="n">
        <v>193.8014806011839</v>
      </c>
      <c r="G357" s="88" t="n">
        <v>3.099416370895663</v>
      </c>
      <c r="H357" s="16" t="n">
        <v>0.02486185941124086</v>
      </c>
      <c r="I357" s="16" t="n">
        <v>0.2020171975209066</v>
      </c>
      <c r="J357" s="16" t="n">
        <v>0.5645924626726206</v>
      </c>
      <c r="K357" s="88" t="n">
        <v>6.858905776973976</v>
      </c>
      <c r="L357" s="9" t="n">
        <v>28.25545165699674</v>
      </c>
      <c r="M357" s="18" t="n">
        <v>0.4023221044007035</v>
      </c>
      <c r="N357" s="9" t="n">
        <v>193.8014806011839</v>
      </c>
      <c r="O357" s="9" t="n">
        <v>3.099416370895663</v>
      </c>
      <c r="P357" s="9" t="n">
        <v>6.858905776973976</v>
      </c>
      <c r="Q357" s="131" t="n">
        <v>0.07923252948991255</v>
      </c>
      <c r="R357" s="131" t="n">
        <v>0.04213163704221962</v>
      </c>
      <c r="S357" s="131" t="n">
        <v>0.00917569594023373</v>
      </c>
      <c r="U357" s="129">
        <f>C357*S357</f>
        <v/>
      </c>
      <c r="V357" s="129">
        <f>Q357*(1-U357)+S357</f>
        <v/>
      </c>
    </row>
    <row r="358" spans="1:22">
      <c r="A358" t="s">
        <v>392</v>
      </c>
      <c r="B358" t="s">
        <v>26</v>
      </c>
      <c r="C358" s="126" t="n">
        <v>120.6691594134934</v>
      </c>
      <c r="D358" s="88" t="n">
        <v>34.52302568201335</v>
      </c>
      <c r="E358" s="16" t="n">
        <v>0.713903487437794</v>
      </c>
      <c r="F358" s="88" t="n">
        <v>-1244.299674355823</v>
      </c>
      <c r="G358" s="88" t="n">
        <v>-11.31166273473422</v>
      </c>
      <c r="H358" s="16" t="n">
        <v>-0.582106394614389</v>
      </c>
      <c r="I358" s="16" t="n">
        <v>-0.4598737082057841</v>
      </c>
      <c r="J358" s="16" t="n">
        <v>-0.1737296817783542</v>
      </c>
      <c r="K358" s="88" t="n">
        <v>-36.04260199603851</v>
      </c>
      <c r="L358" s="9" t="n">
        <v>39.90918480149486</v>
      </c>
      <c r="M358" s="18" t="n">
        <v>0.6692677317429612</v>
      </c>
      <c r="N358" s="9" t="n">
        <v>-1244.299674355823</v>
      </c>
      <c r="O358" s="9" t="n">
        <v>-11.31166273473422</v>
      </c>
      <c r="P358" s="9" t="n">
        <v>-31.17827839743837</v>
      </c>
    </row>
    <row r="359" spans="1:22">
      <c r="B359" t="s">
        <v>28</v>
      </c>
      <c r="C359" s="123" t="n">
        <v>3.745748208437556</v>
      </c>
      <c r="D359" s="88" t="n">
        <v>2.292266261970082</v>
      </c>
      <c r="E359" s="16" t="n">
        <v>0.3880351442719523</v>
      </c>
      <c r="F359" s="88" t="n">
        <v>19.5418098608616</v>
      </c>
      <c r="G359" s="88" t="n">
        <v>4.217064461738866</v>
      </c>
      <c r="H359" s="16" t="n">
        <v>-0.09386858199263604</v>
      </c>
      <c r="I359" s="16" t="n">
        <v>0.4111969161162001</v>
      </c>
      <c r="J359" s="16" t="n">
        <v>0.7514630304147074</v>
      </c>
      <c r="K359" s="88" t="n">
        <v>8.525104690092348</v>
      </c>
      <c r="L359" s="9" t="n">
        <v>2.292266261970082</v>
      </c>
      <c r="M359" s="18" t="n">
        <v>0.3880351442719523</v>
      </c>
      <c r="N359" s="9" t="n">
        <v>19.5418098608616</v>
      </c>
      <c r="O359" s="9" t="n">
        <v>4.217064461738866</v>
      </c>
      <c r="P359" s="9" t="n">
        <v>8.525104690092348</v>
      </c>
    </row>
    <row r="360" spans="1:22">
      <c r="B360" t="s">
        <v>29</v>
      </c>
      <c r="C360" s="123" t="n">
        <v>5.083989226599041</v>
      </c>
      <c r="D360" s="88" t="n">
        <v>2.444509271953699</v>
      </c>
      <c r="E360" s="16" t="n">
        <v>0.5191749700876205</v>
      </c>
      <c r="F360" s="88" t="n">
        <v>16.68916053181757</v>
      </c>
      <c r="G360" s="88" t="n">
        <v>2.282689987716962</v>
      </c>
      <c r="H360" s="16" t="n">
        <v>-0.2503682352454626</v>
      </c>
      <c r="I360" s="16" t="n">
        <v>0.112686341984759</v>
      </c>
      <c r="J360" s="16" t="n">
        <v>0.3142855543985779</v>
      </c>
      <c r="K360" s="88" t="n">
        <v>6.827202794153965</v>
      </c>
      <c r="L360" s="9" t="n">
        <v>2.997743869712245</v>
      </c>
      <c r="M360" s="18" t="n">
        <v>0.4103559751802227</v>
      </c>
      <c r="N360" s="9" t="n">
        <v>16.68916053181757</v>
      </c>
      <c r="O360" s="9" t="n">
        <v>2.282689987716962</v>
      </c>
      <c r="P360" s="9" t="n">
        <v>5.567240317105401</v>
      </c>
    </row>
    <row r="361" spans="1:22">
      <c r="C361" s="70" t="n"/>
      <c r="D361" s="88" t="n"/>
      <c r="F361" s="88" t="n"/>
      <c r="G361" s="88" t="n"/>
      <c r="K361" s="88" t="n"/>
      <c r="L361" s="9" t="n"/>
      <c r="N361" s="9" t="n"/>
      <c r="O361" s="9" t="n"/>
      <c r="P361" s="9" t="n"/>
    </row>
    <row r="362" spans="1:22">
      <c r="A362" t="s">
        <v>393</v>
      </c>
      <c r="B362" t="s">
        <v>24</v>
      </c>
      <c r="C362" s="126" t="n">
        <v>79.49883604110848</v>
      </c>
      <c r="D362" s="88" t="n">
        <v>26.38141186140471</v>
      </c>
      <c r="E362" s="16" t="n">
        <v>0.6681534828036602</v>
      </c>
      <c r="F362" s="88" t="n">
        <v>312.4723257933586</v>
      </c>
      <c r="G362" s="88" t="n">
        <v>2.930527053651208</v>
      </c>
      <c r="H362" s="16" t="n">
        <v>-0.4917123228850322</v>
      </c>
      <c r="I362" s="16" t="n">
        <v>-0.3218881605831865</v>
      </c>
      <c r="J362" s="16" t="n">
        <v>-0.05148836117655953</v>
      </c>
      <c r="K362" s="88" t="n">
        <v>11.84441255210064</v>
      </c>
      <c r="L362" s="9" t="n">
        <v>30.95018351136207</v>
      </c>
      <c r="M362" s="18" t="n">
        <v>0.6106838156050753</v>
      </c>
      <c r="N362" s="9" t="n">
        <v>118.3812948310033</v>
      </c>
      <c r="O362" s="9" t="n">
        <v>0.4890946927800159</v>
      </c>
      <c r="P362" s="9" t="n">
        <v>3.824897994144187</v>
      </c>
      <c r="Q362" s="131" t="n">
        <v>0.04771642610756197</v>
      </c>
      <c r="R362" s="131" t="n">
        <v>0.06172893854219134</v>
      </c>
      <c r="S362" s="131" t="n">
        <v>0.004534867500375913</v>
      </c>
      <c r="U362" s="129">
        <f>C362*S362</f>
        <v/>
      </c>
      <c r="V362" s="129">
        <f>Q362*(1-U362)+S362</f>
        <v/>
      </c>
    </row>
    <row r="363" spans="1:22">
      <c r="A363" t="s">
        <v>394</v>
      </c>
      <c r="B363" t="s">
        <v>26</v>
      </c>
      <c r="C363" s="123" t="n">
        <v>59.10154139128277</v>
      </c>
      <c r="D363" s="88" t="n">
        <v>33.13602076686281</v>
      </c>
      <c r="E363" s="16" t="n">
        <v>0.4393374523434977</v>
      </c>
      <c r="F363" s="88" t="n">
        <v>1865.138253119984</v>
      </c>
      <c r="G363" s="88" t="n">
        <v>30.55819982378808</v>
      </c>
      <c r="H363" s="16" t="n">
        <v>-0.1384577475185426</v>
      </c>
      <c r="I363" s="16" t="n">
        <v>0.3156715163440482</v>
      </c>
      <c r="J363" s="16" t="n">
        <v>0.9292114562292326</v>
      </c>
      <c r="K363" s="88" t="n">
        <v>56.28733354082115</v>
      </c>
      <c r="L363" s="9" t="n">
        <v>40.0510411893215</v>
      </c>
      <c r="M363" s="18" t="n">
        <v>0.3223350821907859</v>
      </c>
      <c r="N363" s="9" t="n">
        <v>253.7909456296859</v>
      </c>
      <c r="O363" s="9" t="n">
        <v>3.294151043362112</v>
      </c>
      <c r="P363" s="9" t="n">
        <v>6.336687838651052</v>
      </c>
    </row>
    <row r="364" spans="1:22">
      <c r="B364" t="s">
        <v>28</v>
      </c>
      <c r="C364" s="123" t="n">
        <v>3.793400335592737</v>
      </c>
      <c r="D364" s="88" t="n">
        <v>1.692571835338426</v>
      </c>
      <c r="E364" s="16" t="n">
        <v>0.5538114394472543</v>
      </c>
      <c r="F364" s="88" t="n">
        <v>7.669506159230318</v>
      </c>
      <c r="G364" s="88" t="n">
        <v>1.021802467635391</v>
      </c>
      <c r="H364" s="16" t="n">
        <v>-0.2471987066397694</v>
      </c>
      <c r="I364" s="16" t="n">
        <v>0.006615815426487481</v>
      </c>
      <c r="J364" s="16" t="n">
        <v>0.1782791478444954</v>
      </c>
      <c r="K364" s="88" t="n">
        <v>4.531273650608052</v>
      </c>
      <c r="L364" s="9" t="n">
        <v>2.461471706564708</v>
      </c>
      <c r="M364" s="18" t="n">
        <v>0.3511173383232983</v>
      </c>
      <c r="N364" s="9" t="n">
        <v>7.669506159230318</v>
      </c>
      <c r="O364" s="9" t="n">
        <v>1.021802467635391</v>
      </c>
      <c r="P364" s="9" t="n">
        <v>3.115821375795569</v>
      </c>
    </row>
    <row r="365" spans="1:22">
      <c r="B365" t="s">
        <v>29</v>
      </c>
      <c r="C365" s="123" t="n">
        <v>3.648275416291271</v>
      </c>
      <c r="D365" s="88" t="n">
        <v>1.924932000543539</v>
      </c>
      <c r="E365" s="16" t="n">
        <v>0.4723720714867606</v>
      </c>
      <c r="F365" s="88" t="n">
        <v>9.024285316089143</v>
      </c>
      <c r="G365" s="88" t="n">
        <v>1.473575672437298</v>
      </c>
      <c r="H365" s="16" t="n">
        <v>-0.1943230617396688</v>
      </c>
      <c r="I365" s="16" t="n">
        <v>0.1254680941314004</v>
      </c>
      <c r="J365" s="16" t="n">
        <v>0.5027194999592048</v>
      </c>
      <c r="K365" s="88" t="n">
        <v>4.68810602844203</v>
      </c>
      <c r="L365" s="9" t="n">
        <v>2.208738782433149</v>
      </c>
      <c r="M365" s="18" t="n">
        <v>0.3945800329190916</v>
      </c>
      <c r="N365" s="9" t="n">
        <v>9.024285316089143</v>
      </c>
      <c r="O365" s="9" t="n">
        <v>1.473575672437298</v>
      </c>
      <c r="P365" s="9" t="n">
        <v>4.085718686094687</v>
      </c>
    </row>
    <row r="366" spans="1:22">
      <c r="C366" s="70" t="n"/>
      <c r="D366" s="88" t="n"/>
      <c r="F366" s="88" t="n"/>
      <c r="G366" s="88" t="n"/>
      <c r="K366" s="88" t="n"/>
      <c r="L366" s="9" t="n"/>
      <c r="N366" s="9" t="n"/>
      <c r="O366" s="9" t="n"/>
      <c r="P366" s="9" t="n"/>
    </row>
    <row r="367" spans="1:22">
      <c r="A367" t="s">
        <v>395</v>
      </c>
      <c r="B367" t="s">
        <v>24</v>
      </c>
      <c r="C367" s="124" t="n">
        <v>-100.438449768928</v>
      </c>
      <c r="D367" s="88" t="n">
        <v>37.04679617527697</v>
      </c>
      <c r="E367" s="16" t="n">
        <v>1.368850736550674</v>
      </c>
      <c r="F367" s="88" t="n">
        <v>-19.93690379367785</v>
      </c>
      <c r="G367" s="88" t="n">
        <v>-0.8015012792456937</v>
      </c>
      <c r="H367" s="16" t="n">
        <v>-1.493897657384338</v>
      </c>
      <c r="I367" s="16" t="n">
        <v>-1.74103585937948</v>
      </c>
      <c r="J367" s="16" t="n">
        <v>-5.017145612917474</v>
      </c>
      <c r="K367" s="88" t="n">
        <v>-0.538154600450515</v>
      </c>
      <c r="L367" s="9" t="n">
        <v>38.14278318254636</v>
      </c>
      <c r="M367" s="18" t="n">
        <v>1.379762762869189</v>
      </c>
      <c r="N367" s="9" t="n">
        <v>-19.93690379367785</v>
      </c>
      <c r="O367" s="9" t="n">
        <v>-0.8015012792456937</v>
      </c>
      <c r="P367" s="9" t="n">
        <v>-0.5226913751485422</v>
      </c>
      <c r="Q367" s="131" t="n">
        <v>-0.03089767918338075</v>
      </c>
      <c r="R367" s="131" t="n">
        <v>-0.01197237289683133</v>
      </c>
      <c r="S367" s="131" t="n">
        <v>0.002950471081985198</v>
      </c>
      <c r="U367" s="129">
        <f>C367*S367</f>
        <v/>
      </c>
      <c r="V367" s="129">
        <f>Q367*(1-U367)+S367</f>
        <v/>
      </c>
    </row>
    <row r="368" spans="1:22">
      <c r="A368" t="s">
        <v>396</v>
      </c>
      <c r="B368" t="s">
        <v>26</v>
      </c>
      <c r="C368" s="124" t="n">
        <v>-248.3892991804156</v>
      </c>
      <c r="D368" s="88" t="n">
        <v>31.80832119038893</v>
      </c>
      <c r="E368" s="16" t="n">
        <v>1.128058339450788</v>
      </c>
      <c r="F368" s="88" t="n">
        <v>-20.45273152046071</v>
      </c>
      <c r="G368" s="88" t="n">
        <v>-0.9176585642459378</v>
      </c>
      <c r="H368" s="16" t="n">
        <v>-1.217770923084957</v>
      </c>
      <c r="I368" s="16" t="n">
        <v>-1.413709711537775</v>
      </c>
      <c r="J368" s="16" t="n">
        <v>-1.857635142305169</v>
      </c>
      <c r="K368" s="88" t="n">
        <v>-0.6429994025161132</v>
      </c>
      <c r="L368" s="9" t="n">
        <v>71.02084510240388</v>
      </c>
      <c r="M368" s="18" t="n">
        <v>1.285925542431755</v>
      </c>
      <c r="N368" s="9" t="n">
        <v>-20.45273152046071</v>
      </c>
      <c r="O368" s="9" t="n">
        <v>-0.9176585642459378</v>
      </c>
      <c r="P368" s="9" t="n">
        <v>-0.2879820916094454</v>
      </c>
    </row>
    <row r="369" spans="1:22">
      <c r="B369" t="s">
        <v>28</v>
      </c>
      <c r="C369" s="123" t="n">
        <v>3.103314998636439</v>
      </c>
      <c r="D369" s="88" t="n">
        <v>1.864721768740706</v>
      </c>
      <c r="E369" s="16" t="n">
        <v>0.3991194031027969</v>
      </c>
      <c r="F369" s="88" t="n">
        <v>14.37222263556855</v>
      </c>
      <c r="G369" s="88" t="n">
        <v>3.631248404330061</v>
      </c>
      <c r="H369" s="16" t="n">
        <v>-0.03472865210875686</v>
      </c>
      <c r="I369" s="16" t="n">
        <v>0.4015295954755325</v>
      </c>
      <c r="J369" s="16" t="n">
        <v>1.317486545692828</v>
      </c>
      <c r="K369" s="88" t="n">
        <v>7.707435434335322</v>
      </c>
      <c r="L369" s="9" t="n">
        <v>2.062007916073927</v>
      </c>
      <c r="M369" s="18" t="n">
        <v>0.3355466921727411</v>
      </c>
      <c r="N369" s="9" t="n">
        <v>14.37222263556855</v>
      </c>
      <c r="O369" s="9" t="n">
        <v>3.631248404330061</v>
      </c>
      <c r="P369" s="9" t="n">
        <v>6.970013317375296</v>
      </c>
    </row>
    <row r="370" spans="1:22">
      <c r="B370" t="s">
        <v>29</v>
      </c>
      <c r="C370" s="123" t="n">
        <v>2.973809313370535</v>
      </c>
      <c r="D370" s="88" t="n">
        <v>1.846652037721476</v>
      </c>
      <c r="E370" s="16" t="n">
        <v>0.3790280938933277</v>
      </c>
      <c r="F370" s="88" t="n">
        <v>11.48928147084627</v>
      </c>
      <c r="G370" s="88" t="n">
        <v>2.863489639093316</v>
      </c>
      <c r="H370" s="16" t="n">
        <v>-0.04884914455239209</v>
      </c>
      <c r="I370" s="16" t="n">
        <v>0.4294835662220149</v>
      </c>
      <c r="J370" s="16" t="n">
        <v>1.049879730782448</v>
      </c>
      <c r="K370" s="88" t="n">
        <v>6.221681852430914</v>
      </c>
      <c r="L370" s="9" t="n">
        <v>1.948920225050095</v>
      </c>
      <c r="M370" s="18" t="n">
        <v>0.344638468819248</v>
      </c>
      <c r="N370" s="9" t="n">
        <v>11.48928147084627</v>
      </c>
      <c r="O370" s="9" t="n">
        <v>2.863489639093316</v>
      </c>
      <c r="P370" s="9" t="n">
        <v>5.89520357127545</v>
      </c>
    </row>
    <row r="371" spans="1:22">
      <c r="C371" s="70" t="n"/>
      <c r="D371" s="88" t="n"/>
      <c r="F371" s="88" t="n"/>
      <c r="G371" s="88" t="n"/>
      <c r="K371" s="88" t="n"/>
      <c r="L371" s="9" t="n"/>
      <c r="N371" s="9" t="n"/>
      <c r="O371" s="9" t="n"/>
      <c r="P371" s="9" t="n"/>
    </row>
    <row r="372" spans="1:22">
      <c r="A372" t="s">
        <v>397</v>
      </c>
      <c r="B372" t="s">
        <v>24</v>
      </c>
      <c r="C372" s="125" t="n">
        <v>24.14664770033663</v>
      </c>
      <c r="D372" s="88" t="n">
        <v>9.194469637949334</v>
      </c>
      <c r="E372" s="16" t="n">
        <v>0.6192237633954816</v>
      </c>
      <c r="F372" s="88" t="n">
        <v>-67.06404539795476</v>
      </c>
      <c r="G372" s="88" t="n">
        <v>-3.777364635879448</v>
      </c>
      <c r="H372" s="16" t="n">
        <v>-0.3733236054442307</v>
      </c>
      <c r="I372" s="16" t="n">
        <v>-0.08883385486712292</v>
      </c>
      <c r="J372" s="16" t="n">
        <v>0.1425758674816979</v>
      </c>
      <c r="K372" s="88" t="n">
        <v>-7.293954740048739</v>
      </c>
      <c r="L372" s="9" t="n">
        <v>9.481571222988647</v>
      </c>
      <c r="M372" s="18" t="n">
        <v>0.6073338485467503</v>
      </c>
      <c r="N372" s="9" t="n">
        <v>26.55537691648562</v>
      </c>
      <c r="O372" s="9" t="n">
        <v>0.09975418724957841</v>
      </c>
      <c r="P372" s="9" t="n">
        <v>2.800735900406516</v>
      </c>
      <c r="Q372" s="131" t="n">
        <v>0.06761249936435273</v>
      </c>
      <c r="R372" s="131" t="n">
        <v>0.01393184804763381</v>
      </c>
      <c r="S372" s="131" t="n">
        <v>0.02333173650677367</v>
      </c>
      <c r="U372" s="129">
        <f>C372*S372</f>
        <v/>
      </c>
      <c r="V372" s="129">
        <f>Q372*(1-U372)+S372</f>
        <v/>
      </c>
    </row>
    <row r="373" spans="1:22">
      <c r="A373" t="s">
        <v>398</v>
      </c>
      <c r="B373" t="s">
        <v>26</v>
      </c>
      <c r="C373" s="126" t="n">
        <v>110.0418384486015</v>
      </c>
      <c r="D373" s="88" t="n">
        <v>13.02966689531631</v>
      </c>
      <c r="E373" s="16" t="n">
        <v>0.8815935186197182</v>
      </c>
      <c r="F373" s="88" t="n">
        <v>-42.28060813645184</v>
      </c>
      <c r="G373" s="88" t="n">
        <v>-1.384223025828493</v>
      </c>
      <c r="H373" s="16" t="n">
        <v>-0.803065779543252</v>
      </c>
      <c r="I373" s="16" t="n">
        <v>-0.664165772573299</v>
      </c>
      <c r="J373" s="16" t="n">
        <v>-0.290276850197221</v>
      </c>
      <c r="K373" s="88" t="n">
        <v>-3.24494927430955</v>
      </c>
      <c r="L373" s="9" t="n">
        <v>14.72932785748263</v>
      </c>
      <c r="M373" s="18" t="n">
        <v>0.8661479300496926</v>
      </c>
      <c r="N373" s="9" t="n">
        <v>200.3483403997106</v>
      </c>
      <c r="O373" s="9" t="n">
        <v>0.8206560634052795</v>
      </c>
      <c r="P373" s="9" t="n">
        <v>13.602001553515</v>
      </c>
    </row>
    <row r="374" spans="1:22">
      <c r="B374" t="s">
        <v>28</v>
      </c>
      <c r="C374" s="123" t="n">
        <v>1.63261520229026</v>
      </c>
      <c r="D374" s="88" t="n">
        <v>1.231172687259228</v>
      </c>
      <c r="E374" s="16" t="n">
        <v>0.245889242283106</v>
      </c>
      <c r="F374" s="88" t="n">
        <v>3.603036251216558</v>
      </c>
      <c r="G374" s="88" t="n">
        <v>1.206910879037606</v>
      </c>
      <c r="H374" s="16" t="n">
        <v>-0.05415606545821061</v>
      </c>
      <c r="I374" s="16" t="n">
        <v>0.07751199665779041</v>
      </c>
      <c r="J374" s="16" t="n">
        <v>0.4044615197184558</v>
      </c>
      <c r="K374" s="88" t="n">
        <v>2.926507620338336</v>
      </c>
      <c r="L374" s="9" t="n">
        <v>1.231172687259228</v>
      </c>
      <c r="M374" s="18" t="n">
        <v>0.245889242283106</v>
      </c>
      <c r="N374" s="9" t="n">
        <v>3.520005471963298</v>
      </c>
      <c r="O374" s="9" t="n">
        <v>1.156053347430169</v>
      </c>
      <c r="P374" s="9" t="n">
        <v>2.859067219724756</v>
      </c>
    </row>
    <row r="375" spans="1:22">
      <c r="B375" t="s">
        <v>29</v>
      </c>
      <c r="C375" s="124" t="n">
        <v>1.533086172148184</v>
      </c>
      <c r="D375" s="88" t="n">
        <v>1.07140611471234</v>
      </c>
      <c r="E375" s="16" t="n">
        <v>0.3011442316963373</v>
      </c>
      <c r="F375" s="88" t="n">
        <v>4.288504635387167</v>
      </c>
      <c r="G375" s="88" t="n">
        <v>1.797301752045711</v>
      </c>
      <c r="H375" s="16" t="n">
        <v>0.0325482208329182</v>
      </c>
      <c r="I375" s="16" t="n">
        <v>0.2746290434863001</v>
      </c>
      <c r="J375" s="16" t="n">
        <v>0.7331603136646945</v>
      </c>
      <c r="K375" s="88" t="n">
        <v>4.002688221112663</v>
      </c>
      <c r="L375" s="9" t="n">
        <v>1.07140611471234</v>
      </c>
      <c r="M375" s="18" t="n">
        <v>0.3011442316963373</v>
      </c>
      <c r="N375" s="9" t="n">
        <v>4.288504635387167</v>
      </c>
      <c r="O375" s="9" t="n">
        <v>1.797301752045711</v>
      </c>
      <c r="P375" s="9" t="n">
        <v>4.002688221112663</v>
      </c>
    </row>
    <row r="376" spans="1:22">
      <c r="C376" s="70" t="n"/>
      <c r="D376" s="88" t="n"/>
      <c r="F376" s="88" t="n"/>
      <c r="G376" s="88" t="n"/>
      <c r="K376" s="88" t="n"/>
      <c r="L376" s="9" t="n"/>
      <c r="N376" s="9" t="n"/>
      <c r="O376" s="9" t="n"/>
      <c r="P376" s="9" t="n"/>
    </row>
    <row r="377" spans="1:22">
      <c r="A377" t="s">
        <v>399</v>
      </c>
      <c r="B377" t="s">
        <v>24</v>
      </c>
      <c r="C377" s="123" t="n">
        <v>31.32020147082844</v>
      </c>
      <c r="D377" s="88" t="n">
        <v>20.50758139829131</v>
      </c>
      <c r="E377" s="16" t="n">
        <v>0.3452283052076781</v>
      </c>
      <c r="F377" s="88" t="n">
        <v>138.871126625902</v>
      </c>
      <c r="G377" s="88" t="n">
        <v>3.433915495570687</v>
      </c>
      <c r="H377" s="16" t="n">
        <v>-0.1874896192631319</v>
      </c>
      <c r="I377" s="16" t="n">
        <v>0.03593236363790875</v>
      </c>
      <c r="J377" s="16" t="n">
        <v>0.5110727400203903</v>
      </c>
      <c r="K377" s="88" t="n">
        <v>6.771696960689511</v>
      </c>
      <c r="L377" s="9" t="n">
        <v>22.53091956550942</v>
      </c>
      <c r="M377" s="18" t="n">
        <v>0.2806266081495465</v>
      </c>
      <c r="N377" s="9" t="n">
        <v>65.96906585446121</v>
      </c>
      <c r="O377" s="9" t="n">
        <v>1.106278464265456</v>
      </c>
      <c r="P377" s="9" t="n">
        <v>2.927934905748249</v>
      </c>
      <c r="Q377" s="131" t="n">
        <v>0.08393906200487987</v>
      </c>
      <c r="R377" s="131" t="n">
        <v>0.05558401368294676</v>
      </c>
      <c r="S377" s="131" t="n">
        <v>0.01259959342940074</v>
      </c>
      <c r="U377" s="129">
        <f>C377*S377</f>
        <v/>
      </c>
      <c r="V377" s="129">
        <f>Q377*(1-U377)+S377</f>
        <v/>
      </c>
    </row>
    <row r="378" spans="1:22">
      <c r="A378" t="s">
        <v>400</v>
      </c>
      <c r="B378" t="s">
        <v>26</v>
      </c>
      <c r="C378" s="125" t="n">
        <v>39.86716042552943</v>
      </c>
      <c r="D378" s="88" t="n">
        <v>19.82887170179219</v>
      </c>
      <c r="E378" s="16" t="n">
        <v>0.5026264351374641</v>
      </c>
      <c r="F378" s="88" t="n">
        <v>138.871126625902</v>
      </c>
      <c r="G378" s="88" t="n">
        <v>2.483346321725341</v>
      </c>
      <c r="H378" s="16" t="n">
        <v>-0.3567009605944376</v>
      </c>
      <c r="I378" s="16" t="n">
        <v>-0.1810059043452338</v>
      </c>
      <c r="J378" s="16" t="n">
        <v>0.2510914761323901</v>
      </c>
      <c r="K378" s="88" t="n">
        <v>7.003481020725475</v>
      </c>
      <c r="L378" s="9" t="n">
        <v>23.03022788345642</v>
      </c>
      <c r="M378" s="18" t="n">
        <v>0.4223258532175589</v>
      </c>
      <c r="N378" s="9" t="n">
        <v>63.67040506477775</v>
      </c>
      <c r="O378" s="9" t="n">
        <v>0.597063959037464</v>
      </c>
      <c r="P378" s="9" t="n">
        <v>2.764645030304493</v>
      </c>
    </row>
    <row r="379" spans="1:22">
      <c r="B379" t="s">
        <v>28</v>
      </c>
      <c r="C379" s="124" t="n">
        <v>2.628988333265198</v>
      </c>
      <c r="D379" s="88" t="n">
        <v>2.077460711569786</v>
      </c>
      <c r="E379" s="16" t="n">
        <v>0.2097870175826972</v>
      </c>
      <c r="F379" s="88" t="n">
        <v>8.929461407401115</v>
      </c>
      <c r="G379" s="88" t="n">
        <v>2.396539001111025</v>
      </c>
      <c r="H379" s="16" t="n">
        <v>0.0595965071822806</v>
      </c>
      <c r="I379" s="16" t="n">
        <v>0.2303216130788406</v>
      </c>
      <c r="J379" s="16" t="n">
        <v>0.742111987588409</v>
      </c>
      <c r="K379" s="88" t="n">
        <v>4.298257655449845</v>
      </c>
      <c r="L379" s="9" t="n">
        <v>2.077460711569786</v>
      </c>
      <c r="M379" s="18" t="n">
        <v>0.2097870175826972</v>
      </c>
      <c r="N379" s="9" t="n">
        <v>6.647585851566988</v>
      </c>
      <c r="O379" s="9" t="n">
        <v>1.5285718340601</v>
      </c>
      <c r="P379" s="9" t="n">
        <v>3.199861164423124</v>
      </c>
    </row>
    <row r="380" spans="1:22">
      <c r="B380" t="s">
        <v>29</v>
      </c>
      <c r="C380" s="124" t="n">
        <v>2.215976790592862</v>
      </c>
      <c r="D380" s="88" t="n">
        <v>1.642907998820479</v>
      </c>
      <c r="E380" s="16" t="n">
        <v>0.2586077589824685</v>
      </c>
      <c r="F380" s="88" t="n">
        <v>8.929461407401115</v>
      </c>
      <c r="G380" s="88" t="n">
        <v>3.029582550371446</v>
      </c>
      <c r="H380" s="16" t="n">
        <v>0.1546101015840262</v>
      </c>
      <c r="I380" s="16" t="n">
        <v>0.3531507400259057</v>
      </c>
      <c r="J380" s="16" t="n">
        <v>1.023696638001432</v>
      </c>
      <c r="K380" s="88" t="n">
        <v>5.435156085314573</v>
      </c>
      <c r="L380" s="9" t="n">
        <v>1.642907998820479</v>
      </c>
      <c r="M380" s="18" t="n">
        <v>0.2586077589824685</v>
      </c>
      <c r="N380" s="9" t="n">
        <v>6.302212025852473</v>
      </c>
      <c r="O380" s="9" t="n">
        <v>1.843988282100365</v>
      </c>
      <c r="P380" s="9" t="n">
        <v>3.836010312432058</v>
      </c>
    </row>
    <row r="381" spans="1:22">
      <c r="C381" s="70" t="n"/>
      <c r="D381" s="88" t="n"/>
      <c r="F381" s="88" t="n"/>
      <c r="G381" s="88" t="n"/>
      <c r="K381" s="88" t="n"/>
      <c r="L381" s="9" t="n"/>
      <c r="N381" s="9" t="n"/>
      <c r="O381" s="9" t="n"/>
      <c r="P381" s="9" t="n"/>
    </row>
    <row r="382" spans="1:22">
      <c r="A382" t="s">
        <v>401</v>
      </c>
      <c r="B382" t="s">
        <v>24</v>
      </c>
      <c r="C382" s="123" t="n">
        <v>25.62520065348438</v>
      </c>
      <c r="D382" s="88" t="n">
        <v>16.42309143920743</v>
      </c>
      <c r="E382" s="16" t="n">
        <v>0.3591038891250865</v>
      </c>
      <c r="F382" s="88" t="n">
        <v>58.94184969864025</v>
      </c>
      <c r="G382" s="88" t="n">
        <v>1.300151733275332</v>
      </c>
      <c r="H382" s="16" t="n">
        <v>-0.1852217116020205</v>
      </c>
      <c r="I382" s="16" t="n">
        <v>0.03609259768054329</v>
      </c>
      <c r="J382" s="16" t="n">
        <v>0.2636696495047739</v>
      </c>
      <c r="K382" s="88" t="n">
        <v>3.588961914802853</v>
      </c>
      <c r="L382" s="9" t="n">
        <v>16.42309143920743</v>
      </c>
      <c r="M382" s="18" t="n">
        <v>0.3591038891250865</v>
      </c>
      <c r="N382" s="9" t="n">
        <v>58.94184969864025</v>
      </c>
      <c r="O382" s="9" t="n">
        <v>1.300151733275332</v>
      </c>
      <c r="P382" s="9" t="n">
        <v>3.588961914802853</v>
      </c>
      <c r="Q382" s="131" t="n">
        <v>0.07264135099016054</v>
      </c>
      <c r="R382" s="131" t="n">
        <v>0.06707582737877313</v>
      </c>
      <c r="S382" s="131" t="n">
        <v>0.02033526058725348</v>
      </c>
      <c r="U382" s="129">
        <f>C382*S382</f>
        <v/>
      </c>
      <c r="V382" s="129">
        <f>Q382*(1-U382)+S382</f>
        <v/>
      </c>
    </row>
    <row r="383" spans="1:22">
      <c r="A383" t="s">
        <v>402</v>
      </c>
      <c r="B383" t="s">
        <v>26</v>
      </c>
      <c r="C383" s="123" t="n">
        <v>28.23911552249773</v>
      </c>
      <c r="D383" s="88" t="n">
        <v>17.9258841929386</v>
      </c>
      <c r="E383" s="16" t="n">
        <v>0.3652108480997828</v>
      </c>
      <c r="F383" s="88" t="n">
        <v>62.62329299683508</v>
      </c>
      <c r="G383" s="88" t="n">
        <v>1.217608159396633</v>
      </c>
      <c r="H383" s="16" t="n">
        <v>-0.1548026811091535</v>
      </c>
      <c r="I383" s="16" t="n">
        <v>0.09152545482324959</v>
      </c>
      <c r="J383" s="16" t="n">
        <v>0.3575645148377953</v>
      </c>
      <c r="K383" s="88" t="n">
        <v>3.49345629609187</v>
      </c>
      <c r="L383" s="9" t="n">
        <v>17.9258841929386</v>
      </c>
      <c r="M383" s="18" t="n">
        <v>0.3652108480997828</v>
      </c>
      <c r="N383" s="9" t="n">
        <v>62.62329299683508</v>
      </c>
      <c r="O383" s="9" t="n">
        <v>1.217608159396633</v>
      </c>
      <c r="P383" s="9" t="n">
        <v>3.49345629609187</v>
      </c>
    </row>
    <row r="384" spans="1:22">
      <c r="B384" t="s">
        <v>28</v>
      </c>
      <c r="C384" s="124" t="n">
        <v>1.86144919486305</v>
      </c>
      <c r="D384" s="88" t="n">
        <v>1.421433318177864</v>
      </c>
      <c r="E384" s="16" t="n">
        <v>0.2363835005002962</v>
      </c>
      <c r="F384" s="88" t="n">
        <v>5.574686068431894</v>
      </c>
      <c r="G384" s="88" t="n">
        <v>1.994809680444721</v>
      </c>
      <c r="H384" s="16" t="n">
        <v>0.1913991739896337</v>
      </c>
      <c r="I384" s="16" t="n">
        <v>0.3776171917670994</v>
      </c>
      <c r="J384" s="16" t="n">
        <v>0.7669470987508544</v>
      </c>
      <c r="K384" s="88" t="n">
        <v>3.921876599584766</v>
      </c>
      <c r="L384" s="9" t="n">
        <v>1.421433318177864</v>
      </c>
      <c r="M384" s="18" t="n">
        <v>0.2363835005002962</v>
      </c>
      <c r="N384" s="9" t="n">
        <v>5.574686068431894</v>
      </c>
      <c r="O384" s="9" t="n">
        <v>1.994809680444721</v>
      </c>
      <c r="P384" s="9" t="n">
        <v>3.921876599584766</v>
      </c>
    </row>
    <row r="385" spans="1:22">
      <c r="B385" t="s">
        <v>29</v>
      </c>
      <c r="C385" s="124" t="n">
        <v>1.894162038116291</v>
      </c>
      <c r="D385" s="88" t="n">
        <v>1.407241892485367</v>
      </c>
      <c r="E385" s="16" t="n">
        <v>0.257063617490274</v>
      </c>
      <c r="F385" s="88" t="n">
        <v>5.044956383843582</v>
      </c>
      <c r="G385" s="88" t="n">
        <v>1.663423868879084</v>
      </c>
      <c r="H385" s="16" t="n">
        <v>0.1169683282147365</v>
      </c>
      <c r="I385" s="16" t="n">
        <v>0.3738367062535086</v>
      </c>
      <c r="J385" s="16" t="n">
        <v>0.7505461783119831</v>
      </c>
      <c r="K385" s="88" t="n">
        <v>3.584995877953542</v>
      </c>
      <c r="L385" s="9" t="n">
        <v>1.407241892485367</v>
      </c>
      <c r="M385" s="18" t="n">
        <v>0.257063617490274</v>
      </c>
      <c r="N385" s="9" t="n">
        <v>5.044956383843582</v>
      </c>
      <c r="O385" s="9" t="n">
        <v>1.663423868879084</v>
      </c>
      <c r="P385" s="9" t="n">
        <v>3.584995877953542</v>
      </c>
    </row>
    <row r="386" spans="1:22">
      <c r="C386" s="70" t="n"/>
      <c r="D386" s="88" t="n"/>
      <c r="F386" s="88" t="n"/>
      <c r="G386" s="88" t="n"/>
      <c r="K386" s="88" t="n"/>
      <c r="L386" s="9" t="n"/>
      <c r="N386" s="9" t="n"/>
      <c r="O386" s="9" t="n"/>
      <c r="P386" s="9" t="n"/>
    </row>
    <row r="387" spans="1:22">
      <c r="A387" t="s">
        <v>403</v>
      </c>
      <c r="B387" t="s">
        <v>24</v>
      </c>
      <c r="C387" s="123" t="n">
        <v>27.5768789141205</v>
      </c>
      <c r="D387" s="88" t="n">
        <v>16.04592475389076</v>
      </c>
      <c r="E387" s="16" t="n">
        <v>0.4181384773867726</v>
      </c>
      <c r="F387" s="88" t="n">
        <v>-19.19851049310793</v>
      </c>
      <c r="G387" s="88" t="n">
        <v>-1.696181411714344</v>
      </c>
      <c r="H387" s="16" t="n">
        <v>-0.1369708028530211</v>
      </c>
      <c r="I387" s="16" t="n">
        <v>0.1330710936470605</v>
      </c>
      <c r="J387" s="16" t="n">
        <v>0.8679640406707598</v>
      </c>
      <c r="K387" s="88" t="n">
        <v>-1.196472673751804</v>
      </c>
      <c r="L387" s="9" t="n">
        <v>16.04592475389076</v>
      </c>
      <c r="M387" s="18" t="n">
        <v>0.4181384773867726</v>
      </c>
      <c r="N387" s="9" t="n">
        <v>71.61533724448265</v>
      </c>
      <c r="O387" s="9" t="n">
        <v>1.596934100755421</v>
      </c>
      <c r="P387" s="9" t="n">
        <v>4.463148016889311</v>
      </c>
      <c r="Q387" s="131" t="n">
        <v>0.0673247357996188</v>
      </c>
      <c r="R387" s="131" t="n">
        <v>0.04294260684380157</v>
      </c>
      <c r="S387" s="131" t="n">
        <v>0.01249569507767211</v>
      </c>
      <c r="U387" s="129">
        <f>C387*S387</f>
        <v/>
      </c>
      <c r="V387" s="129">
        <f>Q387*(1-U387)+S387</f>
        <v/>
      </c>
    </row>
    <row r="388" spans="1:22">
      <c r="A388" t="s">
        <v>404</v>
      </c>
      <c r="B388" t="s">
        <v>26</v>
      </c>
      <c r="C388" s="125" t="n">
        <v>42.90033480098942</v>
      </c>
      <c r="D388" s="88" t="n">
        <v>16.01419048906144</v>
      </c>
      <c r="E388" s="16" t="n">
        <v>0.6267117596319527</v>
      </c>
      <c r="F388" s="88" t="n">
        <v>-120.5136702989272</v>
      </c>
      <c r="G388" s="88" t="n">
        <v>-3.809154540587589</v>
      </c>
      <c r="H388" s="16" t="n">
        <v>-0.2469142251905616</v>
      </c>
      <c r="I388" s="16" t="n">
        <v>-0.01028233951617619</v>
      </c>
      <c r="J388" s="16" t="n">
        <v>0.3559830342681471</v>
      </c>
      <c r="K388" s="88" t="n">
        <v>-7.525430047884379</v>
      </c>
      <c r="L388" s="9" t="n">
        <v>16.01419048906144</v>
      </c>
      <c r="M388" s="18" t="n">
        <v>0.6267117596319527</v>
      </c>
      <c r="N388" s="9" t="n">
        <v>73.83359110253578</v>
      </c>
      <c r="O388" s="9" t="n">
        <v>0.7210492982174335</v>
      </c>
      <c r="P388" s="9" t="n">
        <v>4.610510356609541</v>
      </c>
    </row>
    <row r="389" spans="1:22">
      <c r="B389" t="s">
        <v>28</v>
      </c>
      <c r="C389" s="124" t="n">
        <v>1.856606087071241</v>
      </c>
      <c r="D389" s="88" t="n">
        <v>1.134167169696348</v>
      </c>
      <c r="E389" s="16" t="n">
        <v>0.3891180376956138</v>
      </c>
      <c r="F389" s="88" t="n">
        <v>6.061541813137846</v>
      </c>
      <c r="G389" s="88" t="n">
        <v>2.264850770095129</v>
      </c>
      <c r="H389" s="16" t="n">
        <v>0.2220303435465496</v>
      </c>
      <c r="I389" s="16" t="n">
        <v>0.4657340398766001</v>
      </c>
      <c r="J389" s="16" t="n">
        <v>0.8957981483185373</v>
      </c>
      <c r="K389" s="88" t="n">
        <v>5.344487104807231</v>
      </c>
      <c r="L389" s="9" t="n">
        <v>1.134167169696348</v>
      </c>
      <c r="M389" s="18" t="n">
        <v>0.3891180376956138</v>
      </c>
      <c r="N389" s="9" t="n">
        <v>6.061541813137846</v>
      </c>
      <c r="O389" s="9" t="n">
        <v>2.264850770095129</v>
      </c>
      <c r="P389" s="9" t="n">
        <v>5.344487104807231</v>
      </c>
    </row>
    <row r="390" spans="1:22">
      <c r="B390" t="s">
        <v>29</v>
      </c>
      <c r="C390" s="124" t="n">
        <v>1.842252210826347</v>
      </c>
      <c r="D390" s="88" t="n">
        <v>1.145979630151883</v>
      </c>
      <c r="E390" s="16" t="n">
        <v>0.3779463944093457</v>
      </c>
      <c r="F390" s="88" t="n">
        <v>5.886756407568769</v>
      </c>
      <c r="G390" s="88" t="n">
        <v>2.195412860939518</v>
      </c>
      <c r="H390" s="16" t="n">
        <v>0.3231446645663909</v>
      </c>
      <c r="I390" s="16" t="n">
        <v>0.625265107445957</v>
      </c>
      <c r="J390" s="16" t="n">
        <v>1.075076111920525</v>
      </c>
      <c r="K390" s="88" t="n">
        <v>5.136877002594333</v>
      </c>
      <c r="L390" s="9" t="n">
        <v>1.145979630151883</v>
      </c>
      <c r="M390" s="18" t="n">
        <v>0.3779463944093457</v>
      </c>
      <c r="N390" s="9" t="n">
        <v>5.886756407568769</v>
      </c>
      <c r="O390" s="9" t="n">
        <v>2.195412860939518</v>
      </c>
      <c r="P390" s="9" t="n">
        <v>5.136877002594333</v>
      </c>
    </row>
  </sheetData>
  <conditionalFormatting sqref="Q1:Q1048576">
    <cfRule priority="7" type="dataBar">
      <dataBar>
        <cfvo type="min"/>
        <cfvo type="max"/>
        <color rgb="FF638EC6"/>
      </dataBar>
    </cfRule>
  </conditionalFormatting>
  <conditionalFormatting sqref="R1:R1048576">
    <cfRule priority="6" type="dataBar">
      <dataBar>
        <cfvo type="min"/>
        <cfvo type="max"/>
        <color rgb="FF638EC6"/>
      </dataBar>
    </cfRule>
  </conditionalFormatting>
  <conditionalFormatting sqref="S1:S1048576">
    <cfRule priority="5" type="dataBar">
      <dataBar>
        <cfvo type="min"/>
        <cfvo type="max"/>
        <color rgb="FF638EC6"/>
      </dataBar>
    </cfRule>
  </conditionalFormatting>
  <conditionalFormatting sqref="E1:E280 E282:E1048576">
    <cfRule priority="4" type="dataBar">
      <dataBar>
        <cfvo type="min"/>
        <cfvo type="max"/>
        <color rgb="FF638EC6"/>
      </dataBar>
    </cfRule>
  </conditionalFormatting>
  <conditionalFormatting sqref="M1:M1048576">
    <cfRule priority="3" type="dataBar">
      <dataBar>
        <cfvo type="min"/>
        <cfvo type="max"/>
        <color rgb="FF638EC6"/>
      </dataBar>
    </cfRule>
  </conditionalFormatting>
  <conditionalFormatting sqref="I1:J1048576">
    <cfRule priority="2" type="dataBar">
      <dataBar>
        <cfvo type="min"/>
        <cfvo type="max"/>
        <color rgb="FF638EC6"/>
      </dataBar>
    </cfRule>
  </conditionalFormatting>
  <conditionalFormatting sqref="H1:H1048576">
    <cfRule priority="1" type="dataBar">
      <dataBar>
        <cfvo type="min"/>
        <cfvo type="max"/>
        <color rgb="FF638EC6"/>
      </dataBar>
    </cfRule>
  </conditionalFormatting>
  <pageMargins bottom="0.75" footer="0.3" header="0.3" left="0.7" right="0.7" top="0.75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1:Q30"/>
  <sheetViews>
    <sheetView topLeftCell="A2" workbookViewId="0" zoomScale="110" zoomScaleNormal="110">
      <pane activePane="bottomLeft" state="frozen" topLeftCell="A3" ySplit="1"/>
      <selection activeCell="A2" sqref="A2"/>
      <selection activeCell="A17" pane="bottomLeft" sqref="A17:XFD17"/>
    </sheetView>
  </sheetViews>
  <sheetFormatPr baseColWidth="10" defaultRowHeight="16" outlineLevelCol="0"/>
  <cols>
    <col customWidth="1" max="1" min="1" style="130" width="10.83203125"/>
    <col customWidth="1" max="3" min="3" style="130" width="18.5"/>
    <col customWidth="1" max="8" min="8" style="33" width="14.33203125"/>
    <col customWidth="1" max="10" min="10" style="33" width="19"/>
    <col customWidth="1" max="13" min="13" style="130" width="18"/>
    <col customWidth="1" max="14" min="14" style="130" width="11"/>
    <col customWidth="1" max="15" min="15" style="130" width="15.5"/>
    <col customWidth="1" max="16" min="16" style="130" width="9.1640625"/>
    <col customWidth="1" max="17" min="17" style="130" width="17.1640625"/>
  </cols>
  <sheetData>
    <row r="1" spans="1:17">
      <c r="B1" s="71" t="n">
        <v>43407</v>
      </c>
    </row>
    <row customHeight="1" ht="17" r="2" s="130" spans="1:17">
      <c r="B2" s="45" t="s">
        <v>405</v>
      </c>
      <c r="C2" s="45" t="s">
        <v>406</v>
      </c>
      <c r="D2" s="45" t="s">
        <v>407</v>
      </c>
      <c r="E2" s="45" t="s">
        <v>408</v>
      </c>
      <c r="F2" s="45" t="s">
        <v>409</v>
      </c>
      <c r="G2" s="45" t="s">
        <v>410</v>
      </c>
      <c r="H2" s="45" t="s">
        <v>411</v>
      </c>
      <c r="I2" s="45" t="s">
        <v>412</v>
      </c>
      <c r="J2" s="45" t="s">
        <v>413</v>
      </c>
      <c r="K2" s="45" t="s">
        <v>414</v>
      </c>
      <c r="L2" s="45" t="s">
        <v>415</v>
      </c>
      <c r="M2" s="45" t="s">
        <v>416</v>
      </c>
      <c r="N2" t="s">
        <v>417</v>
      </c>
      <c r="O2" s="45" t="s">
        <v>418</v>
      </c>
      <c r="P2" t="s">
        <v>419</v>
      </c>
      <c r="Q2" t="s">
        <v>420</v>
      </c>
    </row>
    <row customFormat="1" customHeight="1" ht="17" r="3" s="22" spans="1:17">
      <c r="B3" s="46" t="s">
        <v>421</v>
      </c>
      <c r="C3" s="46" t="s">
        <v>422</v>
      </c>
      <c r="D3" s="46" t="n">
        <v>726.59</v>
      </c>
      <c r="E3" s="46" t="n">
        <v>0.85</v>
      </c>
      <c r="F3" s="46" t="n">
        <v>29.48</v>
      </c>
      <c r="G3" s="46" t="n">
        <v>26.75</v>
      </c>
      <c r="H3" s="46" t="n">
        <v>0.03</v>
      </c>
      <c r="I3" s="46" t="n">
        <v>2.35</v>
      </c>
      <c r="J3" s="46" t="n">
        <v>0.03</v>
      </c>
      <c r="K3" s="47" t="n">
        <v>36529</v>
      </c>
      <c r="L3" s="48" t="s">
        <v>415</v>
      </c>
      <c r="M3" s="42">
        <f>I3/G3</f>
        <v/>
      </c>
      <c r="N3" s="46" t="n">
        <v>19.49</v>
      </c>
      <c r="O3" s="52">
        <f>1-N3/G3</f>
        <v/>
      </c>
      <c r="P3" s="51" t="n">
        <v>1.7</v>
      </c>
      <c r="Q3" s="52">
        <f>1-P3/I3</f>
        <v/>
      </c>
    </row>
    <row customHeight="1" ht="17" r="4" s="130" spans="1:17">
      <c r="B4" s="46" t="s">
        <v>423</v>
      </c>
      <c r="C4" s="46" t="s">
        <v>424</v>
      </c>
      <c r="D4" s="46" t="n">
        <v>3621.78</v>
      </c>
      <c r="E4" s="46" t="n">
        <v>0.68</v>
      </c>
      <c r="F4" s="46" t="n">
        <v>21.58</v>
      </c>
      <c r="G4" s="46" t="n">
        <v>19.1</v>
      </c>
      <c r="H4" s="46" t="n">
        <v>0.06</v>
      </c>
      <c r="I4" s="46" t="n">
        <v>1.67</v>
      </c>
      <c r="J4" s="46" t="n">
        <v>0.04</v>
      </c>
      <c r="K4" s="47" t="n">
        <v>36529</v>
      </c>
      <c r="L4" s="48" t="s">
        <v>415</v>
      </c>
      <c r="M4" s="129">
        <f>I4/G4</f>
        <v/>
      </c>
      <c r="N4" s="46" t="n">
        <v>14.35</v>
      </c>
      <c r="O4" s="49">
        <f>1-N4/G4</f>
        <v/>
      </c>
      <c r="P4" s="46" t="n">
        <v>1.31</v>
      </c>
      <c r="Q4" s="49">
        <f>1-P4/I4</f>
        <v/>
      </c>
    </row>
    <row customHeight="1" ht="17" r="5" s="130" spans="1:17">
      <c r="B5" s="46" t="s">
        <v>425</v>
      </c>
      <c r="C5" s="46" t="s">
        <v>426</v>
      </c>
      <c r="D5" s="46" t="n">
        <v>2172.16</v>
      </c>
      <c r="E5" s="46" t="n">
        <v>0.35</v>
      </c>
      <c r="F5" s="46" t="n">
        <v>15.25</v>
      </c>
      <c r="G5" s="46" t="n">
        <v>23.4</v>
      </c>
      <c r="H5" s="46" t="n">
        <v>0.33</v>
      </c>
      <c r="I5" s="46" t="n">
        <v>1.69</v>
      </c>
      <c r="J5" s="46" t="n">
        <v>0.05</v>
      </c>
      <c r="K5" s="47" t="n">
        <v>36529</v>
      </c>
      <c r="L5" s="48" t="s">
        <v>415</v>
      </c>
      <c r="M5" s="42">
        <f>I5/G5</f>
        <v/>
      </c>
      <c r="N5" s="51" t="n">
        <v>13.78</v>
      </c>
      <c r="O5" s="52">
        <f>1-N5/G5</f>
        <v/>
      </c>
      <c r="P5" s="51" t="n">
        <v>1.35</v>
      </c>
      <c r="Q5" s="52">
        <f>1-P5/I5</f>
        <v/>
      </c>
    </row>
    <row customHeight="1" ht="17" r="6" s="130" spans="1:17">
      <c r="B6" s="46" t="s">
        <v>427</v>
      </c>
      <c r="C6" s="46" t="s">
        <v>428</v>
      </c>
      <c r="D6" s="46" t="n">
        <v>2742.92</v>
      </c>
      <c r="E6" s="46" t="n">
        <v>0.32</v>
      </c>
      <c r="F6" s="46" t="n">
        <v>18.95</v>
      </c>
      <c r="G6" s="46" t="n">
        <v>15.27</v>
      </c>
      <c r="H6" s="46" t="n">
        <v>0.18</v>
      </c>
      <c r="I6" s="46" t="n">
        <v>1.34</v>
      </c>
      <c r="J6" s="46" t="n">
        <v>0.06</v>
      </c>
      <c r="K6" s="47" t="n">
        <v>36529</v>
      </c>
      <c r="L6" s="48" t="s">
        <v>415</v>
      </c>
      <c r="M6" s="129">
        <f>I6/G6</f>
        <v/>
      </c>
      <c r="N6" s="46" t="n">
        <v>8.109999999999999</v>
      </c>
      <c r="O6" s="49">
        <f>1-N6/G6</f>
        <v/>
      </c>
      <c r="P6" s="46" t="n">
        <v>1.19</v>
      </c>
      <c r="Q6" s="49">
        <f>1-P6/I6</f>
        <v/>
      </c>
    </row>
    <row customHeight="1" ht="17" r="7" s="130" spans="1:17">
      <c r="B7" s="46" t="s">
        <v>429</v>
      </c>
      <c r="C7" s="46" t="s">
        <v>430</v>
      </c>
      <c r="D7" s="46" t="n">
        <v>3592.27</v>
      </c>
      <c r="E7" s="46" t="n">
        <v>0.14</v>
      </c>
      <c r="F7" s="46" t="n">
        <v>15.57</v>
      </c>
      <c r="G7" s="46" t="n">
        <v>7.15</v>
      </c>
      <c r="H7" s="46" t="n">
        <v>0.31</v>
      </c>
      <c r="I7" s="46" t="n">
        <v>0.89</v>
      </c>
      <c r="J7" s="46" t="n">
        <v>0.06</v>
      </c>
      <c r="K7" s="47" t="n">
        <v>36529</v>
      </c>
      <c r="L7" s="48" t="s">
        <v>415</v>
      </c>
      <c r="M7" s="42">
        <f>I7/G7</f>
        <v/>
      </c>
      <c r="N7" s="51" t="n">
        <v>4.5</v>
      </c>
      <c r="O7" s="52">
        <f>1-N7/G7</f>
        <v/>
      </c>
      <c r="P7" s="51" t="n">
        <v>0.76</v>
      </c>
      <c r="Q7" s="52">
        <f>1-P7/I7</f>
        <v/>
      </c>
    </row>
    <row customFormat="1" customHeight="1" ht="17" r="8" s="22" spans="1:17">
      <c r="B8" s="46" t="s">
        <v>431</v>
      </c>
      <c r="C8" s="46" t="s">
        <v>432</v>
      </c>
      <c r="D8" s="46" t="n">
        <v>2667.89</v>
      </c>
      <c r="E8" s="46" t="n">
        <v>0.62</v>
      </c>
      <c r="F8" s="46" t="n">
        <v>22.58</v>
      </c>
      <c r="G8" s="46" t="n">
        <v>16.74</v>
      </c>
      <c r="H8" s="46" t="n">
        <v>0.07000000000000001</v>
      </c>
      <c r="I8" s="46" t="n">
        <v>1.88</v>
      </c>
      <c r="J8" s="46" t="n">
        <v>0.07000000000000001</v>
      </c>
      <c r="K8" s="47" t="n">
        <v>36529</v>
      </c>
      <c r="L8" s="48" t="s">
        <v>415</v>
      </c>
      <c r="M8" s="129">
        <f>I8/G8</f>
        <v/>
      </c>
      <c r="N8" s="46" t="n">
        <v>12.49</v>
      </c>
      <c r="O8" s="49">
        <f>1-N8/G8</f>
        <v/>
      </c>
      <c r="P8" s="46" t="n">
        <v>1.42</v>
      </c>
      <c r="Q8" s="49">
        <f>1-P8/I8</f>
        <v/>
      </c>
    </row>
    <row customFormat="1" customHeight="1" ht="17" r="9" s="22" spans="1:17">
      <c r="B9" s="46" t="s">
        <v>433</v>
      </c>
      <c r="C9" s="46" t="s">
        <v>434</v>
      </c>
      <c r="D9" s="46" t="n">
        <v>4592.89</v>
      </c>
      <c r="E9" s="46" t="n">
        <v>0.77</v>
      </c>
      <c r="F9" s="46" t="n">
        <v>31.18</v>
      </c>
      <c r="G9" s="46" t="n">
        <v>29.51</v>
      </c>
      <c r="H9" s="46" t="n">
        <v>0.15</v>
      </c>
      <c r="I9" s="46" t="n">
        <v>2.14</v>
      </c>
      <c r="J9" s="46" t="n">
        <v>0.07000000000000001</v>
      </c>
      <c r="K9" s="47" t="n">
        <v>36529</v>
      </c>
      <c r="L9" s="48" t="s">
        <v>415</v>
      </c>
      <c r="M9" s="129">
        <f>I9/G9</f>
        <v/>
      </c>
      <c r="N9" s="46" t="n">
        <v>17.28</v>
      </c>
      <c r="O9" s="49">
        <f>1-N9/G9</f>
        <v/>
      </c>
      <c r="P9" s="46" t="n">
        <v>1.46</v>
      </c>
      <c r="Q9" s="49">
        <f>1-P9/I9</f>
        <v/>
      </c>
    </row>
    <row customHeight="1" ht="17" r="10" s="130" spans="1:17">
      <c r="B10" s="46" t="s">
        <v>435</v>
      </c>
      <c r="C10" s="46" t="s">
        <v>436</v>
      </c>
      <c r="D10" s="46" t="n">
        <v>4325.74</v>
      </c>
      <c r="E10" s="46" t="n">
        <v>0.75</v>
      </c>
      <c r="F10" s="46" t="n">
        <v>23.71</v>
      </c>
      <c r="G10" s="46" t="n">
        <v>11.09</v>
      </c>
      <c r="H10" s="46" t="n">
        <v>0.05</v>
      </c>
      <c r="I10" s="46" t="n">
        <v>1.55</v>
      </c>
      <c r="J10" s="46" t="n">
        <v>0.08</v>
      </c>
      <c r="K10" s="47" t="n">
        <v>36529</v>
      </c>
      <c r="L10" s="48" t="s">
        <v>415</v>
      </c>
      <c r="M10" s="129">
        <f>I10/G10</f>
        <v/>
      </c>
      <c r="N10" s="46" t="n">
        <v>8.09</v>
      </c>
      <c r="O10" s="49">
        <f>1-N10/G10</f>
        <v/>
      </c>
      <c r="P10" s="46" t="n">
        <v>1.13</v>
      </c>
      <c r="Q10" s="49">
        <f>1-P10/I10</f>
        <v/>
      </c>
    </row>
    <row customHeight="1" ht="17" r="11" s="130" spans="1:17">
      <c r="B11" s="46" t="s">
        <v>437</v>
      </c>
      <c r="C11" s="46" t="s">
        <v>438</v>
      </c>
      <c r="D11" s="46" t="n">
        <v>2453.23</v>
      </c>
      <c r="E11" s="46" t="n">
        <v>0.48</v>
      </c>
      <c r="F11" s="46" t="n">
        <v>14.95</v>
      </c>
      <c r="G11" s="46" t="n">
        <v>12.12</v>
      </c>
      <c r="H11" s="46" t="n">
        <v>0.12</v>
      </c>
      <c r="I11" s="46" t="n">
        <v>1.32</v>
      </c>
      <c r="J11" s="46" t="n">
        <v>0.08</v>
      </c>
      <c r="K11" s="47" t="n">
        <v>36529</v>
      </c>
      <c r="L11" s="48" t="s">
        <v>415</v>
      </c>
      <c r="M11" s="129">
        <f>I11/G11</f>
        <v/>
      </c>
      <c r="N11" s="46" t="n">
        <v>9.050000000000001</v>
      </c>
      <c r="O11" s="49">
        <f>1-N11/G11</f>
        <v/>
      </c>
      <c r="P11" s="46" t="n">
        <v>1.08</v>
      </c>
      <c r="Q11" s="49">
        <f>1-P11/I11</f>
        <v/>
      </c>
    </row>
    <row customHeight="1" ht="17" r="12" s="130" spans="1:17">
      <c r="B12" s="46" t="s">
        <v>439</v>
      </c>
      <c r="C12" s="46" t="s">
        <v>440</v>
      </c>
      <c r="D12" s="46" t="n">
        <v>2177.6</v>
      </c>
      <c r="E12" s="46" t="n">
        <v>1.08</v>
      </c>
      <c r="F12" s="46" t="n">
        <v>29.51</v>
      </c>
      <c r="G12" s="46" t="n">
        <v>34.09</v>
      </c>
      <c r="H12" s="46" t="n">
        <v>0.16</v>
      </c>
      <c r="I12" s="46" t="n">
        <v>1.76</v>
      </c>
      <c r="J12" s="46" t="n">
        <v>0.09</v>
      </c>
      <c r="K12" s="47" t="n">
        <v>36529</v>
      </c>
      <c r="L12" s="48" t="s">
        <v>415</v>
      </c>
      <c r="M12" s="129">
        <f>I12/G12</f>
        <v/>
      </c>
      <c r="N12" s="46" t="n">
        <v>20.71</v>
      </c>
      <c r="O12" s="49">
        <f>1-N12/G12</f>
        <v/>
      </c>
      <c r="P12" s="46" t="n">
        <v>1.12</v>
      </c>
      <c r="Q12" s="49">
        <f>1-P12/I12</f>
        <v/>
      </c>
    </row>
    <row customFormat="1" customHeight="1" ht="17" r="13" s="22" spans="1:17">
      <c r="B13" s="46" t="s">
        <v>441</v>
      </c>
      <c r="C13" s="46" t="s">
        <v>442</v>
      </c>
      <c r="D13" s="46" t="n">
        <v>3030.54</v>
      </c>
      <c r="E13" s="46" t="n">
        <v>0.08</v>
      </c>
      <c r="F13" s="46" t="n">
        <v>23.97</v>
      </c>
      <c r="G13" s="46" t="n">
        <v>30.17</v>
      </c>
      <c r="H13" s="46" t="n">
        <v>0.23</v>
      </c>
      <c r="I13" s="46" t="n">
        <v>2.22</v>
      </c>
      <c r="J13" s="46" t="n">
        <v>0.13</v>
      </c>
      <c r="K13" s="47" t="n">
        <v>36529</v>
      </c>
      <c r="L13" s="48" t="s">
        <v>415</v>
      </c>
      <c r="M13" s="129">
        <f>I13/G13</f>
        <v/>
      </c>
      <c r="N13" s="46" t="n">
        <v>12.89</v>
      </c>
      <c r="O13" s="49">
        <f>1-N13/G13</f>
        <v/>
      </c>
      <c r="P13" s="46" t="n">
        <v>1.36</v>
      </c>
      <c r="Q13" s="49">
        <f>1-P13/I13</f>
        <v/>
      </c>
    </row>
    <row customHeight="1" ht="17" r="14" s="130" spans="1:17">
      <c r="B14" s="46" t="s">
        <v>443</v>
      </c>
      <c r="C14" s="46" t="s">
        <v>444</v>
      </c>
      <c r="D14" s="46" t="n">
        <v>4000.65</v>
      </c>
      <c r="E14" s="46" t="n">
        <v>0.46</v>
      </c>
      <c r="F14" s="46" t="n">
        <v>17.15</v>
      </c>
      <c r="G14" s="46" t="n">
        <v>16.45</v>
      </c>
      <c r="H14" s="46" t="n">
        <v>0.32</v>
      </c>
      <c r="I14" s="46" t="n">
        <v>1.7</v>
      </c>
      <c r="J14" s="46" t="n">
        <v>0.14</v>
      </c>
      <c r="K14" s="47" t="n">
        <v>36529</v>
      </c>
      <c r="L14" s="48" t="s">
        <v>415</v>
      </c>
      <c r="M14" s="129">
        <f>I14/G14</f>
        <v/>
      </c>
      <c r="N14" s="46" t="n">
        <v>7.88</v>
      </c>
      <c r="O14" s="49">
        <f>1-N14/G14</f>
        <v/>
      </c>
      <c r="P14" s="46" t="n">
        <v>1.12</v>
      </c>
      <c r="Q14" s="49">
        <f>1-P14/I14</f>
        <v/>
      </c>
    </row>
    <row customHeight="1" ht="17" r="15" s="130" spans="1:17">
      <c r="B15" s="46" t="s">
        <v>445</v>
      </c>
      <c r="C15" s="46" t="s">
        <v>446</v>
      </c>
      <c r="D15" s="46" t="n">
        <v>2114.84</v>
      </c>
      <c r="E15" s="46" t="n">
        <v>0.6</v>
      </c>
      <c r="F15" s="46" t="n">
        <v>17.99</v>
      </c>
      <c r="G15" s="46" t="n">
        <v>23.31</v>
      </c>
      <c r="H15" s="46" t="n">
        <v>0.2</v>
      </c>
      <c r="I15" s="46" t="n">
        <v>1.87</v>
      </c>
      <c r="J15" s="46" t="n">
        <v>0.18</v>
      </c>
      <c r="K15" s="47" t="n">
        <v>36529</v>
      </c>
      <c r="L15" s="48" t="s">
        <v>415</v>
      </c>
      <c r="M15" s="129">
        <f>I15/G15</f>
        <v/>
      </c>
      <c r="N15" s="46" t="n">
        <v>13.14</v>
      </c>
      <c r="O15" s="49">
        <f>1-N15/G15</f>
        <v/>
      </c>
      <c r="P15" s="46" t="n">
        <v>1.14</v>
      </c>
      <c r="Q15" s="49">
        <f>1-P15/I15</f>
        <v/>
      </c>
    </row>
    <row customFormat="1" customHeight="1" ht="17" r="16" s="22" spans="1:17">
      <c r="B16" s="46" t="s">
        <v>447</v>
      </c>
      <c r="C16" s="46" t="s">
        <v>448</v>
      </c>
      <c r="D16" s="46" t="n">
        <v>2416.24</v>
      </c>
      <c r="E16" s="46" t="n">
        <v>0.27</v>
      </c>
      <c r="F16" s="46" t="n">
        <v>18.99</v>
      </c>
      <c r="G16" s="46" t="n">
        <v>20.52</v>
      </c>
      <c r="H16" s="46" t="n">
        <v>0.35</v>
      </c>
      <c r="I16" s="46" t="n">
        <v>1.55</v>
      </c>
      <c r="J16" s="46" t="n">
        <v>0.18</v>
      </c>
      <c r="K16" s="47" t="n">
        <v>36529</v>
      </c>
      <c r="L16" s="48" t="s">
        <v>415</v>
      </c>
      <c r="M16" s="129">
        <f>I16/G16</f>
        <v/>
      </c>
      <c r="N16" s="46" t="n">
        <v>9.949999999999999</v>
      </c>
      <c r="O16" s="49">
        <f>1-N16/G16</f>
        <v/>
      </c>
      <c r="P16" s="46" t="n">
        <v>1.09</v>
      </c>
      <c r="Q16" s="49">
        <f>1-P16/I16</f>
        <v/>
      </c>
    </row>
    <row customHeight="1" ht="17" r="17" s="130" spans="1:17">
      <c r="B17" s="46" t="s">
        <v>449</v>
      </c>
      <c r="C17" s="46" t="s">
        <v>450</v>
      </c>
      <c r="D17" s="46" t="n">
        <v>7185.71</v>
      </c>
      <c r="E17" s="46" t="n">
        <v>0.32</v>
      </c>
      <c r="F17" s="46" t="n">
        <v>23.02</v>
      </c>
      <c r="G17" s="46" t="n">
        <v>30.45</v>
      </c>
      <c r="H17" s="46" t="n">
        <v>0.15</v>
      </c>
      <c r="I17" s="46" t="n">
        <v>3.3</v>
      </c>
      <c r="J17" s="46" t="n">
        <v>0.22</v>
      </c>
      <c r="K17" s="47" t="n">
        <v>36529</v>
      </c>
      <c r="L17" s="48" t="s">
        <v>415</v>
      </c>
      <c r="M17" s="42">
        <f>I17/G17</f>
        <v/>
      </c>
      <c r="N17" s="51" t="n">
        <v>20.65</v>
      </c>
      <c r="O17" s="52">
        <f>1-N17/G17</f>
        <v/>
      </c>
      <c r="P17" s="51" t="n">
        <v>2.62</v>
      </c>
      <c r="Q17" s="52">
        <f>1-P17/I17</f>
        <v/>
      </c>
    </row>
    <row customHeight="1" ht="17" r="18" s="130" spans="1:17">
      <c r="B18" s="46" t="s">
        <v>451</v>
      </c>
      <c r="C18" s="46" t="s">
        <v>452</v>
      </c>
      <c r="D18" s="46" t="n">
        <v>1206.8</v>
      </c>
      <c r="E18" s="46" t="n">
        <v>0.7</v>
      </c>
      <c r="F18" s="46" t="n">
        <v>27.53</v>
      </c>
      <c r="G18" s="46" t="n">
        <v>31.26</v>
      </c>
      <c r="H18" s="46" t="n">
        <v>0.44</v>
      </c>
      <c r="I18" s="46" t="n">
        <v>2.21</v>
      </c>
      <c r="J18" s="46" t="n">
        <v>0.22</v>
      </c>
      <c r="K18" s="47" t="n">
        <v>36529</v>
      </c>
      <c r="L18" s="48" t="s">
        <v>415</v>
      </c>
      <c r="M18" s="129">
        <f>I18/G18</f>
        <v/>
      </c>
      <c r="N18" s="46" t="n">
        <v>11.77</v>
      </c>
      <c r="O18" s="49">
        <f>1-N18/G18</f>
        <v/>
      </c>
      <c r="P18" s="46" t="n">
        <v>1.41</v>
      </c>
      <c r="Q18" s="49">
        <f>1-P18/I18</f>
        <v/>
      </c>
    </row>
    <row customHeight="1" ht="17" r="19" s="130" spans="1:17">
      <c r="B19" s="46" t="s">
        <v>453</v>
      </c>
      <c r="C19" s="46" t="s">
        <v>454</v>
      </c>
      <c r="D19" s="46" t="n">
        <v>5269.08</v>
      </c>
      <c r="E19" s="46" t="n">
        <v>-0.22</v>
      </c>
      <c r="F19" s="46" t="n">
        <v>25.94</v>
      </c>
      <c r="G19" s="46" t="n">
        <v>13.27</v>
      </c>
      <c r="H19" s="46" t="n">
        <v>0.03</v>
      </c>
      <c r="I19" s="46" t="n">
        <v>1.98</v>
      </c>
      <c r="J19" s="46" t="n">
        <v>0.23</v>
      </c>
      <c r="K19" s="47" t="n">
        <v>36529</v>
      </c>
      <c r="L19" s="48" t="s">
        <v>415</v>
      </c>
      <c r="M19" s="129">
        <f>I19/G19</f>
        <v/>
      </c>
      <c r="N19" s="46" t="n">
        <v>10.6</v>
      </c>
      <c r="O19" s="49">
        <f>1-N19/G19</f>
        <v/>
      </c>
      <c r="P19" s="46" t="n">
        <v>1.3</v>
      </c>
      <c r="Q19" s="49">
        <f>1-P19/I19</f>
        <v/>
      </c>
    </row>
    <row customHeight="1" ht="17" r="20" s="130" spans="1:17">
      <c r="B20" s="46" t="s">
        <v>455</v>
      </c>
      <c r="C20" s="46" t="s">
        <v>456</v>
      </c>
      <c r="D20" s="46" t="n">
        <v>1153.48</v>
      </c>
      <c r="E20" s="46" t="n">
        <v>-0.14</v>
      </c>
      <c r="F20" s="46" t="n">
        <v>30.25</v>
      </c>
      <c r="G20" s="46" t="n">
        <v>70.55</v>
      </c>
      <c r="H20" s="46" t="n">
        <v>0.64</v>
      </c>
      <c r="I20" s="46" t="n">
        <v>2.5</v>
      </c>
      <c r="J20" s="46" t="n">
        <v>0.24</v>
      </c>
      <c r="K20" s="47" t="n">
        <v>36529</v>
      </c>
      <c r="L20" s="48" t="s">
        <v>415</v>
      </c>
      <c r="M20" s="42">
        <f>I20/G20</f>
        <v/>
      </c>
      <c r="N20" s="51" t="n">
        <v>17.83</v>
      </c>
      <c r="O20" s="52">
        <f>1-N20/G20</f>
        <v/>
      </c>
      <c r="P20" s="51" t="n">
        <v>1.77</v>
      </c>
      <c r="Q20" s="52">
        <f>1-P20/I20</f>
        <v/>
      </c>
    </row>
    <row customFormat="1" customHeight="1" ht="17" r="21" s="22" spans="1:17">
      <c r="B21" s="46" t="s">
        <v>457</v>
      </c>
      <c r="C21" s="46" t="s">
        <v>458</v>
      </c>
      <c r="D21" s="46" t="n">
        <v>2314.05</v>
      </c>
      <c r="E21" s="46" t="n">
        <v>0.47</v>
      </c>
      <c r="F21" s="46" t="n">
        <v>22.61</v>
      </c>
      <c r="G21" s="46" t="n">
        <v>19.85</v>
      </c>
      <c r="H21" s="46" t="n">
        <v>0.1</v>
      </c>
      <c r="I21" s="46" t="n">
        <v>1.95</v>
      </c>
      <c r="J21" s="46" t="n">
        <v>0.25</v>
      </c>
      <c r="K21" s="47" t="n">
        <v>36529</v>
      </c>
      <c r="L21" s="48" t="s">
        <v>415</v>
      </c>
      <c r="M21" s="129">
        <f>I21/G21</f>
        <v/>
      </c>
      <c r="N21" s="46" t="n">
        <v>14</v>
      </c>
      <c r="O21" s="49">
        <f>1-N21/G21</f>
        <v/>
      </c>
      <c r="P21" s="46" t="n">
        <v>1.12</v>
      </c>
      <c r="Q21" s="49">
        <f>1-P21/I21</f>
        <v/>
      </c>
    </row>
    <row customHeight="1" ht="17" r="22" s="130" spans="1:17">
      <c r="B22" s="46" t="s">
        <v>459</v>
      </c>
      <c r="C22" s="46" t="s">
        <v>460</v>
      </c>
      <c r="D22" s="46" t="n">
        <v>5295.03</v>
      </c>
      <c r="E22" s="46" t="n">
        <v>0.5600000000000001</v>
      </c>
      <c r="F22" s="46" t="n">
        <v>9.75</v>
      </c>
      <c r="G22" s="46" t="n">
        <v>29.68</v>
      </c>
      <c r="H22" s="46" t="n">
        <v>0.06</v>
      </c>
      <c r="I22" s="46" t="n">
        <v>3.26</v>
      </c>
      <c r="J22" s="46" t="n">
        <v>0.26</v>
      </c>
      <c r="K22" s="47" t="n">
        <v>36529</v>
      </c>
      <c r="L22" s="48" t="s">
        <v>415</v>
      </c>
      <c r="M22" s="129">
        <f>I22/G22</f>
        <v/>
      </c>
      <c r="N22" s="46" t="n">
        <v>25.33</v>
      </c>
      <c r="O22" s="49">
        <f>1-N22/G22</f>
        <v/>
      </c>
      <c r="P22" s="46" t="n">
        <v>1.58</v>
      </c>
      <c r="Q22" s="49">
        <f>1-P22/I22</f>
        <v/>
      </c>
    </row>
    <row customHeight="1" ht="17" r="23" s="130" spans="1:17">
      <c r="B23" s="46" t="s">
        <v>461</v>
      </c>
      <c r="C23" s="46" t="s">
        <v>462</v>
      </c>
      <c r="D23" s="46" t="n">
        <v>2025.71</v>
      </c>
      <c r="E23" s="46" t="n">
        <v>1.37</v>
      </c>
      <c r="F23" s="46" t="n">
        <v>37.7</v>
      </c>
      <c r="G23" s="46" t="n">
        <v>21.78</v>
      </c>
      <c r="H23" s="46" t="n">
        <v>0.4</v>
      </c>
      <c r="I23" s="46" t="n">
        <v>2.09</v>
      </c>
      <c r="J23" s="46" t="n">
        <v>0.28</v>
      </c>
      <c r="K23" s="47" t="n">
        <v>36529</v>
      </c>
      <c r="L23" s="48" t="s">
        <v>415</v>
      </c>
      <c r="M23" s="129">
        <f>I23/G23</f>
        <v/>
      </c>
      <c r="N23" s="46" t="n">
        <v>10.8</v>
      </c>
      <c r="O23" s="49">
        <f>1-N23/G23</f>
        <v/>
      </c>
      <c r="P23" s="46" t="n">
        <v>1.32</v>
      </c>
      <c r="Q23" s="49">
        <f>1-P23/I23</f>
        <v/>
      </c>
    </row>
    <row customHeight="1" ht="17" r="24" s="130" spans="1:17">
      <c r="B24" s="46" t="s">
        <v>463</v>
      </c>
      <c r="C24" s="46" t="s">
        <v>464</v>
      </c>
      <c r="D24" s="46" t="n">
        <v>2638.22</v>
      </c>
      <c r="E24" s="46" t="n">
        <v>0.2</v>
      </c>
      <c r="F24" s="46" t="n">
        <v>21.11</v>
      </c>
      <c r="G24" s="46" t="n">
        <v>7.51</v>
      </c>
      <c r="H24" s="46" t="n">
        <v>0.09</v>
      </c>
      <c r="I24" s="46" t="n">
        <v>1.28</v>
      </c>
      <c r="J24" s="46" t="n">
        <v>0.29</v>
      </c>
      <c r="K24" s="47" t="n">
        <v>36529</v>
      </c>
      <c r="L24" s="48" t="s">
        <v>415</v>
      </c>
      <c r="M24" s="129">
        <f>I24/G24</f>
        <v/>
      </c>
      <c r="N24" s="46" t="n">
        <v>4.67</v>
      </c>
      <c r="O24" s="49">
        <f>1-N24/G24</f>
        <v/>
      </c>
      <c r="P24" s="46" t="n">
        <v>0.72</v>
      </c>
      <c r="Q24" s="49">
        <f>1-P24/I24</f>
        <v/>
      </c>
    </row>
    <row customHeight="1" ht="17" r="25" s="130" spans="1:17">
      <c r="B25" s="46" t="s">
        <v>465</v>
      </c>
      <c r="C25" s="46" t="s">
        <v>466</v>
      </c>
      <c r="D25" s="46" t="n">
        <v>2779.05</v>
      </c>
      <c r="E25" s="46" t="n">
        <v>0.63</v>
      </c>
      <c r="F25" s="46" t="n">
        <v>38.77</v>
      </c>
      <c r="G25" s="46" t="n">
        <v>32.94</v>
      </c>
      <c r="H25" s="46" t="n">
        <v>0.14</v>
      </c>
      <c r="I25" s="46" t="n">
        <v>3.04</v>
      </c>
      <c r="J25" s="46" t="n">
        <v>0.34</v>
      </c>
      <c r="K25" s="47" t="n">
        <v>36529</v>
      </c>
      <c r="L25" s="48" t="s">
        <v>415</v>
      </c>
      <c r="M25" s="129">
        <f>I25/G25</f>
        <v/>
      </c>
      <c r="N25" s="46" t="n">
        <v>21.67</v>
      </c>
      <c r="O25" s="49">
        <f>1-N25/G25</f>
        <v/>
      </c>
      <c r="P25" s="46" t="n">
        <v>1.31</v>
      </c>
      <c r="Q25" s="49">
        <f>1-P25/I25</f>
        <v/>
      </c>
    </row>
    <row customHeight="1" ht="17" r="26" s="130" spans="1:17">
      <c r="B26" s="46" t="s">
        <v>467</v>
      </c>
      <c r="C26" s="46" t="s">
        <v>468</v>
      </c>
      <c r="D26" s="46" t="n">
        <v>4500.04</v>
      </c>
      <c r="E26" s="46" t="n">
        <v>0.76</v>
      </c>
      <c r="F26" s="46" t="n">
        <v>42.61</v>
      </c>
      <c r="G26" s="46" t="n">
        <v>56.17</v>
      </c>
      <c r="H26" s="46" t="n">
        <v>0.6899999999999999</v>
      </c>
      <c r="I26" s="46" t="n">
        <v>3.83</v>
      </c>
      <c r="J26" s="46" t="n">
        <v>0.39</v>
      </c>
      <c r="K26" s="47" t="n">
        <v>36529</v>
      </c>
      <c r="L26" s="48" t="s">
        <v>415</v>
      </c>
      <c r="M26" s="129">
        <f>I26/G26</f>
        <v/>
      </c>
      <c r="N26" s="46" t="n">
        <v>18.6</v>
      </c>
      <c r="O26" s="49">
        <f>1-N26/G26</f>
        <v/>
      </c>
      <c r="P26" s="46" t="n">
        <v>1.85</v>
      </c>
      <c r="Q26" s="49">
        <f>1-P26/I26</f>
        <v/>
      </c>
    </row>
    <row customHeight="1" ht="17" r="27" s="130" spans="1:17">
      <c r="B27" s="46" t="s">
        <v>469</v>
      </c>
      <c r="C27" s="46" t="s">
        <v>470</v>
      </c>
      <c r="D27" s="46" t="n">
        <v>3263.47</v>
      </c>
      <c r="E27" s="46" t="n">
        <v>1.96</v>
      </c>
      <c r="F27" s="46" t="n">
        <v>43.49</v>
      </c>
      <c r="G27" s="46" t="n">
        <v>36.95</v>
      </c>
      <c r="H27" s="46" t="n">
        <v>0.28</v>
      </c>
      <c r="I27" s="46" t="n">
        <v>3.53</v>
      </c>
      <c r="J27" s="46" t="n">
        <v>0.52</v>
      </c>
      <c r="K27" s="47" t="n">
        <v>36529</v>
      </c>
      <c r="L27" s="48" t="s">
        <v>415</v>
      </c>
      <c r="M27" s="129">
        <f>I27/G27</f>
        <v/>
      </c>
      <c r="N27" s="46" t="n">
        <v>22.05</v>
      </c>
      <c r="O27" s="49">
        <f>1-N27/G27</f>
        <v/>
      </c>
      <c r="P27" s="46" t="n">
        <v>2.24</v>
      </c>
      <c r="Q27" s="49">
        <f>1-P27/I27</f>
        <v/>
      </c>
    </row>
    <row customHeight="1" ht="17" r="28" s="130" spans="1:17">
      <c r="B28" s="46" t="s">
        <v>471</v>
      </c>
      <c r="C28" s="46" t="s">
        <v>472</v>
      </c>
      <c r="D28" s="46" t="n">
        <v>6374.44</v>
      </c>
      <c r="E28" s="46" t="n">
        <v>0.98</v>
      </c>
      <c r="F28" s="46" t="n">
        <v>28.63</v>
      </c>
      <c r="G28" s="46" t="n">
        <v>13.97</v>
      </c>
      <c r="H28" s="46" t="n">
        <v>0.14</v>
      </c>
      <c r="I28" s="46" t="n">
        <v>2.96</v>
      </c>
      <c r="J28" s="46" t="n">
        <v>0.58</v>
      </c>
      <c r="K28" s="47" t="n">
        <v>36529</v>
      </c>
      <c r="L28" s="48" t="s">
        <v>415</v>
      </c>
      <c r="M28" s="42">
        <f>I28/G28</f>
        <v/>
      </c>
      <c r="N28" s="51" t="n">
        <v>10.86</v>
      </c>
      <c r="O28" s="52">
        <f>1-N28/G28</f>
        <v/>
      </c>
      <c r="P28" s="51" t="n">
        <v>1.59</v>
      </c>
      <c r="Q28" s="52">
        <f>1-P28/I28</f>
        <v/>
      </c>
    </row>
    <row customHeight="1" ht="17" r="29" s="130" spans="1:17">
      <c r="B29" s="46" t="s">
        <v>473</v>
      </c>
      <c r="C29" s="46" t="s">
        <v>474</v>
      </c>
      <c r="D29" s="46" t="n">
        <v>2572.9</v>
      </c>
      <c r="E29" s="46" t="n">
        <v>0.48</v>
      </c>
      <c r="F29" s="46" t="n">
        <v>33.87</v>
      </c>
      <c r="G29" s="46" t="n">
        <v>49.12</v>
      </c>
      <c r="H29" s="46" t="n">
        <v>0.72</v>
      </c>
      <c r="I29" s="46" t="n">
        <v>3.05</v>
      </c>
      <c r="J29" s="46" t="n">
        <v>0.62</v>
      </c>
      <c r="K29" s="47" t="n">
        <v>36529</v>
      </c>
      <c r="L29" s="48" t="s">
        <v>415</v>
      </c>
      <c r="M29" s="129">
        <f>I29/G29</f>
        <v/>
      </c>
      <c r="N29" s="46" t="n">
        <v>9.220000000000001</v>
      </c>
      <c r="O29" s="49">
        <f>1-N29/G29</f>
        <v/>
      </c>
      <c r="P29" s="46" t="n">
        <v>1.34</v>
      </c>
      <c r="Q29" s="49">
        <f>1-P29/I29</f>
        <v/>
      </c>
    </row>
    <row customFormat="1" customHeight="1" ht="17" r="30" s="22" spans="1:17">
      <c r="B30" s="46" t="s">
        <v>475</v>
      </c>
      <c r="C30" s="46" t="s">
        <v>476</v>
      </c>
      <c r="D30" s="46" t="n">
        <v>11317.57</v>
      </c>
      <c r="E30" s="46" t="n">
        <v>-0.57</v>
      </c>
      <c r="F30" s="46" t="n">
        <v>25.77</v>
      </c>
      <c r="G30" s="46" t="n">
        <v>28.27</v>
      </c>
      <c r="H30" s="46" t="n">
        <v>0.31</v>
      </c>
      <c r="I30" s="46" t="n">
        <v>5.21</v>
      </c>
      <c r="J30" s="46" t="n">
        <v>0.66</v>
      </c>
      <c r="K30" s="47" t="n">
        <v>36529</v>
      </c>
      <c r="L30" s="48" t="s">
        <v>415</v>
      </c>
      <c r="M30" s="42">
        <f>I30/G30</f>
        <v/>
      </c>
      <c r="N30" s="51" t="n">
        <v>16.55</v>
      </c>
      <c r="O30" s="52">
        <f>1-N30/G30</f>
        <v/>
      </c>
      <c r="P30" s="51" t="n">
        <v>2.04</v>
      </c>
      <c r="Q30" s="52">
        <f>1-P30/I30</f>
        <v/>
      </c>
    </row>
  </sheetData>
  <autoFilter ref="B2:Q30">
    <sortState ref="B3:Q30">
      <sortCondition ref="J2:J30"/>
    </sortState>
  </autoFilter>
  <conditionalFormatting sqref="J31:J69 J1 J99:J1048576">
    <cfRule priority="1" type="dataBar">
      <dataBar>
        <cfvo type="min"/>
        <cfvo type="max"/>
        <color rgb="FF638EC6"/>
      </dataBar>
    </cfRule>
    <cfRule priority="3" type="dataBar">
      <dataBar>
        <cfvo type="min"/>
        <cfvo type="max"/>
        <color rgb="FF638EC6"/>
      </dataBar>
    </cfRule>
    <cfRule priority="9" type="dataBar">
      <dataBar>
        <cfvo type="min"/>
        <cfvo type="max"/>
        <color rgb="FF638EC6"/>
      </dataBar>
    </cfRule>
  </conditionalFormatting>
  <conditionalFormatting sqref="H31:H69 H1 H99:H1048576">
    <cfRule priority="2" type="dataBar">
      <dataBar>
        <cfvo type="min"/>
        <cfvo type="max"/>
        <color rgb="FF638EC6"/>
      </dataBar>
    </cfRule>
    <cfRule priority="4" type="dataBar">
      <dataBar>
        <cfvo type="min"/>
        <cfvo type="max"/>
        <color rgb="FF638EC6"/>
      </dataBar>
    </cfRule>
    <cfRule priority="8" type="dataBar">
      <dataBar>
        <cfvo type="min"/>
        <cfvo type="max"/>
        <color rgb="FF638EC6"/>
      </dataBar>
    </cfRule>
  </conditionalFormatting>
  <conditionalFormatting sqref="M3:M30">
    <cfRule priority="7" type="dataBar">
      <dataBar>
        <cfvo type="min"/>
        <cfvo type="max"/>
        <color rgb="FF638EC6"/>
      </dataBar>
    </cfRule>
  </conditionalFormatting>
  <conditionalFormatting sqref="O1:O1048576">
    <cfRule priority="6" type="dataBar">
      <dataBar>
        <cfvo type="min"/>
        <cfvo type="max"/>
        <color rgb="FF638EC6"/>
      </dataBar>
    </cfRule>
  </conditionalFormatting>
  <conditionalFormatting sqref="Q1:Q1048576">
    <cfRule priority="5" type="dataBar">
      <dataBar>
        <cfvo type="min"/>
        <cfvo type="max"/>
        <color rgb="FF638EC6"/>
      </dataBar>
    </cfRule>
  </conditionalFormatting>
  <hyperlinks>
    <hyperlink display="http://discuss.jiucaishuo.com/?/invest/showData/search_gu-si801760" ref="L3" r:id="rId1"/>
    <hyperlink display="http://discuss.jiucaishuo.com/?/invest/showData/search_gu-si801200" ref="L4" r:id="rId2"/>
    <hyperlink display="http://discuss.jiucaishuo.com/?/invest/showData/search_gu-si801160" ref="L5" r:id="rId3"/>
    <hyperlink display="http://discuss.jiucaishuo.com/?/invest/showData/search_gu-si801020" ref="L6" r:id="rId4"/>
    <hyperlink display="http://discuss.jiucaishuo.com/?/invest/showData/search_gu-si801780" ref="L7" r:id="rId5"/>
    <hyperlink display="http://discuss.jiucaishuo.com/?/invest/showData/search_gu-si801030" ref="L8" r:id="rId6"/>
    <hyperlink display="http://discuss.jiucaishuo.com/?/invest/showData/search_gu-si801730" ref="L9" r:id="rId7"/>
    <hyperlink display="http://discuss.jiucaishuo.com/?/invest/showData/search_gu-si801180" ref="L10" r:id="rId8"/>
    <hyperlink display="http://discuss.jiucaishuo.com/?/invest/showData/search_gu-si801720" ref="L11" r:id="rId9"/>
    <hyperlink display="http://discuss.jiucaishuo.com/?/invest/showData/search_gu-si801230" ref="L12" r:id="rId10"/>
    <hyperlink display="http://discuss.jiucaishuo.com/?/invest/showData/search_gu-si801050" ref="L13" r:id="rId11"/>
    <hyperlink display="http://discuss.jiucaishuo.com/?/invest/showData/search_gu-si801880" ref="L14" r:id="rId12"/>
    <hyperlink display="http://discuss.jiucaishuo.com/?/invest/showData/search_gu-si801130" ref="L15" r:id="rId13"/>
    <hyperlink display="http://discuss.jiucaishuo.com/?/invest/showData/search_gu-si801170" ref="L16" r:id="rId14"/>
    <hyperlink display="http://discuss.jiucaishuo.com/?/invest/showData/search_gu-si801150" ref="L17" r:id="rId15"/>
    <hyperlink display="http://discuss.jiucaishuo.com/?/invest/showData/search_gu-si801890" ref="L18" r:id="rId16"/>
    <hyperlink display="http://discuss.jiucaishuo.com/?/invest/showData/search_gu-si801710" ref="L19" r:id="rId17"/>
    <hyperlink display="http://discuss.jiucaishuo.com/?/invest/showData/search_gu-si801740" ref="L20" r:id="rId18"/>
    <hyperlink display="http://discuss.jiucaishuo.com/?/invest/showData/search_gu-si801140" ref="L21" r:id="rId19"/>
    <hyperlink display="http://discuss.jiucaishuo.com/?/invest/showData/search_gu-si801210" ref="L22" r:id="rId20"/>
    <hyperlink display="http://discuss.jiucaishuo.com/?/invest/showData/search_gu-si801790" ref="L23" r:id="rId21"/>
    <hyperlink display="http://discuss.jiucaishuo.com/?/invest/showData/search_gu-si801040" ref="L24" r:id="rId22"/>
    <hyperlink display="http://discuss.jiucaishuo.com/?/invest/showData/search_gu-si801080" ref="L25" r:id="rId23"/>
    <hyperlink display="http://discuss.jiucaishuo.com/?/invest/showData/search_gu-si801750" ref="L26" r:id="rId24"/>
    <hyperlink display="http://discuss.jiucaishuo.com/?/invest/showData/search_gu-si801010" ref="L27" r:id="rId25"/>
    <hyperlink display="http://discuss.jiucaishuo.com/?/invest/showData/search_gu-si801110" ref="L28" r:id="rId26"/>
    <hyperlink display="http://discuss.jiucaishuo.com/?/invest/showData/search_gu-si801770" ref="L29" r:id="rId27"/>
    <hyperlink display="http://discuss.jiucaishuo.com/?/invest/showData/search_gu-si801120" ref="L30" r:id="rId28"/>
  </hyperlinks>
  <pageMargins bottom="0.75" footer="0.3" header="0.3" left="0.7" right="0.7" top="0.75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1:N105"/>
  <sheetViews>
    <sheetView workbookViewId="0" zoomScale="108">
      <pane activePane="bottomLeft" state="frozen" topLeftCell="A2" ySplit="1"/>
      <selection activeCell="H35" pane="bottomLeft" sqref="H35"/>
    </sheetView>
  </sheetViews>
  <sheetFormatPr baseColWidth="10" defaultRowHeight="16" outlineLevelCol="0"/>
  <cols>
    <col customWidth="1" max="1" min="1" style="130" width="10.83203125"/>
    <col customWidth="1" max="3" min="3" style="130" width="22.5"/>
    <col customWidth="1" max="6" min="6" style="130" width="14"/>
    <col customWidth="1" max="8" min="8" style="33" width="16.5"/>
    <col customWidth="1" max="10" min="10" style="33" width="18.33203125"/>
    <col customWidth="1" max="11" min="11" style="130" width="15.33203125"/>
    <col customWidth="1" max="13" min="13" style="130" width="19.1640625"/>
  </cols>
  <sheetData>
    <row customHeight="1" ht="17" r="1" s="130" spans="1:14">
      <c r="B1" s="45" t="s">
        <v>405</v>
      </c>
      <c r="C1" s="45" t="s">
        <v>406</v>
      </c>
      <c r="D1" s="45" t="s">
        <v>407</v>
      </c>
      <c r="E1" s="45" t="s">
        <v>408</v>
      </c>
      <c r="F1" s="45" t="s">
        <v>409</v>
      </c>
      <c r="G1" s="45" t="s">
        <v>410</v>
      </c>
      <c r="H1" s="45" t="s">
        <v>411</v>
      </c>
      <c r="I1" s="45" t="s">
        <v>412</v>
      </c>
      <c r="J1" s="45" t="s">
        <v>413</v>
      </c>
      <c r="K1" s="45" t="s">
        <v>414</v>
      </c>
      <c r="L1" s="45" t="s">
        <v>415</v>
      </c>
      <c r="M1" s="45" t="s">
        <v>416</v>
      </c>
      <c r="N1" s="70" t="n"/>
    </row>
    <row customHeight="1" ht="17" r="2" s="130" spans="1:14">
      <c r="B2" s="46" t="s">
        <v>477</v>
      </c>
      <c r="C2" s="46" t="s">
        <v>478</v>
      </c>
      <c r="D2" s="46" t="n">
        <v>2242.17</v>
      </c>
      <c r="E2" s="46" t="n">
        <v>0.2</v>
      </c>
      <c r="F2" s="46" t="n">
        <v>27.93</v>
      </c>
      <c r="G2" s="46" t="n">
        <v>26.64</v>
      </c>
      <c r="H2" s="46" t="n">
        <v>0.04</v>
      </c>
      <c r="I2" s="46" t="n">
        <v>1.78</v>
      </c>
      <c r="J2" s="46" t="n">
        <v>0.03</v>
      </c>
      <c r="K2" s="47" t="n">
        <v>36529</v>
      </c>
      <c r="L2" s="48" t="s">
        <v>415</v>
      </c>
      <c r="M2" s="131">
        <f>I2/G2</f>
        <v/>
      </c>
    </row>
    <row customHeight="1" ht="17" r="3" s="130" spans="1:14">
      <c r="B3" s="46" t="s">
        <v>479</v>
      </c>
      <c r="C3" s="46" t="s">
        <v>480</v>
      </c>
      <c r="D3" s="46" t="n">
        <v>1075.74</v>
      </c>
      <c r="E3" s="46" t="n">
        <v>-0.24</v>
      </c>
      <c r="F3" s="46" t="n">
        <v>38.39</v>
      </c>
      <c r="G3" s="46" t="n">
        <v>33.59</v>
      </c>
      <c r="H3" s="46" t="n">
        <v>0.05</v>
      </c>
      <c r="I3" s="46" t="n">
        <v>2.93</v>
      </c>
      <c r="J3" s="46" t="n">
        <v>0.04</v>
      </c>
      <c r="K3" s="47" t="n">
        <v>36529</v>
      </c>
      <c r="L3" s="48" t="s">
        <v>415</v>
      </c>
      <c r="M3" s="131">
        <f>I3/G3</f>
        <v/>
      </c>
    </row>
    <row customHeight="1" ht="17" r="4" s="130" spans="1:14">
      <c r="B4" s="46" t="s">
        <v>481</v>
      </c>
      <c r="C4" s="46" t="s">
        <v>482</v>
      </c>
      <c r="D4" s="46" t="n">
        <v>3319.92</v>
      </c>
      <c r="E4" s="46" t="n">
        <v>1.48</v>
      </c>
      <c r="F4" s="46" t="n">
        <v>32.62</v>
      </c>
      <c r="G4" s="46" t="n">
        <v>19.37</v>
      </c>
      <c r="H4" s="46" t="n">
        <v>0.05</v>
      </c>
      <c r="I4" s="46" t="n">
        <v>2.73</v>
      </c>
      <c r="J4" s="46" t="n">
        <v>0.06</v>
      </c>
      <c r="K4" s="47" t="n">
        <v>40826</v>
      </c>
      <c r="L4" s="48" t="s">
        <v>415</v>
      </c>
      <c r="M4" s="131">
        <f>I4/G4</f>
        <v/>
      </c>
    </row>
    <row customHeight="1" ht="17" r="5" s="130" spans="1:14">
      <c r="B5" s="46" t="s">
        <v>483</v>
      </c>
      <c r="C5" s="46" t="s">
        <v>484</v>
      </c>
      <c r="D5" s="46" t="n">
        <v>4070.1</v>
      </c>
      <c r="E5" s="46" t="n">
        <v>-1.63</v>
      </c>
      <c r="F5" s="46" t="n">
        <v>42.3</v>
      </c>
      <c r="G5" s="46" t="n">
        <v>32.97</v>
      </c>
      <c r="H5" s="46" t="n">
        <v>0.14</v>
      </c>
      <c r="I5" s="46" t="n">
        <v>4.45</v>
      </c>
      <c r="J5" s="46" t="n">
        <v>0.29</v>
      </c>
      <c r="K5" s="47" t="n">
        <v>36529</v>
      </c>
      <c r="L5" s="48" t="s">
        <v>415</v>
      </c>
      <c r="M5" s="131">
        <f>I5/G5</f>
        <v/>
      </c>
    </row>
    <row customHeight="1" ht="17" r="6" s="130" spans="1:14">
      <c r="B6" s="46" t="s">
        <v>485</v>
      </c>
      <c r="C6" s="46" t="s">
        <v>486</v>
      </c>
      <c r="D6" s="46" t="n">
        <v>1522.81</v>
      </c>
      <c r="E6" s="46" t="n">
        <v>-1.08</v>
      </c>
      <c r="F6" s="46" t="n">
        <v>41.83</v>
      </c>
      <c r="G6" s="46" t="n">
        <v>28.32</v>
      </c>
      <c r="H6" s="46" t="n">
        <v>0.13</v>
      </c>
      <c r="I6" s="46" t="n">
        <v>2.04</v>
      </c>
      <c r="J6" s="46" t="n">
        <v>0.17</v>
      </c>
      <c r="K6" s="47" t="n">
        <v>36529</v>
      </c>
      <c r="L6" s="48" t="s">
        <v>415</v>
      </c>
      <c r="M6" s="131">
        <f>I6/G6</f>
        <v/>
      </c>
    </row>
    <row customHeight="1" ht="17" r="7" s="130" spans="1:14">
      <c r="B7" s="46" t="s">
        <v>487</v>
      </c>
      <c r="C7" s="46" t="s">
        <v>488</v>
      </c>
      <c r="D7" s="46" t="n">
        <v>3661.97</v>
      </c>
      <c r="E7" s="46" t="n">
        <v>-1.78</v>
      </c>
      <c r="F7" s="46" t="n">
        <v>30.58</v>
      </c>
      <c r="G7" s="46" t="n">
        <v>33.21</v>
      </c>
      <c r="H7" s="46" t="n">
        <v>0.2</v>
      </c>
      <c r="I7" s="46" t="n">
        <v>3.45</v>
      </c>
      <c r="J7" s="46" t="n">
        <v>0.57</v>
      </c>
      <c r="K7" s="47" t="n">
        <v>36529</v>
      </c>
      <c r="L7" s="48" t="s">
        <v>415</v>
      </c>
      <c r="M7" s="131">
        <f>I7/G7</f>
        <v/>
      </c>
    </row>
    <row customHeight="1" ht="17" r="8" s="130" spans="1:14">
      <c r="B8" s="46" t="s">
        <v>489</v>
      </c>
      <c r="C8" s="46" t="s">
        <v>490</v>
      </c>
      <c r="D8" s="46" t="n">
        <v>4666.24</v>
      </c>
      <c r="E8" s="46" t="n">
        <v>-1.23</v>
      </c>
      <c r="F8" s="46" t="n">
        <v>34.69</v>
      </c>
      <c r="G8" s="46" t="n">
        <v>33.22</v>
      </c>
      <c r="H8" s="46" t="n">
        <v>0.18</v>
      </c>
      <c r="I8" s="46" t="n">
        <v>3.3</v>
      </c>
      <c r="J8" s="46" t="n">
        <v>0.25</v>
      </c>
      <c r="K8" s="47" t="n">
        <v>36529</v>
      </c>
      <c r="L8" s="48" t="s">
        <v>415</v>
      </c>
      <c r="M8" s="131">
        <f>I8/G8</f>
        <v/>
      </c>
    </row>
    <row customHeight="1" ht="17" r="9" s="130" spans="1:14">
      <c r="B9" s="46" t="s">
        <v>491</v>
      </c>
      <c r="C9" s="46" t="s">
        <v>492</v>
      </c>
      <c r="D9" s="46" t="n">
        <v>2031.06</v>
      </c>
      <c r="E9" s="46" t="n">
        <v>-1.81</v>
      </c>
      <c r="F9" s="46" t="n">
        <v>49.04</v>
      </c>
      <c r="G9" s="46" t="n">
        <v>56.12</v>
      </c>
      <c r="H9" s="46" t="n">
        <v>0.28</v>
      </c>
      <c r="I9" s="46" t="n">
        <v>3.35</v>
      </c>
      <c r="J9" s="46" t="n">
        <v>0.37</v>
      </c>
      <c r="K9" s="47" t="n">
        <v>36529</v>
      </c>
      <c r="L9" s="48" t="s">
        <v>415</v>
      </c>
      <c r="M9" s="131">
        <f>I9/G9</f>
        <v/>
      </c>
    </row>
    <row customHeight="1" ht="17" r="10" s="130" spans="1:14">
      <c r="B10" s="46" t="s">
        <v>493</v>
      </c>
      <c r="C10" s="46" t="s">
        <v>494</v>
      </c>
      <c r="D10" s="46" t="n">
        <v>4861.95</v>
      </c>
      <c r="E10" s="46" t="n">
        <v>-0.31</v>
      </c>
      <c r="F10" s="46" t="n">
        <v>47.26</v>
      </c>
      <c r="G10" s="46" t="n">
        <v>54.68</v>
      </c>
      <c r="H10" s="46" t="n">
        <v>0.58</v>
      </c>
      <c r="I10" s="46" t="n">
        <v>4.1</v>
      </c>
      <c r="J10" s="46" t="n">
        <v>0.41</v>
      </c>
      <c r="K10" s="47" t="n">
        <v>36529</v>
      </c>
      <c r="L10" s="48" t="s">
        <v>415</v>
      </c>
      <c r="M10" s="131">
        <f>I10/G10</f>
        <v/>
      </c>
    </row>
    <row customHeight="1" ht="17" r="11" s="130" spans="1:14">
      <c r="B11" s="46" t="s">
        <v>495</v>
      </c>
      <c r="C11" s="46" t="s">
        <v>496</v>
      </c>
      <c r="D11" s="46" t="n">
        <v>3144.97</v>
      </c>
      <c r="E11" s="46" t="n">
        <v>-0.13</v>
      </c>
      <c r="F11" s="46" t="n">
        <v>45.5</v>
      </c>
      <c r="G11" s="46" t="n">
        <v>63.12</v>
      </c>
      <c r="H11" s="46" t="n">
        <v>0.73</v>
      </c>
      <c r="I11" s="46" t="n">
        <v>3.01</v>
      </c>
      <c r="J11" s="46" t="n">
        <v>0.29</v>
      </c>
      <c r="K11" s="47" t="n">
        <v>36529</v>
      </c>
      <c r="L11" s="48" t="s">
        <v>415</v>
      </c>
      <c r="M11" s="131">
        <f>I11/G11</f>
        <v/>
      </c>
    </row>
    <row customHeight="1" ht="17" r="12" s="130" spans="1:14">
      <c r="B12" s="46" t="s">
        <v>497</v>
      </c>
      <c r="C12" s="46" t="s">
        <v>498</v>
      </c>
      <c r="D12" s="46" t="n">
        <v>2956.87</v>
      </c>
      <c r="E12" s="46" t="n">
        <v>0.8100000000000001</v>
      </c>
      <c r="F12" s="46" t="n">
        <v>38.05</v>
      </c>
      <c r="G12" s="46" t="n">
        <v>76.66</v>
      </c>
      <c r="H12" s="46" t="n">
        <v>0.71</v>
      </c>
      <c r="I12" s="46" t="n">
        <v>1.68</v>
      </c>
      <c r="J12" s="46" t="n">
        <v>0.47</v>
      </c>
      <c r="K12" s="47" t="n">
        <v>36529</v>
      </c>
      <c r="L12" s="48" t="s">
        <v>415</v>
      </c>
      <c r="M12" s="131">
        <f>I12/G12</f>
        <v/>
      </c>
    </row>
    <row customHeight="1" ht="17" r="13" s="130" spans="1:14">
      <c r="B13" s="46" t="s">
        <v>499</v>
      </c>
      <c r="C13" s="46" t="s">
        <v>500</v>
      </c>
      <c r="D13" s="46" t="n">
        <v>2465.66</v>
      </c>
      <c r="E13" s="46" t="n">
        <v>-0.72</v>
      </c>
      <c r="F13" s="46" t="n">
        <v>34.64</v>
      </c>
      <c r="G13" s="46" t="n">
        <v>46.5</v>
      </c>
      <c r="H13" s="46" t="n">
        <v>0.54</v>
      </c>
      <c r="I13" s="46" t="n">
        <v>3.51</v>
      </c>
      <c r="J13" s="46" t="n">
        <v>0.46</v>
      </c>
      <c r="K13" s="47" t="n">
        <v>36529</v>
      </c>
      <c r="L13" s="48" t="s">
        <v>415</v>
      </c>
      <c r="M13" s="131">
        <f>I13/G13</f>
        <v/>
      </c>
    </row>
    <row customHeight="1" ht="17" r="14" s="130" spans="1:14">
      <c r="B14" s="46" t="s">
        <v>501</v>
      </c>
      <c r="C14" s="46" t="s">
        <v>502</v>
      </c>
      <c r="D14" s="46" t="n">
        <v>1295.89</v>
      </c>
      <c r="E14" s="46" t="n">
        <v>1.86</v>
      </c>
      <c r="F14" s="46" t="n">
        <v>26.74</v>
      </c>
      <c r="G14" s="46" t="n">
        <v>60.31</v>
      </c>
      <c r="H14" s="46" t="n">
        <v>0.57</v>
      </c>
      <c r="I14" s="46" t="n">
        <v>3.04</v>
      </c>
      <c r="J14" s="46" t="n">
        <v>0.38</v>
      </c>
      <c r="K14" s="47" t="n">
        <v>36529</v>
      </c>
      <c r="L14" s="48" t="s">
        <v>415</v>
      </c>
      <c r="M14" s="131">
        <f>I14/G14</f>
        <v/>
      </c>
    </row>
    <row customHeight="1" ht="17" r="15" s="130" spans="1:14">
      <c r="B15" s="46" t="s">
        <v>503</v>
      </c>
      <c r="C15" s="46" t="s">
        <v>504</v>
      </c>
      <c r="D15" s="46" t="n">
        <v>2799.12</v>
      </c>
      <c r="E15" s="46" t="n">
        <v>-0.17</v>
      </c>
      <c r="F15" s="46" t="n">
        <v>28.61</v>
      </c>
      <c r="G15" s="46" t="n">
        <v>22.68</v>
      </c>
      <c r="H15" s="46" t="n">
        <v>0.25</v>
      </c>
      <c r="I15" s="46" t="n">
        <v>1.48</v>
      </c>
      <c r="J15" s="46" t="n">
        <v>0.04</v>
      </c>
      <c r="K15" s="47" t="n">
        <v>36529</v>
      </c>
      <c r="L15" s="48" t="s">
        <v>415</v>
      </c>
      <c r="M15" s="131">
        <f>I15/G15</f>
        <v/>
      </c>
    </row>
    <row customHeight="1" ht="17" r="16" s="130" spans="1:14">
      <c r="B16" s="46" t="s">
        <v>505</v>
      </c>
      <c r="C16" s="46" t="s">
        <v>506</v>
      </c>
      <c r="D16" s="46" t="n">
        <v>6838.56</v>
      </c>
      <c r="E16" s="46" t="n">
        <v>-0.86</v>
      </c>
      <c r="F16" s="46" t="n">
        <v>19.29</v>
      </c>
      <c r="G16" s="46" t="n">
        <v>24.51</v>
      </c>
      <c r="H16" s="46" t="n">
        <v>0.62</v>
      </c>
      <c r="I16" s="46" t="n">
        <v>2.83</v>
      </c>
      <c r="J16" s="46" t="n">
        <v>0.7</v>
      </c>
      <c r="K16" s="47" t="n">
        <v>36529</v>
      </c>
      <c r="L16" s="48" t="s">
        <v>415</v>
      </c>
      <c r="M16" s="131">
        <f>I16/G16</f>
        <v/>
      </c>
    </row>
    <row customHeight="1" ht="17" r="17" s="130" spans="1:14">
      <c r="B17" s="46" t="s">
        <v>507</v>
      </c>
      <c r="C17" s="46" t="s">
        <v>508</v>
      </c>
      <c r="D17" s="46" t="n">
        <v>4605.64</v>
      </c>
      <c r="E17" s="46" t="n">
        <v>1.64</v>
      </c>
      <c r="F17" s="46" t="n">
        <v>30.79</v>
      </c>
      <c r="G17" s="46" t="n">
        <v>20.07</v>
      </c>
      <c r="H17" s="46" t="n">
        <v>0.27</v>
      </c>
      <c r="I17" s="46" t="n">
        <v>1.52</v>
      </c>
      <c r="J17" s="46" t="n">
        <v>0.18</v>
      </c>
      <c r="K17" s="47" t="n">
        <v>36529</v>
      </c>
      <c r="L17" s="48" t="s">
        <v>415</v>
      </c>
      <c r="M17" s="131">
        <f>I17/G17</f>
        <v/>
      </c>
    </row>
    <row customHeight="1" ht="17" r="18" s="130" spans="1:14">
      <c r="B18" s="46" t="s">
        <v>509</v>
      </c>
      <c r="C18" s="46" t="s">
        <v>510</v>
      </c>
      <c r="D18" s="46" t="n">
        <v>5357.64</v>
      </c>
      <c r="E18" s="46" t="n">
        <v>-0.08</v>
      </c>
      <c r="F18" s="46" t="n">
        <v>23.69</v>
      </c>
      <c r="G18" s="46" t="n">
        <v>23.03</v>
      </c>
      <c r="H18" s="46" t="n">
        <v>0.24</v>
      </c>
      <c r="I18" s="46" t="n">
        <v>1.98</v>
      </c>
      <c r="J18" s="46" t="n">
        <v>0.16</v>
      </c>
      <c r="K18" s="47" t="n">
        <v>36529</v>
      </c>
      <c r="L18" s="48" t="s">
        <v>415</v>
      </c>
      <c r="M18" s="131">
        <f>I18/G18</f>
        <v/>
      </c>
    </row>
    <row customHeight="1" ht="17" r="19" s="130" spans="1:14">
      <c r="B19" s="46" t="s">
        <v>511</v>
      </c>
      <c r="C19" s="46" t="s">
        <v>512</v>
      </c>
      <c r="D19" s="46" t="n">
        <v>2444.72</v>
      </c>
      <c r="E19" s="46" t="n">
        <v>-0.9</v>
      </c>
      <c r="F19" s="46" t="n">
        <v>24.02</v>
      </c>
      <c r="G19" s="46" t="n">
        <v>29.19</v>
      </c>
      <c r="H19" s="46" t="n">
        <v>0.57</v>
      </c>
      <c r="I19" s="46" t="n">
        <v>1.26</v>
      </c>
      <c r="J19" s="46" t="n">
        <v>0.11</v>
      </c>
      <c r="K19" s="47" t="n">
        <v>36529</v>
      </c>
      <c r="L19" s="48" t="s">
        <v>415</v>
      </c>
      <c r="M19" s="131">
        <f>I19/G19</f>
        <v/>
      </c>
    </row>
    <row customHeight="1" ht="17" r="20" s="130" spans="1:14">
      <c r="B20" s="46" t="s">
        <v>513</v>
      </c>
      <c r="C20" s="46" t="s">
        <v>514</v>
      </c>
      <c r="D20" s="46" t="n">
        <v>1423.58</v>
      </c>
      <c r="E20" s="46" t="n">
        <v>1.69</v>
      </c>
      <c r="F20" s="46" t="n">
        <v>31.7</v>
      </c>
      <c r="G20" s="46" t="n">
        <v>66.72</v>
      </c>
      <c r="H20" s="46" t="n">
        <v>0.71</v>
      </c>
      <c r="I20" s="46" t="n">
        <v>1.62</v>
      </c>
      <c r="J20" s="46" t="n">
        <v>0.22</v>
      </c>
      <c r="K20" s="47" t="n">
        <v>36529</v>
      </c>
      <c r="L20" s="48" t="s">
        <v>415</v>
      </c>
      <c r="M20" s="131">
        <f>I20/G20</f>
        <v/>
      </c>
    </row>
    <row customHeight="1" ht="17" r="21" s="130" spans="1:14">
      <c r="B21" s="46" t="s">
        <v>515</v>
      </c>
      <c r="C21" s="46" t="s">
        <v>516</v>
      </c>
      <c r="D21" s="46" t="n">
        <v>8918.459999999999</v>
      </c>
      <c r="E21" s="46" t="n">
        <v>-0.35</v>
      </c>
      <c r="F21" s="46" t="n">
        <v>8.75</v>
      </c>
      <c r="G21" s="46" t="n">
        <v>23.64</v>
      </c>
      <c r="H21" s="46" t="n">
        <v>0.25</v>
      </c>
      <c r="I21" s="46" t="n">
        <v>2.14</v>
      </c>
      <c r="J21" s="46" t="n">
        <v>0.25</v>
      </c>
      <c r="K21" s="47" t="n">
        <v>36529</v>
      </c>
      <c r="L21" s="48" t="s">
        <v>415</v>
      </c>
      <c r="M21" s="131">
        <f>I21/G21</f>
        <v/>
      </c>
    </row>
    <row customHeight="1" ht="17" r="22" s="130" spans="1:14">
      <c r="B22" s="46" t="s">
        <v>517</v>
      </c>
      <c r="C22" s="46" t="s">
        <v>518</v>
      </c>
      <c r="D22" s="46" t="n">
        <v>1298.54</v>
      </c>
      <c r="E22" s="46" t="n">
        <v>-0.12</v>
      </c>
      <c r="F22" s="46" t="n">
        <v>9.25</v>
      </c>
      <c r="G22" s="46" t="n">
        <v>11.57</v>
      </c>
      <c r="H22" s="46" t="n">
        <v>0.15</v>
      </c>
      <c r="I22" s="46" t="n">
        <v>1.25</v>
      </c>
      <c r="J22" s="46" t="n">
        <v>0.1</v>
      </c>
      <c r="K22" s="47" t="n">
        <v>36529</v>
      </c>
      <c r="L22" s="48" t="s">
        <v>415</v>
      </c>
      <c r="M22" s="131">
        <f>I22/G22</f>
        <v/>
      </c>
    </row>
    <row customHeight="1" ht="17" r="23" s="130" spans="1:14">
      <c r="B23" s="46" t="s">
        <v>519</v>
      </c>
      <c r="C23" s="46" t="s">
        <v>520</v>
      </c>
      <c r="D23" s="46" t="n">
        <v>2149.49</v>
      </c>
      <c r="E23" s="46" t="n">
        <v>0.93</v>
      </c>
      <c r="F23" s="46" t="n">
        <v>22.9</v>
      </c>
      <c r="G23" s="46" t="n">
        <v>12.08</v>
      </c>
      <c r="H23" s="46" t="n">
        <v>0.16</v>
      </c>
      <c r="I23" s="46" t="n">
        <v>1.16</v>
      </c>
      <c r="J23" s="46" t="n">
        <v>0.17</v>
      </c>
      <c r="K23" s="47" t="n">
        <v>36529</v>
      </c>
      <c r="L23" s="48" t="s">
        <v>415</v>
      </c>
      <c r="M23" s="131">
        <f>I23/G23</f>
        <v/>
      </c>
    </row>
    <row customHeight="1" ht="17" r="24" s="130" spans="1:14">
      <c r="B24" s="46" t="s">
        <v>521</v>
      </c>
      <c r="C24" s="46" t="s">
        <v>522</v>
      </c>
      <c r="D24" s="46" t="n">
        <v>12678.69</v>
      </c>
      <c r="E24" s="46" t="n">
        <v>-1.01</v>
      </c>
      <c r="F24" s="46" t="n">
        <v>31.26</v>
      </c>
      <c r="G24" s="46" t="n">
        <v>58.91</v>
      </c>
      <c r="H24" s="46" t="n">
        <v>0.12</v>
      </c>
      <c r="I24" s="46" t="n">
        <v>3.04</v>
      </c>
      <c r="J24" s="46" t="n">
        <v>0.39</v>
      </c>
      <c r="K24" s="47" t="n">
        <v>36529</v>
      </c>
      <c r="L24" s="48" t="s">
        <v>415</v>
      </c>
      <c r="M24" s="131">
        <f>I24/G24</f>
        <v/>
      </c>
    </row>
    <row customHeight="1" ht="17" r="25" s="130" spans="1:14">
      <c r="B25" s="46" t="s">
        <v>523</v>
      </c>
      <c r="C25" s="46" t="s">
        <v>524</v>
      </c>
      <c r="D25" s="46" t="n">
        <v>6316.19</v>
      </c>
      <c r="E25" s="46" t="n">
        <v>-1.41</v>
      </c>
      <c r="F25" s="46" t="n">
        <v>29.78</v>
      </c>
      <c r="G25" s="46" t="n">
        <v>60.87</v>
      </c>
      <c r="H25" s="46" t="n">
        <v>0.21</v>
      </c>
      <c r="I25" s="46" t="n">
        <v>2.92</v>
      </c>
      <c r="J25" s="46" t="n">
        <v>0.34</v>
      </c>
      <c r="K25" s="47" t="n">
        <v>36529</v>
      </c>
      <c r="L25" s="48" t="s">
        <v>415</v>
      </c>
      <c r="M25" s="131">
        <f>I25/G25</f>
        <v/>
      </c>
    </row>
    <row customHeight="1" ht="17" r="26" s="130" spans="1:14">
      <c r="B26" s="46" t="s">
        <v>525</v>
      </c>
      <c r="C26" s="46" t="s">
        <v>526</v>
      </c>
      <c r="D26" s="46" t="n">
        <v>8411.6</v>
      </c>
      <c r="E26" s="46" t="n">
        <v>-1.41</v>
      </c>
      <c r="F26" s="46" t="n">
        <v>38.14</v>
      </c>
      <c r="G26" s="46" t="n">
        <v>61.06</v>
      </c>
      <c r="H26" s="46" t="n">
        <v>0.37</v>
      </c>
      <c r="I26" s="46" t="n">
        <v>2.99</v>
      </c>
      <c r="J26" s="46" t="n">
        <v>0.16</v>
      </c>
      <c r="K26" s="47" t="n">
        <v>39265</v>
      </c>
      <c r="L26" s="48" t="s">
        <v>415</v>
      </c>
      <c r="M26" s="131">
        <f>I26/G26</f>
        <v/>
      </c>
    </row>
    <row customHeight="1" ht="17" r="27" s="130" spans="1:14">
      <c r="B27" s="46" t="s">
        <v>527</v>
      </c>
      <c r="C27" s="46" t="s">
        <v>528</v>
      </c>
      <c r="D27" s="46" t="n">
        <v>2405.67</v>
      </c>
      <c r="E27" s="46" t="n">
        <v>0.31</v>
      </c>
      <c r="F27" s="46" t="n">
        <v>38.95</v>
      </c>
      <c r="G27" s="46" t="n">
        <v>146.92</v>
      </c>
      <c r="H27" s="46" t="n">
        <v>0.82</v>
      </c>
      <c r="I27" s="46" t="n">
        <v>1.68</v>
      </c>
      <c r="J27" s="46" t="n">
        <v>0.13</v>
      </c>
      <c r="K27" s="47" t="n">
        <v>39265</v>
      </c>
      <c r="L27" s="48" t="s">
        <v>415</v>
      </c>
      <c r="M27" s="131">
        <f>I27/G27</f>
        <v/>
      </c>
    </row>
    <row customHeight="1" ht="17" r="28" s="130" spans="1:14">
      <c r="B28" s="46" t="s">
        <v>529</v>
      </c>
      <c r="C28" s="46" t="s">
        <v>530</v>
      </c>
      <c r="D28" s="46" t="n">
        <v>6706.07</v>
      </c>
      <c r="E28" s="46" t="n">
        <v>0.23</v>
      </c>
      <c r="F28" s="46" t="n">
        <v>23.8</v>
      </c>
      <c r="G28" s="46" t="n">
        <v>21.7</v>
      </c>
      <c r="H28" s="46" t="n">
        <v>0.02</v>
      </c>
      <c r="I28" s="46" t="n">
        <v>2.58</v>
      </c>
      <c r="J28" s="46" t="n">
        <v>0.15</v>
      </c>
      <c r="K28" s="47" t="n">
        <v>36529</v>
      </c>
      <c r="L28" s="48" t="s">
        <v>415</v>
      </c>
      <c r="M28" s="131">
        <f>I28/G28</f>
        <v/>
      </c>
    </row>
    <row customHeight="1" ht="17" r="29" s="130" spans="1:14">
      <c r="B29" s="46" t="s">
        <v>531</v>
      </c>
      <c r="C29" s="46" t="s">
        <v>532</v>
      </c>
      <c r="D29" s="46" t="n">
        <v>5414.77</v>
      </c>
      <c r="E29" s="46" t="n">
        <v>0.31</v>
      </c>
      <c r="F29" s="46" t="n">
        <v>32.97</v>
      </c>
      <c r="G29" s="46" t="n">
        <v>79.45</v>
      </c>
      <c r="H29" s="46" t="n">
        <v>0.41</v>
      </c>
      <c r="I29" s="46" t="n">
        <v>7.34</v>
      </c>
      <c r="J29" s="46" t="n">
        <v>0.55</v>
      </c>
      <c r="K29" s="47" t="n">
        <v>39265</v>
      </c>
      <c r="L29" s="48" t="s">
        <v>415</v>
      </c>
      <c r="M29" s="131">
        <f>I29/G29</f>
        <v/>
      </c>
    </row>
    <row customHeight="1" ht="17" r="30" s="130" spans="1:14">
      <c r="B30" s="46" t="s">
        <v>533</v>
      </c>
      <c r="C30" s="46" t="s">
        <v>534</v>
      </c>
      <c r="D30" s="46" t="n">
        <v>5208.21</v>
      </c>
      <c r="E30" s="46" t="n">
        <v>-0.38</v>
      </c>
      <c r="F30" s="46" t="n">
        <v>27.82</v>
      </c>
      <c r="G30" s="46" t="n">
        <v>53.2</v>
      </c>
      <c r="H30" s="46" t="n">
        <v>0.54</v>
      </c>
      <c r="I30" s="46" t="n">
        <v>4.18</v>
      </c>
      <c r="J30" s="46" t="n">
        <v>0.52</v>
      </c>
      <c r="K30" s="47" t="n">
        <v>36529</v>
      </c>
      <c r="L30" s="48" t="s">
        <v>415</v>
      </c>
      <c r="M30" s="131">
        <f>I30/G30</f>
        <v/>
      </c>
    </row>
    <row customHeight="1" ht="17" r="31" s="130" spans="1:14">
      <c r="B31" s="46" t="s">
        <v>535</v>
      </c>
      <c r="C31" s="46" t="s">
        <v>536</v>
      </c>
      <c r="D31" s="46" t="n">
        <v>6820.1</v>
      </c>
      <c r="E31" s="46" t="n">
        <v>0.93</v>
      </c>
      <c r="F31" s="46" t="n">
        <v>24.68</v>
      </c>
      <c r="G31" s="46" t="n">
        <v>16.45</v>
      </c>
      <c r="H31" s="46" t="n">
        <v>0.01</v>
      </c>
      <c r="I31" s="46" t="n">
        <v>1.95</v>
      </c>
      <c r="J31" s="46" t="n">
        <v>0.12</v>
      </c>
      <c r="K31" s="47" t="n">
        <v>36529</v>
      </c>
      <c r="L31" s="48" t="s">
        <v>415</v>
      </c>
      <c r="M31" s="131">
        <f>I31/G31</f>
        <v/>
      </c>
    </row>
    <row customHeight="1" ht="17" r="32" s="130" spans="1:14">
      <c r="B32" s="46" t="s">
        <v>537</v>
      </c>
      <c r="C32" s="46" t="s">
        <v>538</v>
      </c>
      <c r="D32" s="46" t="n">
        <v>7930.96</v>
      </c>
      <c r="E32" s="46" t="n">
        <v>-0.88</v>
      </c>
      <c r="F32" s="46" t="n">
        <v>28.17</v>
      </c>
      <c r="G32" s="46" t="n">
        <v>44.19</v>
      </c>
      <c r="H32" s="46" t="n">
        <v>0.36</v>
      </c>
      <c r="I32" s="46" t="n">
        <v>5.03</v>
      </c>
      <c r="J32" s="46" t="n">
        <v>0.45</v>
      </c>
      <c r="K32" s="47" t="n">
        <v>36529</v>
      </c>
      <c r="L32" s="48" t="s">
        <v>415</v>
      </c>
      <c r="M32" s="131">
        <f>I32/G32</f>
        <v/>
      </c>
    </row>
    <row customHeight="1" ht="17" r="33" s="130" spans="1:14">
      <c r="B33" s="46" t="s">
        <v>539</v>
      </c>
      <c r="C33" s="46" t="s">
        <v>540</v>
      </c>
      <c r="D33" s="46" t="n">
        <v>8730.809999999999</v>
      </c>
      <c r="E33" s="46" t="n">
        <v>-0.05</v>
      </c>
      <c r="F33" s="46" t="n">
        <v>32.84</v>
      </c>
      <c r="G33" s="46" t="n">
        <v>31.3</v>
      </c>
      <c r="H33" s="46" t="n">
        <v>0.27</v>
      </c>
      <c r="I33" s="46" t="n">
        <v>3.21</v>
      </c>
      <c r="J33" s="46" t="n">
        <v>0.27</v>
      </c>
      <c r="K33" s="47" t="n">
        <v>36529</v>
      </c>
      <c r="L33" s="48" t="s">
        <v>415</v>
      </c>
      <c r="M33" s="131">
        <f>I33/G33</f>
        <v/>
      </c>
    </row>
    <row customHeight="1" ht="17" r="34" s="130" spans="1:14">
      <c r="B34" s="46" t="s">
        <v>541</v>
      </c>
      <c r="C34" s="46" t="s">
        <v>542</v>
      </c>
      <c r="D34" s="46" t="n">
        <v>3176.33</v>
      </c>
      <c r="E34" s="46" t="n">
        <v>0.33</v>
      </c>
      <c r="F34" s="46" t="n">
        <v>50.39</v>
      </c>
      <c r="G34" s="46" t="n">
        <v>26.5</v>
      </c>
      <c r="H34" s="46" t="n">
        <v>0.23</v>
      </c>
      <c r="I34" s="46" t="n">
        <v>2.51</v>
      </c>
      <c r="J34" s="46" t="n">
        <v>0.48</v>
      </c>
      <c r="K34" s="47" t="n">
        <v>36529</v>
      </c>
      <c r="L34" s="48" t="s">
        <v>415</v>
      </c>
      <c r="M34" s="131">
        <f>I34/G34</f>
        <v/>
      </c>
    </row>
    <row customHeight="1" ht="17" r="35" s="130" spans="1:14">
      <c r="B35" s="46" t="s">
        <v>543</v>
      </c>
      <c r="C35" s="46" t="s">
        <v>544</v>
      </c>
      <c r="D35" s="46" t="n">
        <v>5265.12</v>
      </c>
      <c r="E35" s="46" t="n">
        <v>0.75</v>
      </c>
      <c r="F35" s="46" t="n">
        <v>29.71</v>
      </c>
      <c r="G35" s="46" t="n">
        <v>10.62</v>
      </c>
      <c r="H35" s="46" t="n">
        <v>0.04</v>
      </c>
      <c r="I35" s="46" t="n">
        <v>1.51</v>
      </c>
      <c r="J35" s="46" t="n">
        <v>0.07000000000000001</v>
      </c>
      <c r="K35" s="47" t="n">
        <v>36529</v>
      </c>
      <c r="L35" s="48" t="s">
        <v>415</v>
      </c>
      <c r="M35" s="131">
        <f>I35/G35</f>
        <v/>
      </c>
    </row>
    <row customHeight="1" ht="17" r="36" s="130" spans="1:14">
      <c r="B36" s="46" t="s">
        <v>545</v>
      </c>
      <c r="C36" s="46" t="s">
        <v>546</v>
      </c>
      <c r="D36" s="46" t="n">
        <v>2194.31</v>
      </c>
      <c r="E36" s="46" t="n">
        <v>0.33</v>
      </c>
      <c r="F36" s="46" t="n">
        <v>47.23</v>
      </c>
      <c r="G36" s="46" t="n">
        <v>38.58</v>
      </c>
      <c r="H36" s="46" t="n">
        <v>0.24</v>
      </c>
      <c r="I36" s="46" t="n">
        <v>3.39</v>
      </c>
      <c r="J36" s="46" t="n">
        <v>0.43</v>
      </c>
      <c r="K36" s="47" t="n">
        <v>36529</v>
      </c>
      <c r="L36" s="48" t="s">
        <v>415</v>
      </c>
      <c r="M36" s="131">
        <f>I36/G36</f>
        <v/>
      </c>
    </row>
    <row customHeight="1" ht="17" r="37" s="130" spans="1:14">
      <c r="B37" s="46" t="s">
        <v>547</v>
      </c>
      <c r="C37" s="46" t="s">
        <v>548</v>
      </c>
      <c r="D37" s="46" t="n">
        <v>2089.05</v>
      </c>
      <c r="E37" s="46" t="n">
        <v>0.89</v>
      </c>
      <c r="F37" s="46" t="n">
        <v>26.13</v>
      </c>
      <c r="G37" s="46" t="n">
        <v>28.29</v>
      </c>
      <c r="H37" s="46" t="n">
        <v>0.09</v>
      </c>
      <c r="I37" s="46" t="n">
        <v>2.43</v>
      </c>
      <c r="J37" s="46" t="n">
        <v>0.29</v>
      </c>
      <c r="K37" s="47" t="n">
        <v>36529</v>
      </c>
      <c r="L37" s="48" t="s">
        <v>415</v>
      </c>
      <c r="M37" s="131">
        <f>I37/G37</f>
        <v/>
      </c>
    </row>
    <row customHeight="1" ht="17" r="38" s="130" spans="1:14">
      <c r="B38" s="46" t="s">
        <v>549</v>
      </c>
      <c r="C38" s="46" t="s">
        <v>550</v>
      </c>
      <c r="D38" s="46" t="n">
        <v>5778.81</v>
      </c>
      <c r="E38" s="46" t="n">
        <v>0.65</v>
      </c>
      <c r="F38" s="46" t="n">
        <v>19.44</v>
      </c>
      <c r="G38" s="46" t="n">
        <v>25.88</v>
      </c>
      <c r="H38" s="46" t="n">
        <v>0.19</v>
      </c>
      <c r="I38" s="46" t="n">
        <v>3.13</v>
      </c>
      <c r="J38" s="46" t="n">
        <v>0.32</v>
      </c>
      <c r="K38" s="47" t="n">
        <v>36529</v>
      </c>
      <c r="L38" s="48" t="s">
        <v>415</v>
      </c>
      <c r="M38" s="131">
        <f>I38/G38</f>
        <v/>
      </c>
    </row>
    <row customHeight="1" ht="17" r="39" s="130" spans="1:14">
      <c r="B39" s="46" t="s">
        <v>551</v>
      </c>
      <c r="C39" s="46" t="s">
        <v>552</v>
      </c>
      <c r="D39" s="46" t="n">
        <v>1620.3</v>
      </c>
      <c r="E39" s="46" t="n">
        <v>-0.84</v>
      </c>
      <c r="F39" s="46" t="n">
        <v>40.6</v>
      </c>
      <c r="G39" s="46" t="n">
        <v>83.48</v>
      </c>
      <c r="H39" s="46" t="n">
        <v>0.51</v>
      </c>
      <c r="I39" s="46" t="n">
        <v>2.89</v>
      </c>
      <c r="J39" s="46" t="n">
        <v>0.38</v>
      </c>
      <c r="K39" s="47" t="n">
        <v>36529</v>
      </c>
      <c r="L39" s="48" t="s">
        <v>415</v>
      </c>
      <c r="M39" s="131">
        <f>I39/G39</f>
        <v/>
      </c>
    </row>
    <row customHeight="1" ht="17" r="40" s="130" spans="1:14">
      <c r="B40" s="46" t="s">
        <v>553</v>
      </c>
      <c r="C40" s="46" t="s">
        <v>554</v>
      </c>
      <c r="D40" s="46" t="n">
        <v>1119.33</v>
      </c>
      <c r="E40" s="46" t="n">
        <v>0.58</v>
      </c>
      <c r="F40" s="46" t="n">
        <v>24.65</v>
      </c>
      <c r="G40" s="46" t="n">
        <v>37.35</v>
      </c>
      <c r="H40" s="46" t="n">
        <v>0.18</v>
      </c>
      <c r="I40" s="46" t="n">
        <v>1.9</v>
      </c>
      <c r="J40" s="46" t="n">
        <v>0.15</v>
      </c>
      <c r="K40" s="47" t="n">
        <v>36529</v>
      </c>
      <c r="L40" s="48" t="s">
        <v>415</v>
      </c>
      <c r="M40" s="131">
        <f>I40/G40</f>
        <v/>
      </c>
    </row>
    <row customHeight="1" ht="17" r="41" s="130" spans="1:14">
      <c r="B41" s="46" t="s">
        <v>555</v>
      </c>
      <c r="C41" s="46" t="s">
        <v>556</v>
      </c>
      <c r="D41" s="46" t="n">
        <v>4497.22</v>
      </c>
      <c r="E41" s="46" t="n">
        <v>-4.38</v>
      </c>
      <c r="F41" s="46" t="n">
        <v>57.2</v>
      </c>
      <c r="G41" s="46" t="n">
        <v>42.95</v>
      </c>
      <c r="H41" s="46" t="n">
        <v>0.39</v>
      </c>
      <c r="I41" s="46" t="n">
        <v>5.37</v>
      </c>
      <c r="J41" s="46" t="n">
        <v>0.92</v>
      </c>
      <c r="K41" s="47" t="n">
        <v>36529</v>
      </c>
      <c r="L41" s="48" t="s">
        <v>415</v>
      </c>
      <c r="M41" s="131">
        <f>I41/G41</f>
        <v/>
      </c>
    </row>
    <row customHeight="1" ht="17" r="42" s="130" spans="1:14">
      <c r="B42" s="46" t="s">
        <v>557</v>
      </c>
      <c r="C42" s="46" t="s">
        <v>558</v>
      </c>
      <c r="D42" s="46" t="n">
        <v>2285.19</v>
      </c>
      <c r="E42" s="46" t="n">
        <v>1.05</v>
      </c>
      <c r="F42" s="46" t="n">
        <v>20.93</v>
      </c>
      <c r="G42" s="46" t="n">
        <v>40.3</v>
      </c>
      <c r="H42" s="46" t="n">
        <v>0.18</v>
      </c>
      <c r="I42" s="46" t="n">
        <v>2.37</v>
      </c>
      <c r="J42" s="46" t="n">
        <v>0.19</v>
      </c>
      <c r="K42" s="47" t="n">
        <v>36529</v>
      </c>
      <c r="L42" s="48" t="s">
        <v>415</v>
      </c>
      <c r="M42" s="131">
        <f>I42/G42</f>
        <v/>
      </c>
    </row>
    <row customHeight="1" ht="17" r="43" s="130" spans="1:14">
      <c r="B43" s="46" t="s">
        <v>559</v>
      </c>
      <c r="C43" s="46" t="s">
        <v>560</v>
      </c>
      <c r="D43" s="46" t="n">
        <v>4956.52</v>
      </c>
      <c r="E43" s="46" t="n">
        <v>-3.73</v>
      </c>
      <c r="F43" s="46" t="n">
        <v>67.64</v>
      </c>
      <c r="G43" s="46" t="n">
        <v>35.04</v>
      </c>
      <c r="H43" s="46" t="n">
        <v>0.43</v>
      </c>
      <c r="I43" s="46" t="n">
        <v>3.5</v>
      </c>
      <c r="J43" s="46" t="n">
        <v>0.5600000000000001</v>
      </c>
      <c r="K43" s="47" t="n">
        <v>36529</v>
      </c>
      <c r="L43" s="48" t="s">
        <v>415</v>
      </c>
      <c r="M43" s="131">
        <f>I43/G43</f>
        <v/>
      </c>
    </row>
    <row customHeight="1" ht="17" r="44" s="130" spans="1:14">
      <c r="B44" s="46" t="s">
        <v>561</v>
      </c>
      <c r="C44" s="46" t="s">
        <v>562</v>
      </c>
      <c r="D44" s="46" t="n">
        <v>864.3</v>
      </c>
      <c r="E44" s="46" t="n">
        <v>-0.24</v>
      </c>
      <c r="F44" s="46" t="n">
        <v>27.3</v>
      </c>
      <c r="G44" s="46" t="n">
        <v>15.89</v>
      </c>
      <c r="H44" s="46" t="n">
        <v>0.08</v>
      </c>
      <c r="I44" s="46" t="n">
        <v>1.66</v>
      </c>
      <c r="J44" s="46" t="n">
        <v>0.06</v>
      </c>
      <c r="K44" s="47" t="n">
        <v>39265</v>
      </c>
      <c r="L44" s="48" t="s">
        <v>415</v>
      </c>
      <c r="M44" s="131">
        <f>I44/G44</f>
        <v/>
      </c>
    </row>
    <row customHeight="1" ht="17" r="45" s="130" spans="1:14">
      <c r="B45" s="46" t="s">
        <v>563</v>
      </c>
      <c r="C45" s="46" t="s">
        <v>564</v>
      </c>
      <c r="D45" s="46" t="n">
        <v>4363.21</v>
      </c>
      <c r="E45" s="46" t="n">
        <v>0.18</v>
      </c>
      <c r="F45" s="46" t="n">
        <v>32.9</v>
      </c>
      <c r="G45" s="46" t="n">
        <v>17.2</v>
      </c>
      <c r="H45" s="46" t="n">
        <v>0.17</v>
      </c>
      <c r="I45" s="46" t="n">
        <v>1.33</v>
      </c>
      <c r="J45" s="46" t="n">
        <v>0.04</v>
      </c>
      <c r="K45" s="47" t="n">
        <v>36529</v>
      </c>
      <c r="L45" s="48" t="s">
        <v>415</v>
      </c>
      <c r="M45" s="131">
        <f>I45/G45</f>
        <v/>
      </c>
    </row>
    <row customHeight="1" ht="17" r="46" s="130" spans="1:14">
      <c r="B46" s="46" t="s">
        <v>565</v>
      </c>
      <c r="C46" s="46" t="s">
        <v>566</v>
      </c>
      <c r="D46" s="46" t="n">
        <v>1237.93</v>
      </c>
      <c r="E46" s="46" t="n">
        <v>-0.67</v>
      </c>
      <c r="F46" s="46" t="n">
        <v>51.3</v>
      </c>
      <c r="G46" s="46" t="n">
        <v>15.4</v>
      </c>
      <c r="H46" s="46" t="n">
        <v>0.04</v>
      </c>
      <c r="I46" s="46" t="n">
        <v>1.73</v>
      </c>
      <c r="J46" s="46" t="n">
        <v>0.44</v>
      </c>
      <c r="K46" s="47" t="n">
        <v>36529</v>
      </c>
      <c r="L46" s="48" t="s">
        <v>415</v>
      </c>
      <c r="M46" s="131">
        <f>I46/G46</f>
        <v/>
      </c>
    </row>
    <row customHeight="1" ht="17" r="47" s="130" spans="1:14">
      <c r="B47" s="46" t="s">
        <v>567</v>
      </c>
      <c r="C47" s="46" t="s">
        <v>568</v>
      </c>
      <c r="D47" s="46" t="n">
        <v>14166.1</v>
      </c>
      <c r="E47" s="46" t="n">
        <v>-1.02</v>
      </c>
      <c r="F47" s="46" t="n">
        <v>30.63</v>
      </c>
      <c r="G47" s="46" t="n">
        <v>13.78</v>
      </c>
      <c r="H47" s="46" t="n">
        <v>0.21</v>
      </c>
      <c r="I47" s="46" t="n">
        <v>3.3</v>
      </c>
      <c r="J47" s="46" t="n">
        <v>0.57</v>
      </c>
      <c r="K47" s="47" t="n">
        <v>36529</v>
      </c>
      <c r="L47" s="48" t="s">
        <v>415</v>
      </c>
      <c r="M47" s="131">
        <f>I47/G47</f>
        <v/>
      </c>
    </row>
    <row customHeight="1" ht="17" r="48" s="130" spans="1:14">
      <c r="B48" s="46" t="s">
        <v>569</v>
      </c>
      <c r="C48" s="46" t="s">
        <v>570</v>
      </c>
      <c r="D48" s="46" t="n">
        <v>4733.46</v>
      </c>
      <c r="E48" s="46" t="n">
        <v>-0.18</v>
      </c>
      <c r="F48" s="46" t="n">
        <v>11.97</v>
      </c>
      <c r="G48" s="46" t="n">
        <v>15.09</v>
      </c>
      <c r="H48" s="46" t="n">
        <v>0.39</v>
      </c>
      <c r="I48" s="46" t="n">
        <v>1.47</v>
      </c>
      <c r="J48" s="46" t="n">
        <v>0.1</v>
      </c>
      <c r="K48" s="47" t="n">
        <v>36529</v>
      </c>
      <c r="L48" s="48" t="s">
        <v>415</v>
      </c>
      <c r="M48" s="131">
        <f>I48/G48</f>
        <v/>
      </c>
    </row>
    <row customHeight="1" ht="17" r="49" s="130" spans="1:14">
      <c r="B49" s="46" t="s">
        <v>571</v>
      </c>
      <c r="C49" s="46" t="s">
        <v>572</v>
      </c>
      <c r="D49" s="46" t="n">
        <v>4718.29</v>
      </c>
      <c r="E49" s="46" t="n">
        <v>0.21</v>
      </c>
      <c r="F49" s="46" t="n">
        <v>25.29</v>
      </c>
      <c r="G49" s="46" t="n">
        <v>16.12</v>
      </c>
      <c r="H49" s="46" t="n">
        <v>0.13</v>
      </c>
      <c r="I49" s="46" t="n">
        <v>1.9</v>
      </c>
      <c r="J49" s="46" t="n">
        <v>0.16</v>
      </c>
      <c r="K49" s="47" t="n">
        <v>36529</v>
      </c>
      <c r="L49" s="48" t="s">
        <v>415</v>
      </c>
      <c r="M49" s="131">
        <f>I49/G49</f>
        <v/>
      </c>
    </row>
    <row customHeight="1" ht="17" r="50" s="130" spans="1:14">
      <c r="B50" s="46" t="s">
        <v>573</v>
      </c>
      <c r="C50" s="46" t="s">
        <v>574</v>
      </c>
      <c r="D50" s="46" t="n">
        <v>1058.24</v>
      </c>
      <c r="E50" s="46" t="n">
        <v>0.27</v>
      </c>
      <c r="F50" s="46" t="n">
        <v>34.26</v>
      </c>
      <c r="G50" s="46" t="n">
        <v>26.64</v>
      </c>
      <c r="H50" s="46" t="n">
        <v>0.11</v>
      </c>
      <c r="I50" s="46" t="n">
        <v>1.63</v>
      </c>
      <c r="J50" s="46" t="n">
        <v>0.1</v>
      </c>
      <c r="K50" s="47" t="n">
        <v>36529</v>
      </c>
      <c r="L50" s="48" t="s">
        <v>415</v>
      </c>
      <c r="M50" s="131">
        <f>I50/G50</f>
        <v/>
      </c>
    </row>
    <row customHeight="1" ht="17" r="51" s="130" spans="1:14">
      <c r="B51" s="46" t="s">
        <v>575</v>
      </c>
      <c r="C51" s="46" t="s">
        <v>576</v>
      </c>
      <c r="D51" s="46" t="n">
        <v>2093.08</v>
      </c>
      <c r="E51" s="46" t="n">
        <v>-0.35</v>
      </c>
      <c r="F51" s="46" t="n">
        <v>21.41</v>
      </c>
      <c r="G51" s="46" t="n">
        <v>27.38</v>
      </c>
      <c r="H51" s="46" t="n">
        <v>0.47</v>
      </c>
      <c r="I51" s="46" t="n">
        <v>2.16</v>
      </c>
      <c r="J51" s="46" t="n">
        <v>0.3</v>
      </c>
      <c r="K51" s="47" t="n">
        <v>36529</v>
      </c>
      <c r="L51" s="48" t="s">
        <v>415</v>
      </c>
      <c r="M51" s="131">
        <f>I51/G51</f>
        <v/>
      </c>
    </row>
    <row customHeight="1" ht="17" r="52" s="130" spans="1:14">
      <c r="B52" s="46" t="s">
        <v>577</v>
      </c>
      <c r="C52" s="46" t="s">
        <v>578</v>
      </c>
      <c r="D52" s="46" t="n">
        <v>2382.98</v>
      </c>
      <c r="E52" s="46" t="n">
        <v>0.7</v>
      </c>
      <c r="F52" s="46" t="n">
        <v>24.71</v>
      </c>
      <c r="G52" s="46" t="n">
        <v>19.56</v>
      </c>
      <c r="H52" s="46" t="n">
        <v>0.03</v>
      </c>
      <c r="I52" s="46" t="n">
        <v>1.59</v>
      </c>
      <c r="J52" s="46" t="n">
        <v>0.11</v>
      </c>
      <c r="K52" s="47" t="n">
        <v>36529</v>
      </c>
      <c r="L52" s="48" t="s">
        <v>415</v>
      </c>
      <c r="M52" s="131">
        <f>I52/G52</f>
        <v/>
      </c>
    </row>
    <row customHeight="1" ht="17" r="53" s="130" spans="1:14">
      <c r="B53" s="46" t="s">
        <v>579</v>
      </c>
      <c r="C53" s="46" t="s">
        <v>580</v>
      </c>
      <c r="D53" s="46" t="n">
        <v>15155.17</v>
      </c>
      <c r="E53" s="46" t="n">
        <v>0.23</v>
      </c>
      <c r="F53" s="46" t="n">
        <v>41.7</v>
      </c>
      <c r="G53" s="46" t="n">
        <v>28.24</v>
      </c>
      <c r="H53" s="46" t="n">
        <v>0.3</v>
      </c>
      <c r="I53" s="46" t="n">
        <v>5.56</v>
      </c>
      <c r="J53" s="46" t="n">
        <v>0.67</v>
      </c>
      <c r="K53" s="47" t="n">
        <v>36529</v>
      </c>
      <c r="L53" s="48" t="s">
        <v>415</v>
      </c>
      <c r="M53" s="131">
        <f>I53/G53</f>
        <v/>
      </c>
    </row>
    <row customHeight="1" ht="17" r="54" s="130" spans="1:14">
      <c r="B54" s="46" t="s">
        <v>581</v>
      </c>
      <c r="C54" s="46" t="s">
        <v>582</v>
      </c>
      <c r="D54" s="46" t="s">
        <v>583</v>
      </c>
      <c r="E54" s="46" t="s">
        <v>583</v>
      </c>
      <c r="F54" s="46" t="s">
        <v>583</v>
      </c>
      <c r="G54" s="46" t="n">
        <v>50.65</v>
      </c>
      <c r="H54" s="46" t="n">
        <v>0.76</v>
      </c>
      <c r="I54" s="46" t="n">
        <v>2.13</v>
      </c>
      <c r="J54" s="46" t="n">
        <v>0.27</v>
      </c>
      <c r="K54" s="47" t="n">
        <v>36529</v>
      </c>
      <c r="L54" s="48" t="s">
        <v>415</v>
      </c>
      <c r="M54" s="131">
        <f>I54/G54</f>
        <v/>
      </c>
    </row>
    <row customHeight="1" ht="17" r="55" s="130" spans="1:14">
      <c r="B55" s="46" t="s">
        <v>584</v>
      </c>
      <c r="C55" s="46" t="s">
        <v>585</v>
      </c>
      <c r="D55" s="46" t="n">
        <v>4121.52</v>
      </c>
      <c r="E55" s="46" t="n">
        <v>0.25</v>
      </c>
      <c r="F55" s="46" t="n">
        <v>23.69</v>
      </c>
      <c r="G55" s="46" t="n">
        <v>20.87</v>
      </c>
      <c r="H55" s="46" t="n">
        <v>0.16</v>
      </c>
      <c r="I55" s="46" t="n">
        <v>1.83</v>
      </c>
      <c r="J55" s="46" t="n">
        <v>0.1</v>
      </c>
      <c r="K55" s="47" t="n">
        <v>36529</v>
      </c>
      <c r="L55" s="48" t="s">
        <v>415</v>
      </c>
      <c r="M55" s="131">
        <f>I55/G55</f>
        <v/>
      </c>
    </row>
    <row customHeight="1" ht="17" r="56" s="130" spans="1:14">
      <c r="B56" s="46" t="s">
        <v>586</v>
      </c>
      <c r="C56" s="46" t="s">
        <v>587</v>
      </c>
      <c r="D56" s="46" t="n">
        <v>14055.3</v>
      </c>
      <c r="E56" s="46" t="n">
        <v>0.17</v>
      </c>
      <c r="F56" s="46" t="n">
        <v>21.66</v>
      </c>
      <c r="G56" s="46" t="n">
        <v>28.34</v>
      </c>
      <c r="H56" s="46" t="n">
        <v>0.2</v>
      </c>
      <c r="I56" s="46" t="n">
        <v>4.52</v>
      </c>
      <c r="J56" s="46" t="n">
        <v>0.53</v>
      </c>
      <c r="K56" s="47" t="n">
        <v>36529</v>
      </c>
      <c r="L56" s="48" t="s">
        <v>415</v>
      </c>
      <c r="M56" s="131">
        <f>I56/G56</f>
        <v/>
      </c>
    </row>
    <row customHeight="1" ht="17" r="57" s="130" spans="1:14">
      <c r="B57" s="46" t="s">
        <v>588</v>
      </c>
      <c r="C57" s="46" t="s">
        <v>589</v>
      </c>
      <c r="D57" s="46" t="n">
        <v>7769.53</v>
      </c>
      <c r="E57" s="46" t="n">
        <v>0.76</v>
      </c>
      <c r="F57" s="46" t="n">
        <v>25.12</v>
      </c>
      <c r="G57" s="46" t="n">
        <v>18.12</v>
      </c>
      <c r="H57" s="46" t="n">
        <v>0.05</v>
      </c>
      <c r="I57" s="46" t="n">
        <v>1.91</v>
      </c>
      <c r="J57" s="46" t="n">
        <v>0.04</v>
      </c>
      <c r="K57" s="47" t="n">
        <v>40147</v>
      </c>
      <c r="L57" s="48" t="s">
        <v>415</v>
      </c>
      <c r="M57" s="131">
        <f>I57/G57</f>
        <v/>
      </c>
    </row>
    <row customHeight="1" ht="17" r="58" s="130" spans="1:14">
      <c r="B58" s="46" t="s">
        <v>590</v>
      </c>
      <c r="C58" s="46" t="s">
        <v>591</v>
      </c>
      <c r="D58" s="46" t="n">
        <v>1795.17</v>
      </c>
      <c r="E58" s="46" t="n">
        <v>0.62</v>
      </c>
      <c r="F58" s="46" t="n">
        <v>28.43</v>
      </c>
      <c r="G58" s="46" t="n">
        <v>14.42</v>
      </c>
      <c r="H58" s="46" t="n">
        <v>0.06</v>
      </c>
      <c r="I58" s="46" t="n">
        <v>1.35</v>
      </c>
      <c r="J58" s="46" t="n">
        <v>0.06</v>
      </c>
      <c r="K58" s="47" t="n">
        <v>40826</v>
      </c>
      <c r="L58" s="48" t="s">
        <v>415</v>
      </c>
      <c r="M58" s="131">
        <f>I58/G58</f>
        <v/>
      </c>
    </row>
    <row customHeight="1" ht="17" r="59" s="130" spans="1:14">
      <c r="B59" s="46" t="s">
        <v>592</v>
      </c>
      <c r="C59" s="46" t="s">
        <v>593</v>
      </c>
      <c r="D59" s="46" t="n">
        <v>2746.13</v>
      </c>
      <c r="E59" s="46" t="n">
        <v>-0.01</v>
      </c>
      <c r="F59" s="46" t="n">
        <v>16.9</v>
      </c>
      <c r="G59" s="46" t="n">
        <v>11.09</v>
      </c>
      <c r="H59" s="46" t="n">
        <v>0.32</v>
      </c>
      <c r="I59" s="46" t="n">
        <v>1.17</v>
      </c>
      <c r="J59" s="46" t="n">
        <v>0.3</v>
      </c>
      <c r="K59" s="47" t="n">
        <v>40826</v>
      </c>
      <c r="L59" s="48" t="s">
        <v>415</v>
      </c>
      <c r="M59" s="131">
        <f>I59/G59</f>
        <v/>
      </c>
    </row>
    <row customHeight="1" ht="17" r="60" s="130" spans="1:14">
      <c r="B60" s="46" t="s">
        <v>594</v>
      </c>
      <c r="C60" s="46" t="s">
        <v>595</v>
      </c>
      <c r="D60" s="46" t="n">
        <v>6876.71</v>
      </c>
      <c r="E60" s="46" t="n">
        <v>1.98</v>
      </c>
      <c r="F60" s="46" t="n">
        <v>30.55</v>
      </c>
      <c r="G60" s="46" t="n">
        <v>9.4</v>
      </c>
      <c r="H60" s="46" t="n">
        <v>0.02</v>
      </c>
      <c r="I60" s="46" t="n">
        <v>1.69</v>
      </c>
      <c r="J60" s="46" t="n">
        <v>0.28</v>
      </c>
      <c r="K60" s="47" t="n">
        <v>36529</v>
      </c>
      <c r="L60" s="48" t="s">
        <v>415</v>
      </c>
      <c r="M60" s="131">
        <f>I60/G60</f>
        <v/>
      </c>
    </row>
    <row customHeight="1" ht="17" r="61" s="130" spans="1:14">
      <c r="B61" s="46" t="s">
        <v>596</v>
      </c>
      <c r="C61" s="46" t="s">
        <v>597</v>
      </c>
      <c r="D61" s="46" t="n">
        <v>4877.58</v>
      </c>
      <c r="E61" s="46" t="n">
        <v>0.6</v>
      </c>
      <c r="F61" s="46" t="n">
        <v>37.14</v>
      </c>
      <c r="G61" s="46" t="n">
        <v>21.71</v>
      </c>
      <c r="H61" s="46" t="n">
        <v>0.16</v>
      </c>
      <c r="I61" s="46" t="n">
        <v>1.8</v>
      </c>
      <c r="J61" s="46" t="n">
        <v>0.05</v>
      </c>
      <c r="K61" s="47" t="n">
        <v>36529</v>
      </c>
      <c r="L61" s="48" t="s">
        <v>415</v>
      </c>
      <c r="M61" s="131">
        <f>I61/G61</f>
        <v/>
      </c>
    </row>
    <row customHeight="1" ht="17" r="62" s="130" spans="1:14">
      <c r="B62" s="46" t="s">
        <v>598</v>
      </c>
      <c r="C62" s="46" t="s">
        <v>599</v>
      </c>
      <c r="D62" s="46" t="n">
        <v>5311.94</v>
      </c>
      <c r="E62" s="46" t="n">
        <v>1.1</v>
      </c>
      <c r="F62" s="46" t="n">
        <v>36.11</v>
      </c>
      <c r="G62" s="46" t="n">
        <v>25.17</v>
      </c>
      <c r="H62" s="46" t="n">
        <v>0.14</v>
      </c>
      <c r="I62" s="46" t="n">
        <v>2.67</v>
      </c>
      <c r="J62" s="46" t="n">
        <v>0.32</v>
      </c>
      <c r="K62" s="47" t="n">
        <v>36529</v>
      </c>
      <c r="L62" s="48" t="s">
        <v>415</v>
      </c>
      <c r="M62" s="131">
        <f>I62/G62</f>
        <v/>
      </c>
    </row>
    <row customHeight="1" ht="17" r="63" s="130" spans="1:14">
      <c r="B63" s="46" t="s">
        <v>600</v>
      </c>
      <c r="C63" s="46" t="s">
        <v>601</v>
      </c>
      <c r="D63" s="46" t="n">
        <v>3953.41</v>
      </c>
      <c r="E63" s="46" t="n">
        <v>-0.44</v>
      </c>
      <c r="F63" s="46" t="n">
        <v>15.67</v>
      </c>
      <c r="G63" s="46" t="n">
        <v>9.57</v>
      </c>
      <c r="H63" s="46" t="n">
        <v>0.73</v>
      </c>
      <c r="I63" s="46" t="n">
        <v>1.26</v>
      </c>
      <c r="J63" s="46" t="n">
        <v>0.63</v>
      </c>
      <c r="K63" s="47" t="n">
        <v>40826</v>
      </c>
      <c r="L63" s="48" t="s">
        <v>415</v>
      </c>
      <c r="M63" s="131">
        <f>I63/G63</f>
        <v/>
      </c>
    </row>
    <row customHeight="1" ht="17" r="64" s="130" spans="1:14">
      <c r="B64" s="46" t="s">
        <v>602</v>
      </c>
      <c r="C64" s="46" t="s">
        <v>603</v>
      </c>
      <c r="D64" s="46" t="n">
        <v>5806.86</v>
      </c>
      <c r="E64" s="46" t="n">
        <v>0.31</v>
      </c>
      <c r="F64" s="46" t="n">
        <v>36.29</v>
      </c>
      <c r="G64" s="46" t="n">
        <v>30.09</v>
      </c>
      <c r="H64" s="46" t="n">
        <v>0.44</v>
      </c>
      <c r="I64" s="46" t="n">
        <v>2.03</v>
      </c>
      <c r="J64" s="46" t="n">
        <v>0.19</v>
      </c>
      <c r="K64" s="47" t="n">
        <v>36529</v>
      </c>
      <c r="L64" s="48" t="s">
        <v>415</v>
      </c>
      <c r="M64" s="131">
        <f>I64/G64</f>
        <v/>
      </c>
    </row>
    <row customHeight="1" ht="17" r="65" s="130" spans="1:14">
      <c r="B65" s="46" t="s">
        <v>604</v>
      </c>
      <c r="C65" s="46" t="s">
        <v>605</v>
      </c>
      <c r="D65" s="46" t="n">
        <v>3921.81</v>
      </c>
      <c r="E65" s="46" t="n">
        <v>0.37</v>
      </c>
      <c r="F65" s="46" t="n">
        <v>36.77</v>
      </c>
      <c r="G65" s="46" t="n">
        <v>39.42</v>
      </c>
      <c r="H65" s="46" t="n">
        <v>0.34</v>
      </c>
      <c r="I65" s="46" t="n">
        <v>2.58</v>
      </c>
      <c r="J65" s="46" t="n">
        <v>0.3</v>
      </c>
      <c r="K65" s="47" t="n">
        <v>36529</v>
      </c>
      <c r="L65" s="48" t="s">
        <v>415</v>
      </c>
      <c r="M65" s="131">
        <f>I65/G65</f>
        <v/>
      </c>
    </row>
    <row customHeight="1" ht="17" r="66" s="130" spans="1:14">
      <c r="B66" s="46" t="s">
        <v>606</v>
      </c>
      <c r="C66" s="46" t="s">
        <v>607</v>
      </c>
      <c r="D66" s="46" t="n">
        <v>7447.38</v>
      </c>
      <c r="E66" s="46" t="n">
        <v>-1</v>
      </c>
      <c r="F66" s="46" t="n">
        <v>25.74</v>
      </c>
      <c r="G66" s="46" t="n">
        <v>20.16</v>
      </c>
      <c r="H66" s="46" t="n">
        <v>0.08</v>
      </c>
      <c r="I66" s="46" t="n">
        <v>1.99</v>
      </c>
      <c r="J66" s="46" t="n">
        <v>0.05</v>
      </c>
      <c r="K66" s="47" t="n">
        <v>39042</v>
      </c>
      <c r="L66" s="48" t="s">
        <v>415</v>
      </c>
      <c r="M66" s="131">
        <f>I66/G66</f>
        <v/>
      </c>
    </row>
    <row customHeight="1" ht="17" r="67" s="130" spans="1:14">
      <c r="B67" s="46" t="s">
        <v>608</v>
      </c>
      <c r="C67" s="46" t="s">
        <v>609</v>
      </c>
      <c r="D67" s="46" t="s">
        <v>583</v>
      </c>
      <c r="E67" s="46" t="n">
        <v>0</v>
      </c>
      <c r="F67" s="46" t="n">
        <v>0</v>
      </c>
      <c r="G67" s="46" t="n">
        <v>38.27</v>
      </c>
      <c r="H67" s="46" t="n">
        <v>0.35</v>
      </c>
      <c r="I67" s="46" t="n">
        <v>2.32</v>
      </c>
      <c r="J67" s="46" t="n">
        <v>0.37</v>
      </c>
      <c r="K67" s="47" t="n">
        <v>42901</v>
      </c>
      <c r="L67" s="48" t="s">
        <v>415</v>
      </c>
      <c r="M67" s="131">
        <f>I67/G67</f>
        <v/>
      </c>
    </row>
    <row customHeight="1" ht="17" r="68" s="130" spans="1:14">
      <c r="B68" s="46" t="s">
        <v>610</v>
      </c>
      <c r="C68" s="46" t="s">
        <v>611</v>
      </c>
      <c r="D68" s="46" t="n">
        <v>5703.36</v>
      </c>
      <c r="E68" s="46" t="n">
        <v>1.33</v>
      </c>
      <c r="F68" s="46" t="n">
        <v>12.28</v>
      </c>
      <c r="G68" s="46" t="n">
        <v>30.25</v>
      </c>
      <c r="H68" s="46" t="n">
        <v>0.07000000000000001</v>
      </c>
      <c r="I68" s="46" t="n">
        <v>4.09</v>
      </c>
      <c r="J68" s="46" t="n">
        <v>0.55</v>
      </c>
      <c r="K68" s="47" t="n">
        <v>36529</v>
      </c>
      <c r="L68" s="48" t="s">
        <v>415</v>
      </c>
      <c r="M68" s="131">
        <f>I68/G68</f>
        <v/>
      </c>
    </row>
    <row customHeight="1" ht="17" r="69" s="130" spans="1:14">
      <c r="B69" s="46" t="s">
        <v>612</v>
      </c>
      <c r="C69" s="46" t="s">
        <v>613</v>
      </c>
      <c r="D69" s="46" t="n">
        <v>8208.030000000001</v>
      </c>
      <c r="E69" s="46" t="n">
        <v>1.38</v>
      </c>
      <c r="F69" s="46" t="n">
        <v>15.91</v>
      </c>
      <c r="G69" s="46" t="n">
        <v>25.21</v>
      </c>
      <c r="H69" s="46" t="n">
        <v>0.05</v>
      </c>
      <c r="I69" s="46" t="n">
        <v>2.53</v>
      </c>
      <c r="J69" s="46" t="n">
        <v>0.02</v>
      </c>
      <c r="K69" s="47" t="n">
        <v>36529</v>
      </c>
      <c r="L69" s="48" t="s">
        <v>415</v>
      </c>
      <c r="M69" s="131">
        <f>I69/G69</f>
        <v/>
      </c>
    </row>
    <row customHeight="1" ht="17" r="70" s="130" spans="1:14">
      <c r="B70" s="46" t="s">
        <v>614</v>
      </c>
      <c r="C70" s="46" t="s">
        <v>615</v>
      </c>
      <c r="D70" s="46" t="n">
        <v>3467.43</v>
      </c>
      <c r="E70" s="46" t="n">
        <v>0.33</v>
      </c>
      <c r="F70" s="46" t="n">
        <v>28.53</v>
      </c>
      <c r="G70" s="46" t="n">
        <v>28.25</v>
      </c>
      <c r="H70" s="46" t="n">
        <v>0.06</v>
      </c>
      <c r="I70" s="46" t="n">
        <v>2.19</v>
      </c>
      <c r="J70" s="46" t="n">
        <v>0.14</v>
      </c>
      <c r="K70" s="47" t="n">
        <v>36529</v>
      </c>
      <c r="L70" s="48" t="s">
        <v>415</v>
      </c>
      <c r="M70" s="131">
        <f>I70/G70</f>
        <v/>
      </c>
    </row>
    <row customHeight="1" ht="17" r="71" s="130" spans="1:14">
      <c r="B71" s="46" t="s">
        <v>616</v>
      </c>
      <c r="C71" s="46" t="s">
        <v>617</v>
      </c>
      <c r="D71" s="46" t="n">
        <v>994.71</v>
      </c>
      <c r="E71" s="46" t="n">
        <v>3.62</v>
      </c>
      <c r="F71" s="46" t="n">
        <v>24.97</v>
      </c>
      <c r="G71" s="46" t="n">
        <v>82.59</v>
      </c>
      <c r="H71" s="46" t="n">
        <v>0.51</v>
      </c>
      <c r="I71" s="46" t="n">
        <v>4.82</v>
      </c>
      <c r="J71" s="46" t="n">
        <v>0.49</v>
      </c>
      <c r="K71" s="47" t="n">
        <v>36529</v>
      </c>
      <c r="L71" s="48" t="s">
        <v>415</v>
      </c>
      <c r="M71" s="131">
        <f>I71/G71</f>
        <v/>
      </c>
    </row>
    <row customHeight="1" ht="17" r="72" s="130" spans="1:14">
      <c r="B72" s="46" t="s">
        <v>618</v>
      </c>
      <c r="C72" s="46" t="s">
        <v>619</v>
      </c>
      <c r="D72" s="46" t="n">
        <v>1523.05</v>
      </c>
      <c r="E72" s="46" t="n">
        <v>1.26</v>
      </c>
      <c r="F72" s="46" t="n">
        <v>23.81</v>
      </c>
      <c r="G72" s="46" t="n">
        <v>21.79</v>
      </c>
      <c r="H72" s="46" t="n">
        <v>0.1</v>
      </c>
      <c r="I72" s="46" t="n">
        <v>1.9</v>
      </c>
      <c r="J72" s="46" t="n">
        <v>0.07000000000000001</v>
      </c>
      <c r="K72" s="47" t="n">
        <v>36529</v>
      </c>
      <c r="L72" s="48" t="s">
        <v>415</v>
      </c>
      <c r="M72" s="131">
        <f>I72/G72</f>
        <v/>
      </c>
    </row>
    <row customHeight="1" ht="17" r="73" s="130" spans="1:14">
      <c r="B73" s="46" t="s">
        <v>620</v>
      </c>
      <c r="C73" s="46" t="s">
        <v>621</v>
      </c>
      <c r="D73" s="46" t="n">
        <v>3176.43</v>
      </c>
      <c r="E73" s="46" t="n">
        <v>0.29</v>
      </c>
      <c r="F73" s="46" t="n">
        <v>21.45</v>
      </c>
      <c r="G73" s="46" t="n">
        <v>22.76</v>
      </c>
      <c r="H73" s="46" t="n">
        <v>0.1</v>
      </c>
      <c r="I73" s="46" t="n">
        <v>1.57</v>
      </c>
      <c r="J73" s="46" t="n">
        <v>0.03</v>
      </c>
      <c r="K73" s="47" t="n">
        <v>36529</v>
      </c>
      <c r="L73" s="48" t="s">
        <v>415</v>
      </c>
      <c r="M73" s="131">
        <f>I73/G73</f>
        <v/>
      </c>
    </row>
    <row customHeight="1" ht="17" r="74" s="130" spans="1:14">
      <c r="B74" s="46" t="s">
        <v>622</v>
      </c>
      <c r="C74" s="46" t="s">
        <v>623</v>
      </c>
      <c r="D74" s="46" t="n">
        <v>3698.34</v>
      </c>
      <c r="E74" s="46" t="n">
        <v>-1.1</v>
      </c>
      <c r="F74" s="46" t="n">
        <v>26.45</v>
      </c>
      <c r="G74" s="46" t="n">
        <v>33.1</v>
      </c>
      <c r="H74" s="46" t="n">
        <v>0.28</v>
      </c>
      <c r="I74" s="46" t="n">
        <v>2.15</v>
      </c>
      <c r="J74" s="46" t="n">
        <v>0.1</v>
      </c>
      <c r="K74" s="47" t="n">
        <v>36878</v>
      </c>
      <c r="L74" s="48" t="s">
        <v>415</v>
      </c>
      <c r="M74" s="131">
        <f>I74/G74</f>
        <v/>
      </c>
    </row>
    <row customHeight="1" ht="17" r="75" s="130" spans="1:14">
      <c r="B75" s="46" t="s">
        <v>624</v>
      </c>
      <c r="C75" s="46" t="s">
        <v>625</v>
      </c>
      <c r="D75" s="46" t="n">
        <v>2620.68</v>
      </c>
      <c r="E75" s="46" t="n">
        <v>-0.14</v>
      </c>
      <c r="F75" s="46" t="n">
        <v>17</v>
      </c>
      <c r="G75" s="46" t="n">
        <v>23.36</v>
      </c>
      <c r="H75" s="46" t="n">
        <v>0.43</v>
      </c>
      <c r="I75" s="46" t="n">
        <v>1.59</v>
      </c>
      <c r="J75" s="46" t="n">
        <v>0.13</v>
      </c>
      <c r="K75" s="47" t="n">
        <v>36529</v>
      </c>
      <c r="L75" s="48" t="s">
        <v>415</v>
      </c>
      <c r="M75" s="131">
        <f>I75/G75</f>
        <v/>
      </c>
    </row>
    <row customHeight="1" ht="17" r="76" s="130" spans="1:14">
      <c r="B76" s="46" t="s">
        <v>626</v>
      </c>
      <c r="C76" s="46" t="s">
        <v>627</v>
      </c>
      <c r="D76" s="46" t="n">
        <v>5548.79</v>
      </c>
      <c r="E76" s="46" t="n">
        <v>-0.66</v>
      </c>
      <c r="F76" s="46" t="n">
        <v>26.83</v>
      </c>
      <c r="G76" s="46" t="n">
        <v>29.58</v>
      </c>
      <c r="H76" s="46" t="n">
        <v>0.08</v>
      </c>
      <c r="I76" s="46" t="n">
        <v>2.07</v>
      </c>
      <c r="J76" s="46" t="n">
        <v>0.11</v>
      </c>
      <c r="K76" s="47" t="n">
        <v>36529</v>
      </c>
      <c r="L76" s="48" t="s">
        <v>415</v>
      </c>
      <c r="M76" s="131">
        <f>I76/G76</f>
        <v/>
      </c>
    </row>
    <row customHeight="1" ht="17" r="77" s="130" spans="1:14">
      <c r="B77" s="46" t="s">
        <v>628</v>
      </c>
      <c r="C77" s="46" t="s">
        <v>629</v>
      </c>
      <c r="D77" s="46" t="n">
        <v>7165.93</v>
      </c>
      <c r="E77" s="46" t="n">
        <v>-0.17</v>
      </c>
      <c r="F77" s="46" t="n">
        <v>38.14</v>
      </c>
      <c r="G77" s="46" t="n">
        <v>34.47</v>
      </c>
      <c r="H77" s="46" t="n">
        <v>0.3</v>
      </c>
      <c r="I77" s="46" t="n">
        <v>2.15</v>
      </c>
      <c r="J77" s="46" t="n">
        <v>0.09</v>
      </c>
      <c r="K77" s="47" t="n">
        <v>36529</v>
      </c>
      <c r="L77" s="48" t="s">
        <v>415</v>
      </c>
      <c r="M77" s="131">
        <f>I77/G77</f>
        <v/>
      </c>
    </row>
    <row customHeight="1" ht="17" r="78" s="130" spans="1:14">
      <c r="B78" s="46" t="s">
        <v>630</v>
      </c>
      <c r="C78" s="46" t="s">
        <v>631</v>
      </c>
      <c r="D78" s="46" t="n">
        <v>5534.56</v>
      </c>
      <c r="E78" s="46" t="n">
        <v>-2.23</v>
      </c>
      <c r="F78" s="46" t="n">
        <v>31.01</v>
      </c>
      <c r="G78" s="46" t="n">
        <v>27.82</v>
      </c>
      <c r="H78" s="46" t="n">
        <v>0.16</v>
      </c>
      <c r="I78" s="46" t="n">
        <v>1.76</v>
      </c>
      <c r="J78" s="46" t="n">
        <v>0.07000000000000001</v>
      </c>
      <c r="K78" s="47" t="n">
        <v>36529</v>
      </c>
      <c r="L78" s="48" t="s">
        <v>415</v>
      </c>
      <c r="M78" s="131">
        <f>I78/G78</f>
        <v/>
      </c>
    </row>
    <row customHeight="1" ht="17" r="79" s="130" spans="1:14">
      <c r="B79" s="46" t="s">
        <v>632</v>
      </c>
      <c r="C79" s="46" t="s">
        <v>633</v>
      </c>
      <c r="D79" s="46" t="n">
        <v>4542.3</v>
      </c>
      <c r="E79" s="46" t="n">
        <v>-0.8</v>
      </c>
      <c r="F79" s="46" t="n">
        <v>32.69</v>
      </c>
      <c r="G79" s="46" t="n">
        <v>22.55</v>
      </c>
      <c r="H79" s="46" t="n">
        <v>0.05</v>
      </c>
      <c r="I79" s="46" t="n">
        <v>2.33</v>
      </c>
      <c r="J79" s="46" t="n">
        <v>0.14</v>
      </c>
      <c r="K79" s="47" t="n">
        <v>36529</v>
      </c>
      <c r="L79" s="48" t="s">
        <v>415</v>
      </c>
      <c r="M79" s="131">
        <f>I79/G79</f>
        <v/>
      </c>
    </row>
    <row customHeight="1" ht="17" r="80" s="130" spans="1:14">
      <c r="B80" s="46" t="s">
        <v>634</v>
      </c>
      <c r="C80" s="46" t="s">
        <v>635</v>
      </c>
      <c r="D80" s="46" t="n">
        <v>2304.45</v>
      </c>
      <c r="E80" s="46" t="n">
        <v>0.9399999999999999</v>
      </c>
      <c r="F80" s="46" t="n">
        <v>37.22</v>
      </c>
      <c r="G80" s="46" t="n">
        <v>34.09</v>
      </c>
      <c r="H80" s="46" t="n">
        <v>0.16</v>
      </c>
      <c r="I80" s="46" t="n">
        <v>1.76</v>
      </c>
      <c r="J80" s="46" t="n">
        <v>0.09</v>
      </c>
      <c r="K80" s="47" t="n">
        <v>36529</v>
      </c>
      <c r="L80" s="48" t="s">
        <v>415</v>
      </c>
      <c r="M80" s="131">
        <f>I80/G80</f>
        <v/>
      </c>
    </row>
    <row customHeight="1" ht="17" r="81" s="130" spans="1:14">
      <c r="B81" s="46" t="s">
        <v>636</v>
      </c>
      <c r="C81" s="46" t="s">
        <v>637</v>
      </c>
      <c r="D81" s="46" t="n">
        <v>3536.02</v>
      </c>
      <c r="E81" s="46" t="n">
        <v>0.32</v>
      </c>
      <c r="F81" s="46" t="n">
        <v>24.26</v>
      </c>
      <c r="G81" s="46" t="n">
        <v>19.22</v>
      </c>
      <c r="H81" s="46" t="n">
        <v>0.06</v>
      </c>
      <c r="I81" s="46" t="n">
        <v>1.67</v>
      </c>
      <c r="J81" s="46" t="n">
        <v>0.13</v>
      </c>
      <c r="K81" s="47" t="n">
        <v>36529</v>
      </c>
      <c r="L81" s="48" t="s">
        <v>415</v>
      </c>
      <c r="M81" s="131">
        <f>I81/G81</f>
        <v/>
      </c>
    </row>
    <row customHeight="1" ht="17" r="82" s="130" spans="1:14">
      <c r="B82" s="46" t="s">
        <v>638</v>
      </c>
      <c r="C82" s="46" t="s">
        <v>639</v>
      </c>
      <c r="D82" s="46" t="n">
        <v>3332.31</v>
      </c>
      <c r="E82" s="46" t="n">
        <v>0.78</v>
      </c>
      <c r="F82" s="46" t="n">
        <v>19.25</v>
      </c>
      <c r="G82" s="46" t="n">
        <v>21.54</v>
      </c>
      <c r="H82" s="46" t="n">
        <v>0.13</v>
      </c>
      <c r="I82" s="46" t="n">
        <v>1.97</v>
      </c>
      <c r="J82" s="46" t="n">
        <v>0.17</v>
      </c>
      <c r="K82" s="47" t="n">
        <v>36529</v>
      </c>
      <c r="L82" s="48" t="s">
        <v>415</v>
      </c>
      <c r="M82" s="131">
        <f>I82/G82</f>
        <v/>
      </c>
    </row>
    <row customHeight="1" ht="17" r="83" s="130" spans="1:14">
      <c r="B83" s="46" t="s">
        <v>640</v>
      </c>
      <c r="C83" s="46" t="s">
        <v>641</v>
      </c>
      <c r="D83" s="46" t="n">
        <v>2501.29</v>
      </c>
      <c r="E83" s="46" t="n">
        <v>-0.59</v>
      </c>
      <c r="F83" s="46" t="n">
        <v>21.19</v>
      </c>
      <c r="G83" s="46" t="n">
        <v>11.88</v>
      </c>
      <c r="H83" s="46" t="n">
        <v>0.08</v>
      </c>
      <c r="I83" s="46" t="n">
        <v>1.28</v>
      </c>
      <c r="J83" s="46" t="n">
        <v>0.02</v>
      </c>
      <c r="K83" s="47" t="n">
        <v>36529</v>
      </c>
      <c r="L83" s="48" t="s">
        <v>415</v>
      </c>
      <c r="M83" s="131">
        <f>I83/G83</f>
        <v/>
      </c>
    </row>
    <row customHeight="1" ht="17" r="84" s="130" spans="1:14">
      <c r="B84" s="46" t="s">
        <v>642</v>
      </c>
      <c r="C84" s="46" t="s">
        <v>643</v>
      </c>
      <c r="D84" s="46" t="n">
        <v>4023.08</v>
      </c>
      <c r="E84" s="46" t="n">
        <v>-0.18</v>
      </c>
      <c r="F84" s="46" t="n">
        <v>28.74</v>
      </c>
      <c r="G84" s="46" t="n">
        <v>17.35</v>
      </c>
      <c r="H84" s="46" t="n">
        <v>0.07000000000000001</v>
      </c>
      <c r="I84" s="46" t="n">
        <v>2.08</v>
      </c>
      <c r="J84" s="46" t="n">
        <v>0.1</v>
      </c>
      <c r="K84" s="47" t="n">
        <v>36529</v>
      </c>
      <c r="L84" s="48" t="s">
        <v>415</v>
      </c>
      <c r="M84" s="131">
        <f>I84/G84</f>
        <v/>
      </c>
    </row>
    <row customHeight="1" ht="17" r="85" s="130" spans="1:14">
      <c r="B85" s="46" t="s">
        <v>644</v>
      </c>
      <c r="C85" s="46" t="s">
        <v>645</v>
      </c>
      <c r="D85" s="46" t="n">
        <v>2345.98</v>
      </c>
      <c r="E85" s="46" t="n">
        <v>0.07000000000000001</v>
      </c>
      <c r="F85" s="46" t="n">
        <v>35.01</v>
      </c>
      <c r="G85" s="46" t="n">
        <v>15.04</v>
      </c>
      <c r="H85" s="46" t="n">
        <v>0.04</v>
      </c>
      <c r="I85" s="46" t="n">
        <v>1.69</v>
      </c>
      <c r="J85" s="46" t="n">
        <v>0.19</v>
      </c>
      <c r="K85" s="47" t="n">
        <v>36529</v>
      </c>
      <c r="L85" s="48" t="s">
        <v>415</v>
      </c>
      <c r="M85" s="131">
        <f>I85/G85</f>
        <v/>
      </c>
    </row>
    <row customHeight="1" ht="17" r="86" s="130" spans="1:14">
      <c r="B86" s="46" t="s">
        <v>646</v>
      </c>
      <c r="C86" s="46" t="s">
        <v>647</v>
      </c>
      <c r="D86" s="46" t="n">
        <v>3152.12</v>
      </c>
      <c r="E86" s="46" t="n">
        <v>-0.33</v>
      </c>
      <c r="F86" s="46" t="n">
        <v>30.49</v>
      </c>
      <c r="G86" s="46" t="n">
        <v>20.26</v>
      </c>
      <c r="H86" s="46" t="n">
        <v>0.02</v>
      </c>
      <c r="I86" s="46" t="n">
        <v>2.17</v>
      </c>
      <c r="J86" s="46" t="n">
        <v>0.3</v>
      </c>
      <c r="K86" s="47" t="n">
        <v>36529</v>
      </c>
      <c r="L86" s="48" t="s">
        <v>415</v>
      </c>
      <c r="M86" s="131">
        <f>I86/G86</f>
        <v/>
      </c>
    </row>
    <row customHeight="1" ht="17" r="87" s="130" spans="1:14">
      <c r="B87" s="46" t="s">
        <v>648</v>
      </c>
      <c r="C87" s="46" t="s">
        <v>649</v>
      </c>
      <c r="D87" s="46" t="n">
        <v>1238.15</v>
      </c>
      <c r="E87" s="46" t="n">
        <v>0.29</v>
      </c>
      <c r="F87" s="46" t="n">
        <v>29.2</v>
      </c>
      <c r="G87" s="46" t="n">
        <v>32.18</v>
      </c>
      <c r="H87" s="46" t="n">
        <v>0.44</v>
      </c>
      <c r="I87" s="46" t="n">
        <v>1.64</v>
      </c>
      <c r="J87" s="46" t="n">
        <v>0.11</v>
      </c>
      <c r="K87" s="47" t="n">
        <v>36529</v>
      </c>
      <c r="L87" s="48" t="s">
        <v>415</v>
      </c>
      <c r="M87" s="131">
        <f>I87/G87</f>
        <v/>
      </c>
    </row>
    <row customHeight="1" ht="17" r="88" s="130" spans="1:14">
      <c r="B88" s="46" t="s">
        <v>650</v>
      </c>
      <c r="C88" s="46" t="s">
        <v>651</v>
      </c>
      <c r="D88" s="46" t="n">
        <v>8345.08</v>
      </c>
      <c r="E88" s="46" t="n">
        <v>-2.03</v>
      </c>
      <c r="F88" s="46" t="n">
        <v>33.25</v>
      </c>
      <c r="G88" s="46" t="n">
        <v>37.98</v>
      </c>
      <c r="H88" s="46" t="n">
        <v>0.26</v>
      </c>
      <c r="I88" s="46" t="n">
        <v>3.56</v>
      </c>
      <c r="J88" s="46" t="n">
        <v>0.28</v>
      </c>
      <c r="K88" s="47" t="n">
        <v>36529</v>
      </c>
      <c r="L88" s="48" t="s">
        <v>415</v>
      </c>
      <c r="M88" s="131">
        <f>I88/G88</f>
        <v/>
      </c>
    </row>
    <row customHeight="1" ht="17" r="89" s="130" spans="1:14">
      <c r="B89" s="46" t="s">
        <v>652</v>
      </c>
      <c r="C89" s="46" t="s">
        <v>653</v>
      </c>
      <c r="D89" s="46" t="n">
        <v>5841.62</v>
      </c>
      <c r="E89" s="46" t="n">
        <v>-0.97</v>
      </c>
      <c r="F89" s="46" t="n">
        <v>4.51</v>
      </c>
      <c r="G89" s="46" t="n">
        <v>33.48</v>
      </c>
      <c r="H89" s="46" t="n">
        <v>0.35</v>
      </c>
      <c r="I89" s="46" t="n">
        <v>2.61</v>
      </c>
      <c r="J89" s="46" t="n">
        <v>0.11</v>
      </c>
      <c r="K89" s="47" t="n">
        <v>39265</v>
      </c>
      <c r="L89" s="48" t="s">
        <v>415</v>
      </c>
      <c r="M89" s="131">
        <f>I89/G89</f>
        <v/>
      </c>
    </row>
    <row customHeight="1" ht="17" r="90" s="130" spans="1:14">
      <c r="B90" s="46" t="s">
        <v>654</v>
      </c>
      <c r="C90" s="46" t="s">
        <v>655</v>
      </c>
      <c r="D90" s="46" t="n">
        <v>4317.81</v>
      </c>
      <c r="E90" s="46" t="n">
        <v>-1</v>
      </c>
      <c r="F90" s="46" t="n">
        <v>38.41</v>
      </c>
      <c r="G90" s="46" t="n">
        <v>19.87</v>
      </c>
      <c r="H90" s="46" t="n">
        <v>0.03</v>
      </c>
      <c r="I90" s="46" t="n">
        <v>2.71</v>
      </c>
      <c r="J90" s="46" t="n">
        <v>0.18</v>
      </c>
      <c r="K90" s="47" t="n">
        <v>36529</v>
      </c>
      <c r="L90" s="48" t="s">
        <v>415</v>
      </c>
      <c r="M90" s="131">
        <f>I90/G90</f>
        <v/>
      </c>
    </row>
    <row customHeight="1" ht="17" r="91" s="130" spans="1:14">
      <c r="B91" s="46" t="s">
        <v>656</v>
      </c>
      <c r="C91" s="46" t="s">
        <v>657</v>
      </c>
      <c r="D91" s="46" t="n">
        <v>2777.63</v>
      </c>
      <c r="E91" s="46" t="n">
        <v>0.11</v>
      </c>
      <c r="F91" s="46" t="n">
        <v>24.13</v>
      </c>
      <c r="G91" s="46" t="n">
        <v>11.68</v>
      </c>
      <c r="H91" s="46" t="n">
        <v>0.11</v>
      </c>
      <c r="I91" s="46" t="n">
        <v>1.25</v>
      </c>
      <c r="J91" s="46" t="n">
        <v>0.07000000000000001</v>
      </c>
      <c r="K91" s="47" t="n">
        <v>36529</v>
      </c>
      <c r="L91" s="48" t="s">
        <v>415</v>
      </c>
      <c r="M91" s="131">
        <f>I91/G91</f>
        <v/>
      </c>
    </row>
    <row customHeight="1" ht="17" r="92" s="130" spans="1:14">
      <c r="B92" s="46" t="s">
        <v>658</v>
      </c>
      <c r="C92" s="46" t="s">
        <v>659</v>
      </c>
      <c r="D92" s="46" t="n">
        <v>368.74</v>
      </c>
      <c r="E92" s="46" t="n">
        <v>-0.99</v>
      </c>
      <c r="F92" s="46" t="n">
        <v>16.04</v>
      </c>
      <c r="G92" s="46" t="n">
        <v>28.64</v>
      </c>
      <c r="H92" s="46" t="n">
        <v>0.75</v>
      </c>
      <c r="I92" s="46" t="n">
        <v>1.24</v>
      </c>
      <c r="J92" s="46" t="n">
        <v>0.06</v>
      </c>
      <c r="K92" s="47" t="n">
        <v>36529</v>
      </c>
      <c r="L92" s="48" t="s">
        <v>415</v>
      </c>
      <c r="M92" s="131">
        <f>I92/G92</f>
        <v/>
      </c>
    </row>
    <row customHeight="1" ht="17" r="93" s="130" spans="1:14">
      <c r="B93" s="46" t="s">
        <v>660</v>
      </c>
      <c r="C93" s="46" t="s">
        <v>661</v>
      </c>
      <c r="D93" s="46" t="n">
        <v>4673.27</v>
      </c>
      <c r="E93" s="46" t="n">
        <v>-0.6899999999999999</v>
      </c>
      <c r="F93" s="46" t="n">
        <v>27.29</v>
      </c>
      <c r="G93" s="46" t="n">
        <v>114.95</v>
      </c>
      <c r="H93" s="46" t="n">
        <v>0.98</v>
      </c>
      <c r="I93" s="46" t="n">
        <v>1.54</v>
      </c>
      <c r="J93" s="46" t="n">
        <v>0.03</v>
      </c>
      <c r="K93" s="47" t="n">
        <v>37313</v>
      </c>
      <c r="L93" s="48" t="s">
        <v>415</v>
      </c>
      <c r="M93" s="131">
        <f>I93/G93</f>
        <v/>
      </c>
    </row>
    <row customHeight="1" ht="17" r="94" s="130" spans="1:14">
      <c r="B94" s="46" t="s">
        <v>662</v>
      </c>
      <c r="C94" s="46" t="s">
        <v>663</v>
      </c>
      <c r="D94" s="46" t="n">
        <v>3688.85</v>
      </c>
      <c r="E94" s="46" t="n">
        <v>-0.16</v>
      </c>
      <c r="F94" s="46" t="n">
        <v>30.31</v>
      </c>
      <c r="G94" s="46" t="n">
        <v>23.14</v>
      </c>
      <c r="H94" s="46" t="n">
        <v>0.24</v>
      </c>
      <c r="I94" s="46" t="n">
        <v>1.73</v>
      </c>
      <c r="J94" s="46" t="n">
        <v>0.13</v>
      </c>
      <c r="K94" s="47" t="n">
        <v>39624</v>
      </c>
      <c r="L94" s="48" t="s">
        <v>415</v>
      </c>
      <c r="M94" s="131">
        <f>I94/G94</f>
        <v/>
      </c>
    </row>
    <row customHeight="1" ht="17" r="95" s="130" spans="1:14">
      <c r="B95" s="46" t="s">
        <v>664</v>
      </c>
      <c r="C95" s="46" t="s">
        <v>665</v>
      </c>
      <c r="D95" s="46" t="n">
        <v>2949.35</v>
      </c>
      <c r="E95" s="46" t="n">
        <v>-0.23</v>
      </c>
      <c r="F95" s="46" t="n">
        <v>25.28</v>
      </c>
      <c r="G95" s="46" t="n">
        <v>7.51</v>
      </c>
      <c r="H95" s="46" t="n">
        <v>0.1</v>
      </c>
      <c r="I95" s="46" t="n">
        <v>1.28</v>
      </c>
      <c r="J95" s="46" t="n">
        <v>0.3</v>
      </c>
      <c r="K95" s="47" t="n">
        <v>36529</v>
      </c>
      <c r="L95" s="48" t="s">
        <v>415</v>
      </c>
      <c r="M95" s="131">
        <f>I95/G95</f>
        <v/>
      </c>
    </row>
    <row customHeight="1" ht="17" r="96" s="130" spans="1:14">
      <c r="B96" s="46" t="s">
        <v>666</v>
      </c>
      <c r="C96" s="46" t="s">
        <v>667</v>
      </c>
      <c r="D96" s="46" t="n">
        <v>881.45</v>
      </c>
      <c r="E96" s="46" t="n">
        <v>0.4</v>
      </c>
      <c r="F96" s="46" t="n">
        <v>29.02</v>
      </c>
      <c r="G96" s="46" t="n">
        <v>22.93</v>
      </c>
      <c r="H96" s="46" t="n">
        <v>0.05</v>
      </c>
      <c r="I96" s="46" t="n">
        <v>2.83</v>
      </c>
      <c r="J96" s="46" t="n">
        <v>0.27</v>
      </c>
      <c r="K96" s="47" t="n">
        <v>36529</v>
      </c>
      <c r="L96" s="48" t="s">
        <v>415</v>
      </c>
      <c r="M96" s="131">
        <f>I96/G96</f>
        <v/>
      </c>
    </row>
    <row customHeight="1" ht="17" r="97" s="130" spans="1:14">
      <c r="B97" s="46" t="s">
        <v>668</v>
      </c>
      <c r="C97" s="46" t="s">
        <v>669</v>
      </c>
      <c r="D97" s="46" t="s">
        <v>583</v>
      </c>
      <c r="E97" s="46" t="n">
        <v>0</v>
      </c>
      <c r="F97" s="46" t="n">
        <v>0</v>
      </c>
      <c r="G97" s="46" t="n">
        <v>57.79</v>
      </c>
      <c r="H97" s="46" t="n">
        <v>0.42</v>
      </c>
      <c r="I97" s="46" t="n">
        <v>4.27</v>
      </c>
      <c r="J97" s="46" t="n">
        <v>0.48</v>
      </c>
      <c r="K97" s="47" t="n">
        <v>43216</v>
      </c>
      <c r="L97" s="48" t="s">
        <v>415</v>
      </c>
      <c r="M97" s="131">
        <f>I97/G97</f>
        <v/>
      </c>
    </row>
    <row customHeight="1" ht="17" r="98" s="130" spans="1:14">
      <c r="B98" s="46" t="s">
        <v>670</v>
      </c>
      <c r="C98" s="46" t="s">
        <v>671</v>
      </c>
      <c r="D98" s="46" t="n">
        <v>2809.45</v>
      </c>
      <c r="E98" s="46" t="n">
        <v>0.41</v>
      </c>
      <c r="F98" s="46" t="n">
        <v>30.66</v>
      </c>
      <c r="G98" s="46" t="n">
        <v>29.92</v>
      </c>
      <c r="H98" s="46" t="n">
        <v>0.33</v>
      </c>
      <c r="I98" s="46" t="n">
        <v>2.61</v>
      </c>
      <c r="J98" s="46" t="n">
        <v>0.37</v>
      </c>
      <c r="K98" s="47" t="n">
        <v>36529</v>
      </c>
      <c r="L98" s="48" t="s">
        <v>415</v>
      </c>
      <c r="M98" s="131">
        <f>I98/G98</f>
        <v/>
      </c>
    </row>
    <row customHeight="1" ht="17" r="99" s="130" spans="1:14">
      <c r="B99" s="46" t="s">
        <v>672</v>
      </c>
      <c r="C99" s="46" t="s">
        <v>673</v>
      </c>
      <c r="D99" s="46" t="n">
        <v>2159.2</v>
      </c>
      <c r="E99" s="46" t="n">
        <v>-0.4</v>
      </c>
      <c r="F99" s="46" t="n">
        <v>26.07</v>
      </c>
      <c r="G99" s="46" t="n">
        <v>29.41</v>
      </c>
      <c r="H99" s="46" t="n">
        <v>0.11</v>
      </c>
      <c r="I99" s="46" t="n">
        <v>2.12</v>
      </c>
      <c r="J99" s="46" t="n">
        <v>0.14</v>
      </c>
      <c r="K99" s="47" t="n">
        <v>36529</v>
      </c>
      <c r="L99" s="48" t="s">
        <v>415</v>
      </c>
      <c r="M99" s="131">
        <f>I99/G99</f>
        <v/>
      </c>
    </row>
    <row customHeight="1" ht="17" r="100" s="130" spans="1:14">
      <c r="B100" s="46" t="s">
        <v>674</v>
      </c>
      <c r="C100" s="46" t="s">
        <v>675</v>
      </c>
      <c r="D100" s="46" t="n">
        <v>2220.86</v>
      </c>
      <c r="E100" s="46" t="n">
        <v>0.16</v>
      </c>
      <c r="F100" s="46" t="n">
        <v>24.5</v>
      </c>
      <c r="G100" s="46" t="n">
        <v>10.34</v>
      </c>
      <c r="H100" s="46" t="n">
        <v>0.03</v>
      </c>
      <c r="I100" s="46" t="n">
        <v>1.33</v>
      </c>
      <c r="J100" s="46" t="n">
        <v>0.13</v>
      </c>
      <c r="K100" s="47" t="n">
        <v>36529</v>
      </c>
      <c r="L100" s="48" t="s">
        <v>415</v>
      </c>
      <c r="M100" s="131">
        <f>I100/G100</f>
        <v/>
      </c>
    </row>
    <row customHeight="1" ht="17" r="101" s="130" spans="1:14">
      <c r="B101" s="46" t="s">
        <v>676</v>
      </c>
      <c r="C101" s="46" t="s">
        <v>677</v>
      </c>
      <c r="D101" s="46" t="n">
        <v>1553.77</v>
      </c>
      <c r="E101" s="46" t="n">
        <v>1.17</v>
      </c>
      <c r="F101" s="46" t="n">
        <v>34.35</v>
      </c>
      <c r="G101" s="46" t="n">
        <v>14.02</v>
      </c>
      <c r="H101" s="46" t="n">
        <v>0.34</v>
      </c>
      <c r="I101" s="46" t="n">
        <v>2.4</v>
      </c>
      <c r="J101" s="46" t="n">
        <v>0.48</v>
      </c>
      <c r="K101" s="47" t="n">
        <v>39099</v>
      </c>
      <c r="L101" s="48" t="s">
        <v>415</v>
      </c>
      <c r="M101" s="131">
        <f>I101/G101</f>
        <v/>
      </c>
    </row>
    <row customHeight="1" ht="17" r="102" s="130" spans="1:14">
      <c r="B102" s="46" t="s">
        <v>678</v>
      </c>
      <c r="C102" s="46" t="s">
        <v>679</v>
      </c>
      <c r="D102" s="46" t="n">
        <v>6571.91</v>
      </c>
      <c r="E102" s="46" t="n">
        <v>1.49</v>
      </c>
      <c r="F102" s="46" t="n">
        <v>49.41</v>
      </c>
      <c r="G102" s="46" t="n">
        <v>37.16</v>
      </c>
      <c r="H102" s="46" t="n">
        <v>0.57</v>
      </c>
      <c r="I102" s="46" t="n">
        <v>1.87</v>
      </c>
      <c r="J102" s="46" t="n">
        <v>0.21</v>
      </c>
      <c r="K102" s="47" t="n">
        <v>36529</v>
      </c>
      <c r="L102" s="48" t="s">
        <v>415</v>
      </c>
      <c r="M102" s="131">
        <f>I102/G102</f>
        <v/>
      </c>
    </row>
    <row customHeight="1" ht="17" r="103" s="130" spans="1:14">
      <c r="B103" s="46" t="s">
        <v>680</v>
      </c>
      <c r="C103" s="46" t="s">
        <v>681</v>
      </c>
      <c r="D103" s="46" t="n">
        <v>3656.35</v>
      </c>
      <c r="E103" s="46" t="n">
        <v>0.18</v>
      </c>
      <c r="F103" s="46" t="n">
        <v>17.59</v>
      </c>
      <c r="G103" s="46" t="n">
        <v>7.15</v>
      </c>
      <c r="H103" s="46" t="n">
        <v>0.32</v>
      </c>
      <c r="I103" s="46" t="n">
        <v>0.89</v>
      </c>
      <c r="J103" s="46" t="n">
        <v>0.06</v>
      </c>
      <c r="K103" s="47" t="n">
        <v>36529</v>
      </c>
      <c r="L103" s="48" t="s">
        <v>415</v>
      </c>
      <c r="M103" s="131">
        <f>I103/G103</f>
        <v/>
      </c>
    </row>
    <row customHeight="1" ht="17" r="104" s="130" spans="1:14">
      <c r="B104" s="46" t="s">
        <v>682</v>
      </c>
      <c r="C104" s="46" t="s">
        <v>683</v>
      </c>
      <c r="D104" s="46" t="n">
        <v>2093.92</v>
      </c>
      <c r="E104" s="46" t="n">
        <v>2.88</v>
      </c>
      <c r="F104" s="46" t="n">
        <v>44.14</v>
      </c>
      <c r="G104" s="46" t="n">
        <v>25.83</v>
      </c>
      <c r="H104" s="46" t="n">
        <v>0.13</v>
      </c>
      <c r="I104" s="46" t="n">
        <v>2.4</v>
      </c>
      <c r="J104" s="46" t="n">
        <v>0.13</v>
      </c>
      <c r="K104" s="47" t="n">
        <v>36529</v>
      </c>
      <c r="L104" s="48" t="s">
        <v>415</v>
      </c>
      <c r="M104" s="131">
        <f>I104/G104</f>
        <v/>
      </c>
    </row>
    <row customHeight="1" ht="17" r="105" s="130" spans="1:14">
      <c r="B105" s="46" t="s">
        <v>684</v>
      </c>
      <c r="C105" s="46" t="s">
        <v>685</v>
      </c>
      <c r="D105" s="46" t="n">
        <v>3232.14</v>
      </c>
      <c r="E105" s="46" t="n">
        <v>-0.95</v>
      </c>
      <c r="F105" s="46" t="n">
        <v>38.61</v>
      </c>
      <c r="G105" s="46" t="n">
        <v>40.81</v>
      </c>
      <c r="H105" s="46" t="n">
        <v>0.05</v>
      </c>
      <c r="I105" s="46" t="n">
        <v>3.35</v>
      </c>
      <c r="J105" s="46" t="n">
        <v>0.25</v>
      </c>
      <c r="K105" s="47" t="n">
        <v>36529</v>
      </c>
      <c r="L105" s="48" t="s">
        <v>415</v>
      </c>
      <c r="M105" s="131">
        <f>I105/G105</f>
        <v/>
      </c>
    </row>
  </sheetData>
  <autoFilter ref="J1:J105"/>
  <conditionalFormatting sqref="H106:H1048576">
    <cfRule priority="3" type="dataBar">
      <dataBar>
        <cfvo type="min"/>
        <cfvo type="max"/>
        <color rgb="FF638EC6"/>
      </dataBar>
    </cfRule>
  </conditionalFormatting>
  <conditionalFormatting sqref="J106:J1048576">
    <cfRule priority="2" type="dataBar">
      <dataBar>
        <cfvo type="min"/>
        <cfvo type="max"/>
        <color rgb="FF638EC6"/>
      </dataBar>
    </cfRule>
  </conditionalFormatting>
  <conditionalFormatting sqref="M2:M105">
    <cfRule priority="1" type="dataBar">
      <dataBar>
        <cfvo type="min"/>
        <cfvo type="max"/>
        <color rgb="FF638EC6"/>
      </dataBar>
    </cfRule>
  </conditionalFormatting>
  <hyperlinks>
    <hyperlink display="http://discuss.jiucaishuo.com/?/invest/showData/search_gu-si801761" ref="L2" r:id="rId1"/>
    <hyperlink display="http://discuss.jiucaishuo.com/?/invest/showData/search_gu-si801752" ref="L3" r:id="rId2"/>
    <hyperlink display="http://discuss.jiucaishuo.com/?/invest/showData/search_gu-si801751" ref="L4" r:id="rId3"/>
    <hyperlink display="http://discuss.jiucaishuo.com/?/invest/showData/search_gu-si801085" ref="L5" r:id="rId4"/>
    <hyperlink display="http://discuss.jiucaishuo.com/?/invest/showData/search_gu-si801084" ref="L6" r:id="rId5"/>
    <hyperlink display="http://discuss.jiucaishuo.com/?/invest/showData/search_gu-si801083" ref="L7" r:id="rId6"/>
    <hyperlink display="http://discuss.jiucaishuo.com/?/invest/showData/search_gu-si801082" ref="L8" r:id="rId7"/>
    <hyperlink display="http://discuss.jiucaishuo.com/?/invest/showData/search_gu-si801081" ref="L9" r:id="rId8"/>
    <hyperlink display="http://discuss.jiucaishuo.com/?/invest/showData/search_gu-si801222" ref="L10" r:id="rId9"/>
    <hyperlink display="http://discuss.jiucaishuo.com/?/invest/showData/search_gu-si801101" ref="L11" r:id="rId10"/>
    <hyperlink display="http://discuss.jiucaishuo.com/?/invest/showData/search_gu-si801223" ref="L12" r:id="rId11"/>
    <hyperlink display="http://discuss.jiucaishuo.com/?/invest/showData/search_gu-si801102" ref="L13" r:id="rId12"/>
    <hyperlink display="http://discuss.jiucaishuo.com/?/invest/showData/search_gu-si801881" ref="L14" r:id="rId13"/>
    <hyperlink display="http://discuss.jiucaishuo.com/?/invest/showData/search_gu-si801172" ref="L15" r:id="rId14"/>
    <hyperlink display="http://discuss.jiucaishuo.com/?/invest/showData/search_gu-si801174" ref="L16" r:id="rId15"/>
    <hyperlink display="http://discuss.jiucaishuo.com/?/invest/showData/search_gu-si801171" ref="L17" r:id="rId16"/>
    <hyperlink display="http://discuss.jiucaishuo.com/?/invest/showData/search_gu-si801178" ref="L18" r:id="rId17"/>
    <hyperlink display="http://discuss.jiucaishuo.com/?/invest/showData/search_gu-si801173" ref="L19" r:id="rId18"/>
    <hyperlink display="http://discuss.jiucaishuo.com/?/invest/showData/search_gu-si801176" ref="L20" r:id="rId19"/>
    <hyperlink display="http://discuss.jiucaishuo.com/?/invest/showData/search_gu-si801076" ref="L21" r:id="rId20"/>
    <hyperlink display="http://discuss.jiucaishuo.com/?/invest/showData/search_gu-si801177" ref="L22" r:id="rId21"/>
    <hyperlink display="http://discuss.jiucaishuo.com/?/invest/showData/search_gu-si801175" ref="L23" r:id="rId22"/>
    <hyperlink display="http://discuss.jiucaishuo.com/?/invest/showData/search_gu-si801743" ref="L24" r:id="rId23"/>
    <hyperlink display="http://discuss.jiucaishuo.com/?/invest/showData/search_gu-si801742" ref="L25" r:id="rId24"/>
    <hyperlink display="http://discuss.jiucaishuo.com/?/invest/showData/search_gu-si801741" ref="L26" r:id="rId25"/>
    <hyperlink display="http://discuss.jiucaishuo.com/?/invest/showData/search_gu-si801744" ref="L27" r:id="rId26"/>
    <hyperlink display="http://discuss.jiucaishuo.com/?/invest/showData/search_gu-si801155" ref="L28" r:id="rId27"/>
    <hyperlink display="http://discuss.jiucaishuo.com/?/invest/showData/search_gu-si801156" ref="L29" r:id="rId28"/>
    <hyperlink display="http://discuss.jiucaishuo.com/?/invest/showData/search_gu-si801153" ref="L30" r:id="rId29"/>
    <hyperlink display="http://discuss.jiucaishuo.com/?/invest/showData/search_gu-si801154" ref="L31" r:id="rId30"/>
    <hyperlink display="http://discuss.jiucaishuo.com/?/invest/showData/search_gu-si801152" ref="L32" r:id="rId31"/>
    <hyperlink display="http://discuss.jiucaishuo.com/?/invest/showData/search_gu-si801151" ref="L33" r:id="rId32"/>
    <hyperlink display="http://discuss.jiucaishuo.com/?/invest/showData/search_gu-si801182" ref="L34" r:id="rId33"/>
    <hyperlink display="http://discuss.jiucaishuo.com/?/invest/showData/search_gu-si801181" ref="L35" r:id="rId34"/>
    <hyperlink display="http://discuss.jiucaishuo.com/?/invest/showData/search_gu-si801013" ref="L36" r:id="rId35"/>
    <hyperlink display="http://discuss.jiucaishuo.com/?/invest/showData/search_gu-si801012" ref="L37" r:id="rId36"/>
    <hyperlink display="http://discuss.jiucaishuo.com/?/invest/showData/search_gu-si801018" ref="L38" r:id="rId37"/>
    <hyperlink display="http://discuss.jiucaishuo.com/?/invest/showData/search_gu-si801011" ref="L39" r:id="rId38"/>
    <hyperlink display="http://discuss.jiucaishuo.com/?/invest/showData/search_gu-si801015" ref="L40" r:id="rId39"/>
    <hyperlink display="http://discuss.jiucaishuo.com/?/invest/showData/search_gu-si801017" ref="L41" r:id="rId40"/>
    <hyperlink display="http://discuss.jiucaishuo.com/?/invest/showData/search_gu-si801016" ref="L42" r:id="rId41"/>
    <hyperlink display="http://discuss.jiucaishuo.com/?/invest/showData/search_gu-si801014" ref="L43" r:id="rId42"/>
    <hyperlink display="http://discuss.jiucaishuo.com/?/invest/showData/search_gu-si801205" ref="L44" r:id="rId43"/>
    <hyperlink display="http://discuss.jiucaishuo.com/?/invest/showData/search_gu-si801202" ref="L45" r:id="rId44"/>
    <hyperlink display="http://discuss.jiucaishuo.com/?/invest/showData/search_gu-si801112" ref="L46" r:id="rId45"/>
    <hyperlink display="http://discuss.jiucaishuo.com/?/invest/showData/search_gu-si801111" ref="L47" r:id="rId46"/>
    <hyperlink display="http://discuss.jiucaishuo.com/?/invest/showData/search_gu-si801094" ref="L48" r:id="rId47"/>
    <hyperlink display="http://discuss.jiucaishuo.com/?/invest/showData/search_gu-si801093" ref="L49" r:id="rId48"/>
    <hyperlink display="http://discuss.jiucaishuo.com/?/invest/showData/search_gu-si801092" ref="L50" r:id="rId49"/>
    <hyperlink display="http://discuss.jiucaishuo.com/?/invest/showData/search_gu-si801132" ref="L51" r:id="rId50"/>
    <hyperlink display="http://discuss.jiucaishuo.com/?/invest/showData/search_gu-si801131" ref="L52" r:id="rId51"/>
    <hyperlink display="http://discuss.jiucaishuo.com/?/invest/showData/search_gu-si801123" ref="L53" r:id="rId52"/>
    <hyperlink display="http://discuss.jiucaishuo.com/?/invest/showData/search_gu-si801204" ref="L54" r:id="rId53"/>
    <hyperlink display="http://discuss.jiucaishuo.com/?/invest/showData/search_gu-si801203" ref="L55" r:id="rId54"/>
    <hyperlink display="http://discuss.jiucaishuo.com/?/invest/showData/search_gu-si801124" ref="L56" r:id="rId55"/>
    <hyperlink display="http://discuss.jiucaishuo.com/?/invest/showData/search_gu-si801725" ref="L57" r:id="rId56"/>
    <hyperlink display="http://discuss.jiucaishuo.com/?/invest/showData/search_gu-si801724" ref="L58" r:id="rId57"/>
    <hyperlink display="http://discuss.jiucaishuo.com/?/invest/showData/search_gu-si801723" ref="L59" r:id="rId58"/>
    <hyperlink display="http://discuss.jiucaishuo.com/?/invest/showData/search_gu-si801711" ref="L60" r:id="rId59"/>
    <hyperlink display="http://discuss.jiucaishuo.com/?/invest/showData/search_gu-si801712" ref="L61" r:id="rId60"/>
    <hyperlink display="http://discuss.jiucaishuo.com/?/invest/showData/search_gu-si801713" ref="L62" r:id="rId61"/>
    <hyperlink display="http://discuss.jiucaishuo.com/?/invest/showData/search_gu-si801721" ref="L63" r:id="rId62"/>
    <hyperlink display="http://discuss.jiucaishuo.com/?/invest/showData/search_gu-si801074" ref="L64" r:id="rId63"/>
    <hyperlink display="http://discuss.jiucaishuo.com/?/invest/showData/search_gu-si801072" ref="L65" r:id="rId64"/>
    <hyperlink display="http://discuss.jiucaishuo.com/?/invest/showData/search_gu-si801722" ref="L66" r:id="rId65"/>
    <hyperlink display="http://discuss.jiucaishuo.com/?/invest/showData/search_gu-si801215" ref="L67" r:id="rId66"/>
    <hyperlink display="http://discuss.jiucaishuo.com/?/invest/showData/search_gu-si801214" ref="L68" r:id="rId67"/>
    <hyperlink display="http://discuss.jiucaishuo.com/?/invest/showData/search_gu-si801212" ref="L69" r:id="rId68"/>
    <hyperlink display="http://discuss.jiucaishuo.com/?/invest/showData/search_gu-si801213" ref="L70" r:id="rId69"/>
    <hyperlink display="http://discuss.jiucaishuo.com/?/invest/showData/search_gu-si801211" ref="L71" r:id="rId70"/>
    <hyperlink display="http://discuss.jiucaishuo.com/?/invest/showData/search_gu-si801162" ref="L72" r:id="rId71"/>
    <hyperlink display="http://discuss.jiucaishuo.com/?/invest/showData/search_gu-si801164" ref="L73" r:id="rId72"/>
    <hyperlink display="http://discuss.jiucaishuo.com/?/invest/showData/search_gu-si801163" ref="L74" r:id="rId73"/>
    <hyperlink display="http://discuss.jiucaishuo.com/?/invest/showData/search_gu-si801161" ref="L75" r:id="rId74"/>
    <hyperlink display="http://discuss.jiucaishuo.com/?/invest/showData/search_gu-si801734" ref="L76" r:id="rId75"/>
    <hyperlink display="http://discuss.jiucaishuo.com/?/invest/showData/search_gu-si801733" ref="L77" r:id="rId76"/>
    <hyperlink display="http://discuss.jiucaishuo.com/?/invest/showData/search_gu-si801731" ref="L78" r:id="rId77"/>
    <hyperlink display="http://discuss.jiucaishuo.com/?/invest/showData/search_gu-si801732" ref="L79" r:id="rId78"/>
    <hyperlink display="http://discuss.jiucaishuo.com/?/invest/showData/search_gu-si801231" ref="L80" r:id="rId79"/>
    <hyperlink display="http://discuss.jiucaishuo.com/?/invest/showData/search_gu-si801037" ref="L81" r:id="rId80"/>
    <hyperlink display="http://discuss.jiucaishuo.com/?/invest/showData/search_gu-si801036" ref="L82" r:id="rId81"/>
    <hyperlink display="http://discuss.jiucaishuo.com/?/invest/showData/search_gu-si801035" ref="L83" r:id="rId82"/>
    <hyperlink display="http://discuss.jiucaishuo.com/?/invest/showData/search_gu-si801034" ref="L84" r:id="rId83"/>
    <hyperlink display="http://discuss.jiucaishuo.com/?/invest/showData/search_gu-si801033" ref="L85" r:id="rId84"/>
    <hyperlink display="http://discuss.jiucaishuo.com/?/invest/showData/search_gu-si801032" ref="L86" r:id="rId85"/>
    <hyperlink display="http://discuss.jiucaishuo.com/?/invest/showData/search_gu-si801055" ref="L87" r:id="rId86"/>
    <hyperlink display="http://discuss.jiucaishuo.com/?/invest/showData/search_gu-si801054" ref="L88" r:id="rId87"/>
    <hyperlink display="http://discuss.jiucaishuo.com/?/invest/showData/search_gu-si801053" ref="L89" r:id="rId88"/>
    <hyperlink display="http://discuss.jiucaishuo.com/?/invest/showData/search_gu-si801051" ref="L90" r:id="rId89"/>
    <hyperlink display="http://discuss.jiucaishuo.com/?/invest/showData/search_gu-si801021" ref="L91" r:id="rId90"/>
    <hyperlink display="http://discuss.jiucaishuo.com/?/invest/showData/search_gu-si801023" ref="L92" r:id="rId91"/>
    <hyperlink display="http://discuss.jiucaishuo.com/?/invest/showData/search_gu-si801024" ref="L93" r:id="rId92"/>
    <hyperlink display="http://discuss.jiucaishuo.com/?/invest/showData/search_gu-si801075" ref="L94" r:id="rId93"/>
    <hyperlink display="http://discuss.jiucaishuo.com/?/invest/showData/search_gu-si801041" ref="L95" r:id="rId94"/>
    <hyperlink display="http://discuss.jiucaishuo.com/?/invest/showData/search_gu-si801022" ref="L96" r:id="rId95"/>
    <hyperlink display="http://discuss.jiucaishuo.com/?/invest/showData/search_gu-si801144" ref="L97" r:id="rId96"/>
    <hyperlink display="http://discuss.jiucaishuo.com/?/invest/showData/search_gu-si801141" ref="L98" r:id="rId97"/>
    <hyperlink display="http://discuss.jiucaishuo.com/?/invest/showData/search_gu-si801142" ref="L99" r:id="rId98"/>
    <hyperlink display="http://discuss.jiucaishuo.com/?/invest/showData/search_gu-si801143" ref="L100" r:id="rId99"/>
    <hyperlink display="http://discuss.jiucaishuo.com/?/invest/showData/search_gu-si801194" ref="L101" r:id="rId100"/>
    <hyperlink display="http://discuss.jiucaishuo.com/?/invest/showData/search_gu-si801193" ref="L102" r:id="rId101"/>
    <hyperlink display="http://discuss.jiucaishuo.com/?/invest/showData/search_gu-si801192" ref="L103" r:id="rId102"/>
    <hyperlink display="http://discuss.jiucaishuo.com/?/invest/showData/search_gu-si801191" ref="L104" r:id="rId103"/>
    <hyperlink display="http://discuss.jiucaishuo.com/?/invest/showData/search_gu-si801073" ref="L105" r:id="rId104"/>
  </hyperlinks>
  <pageMargins bottom="0.75" footer="0.3" header="0.3" left="0.7" right="0.7" top="0.75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R29"/>
  <sheetViews>
    <sheetView workbookViewId="0" zoomScale="108">
      <selection activeCell="H1" sqref="H1:R29"/>
    </sheetView>
  </sheetViews>
  <sheetFormatPr baseColWidth="10" defaultRowHeight="16" outlineLevelCol="0"/>
  <cols>
    <col bestFit="1" customWidth="1" max="1" min="1" style="130" width="18.33203125"/>
  </cols>
  <sheetData>
    <row customHeight="1" ht="17" r="1" s="130" spans="1:18">
      <c r="B1" t="s">
        <v>686</v>
      </c>
      <c r="C1" t="s">
        <v>687</v>
      </c>
      <c r="E1" t="s">
        <v>688</v>
      </c>
      <c r="H1" s="45" t="s">
        <v>405</v>
      </c>
      <c r="I1" s="45" t="s">
        <v>406</v>
      </c>
      <c r="J1" s="45" t="s">
        <v>407</v>
      </c>
      <c r="K1" s="45" t="s">
        <v>408</v>
      </c>
      <c r="L1" s="45" t="s">
        <v>409</v>
      </c>
      <c r="M1" s="45" t="s">
        <v>410</v>
      </c>
      <c r="N1" s="45" t="s">
        <v>411</v>
      </c>
      <c r="O1" s="45" t="s">
        <v>412</v>
      </c>
      <c r="P1" s="45" t="s">
        <v>413</v>
      </c>
      <c r="Q1" s="45" t="s">
        <v>414</v>
      </c>
      <c r="R1" s="45" t="s">
        <v>415</v>
      </c>
    </row>
    <row customHeight="1" ht="17" r="2" s="130" spans="1:18">
      <c r="A2" s="71" t="n">
        <v>38749</v>
      </c>
      <c r="B2" t="n">
        <v>61</v>
      </c>
      <c r="C2" t="n">
        <v>555</v>
      </c>
      <c r="D2" s="1">
        <f>C2/B2</f>
        <v/>
      </c>
      <c r="E2" t="n">
        <v>90</v>
      </c>
      <c r="H2" s="46" t="s">
        <v>469</v>
      </c>
      <c r="I2" s="46" t="s">
        <v>470</v>
      </c>
      <c r="J2" s="46" t="n">
        <v>3263.47</v>
      </c>
      <c r="K2" s="46" t="n">
        <v>1.96</v>
      </c>
      <c r="L2" s="46" t="n">
        <v>43.49</v>
      </c>
      <c r="M2" s="46" t="n">
        <v>36.95</v>
      </c>
      <c r="N2" s="46" t="n">
        <v>0.28</v>
      </c>
      <c r="O2" s="46" t="n">
        <v>3.53</v>
      </c>
      <c r="P2" s="46" t="n">
        <v>0.52</v>
      </c>
      <c r="Q2" s="47" t="n">
        <v>36529</v>
      </c>
      <c r="R2" s="48" t="s">
        <v>415</v>
      </c>
    </row>
    <row customHeight="1" ht="17" r="3" s="130" spans="1:18">
      <c r="A3" s="71" t="n">
        <v>39083</v>
      </c>
      <c r="B3" t="n">
        <v>56</v>
      </c>
      <c r="C3" t="n">
        <v>647</v>
      </c>
      <c r="D3" s="1">
        <f>C3/B3</f>
        <v/>
      </c>
      <c r="E3" t="n">
        <v>85</v>
      </c>
      <c r="H3" s="46" t="s">
        <v>427</v>
      </c>
      <c r="I3" s="46" t="s">
        <v>428</v>
      </c>
      <c r="J3" s="46" t="n">
        <v>2742.92</v>
      </c>
      <c r="K3" s="46" t="n">
        <v>0.32</v>
      </c>
      <c r="L3" s="46" t="n">
        <v>18.95</v>
      </c>
      <c r="M3" s="46" t="n">
        <v>15.27</v>
      </c>
      <c r="N3" s="46" t="n">
        <v>0.18</v>
      </c>
      <c r="O3" s="46" t="n">
        <v>1.34</v>
      </c>
      <c r="P3" s="46" t="n">
        <v>0.06</v>
      </c>
      <c r="Q3" s="47" t="n">
        <v>36529</v>
      </c>
      <c r="R3" s="48" t="s">
        <v>415</v>
      </c>
    </row>
    <row customHeight="1" ht="17" r="4" s="130" spans="1:18">
      <c r="A4" s="71" t="n">
        <v>39600</v>
      </c>
      <c r="B4" t="n">
        <v>140</v>
      </c>
      <c r="C4" t="n">
        <v>927</v>
      </c>
      <c r="D4" s="1">
        <f>C4/B4</f>
        <v/>
      </c>
      <c r="E4" t="n">
        <v>72</v>
      </c>
      <c r="H4" s="46" t="s">
        <v>431</v>
      </c>
      <c r="I4" s="46" t="s">
        <v>432</v>
      </c>
      <c r="J4" s="46" t="n">
        <v>2667.89</v>
      </c>
      <c r="K4" s="46" t="n">
        <v>0.62</v>
      </c>
      <c r="L4" s="46" t="n">
        <v>22.58</v>
      </c>
      <c r="M4" s="46" t="n">
        <v>16.74</v>
      </c>
      <c r="N4" s="46" t="n">
        <v>0.07000000000000001</v>
      </c>
      <c r="O4" s="46" t="n">
        <v>1.88</v>
      </c>
      <c r="P4" s="46" t="n">
        <v>0.07000000000000001</v>
      </c>
      <c r="Q4" s="47" t="n">
        <v>36529</v>
      </c>
      <c r="R4" s="48" t="s">
        <v>415</v>
      </c>
    </row>
    <row customHeight="1" ht="17" r="5" s="130" spans="1:18">
      <c r="A5" s="71" t="n">
        <v>39783</v>
      </c>
      <c r="B5" t="n">
        <v>40</v>
      </c>
      <c r="C5" t="n">
        <v>874</v>
      </c>
      <c r="D5" s="1">
        <f>C5/B5</f>
        <v/>
      </c>
      <c r="E5" t="n">
        <v>81</v>
      </c>
      <c r="H5" s="46" t="s">
        <v>463</v>
      </c>
      <c r="I5" s="46" t="s">
        <v>464</v>
      </c>
      <c r="J5" s="46" t="n">
        <v>2638.22</v>
      </c>
      <c r="K5" s="46" t="n">
        <v>0.2</v>
      </c>
      <c r="L5" s="46" t="n">
        <v>21.11</v>
      </c>
      <c r="M5" s="46" t="n">
        <v>7.51</v>
      </c>
      <c r="N5" s="46" t="n">
        <v>0.09</v>
      </c>
      <c r="O5" s="46" t="n">
        <v>1.28</v>
      </c>
      <c r="P5" s="46" t="n">
        <v>0.29</v>
      </c>
      <c r="Q5" s="47" t="n">
        <v>36529</v>
      </c>
      <c r="R5" s="48" t="s">
        <v>415</v>
      </c>
    </row>
    <row customHeight="1" ht="17" r="6" s="130" spans="1:18">
      <c r="A6" s="71" t="n">
        <v>40756</v>
      </c>
      <c r="B6" t="n">
        <v>114</v>
      </c>
      <c r="C6" t="n">
        <v>1835</v>
      </c>
      <c r="D6" s="1">
        <f>C6/B6</f>
        <v/>
      </c>
      <c r="E6" t="n">
        <v>74</v>
      </c>
      <c r="H6" s="46" t="s">
        <v>441</v>
      </c>
      <c r="I6" s="46" t="s">
        <v>442</v>
      </c>
      <c r="J6" s="46" t="n">
        <v>3030.54</v>
      </c>
      <c r="K6" s="46" t="n">
        <v>0.08</v>
      </c>
      <c r="L6" s="46" t="n">
        <v>23.97</v>
      </c>
      <c r="M6" s="46" t="n">
        <v>30.17</v>
      </c>
      <c r="N6" s="46" t="n">
        <v>0.23</v>
      </c>
      <c r="O6" s="46" t="n">
        <v>2.22</v>
      </c>
      <c r="P6" s="46" t="n">
        <v>0.13</v>
      </c>
      <c r="Q6" s="47" t="n">
        <v>36529</v>
      </c>
      <c r="R6" s="48" t="s">
        <v>415</v>
      </c>
    </row>
    <row customHeight="1" ht="17" r="7" s="130" spans="1:18">
      <c r="A7" s="71" t="n">
        <v>41791</v>
      </c>
      <c r="B7" t="n">
        <v>113</v>
      </c>
      <c r="C7" t="n">
        <v>1315</v>
      </c>
      <c r="D7" s="1">
        <f>C7/B7</f>
        <v/>
      </c>
      <c r="E7" t="n">
        <v>79</v>
      </c>
      <c r="H7" s="46" t="s">
        <v>465</v>
      </c>
      <c r="I7" s="46" t="s">
        <v>466</v>
      </c>
      <c r="J7" s="46" t="n">
        <v>2779.05</v>
      </c>
      <c r="K7" s="46" t="n">
        <v>0.63</v>
      </c>
      <c r="L7" s="46" t="n">
        <v>38.77</v>
      </c>
      <c r="M7" s="46" t="n">
        <v>32.94</v>
      </c>
      <c r="N7" s="46" t="n">
        <v>0.14</v>
      </c>
      <c r="O7" s="46" t="n">
        <v>3.04</v>
      </c>
      <c r="P7" s="46" t="n">
        <v>0.34</v>
      </c>
      <c r="Q7" s="47" t="n">
        <v>36529</v>
      </c>
      <c r="R7" s="48" t="s">
        <v>415</v>
      </c>
    </row>
    <row customHeight="1" ht="17" r="8" s="130" spans="1:18">
      <c r="A8" s="71" t="n">
        <v>42370</v>
      </c>
      <c r="B8" t="n">
        <v>35</v>
      </c>
      <c r="C8" t="n">
        <v>1118</v>
      </c>
      <c r="D8" s="1">
        <f>C8/B8</f>
        <v/>
      </c>
      <c r="E8" t="n">
        <v>99</v>
      </c>
      <c r="H8" s="46" t="s">
        <v>471</v>
      </c>
      <c r="I8" s="46" t="s">
        <v>472</v>
      </c>
      <c r="J8" s="46" t="n">
        <v>6374.44</v>
      </c>
      <c r="K8" s="46" t="n">
        <v>0.98</v>
      </c>
      <c r="L8" s="46" t="n">
        <v>28.63</v>
      </c>
      <c r="M8" s="46" t="n">
        <v>13.97</v>
      </c>
      <c r="N8" s="46" t="n">
        <v>0.14</v>
      </c>
      <c r="O8" s="46" t="n">
        <v>2.96</v>
      </c>
      <c r="P8" s="46" t="n">
        <v>0.58</v>
      </c>
      <c r="Q8" s="47" t="n">
        <v>36529</v>
      </c>
      <c r="R8" s="48" t="s">
        <v>415</v>
      </c>
    </row>
    <row customHeight="1" ht="17" r="9" s="130" spans="1:18">
      <c r="A9" s="71" t="n">
        <v>43344</v>
      </c>
      <c r="B9" t="n">
        <v>83</v>
      </c>
      <c r="C9" t="n">
        <v>1192</v>
      </c>
      <c r="D9" s="1">
        <f>C9/B9</f>
        <v/>
      </c>
      <c r="E9" t="n">
        <v>95</v>
      </c>
      <c r="H9" s="46" t="s">
        <v>475</v>
      </c>
      <c r="I9" s="46" t="s">
        <v>476</v>
      </c>
      <c r="J9" s="46" t="n">
        <v>11317.57</v>
      </c>
      <c r="K9" s="46" t="n">
        <v>-0.57</v>
      </c>
      <c r="L9" s="46" t="n">
        <v>25.77</v>
      </c>
      <c r="M9" s="46" t="n">
        <v>28.27</v>
      </c>
      <c r="N9" s="46" t="n">
        <v>0.31</v>
      </c>
      <c r="O9" s="46" t="n">
        <v>5.21</v>
      </c>
      <c r="P9" s="46" t="n">
        <v>0.66</v>
      </c>
      <c r="Q9" s="47" t="n">
        <v>36529</v>
      </c>
      <c r="R9" s="48" t="s">
        <v>415</v>
      </c>
    </row>
    <row customHeight="1" ht="17" r="10" s="130" spans="1:18">
      <c r="H10" s="46" t="s">
        <v>445</v>
      </c>
      <c r="I10" s="46" t="s">
        <v>446</v>
      </c>
      <c r="J10" s="46" t="n">
        <v>2114.84</v>
      </c>
      <c r="K10" s="46" t="n">
        <v>0.6</v>
      </c>
      <c r="L10" s="46" t="n">
        <v>17.99</v>
      </c>
      <c r="M10" s="46" t="n">
        <v>23.31</v>
      </c>
      <c r="N10" s="46" t="n">
        <v>0.2</v>
      </c>
      <c r="O10" s="46" t="n">
        <v>1.87</v>
      </c>
      <c r="P10" s="46" t="n">
        <v>0.18</v>
      </c>
      <c r="Q10" s="47" t="n">
        <v>36529</v>
      </c>
      <c r="R10" s="48" t="s">
        <v>415</v>
      </c>
    </row>
    <row customHeight="1" ht="17" r="11" s="130" spans="1:18">
      <c r="H11" s="46" t="s">
        <v>457</v>
      </c>
      <c r="I11" s="46" t="s">
        <v>458</v>
      </c>
      <c r="J11" s="46" t="n">
        <v>2314.05</v>
      </c>
      <c r="K11" s="46" t="n">
        <v>0.47</v>
      </c>
      <c r="L11" s="46" t="n">
        <v>22.61</v>
      </c>
      <c r="M11" s="46" t="n">
        <v>19.85</v>
      </c>
      <c r="N11" s="46" t="n">
        <v>0.1</v>
      </c>
      <c r="O11" s="46" t="n">
        <v>1.95</v>
      </c>
      <c r="P11" s="46" t="n">
        <v>0.25</v>
      </c>
      <c r="Q11" s="47" t="n">
        <v>36529</v>
      </c>
      <c r="R11" s="48" t="s">
        <v>415</v>
      </c>
    </row>
    <row customHeight="1" ht="17" r="12" s="130" spans="1:18">
      <c r="H12" s="46" t="s">
        <v>449</v>
      </c>
      <c r="I12" s="46" t="s">
        <v>450</v>
      </c>
      <c r="J12" s="46" t="n">
        <v>7185.71</v>
      </c>
      <c r="K12" s="46" t="n">
        <v>0.32</v>
      </c>
      <c r="L12" s="46" t="n">
        <v>23.02</v>
      </c>
      <c r="M12" s="46" t="n">
        <v>30.45</v>
      </c>
      <c r="N12" s="46" t="n">
        <v>0.15</v>
      </c>
      <c r="O12" s="46" t="n">
        <v>3.3</v>
      </c>
      <c r="P12" s="46" t="n">
        <v>0.22</v>
      </c>
      <c r="Q12" s="47" t="n">
        <v>36529</v>
      </c>
      <c r="R12" s="48" t="s">
        <v>415</v>
      </c>
    </row>
    <row customHeight="1" ht="17" r="13" s="130" spans="1:18">
      <c r="H13" s="46" t="s">
        <v>425</v>
      </c>
      <c r="I13" s="46" t="s">
        <v>426</v>
      </c>
      <c r="J13" s="46" t="n">
        <v>2172.16</v>
      </c>
      <c r="K13" s="46" t="n">
        <v>0.35</v>
      </c>
      <c r="L13" s="46" t="n">
        <v>15.25</v>
      </c>
      <c r="M13" s="46" t="n">
        <v>23.4</v>
      </c>
      <c r="N13" s="46" t="n">
        <v>0.33</v>
      </c>
      <c r="O13" s="46" t="n">
        <v>1.69</v>
      </c>
      <c r="P13" s="46" t="n">
        <v>0.05</v>
      </c>
      <c r="Q13" s="47" t="n">
        <v>36529</v>
      </c>
      <c r="R13" s="48" t="s">
        <v>415</v>
      </c>
    </row>
    <row customHeight="1" ht="17" r="14" s="130" spans="1:18">
      <c r="H14" s="46" t="s">
        <v>447</v>
      </c>
      <c r="I14" s="46" t="s">
        <v>448</v>
      </c>
      <c r="J14" s="46" t="n">
        <v>2416.24</v>
      </c>
      <c r="K14" s="46" t="n">
        <v>0.27</v>
      </c>
      <c r="L14" s="46" t="n">
        <v>18.99</v>
      </c>
      <c r="M14" s="46" t="n">
        <v>20.52</v>
      </c>
      <c r="N14" s="46" t="n">
        <v>0.35</v>
      </c>
      <c r="O14" s="46" t="n">
        <v>1.55</v>
      </c>
      <c r="P14" s="46" t="n">
        <v>0.18</v>
      </c>
      <c r="Q14" s="47" t="n">
        <v>36529</v>
      </c>
      <c r="R14" s="48" t="s">
        <v>415</v>
      </c>
    </row>
    <row customHeight="1" ht="17" r="15" s="130" spans="1:18">
      <c r="H15" s="46" t="s">
        <v>435</v>
      </c>
      <c r="I15" s="46" t="s">
        <v>436</v>
      </c>
      <c r="J15" s="46" t="n">
        <v>4325.74</v>
      </c>
      <c r="K15" s="46" t="n">
        <v>0.75</v>
      </c>
      <c r="L15" s="46" t="n">
        <v>23.71</v>
      </c>
      <c r="M15" s="46" t="n">
        <v>11.09</v>
      </c>
      <c r="N15" s="46" t="n">
        <v>0.05</v>
      </c>
      <c r="O15" s="46" t="n">
        <v>1.55</v>
      </c>
      <c r="P15" s="46" t="n">
        <v>0.08</v>
      </c>
      <c r="Q15" s="47" t="n">
        <v>36529</v>
      </c>
      <c r="R15" s="48" t="s">
        <v>415</v>
      </c>
    </row>
    <row customHeight="1" ht="17" r="16" s="130" spans="1:18">
      <c r="H16" s="46" t="s">
        <v>423</v>
      </c>
      <c r="I16" s="46" t="s">
        <v>424</v>
      </c>
      <c r="J16" s="46" t="n">
        <v>3621.78</v>
      </c>
      <c r="K16" s="46" t="n">
        <v>0.68</v>
      </c>
      <c r="L16" s="46" t="n">
        <v>21.58</v>
      </c>
      <c r="M16" s="46" t="n">
        <v>19.1</v>
      </c>
      <c r="N16" s="46" t="n">
        <v>0.06</v>
      </c>
      <c r="O16" s="46" t="n">
        <v>1.67</v>
      </c>
      <c r="P16" s="46" t="n">
        <v>0.04</v>
      </c>
      <c r="Q16" s="47" t="n">
        <v>36529</v>
      </c>
      <c r="R16" s="48" t="s">
        <v>415</v>
      </c>
    </row>
    <row customHeight="1" ht="17" r="17" s="130" spans="1:18">
      <c r="H17" s="46" t="s">
        <v>459</v>
      </c>
      <c r="I17" s="46" t="s">
        <v>460</v>
      </c>
      <c r="J17" s="46" t="n">
        <v>5295.03</v>
      </c>
      <c r="K17" s="46" t="n">
        <v>0.5600000000000001</v>
      </c>
      <c r="L17" s="46" t="n">
        <v>9.75</v>
      </c>
      <c r="M17" s="46" t="n">
        <v>29.68</v>
      </c>
      <c r="N17" s="46" t="n">
        <v>0.06</v>
      </c>
      <c r="O17" s="46" t="n">
        <v>3.26</v>
      </c>
      <c r="P17" s="46" t="n">
        <v>0.26</v>
      </c>
      <c r="Q17" s="47" t="n">
        <v>36529</v>
      </c>
      <c r="R17" s="48" t="s">
        <v>415</v>
      </c>
    </row>
    <row customHeight="1" ht="17" r="18" s="130" spans="1:18">
      <c r="H18" s="46" t="s">
        <v>439</v>
      </c>
      <c r="I18" s="46" t="s">
        <v>440</v>
      </c>
      <c r="J18" s="46" t="n">
        <v>2177.6</v>
      </c>
      <c r="K18" s="46" t="n">
        <v>1.08</v>
      </c>
      <c r="L18" s="46" t="n">
        <v>29.51</v>
      </c>
      <c r="M18" s="46" t="n">
        <v>34.09</v>
      </c>
      <c r="N18" s="46" t="n">
        <v>0.16</v>
      </c>
      <c r="O18" s="46" t="n">
        <v>1.76</v>
      </c>
      <c r="P18" s="46" t="n">
        <v>0.09</v>
      </c>
      <c r="Q18" s="47" t="n">
        <v>36529</v>
      </c>
      <c r="R18" s="48" t="s">
        <v>415</v>
      </c>
    </row>
    <row customHeight="1" ht="17" r="19" s="130" spans="1:18">
      <c r="H19" s="46" t="s">
        <v>453</v>
      </c>
      <c r="I19" s="46" t="s">
        <v>454</v>
      </c>
      <c r="J19" s="46" t="n">
        <v>5269.08</v>
      </c>
      <c r="K19" s="46" t="n">
        <v>-0.22</v>
      </c>
      <c r="L19" s="46" t="n">
        <v>25.94</v>
      </c>
      <c r="M19" s="46" t="n">
        <v>13.27</v>
      </c>
      <c r="N19" s="46" t="n">
        <v>0.03</v>
      </c>
      <c r="O19" s="46" t="n">
        <v>1.98</v>
      </c>
      <c r="P19" s="46" t="n">
        <v>0.23</v>
      </c>
      <c r="Q19" s="47" t="n">
        <v>36529</v>
      </c>
      <c r="R19" s="48" t="s">
        <v>415</v>
      </c>
    </row>
    <row customHeight="1" ht="17" r="20" s="130" spans="1:18">
      <c r="H20" s="46" t="s">
        <v>437</v>
      </c>
      <c r="I20" s="46" t="s">
        <v>438</v>
      </c>
      <c r="J20" s="46" t="n">
        <v>2453.23</v>
      </c>
      <c r="K20" s="46" t="n">
        <v>0.48</v>
      </c>
      <c r="L20" s="46" t="n">
        <v>14.95</v>
      </c>
      <c r="M20" s="46" t="n">
        <v>12.12</v>
      </c>
      <c r="N20" s="46" t="n">
        <v>0.12</v>
      </c>
      <c r="O20" s="46" t="n">
        <v>1.32</v>
      </c>
      <c r="P20" s="46" t="n">
        <v>0.08</v>
      </c>
      <c r="Q20" s="47" t="n">
        <v>36529</v>
      </c>
      <c r="R20" s="48" t="s">
        <v>415</v>
      </c>
    </row>
    <row customHeight="1" ht="17" r="21" s="130" spans="1:18">
      <c r="H21" s="46" t="s">
        <v>433</v>
      </c>
      <c r="I21" s="46" t="s">
        <v>434</v>
      </c>
      <c r="J21" s="46" t="n">
        <v>4592.89</v>
      </c>
      <c r="K21" s="46" t="n">
        <v>0.77</v>
      </c>
      <c r="L21" s="46" t="n">
        <v>31.18</v>
      </c>
      <c r="M21" s="46" t="n">
        <v>29.51</v>
      </c>
      <c r="N21" s="46" t="n">
        <v>0.15</v>
      </c>
      <c r="O21" s="46" t="n">
        <v>2.14</v>
      </c>
      <c r="P21" s="46" t="n">
        <v>0.07000000000000001</v>
      </c>
      <c r="Q21" s="47" t="n">
        <v>36529</v>
      </c>
      <c r="R21" s="48" t="s">
        <v>415</v>
      </c>
    </row>
    <row customHeight="1" ht="17" r="22" s="130" spans="1:18">
      <c r="H22" s="46" t="s">
        <v>455</v>
      </c>
      <c r="I22" s="46" t="s">
        <v>456</v>
      </c>
      <c r="J22" s="46" t="n">
        <v>1153.48</v>
      </c>
      <c r="K22" s="46" t="n">
        <v>-0.14</v>
      </c>
      <c r="L22" s="46" t="n">
        <v>30.25</v>
      </c>
      <c r="M22" s="46" t="n">
        <v>70.55</v>
      </c>
      <c r="N22" s="46" t="n">
        <v>0.64</v>
      </c>
      <c r="O22" s="46" t="n">
        <v>2.5</v>
      </c>
      <c r="P22" s="46" t="n">
        <v>0.24</v>
      </c>
      <c r="Q22" s="47" t="n">
        <v>36529</v>
      </c>
      <c r="R22" s="48" t="s">
        <v>415</v>
      </c>
    </row>
    <row customHeight="1" ht="17" r="23" s="130" spans="1:18">
      <c r="H23" s="46" t="s">
        <v>467</v>
      </c>
      <c r="I23" s="46" t="s">
        <v>468</v>
      </c>
      <c r="J23" s="46" t="n">
        <v>4500.04</v>
      </c>
      <c r="K23" s="46" t="n">
        <v>0.76</v>
      </c>
      <c r="L23" s="46" t="n">
        <v>42.61</v>
      </c>
      <c r="M23" s="46" t="n">
        <v>56.17</v>
      </c>
      <c r="N23" s="46" t="n">
        <v>0.6899999999999999</v>
      </c>
      <c r="O23" s="46" t="n">
        <v>3.83</v>
      </c>
      <c r="P23" s="46" t="n">
        <v>0.39</v>
      </c>
      <c r="Q23" s="47" t="n">
        <v>36529</v>
      </c>
      <c r="R23" s="48" t="s">
        <v>415</v>
      </c>
    </row>
    <row customHeight="1" ht="17" r="24" s="130" spans="1:18">
      <c r="H24" s="46" t="s">
        <v>421</v>
      </c>
      <c r="I24" s="46" t="s">
        <v>422</v>
      </c>
      <c r="J24" s="46" t="n">
        <v>726.59</v>
      </c>
      <c r="K24" s="46" t="n">
        <v>0.85</v>
      </c>
      <c r="L24" s="46" t="n">
        <v>29.48</v>
      </c>
      <c r="M24" s="46" t="n">
        <v>26.75</v>
      </c>
      <c r="N24" s="46" t="n">
        <v>0.03</v>
      </c>
      <c r="O24" s="46" t="n">
        <v>2.35</v>
      </c>
      <c r="P24" s="46" t="n">
        <v>0.03</v>
      </c>
      <c r="Q24" s="47" t="n">
        <v>36529</v>
      </c>
      <c r="R24" s="48" t="s">
        <v>415</v>
      </c>
    </row>
    <row customHeight="1" ht="17" r="25" s="130" spans="1:18">
      <c r="H25" s="46" t="s">
        <v>473</v>
      </c>
      <c r="I25" s="46" t="s">
        <v>474</v>
      </c>
      <c r="J25" s="46" t="n">
        <v>2572.9</v>
      </c>
      <c r="K25" s="46" t="n">
        <v>0.48</v>
      </c>
      <c r="L25" s="46" t="n">
        <v>33.87</v>
      </c>
      <c r="M25" s="46" t="n">
        <v>49.12</v>
      </c>
      <c r="N25" s="46" t="n">
        <v>0.72</v>
      </c>
      <c r="O25" s="46" t="n">
        <v>3.05</v>
      </c>
      <c r="P25" s="46" t="n">
        <v>0.62</v>
      </c>
      <c r="Q25" s="47" t="n">
        <v>36529</v>
      </c>
      <c r="R25" s="48" t="s">
        <v>415</v>
      </c>
    </row>
    <row customHeight="1" ht="17" r="26" s="130" spans="1:18">
      <c r="H26" s="46" t="s">
        <v>429</v>
      </c>
      <c r="I26" s="46" t="s">
        <v>430</v>
      </c>
      <c r="J26" s="46" t="n">
        <v>3592.27</v>
      </c>
      <c r="K26" s="46" t="n">
        <v>0.14</v>
      </c>
      <c r="L26" s="46" t="n">
        <v>15.57</v>
      </c>
      <c r="M26" s="46" t="n">
        <v>7.15</v>
      </c>
      <c r="N26" s="46" t="n">
        <v>0.31</v>
      </c>
      <c r="O26" s="46" t="n">
        <v>0.89</v>
      </c>
      <c r="P26" s="46" t="n">
        <v>0.06</v>
      </c>
      <c r="Q26" s="47" t="n">
        <v>36529</v>
      </c>
      <c r="R26" s="48" t="s">
        <v>415</v>
      </c>
    </row>
    <row customHeight="1" ht="17" r="27" s="130" spans="1:18">
      <c r="H27" s="46" t="s">
        <v>461</v>
      </c>
      <c r="I27" s="46" t="s">
        <v>462</v>
      </c>
      <c r="J27" s="46" t="n">
        <v>2025.71</v>
      </c>
      <c r="K27" s="46" t="n">
        <v>1.37</v>
      </c>
      <c r="L27" s="46" t="n">
        <v>37.7</v>
      </c>
      <c r="M27" s="46" t="n">
        <v>21.78</v>
      </c>
      <c r="N27" s="46" t="n">
        <v>0.4</v>
      </c>
      <c r="O27" s="46" t="n">
        <v>2.09</v>
      </c>
      <c r="P27" s="46" t="n">
        <v>0.28</v>
      </c>
      <c r="Q27" s="47" t="n">
        <v>36529</v>
      </c>
      <c r="R27" s="48" t="s">
        <v>415</v>
      </c>
    </row>
    <row customHeight="1" ht="17" r="28" s="130" spans="1:18">
      <c r="H28" s="46" t="s">
        <v>443</v>
      </c>
      <c r="I28" s="46" t="s">
        <v>444</v>
      </c>
      <c r="J28" s="46" t="n">
        <v>4000.65</v>
      </c>
      <c r="K28" s="46" t="n">
        <v>0.46</v>
      </c>
      <c r="L28" s="46" t="n">
        <v>17.15</v>
      </c>
      <c r="M28" s="46" t="n">
        <v>16.45</v>
      </c>
      <c r="N28" s="46" t="n">
        <v>0.32</v>
      </c>
      <c r="O28" s="46" t="n">
        <v>1.7</v>
      </c>
      <c r="P28" s="46" t="n">
        <v>0.14</v>
      </c>
      <c r="Q28" s="47" t="n">
        <v>36529</v>
      </c>
      <c r="R28" s="48" t="s">
        <v>415</v>
      </c>
    </row>
    <row customHeight="1" ht="17" r="29" s="130" spans="1:18">
      <c r="H29" s="46" t="s">
        <v>451</v>
      </c>
      <c r="I29" s="46" t="s">
        <v>452</v>
      </c>
      <c r="J29" s="46" t="n">
        <v>1206.8</v>
      </c>
      <c r="K29" s="46" t="n">
        <v>0.7</v>
      </c>
      <c r="L29" s="46" t="n">
        <v>27.53</v>
      </c>
      <c r="M29" s="46" t="n">
        <v>31.26</v>
      </c>
      <c r="N29" s="46" t="n">
        <v>0.44</v>
      </c>
      <c r="O29" s="46" t="n">
        <v>2.21</v>
      </c>
      <c r="P29" s="46" t="n">
        <v>0.22</v>
      </c>
      <c r="Q29" s="47" t="n">
        <v>36529</v>
      </c>
      <c r="R29" s="48" t="s">
        <v>415</v>
      </c>
    </row>
  </sheetData>
  <autoFilter ref="H1:R29">
    <sortState ref="H2:R29">
      <sortCondition ref="H1:H29"/>
    </sortState>
  </autoFilter>
  <hyperlinks>
    <hyperlink display="http://discuss.jiucaishuo.com/?/invest/showData/search_gu-si801010" ref="R2" r:id="rId1"/>
    <hyperlink display="http://discuss.jiucaishuo.com/?/invest/showData/search_gu-si801020" ref="R3" r:id="rId2"/>
    <hyperlink display="http://discuss.jiucaishuo.com/?/invest/showData/search_gu-si801030" ref="R4" r:id="rId3"/>
    <hyperlink display="http://discuss.jiucaishuo.com/?/invest/showData/search_gu-si801040" ref="R5" r:id="rId4"/>
    <hyperlink display="http://discuss.jiucaishuo.com/?/invest/showData/search_gu-si801050" ref="R6" r:id="rId5"/>
    <hyperlink display="http://discuss.jiucaishuo.com/?/invest/showData/search_gu-si801080" ref="R7" r:id="rId6"/>
    <hyperlink display="http://discuss.jiucaishuo.com/?/invest/showData/search_gu-si801110" ref="R8" r:id="rId7"/>
    <hyperlink display="http://discuss.jiucaishuo.com/?/invest/showData/search_gu-si801120" ref="R9" r:id="rId8"/>
    <hyperlink display="http://discuss.jiucaishuo.com/?/invest/showData/search_gu-si801130" ref="R10" r:id="rId9"/>
    <hyperlink display="http://discuss.jiucaishuo.com/?/invest/showData/search_gu-si801140" ref="R11" r:id="rId10"/>
    <hyperlink display="http://discuss.jiucaishuo.com/?/invest/showData/search_gu-si801150" ref="R12" r:id="rId11"/>
    <hyperlink display="http://discuss.jiucaishuo.com/?/invest/showData/search_gu-si801160" ref="R13" r:id="rId12"/>
    <hyperlink display="http://discuss.jiucaishuo.com/?/invest/showData/search_gu-si801170" ref="R14" r:id="rId13"/>
    <hyperlink display="http://discuss.jiucaishuo.com/?/invest/showData/search_gu-si801180" ref="R15" r:id="rId14"/>
    <hyperlink display="http://discuss.jiucaishuo.com/?/invest/showData/search_gu-si801200" ref="R16" r:id="rId15"/>
    <hyperlink display="http://discuss.jiucaishuo.com/?/invest/showData/search_gu-si801210" ref="R17" r:id="rId16"/>
    <hyperlink display="http://discuss.jiucaishuo.com/?/invest/showData/search_gu-si801230" ref="R18" r:id="rId17"/>
    <hyperlink display="http://discuss.jiucaishuo.com/?/invest/showData/search_gu-si801710" ref="R19" r:id="rId18"/>
    <hyperlink display="http://discuss.jiucaishuo.com/?/invest/showData/search_gu-si801720" ref="R20" r:id="rId19"/>
    <hyperlink display="http://discuss.jiucaishuo.com/?/invest/showData/search_gu-si801730" ref="R21" r:id="rId20"/>
    <hyperlink display="http://discuss.jiucaishuo.com/?/invest/showData/search_gu-si801740" ref="R22" r:id="rId21"/>
    <hyperlink display="http://discuss.jiucaishuo.com/?/invest/showData/search_gu-si801750" ref="R23" r:id="rId22"/>
    <hyperlink display="http://discuss.jiucaishuo.com/?/invest/showData/search_gu-si801760" ref="R24" r:id="rId23"/>
    <hyperlink display="http://discuss.jiucaishuo.com/?/invest/showData/search_gu-si801770" ref="R25" r:id="rId24"/>
    <hyperlink display="http://discuss.jiucaishuo.com/?/invest/showData/search_gu-si801780" ref="R26" r:id="rId25"/>
    <hyperlink display="http://discuss.jiucaishuo.com/?/invest/showData/search_gu-si801790" ref="R27" r:id="rId26"/>
    <hyperlink display="http://discuss.jiucaishuo.com/?/invest/showData/search_gu-si801880" ref="R28" r:id="rId27"/>
    <hyperlink display="http://discuss.jiucaishuo.com/?/invest/showData/search_gu-si801890" ref="R29" r:id="rId28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6"/>
  <sheetViews>
    <sheetView workbookViewId="0" zoomScale="115">
      <pane activePane="bottomLeft" state="frozen" topLeftCell="A229" ySplit="1"/>
      <selection activeCell="C237" pane="bottomLeft" sqref="C237"/>
    </sheetView>
  </sheetViews>
  <sheetFormatPr baseColWidth="10" defaultRowHeight="16" outlineLevelCol="0"/>
  <cols>
    <col customWidth="1" max="2" min="1" style="130" width="22.83203125"/>
    <col customWidth="1" max="3" min="3" style="130" width="16.1640625"/>
    <col customWidth="1" max="4" min="4" style="70" width="10.83203125"/>
    <col bestFit="1" customWidth="1" max="5" min="5" style="130" width="11.6640625"/>
    <col customWidth="1" max="6" min="6" style="130" width="11.6640625"/>
    <col customWidth="1" max="7" min="7" style="130" width="10.83203125"/>
    <col bestFit="1" customWidth="1" max="8" min="8" style="130" width="13.6640625"/>
    <col customWidth="1" max="10" min="10" style="130" width="10.83203125"/>
    <col bestFit="1" customWidth="1" max="11" min="11" style="130" width="13.6640625"/>
  </cols>
  <sheetData>
    <row r="1" spans="1:17">
      <c r="B1" t="s">
        <v>689</v>
      </c>
      <c r="C1" t="s">
        <v>690</v>
      </c>
      <c r="D1" s="70" t="n">
        <v>2014.03</v>
      </c>
      <c r="E1" t="n">
        <v>2019.03</v>
      </c>
      <c r="G1" s="132" t="s">
        <v>18</v>
      </c>
      <c r="H1" s="132" t="s">
        <v>1</v>
      </c>
      <c r="J1" s="132" t="s">
        <v>18</v>
      </c>
      <c r="K1" s="132" t="s">
        <v>1</v>
      </c>
    </row>
    <row r="2" spans="1:17">
      <c r="A2" s="39" t="s">
        <v>23</v>
      </c>
      <c r="B2" s="96">
        <f>(E3/D3)^(1/5)-1</f>
        <v/>
      </c>
      <c r="C2" s="96">
        <f>(E2/D2)^(1/5)-1</f>
        <v/>
      </c>
      <c r="D2" s="70">
        <f>G2/H4</f>
        <v/>
      </c>
      <c r="E2" s="70">
        <f>J2/K4</f>
        <v/>
      </c>
      <c r="F2" s="70" t="n"/>
      <c r="G2" t="n">
        <v>1455</v>
      </c>
      <c r="H2" s="62" t="n">
        <v>7.21</v>
      </c>
      <c r="J2" t="n">
        <v>2828</v>
      </c>
      <c r="K2" s="54" t="n">
        <v>10.13</v>
      </c>
    </row>
    <row r="3" spans="1:17">
      <c r="A3" s="22" t="s">
        <v>25</v>
      </c>
      <c r="D3" s="70">
        <f>G2/H2</f>
        <v/>
      </c>
      <c r="E3" s="70">
        <f>J2/K2</f>
        <v/>
      </c>
      <c r="F3" s="70" t="n"/>
      <c r="G3" s="22" t="n"/>
      <c r="H3" s="62" t="n"/>
      <c r="J3" s="22" t="n"/>
      <c r="K3" s="55" t="n"/>
    </row>
    <row r="4" spans="1:17">
      <c r="A4" s="22" t="s">
        <v>27</v>
      </c>
      <c r="E4" s="70" t="n"/>
      <c r="F4" s="70" t="n"/>
      <c r="G4" s="22" t="n"/>
      <c r="H4" s="62" t="n">
        <v>1.16</v>
      </c>
      <c r="J4" s="22" t="n"/>
      <c r="K4" s="55" t="n">
        <v>1.28</v>
      </c>
    </row>
    <row r="5" spans="1:17">
      <c r="A5" s="22" t="n">
        <v>2.49</v>
      </c>
      <c r="E5" s="70" t="n"/>
      <c r="F5" s="70" t="n"/>
      <c r="G5" s="22" t="n"/>
      <c r="H5" s="62" t="n"/>
      <c r="J5" s="22" t="n"/>
      <c r="K5" s="55" t="n"/>
    </row>
    <row r="6" spans="1:17">
      <c r="E6" s="70" t="n"/>
      <c r="F6" s="70" t="n"/>
      <c r="H6" s="1" t="n"/>
      <c r="K6" s="1" t="n"/>
    </row>
    <row r="7" spans="1:17">
      <c r="A7" s="39" t="s">
        <v>30</v>
      </c>
      <c r="B7" s="96">
        <f>(E8/D8)^(1/5)-1</f>
        <v/>
      </c>
      <c r="C7" s="96">
        <f>(E7/D7)^(1/5)-1</f>
        <v/>
      </c>
      <c r="D7" s="70">
        <f>G7/H9</f>
        <v/>
      </c>
      <c r="E7" s="70">
        <f>J7/K9</f>
        <v/>
      </c>
      <c r="F7" s="70" t="n"/>
      <c r="G7" t="n">
        <v>2168</v>
      </c>
      <c r="H7" s="62" t="n">
        <v>8.460000000000001</v>
      </c>
      <c r="J7" t="n">
        <v>3816</v>
      </c>
      <c r="K7" s="54" t="n">
        <v>12.58</v>
      </c>
    </row>
    <row r="8" spans="1:17">
      <c r="A8" s="22" t="s">
        <v>31</v>
      </c>
      <c r="D8" s="70">
        <f>G7/H7</f>
        <v/>
      </c>
      <c r="E8" s="70">
        <f>J7/K7</f>
        <v/>
      </c>
      <c r="F8" s="70" t="n"/>
      <c r="G8" s="22" t="n"/>
      <c r="H8" s="63" t="n"/>
      <c r="J8" s="22" t="n"/>
      <c r="K8" s="55" t="n"/>
    </row>
    <row r="9" spans="1:17">
      <c r="A9" s="22" t="s">
        <v>32</v>
      </c>
      <c r="E9" s="70" t="n"/>
      <c r="F9" s="70" t="n"/>
      <c r="G9" s="22" t="n"/>
      <c r="H9" s="62" t="n">
        <v>1.27</v>
      </c>
      <c r="J9" s="22" t="n"/>
      <c r="K9" s="55" t="n">
        <v>1.55</v>
      </c>
    </row>
    <row r="10" spans="1:17">
      <c r="A10" s="22" t="n">
        <v>2.66</v>
      </c>
      <c r="E10" s="70" t="n"/>
      <c r="F10" s="70" t="n"/>
      <c r="G10" s="22" t="n"/>
      <c r="H10" s="63" t="n"/>
      <c r="J10" s="22" t="n"/>
      <c r="K10" s="55" t="n"/>
    </row>
    <row r="11" spans="1:17">
      <c r="E11" s="70" t="n"/>
      <c r="F11" s="70" t="n"/>
      <c r="H11" s="1" t="n"/>
      <c r="K11" s="1" t="n"/>
    </row>
    <row r="12" spans="1:17">
      <c r="A12" t="s">
        <v>94</v>
      </c>
      <c r="B12" s="96">
        <f>(E13/D13)^(1/4)-1</f>
        <v/>
      </c>
      <c r="C12" s="96">
        <f>(E12/D12)^(1/4)-1</f>
        <v/>
      </c>
      <c r="D12" s="70">
        <f>G12/H14</f>
        <v/>
      </c>
      <c r="E12" s="70">
        <f>J12/K14</f>
        <v/>
      </c>
      <c r="F12" s="70" t="n"/>
      <c r="G12" t="n">
        <v>6326.37</v>
      </c>
      <c r="H12" s="64" t="n">
        <v>19.68158076578821</v>
      </c>
      <c r="J12" t="n">
        <v>11288.88</v>
      </c>
      <c r="K12" s="56" t="n">
        <v>22.47292486730386</v>
      </c>
    </row>
    <row r="13" spans="1:17">
      <c r="A13" t="s">
        <v>95</v>
      </c>
      <c r="D13" s="70">
        <f>G12/H12</f>
        <v/>
      </c>
      <c r="E13" s="70">
        <f>J12/K12</f>
        <v/>
      </c>
      <c r="F13" s="70" t="n"/>
      <c r="H13" s="65" t="n"/>
      <c r="K13" s="57" t="n"/>
    </row>
    <row r="14" spans="1:17">
      <c r="A14" t="s">
        <v>96</v>
      </c>
      <c r="E14" s="70" t="n"/>
      <c r="F14" s="70" t="n"/>
      <c r="H14" s="66" t="n">
        <v>3.279406204756207</v>
      </c>
      <c r="K14" s="56" t="n">
        <v>4.490064719168196</v>
      </c>
    </row>
    <row r="15" spans="1:17">
      <c r="A15" t="n">
        <v>2.93</v>
      </c>
      <c r="E15" s="70" t="n"/>
      <c r="F15" s="70" t="n"/>
      <c r="H15" s="64" t="n"/>
      <c r="K15" s="57" t="n"/>
    </row>
    <row r="16" spans="1:17">
      <c r="E16" s="70" t="n"/>
      <c r="F16" s="70" t="n"/>
      <c r="H16" s="1" t="n"/>
      <c r="K16" s="1" t="n"/>
    </row>
    <row r="17" spans="1:17">
      <c r="A17" t="s">
        <v>137</v>
      </c>
      <c r="B17" s="96">
        <f>(E18/D18)^(1/4)-1</f>
        <v/>
      </c>
      <c r="C17" s="96">
        <f>(E17/D17)^(1/4)-1</f>
        <v/>
      </c>
      <c r="D17" s="70">
        <f>G17/H19</f>
        <v/>
      </c>
      <c r="E17" s="70">
        <f>J17/K19</f>
        <v/>
      </c>
      <c r="F17" s="70" t="n"/>
      <c r="G17" t="n">
        <v>7158.18</v>
      </c>
      <c r="H17" s="65" t="n">
        <v>35.99416906154764</v>
      </c>
      <c r="J17" t="n">
        <v>8660.469999999999</v>
      </c>
      <c r="K17" s="57" t="n">
        <v>27.0255020604659</v>
      </c>
    </row>
    <row r="18" spans="1:17">
      <c r="A18" t="s">
        <v>138</v>
      </c>
      <c r="D18" s="70">
        <f>G17/H17</f>
        <v/>
      </c>
      <c r="E18" s="70">
        <f>J17/K17</f>
        <v/>
      </c>
      <c r="F18" s="70" t="n"/>
      <c r="H18" s="65" t="n">
        <v>41.06949674442767</v>
      </c>
      <c r="K18" s="57" t="n">
        <v>23.40346311226287</v>
      </c>
    </row>
    <row r="19" spans="1:17">
      <c r="A19" t="s">
        <v>96</v>
      </c>
      <c r="E19" s="70" t="n"/>
      <c r="F19" s="70" t="n"/>
      <c r="H19" s="65" t="n">
        <v>4.475421454517686</v>
      </c>
      <c r="K19" s="57" t="n">
        <v>3.561285856896807</v>
      </c>
    </row>
    <row r="20" spans="1:17">
      <c r="A20" t="n">
        <v>3.41</v>
      </c>
      <c r="E20" s="70" t="n"/>
      <c r="F20" s="70" t="n"/>
      <c r="H20" s="65" t="n">
        <v>4.566462846883828</v>
      </c>
      <c r="K20" s="57" t="n">
        <v>2.701233557280279</v>
      </c>
    </row>
    <row r="21" spans="1:17">
      <c r="E21" s="70" t="n"/>
      <c r="F21" s="70" t="n"/>
      <c r="H21" s="1" t="n"/>
      <c r="K21" s="1" t="n"/>
    </row>
    <row r="22" spans="1:17">
      <c r="A22" s="39" t="s">
        <v>691</v>
      </c>
      <c r="B22" s="96">
        <f>(E23/D23)^(1/6)-1</f>
        <v/>
      </c>
      <c r="C22" s="96">
        <f>(E22/D22)^(1/6)-1</f>
        <v/>
      </c>
      <c r="D22" s="70">
        <f>G22/H25</f>
        <v/>
      </c>
      <c r="E22" s="70">
        <f>J22/K25</f>
        <v/>
      </c>
      <c r="F22" s="70" t="n"/>
      <c r="G22" t="n">
        <v>832</v>
      </c>
      <c r="H22" s="63" t="n">
        <v>25.58</v>
      </c>
      <c r="J22" t="n">
        <v>1094</v>
      </c>
      <c r="K22" s="55" t="n"/>
    </row>
    <row r="23" spans="1:17">
      <c r="A23" s="22" t="s">
        <v>54</v>
      </c>
      <c r="D23" s="70">
        <f>G22/H23</f>
        <v/>
      </c>
      <c r="E23" s="70">
        <f>J22/K23</f>
        <v/>
      </c>
      <c r="F23" s="70" t="n"/>
      <c r="G23" s="22" t="n"/>
      <c r="H23" s="63" t="n">
        <v>43.51</v>
      </c>
      <c r="J23" s="22" t="n"/>
      <c r="K23" s="55" t="n">
        <v>24.74</v>
      </c>
    </row>
    <row r="24" spans="1:17">
      <c r="A24" s="22" t="s">
        <v>55</v>
      </c>
      <c r="E24" s="70" t="n"/>
      <c r="F24" s="70" t="n"/>
      <c r="G24" s="22" t="n"/>
      <c r="H24" s="67" t="n">
        <v>1.96</v>
      </c>
      <c r="J24" s="22" t="n"/>
      <c r="K24" s="55" t="n"/>
    </row>
    <row r="25" spans="1:17">
      <c r="A25" s="22" t="n">
        <v>4.3</v>
      </c>
      <c r="E25" s="70" t="n"/>
      <c r="F25" s="70" t="n"/>
      <c r="G25" s="22" t="n"/>
      <c r="H25" s="67" t="n">
        <v>2.01</v>
      </c>
      <c r="J25" s="22" t="n"/>
      <c r="K25" s="55" t="n">
        <v>1.61</v>
      </c>
    </row>
    <row r="26" spans="1:17">
      <c r="E26" s="70" t="n"/>
      <c r="F26" s="70" t="n"/>
      <c r="H26" s="1" t="n"/>
      <c r="K26" s="1" t="n"/>
    </row>
    <row r="27" spans="1:17">
      <c r="A27" s="85" t="s">
        <v>56</v>
      </c>
      <c r="B27" s="96">
        <f>(E28/D28)^(1/4)-1</f>
        <v/>
      </c>
      <c r="C27" s="96">
        <f>(E27/D27)^(1/4)-1</f>
        <v/>
      </c>
      <c r="D27" s="70">
        <f>G27/H29</f>
        <v/>
      </c>
      <c r="E27" s="70">
        <f>J27/K29</f>
        <v/>
      </c>
      <c r="F27" s="70" t="n"/>
      <c r="G27" t="n">
        <v>6240.77</v>
      </c>
      <c r="H27" s="65" t="n">
        <v>64.59067361981795</v>
      </c>
      <c r="J27" t="n">
        <v>4847.04</v>
      </c>
      <c r="K27" s="57" t="n">
        <v>21.97433619813834</v>
      </c>
    </row>
    <row r="28" spans="1:17">
      <c r="A28" t="s">
        <v>57</v>
      </c>
      <c r="D28" s="70">
        <f>G27/H27</f>
        <v/>
      </c>
      <c r="E28" s="70">
        <f>J27/K27</f>
        <v/>
      </c>
      <c r="F28" s="70" t="n"/>
      <c r="H28" s="65" t="n">
        <v>65.29711484279308</v>
      </c>
      <c r="K28" s="57" t="n">
        <v>26.02572506011088</v>
      </c>
    </row>
    <row r="29" spans="1:17">
      <c r="A29" t="s">
        <v>58</v>
      </c>
      <c r="E29" s="70" t="n"/>
      <c r="F29" s="70" t="n"/>
      <c r="H29" s="64" t="n">
        <v>3.897432486065544</v>
      </c>
      <c r="K29" s="57" t="n">
        <v>1.958971305635763</v>
      </c>
    </row>
    <row r="30" spans="1:17">
      <c r="A30" t="n">
        <v>5.04</v>
      </c>
      <c r="E30" s="70" t="n"/>
      <c r="F30" s="70" t="n"/>
      <c r="H30" s="64" t="n">
        <v>3.654384336299279</v>
      </c>
      <c r="K30" s="57" t="n">
        <v>1.836747154714023</v>
      </c>
    </row>
    <row r="31" spans="1:17">
      <c r="E31" s="70" t="n"/>
      <c r="F31" s="70" t="n"/>
    </row>
    <row r="32" spans="1:17">
      <c r="A32" s="22" t="s">
        <v>36</v>
      </c>
      <c r="B32" s="96">
        <f>(E33/D33)^(1/6)-1</f>
        <v/>
      </c>
      <c r="C32" s="96">
        <f>(E32/D32)^(1/6)-1</f>
        <v/>
      </c>
      <c r="D32" s="70">
        <f>G32/H34</f>
        <v/>
      </c>
      <c r="E32" s="70">
        <f>J32/K34</f>
        <v/>
      </c>
      <c r="F32" s="70" t="n"/>
      <c r="G32" t="n">
        <v>3005</v>
      </c>
      <c r="H32" s="68" t="n">
        <v>28.36</v>
      </c>
      <c r="J32" t="n">
        <v>4554.67</v>
      </c>
      <c r="K32" s="55" t="n">
        <v>19.53272725377498</v>
      </c>
      <c r="L32" t="n">
        <v>1651</v>
      </c>
      <c r="M32" t="n">
        <v>1875</v>
      </c>
      <c r="N32" t="n">
        <v>2025</v>
      </c>
      <c r="O32" t="n">
        <v>2254</v>
      </c>
      <c r="P32" t="n">
        <v>2543</v>
      </c>
      <c r="Q32" t="n">
        <v>2700</v>
      </c>
    </row>
    <row r="33" spans="1:17">
      <c r="A33" s="22" t="s">
        <v>37</v>
      </c>
      <c r="D33" s="70">
        <f>G32/H32</f>
        <v/>
      </c>
      <c r="E33" s="70">
        <f>J32/K32</f>
        <v/>
      </c>
      <c r="F33" s="70" t="n"/>
      <c r="G33" s="22" t="n"/>
      <c r="H33" s="63" t="n"/>
      <c r="J33" s="22" t="n"/>
      <c r="K33" s="55" t="n">
        <v>24.89961385263549</v>
      </c>
      <c r="M33">
        <f>M32/L32</f>
        <v/>
      </c>
      <c r="N33">
        <f>N32/M32</f>
        <v/>
      </c>
      <c r="O33">
        <f>O32/N32</f>
        <v/>
      </c>
      <c r="P33">
        <f>P32/O32</f>
        <v/>
      </c>
      <c r="Q33">
        <f>Q32/P32</f>
        <v/>
      </c>
    </row>
    <row r="34" spans="1:17">
      <c r="A34" s="22" t="s">
        <v>35</v>
      </c>
      <c r="E34" s="70" t="n"/>
      <c r="F34" s="70" t="n"/>
      <c r="G34" s="22" t="n"/>
      <c r="H34" s="63" t="n">
        <v>1.98</v>
      </c>
      <c r="J34" s="22" t="n"/>
      <c r="K34" s="55" t="n">
        <v>1.690138011466291</v>
      </c>
    </row>
    <row r="35" spans="1:17">
      <c r="A35" s="22" t="n">
        <v>4.3</v>
      </c>
      <c r="E35" s="70" t="n"/>
      <c r="F35" s="70" t="n"/>
      <c r="G35" s="22" t="n"/>
      <c r="H35" s="63" t="n"/>
      <c r="J35" s="22" t="n"/>
      <c r="K35" s="55" t="n">
        <v>1.573936253491191</v>
      </c>
    </row>
    <row r="36" spans="1:17">
      <c r="E36" s="70" t="n"/>
      <c r="F36" s="70" t="n"/>
      <c r="H36" s="1" t="n"/>
      <c r="K36" s="1" t="n"/>
    </row>
    <row r="37" spans="1:17">
      <c r="A37" s="39" t="s">
        <v>50</v>
      </c>
      <c r="B37" s="96">
        <f>(E38/D38)^(1/5)-1</f>
        <v/>
      </c>
      <c r="C37" s="96">
        <f>(E37/D37)^(1/5)-1</f>
        <v/>
      </c>
      <c r="D37" s="70">
        <f>G37/H39</f>
        <v/>
      </c>
      <c r="E37" s="70">
        <f>J37/K39</f>
        <v/>
      </c>
      <c r="F37" s="70" t="n"/>
      <c r="G37" t="n">
        <v>2266</v>
      </c>
      <c r="H37" s="62" t="n">
        <v>6.26</v>
      </c>
      <c r="J37" t="n">
        <v>4608</v>
      </c>
      <c r="K37" s="55" t="n">
        <v>8.369999999999999</v>
      </c>
    </row>
    <row r="38" spans="1:17">
      <c r="A38" s="22" t="s">
        <v>51</v>
      </c>
      <c r="D38" s="70">
        <f>G37/H37</f>
        <v/>
      </c>
      <c r="E38" s="70">
        <f>J37/K37</f>
        <v/>
      </c>
      <c r="F38" s="70" t="n"/>
      <c r="G38" s="22" t="n"/>
      <c r="H38" s="63" t="n"/>
      <c r="J38" s="22" t="n"/>
      <c r="K38" s="55" t="n"/>
    </row>
    <row r="39" spans="1:17">
      <c r="A39" s="22" t="s">
        <v>52</v>
      </c>
      <c r="E39" s="70" t="n"/>
      <c r="F39" s="70" t="n"/>
      <c r="G39" s="22" t="n"/>
      <c r="H39" s="62" t="n">
        <v>1.04</v>
      </c>
      <c r="J39" s="22" t="n"/>
      <c r="K39" s="55" t="n">
        <v>1.13</v>
      </c>
    </row>
    <row r="40" spans="1:17">
      <c r="A40" s="22" t="n">
        <v>3</v>
      </c>
      <c r="E40" s="70" t="n"/>
      <c r="F40" s="70" t="n"/>
      <c r="G40" s="22" t="n"/>
      <c r="H40" s="63" t="n"/>
      <c r="J40" s="22" t="n"/>
      <c r="K40" s="55" t="n"/>
    </row>
    <row r="41" spans="1:17">
      <c r="E41" s="70" t="n"/>
      <c r="F41" s="70" t="n"/>
      <c r="H41" s="1" t="n"/>
      <c r="K41" s="1" t="n"/>
    </row>
    <row r="42" spans="1:17">
      <c r="A42" s="85" t="s">
        <v>123</v>
      </c>
      <c r="B42" s="96">
        <f>(E43/D43)^(1/4)-1</f>
        <v/>
      </c>
      <c r="C42" s="96">
        <f>(E42/D42)^(1/4)-1</f>
        <v/>
      </c>
      <c r="D42" s="70">
        <f>G42/H44</f>
        <v/>
      </c>
      <c r="E42" s="70">
        <f>J42/K44</f>
        <v/>
      </c>
      <c r="F42" s="70" t="n"/>
      <c r="G42" t="n">
        <v>2013.18</v>
      </c>
      <c r="H42" s="69" t="n">
        <v>11.27196574612312</v>
      </c>
      <c r="J42" t="n">
        <v>1802.2</v>
      </c>
      <c r="K42" s="56" t="n">
        <v>14.14831147601285</v>
      </c>
    </row>
    <row r="43" spans="1:17">
      <c r="A43" t="s">
        <v>124</v>
      </c>
      <c r="D43" s="70">
        <f>G42/H42</f>
        <v/>
      </c>
      <c r="E43" s="70">
        <f>J42/K42</f>
        <v/>
      </c>
      <c r="F43" s="70" t="n"/>
      <c r="H43" s="65" t="n">
        <v>31.19222333705009</v>
      </c>
      <c r="K43" s="57" t="n">
        <v>12.64311912842087</v>
      </c>
    </row>
    <row r="44" spans="1:17">
      <c r="A44" t="s">
        <v>61</v>
      </c>
      <c r="E44" s="70" t="n"/>
      <c r="F44" s="70" t="n"/>
      <c r="H44" s="66" t="n">
        <v>1.194443815759009</v>
      </c>
      <c r="K44" s="57" t="n">
        <v>1.123044522461895</v>
      </c>
    </row>
    <row r="45" spans="1:17">
      <c r="A45" t="n">
        <v>2.14</v>
      </c>
      <c r="E45" s="70" t="n"/>
      <c r="F45" s="70" t="n"/>
      <c r="H45" s="66" t="n">
        <v>1.503055866542849</v>
      </c>
      <c r="K45" s="57" t="n">
        <v>1.137437778765692</v>
      </c>
    </row>
    <row r="46" spans="1:17">
      <c r="E46" s="70" t="n"/>
      <c r="F46" s="70" t="n"/>
      <c r="H46" s="1" t="n"/>
      <c r="K46" s="1" t="n"/>
    </row>
    <row r="47" spans="1:17">
      <c r="A47" t="s">
        <v>119</v>
      </c>
      <c r="B47" s="96">
        <f>(E48/D48)^(1/4)-1</f>
        <v/>
      </c>
      <c r="C47" s="96">
        <f>(E47/D47)^(1/4)-1</f>
        <v/>
      </c>
      <c r="D47" s="70">
        <f>G47/H49</f>
        <v/>
      </c>
      <c r="E47" s="70">
        <f>J47/K49</f>
        <v/>
      </c>
      <c r="F47" s="70" t="n"/>
      <c r="G47" t="n">
        <v>2188.14</v>
      </c>
      <c r="H47" s="69" t="n">
        <v>27.5008245053208</v>
      </c>
      <c r="J47" t="n">
        <v>2292.67</v>
      </c>
      <c r="K47" s="57" t="n">
        <v>11.52553148362232</v>
      </c>
    </row>
    <row r="48" spans="1:17">
      <c r="A48" t="s">
        <v>120</v>
      </c>
      <c r="D48" s="70">
        <f>G47/H47</f>
        <v/>
      </c>
      <c r="E48" s="70">
        <f>J47/K47</f>
        <v/>
      </c>
      <c r="F48" s="70" t="n"/>
      <c r="H48" s="69" t="n">
        <v>33.94236573013974</v>
      </c>
      <c r="K48" s="57" t="n">
        <v>13.70686916803174</v>
      </c>
    </row>
    <row r="49" spans="1:17">
      <c r="A49" t="s">
        <v>61</v>
      </c>
      <c r="E49" s="70" t="n"/>
      <c r="F49" s="70" t="n"/>
      <c r="H49" s="69" t="n">
        <v>1.881412133481689</v>
      </c>
      <c r="K49" s="57" t="n">
        <v>1.534275260137927</v>
      </c>
    </row>
    <row r="50" spans="1:17">
      <c r="A50" t="n">
        <v>2.7</v>
      </c>
      <c r="E50" s="70" t="n"/>
      <c r="F50" s="70" t="n"/>
      <c r="H50" s="64" t="n">
        <v>2.062850739539079</v>
      </c>
      <c r="K50" s="57" t="n">
        <v>1.51525911029444</v>
      </c>
    </row>
    <row r="51" spans="1:17">
      <c r="E51" s="70" t="n"/>
      <c r="F51" s="70" t="n"/>
      <c r="H51" s="1" t="n"/>
      <c r="K51" s="1" t="n"/>
    </row>
    <row r="52" spans="1:17">
      <c r="A52" t="s">
        <v>127</v>
      </c>
      <c r="B52" s="96">
        <f>(E53/D53)^(1/4)-1</f>
        <v/>
      </c>
      <c r="C52" s="96">
        <f>(E52/D52)^(1/4)-1</f>
        <v/>
      </c>
      <c r="D52" s="70">
        <f>G52/H54</f>
        <v/>
      </c>
      <c r="E52" s="70">
        <f>J52/K54</f>
        <v/>
      </c>
      <c r="F52" s="70" t="n"/>
      <c r="G52" t="n">
        <v>2680.25</v>
      </c>
      <c r="H52" s="64" t="n">
        <v>19.04429732837018</v>
      </c>
      <c r="J52" t="n">
        <v>2409.38</v>
      </c>
      <c r="K52" s="57" t="n">
        <v>15.59709977823662</v>
      </c>
    </row>
    <row r="53" spans="1:17">
      <c r="A53" t="s">
        <v>128</v>
      </c>
      <c r="D53" s="70">
        <f>G52/H52</f>
        <v/>
      </c>
      <c r="E53" s="70">
        <f>J52/K52</f>
        <v/>
      </c>
      <c r="F53" s="70" t="n"/>
      <c r="H53" s="64" t="n">
        <v>27.82422484088906</v>
      </c>
      <c r="K53" s="56" t="n">
        <v>24.61781142722356</v>
      </c>
    </row>
    <row r="54" spans="1:17">
      <c r="A54" t="s">
        <v>61</v>
      </c>
      <c r="E54" s="70" t="n"/>
      <c r="F54" s="70" t="n"/>
      <c r="H54" s="69" t="n">
        <v>1.830677130665416</v>
      </c>
      <c r="K54" s="57" t="n">
        <v>1.491129908444848</v>
      </c>
    </row>
    <row r="55" spans="1:17">
      <c r="A55" t="n">
        <v>3.76</v>
      </c>
      <c r="E55" s="70" t="n"/>
      <c r="F55" s="70" t="n"/>
      <c r="H55" s="64" t="n">
        <v>2.18901009024617</v>
      </c>
      <c r="K55" s="57" t="n">
        <v>1.521939574333069</v>
      </c>
    </row>
    <row r="56" spans="1:17">
      <c r="E56" s="70" t="n"/>
      <c r="F56" s="70" t="n"/>
      <c r="H56" s="1" t="n"/>
      <c r="K56" s="1" t="n"/>
    </row>
    <row r="57" spans="1:17">
      <c r="A57" s="22" t="s">
        <v>107</v>
      </c>
      <c r="B57" s="96">
        <f>(E58/D58)^(1/4)-1</f>
        <v/>
      </c>
      <c r="C57" s="96">
        <f>(E57/D57)^(1/4)-1</f>
        <v/>
      </c>
      <c r="D57" s="70">
        <f>G57/H59</f>
        <v/>
      </c>
      <c r="E57" s="70">
        <f>J57/K59</f>
        <v/>
      </c>
      <c r="F57" s="70" t="n"/>
      <c r="G57" t="n">
        <v>4050.98</v>
      </c>
      <c r="H57" s="69" t="n">
        <v>17.62953681715415</v>
      </c>
      <c r="J57" t="n">
        <v>4047.4</v>
      </c>
      <c r="K57" s="57" t="n">
        <v>13.99429346922221</v>
      </c>
    </row>
    <row r="58" spans="1:17">
      <c r="A58" t="s">
        <v>108</v>
      </c>
      <c r="D58" s="70">
        <f>G57/H57</f>
        <v/>
      </c>
      <c r="E58" s="70">
        <f>J57/K57</f>
        <v/>
      </c>
      <c r="F58" s="70" t="n"/>
      <c r="H58" s="69" t="n">
        <v>23.16394067241703</v>
      </c>
      <c r="K58" s="57" t="n">
        <v>21.04956323360859</v>
      </c>
    </row>
    <row r="59" spans="1:17">
      <c r="A59" t="s">
        <v>61</v>
      </c>
      <c r="E59" s="70" t="n"/>
      <c r="F59" s="70" t="n"/>
      <c r="H59" s="64" t="n">
        <v>2.463083578039319</v>
      </c>
      <c r="K59" s="57" t="n">
        <v>1.802625405939207</v>
      </c>
    </row>
    <row r="60" spans="1:17">
      <c r="A60" t="n">
        <v>3.57</v>
      </c>
      <c r="E60" s="70" t="n"/>
      <c r="F60" s="70" t="n"/>
      <c r="H60" s="64" t="n">
        <v>2.457595860439253</v>
      </c>
      <c r="K60" s="57" t="n">
        <v>1.502902985119902</v>
      </c>
    </row>
    <row r="61" spans="1:17">
      <c r="E61" s="70" t="n"/>
      <c r="F61" s="70" t="n"/>
      <c r="H61" s="1" t="n"/>
      <c r="K61" s="1" t="n"/>
    </row>
    <row r="62" spans="1:17">
      <c r="A62" s="22" t="s">
        <v>59</v>
      </c>
      <c r="B62" s="96">
        <f>(E63/D63)^(1/4)-1</f>
        <v/>
      </c>
      <c r="C62" s="96">
        <f>(E62/D62)^(1/4)-1</f>
        <v/>
      </c>
      <c r="D62" s="70">
        <f>G62/H64</f>
        <v/>
      </c>
      <c r="E62" s="70">
        <f>J62/K64</f>
        <v/>
      </c>
      <c r="F62" s="70" t="n"/>
      <c r="G62" t="n">
        <v>5774.06</v>
      </c>
      <c r="H62" s="69" t="n">
        <v>20.94772809364498</v>
      </c>
      <c r="J62" t="n">
        <v>9755.51</v>
      </c>
      <c r="K62" s="56" t="n">
        <v>22.49007155028166</v>
      </c>
    </row>
    <row r="63" spans="1:17">
      <c r="A63" t="s">
        <v>60</v>
      </c>
      <c r="D63" s="70">
        <f>G62/H62</f>
        <v/>
      </c>
      <c r="E63" s="70">
        <f>J62/K62</f>
        <v/>
      </c>
      <c r="F63" s="70" t="n"/>
      <c r="H63" s="69" t="n">
        <v>32.33217829348837</v>
      </c>
      <c r="K63" s="57" t="n">
        <v>27.44399600934098</v>
      </c>
    </row>
    <row r="64" spans="1:17">
      <c r="A64" t="s">
        <v>61</v>
      </c>
      <c r="E64" s="70" t="n"/>
      <c r="F64" s="70" t="n"/>
      <c r="H64" s="66" t="n">
        <v>3.058369062283012</v>
      </c>
      <c r="K64" s="56" t="n">
        <v>4.121825861023485</v>
      </c>
    </row>
    <row r="65" spans="1:17">
      <c r="A65" t="n">
        <v>2.36</v>
      </c>
      <c r="E65" s="70" t="n"/>
      <c r="F65" s="70" t="n"/>
      <c r="H65" s="69" t="n">
        <v>3.022589856617234</v>
      </c>
      <c r="K65" s="57" t="n">
        <v>2.364065442243822</v>
      </c>
    </row>
    <row r="66" spans="1:17">
      <c r="E66" s="70" t="n"/>
      <c r="F66" s="70" t="n"/>
      <c r="H66" s="1" t="n"/>
      <c r="K66" s="1" t="n"/>
    </row>
    <row r="67" spans="1:17">
      <c r="A67" s="22" t="s">
        <v>89</v>
      </c>
      <c r="B67" s="96">
        <f>(E68/D68)^(1/4)-1</f>
        <v/>
      </c>
      <c r="C67" s="96">
        <f>(E67/D67)^(1/4)-1</f>
        <v/>
      </c>
      <c r="D67" s="70">
        <f>G67/H69</f>
        <v/>
      </c>
      <c r="E67" s="70">
        <f>J67/K69</f>
        <v/>
      </c>
      <c r="F67" s="70" t="n"/>
      <c r="G67" t="n">
        <v>7239.72</v>
      </c>
      <c r="H67" s="64" t="n">
        <v>33.78651981673244</v>
      </c>
      <c r="J67" t="n">
        <v>8906.23</v>
      </c>
      <c r="K67" s="57" t="n">
        <v>26.64953033387274</v>
      </c>
    </row>
    <row r="68" spans="1:17">
      <c r="A68" t="s">
        <v>90</v>
      </c>
      <c r="D68" s="70">
        <f>G67/H67</f>
        <v/>
      </c>
      <c r="E68" s="70">
        <f>J67/K67</f>
        <v/>
      </c>
      <c r="F68" s="70" t="n"/>
      <c r="H68" s="64" t="n">
        <v>37.02198051237861</v>
      </c>
      <c r="K68" s="57" t="n">
        <v>22.6559271079731</v>
      </c>
    </row>
    <row r="69" spans="1:17">
      <c r="A69" t="s">
        <v>61</v>
      </c>
      <c r="E69" s="70" t="n"/>
      <c r="F69" s="70" t="n"/>
      <c r="H69" s="69" t="n">
        <v>4.297228464967295</v>
      </c>
      <c r="K69" s="57" t="n">
        <v>3.450984971094533</v>
      </c>
    </row>
    <row r="70" spans="1:17">
      <c r="A70" t="n">
        <v>3.34</v>
      </c>
      <c r="E70" s="70" t="n"/>
      <c r="F70" s="70" t="n"/>
      <c r="H70" s="64" t="n">
        <v>3.960256077970875</v>
      </c>
      <c r="K70" s="57" t="n">
        <v>2.46297585794667</v>
      </c>
    </row>
    <row r="71" spans="1:17">
      <c r="E71" s="70" t="n"/>
      <c r="F71" s="70" t="n"/>
      <c r="H71" s="1" t="n"/>
      <c r="K71" s="1" t="n"/>
    </row>
    <row r="72" spans="1:17">
      <c r="A72" s="22" t="s">
        <v>109</v>
      </c>
      <c r="B72" s="96">
        <f>(E73/D73)^(1/4)-1</f>
        <v/>
      </c>
      <c r="C72" s="96">
        <f>(E72/D72)^(1/4)-1</f>
        <v/>
      </c>
      <c r="D72" s="70">
        <f>G72/H74</f>
        <v/>
      </c>
      <c r="E72" s="70">
        <f>J72/K74</f>
        <v/>
      </c>
      <c r="F72" s="70" t="n"/>
      <c r="G72" t="n">
        <v>3949.23</v>
      </c>
      <c r="H72" s="66" t="n">
        <v>6.331190844442739</v>
      </c>
      <c r="J72" t="n">
        <v>5438.12</v>
      </c>
      <c r="K72" s="56" t="n">
        <v>8.040427335720548</v>
      </c>
    </row>
    <row r="73" spans="1:17">
      <c r="A73" t="s">
        <v>110</v>
      </c>
      <c r="D73" s="70">
        <f>G72/H72</f>
        <v/>
      </c>
      <c r="E73" s="70">
        <f>J72/K72</f>
        <v/>
      </c>
      <c r="F73" s="70" t="n"/>
      <c r="H73" s="69" t="n">
        <v>13.65733273434917</v>
      </c>
      <c r="K73" s="56" t="n">
        <v>13.33088740500333</v>
      </c>
    </row>
    <row r="74" spans="1:17">
      <c r="A74" t="s">
        <v>61</v>
      </c>
      <c r="E74" s="70" t="n"/>
      <c r="F74" s="70" t="n"/>
      <c r="H74" s="66" t="n">
        <v>1.077210550383775</v>
      </c>
      <c r="K74" s="57" t="n">
        <v>1.025482763822983</v>
      </c>
    </row>
    <row r="75" spans="1:17">
      <c r="A75" t="n">
        <v>2.72</v>
      </c>
      <c r="E75" s="70" t="n"/>
      <c r="F75" s="70" t="n"/>
      <c r="H75" s="69" t="n">
        <v>1.69504779646479</v>
      </c>
      <c r="K75" s="57" t="n">
        <v>1.166253100727709</v>
      </c>
    </row>
    <row r="76" spans="1:17">
      <c r="E76" s="70" t="n"/>
      <c r="F76" s="70" t="n"/>
    </row>
    <row r="77" spans="1:17">
      <c r="A77" s="22" t="s">
        <v>100</v>
      </c>
      <c r="B77" s="96">
        <f>(E78/D78)^(1/4)-1</f>
        <v/>
      </c>
      <c r="C77" s="96">
        <f>(E77/D77)^(1/4)-1</f>
        <v/>
      </c>
      <c r="D77" s="70">
        <f>G77/H79</f>
        <v/>
      </c>
      <c r="E77" s="70">
        <f>J77/K79</f>
        <v/>
      </c>
      <c r="F77" s="70" t="n"/>
      <c r="G77" t="n">
        <v>3174.29</v>
      </c>
      <c r="H77" s="69" t="n">
        <v>43.54029280211756</v>
      </c>
      <c r="J77" t="n">
        <v>3147.45</v>
      </c>
      <c r="K77" s="57" t="n">
        <v>29.60739865885245</v>
      </c>
    </row>
    <row r="78" spans="1:17">
      <c r="A78" t="s">
        <v>101</v>
      </c>
      <c r="D78" s="70">
        <f>G77/H77</f>
        <v/>
      </c>
      <c r="E78" s="70">
        <f>J77/K77</f>
        <v/>
      </c>
      <c r="F78" s="70" t="n"/>
      <c r="H78" s="69" t="n">
        <v>50.5602868622713</v>
      </c>
      <c r="K78" s="56" t="n">
        <v>45.30742440714336</v>
      </c>
    </row>
    <row r="79" spans="1:17">
      <c r="A79" t="s">
        <v>61</v>
      </c>
      <c r="E79" s="70" t="n"/>
      <c r="F79" s="70" t="n"/>
      <c r="H79" s="69" t="n">
        <v>3.780378187886023</v>
      </c>
      <c r="K79" s="57" t="n">
        <v>3.020291818196877</v>
      </c>
    </row>
    <row r="80" spans="1:17">
      <c r="A80" t="n">
        <v>5.21</v>
      </c>
      <c r="E80" s="70" t="n"/>
      <c r="F80" s="70" t="n"/>
      <c r="H80" s="64" t="n">
        <v>4.010266271735381</v>
      </c>
      <c r="K80" s="57" t="n">
        <v>2.304117428755386</v>
      </c>
    </row>
    <row r="81" spans="1:17">
      <c r="E81" s="70" t="n"/>
      <c r="F81" s="70" t="n"/>
      <c r="H81" s="1" t="n"/>
      <c r="K81" s="1" t="n"/>
    </row>
    <row r="82" spans="1:17">
      <c r="A82" t="s">
        <v>135</v>
      </c>
      <c r="B82" s="96">
        <f>(E83/D83)^(1/4)-1</f>
        <v/>
      </c>
      <c r="C82" s="96">
        <f>(E82/D82)^(1/4)-1</f>
        <v/>
      </c>
      <c r="D82" s="70">
        <f>G82/H84</f>
        <v/>
      </c>
      <c r="E82" s="70">
        <f>J82/K84</f>
        <v/>
      </c>
      <c r="F82" s="70" t="n"/>
      <c r="G82" t="n">
        <v>3680.71</v>
      </c>
      <c r="H82" s="66" t="n">
        <v>26.43328463338121</v>
      </c>
      <c r="J82" t="n">
        <v>4055.42</v>
      </c>
      <c r="K82" s="58" t="n">
        <v>93.3743096205566</v>
      </c>
    </row>
    <row r="83" spans="1:17">
      <c r="A83" t="s">
        <v>136</v>
      </c>
      <c r="D83" s="70">
        <f>G82/H82</f>
        <v/>
      </c>
      <c r="E83" s="70">
        <f>J82/K82</f>
        <v/>
      </c>
      <c r="F83" s="70" t="n"/>
      <c r="H83" s="64" t="n">
        <v>40.91114572105296</v>
      </c>
      <c r="K83" s="56" t="n">
        <v>36.62556725207943</v>
      </c>
    </row>
    <row r="84" spans="1:17">
      <c r="A84" t="s">
        <v>61</v>
      </c>
      <c r="E84" s="70" t="n"/>
      <c r="F84" s="70" t="n"/>
      <c r="H84" s="69" t="n">
        <v>1.762799399314155</v>
      </c>
      <c r="K84" s="56" t="n">
        <v>1.927611611351148</v>
      </c>
    </row>
    <row r="85" spans="1:17">
      <c r="A85" t="n">
        <v>5.13</v>
      </c>
      <c r="E85" s="70" t="n"/>
      <c r="F85" s="70" t="n"/>
      <c r="H85" s="64" t="n">
        <v>2.618656480308818</v>
      </c>
      <c r="K85" s="57" t="n">
        <v>2.141470581362385</v>
      </c>
    </row>
    <row r="86" spans="1:17">
      <c r="E86" s="70" t="n"/>
      <c r="F86" s="70" t="n"/>
      <c r="H86" s="1" t="n"/>
      <c r="K86" s="1" t="n"/>
    </row>
    <row r="87" spans="1:17">
      <c r="A87" t="s">
        <v>129</v>
      </c>
      <c r="B87" s="96">
        <f>(E88/D88)^(1/4)-1</f>
        <v/>
      </c>
      <c r="C87" s="96">
        <f>(E87/D87)^(1/4)-1</f>
        <v/>
      </c>
      <c r="D87" s="70">
        <f>G87/H89</f>
        <v/>
      </c>
      <c r="E87" s="70">
        <f>J87/K89</f>
        <v/>
      </c>
      <c r="F87" s="70" t="n"/>
      <c r="G87" t="n">
        <v>1983.49</v>
      </c>
      <c r="H87" s="69" t="n">
        <v>13.15423923919427</v>
      </c>
      <c r="J87" t="n">
        <v>1910.18</v>
      </c>
      <c r="K87" s="56" t="n">
        <v>18.86124124274203</v>
      </c>
    </row>
    <row r="88" spans="1:17">
      <c r="A88" t="s">
        <v>130</v>
      </c>
      <c r="D88" s="70">
        <f>G87/H87</f>
        <v/>
      </c>
      <c r="E88" s="70">
        <f>J87/K87</f>
        <v/>
      </c>
      <c r="F88" s="70" t="n"/>
      <c r="H88" s="69" t="n">
        <v>18.71866650287388</v>
      </c>
      <c r="K88" s="56" t="n">
        <v>21.90510267906727</v>
      </c>
    </row>
    <row r="89" spans="1:17">
      <c r="A89" t="s">
        <v>61</v>
      </c>
      <c r="E89" s="70" t="n"/>
      <c r="F89" s="70" t="n"/>
      <c r="H89" s="69" t="n">
        <v>1.772988191737177</v>
      </c>
      <c r="K89" s="57" t="n">
        <v>1.520662958656429</v>
      </c>
    </row>
    <row r="90" spans="1:17">
      <c r="A90" t="n">
        <v>3.37</v>
      </c>
      <c r="E90" s="70" t="n"/>
      <c r="F90" s="70" t="n"/>
      <c r="H90" s="64" t="n">
        <v>2.217872466069996</v>
      </c>
      <c r="K90" s="57" t="n">
        <v>1.383101471692654</v>
      </c>
    </row>
    <row r="91" spans="1:17">
      <c r="E91" s="70" t="n"/>
      <c r="F91" s="70" t="n"/>
    </row>
    <row r="92" spans="1:17">
      <c r="A92" s="85" t="s">
        <v>692</v>
      </c>
      <c r="B92" s="96">
        <f>(E93/D93)^(1/4)-1</f>
        <v/>
      </c>
      <c r="C92" s="96">
        <f>(E92/D92)^(1/4)-1</f>
        <v/>
      </c>
      <c r="D92" s="70">
        <f>G92/H94</f>
        <v/>
      </c>
      <c r="E92" s="70">
        <f>J92/K94</f>
        <v/>
      </c>
      <c r="F92" s="70" t="n"/>
      <c r="G92" t="n">
        <v>4391.37</v>
      </c>
      <c r="H92" s="69" t="n">
        <v>9.627921707640569</v>
      </c>
      <c r="J92" t="n">
        <v>7974.98</v>
      </c>
      <c r="K92" s="57" t="n">
        <v>8.207947200330951</v>
      </c>
    </row>
    <row r="93" spans="1:17">
      <c r="A93" t="s">
        <v>39</v>
      </c>
      <c r="D93" s="70">
        <f>G92/H92</f>
        <v/>
      </c>
      <c r="E93" s="70">
        <f>J92/K92</f>
        <v/>
      </c>
      <c r="F93" s="70" t="n"/>
      <c r="H93" s="69" t="n">
        <v>11.51366009565697</v>
      </c>
      <c r="K93" s="57" t="n">
        <v>7.635585409189063</v>
      </c>
    </row>
    <row r="94" spans="1:17">
      <c r="A94" t="s">
        <v>40</v>
      </c>
      <c r="E94" s="70" t="n"/>
      <c r="F94" s="70" t="n"/>
      <c r="H94" s="69" t="n">
        <v>1.553220014400411</v>
      </c>
      <c r="K94" s="57" t="n">
        <v>1.640557587214317</v>
      </c>
    </row>
    <row r="95" spans="1:17">
      <c r="A95" t="n">
        <v>3.11</v>
      </c>
      <c r="E95" s="70" t="n"/>
      <c r="F95" s="70" t="n"/>
      <c r="H95" s="69" t="n">
        <v>1.543505169058499</v>
      </c>
      <c r="K95" s="57" t="n">
        <v>1.340079034207808</v>
      </c>
    </row>
    <row r="96" spans="1:17">
      <c r="E96" s="70" t="n"/>
      <c r="F96" s="70" t="n"/>
    </row>
    <row r="97" spans="1:17">
      <c r="A97" t="s">
        <v>117</v>
      </c>
      <c r="B97" s="96">
        <f>(E98/D98)^(1/4)-1</f>
        <v/>
      </c>
      <c r="C97" s="96">
        <f>(E97/D97)^(1/4)-1</f>
        <v/>
      </c>
      <c r="D97" s="70">
        <f>G97/H99</f>
        <v/>
      </c>
      <c r="E97" s="70">
        <f>J97/K99</f>
        <v/>
      </c>
      <c r="F97" s="70" t="n"/>
      <c r="G97" t="n">
        <v>1994.59</v>
      </c>
      <c r="H97" s="69" t="n">
        <v>11.57503718600372</v>
      </c>
      <c r="J97" t="n">
        <v>1647.77</v>
      </c>
      <c r="K97" s="56" t="n">
        <v>14.10743097119579</v>
      </c>
    </row>
    <row r="98" spans="1:17">
      <c r="A98" t="s">
        <v>118</v>
      </c>
      <c r="D98" s="70">
        <f>G97/H97</f>
        <v/>
      </c>
      <c r="E98" s="70">
        <f>J97/K97</f>
        <v/>
      </c>
      <c r="F98" s="70" t="n"/>
      <c r="H98" s="65" t="n">
        <v>40.34281080898016</v>
      </c>
      <c r="K98" s="58" t="n">
        <v>14.99056459851809</v>
      </c>
    </row>
    <row r="99" spans="1:17">
      <c r="A99" t="s">
        <v>49</v>
      </c>
      <c r="E99" s="70" t="n"/>
      <c r="F99" s="70" t="n"/>
      <c r="H99" s="66" t="n">
        <v>1.212601849275716</v>
      </c>
      <c r="K99" s="57" t="n">
        <v>1.13002740736341</v>
      </c>
    </row>
    <row r="100" spans="1:17">
      <c r="A100" t="n">
        <v>2.16</v>
      </c>
      <c r="E100" s="70" t="n"/>
      <c r="F100" s="70" t="n"/>
      <c r="H100" s="69" t="n">
        <v>1.724801178107518</v>
      </c>
      <c r="K100" s="57" t="n">
        <v>1.20212581782367</v>
      </c>
    </row>
    <row r="101" spans="1:17">
      <c r="E101" s="70" t="n"/>
      <c r="F101" s="70" t="n"/>
      <c r="H101" s="1" t="n"/>
      <c r="K101" s="1" t="n"/>
    </row>
    <row r="102" spans="1:17">
      <c r="A102" t="s">
        <v>121</v>
      </c>
      <c r="B102" s="96">
        <f>(E103/D103)^(1/4)-1</f>
        <v/>
      </c>
      <c r="C102" s="96">
        <f>(E102/D102)^(1/4)-1</f>
        <v/>
      </c>
      <c r="D102" s="70">
        <f>G102/H104</f>
        <v/>
      </c>
      <c r="E102" s="70">
        <f>J102/K104</f>
        <v/>
      </c>
      <c r="F102" s="70" t="n"/>
      <c r="G102" t="n">
        <v>2582.42</v>
      </c>
      <c r="H102" s="64" t="n">
        <v>39.89455707158957</v>
      </c>
      <c r="J102" t="n">
        <v>2456.11</v>
      </c>
      <c r="K102" s="57" t="n">
        <v>13.25593728865207</v>
      </c>
    </row>
    <row r="103" spans="1:17">
      <c r="A103" t="s">
        <v>122</v>
      </c>
      <c r="D103" s="70">
        <f>G102/H102</f>
        <v/>
      </c>
      <c r="E103" s="70">
        <f>J102/K102</f>
        <v/>
      </c>
      <c r="F103" s="70" t="n"/>
      <c r="H103" s="64" t="n">
        <v>64.32889937853645</v>
      </c>
      <c r="K103" s="57" t="n">
        <v>19.17814520005988</v>
      </c>
    </row>
    <row r="104" spans="1:17">
      <c r="A104" t="s">
        <v>49</v>
      </c>
      <c r="E104" s="70" t="n"/>
      <c r="F104" s="70" t="n"/>
      <c r="H104" s="64" t="n">
        <v>2.07651715303863</v>
      </c>
      <c r="K104" s="57" t="n">
        <v>1.651505143013493</v>
      </c>
    </row>
    <row r="105" spans="1:17">
      <c r="A105" t="n">
        <v>3.13</v>
      </c>
      <c r="E105" s="70" t="n"/>
      <c r="F105" s="70" t="n"/>
      <c r="H105" s="65" t="n">
        <v>2.470299365764745</v>
      </c>
      <c r="K105" s="57" t="n">
        <v>1.777380433108198</v>
      </c>
    </row>
    <row r="106" spans="1:17">
      <c r="E106" s="70" t="n"/>
      <c r="F106" s="70" t="n"/>
      <c r="H106" s="1" t="n"/>
      <c r="K106" s="1" t="n"/>
    </row>
    <row r="107" spans="1:17">
      <c r="A107" t="s">
        <v>125</v>
      </c>
      <c r="B107" s="96">
        <f>(E108/D108)^(1/4)-1</f>
        <v/>
      </c>
      <c r="C107" s="96">
        <f>(E107/D107)^(1/4)-1</f>
        <v/>
      </c>
      <c r="D107" s="70">
        <f>G107/H109</f>
        <v/>
      </c>
      <c r="E107" s="70">
        <f>J107/K109</f>
        <v/>
      </c>
      <c r="F107" s="70" t="n"/>
      <c r="G107" t="n">
        <v>3157.8</v>
      </c>
      <c r="H107" s="65" t="n">
        <v>24.26080961056553</v>
      </c>
      <c r="J107" t="n">
        <v>2627.45</v>
      </c>
      <c r="K107" s="57" t="n">
        <v>18.19943748164538</v>
      </c>
    </row>
    <row r="108" spans="1:17">
      <c r="A108" t="s">
        <v>126</v>
      </c>
      <c r="D108" s="70">
        <f>G107/H107</f>
        <v/>
      </c>
      <c r="E108" s="70">
        <f>J107/K107</f>
        <v/>
      </c>
      <c r="F108" s="70" t="n"/>
      <c r="H108" s="65" t="n">
        <v>41.99132813585174</v>
      </c>
      <c r="K108" s="56" t="n">
        <v>29.54261029910958</v>
      </c>
    </row>
    <row r="109" spans="1:17">
      <c r="A109" t="s">
        <v>49</v>
      </c>
      <c r="E109" s="70" t="n"/>
      <c r="F109" s="70" t="n"/>
      <c r="H109" s="65" t="n">
        <v>2.157582425033792</v>
      </c>
      <c r="K109" s="57" t="n">
        <v>1.607964543424338</v>
      </c>
    </row>
    <row r="110" spans="1:17">
      <c r="A110" s="70" t="n">
        <v>4.1</v>
      </c>
      <c r="E110" s="70" t="n"/>
      <c r="F110" s="70" t="n"/>
      <c r="H110" s="65" t="n">
        <v>2.779666546375026</v>
      </c>
      <c r="K110" s="57" t="n">
        <v>1.777825290073374</v>
      </c>
    </row>
    <row r="111" spans="1:17">
      <c r="E111" s="70" t="n"/>
      <c r="F111" s="70" t="n"/>
    </row>
    <row r="112" spans="1:17">
      <c r="A112" s="22" t="s">
        <v>102</v>
      </c>
      <c r="B112" s="96">
        <f>(E113/D113)^(1/4)-1</f>
        <v/>
      </c>
      <c r="C112" s="96">
        <f>(E112/D112)^(1/4)-1</f>
        <v/>
      </c>
      <c r="D112" s="70">
        <f>G112/H114</f>
        <v/>
      </c>
      <c r="E112" s="70">
        <f>J112/K114</f>
        <v/>
      </c>
      <c r="F112" s="70" t="n"/>
      <c r="G112" t="n">
        <v>4359.9</v>
      </c>
      <c r="H112" s="67" t="n">
        <v>21.4932800096399</v>
      </c>
      <c r="J112" t="n">
        <v>3944.75</v>
      </c>
      <c r="K112" s="55" t="n">
        <v>16.32359364500859</v>
      </c>
    </row>
    <row r="113" spans="1:17">
      <c r="A113" s="22" t="s">
        <v>103</v>
      </c>
      <c r="D113" s="70">
        <f>G112/H112</f>
        <v/>
      </c>
      <c r="E113" s="70">
        <f>J112/K112</f>
        <v/>
      </c>
      <c r="F113" s="70" t="n"/>
      <c r="G113" s="22" t="n"/>
      <c r="H113" s="67" t="n">
        <v>32.95067510133239</v>
      </c>
      <c r="J113" s="22" t="n"/>
      <c r="K113" s="55" t="n">
        <v>25.67152417506493</v>
      </c>
    </row>
    <row r="114" spans="1:17">
      <c r="A114" s="22" t="s">
        <v>49</v>
      </c>
      <c r="E114" s="70" t="n"/>
      <c r="F114" s="70" t="n"/>
      <c r="G114" s="22" t="n"/>
      <c r="H114" s="67" t="n">
        <v>2.697184291455644</v>
      </c>
      <c r="J114" s="22" t="n"/>
      <c r="K114" s="55" t="n">
        <v>1.789396858974221</v>
      </c>
    </row>
    <row r="115" spans="1:17">
      <c r="A115" s="22" t="n">
        <v>3.94</v>
      </c>
      <c r="E115" s="70" t="n"/>
      <c r="F115" s="70" t="n"/>
      <c r="G115" s="22" t="n"/>
      <c r="H115" s="67" t="n">
        <v>2.828551127987768</v>
      </c>
      <c r="J115" s="22" t="n"/>
      <c r="K115" s="55" t="n">
        <v>1.692544416455093</v>
      </c>
    </row>
    <row r="116" spans="1:17">
      <c r="E116" s="70" t="n"/>
      <c r="F116" s="70" t="n"/>
      <c r="H116" s="98" t="n"/>
      <c r="K116" s="98" t="n"/>
    </row>
    <row r="117" spans="1:17">
      <c r="A117" s="22" t="s">
        <v>139</v>
      </c>
      <c r="B117" s="96">
        <f>(E118/D118)^(1/4)-1</f>
        <v/>
      </c>
      <c r="C117" s="96">
        <f>(E117/D117)^(1/4)-1</f>
        <v/>
      </c>
      <c r="D117" s="70">
        <f>G117/H119</f>
        <v/>
      </c>
      <c r="E117" s="70">
        <f>J117/K119</f>
        <v/>
      </c>
      <c r="F117" s="70" t="n"/>
      <c r="G117" t="n">
        <v>6143.14</v>
      </c>
      <c r="H117" s="68" t="n">
        <v>25.3039179600568</v>
      </c>
      <c r="J117" t="n">
        <v>8858.74</v>
      </c>
      <c r="K117" s="54" t="n">
        <v>23.33788118296872</v>
      </c>
    </row>
    <row r="118" spans="1:17">
      <c r="A118" s="22" t="s">
        <v>140</v>
      </c>
      <c r="D118" s="70">
        <f>G117/H117</f>
        <v/>
      </c>
      <c r="E118" s="70">
        <f>J117/K117</f>
        <v/>
      </c>
      <c r="F118" s="70" t="n"/>
      <c r="G118" s="22" t="n"/>
      <c r="H118" s="67" t="n">
        <v>54.98926391616439</v>
      </c>
      <c r="J118" s="22" t="n"/>
      <c r="K118" s="55" t="n">
        <v>31.5600417243975</v>
      </c>
    </row>
    <row r="119" spans="1:17">
      <c r="A119" s="22" t="s">
        <v>49</v>
      </c>
      <c r="E119" s="70" t="n"/>
      <c r="F119" s="70" t="n"/>
      <c r="G119" s="22" t="n"/>
      <c r="H119" s="62" t="n">
        <v>3.193800578873388</v>
      </c>
      <c r="J119" s="22" t="n"/>
      <c r="K119" s="54" t="n">
        <v>3.510277872200793</v>
      </c>
    </row>
    <row r="120" spans="1:17">
      <c r="A120" s="22" t="n"/>
      <c r="E120" s="70" t="n"/>
      <c r="F120" s="70" t="n"/>
      <c r="G120" s="22" t="n"/>
      <c r="H120" s="68" t="n">
        <v>3.308540143405095</v>
      </c>
      <c r="J120" s="22" t="n"/>
      <c r="K120" s="55" t="n">
        <v>2.183417308123438</v>
      </c>
    </row>
    <row r="121" spans="1:17">
      <c r="E121" s="70" t="n"/>
      <c r="F121" s="70" t="n"/>
      <c r="H121" s="98" t="n"/>
      <c r="K121" s="98" t="n"/>
    </row>
    <row r="122" spans="1:17">
      <c r="A122" s="22" t="s">
        <v>47</v>
      </c>
      <c r="B122" s="96">
        <f>(E123/D123)^(1/4)-1</f>
        <v/>
      </c>
      <c r="C122" s="96">
        <f>(E122/D122)^(1/4)-1</f>
        <v/>
      </c>
      <c r="D122" s="70">
        <f>G122/H124</f>
        <v/>
      </c>
      <c r="E122" s="70">
        <f>J122/K124</f>
        <v/>
      </c>
      <c r="F122" s="70" t="n"/>
      <c r="G122" t="n">
        <v>7622.29</v>
      </c>
      <c r="H122" s="67" t="n">
        <v>40.15870755569927</v>
      </c>
      <c r="J122" t="n">
        <v>8518.66</v>
      </c>
      <c r="K122" s="55" t="n">
        <v>27.41490083845133</v>
      </c>
    </row>
    <row r="123" spans="1:17">
      <c r="A123" s="22" t="s">
        <v>48</v>
      </c>
      <c r="D123" s="70">
        <f>G122/H122</f>
        <v/>
      </c>
      <c r="E123" s="70">
        <f>J122/K122</f>
        <v/>
      </c>
      <c r="F123" s="70" t="n"/>
      <c r="G123" s="22" t="n"/>
      <c r="H123" s="67" t="n">
        <v>49.51526392814201</v>
      </c>
      <c r="J123" s="22" t="n"/>
      <c r="K123" s="55" t="n">
        <v>26.51419561885085</v>
      </c>
    </row>
    <row r="124" spans="1:17">
      <c r="A124" s="22" t="s">
        <v>49</v>
      </c>
      <c r="E124" s="70" t="n"/>
      <c r="F124" s="70" t="n"/>
      <c r="G124" s="22" t="n"/>
      <c r="H124" s="67" t="n">
        <v>4.657981792441837</v>
      </c>
      <c r="J124" s="22" t="n"/>
      <c r="K124" s="55" t="n">
        <v>3.243136253999383</v>
      </c>
    </row>
    <row r="125" spans="1:17">
      <c r="A125" s="22" t="n">
        <v>3.82</v>
      </c>
      <c r="E125" s="70" t="n"/>
      <c r="F125" s="70" t="n"/>
      <c r="G125" s="22" t="n"/>
      <c r="H125" s="67" t="n">
        <v>4.508192858334279</v>
      </c>
      <c r="J125" s="22" t="n"/>
      <c r="K125" s="55" t="n">
        <v>2.489904122223435</v>
      </c>
    </row>
    <row r="126" spans="1:17">
      <c r="E126" s="70" t="n"/>
      <c r="F126" s="70" t="n"/>
      <c r="H126" s="98" t="n"/>
      <c r="K126" s="98" t="n"/>
    </row>
    <row r="127" spans="1:17">
      <c r="A127" s="22" t="s">
        <v>62</v>
      </c>
      <c r="B127" s="96">
        <f>(E128/D128)^(1/4)-1</f>
        <v/>
      </c>
      <c r="C127" s="96">
        <f>(E127/D127)^(1/4)-1</f>
        <v/>
      </c>
      <c r="D127" s="70">
        <f>G127/H129</f>
        <v/>
      </c>
      <c r="E127" s="70">
        <f>J127/K129</f>
        <v/>
      </c>
      <c r="F127" s="70" t="n"/>
      <c r="G127" t="n">
        <v>3892.21</v>
      </c>
      <c r="H127" s="63" t="n">
        <v>6.404392525637543</v>
      </c>
      <c r="J127" t="n">
        <v>5209.02</v>
      </c>
      <c r="K127" s="54" t="n">
        <v>8.104124934659991</v>
      </c>
    </row>
    <row r="128" spans="1:17">
      <c r="A128" s="22" t="s">
        <v>63</v>
      </c>
      <c r="D128" s="70">
        <f>G127/H127</f>
        <v/>
      </c>
      <c r="E128" s="70">
        <f>J127/K127</f>
        <v/>
      </c>
      <c r="F128" s="70" t="n"/>
      <c r="G128" s="22" t="n"/>
      <c r="H128" s="68" t="n">
        <v>14.5359350100386</v>
      </c>
      <c r="J128" s="22" t="n"/>
      <c r="K128" s="55" t="n">
        <v>12.82551987026001</v>
      </c>
    </row>
    <row r="129" spans="1:17">
      <c r="A129" s="22" t="s">
        <v>49</v>
      </c>
      <c r="E129" s="70" t="n"/>
      <c r="F129" s="70" t="n"/>
      <c r="G129" s="22" t="n"/>
      <c r="H129" s="63" t="n">
        <v>1.08590785762942</v>
      </c>
      <c r="J129" s="22" t="n"/>
      <c r="K129" s="55" t="n">
        <v>1.032920774563979</v>
      </c>
    </row>
    <row r="130" spans="1:17">
      <c r="A130" s="22" t="n">
        <v>2.75</v>
      </c>
      <c r="E130" s="70" t="n"/>
      <c r="F130" s="70" t="n"/>
      <c r="G130" s="22" t="n"/>
      <c r="H130" s="68" t="n">
        <v>1.746833901842161</v>
      </c>
      <c r="J130" s="22" t="n"/>
      <c r="K130" s="55" t="n">
        <v>1.192503162350179</v>
      </c>
    </row>
    <row r="131" spans="1:17">
      <c r="E131" s="70" t="n"/>
      <c r="F131" s="70" t="n"/>
      <c r="H131" s="98" t="n"/>
      <c r="K131" s="98" t="n"/>
    </row>
    <row r="132" spans="1:17">
      <c r="A132" s="22" t="s">
        <v>64</v>
      </c>
      <c r="B132" s="96">
        <f>(E133/D133)^(1/5)-1</f>
        <v/>
      </c>
      <c r="C132" s="96">
        <f>(E132/D132)^(1/5)-1</f>
        <v/>
      </c>
      <c r="D132" s="70">
        <f>G132/H134</f>
        <v/>
      </c>
      <c r="E132" s="70">
        <f>J132/K134</f>
        <v/>
      </c>
      <c r="F132" s="70" t="n"/>
      <c r="G132" t="n">
        <v>3819</v>
      </c>
      <c r="H132" s="67" t="n">
        <v>58.58</v>
      </c>
      <c r="J132" t="n">
        <v>5268</v>
      </c>
      <c r="K132" s="55" t="n">
        <v>40.05</v>
      </c>
    </row>
    <row r="133" spans="1:17">
      <c r="A133" s="22" t="s">
        <v>65</v>
      </c>
      <c r="D133" s="70">
        <f>G132/H132</f>
        <v/>
      </c>
      <c r="E133" s="70">
        <f>J132/K132</f>
        <v/>
      </c>
      <c r="F133" s="70" t="n"/>
      <c r="G133" s="22" t="n"/>
      <c r="H133" s="67" t="n"/>
      <c r="J133" s="22" t="n"/>
      <c r="K133" s="54" t="n"/>
    </row>
    <row r="134" spans="1:17">
      <c r="A134" s="22" t="s">
        <v>49</v>
      </c>
      <c r="E134" s="70" t="n"/>
      <c r="F134" s="70" t="n"/>
      <c r="G134" s="22" t="n"/>
      <c r="H134" s="67" t="n">
        <v>4.59</v>
      </c>
      <c r="J134" s="22" t="n"/>
      <c r="K134" s="55" t="n">
        <v>3.61</v>
      </c>
    </row>
    <row r="135" spans="1:17">
      <c r="A135" s="22" t="n">
        <v>6.72</v>
      </c>
      <c r="E135" s="70" t="n"/>
      <c r="F135" s="70" t="n"/>
      <c r="G135" s="22" t="n"/>
      <c r="H135" s="67" t="n"/>
      <c r="J135" s="22" t="n"/>
      <c r="K135" s="55" t="n"/>
    </row>
    <row r="136" spans="1:17">
      <c r="E136" s="70" t="n"/>
      <c r="F136" s="70" t="n"/>
      <c r="H136" s="98" t="n"/>
      <c r="K136" s="98" t="n"/>
    </row>
    <row r="137" spans="1:17">
      <c r="A137" t="s">
        <v>133</v>
      </c>
      <c r="B137" s="96">
        <f>(E138/D138)^(1/5)-1</f>
        <v/>
      </c>
      <c r="C137" s="96">
        <f>(E137/D137)^(1/5)-1</f>
        <v/>
      </c>
      <c r="D137" s="70">
        <f>G137/H139</f>
        <v/>
      </c>
      <c r="E137" s="70">
        <f>J137/K139</f>
        <v/>
      </c>
      <c r="F137" s="70" t="n"/>
      <c r="G137" t="n">
        <v>4486.87</v>
      </c>
      <c r="H137" s="67" t="n">
        <v>55.54496050473106</v>
      </c>
      <c r="J137" t="n">
        <v>4130.24</v>
      </c>
      <c r="K137" s="55" t="n">
        <v>31.91385473780182</v>
      </c>
    </row>
    <row r="138" spans="1:17">
      <c r="A138" t="s">
        <v>134</v>
      </c>
      <c r="D138" s="70">
        <f>G137/H137</f>
        <v/>
      </c>
      <c r="E138" s="70">
        <f>J137/K137</f>
        <v/>
      </c>
      <c r="F138" s="70" t="n"/>
      <c r="G138" s="22" t="n"/>
      <c r="H138" s="67" t="n"/>
      <c r="J138" s="22" t="n"/>
      <c r="K138" s="54" t="n"/>
    </row>
    <row r="139" spans="1:17">
      <c r="A139" t="s">
        <v>49</v>
      </c>
      <c r="E139" s="70" t="n"/>
      <c r="F139" s="70" t="n"/>
      <c r="G139" s="22" t="n"/>
      <c r="H139" s="67" t="n">
        <v>4.477912209679252</v>
      </c>
      <c r="J139" s="22" t="n"/>
      <c r="K139" s="55" t="n">
        <v>2.799862412429008</v>
      </c>
    </row>
    <row r="140" spans="1:17">
      <c r="A140" t="n">
        <v>3.48</v>
      </c>
      <c r="E140" s="70" t="n"/>
      <c r="F140" s="70" t="n"/>
      <c r="G140" s="22" t="n"/>
      <c r="H140" s="67" t="n"/>
      <c r="J140" s="22" t="n"/>
      <c r="K140" s="55" t="n"/>
    </row>
    <row r="141" spans="1:17">
      <c r="E141" s="70" t="n"/>
      <c r="F141" s="70" t="n"/>
      <c r="H141" s="98" t="n"/>
      <c r="K141" s="98" t="n"/>
    </row>
    <row r="142" spans="1:17">
      <c r="A142" t="s">
        <v>131</v>
      </c>
      <c r="B142" s="96">
        <f>(E143/D143)^(1/4)-1</f>
        <v/>
      </c>
      <c r="C142" s="96">
        <f>(E142/D142)^(1/4)-1</f>
        <v/>
      </c>
      <c r="D142" s="70">
        <f>G142/H144</f>
        <v/>
      </c>
      <c r="E142" s="70">
        <f>J142/K144</f>
        <v/>
      </c>
      <c r="F142" s="70" t="n"/>
      <c r="G142" t="n">
        <v>2179.656</v>
      </c>
      <c r="H142" s="69" t="n">
        <v>13.53964835347676</v>
      </c>
      <c r="J142" t="n">
        <v>1948.71</v>
      </c>
      <c r="K142" s="59" t="n">
        <v>19.43950642300222</v>
      </c>
    </row>
    <row r="143" spans="1:17">
      <c r="A143" t="s">
        <v>132</v>
      </c>
      <c r="D143" s="70">
        <f>G142/H142</f>
        <v/>
      </c>
      <c r="E143" s="70">
        <f>J142/K142</f>
        <v/>
      </c>
      <c r="F143" s="70" t="n"/>
      <c r="H143" s="69" t="n">
        <v>19.58649690223039</v>
      </c>
      <c r="K143" s="59" t="n">
        <v>26.88958729664316</v>
      </c>
    </row>
    <row r="144" spans="1:17">
      <c r="A144" t="s">
        <v>49</v>
      </c>
      <c r="E144" s="70" t="n"/>
      <c r="F144" s="70" t="n"/>
      <c r="H144" s="65" t="n">
        <v>1.764496908066743</v>
      </c>
      <c r="K144" s="57" t="n">
        <v>1.468478857515896</v>
      </c>
    </row>
    <row r="145" spans="1:17">
      <c r="E145" s="70" t="n"/>
      <c r="F145" s="70" t="n"/>
      <c r="H145" s="65" t="n">
        <v>2.039174834043207</v>
      </c>
      <c r="K145" s="57" t="n">
        <v>1.351193669513525</v>
      </c>
    </row>
    <row r="146" spans="1:17">
      <c r="E146" s="70" t="n"/>
      <c r="F146" s="70" t="n"/>
      <c r="H146" s="98" t="n"/>
      <c r="K146" s="98" t="n"/>
    </row>
    <row r="147" spans="1:17">
      <c r="A147" t="s">
        <v>69</v>
      </c>
      <c r="B147" s="96">
        <f>(E148/D148)^(1/4)-1</f>
        <v/>
      </c>
      <c r="C147" s="96">
        <f>(E147/D147)^(1/4)-1</f>
        <v/>
      </c>
      <c r="D147" s="70">
        <f>G147/H149</f>
        <v/>
      </c>
      <c r="E147" s="70">
        <f>J147/K149</f>
        <v/>
      </c>
      <c r="F147" s="70" t="n"/>
      <c r="G147" t="n">
        <v>5425.35</v>
      </c>
      <c r="H147" s="64" t="n">
        <v>31.37014498702603</v>
      </c>
      <c r="J147" t="n">
        <v>5224.42</v>
      </c>
      <c r="K147" s="57" t="n">
        <v>20.44318807054792</v>
      </c>
    </row>
    <row r="148" spans="1:17">
      <c r="A148" t="s">
        <v>70</v>
      </c>
      <c r="D148" s="70">
        <f>G147/H147</f>
        <v/>
      </c>
      <c r="E148" s="70">
        <f>J147/K147</f>
        <v/>
      </c>
      <c r="F148" s="70" t="n"/>
      <c r="H148" s="64" t="n">
        <v>33.69341675545927</v>
      </c>
      <c r="K148" s="57" t="n">
        <v>20.04164318224774</v>
      </c>
    </row>
    <row r="149" spans="1:17">
      <c r="A149" t="s">
        <v>71</v>
      </c>
      <c r="E149" s="70" t="n"/>
      <c r="F149" s="70" t="n"/>
      <c r="H149" s="69" t="n">
        <v>3.771996818024981</v>
      </c>
      <c r="K149" s="57" t="n">
        <v>2.850686553062046</v>
      </c>
    </row>
    <row r="150" spans="1:17">
      <c r="E150" s="70" t="n"/>
      <c r="F150" s="70" t="n"/>
      <c r="H150" s="69" t="n">
        <v>3.707914976245239</v>
      </c>
      <c r="K150" s="57" t="n">
        <v>2.40861704661123</v>
      </c>
    </row>
    <row r="151" spans="1:17">
      <c r="E151" s="70" t="n"/>
      <c r="F151" s="70" t="n"/>
      <c r="H151" s="98" t="n"/>
      <c r="K151" s="98" t="n"/>
    </row>
    <row r="152" spans="1:17">
      <c r="A152" t="s">
        <v>72</v>
      </c>
      <c r="B152" s="96">
        <f>(E153/D153)^(1/4)-1</f>
        <v/>
      </c>
      <c r="C152" s="96">
        <f>(E152/D152)^(1/4)-1</f>
        <v/>
      </c>
      <c r="D152" s="70">
        <f>G152/H154</f>
        <v/>
      </c>
      <c r="E152" s="70">
        <f>J152/K154</f>
        <v/>
      </c>
      <c r="F152" s="70" t="n"/>
      <c r="G152" t="n">
        <v>1504.83</v>
      </c>
      <c r="H152" s="64" t="n">
        <v>58.77627959911593</v>
      </c>
      <c r="J152" t="n">
        <v>1363.03</v>
      </c>
      <c r="K152" s="57" t="n">
        <v>30.3551128551267</v>
      </c>
    </row>
    <row r="153" spans="1:17">
      <c r="A153" t="s">
        <v>73</v>
      </c>
      <c r="D153" s="70">
        <f>G152/H152</f>
        <v/>
      </c>
      <c r="E153" s="70">
        <f>J152/K152</f>
        <v/>
      </c>
      <c r="F153" s="70" t="n"/>
      <c r="H153" s="65" t="n">
        <v>61.18817461048594</v>
      </c>
      <c r="K153" s="57" t="n">
        <v>30.76861152804248</v>
      </c>
    </row>
    <row r="154" spans="1:17">
      <c r="A154" t="s">
        <v>74</v>
      </c>
      <c r="E154" s="70" t="n"/>
      <c r="F154" s="70" t="n"/>
      <c r="H154" s="65" t="n">
        <v>6.056091760093079</v>
      </c>
      <c r="K154" s="57" t="n">
        <v>3.54395671946514</v>
      </c>
    </row>
    <row r="155" spans="1:17">
      <c r="A155" t="n">
        <v>6.4</v>
      </c>
      <c r="E155" s="70" t="n"/>
      <c r="F155" s="70" t="n"/>
      <c r="H155" s="65" t="n">
        <v>5.54816549054518</v>
      </c>
      <c r="K155" s="57" t="n">
        <v>2.772773965480881</v>
      </c>
    </row>
    <row r="156" spans="1:17">
      <c r="E156" s="70" t="n"/>
      <c r="F156" s="70" t="n"/>
      <c r="H156" s="98" t="n"/>
      <c r="K156" s="98" t="n"/>
    </row>
    <row r="157" spans="1:17">
      <c r="A157" t="s">
        <v>75</v>
      </c>
      <c r="B157" s="96">
        <f>(E158/D158)^(1/4)-1</f>
        <v/>
      </c>
      <c r="C157" s="96">
        <f>(E157/D157)^(1/4)-1</f>
        <v/>
      </c>
      <c r="D157" s="70">
        <f>G157/H159</f>
        <v/>
      </c>
      <c r="E157" s="70">
        <f>J157/K159</f>
        <v/>
      </c>
      <c r="F157" s="70" t="n"/>
      <c r="G157" t="n">
        <v>1431.67</v>
      </c>
      <c r="H157" s="64" t="n">
        <v>54.81659757553848</v>
      </c>
      <c r="J157" t="n">
        <v>1115.68</v>
      </c>
      <c r="K157" s="57" t="n">
        <v>31.57894625491178</v>
      </c>
    </row>
    <row r="158" spans="1:17">
      <c r="A158" t="s">
        <v>76</v>
      </c>
      <c r="D158" s="70">
        <f>G157/H157</f>
        <v/>
      </c>
      <c r="E158" s="70">
        <f>J157/K157</f>
        <v/>
      </c>
      <c r="F158" s="70" t="n"/>
      <c r="H158" s="64" t="n">
        <v>57.43829000204756</v>
      </c>
      <c r="K158" s="57" t="n">
        <v>30.39183273099088</v>
      </c>
    </row>
    <row r="159" spans="1:17">
      <c r="A159" t="s">
        <v>77</v>
      </c>
      <c r="E159" s="70" t="n"/>
      <c r="F159" s="70" t="n"/>
      <c r="H159" s="69" t="n">
        <v>6.206488361892082</v>
      </c>
      <c r="K159" s="57" t="n">
        <v>3.955598314479635</v>
      </c>
    </row>
    <row r="160" spans="1:17">
      <c r="E160" s="70" t="n"/>
      <c r="F160" s="70" t="n"/>
      <c r="H160" s="64" t="n">
        <v>5.663598380615757</v>
      </c>
      <c r="K160" s="57" t="n">
        <v>3.06499380687019</v>
      </c>
    </row>
    <row r="161" spans="1:17">
      <c r="E161" s="70" t="n"/>
      <c r="F161" s="70" t="n"/>
      <c r="H161" s="98" t="n"/>
      <c r="K161" s="98" t="n"/>
    </row>
    <row r="162" spans="1:17">
      <c r="A162" t="s">
        <v>97</v>
      </c>
      <c r="B162" s="96" t="n"/>
      <c r="C162" s="96" t="n"/>
      <c r="E162" s="70" t="n"/>
      <c r="F162" s="70" t="n"/>
    </row>
    <row r="163" spans="1:17">
      <c r="A163" t="s">
        <v>98</v>
      </c>
      <c r="E163" s="70" t="n"/>
      <c r="F163" s="70" t="n"/>
    </row>
    <row r="164" spans="1:17">
      <c r="A164" t="s">
        <v>99</v>
      </c>
      <c r="E164" s="70" t="n"/>
      <c r="F164" s="70" t="n"/>
    </row>
    <row r="165" spans="1:17">
      <c r="E165" s="70" t="n"/>
      <c r="F165" s="70" t="n"/>
    </row>
    <row r="166" spans="1:17">
      <c r="E166" s="70" t="n"/>
      <c r="F166" s="70" t="n"/>
    </row>
    <row r="167" spans="1:17">
      <c r="A167" s="22" t="s">
        <v>693</v>
      </c>
      <c r="B167" s="96">
        <f>(E168/D168)^(1/4)-1</f>
        <v/>
      </c>
      <c r="C167" s="96">
        <f>(E167/D167)^(1/4)-1</f>
        <v/>
      </c>
      <c r="D167" s="70">
        <f>G167/H170</f>
        <v/>
      </c>
      <c r="E167" s="70">
        <f>J167/K170</f>
        <v/>
      </c>
      <c r="F167" s="70" t="n"/>
      <c r="G167" t="n">
        <v>6304.615</v>
      </c>
      <c r="H167" s="64" t="n">
        <v>20.88464408788173</v>
      </c>
      <c r="J167" t="n">
        <v>6616.57</v>
      </c>
      <c r="K167" s="55" t="n">
        <v>19.12843755232631</v>
      </c>
    </row>
    <row r="168" spans="1:17">
      <c r="A168" s="22" t="s">
        <v>79</v>
      </c>
      <c r="D168" s="70">
        <f>G167/H168</f>
        <v/>
      </c>
      <c r="E168" s="70">
        <f>J167/K168</f>
        <v/>
      </c>
      <c r="F168" s="70" t="n"/>
      <c r="H168" s="65" t="n">
        <v>30.1317434289037</v>
      </c>
      <c r="J168" s="22" t="n"/>
      <c r="K168" s="55" t="n">
        <v>21.55037815458045</v>
      </c>
    </row>
    <row r="169" spans="1:17">
      <c r="A169" s="22" t="s">
        <v>80</v>
      </c>
      <c r="E169" s="70" t="n"/>
      <c r="F169" s="70" t="n"/>
      <c r="H169" s="64" t="n">
        <v>2.669096033367515</v>
      </c>
      <c r="J169" s="22" t="n"/>
      <c r="K169" s="55" t="n">
        <v>2.720941752297053</v>
      </c>
    </row>
    <row r="170" spans="1:17">
      <c r="A170" s="22" t="n"/>
      <c r="E170" s="70" t="n"/>
      <c r="F170" s="70" t="n"/>
      <c r="H170" s="65" t="n">
        <v>3.827906605226607</v>
      </c>
      <c r="J170" s="22" t="n"/>
      <c r="K170" s="55" t="n">
        <v>2.599229898065375</v>
      </c>
    </row>
    <row r="171" spans="1:17">
      <c r="E171" s="70" t="n"/>
      <c r="F171" s="70" t="n"/>
      <c r="H171" s="98" t="n"/>
      <c r="K171" s="98" t="n"/>
    </row>
    <row r="172" spans="1:17">
      <c r="A172" s="22" t="s">
        <v>33</v>
      </c>
      <c r="B172" s="96">
        <f>(E173/D173)^(1/4)-1</f>
        <v/>
      </c>
      <c r="C172" s="96">
        <f>(E172/D172)^(1/4)-1</f>
        <v/>
      </c>
      <c r="D172" s="70">
        <f>G172/H174</f>
        <v/>
      </c>
      <c r="E172" s="70">
        <f>J172/K174</f>
        <v/>
      </c>
      <c r="F172" s="70" t="n"/>
      <c r="G172" t="n">
        <v>3466.14</v>
      </c>
      <c r="H172" s="63" t="n">
        <v>24.76864323581428</v>
      </c>
      <c r="J172" t="n">
        <v>3211.04</v>
      </c>
      <c r="K172" s="57" t="n">
        <v>13.07797109227461</v>
      </c>
    </row>
    <row r="173" spans="1:17">
      <c r="A173" s="22" t="s">
        <v>34</v>
      </c>
      <c r="D173" s="70">
        <f>G172/H172</f>
        <v/>
      </c>
      <c r="E173" s="70">
        <f>J172/K172</f>
        <v/>
      </c>
      <c r="F173" s="70" t="n"/>
      <c r="G173" s="22" t="n"/>
      <c r="H173" s="68" t="n">
        <v>25.95257420813262</v>
      </c>
      <c r="K173" s="57" t="n">
        <v>17.37013458302984</v>
      </c>
    </row>
    <row r="174" spans="1:17">
      <c r="A174" s="22" t="s">
        <v>35</v>
      </c>
      <c r="E174" s="70" t="n"/>
      <c r="F174" s="70" t="n"/>
      <c r="G174" s="22" t="n"/>
      <c r="H174" s="63" t="n">
        <v>2.296065267089752</v>
      </c>
      <c r="K174" s="57" t="n">
        <v>1.49610047678988</v>
      </c>
    </row>
    <row r="175" spans="1:17">
      <c r="A175" s="22" t="n">
        <v>3.16</v>
      </c>
      <c r="E175" s="70" t="n"/>
      <c r="F175" s="70" t="n"/>
      <c r="G175" s="22" t="n"/>
      <c r="H175" s="63" t="n">
        <v>2.275798950249097</v>
      </c>
      <c r="K175" s="57" t="n">
        <v>1.681594426137704</v>
      </c>
    </row>
    <row r="176" spans="1:17">
      <c r="E176" s="70" t="n"/>
      <c r="F176" s="70" t="n"/>
      <c r="H176" s="98" t="n"/>
      <c r="K176" s="98" t="n"/>
    </row>
    <row r="177" spans="1:17">
      <c r="A177" t="s">
        <v>41</v>
      </c>
      <c r="B177" s="96">
        <f>(E178/D178)^(1/5)-1</f>
        <v/>
      </c>
      <c r="C177" s="96">
        <f>(E177/D177)^(1/5)-1</f>
        <v/>
      </c>
      <c r="D177" s="70">
        <f>G177/H179</f>
        <v/>
      </c>
      <c r="E177" s="70">
        <f>J177/K179</f>
        <v/>
      </c>
      <c r="F177" s="70" t="n"/>
      <c r="G177" t="n">
        <v>999</v>
      </c>
      <c r="H177" s="69" t="n">
        <v>27.69</v>
      </c>
      <c r="J177" s="127" t="n">
        <v>977</v>
      </c>
      <c r="K177" s="57" t="n">
        <v>17.46</v>
      </c>
    </row>
    <row r="178" spans="1:17">
      <c r="A178" t="s">
        <v>42</v>
      </c>
      <c r="D178" s="70">
        <f>G177/H177</f>
        <v/>
      </c>
      <c r="E178" s="70">
        <f>J177/K177</f>
        <v/>
      </c>
      <c r="F178" s="70" t="n"/>
      <c r="H178" s="64" t="n"/>
      <c r="K178" s="57" t="n"/>
    </row>
    <row r="179" spans="1:17">
      <c r="A179" t="s">
        <v>43</v>
      </c>
      <c r="E179" s="70" t="n"/>
      <c r="F179" s="70" t="n"/>
      <c r="H179" s="69" t="n">
        <v>5.53</v>
      </c>
      <c r="K179" s="57" t="n">
        <v>3.74</v>
      </c>
    </row>
    <row r="180" spans="1:17">
      <c r="A180" t="n">
        <v>3.4</v>
      </c>
      <c r="E180" s="70" t="n"/>
      <c r="F180" s="70" t="n"/>
      <c r="H180" s="64" t="n"/>
      <c r="K180" s="57" t="n"/>
    </row>
    <row r="181" spans="1:17">
      <c r="E181" s="70" t="n"/>
      <c r="F181" s="70" t="n"/>
      <c r="H181" s="98" t="n"/>
      <c r="K181" s="98" t="n"/>
    </row>
    <row r="182" spans="1:17">
      <c r="A182" s="22" t="s">
        <v>694</v>
      </c>
      <c r="B182" s="96">
        <f>(E183/D183)^(1/4)-1</f>
        <v/>
      </c>
      <c r="C182" s="96">
        <f>(E182/D182)^(1/4)-1</f>
        <v/>
      </c>
      <c r="D182" s="70">
        <f>G182/H184</f>
        <v/>
      </c>
      <c r="E182" s="70">
        <f>J182/K184</f>
        <v/>
      </c>
      <c r="F182" s="70" t="n"/>
      <c r="G182" t="n">
        <v>8904.389999999999</v>
      </c>
      <c r="H182" s="65" t="n">
        <v>84.03131524874613</v>
      </c>
      <c r="J182" t="n">
        <v>6960.44</v>
      </c>
      <c r="K182" s="55" t="n">
        <v>50.87567899420423</v>
      </c>
    </row>
    <row r="183" spans="1:17">
      <c r="A183" s="22" t="s">
        <v>82</v>
      </c>
      <c r="D183" s="70">
        <f>G182/H182</f>
        <v/>
      </c>
      <c r="E183" s="70">
        <f>J182/K182</f>
        <v/>
      </c>
      <c r="F183" s="70" t="n"/>
      <c r="H183" s="65" t="n">
        <v>96.58069543188154</v>
      </c>
      <c r="J183" s="22" t="n"/>
      <c r="K183" s="55" t="n">
        <v>51.62794682970977</v>
      </c>
    </row>
    <row r="184" spans="1:17">
      <c r="A184" s="22" t="s">
        <v>83</v>
      </c>
      <c r="E184" s="70" t="n"/>
      <c r="F184" s="70" t="n"/>
      <c r="H184" s="65" t="n">
        <v>3.985928937899434</v>
      </c>
      <c r="J184" s="22" t="n"/>
      <c r="K184" s="55" t="n">
        <v>2.226315971253741</v>
      </c>
    </row>
    <row r="185" spans="1:17">
      <c r="A185" s="22" t="n">
        <v>6.44</v>
      </c>
      <c r="E185" s="70" t="n"/>
      <c r="F185" s="70" t="n"/>
      <c r="H185" s="65" t="n">
        <v>4.661913416425701</v>
      </c>
      <c r="J185" s="22" t="n"/>
      <c r="K185" s="55" t="n">
        <v>2.501653560147398</v>
      </c>
    </row>
    <row r="186" spans="1:17">
      <c r="E186" s="70" t="n"/>
      <c r="F186" s="70" t="n"/>
      <c r="H186" s="98" t="n"/>
      <c r="K186" s="98" t="n"/>
    </row>
    <row r="187" spans="1:17">
      <c r="A187" t="s">
        <v>114</v>
      </c>
      <c r="B187" s="96">
        <f>(E188/D188)^(1/4)-1</f>
        <v/>
      </c>
      <c r="C187" s="96">
        <f>(E187/D187)^(1/4)-1</f>
        <v/>
      </c>
      <c r="D187" s="70">
        <f>G187/H189</f>
        <v/>
      </c>
      <c r="E187" s="70">
        <f>J187/K189</f>
        <v/>
      </c>
      <c r="F187" s="70" t="n"/>
      <c r="G187" t="n">
        <v>1961.123</v>
      </c>
      <c r="H187" s="67" t="n">
        <v>43.64588216343962</v>
      </c>
      <c r="J187" t="n">
        <v>1793.32</v>
      </c>
      <c r="K187" s="57" t="n">
        <v>26.27720590476008</v>
      </c>
    </row>
    <row r="188" spans="1:17">
      <c r="A188" t="s">
        <v>115</v>
      </c>
      <c r="D188" s="70">
        <f>G187/H187</f>
        <v/>
      </c>
      <c r="E188" s="70">
        <f>J187/K187</f>
        <v/>
      </c>
      <c r="F188" s="70" t="n"/>
      <c r="G188" s="22" t="n"/>
      <c r="H188" s="68" t="n">
        <v>40.36080966064652</v>
      </c>
      <c r="K188" s="57" t="n">
        <v>25.11921180084659</v>
      </c>
    </row>
    <row r="189" spans="1:17">
      <c r="A189" t="s">
        <v>116</v>
      </c>
      <c r="E189" s="70" t="n"/>
      <c r="F189" s="70" t="n"/>
      <c r="G189" s="22" t="n"/>
      <c r="H189" s="67" t="n">
        <v>4.211276416436262</v>
      </c>
      <c r="K189" s="57" t="n">
        <v>3.157518268645466</v>
      </c>
    </row>
    <row r="190" spans="1:17">
      <c r="E190" s="70" t="n"/>
      <c r="F190" s="70" t="n"/>
      <c r="G190" s="22" t="n"/>
      <c r="H190" s="68" t="n">
        <v>4.108670942812032</v>
      </c>
      <c r="K190" s="57" t="n">
        <v>2.721947418224508</v>
      </c>
    </row>
    <row r="191" spans="1:17">
      <c r="E191" s="70" t="n"/>
      <c r="F191" s="70" t="n"/>
      <c r="H191" s="98" t="n"/>
      <c r="K191" s="98" t="n"/>
    </row>
    <row r="192" spans="1:17">
      <c r="A192" s="22" t="s">
        <v>695</v>
      </c>
      <c r="B192" s="96">
        <f>(E193/D193)^(1/4)-1</f>
        <v/>
      </c>
      <c r="C192" s="96">
        <f>(E192/D192)^(1/4)-1</f>
        <v/>
      </c>
      <c r="D192" s="70">
        <f>G192/H194</f>
        <v/>
      </c>
      <c r="E192" s="70">
        <f>J192/K194</f>
        <v/>
      </c>
      <c r="F192" s="70" t="n"/>
      <c r="G192" t="n">
        <v>1819.472</v>
      </c>
      <c r="H192" s="65" t="n">
        <v>49.8560926463604</v>
      </c>
      <c r="J192" t="n">
        <v>1172.97</v>
      </c>
      <c r="K192" s="55" t="n">
        <v>21.24479415607305</v>
      </c>
    </row>
    <row r="193" spans="1:17">
      <c r="A193" s="22" t="s">
        <v>87</v>
      </c>
      <c r="D193" s="70">
        <f>G192/H192</f>
        <v/>
      </c>
      <c r="E193" s="70">
        <f>J192/K192</f>
        <v/>
      </c>
      <c r="F193" s="70" t="n"/>
      <c r="H193" s="65" t="n">
        <v>53.12908209297258</v>
      </c>
      <c r="J193" s="22" t="n"/>
      <c r="K193" s="55" t="n">
        <v>21.60791193393923</v>
      </c>
    </row>
    <row r="194" spans="1:17">
      <c r="A194" s="22" t="s">
        <v>88</v>
      </c>
      <c r="E194" s="70" t="n"/>
      <c r="F194" s="70" t="n"/>
      <c r="H194" s="64" t="n">
        <v>4.884549226001138</v>
      </c>
      <c r="J194" s="22" t="n"/>
      <c r="K194" s="55" t="n">
        <v>2.543142696589955</v>
      </c>
    </row>
    <row r="195" spans="1:17">
      <c r="A195" s="22" t="n">
        <v>7.4</v>
      </c>
      <c r="E195" s="70" t="n"/>
      <c r="F195" s="70" t="n"/>
      <c r="H195" s="64" t="n">
        <v>4.684710822842741</v>
      </c>
      <c r="J195" s="22" t="n"/>
      <c r="K195" s="55" t="n">
        <v>1.905539475433469</v>
      </c>
    </row>
    <row r="196" spans="1:17">
      <c r="E196" s="70" t="n"/>
      <c r="F196" s="70" t="n"/>
      <c r="H196" s="98" t="n"/>
      <c r="K196" s="98" t="n"/>
    </row>
    <row r="197" spans="1:17">
      <c r="A197" s="22" t="s">
        <v>66</v>
      </c>
      <c r="B197" s="96">
        <f>(E198/D198)^(1/4)-1</f>
        <v/>
      </c>
      <c r="C197" s="96">
        <f>(E197/D197)^(1/4)-1</f>
        <v/>
      </c>
      <c r="D197" s="70">
        <f>G197/H199</f>
        <v/>
      </c>
      <c r="E197" s="70">
        <f>J197/K199</f>
        <v/>
      </c>
      <c r="F197" s="70" t="n"/>
      <c r="G197" t="n">
        <v>766.3922</v>
      </c>
      <c r="H197" s="68" t="n">
        <v>29.70737084562034</v>
      </c>
      <c r="J197" t="n">
        <v>606.46</v>
      </c>
      <c r="K197" s="60" t="n">
        <v>25.16327820978718</v>
      </c>
    </row>
    <row r="198" spans="1:17">
      <c r="A198" s="22" t="s">
        <v>67</v>
      </c>
      <c r="D198" s="70">
        <f>G197/H197</f>
        <v/>
      </c>
      <c r="E198" s="70">
        <f>J197/K197</f>
        <v/>
      </c>
      <c r="F198" s="70" t="n"/>
      <c r="G198" s="22" t="n"/>
      <c r="H198" s="68" t="n">
        <v>35.44520571896737</v>
      </c>
      <c r="J198" s="22" t="n"/>
      <c r="K198" s="61" t="n">
        <v>37.87143158993379</v>
      </c>
    </row>
    <row r="199" spans="1:17">
      <c r="A199" s="22" t="s">
        <v>68</v>
      </c>
      <c r="E199" s="70" t="n"/>
      <c r="F199" s="70" t="n"/>
      <c r="G199" s="22" t="n"/>
      <c r="H199" s="67" t="n">
        <v>2.355383382394999</v>
      </c>
      <c r="J199" s="22" t="n"/>
      <c r="K199" s="55" t="n">
        <v>1.317507783053633</v>
      </c>
    </row>
    <row r="200" spans="1:17">
      <c r="A200" s="22" t="n">
        <v>4.27</v>
      </c>
      <c r="E200" s="70" t="n"/>
      <c r="F200" s="70" t="n"/>
      <c r="G200" s="22" t="n"/>
      <c r="H200" s="67" t="n">
        <v>2.697040722441897</v>
      </c>
      <c r="J200" s="22" t="n"/>
      <c r="K200" s="55" t="n">
        <v>1.369487494141234</v>
      </c>
    </row>
    <row r="201" spans="1:17">
      <c r="E201" s="70" t="n"/>
      <c r="F201" s="70" t="n"/>
      <c r="H201" s="98" t="n"/>
      <c r="K201" s="98" t="n"/>
    </row>
    <row r="202" spans="1:17">
      <c r="A202" s="22" t="s">
        <v>84</v>
      </c>
      <c r="B202" s="96">
        <f>(E203/D203)^(1/5)-1</f>
        <v/>
      </c>
      <c r="C202" s="96">
        <f>(E202/D202)^(1/5)-1</f>
        <v/>
      </c>
      <c r="D202" s="70">
        <f>G202/H204</f>
        <v/>
      </c>
      <c r="E202" s="70">
        <f>J202/K204</f>
        <v/>
      </c>
      <c r="F202" s="70" t="n"/>
      <c r="G202" t="n">
        <v>3449</v>
      </c>
      <c r="H202" s="62" t="n">
        <v>4.66</v>
      </c>
      <c r="J202" t="n">
        <v>6685</v>
      </c>
      <c r="K202" s="54" t="n">
        <v>7.04</v>
      </c>
    </row>
    <row r="203" spans="1:17">
      <c r="A203" s="22" t="s">
        <v>85</v>
      </c>
      <c r="D203" s="70">
        <f>G202/H202</f>
        <v/>
      </c>
      <c r="E203" s="70">
        <f>J202/K202</f>
        <v/>
      </c>
      <c r="F203" s="70" t="n"/>
      <c r="G203" s="22" t="n"/>
      <c r="H203" s="62" t="n"/>
      <c r="J203" s="22" t="n"/>
      <c r="K203" s="54" t="n"/>
    </row>
    <row r="204" spans="1:17">
      <c r="A204" s="22" t="s">
        <v>68</v>
      </c>
      <c r="E204" s="70" t="n"/>
      <c r="F204" s="70" t="n"/>
      <c r="G204" s="22" t="n"/>
      <c r="H204" s="62" t="n">
        <v>0.86</v>
      </c>
      <c r="J204" s="22" t="n"/>
      <c r="K204" s="55" t="n">
        <v>0.88</v>
      </c>
    </row>
    <row r="205" spans="1:17">
      <c r="A205" t="n">
        <v>2.4</v>
      </c>
      <c r="E205" s="70" t="n"/>
      <c r="F205" s="70" t="n"/>
      <c r="G205" s="22" t="n"/>
      <c r="H205" s="62" t="n"/>
      <c r="J205" s="22" t="n"/>
      <c r="K205" s="55" t="n"/>
    </row>
    <row r="206" spans="1:17">
      <c r="E206" s="70" t="n"/>
      <c r="F206" s="70" t="n"/>
      <c r="H206" s="98" t="n"/>
      <c r="K206" s="98" t="n"/>
    </row>
    <row r="207" spans="1:17">
      <c r="A207" t="s">
        <v>91</v>
      </c>
      <c r="B207" s="96" t="n"/>
      <c r="C207" s="96">
        <f>(E207/D207)^(1/5)-1</f>
        <v/>
      </c>
      <c r="D207" s="70">
        <f>G207/H209</f>
        <v/>
      </c>
      <c r="E207" s="70">
        <f>J207/K209</f>
        <v/>
      </c>
      <c r="F207" s="70" t="n"/>
      <c r="G207" t="n">
        <v>11078</v>
      </c>
      <c r="H207" s="63" t="n"/>
      <c r="J207" t="n">
        <v>6790.45</v>
      </c>
      <c r="K207" s="57" t="n">
        <v>38.70137838120868</v>
      </c>
    </row>
    <row r="208" spans="1:17">
      <c r="A208" t="s">
        <v>92</v>
      </c>
      <c r="E208" s="70">
        <f>J207/K207</f>
        <v/>
      </c>
      <c r="F208" s="70" t="n"/>
      <c r="G208" s="22" t="n"/>
      <c r="H208" s="63" t="n"/>
      <c r="K208" s="57" t="n">
        <v>35.015789849581</v>
      </c>
    </row>
    <row r="209" spans="1:17">
      <c r="A209" t="s">
        <v>93</v>
      </c>
      <c r="E209" s="70" t="n"/>
      <c r="F209" s="70" t="n"/>
      <c r="G209" s="22" t="n"/>
      <c r="H209" s="63" t="n">
        <v>9.76</v>
      </c>
      <c r="K209" s="57" t="n">
        <v>4.762621676929901</v>
      </c>
    </row>
    <row r="210" spans="1:17">
      <c r="E210" s="70" t="n"/>
      <c r="F210" s="70" t="n"/>
      <c r="G210" s="22" t="n"/>
      <c r="H210" s="68" t="n"/>
      <c r="K210" s="57" t="n">
        <v>3.057924150737545</v>
      </c>
    </row>
    <row r="211" spans="1:17">
      <c r="E211" s="70" t="n"/>
      <c r="F211" s="70" t="n"/>
      <c r="H211" s="98" t="n"/>
      <c r="K211" s="98" t="n"/>
    </row>
    <row r="212" spans="1:17">
      <c r="A212" t="s">
        <v>104</v>
      </c>
      <c r="B212" s="96">
        <f>(E213/D213)^(1/4)-1</f>
        <v/>
      </c>
      <c r="C212" s="96">
        <f>(E212/D212)^(1/4)-1</f>
        <v/>
      </c>
      <c r="D212" s="70">
        <f>G212/H214</f>
        <v/>
      </c>
      <c r="E212" s="70">
        <f>J212/K214</f>
        <v/>
      </c>
      <c r="F212" s="70" t="n"/>
      <c r="G212" t="n">
        <v>2401</v>
      </c>
      <c r="H212" s="57" t="n">
        <v>17.14</v>
      </c>
      <c r="J212" t="n">
        <v>5984</v>
      </c>
      <c r="K212" s="56" t="n">
        <v>27.89</v>
      </c>
    </row>
    <row r="213" spans="1:17">
      <c r="A213" t="s">
        <v>105</v>
      </c>
      <c r="D213" s="70">
        <f>G212/H212</f>
        <v/>
      </c>
      <c r="E213" s="70">
        <f>J212/K212</f>
        <v/>
      </c>
      <c r="F213" s="70" t="n"/>
      <c r="H213" s="57" t="n"/>
      <c r="K213" s="57" t="n"/>
    </row>
    <row r="214" spans="1:17">
      <c r="A214" t="s">
        <v>106</v>
      </c>
      <c r="E214" s="70" t="n"/>
      <c r="F214" s="70" t="n"/>
      <c r="H214" s="57" t="n">
        <v>3.5</v>
      </c>
      <c r="K214" s="59" t="n">
        <v>6.79</v>
      </c>
    </row>
    <row r="215" spans="1:17">
      <c r="E215" s="70" t="n"/>
      <c r="F215" s="70" t="n"/>
      <c r="H215" s="57" t="n"/>
      <c r="K215" s="57" t="n"/>
    </row>
    <row r="216" spans="1:17">
      <c r="E216" s="70" t="n"/>
      <c r="F216" s="70" t="n"/>
      <c r="H216" s="98" t="n"/>
      <c r="K216" s="98" t="n"/>
    </row>
    <row r="217" spans="1:17">
      <c r="A217" t="s">
        <v>111</v>
      </c>
      <c r="B217" s="96" t="n"/>
      <c r="C217" s="96" t="n"/>
      <c r="E217" s="70">
        <f>J217/K219</f>
        <v/>
      </c>
      <c r="F217" s="70" t="n"/>
      <c r="H217" s="56" t="n"/>
      <c r="J217" t="n">
        <v>1288.56</v>
      </c>
      <c r="K217" s="57" t="n">
        <v>9.204848422995642</v>
      </c>
    </row>
    <row r="218" spans="1:17">
      <c r="A218" t="s">
        <v>112</v>
      </c>
      <c r="E218" s="70" t="n"/>
      <c r="F218" s="70" t="n"/>
      <c r="H218" s="57" t="n"/>
      <c r="K218" s="58" t="n">
        <v>11.35413643208571</v>
      </c>
    </row>
    <row r="219" spans="1:17">
      <c r="A219" t="s">
        <v>113</v>
      </c>
      <c r="E219" s="70" t="n"/>
      <c r="F219" s="70" t="n"/>
      <c r="H219" s="59" t="n"/>
      <c r="K219" s="57" t="n">
        <v>1.111263378125687</v>
      </c>
    </row>
    <row r="220" spans="1:17">
      <c r="E220" s="70" t="n"/>
      <c r="F220" s="70" t="n"/>
      <c r="H220" s="57" t="n"/>
      <c r="K220" s="57" t="n">
        <v>1.072882285396312</v>
      </c>
    </row>
    <row r="221" spans="1:17">
      <c r="E221" s="70" t="n"/>
      <c r="F221" s="70" t="n"/>
      <c r="H221" s="98" t="n"/>
    </row>
    <row r="222" spans="1:17">
      <c r="A222" t="s">
        <v>44</v>
      </c>
      <c r="B222" s="96">
        <f>(E223/D223)^(1/4)-1</f>
        <v/>
      </c>
      <c r="C222" s="96">
        <f>(E222/D222)^(1/4)-1</f>
        <v/>
      </c>
      <c r="D222" s="70">
        <f>G222/H224</f>
        <v/>
      </c>
      <c r="E222" s="70">
        <f>J222/K224</f>
        <v/>
      </c>
      <c r="F222" s="70" t="n"/>
      <c r="G222" t="n">
        <v>3575</v>
      </c>
      <c r="H222" s="56" t="n">
        <v>14</v>
      </c>
      <c r="J222" t="n">
        <v>3712.11</v>
      </c>
      <c r="K222" s="56" t="n">
        <v>14.00313583206505</v>
      </c>
    </row>
    <row r="223" spans="1:17">
      <c r="A223" t="s">
        <v>45</v>
      </c>
      <c r="D223" s="70">
        <f>G222/H222</f>
        <v/>
      </c>
      <c r="E223" s="70">
        <f>J222/K222</f>
        <v/>
      </c>
      <c r="F223" s="70" t="n"/>
      <c r="H223" s="57" t="n"/>
      <c r="K223" s="57" t="n">
        <v>31.80014140556259</v>
      </c>
    </row>
    <row r="224" spans="1:17">
      <c r="A224" t="s">
        <v>46</v>
      </c>
      <c r="E224" s="70" t="n"/>
      <c r="F224" s="70" t="n"/>
      <c r="H224" s="57" t="n">
        <v>1.76</v>
      </c>
      <c r="K224" s="57" t="n">
        <v>1.511837094094837</v>
      </c>
    </row>
    <row r="225" spans="1:17">
      <c r="E225" s="70" t="n"/>
      <c r="F225" s="70" t="n"/>
      <c r="H225" s="57" t="n"/>
      <c r="K225" s="57" t="n">
        <v>1.924461058310335</v>
      </c>
    </row>
    <row r="227" spans="1:17">
      <c r="A227" s="22" t="s">
        <v>696</v>
      </c>
      <c r="B227" s="96">
        <f>(E228/D228)^(1/4)-1</f>
        <v/>
      </c>
      <c r="C227" s="96">
        <f>(E227/D227)^(1/4)-1</f>
        <v/>
      </c>
      <c r="D227" s="70">
        <f>G227/H229</f>
        <v/>
      </c>
      <c r="E227" s="70">
        <f>J227/K229</f>
        <v/>
      </c>
      <c r="G227" t="n">
        <v>1871</v>
      </c>
      <c r="H227" t="n">
        <v>51.67</v>
      </c>
      <c r="J227" t="n">
        <v>1688</v>
      </c>
      <c r="K227" s="57" t="n">
        <v>18.15</v>
      </c>
    </row>
    <row r="228" spans="1:17">
      <c r="A228" s="22" t="s">
        <v>142</v>
      </c>
      <c r="D228" s="70">
        <f>G227/H227</f>
        <v/>
      </c>
      <c r="E228" s="70">
        <f>J227/K227</f>
        <v/>
      </c>
    </row>
    <row r="229" spans="1:17">
      <c r="A229" s="22" t="s">
        <v>143</v>
      </c>
      <c r="E229" s="70" t="n"/>
      <c r="H229" t="n">
        <v>4.11</v>
      </c>
      <c r="K229" s="57" t="n">
        <v>2.6</v>
      </c>
    </row>
    <row r="230" spans="1:17">
      <c r="A230" s="22" t="n"/>
      <c r="E230" s="70" t="n"/>
    </row>
    <row customHeight="1" ht="17" r="232" s="130" spans="1:17">
      <c r="A232" t="s">
        <v>697</v>
      </c>
      <c r="B232" s="96" t="n"/>
      <c r="C232" s="96" t="n"/>
      <c r="E232" s="70" t="n"/>
      <c r="H232" s="56" t="n"/>
    </row>
    <row r="233" spans="1:17">
      <c r="A233" t="n">
        <v>399959</v>
      </c>
      <c r="E233" s="70" t="n"/>
      <c r="H233" s="57" t="n"/>
    </row>
    <row customHeight="1" ht="17" r="234" s="130" spans="1:17">
      <c r="A234" s="71" t="n">
        <v>40785</v>
      </c>
      <c r="E234" s="70" t="n"/>
      <c r="H234" s="57" t="n"/>
    </row>
    <row r="235" spans="1:17">
      <c r="A235" t="n">
        <v>5.74</v>
      </c>
      <c r="E235" s="70" t="n"/>
      <c r="H235" s="57" t="n"/>
    </row>
    <row r="237" spans="1:17">
      <c r="A237" t="s">
        <v>698</v>
      </c>
      <c r="B237" s="96">
        <f>(E238/D238)^(1/5)-1</f>
        <v/>
      </c>
      <c r="C237" s="96">
        <f>(E237/D237)^(1/5)-1</f>
        <v/>
      </c>
      <c r="D237" s="70">
        <f>G237/H239</f>
        <v/>
      </c>
      <c r="E237" s="70">
        <f>J237/K239</f>
        <v/>
      </c>
      <c r="G237" t="n">
        <v>4364</v>
      </c>
      <c r="H237" t="n">
        <v>46.36</v>
      </c>
      <c r="J237" t="n">
        <v>5793.55</v>
      </c>
      <c r="K237" t="n">
        <v>34.05</v>
      </c>
    </row>
    <row r="238" spans="1:17">
      <c r="D238" s="70">
        <f>G237/H237</f>
        <v/>
      </c>
      <c r="E238" s="70">
        <f>J237/K237</f>
        <v/>
      </c>
    </row>
    <row r="239" spans="1:17">
      <c r="E239" s="70" t="n"/>
      <c r="H239" t="n">
        <v>10.01</v>
      </c>
      <c r="K239" t="n">
        <v>5.56</v>
      </c>
    </row>
    <row r="240" spans="1:17">
      <c r="E240" s="70" t="n"/>
    </row>
    <row r="242" spans="1:17">
      <c r="A242" s="22" t="s">
        <v>699</v>
      </c>
      <c r="B242" s="96">
        <f>(E243/D243)^(1/5)-1</f>
        <v/>
      </c>
      <c r="C242" s="96">
        <f>(E242/D242)^(1/5)-1</f>
        <v/>
      </c>
      <c r="D242" s="70">
        <f>G242/H244</f>
        <v/>
      </c>
      <c r="E242" s="70">
        <f>J242/K244</f>
        <v/>
      </c>
      <c r="F242" s="70" t="n"/>
      <c r="G242" t="n">
        <v>8058</v>
      </c>
      <c r="H242" s="63" t="n">
        <v>10.19</v>
      </c>
      <c r="J242" t="n">
        <v>13610</v>
      </c>
      <c r="K242" s="102" t="n">
        <v>10.18</v>
      </c>
    </row>
    <row r="243" spans="1:17">
      <c r="A243" s="22" t="n"/>
      <c r="D243" s="70">
        <f>G242/H242</f>
        <v/>
      </c>
      <c r="E243" s="70">
        <f>J242/K242</f>
        <v/>
      </c>
      <c r="F243" s="70" t="n"/>
      <c r="G243" s="22" t="n"/>
      <c r="H243" s="68" t="n"/>
      <c r="J243" s="22" t="n"/>
      <c r="K243" s="55" t="n"/>
    </row>
    <row r="244" spans="1:17">
      <c r="A244" s="22" t="n"/>
      <c r="E244" s="70" t="n"/>
      <c r="F244" s="70" t="n"/>
      <c r="G244" s="22" t="n"/>
      <c r="H244" s="63" t="n">
        <v>2.01</v>
      </c>
      <c r="J244" s="22" t="n"/>
      <c r="K244" s="55" t="n">
        <v>2.29</v>
      </c>
    </row>
    <row r="245" spans="1:17">
      <c r="A245" s="22" t="n"/>
      <c r="E245" s="70" t="n"/>
      <c r="F245" s="70" t="n"/>
      <c r="G245" s="22" t="n"/>
      <c r="H245" s="68" t="n"/>
      <c r="J245" s="22" t="n"/>
      <c r="K245" s="55" t="n"/>
    </row>
    <row r="247" spans="1:17">
      <c r="A247" t="s">
        <v>700</v>
      </c>
      <c r="B247" s="96">
        <f>(E248/D248)^(1/5)-1</f>
        <v/>
      </c>
      <c r="C247" s="96">
        <f>(E247/D247)^(1/5)-1</f>
        <v/>
      </c>
      <c r="D247" s="70">
        <f>G247/H249</f>
        <v/>
      </c>
      <c r="E247" s="70">
        <f>J247/K249</f>
        <v/>
      </c>
      <c r="F247" s="70" t="n"/>
      <c r="G247" t="n">
        <v>4978</v>
      </c>
      <c r="H247" s="63" t="n">
        <v>32.4</v>
      </c>
      <c r="J247" t="n">
        <v>8074</v>
      </c>
      <c r="K247" s="57" t="n">
        <v>22.88</v>
      </c>
    </row>
    <row customHeight="1" ht="18" r="248" s="130" spans="1:17">
      <c r="A248" s="109" t="s">
        <v>359</v>
      </c>
      <c r="D248" s="70">
        <f>G247/H247</f>
        <v/>
      </c>
      <c r="E248" s="70">
        <f>J247/K247</f>
        <v/>
      </c>
      <c r="F248" s="70" t="n"/>
      <c r="G248" s="22" t="n"/>
      <c r="H248" s="63" t="n"/>
      <c r="K248" s="57" t="n"/>
    </row>
    <row r="249" spans="1:17">
      <c r="E249" s="70" t="n"/>
      <c r="F249" s="70" t="n"/>
      <c r="G249" s="22" t="n"/>
      <c r="H249" s="63" t="n">
        <v>4.59</v>
      </c>
      <c r="K249" s="57" t="n">
        <v>2.97</v>
      </c>
    </row>
    <row r="250" spans="1:17">
      <c r="E250" s="70" t="n"/>
      <c r="F250" s="70" t="n"/>
      <c r="G250" s="22" t="n"/>
      <c r="H250" s="68" t="n"/>
      <c r="K250" s="57" t="n"/>
    </row>
    <row r="251" spans="1:17">
      <c r="H251">
        <f>H249/H247</f>
        <v/>
      </c>
      <c r="K251">
        <f>K249/K247</f>
        <v/>
      </c>
    </row>
    <row r="252" spans="1:17">
      <c r="B252" s="96">
        <f>(E253/D253)^(1/10)-1</f>
        <v/>
      </c>
      <c r="C252" s="96">
        <f>(E252/D252)^(1/10)-1</f>
        <v/>
      </c>
      <c r="D252" s="70">
        <f>G252/H254</f>
        <v/>
      </c>
      <c r="E252" s="70">
        <f>J252/K254</f>
        <v/>
      </c>
      <c r="F252" s="70" t="n"/>
      <c r="G252" t="n">
        <v>1338</v>
      </c>
      <c r="H252" s="63" t="n">
        <v>32.36</v>
      </c>
      <c r="J252" t="n">
        <v>8074</v>
      </c>
      <c r="K252" s="57" t="n">
        <v>22.88</v>
      </c>
    </row>
    <row r="253" spans="1:17">
      <c r="D253" s="70">
        <f>G252/H252</f>
        <v/>
      </c>
      <c r="E253" s="70">
        <f>J252/K252</f>
        <v/>
      </c>
      <c r="F253" s="70" t="n"/>
      <c r="G253" s="22" t="n"/>
      <c r="H253" s="63" t="n"/>
      <c r="K253" s="57" t="n"/>
    </row>
    <row r="254" spans="1:17">
      <c r="E254" s="70" t="n"/>
      <c r="F254" s="70" t="n"/>
      <c r="G254" s="22" t="n"/>
      <c r="H254" s="63" t="n">
        <v>3.94</v>
      </c>
      <c r="K254" s="57" t="n">
        <v>2.97</v>
      </c>
    </row>
    <row r="255" spans="1:17">
      <c r="E255" s="70" t="n"/>
      <c r="F255" s="70" t="n"/>
      <c r="G255" s="22" t="n"/>
      <c r="H255" s="68" t="n"/>
      <c r="K255" s="57" t="n"/>
    </row>
    <row r="256" spans="1:17">
      <c r="H256">
        <f>H254/H252</f>
        <v/>
      </c>
      <c r="K256">
        <f>K254/K252</f>
        <v/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1"/>
  <sheetViews>
    <sheetView topLeftCell="A15" workbookViewId="0" zoomScale="158">
      <selection activeCell="G25" sqref="G25"/>
    </sheetView>
  </sheetViews>
  <sheetFormatPr baseColWidth="10" defaultRowHeight="16"/>
  <sheetData>
    <row r="1" spans="1:8">
      <c r="A1" t="s">
        <v>701</v>
      </c>
    </row>
    <row r="3" spans="1:8">
      <c r="D3" t="s">
        <v>702</v>
      </c>
      <c r="E3" t="s">
        <v>703</v>
      </c>
      <c r="F3" t="s">
        <v>704</v>
      </c>
      <c r="G3" t="s">
        <v>705</v>
      </c>
    </row>
    <row r="4" spans="1:8">
      <c r="A4" t="n">
        <v>80000</v>
      </c>
      <c r="B4" t="n">
        <v>550</v>
      </c>
      <c r="C4">
        <f>A4/B4</f>
        <v/>
      </c>
      <c r="D4">
        <f>SUM(A4:A10)</f>
        <v/>
      </c>
      <c r="E4">
        <f>SUM(C4:C10)</f>
        <v/>
      </c>
      <c r="F4">
        <f>D4/E4</f>
        <v/>
      </c>
      <c r="G4" t="n">
        <v>420</v>
      </c>
      <c r="H4">
        <f>1-G4/F4</f>
        <v/>
      </c>
    </row>
    <row r="5" spans="1:8">
      <c r="A5" t="n">
        <v>20000</v>
      </c>
      <c r="B5" t="n">
        <v>485</v>
      </c>
      <c r="C5">
        <f>A5/B5</f>
        <v/>
      </c>
    </row>
    <row r="6" spans="1:8">
      <c r="A6" t="n">
        <v>30000</v>
      </c>
      <c r="B6" t="n">
        <v>450</v>
      </c>
      <c r="C6">
        <f>A6/B6</f>
        <v/>
      </c>
    </row>
    <row r="7" spans="1:8">
      <c r="A7" t="n">
        <v>30000</v>
      </c>
      <c r="B7" t="n">
        <v>420</v>
      </c>
      <c r="C7">
        <f>A7/B7</f>
        <v/>
      </c>
    </row>
    <row r="13" spans="1:8">
      <c r="A13" t="n">
        <v>1.2</v>
      </c>
      <c r="B13" t="n">
        <v>50000</v>
      </c>
      <c r="C13">
        <f>B13/A13</f>
        <v/>
      </c>
    </row>
    <row r="14" spans="1:8">
      <c r="A14" t="n">
        <v>1.15</v>
      </c>
      <c r="B14" t="n">
        <v>50000</v>
      </c>
      <c r="C14">
        <f>B14/A14</f>
        <v/>
      </c>
    </row>
    <row r="15" spans="1:8">
      <c r="A15" t="n">
        <v>1.1</v>
      </c>
      <c r="B15" t="n">
        <v>50000</v>
      </c>
      <c r="C15">
        <f>B15/A15</f>
        <v/>
      </c>
    </row>
    <row r="16" spans="1:8">
      <c r="A16">
        <f>B16/C16</f>
        <v/>
      </c>
      <c r="B16">
        <f>SUM(B13:B15)</f>
        <v/>
      </c>
      <c r="C16">
        <f>SUM(C13:C15)</f>
        <v/>
      </c>
    </row>
    <row r="18" spans="1:8">
      <c r="A18" t="n">
        <v>1.93</v>
      </c>
    </row>
    <row r="19" spans="1:8">
      <c r="A19" t="n">
        <v>1.98</v>
      </c>
    </row>
    <row r="20" spans="1:8">
      <c r="A20" t="n">
        <v>2.05</v>
      </c>
    </row>
    <row r="21" spans="1:8">
      <c r="A21" t="n">
        <v>2.17</v>
      </c>
    </row>
    <row customHeight="1" ht="20" r="24" s="130" spans="1:8">
      <c r="A24" s="113" t="s">
        <v>706</v>
      </c>
    </row>
    <row customHeight="1" ht="18" r="25" s="130" spans="1:8">
      <c r="A25" s="110" t="n">
        <v>22.22</v>
      </c>
      <c r="B25" s="111" t="n">
        <v>5.12</v>
      </c>
      <c r="C25" s="112" t="n">
        <v>92.64</v>
      </c>
      <c r="D25" s="112">
        <f>B25/A25</f>
        <v/>
      </c>
      <c r="E25" s="112" t="n"/>
      <c r="F25" s="112" t="n"/>
    </row>
    <row customHeight="1" ht="18" r="26" s="130" spans="1:8">
      <c r="A26" s="114" t="n">
        <v>20.48</v>
      </c>
      <c r="B26" s="114" t="n">
        <v>5</v>
      </c>
      <c r="C26" s="112" t="n">
        <v>111.79</v>
      </c>
      <c r="D26" s="112">
        <f>B26/A26</f>
        <v/>
      </c>
      <c r="E26" s="112" t="n"/>
      <c r="F26" s="112" t="n"/>
    </row>
    <row r="27" spans="1:8">
      <c r="C27" s="131" t="n"/>
      <c r="D27" s="131" t="n"/>
      <c r="E27" s="131" t="n"/>
      <c r="F27" s="131" t="n"/>
    </row>
    <row r="28" spans="1:8">
      <c r="A28">
        <f>C25/A25</f>
        <v/>
      </c>
      <c r="B28">
        <f>C25/B25</f>
        <v/>
      </c>
    </row>
    <row r="29" spans="1:8">
      <c r="A29">
        <f>C26/A26</f>
        <v/>
      </c>
      <c r="B29">
        <f>C26/B26</f>
        <v/>
      </c>
    </row>
    <row r="30" spans="1:8">
      <c r="A30">
        <f>A29/A28</f>
        <v/>
      </c>
      <c r="B30">
        <f>B29/B28</f>
        <v/>
      </c>
    </row>
    <row r="31" spans="1:8">
      <c r="A31">
        <f>A30^(1/2.5)</f>
        <v/>
      </c>
      <c r="B31">
        <f>B30^(1/2.5)</f>
        <v/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H5"/>
  <sheetViews>
    <sheetView workbookViewId="0" zoomScale="137">
      <selection activeCell="F3" sqref="F3"/>
    </sheetView>
  </sheetViews>
  <sheetFormatPr baseColWidth="10" defaultRowHeight="16"/>
  <sheetData>
    <row r="3" spans="1:8">
      <c r="A3" t="n">
        <v>4459</v>
      </c>
      <c r="B3" t="n">
        <v>9593</v>
      </c>
      <c r="C3">
        <f>B3/A3</f>
        <v/>
      </c>
      <c r="E3" t="n">
        <v>6513</v>
      </c>
      <c r="F3" t="n">
        <v>9593</v>
      </c>
      <c r="G3">
        <f>F3/E3</f>
        <v/>
      </c>
    </row>
    <row r="4" spans="1:8">
      <c r="A4" t="n">
        <v>3665</v>
      </c>
      <c r="B4" t="n">
        <v>6711</v>
      </c>
      <c r="C4">
        <f>B4/A4</f>
        <v/>
      </c>
      <c r="E4" t="n">
        <v>5132</v>
      </c>
      <c r="F4" t="n">
        <v>6711</v>
      </c>
      <c r="G4">
        <f>F4/E4</f>
        <v/>
      </c>
    </row>
    <row r="5" spans="1:8">
      <c r="C5">
        <f>C3/C4</f>
        <v/>
      </c>
      <c r="G5">
        <f>G3/G4</f>
        <v/>
      </c>
      <c r="H5">
        <f>G5^(1/3)</f>
        <v/>
      </c>
    </row>
  </sheetData>
  <pageMargins bottom="0.75" footer="0.3" header="0.3" left="0.7" right="0.7" top="0.75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1048576"/>
  <sheetViews>
    <sheetView topLeftCell="A69" workbookViewId="0" zoomScale="150">
      <selection activeCell="B75" sqref="B75"/>
    </sheetView>
  </sheetViews>
  <sheetFormatPr baseColWidth="10" defaultRowHeight="16" outlineLevelCol="0"/>
  <cols>
    <col customWidth="1" max="2" min="2" style="130" width="38"/>
    <col customWidth="1" max="3" min="3" style="130" width="15"/>
    <col customWidth="1" max="4" min="4" style="130" width="18.33203125"/>
    <col customWidth="1" max="6" min="6" style="130" width="19.6640625"/>
  </cols>
  <sheetData>
    <row customHeight="1" ht="21" r="1" s="130" spans="1:8">
      <c r="A1" s="72" t="s">
        <v>707</v>
      </c>
      <c r="B1" s="73" t="s">
        <v>708</v>
      </c>
      <c r="C1" s="72" t="s">
        <v>709</v>
      </c>
      <c r="D1" s="73" t="s">
        <v>710</v>
      </c>
      <c r="E1" s="72" t="s">
        <v>711</v>
      </c>
      <c r="F1" s="73" t="s">
        <v>712</v>
      </c>
      <c r="G1" s="73" t="s">
        <v>713</v>
      </c>
      <c r="H1" s="73" t="s">
        <v>714</v>
      </c>
    </row>
    <row r="2" spans="1:8">
      <c r="A2" s="74" t="n">
        <v>1</v>
      </c>
      <c r="B2" s="48" t="s">
        <v>715</v>
      </c>
      <c r="C2" s="75" t="s">
        <v>716</v>
      </c>
      <c r="D2" s="76" t="n">
        <v>38299</v>
      </c>
      <c r="E2" s="77" t="s">
        <v>717</v>
      </c>
      <c r="F2" s="78" t="s">
        <v>718</v>
      </c>
      <c r="G2" s="48" t="n">
        <v>71</v>
      </c>
      <c r="H2" s="48" t="n">
        <v>20</v>
      </c>
    </row>
    <row r="3" spans="1:8">
      <c r="A3" s="74" t="n">
        <v>2</v>
      </c>
      <c r="B3" s="48" t="s">
        <v>719</v>
      </c>
      <c r="C3" s="75" t="s">
        <v>716</v>
      </c>
      <c r="D3" s="76" t="n">
        <v>36998</v>
      </c>
      <c r="E3" s="77" t="s">
        <v>717</v>
      </c>
      <c r="F3" s="78" t="s">
        <v>720</v>
      </c>
      <c r="G3" s="48" t="n">
        <v>243</v>
      </c>
      <c r="H3" s="48" t="n">
        <v>39</v>
      </c>
    </row>
    <row r="4" spans="1:8">
      <c r="A4" s="74" t="n">
        <v>3</v>
      </c>
      <c r="B4" s="48" t="s">
        <v>721</v>
      </c>
      <c r="C4" s="75" t="s">
        <v>716</v>
      </c>
      <c r="D4" s="76" t="n">
        <v>38614</v>
      </c>
      <c r="E4" s="77" t="s">
        <v>717</v>
      </c>
      <c r="F4" s="78" t="s">
        <v>722</v>
      </c>
      <c r="G4" s="48" t="n">
        <v>146</v>
      </c>
      <c r="H4" s="48" t="n">
        <v>30</v>
      </c>
    </row>
    <row r="5" spans="1:8">
      <c r="A5" s="74" t="n">
        <v>4</v>
      </c>
      <c r="B5" s="48" t="s">
        <v>723</v>
      </c>
      <c r="C5" s="75" t="s">
        <v>716</v>
      </c>
      <c r="D5" s="76" t="n">
        <v>38524</v>
      </c>
      <c r="E5" s="77" t="s">
        <v>717</v>
      </c>
      <c r="F5" s="78" t="s">
        <v>724</v>
      </c>
      <c r="G5" s="48" t="n">
        <v>180</v>
      </c>
      <c r="H5" s="48" t="n">
        <v>46</v>
      </c>
    </row>
    <row r="6" spans="1:8">
      <c r="A6" s="74" t="n">
        <v>5</v>
      </c>
      <c r="B6" s="48" t="s">
        <v>725</v>
      </c>
      <c r="C6" s="75" t="s">
        <v>716</v>
      </c>
      <c r="D6" s="76" t="n">
        <v>35989</v>
      </c>
      <c r="E6" s="77" t="s">
        <v>717</v>
      </c>
      <c r="F6" s="78" t="s">
        <v>726</v>
      </c>
      <c r="G6" s="48" t="n">
        <v>251</v>
      </c>
      <c r="H6" s="48" t="n">
        <v>48</v>
      </c>
    </row>
    <row r="7" spans="1:8">
      <c r="A7" s="74" t="n">
        <v>6</v>
      </c>
      <c r="B7" s="48" t="s">
        <v>727</v>
      </c>
      <c r="C7" s="75" t="s">
        <v>716</v>
      </c>
      <c r="D7" s="76" t="n">
        <v>35860</v>
      </c>
      <c r="E7" s="77" t="s">
        <v>717</v>
      </c>
      <c r="F7" s="78" t="s">
        <v>728</v>
      </c>
      <c r="G7" s="48" t="n">
        <v>270</v>
      </c>
      <c r="H7" s="48" t="n">
        <v>46</v>
      </c>
    </row>
    <row r="8" spans="1:8">
      <c r="A8" s="74" t="n">
        <v>7</v>
      </c>
      <c r="B8" s="48" t="s">
        <v>729</v>
      </c>
      <c r="C8" s="75" t="s">
        <v>716</v>
      </c>
      <c r="D8" s="76" t="n">
        <v>38386</v>
      </c>
      <c r="E8" s="77" t="s">
        <v>717</v>
      </c>
      <c r="F8" s="78" t="s">
        <v>730</v>
      </c>
      <c r="G8" s="48" t="n">
        <v>184</v>
      </c>
      <c r="H8" s="48" t="n">
        <v>39</v>
      </c>
    </row>
    <row r="9" spans="1:8">
      <c r="A9" s="74" t="n">
        <v>8</v>
      </c>
      <c r="B9" s="48" t="s">
        <v>731</v>
      </c>
      <c r="C9" s="75" t="s">
        <v>716</v>
      </c>
      <c r="D9" s="76" t="n">
        <v>37838</v>
      </c>
      <c r="E9" s="77" t="s">
        <v>717</v>
      </c>
      <c r="F9" s="78" t="s">
        <v>732</v>
      </c>
      <c r="G9" s="48" t="n">
        <v>262</v>
      </c>
      <c r="H9" s="48" t="n">
        <v>46</v>
      </c>
    </row>
    <row r="10" spans="1:8">
      <c r="A10" s="74" t="n">
        <v>9</v>
      </c>
      <c r="B10" s="48" t="s">
        <v>733</v>
      </c>
      <c r="C10" s="75" t="s">
        <v>716</v>
      </c>
      <c r="D10" s="76" t="n">
        <v>38211</v>
      </c>
      <c r="E10" s="77" t="s">
        <v>717</v>
      </c>
      <c r="F10" s="78" t="s">
        <v>734</v>
      </c>
      <c r="G10" s="48" t="n">
        <v>129</v>
      </c>
      <c r="H10" s="48" t="n">
        <v>30</v>
      </c>
    </row>
    <row r="11" spans="1:8">
      <c r="A11" s="74" t="n">
        <v>10</v>
      </c>
      <c r="B11" s="48" t="s">
        <v>735</v>
      </c>
      <c r="C11" s="75" t="s">
        <v>716</v>
      </c>
      <c r="D11" s="76" t="n">
        <v>35894</v>
      </c>
      <c r="E11" s="77" t="s">
        <v>717</v>
      </c>
      <c r="F11" s="78" t="s">
        <v>736</v>
      </c>
      <c r="G11" s="48" t="n">
        <v>211</v>
      </c>
      <c r="H11" s="48" t="n">
        <v>48</v>
      </c>
    </row>
    <row r="12" spans="1:8">
      <c r="A12" s="74" t="n">
        <v>11</v>
      </c>
      <c r="B12" s="48" t="s">
        <v>737</v>
      </c>
      <c r="C12" s="75" t="s">
        <v>716</v>
      </c>
      <c r="D12" s="76" t="n">
        <v>36244</v>
      </c>
      <c r="E12" s="77" t="s">
        <v>717</v>
      </c>
      <c r="F12" s="78" t="s">
        <v>738</v>
      </c>
      <c r="G12" s="48" t="n">
        <v>189</v>
      </c>
      <c r="H12" s="48" t="n">
        <v>53</v>
      </c>
    </row>
    <row r="13" spans="1:8">
      <c r="A13" s="74" t="n">
        <v>12</v>
      </c>
      <c r="B13" s="48" t="s">
        <v>739</v>
      </c>
      <c r="C13" s="75" t="s">
        <v>716</v>
      </c>
      <c r="D13" s="76" t="n">
        <v>37617</v>
      </c>
      <c r="E13" s="77" t="s">
        <v>717</v>
      </c>
      <c r="F13" s="78" t="s">
        <v>740</v>
      </c>
      <c r="G13" s="48" t="n">
        <v>236</v>
      </c>
      <c r="H13" s="48" t="n">
        <v>39</v>
      </c>
    </row>
    <row r="14" spans="1:8">
      <c r="A14" s="74" t="n">
        <v>13</v>
      </c>
      <c r="B14" s="48" t="s">
        <v>741</v>
      </c>
      <c r="C14" s="75" t="s">
        <v>716</v>
      </c>
      <c r="D14" s="76" t="n">
        <v>36151</v>
      </c>
      <c r="E14" s="77" t="s">
        <v>717</v>
      </c>
      <c r="F14" s="78" t="s">
        <v>742</v>
      </c>
      <c r="G14" s="48" t="n">
        <v>212</v>
      </c>
      <c r="H14" s="48" t="n">
        <v>41</v>
      </c>
    </row>
    <row r="15" spans="1:8">
      <c r="A15" s="74" t="n">
        <v>14</v>
      </c>
      <c r="B15" s="48" t="s">
        <v>743</v>
      </c>
      <c r="C15" s="75" t="s">
        <v>716</v>
      </c>
      <c r="D15" s="76" t="n">
        <v>35950</v>
      </c>
      <c r="E15" s="77" t="s">
        <v>717</v>
      </c>
      <c r="F15" s="78" t="s">
        <v>744</v>
      </c>
      <c r="G15" s="48" t="n">
        <v>161</v>
      </c>
      <c r="H15" s="48" t="n">
        <v>37</v>
      </c>
    </row>
    <row r="16" spans="1:8">
      <c r="A16" s="74" t="n">
        <v>15</v>
      </c>
      <c r="B16" s="48" t="s">
        <v>745</v>
      </c>
      <c r="C16" s="75" t="s">
        <v>716</v>
      </c>
      <c r="D16" s="76" t="n">
        <v>40550</v>
      </c>
      <c r="E16" s="77" t="s">
        <v>717</v>
      </c>
      <c r="F16" s="78" t="s">
        <v>746</v>
      </c>
      <c r="G16" s="48" t="n">
        <v>92</v>
      </c>
      <c r="H16" s="48" t="n">
        <v>21</v>
      </c>
    </row>
    <row r="17" spans="1:8">
      <c r="A17" s="74" t="n">
        <v>16</v>
      </c>
      <c r="B17" s="48" t="s">
        <v>747</v>
      </c>
      <c r="C17" s="75" t="s">
        <v>716</v>
      </c>
      <c r="D17" s="76" t="n">
        <v>37039</v>
      </c>
      <c r="E17" s="77" t="s">
        <v>717</v>
      </c>
      <c r="F17" s="78" t="s">
        <v>748</v>
      </c>
      <c r="G17" s="48" t="n">
        <v>159</v>
      </c>
      <c r="H17" s="48" t="n">
        <v>45</v>
      </c>
    </row>
    <row r="18" spans="1:8">
      <c r="A18" s="74" t="n">
        <v>17</v>
      </c>
      <c r="B18" s="48" t="s">
        <v>749</v>
      </c>
      <c r="C18" s="75" t="s">
        <v>716</v>
      </c>
      <c r="D18" s="76" t="n">
        <v>39525</v>
      </c>
      <c r="E18" s="77" t="s">
        <v>717</v>
      </c>
      <c r="F18" s="78" t="s">
        <v>750</v>
      </c>
      <c r="G18" s="48" t="n">
        <v>53</v>
      </c>
      <c r="H18" s="48" t="n">
        <v>18</v>
      </c>
    </row>
    <row r="19" spans="1:8">
      <c r="A19" s="74" t="n">
        <v>18</v>
      </c>
      <c r="B19" s="48" t="s">
        <v>751</v>
      </c>
      <c r="C19" s="75" t="s">
        <v>716</v>
      </c>
      <c r="D19" s="76" t="n">
        <v>36263</v>
      </c>
      <c r="E19" s="77" t="s">
        <v>717</v>
      </c>
      <c r="F19" s="78" t="s">
        <v>752</v>
      </c>
      <c r="G19" s="48" t="n">
        <v>169</v>
      </c>
      <c r="H19" s="48" t="n">
        <v>47</v>
      </c>
    </row>
    <row r="20" spans="1:8">
      <c r="A20" s="74" t="n">
        <v>19</v>
      </c>
      <c r="B20" s="48" t="s">
        <v>753</v>
      </c>
      <c r="C20" s="75" t="s">
        <v>716</v>
      </c>
      <c r="D20" s="76" t="n">
        <v>37687</v>
      </c>
      <c r="E20" s="77" t="s">
        <v>717</v>
      </c>
      <c r="F20" s="78" t="s">
        <v>754</v>
      </c>
      <c r="G20" s="48" t="n">
        <v>83</v>
      </c>
      <c r="H20" s="48" t="n">
        <v>26</v>
      </c>
    </row>
    <row r="21" spans="1:8">
      <c r="A21" s="74" t="n">
        <v>20</v>
      </c>
      <c r="B21" s="48" t="s">
        <v>755</v>
      </c>
      <c r="C21" s="75" t="s">
        <v>716</v>
      </c>
      <c r="D21" s="76" t="n">
        <v>37894</v>
      </c>
      <c r="E21" s="77" t="s">
        <v>717</v>
      </c>
      <c r="F21" s="78" t="s">
        <v>756</v>
      </c>
      <c r="G21" s="48" t="n">
        <v>27</v>
      </c>
      <c r="H21" s="48" t="n">
        <v>15</v>
      </c>
    </row>
    <row r="22" spans="1:8">
      <c r="A22" s="74" t="n">
        <v>21</v>
      </c>
      <c r="B22" s="48" t="s">
        <v>757</v>
      </c>
      <c r="C22" s="75" t="s">
        <v>716</v>
      </c>
      <c r="D22" s="76" t="n">
        <v>41381</v>
      </c>
      <c r="E22" s="79" t="s">
        <v>758</v>
      </c>
      <c r="F22" s="78" t="s">
        <v>759</v>
      </c>
      <c r="G22" s="48" t="n">
        <v>65</v>
      </c>
      <c r="H22" s="48" t="n">
        <v>17</v>
      </c>
    </row>
    <row r="23" spans="1:8">
      <c r="A23" s="74" t="n">
        <v>22</v>
      </c>
      <c r="B23" s="48" t="s">
        <v>760</v>
      </c>
      <c r="C23" s="75" t="s">
        <v>716</v>
      </c>
      <c r="D23" s="76" t="n">
        <v>35859</v>
      </c>
      <c r="E23" s="77" t="s">
        <v>717</v>
      </c>
      <c r="F23" s="78" t="s">
        <v>761</v>
      </c>
      <c r="G23" s="48" t="n">
        <v>139</v>
      </c>
      <c r="H23" s="48" t="n">
        <v>23</v>
      </c>
    </row>
    <row r="24" spans="1:8">
      <c r="A24" s="74" t="n">
        <v>23</v>
      </c>
      <c r="B24" s="48" t="s">
        <v>762</v>
      </c>
      <c r="C24" s="75" t="s">
        <v>716</v>
      </c>
      <c r="D24" s="76" t="n">
        <v>38917</v>
      </c>
      <c r="E24" s="77" t="s">
        <v>717</v>
      </c>
      <c r="F24" s="78" t="s">
        <v>763</v>
      </c>
      <c r="G24" s="48" t="n">
        <v>124</v>
      </c>
      <c r="H24" s="48" t="n">
        <v>27</v>
      </c>
    </row>
    <row r="25" spans="1:8">
      <c r="A25" s="74" t="n">
        <v>24</v>
      </c>
      <c r="B25" s="48" t="s">
        <v>764</v>
      </c>
      <c r="C25" s="75" t="s">
        <v>716</v>
      </c>
      <c r="D25" s="76" t="n">
        <v>38568</v>
      </c>
      <c r="E25" s="77" t="s">
        <v>717</v>
      </c>
      <c r="F25" s="78" t="s">
        <v>765</v>
      </c>
      <c r="G25" s="48" t="n">
        <v>113</v>
      </c>
      <c r="H25" s="48" t="n">
        <v>21</v>
      </c>
    </row>
    <row r="26" spans="1:8">
      <c r="A26" s="74" t="n">
        <v>25</v>
      </c>
      <c r="B26" s="48" t="s">
        <v>766</v>
      </c>
      <c r="C26" s="75" t="s">
        <v>716</v>
      </c>
      <c r="D26" s="76" t="n">
        <v>36262</v>
      </c>
      <c r="E26" s="77" t="s">
        <v>717</v>
      </c>
      <c r="F26" s="78" t="s">
        <v>767</v>
      </c>
      <c r="G26" s="48" t="n">
        <v>117</v>
      </c>
      <c r="H26" s="48" t="n">
        <v>23</v>
      </c>
    </row>
    <row r="27" spans="1:8">
      <c r="A27" s="74" t="n">
        <v>26</v>
      </c>
      <c r="B27" s="48" t="s">
        <v>768</v>
      </c>
      <c r="C27" s="75" t="s">
        <v>716</v>
      </c>
      <c r="D27" s="76" t="n">
        <v>41576</v>
      </c>
      <c r="E27" s="79" t="s">
        <v>758</v>
      </c>
      <c r="F27" s="78" t="s">
        <v>769</v>
      </c>
      <c r="G27" s="48" t="n">
        <v>62</v>
      </c>
      <c r="H27" s="48" t="n">
        <v>14</v>
      </c>
    </row>
    <row r="28" spans="1:8">
      <c r="A28" s="74" t="n">
        <v>27</v>
      </c>
      <c r="B28" s="48" t="s">
        <v>770</v>
      </c>
      <c r="C28" s="75" t="s">
        <v>716</v>
      </c>
      <c r="D28" s="76" t="n">
        <v>39755</v>
      </c>
      <c r="E28" s="77" t="s">
        <v>717</v>
      </c>
      <c r="F28" s="78" t="s">
        <v>771</v>
      </c>
      <c r="G28" s="48" t="n">
        <v>66</v>
      </c>
      <c r="H28" s="48" t="n">
        <v>16</v>
      </c>
    </row>
    <row r="29" spans="1:8">
      <c r="A29" s="74" t="n">
        <v>28</v>
      </c>
      <c r="B29" s="48" t="s">
        <v>772</v>
      </c>
      <c r="C29" s="75" t="s">
        <v>716</v>
      </c>
      <c r="D29" s="76" t="n">
        <v>37784</v>
      </c>
      <c r="E29" s="77" t="s">
        <v>717</v>
      </c>
      <c r="F29" s="78" t="s">
        <v>773</v>
      </c>
      <c r="G29" s="48" t="n">
        <v>90</v>
      </c>
      <c r="H29" s="48" t="n">
        <v>21</v>
      </c>
    </row>
    <row r="30" spans="1:8">
      <c r="A30" s="74" t="n">
        <v>29</v>
      </c>
      <c r="B30" s="48" t="s">
        <v>774</v>
      </c>
      <c r="C30" s="75" t="s">
        <v>716</v>
      </c>
      <c r="D30" s="76" t="n">
        <v>39299</v>
      </c>
      <c r="E30" s="77" t="s">
        <v>717</v>
      </c>
      <c r="F30" s="78" t="s">
        <v>775</v>
      </c>
      <c r="G30" s="48" t="n">
        <v>72</v>
      </c>
      <c r="H30" s="48" t="n">
        <v>12</v>
      </c>
    </row>
    <row r="31" spans="1:8">
      <c r="A31" s="74" t="n">
        <v>30</v>
      </c>
      <c r="B31" s="48" t="s">
        <v>776</v>
      </c>
      <c r="C31" s="75" t="s">
        <v>716</v>
      </c>
      <c r="D31" s="76" t="n">
        <v>38099</v>
      </c>
      <c r="E31" s="77" t="s">
        <v>717</v>
      </c>
      <c r="F31" s="78" t="s">
        <v>777</v>
      </c>
      <c r="G31" s="48" t="n">
        <v>68</v>
      </c>
      <c r="H31" s="48" t="n">
        <v>15</v>
      </c>
    </row>
    <row r="32" spans="1:8">
      <c r="A32" s="74" t="n">
        <v>31</v>
      </c>
      <c r="B32" s="48" t="s">
        <v>778</v>
      </c>
      <c r="C32" s="75" t="s">
        <v>716</v>
      </c>
      <c r="D32" s="76" t="n">
        <v>41585</v>
      </c>
      <c r="E32" s="79" t="s">
        <v>758</v>
      </c>
      <c r="F32" s="78" t="s">
        <v>779</v>
      </c>
      <c r="G32" s="48" t="n">
        <v>44</v>
      </c>
      <c r="H32" s="48" t="n">
        <v>6</v>
      </c>
    </row>
    <row r="33" spans="1:8">
      <c r="A33" s="74" t="n">
        <v>32</v>
      </c>
      <c r="B33" s="48" t="s">
        <v>780</v>
      </c>
      <c r="C33" s="75" t="s">
        <v>716</v>
      </c>
      <c r="D33" s="76" t="n">
        <v>38625</v>
      </c>
      <c r="E33" s="77" t="s">
        <v>717</v>
      </c>
      <c r="F33" s="78" t="s">
        <v>781</v>
      </c>
      <c r="G33" s="48" t="n">
        <v>117</v>
      </c>
      <c r="H33" s="48" t="n">
        <v>20</v>
      </c>
    </row>
    <row r="34" spans="1:8">
      <c r="A34" s="74" t="n">
        <v>33</v>
      </c>
      <c r="B34" s="48" t="s">
        <v>782</v>
      </c>
      <c r="C34" s="75" t="s">
        <v>716</v>
      </c>
      <c r="D34" s="76" t="n">
        <v>38119</v>
      </c>
      <c r="E34" s="77" t="s">
        <v>717</v>
      </c>
      <c r="F34" s="78" t="s">
        <v>783</v>
      </c>
      <c r="G34" s="48" t="n">
        <v>92</v>
      </c>
      <c r="H34" s="48" t="n">
        <v>31</v>
      </c>
    </row>
    <row r="35" spans="1:8">
      <c r="A35" s="74" t="n">
        <v>34</v>
      </c>
      <c r="B35" s="48" t="s">
        <v>784</v>
      </c>
      <c r="C35" s="75" t="s">
        <v>716</v>
      </c>
      <c r="D35" s="76" t="n">
        <v>38309</v>
      </c>
      <c r="E35" s="77" t="s">
        <v>717</v>
      </c>
      <c r="F35" s="78" t="s">
        <v>785</v>
      </c>
      <c r="G35" s="48" t="n">
        <v>77</v>
      </c>
      <c r="H35" s="48" t="n">
        <v>20</v>
      </c>
    </row>
    <row r="36" spans="1:8">
      <c r="A36" s="74" t="n">
        <v>35</v>
      </c>
      <c r="B36" s="48" t="s">
        <v>786</v>
      </c>
      <c r="C36" s="75" t="s">
        <v>716</v>
      </c>
      <c r="D36" s="76" t="n">
        <v>40337</v>
      </c>
      <c r="E36" s="77" t="s">
        <v>717</v>
      </c>
      <c r="F36" s="78" t="s">
        <v>787</v>
      </c>
      <c r="G36" s="48" t="n">
        <v>48</v>
      </c>
      <c r="H36" s="48" t="n">
        <v>14</v>
      </c>
    </row>
    <row r="37" spans="1:8">
      <c r="A37" s="74" t="n">
        <v>36</v>
      </c>
      <c r="B37" s="48" t="s">
        <v>788</v>
      </c>
      <c r="C37" s="75" t="s">
        <v>716</v>
      </c>
      <c r="D37" s="76" t="n">
        <v>37964</v>
      </c>
      <c r="E37" s="77" t="s">
        <v>717</v>
      </c>
      <c r="F37" s="78" t="s">
        <v>789</v>
      </c>
      <c r="G37" s="48" t="n">
        <v>80</v>
      </c>
      <c r="H37" s="48" t="n">
        <v>23</v>
      </c>
    </row>
    <row r="38" spans="1:8">
      <c r="A38" s="74" t="n">
        <v>37</v>
      </c>
      <c r="B38" s="48" t="s">
        <v>790</v>
      </c>
      <c r="C38" s="75" t="s">
        <v>716</v>
      </c>
      <c r="D38" s="76" t="n">
        <v>37729</v>
      </c>
      <c r="E38" s="77" t="s">
        <v>717</v>
      </c>
      <c r="F38" s="78" t="s">
        <v>791</v>
      </c>
      <c r="G38" s="48" t="n">
        <v>80</v>
      </c>
      <c r="H38" s="48" t="n">
        <v>17</v>
      </c>
    </row>
    <row r="39" spans="1:8">
      <c r="A39" s="74" t="n">
        <v>38</v>
      </c>
      <c r="B39" s="48" t="s">
        <v>792</v>
      </c>
      <c r="C39" s="75" t="s">
        <v>716</v>
      </c>
      <c r="D39" s="76" t="n">
        <v>37491</v>
      </c>
      <c r="E39" s="77" t="s">
        <v>717</v>
      </c>
      <c r="F39" s="78" t="s">
        <v>793</v>
      </c>
      <c r="G39" s="48" t="n">
        <v>99</v>
      </c>
      <c r="H39" s="48" t="n">
        <v>15</v>
      </c>
    </row>
    <row r="40" spans="1:8">
      <c r="A40" s="74" t="n">
        <v>39</v>
      </c>
      <c r="B40" s="48" t="s">
        <v>794</v>
      </c>
      <c r="C40" s="75" t="s">
        <v>716</v>
      </c>
      <c r="D40" s="76" t="n">
        <v>37421</v>
      </c>
      <c r="E40" s="77" t="s">
        <v>717</v>
      </c>
      <c r="F40" s="78" t="s">
        <v>795</v>
      </c>
      <c r="G40" s="48" t="n">
        <v>97</v>
      </c>
      <c r="H40" s="48" t="n">
        <v>16</v>
      </c>
    </row>
    <row r="41" spans="1:8">
      <c r="A41" s="74" t="n">
        <v>40</v>
      </c>
      <c r="B41" s="48" t="s">
        <v>796</v>
      </c>
      <c r="C41" s="75" t="s">
        <v>716</v>
      </c>
      <c r="D41" s="76" t="n">
        <v>37033</v>
      </c>
      <c r="E41" s="77" t="s">
        <v>717</v>
      </c>
      <c r="F41" s="78" t="s">
        <v>797</v>
      </c>
      <c r="G41" s="48" t="n">
        <v>90</v>
      </c>
      <c r="H41" s="48" t="n">
        <v>28</v>
      </c>
    </row>
    <row r="42" spans="1:8">
      <c r="A42" s="74" t="n">
        <v>41</v>
      </c>
      <c r="B42" s="48" t="s">
        <v>798</v>
      </c>
      <c r="C42" s="75" t="s">
        <v>716</v>
      </c>
      <c r="D42" s="76" t="n">
        <v>41360</v>
      </c>
      <c r="E42" s="79" t="s">
        <v>758</v>
      </c>
      <c r="F42" s="78" t="s">
        <v>799</v>
      </c>
      <c r="G42" s="48" t="n">
        <v>43</v>
      </c>
      <c r="H42" s="48" t="n">
        <v>7</v>
      </c>
    </row>
    <row r="43" spans="1:8">
      <c r="A43" s="74" t="n">
        <v>42</v>
      </c>
      <c r="B43" s="48" t="s">
        <v>800</v>
      </c>
      <c r="C43" s="75" t="s">
        <v>716</v>
      </c>
      <c r="D43" s="76" t="n">
        <v>41425</v>
      </c>
      <c r="E43" s="79" t="s">
        <v>758</v>
      </c>
      <c r="F43" s="78" t="s">
        <v>801</v>
      </c>
      <c r="G43" s="48" t="n">
        <v>87</v>
      </c>
      <c r="H43" s="48" t="n">
        <v>13</v>
      </c>
    </row>
    <row r="44" spans="1:8">
      <c r="A44" s="74" t="n">
        <v>43</v>
      </c>
      <c r="B44" s="48" t="s">
        <v>802</v>
      </c>
      <c r="C44" s="75" t="s">
        <v>716</v>
      </c>
      <c r="D44" s="76" t="n">
        <v>37252</v>
      </c>
      <c r="E44" s="77" t="s">
        <v>717</v>
      </c>
      <c r="F44" s="78" t="s">
        <v>803</v>
      </c>
      <c r="G44" s="48" t="n">
        <v>57</v>
      </c>
      <c r="H44" s="48" t="n">
        <v>16</v>
      </c>
    </row>
    <row r="45" spans="1:8">
      <c r="A45" s="74" t="n">
        <v>44</v>
      </c>
      <c r="B45" s="48" t="s">
        <v>804</v>
      </c>
      <c r="C45" s="75" t="s">
        <v>716</v>
      </c>
      <c r="D45" s="76" t="n">
        <v>37566</v>
      </c>
      <c r="E45" s="77" t="s">
        <v>717</v>
      </c>
      <c r="F45" s="78" t="s">
        <v>805</v>
      </c>
      <c r="G45" s="48" t="n">
        <v>61</v>
      </c>
      <c r="H45" s="48" t="n">
        <v>17</v>
      </c>
    </row>
    <row r="46" spans="1:8">
      <c r="A46" s="74" t="n">
        <v>45</v>
      </c>
      <c r="B46" s="48" t="s">
        <v>806</v>
      </c>
      <c r="C46" s="75" t="s">
        <v>716</v>
      </c>
      <c r="D46" s="76" t="n">
        <v>41516</v>
      </c>
      <c r="E46" s="77" t="s">
        <v>717</v>
      </c>
      <c r="F46" s="78" t="s">
        <v>807</v>
      </c>
      <c r="G46" s="48" t="n">
        <v>11</v>
      </c>
      <c r="H46" s="48" t="n">
        <v>5</v>
      </c>
    </row>
    <row r="47" spans="1:8">
      <c r="A47" s="74" t="n">
        <v>46</v>
      </c>
      <c r="B47" s="48" t="s">
        <v>808</v>
      </c>
      <c r="C47" s="75" t="s">
        <v>716</v>
      </c>
      <c r="D47" s="76" t="n">
        <v>37420</v>
      </c>
      <c r="E47" s="77" t="s">
        <v>717</v>
      </c>
      <c r="F47" s="78" t="s">
        <v>809</v>
      </c>
      <c r="G47" s="48" t="n">
        <v>90</v>
      </c>
      <c r="H47" s="48" t="n">
        <v>27</v>
      </c>
    </row>
    <row r="48" spans="1:8">
      <c r="A48" s="74" t="n">
        <v>47</v>
      </c>
      <c r="B48" s="48" t="s">
        <v>810</v>
      </c>
      <c r="C48" s="75" t="s">
        <v>716</v>
      </c>
      <c r="D48" s="76" t="n">
        <v>37315</v>
      </c>
      <c r="E48" s="79" t="s">
        <v>758</v>
      </c>
      <c r="F48" s="78" t="s">
        <v>811</v>
      </c>
      <c r="G48" s="48" t="n">
        <v>27</v>
      </c>
      <c r="H48" s="48" t="n">
        <v>7</v>
      </c>
    </row>
    <row r="49" spans="1:8">
      <c r="A49" s="74" t="n">
        <v>48</v>
      </c>
      <c r="B49" s="48" t="s">
        <v>812</v>
      </c>
      <c r="C49" s="75" t="s">
        <v>716</v>
      </c>
      <c r="D49" s="76" t="n">
        <v>41297</v>
      </c>
      <c r="E49" s="77" t="s">
        <v>717</v>
      </c>
      <c r="F49" s="78" t="s">
        <v>813</v>
      </c>
      <c r="G49" s="48" t="n">
        <v>126</v>
      </c>
      <c r="H49" s="48" t="n">
        <v>21</v>
      </c>
    </row>
    <row r="50" spans="1:8">
      <c r="A50" s="74" t="n">
        <v>49</v>
      </c>
      <c r="B50" s="48" t="s">
        <v>814</v>
      </c>
      <c r="C50" s="75" t="s">
        <v>716</v>
      </c>
      <c r="D50" s="76" t="n">
        <v>38096</v>
      </c>
      <c r="E50" s="77" t="s">
        <v>717</v>
      </c>
      <c r="F50" s="78" t="s">
        <v>815</v>
      </c>
      <c r="G50" s="48" t="n">
        <v>54</v>
      </c>
      <c r="H50" s="48" t="n">
        <v>11</v>
      </c>
    </row>
    <row r="51" spans="1:8">
      <c r="A51" s="74" t="n">
        <v>50</v>
      </c>
      <c r="B51" s="48" t="s">
        <v>816</v>
      </c>
      <c r="C51" s="75" t="s">
        <v>716</v>
      </c>
      <c r="D51" s="76" t="n">
        <v>37750</v>
      </c>
      <c r="E51" s="77" t="s">
        <v>717</v>
      </c>
      <c r="F51" s="78" t="s">
        <v>817</v>
      </c>
      <c r="G51" s="48" t="n">
        <v>90</v>
      </c>
      <c r="H51" s="48" t="n">
        <v>18</v>
      </c>
    </row>
    <row r="52" spans="1:8">
      <c r="A52" s="74" t="n">
        <v>51</v>
      </c>
      <c r="B52" s="48" t="s">
        <v>818</v>
      </c>
      <c r="C52" s="75" t="s">
        <v>716</v>
      </c>
      <c r="D52" s="76" t="n">
        <v>40849</v>
      </c>
      <c r="E52" s="77" t="s">
        <v>717</v>
      </c>
      <c r="F52" s="78" t="s">
        <v>819</v>
      </c>
      <c r="G52" s="48" t="n">
        <v>16</v>
      </c>
      <c r="H52" s="48" t="n">
        <v>9</v>
      </c>
    </row>
    <row r="53" spans="1:8">
      <c r="A53" s="74" t="n">
        <v>52</v>
      </c>
      <c r="B53" s="48" t="s">
        <v>820</v>
      </c>
      <c r="C53" s="75" t="s">
        <v>716</v>
      </c>
      <c r="D53" s="76" t="n">
        <v>38769</v>
      </c>
      <c r="E53" s="79" t="s">
        <v>758</v>
      </c>
      <c r="F53" s="78" t="s">
        <v>821</v>
      </c>
      <c r="G53" s="48" t="n">
        <v>43</v>
      </c>
      <c r="H53" s="48" t="n">
        <v>9</v>
      </c>
    </row>
    <row r="54" spans="1:8">
      <c r="A54" s="74" t="n">
        <v>53</v>
      </c>
      <c r="B54" s="48" t="s">
        <v>822</v>
      </c>
      <c r="C54" s="75" t="s">
        <v>716</v>
      </c>
      <c r="D54" s="76" t="n">
        <v>37413</v>
      </c>
      <c r="E54" s="77" t="s">
        <v>717</v>
      </c>
      <c r="F54" s="78" t="s">
        <v>823</v>
      </c>
      <c r="G54" s="48" t="n">
        <v>80</v>
      </c>
      <c r="H54" s="48" t="n">
        <v>22</v>
      </c>
    </row>
    <row r="55" spans="1:8">
      <c r="A55" s="74" t="n">
        <v>54</v>
      </c>
      <c r="B55" s="48" t="s">
        <v>824</v>
      </c>
      <c r="C55" s="75" t="s">
        <v>716</v>
      </c>
      <c r="D55" s="76" t="n">
        <v>40883</v>
      </c>
      <c r="E55" s="77" t="s">
        <v>717</v>
      </c>
      <c r="F55" s="78" t="s">
        <v>825</v>
      </c>
      <c r="G55" s="48" t="n">
        <v>75</v>
      </c>
      <c r="H55" s="48" t="n">
        <v>19</v>
      </c>
    </row>
    <row r="56" spans="1:8">
      <c r="A56" s="74" t="n">
        <v>55</v>
      </c>
      <c r="B56" s="48" t="s">
        <v>826</v>
      </c>
      <c r="C56" s="75" t="s">
        <v>716</v>
      </c>
      <c r="D56" s="76" t="n">
        <v>38330</v>
      </c>
      <c r="E56" s="77" t="s">
        <v>717</v>
      </c>
      <c r="F56" s="78" t="s">
        <v>827</v>
      </c>
      <c r="G56" s="48" t="n">
        <v>60</v>
      </c>
      <c r="H56" s="48" t="n">
        <v>17</v>
      </c>
    </row>
    <row r="57" spans="1:8">
      <c r="A57" s="74" t="n">
        <v>56</v>
      </c>
      <c r="B57" s="48" t="s">
        <v>828</v>
      </c>
      <c r="C57" s="75" t="s">
        <v>716</v>
      </c>
      <c r="D57" s="76" t="n">
        <v>38845</v>
      </c>
      <c r="E57" s="77" t="s">
        <v>717</v>
      </c>
      <c r="F57" s="78" t="s">
        <v>829</v>
      </c>
      <c r="G57" s="48" t="n">
        <v>49</v>
      </c>
      <c r="H57" s="48" t="n">
        <v>21</v>
      </c>
    </row>
    <row r="58" spans="1:8">
      <c r="A58" s="74" t="n">
        <v>57</v>
      </c>
      <c r="B58" s="48" t="s">
        <v>830</v>
      </c>
      <c r="C58" s="75" t="s">
        <v>716</v>
      </c>
      <c r="D58" s="76" t="n">
        <v>41572</v>
      </c>
      <c r="E58" s="79" t="s">
        <v>758</v>
      </c>
      <c r="F58" s="78" t="s">
        <v>831</v>
      </c>
      <c r="G58" s="48" t="n">
        <v>22</v>
      </c>
      <c r="H58" s="48" t="n">
        <v>11</v>
      </c>
    </row>
    <row r="59" spans="1:8">
      <c r="A59" s="74" t="n">
        <v>58</v>
      </c>
      <c r="B59" s="48" t="s">
        <v>832</v>
      </c>
      <c r="C59" s="75" t="s">
        <v>716</v>
      </c>
      <c r="D59" s="76" t="n">
        <v>41515</v>
      </c>
      <c r="E59" s="79" t="s">
        <v>758</v>
      </c>
      <c r="F59" s="78" t="s">
        <v>833</v>
      </c>
      <c r="G59" s="48" t="n">
        <v>45</v>
      </c>
      <c r="H59" s="48" t="n">
        <v>7</v>
      </c>
    </row>
    <row r="60" spans="1:8">
      <c r="A60" s="74" t="n">
        <v>59</v>
      </c>
      <c r="B60" s="48" t="s">
        <v>834</v>
      </c>
      <c r="C60" s="75" t="s">
        <v>716</v>
      </c>
      <c r="D60" s="76" t="n">
        <v>41850</v>
      </c>
      <c r="E60" s="79" t="s">
        <v>758</v>
      </c>
      <c r="F60" s="78" t="s">
        <v>835</v>
      </c>
      <c r="G60" s="48" t="n">
        <v>12</v>
      </c>
      <c r="H60" s="48" t="n">
        <v>3</v>
      </c>
    </row>
    <row r="61" spans="1:8">
      <c r="A61" s="74" t="n">
        <v>60</v>
      </c>
      <c r="B61" s="48" t="s">
        <v>836</v>
      </c>
      <c r="C61" s="75" t="s">
        <v>716</v>
      </c>
      <c r="D61" s="76" t="n">
        <v>36245</v>
      </c>
      <c r="E61" s="77" t="s">
        <v>717</v>
      </c>
      <c r="F61" s="78" t="s">
        <v>837</v>
      </c>
      <c r="G61" s="48" t="n">
        <v>83</v>
      </c>
      <c r="H61" s="48" t="n">
        <v>14</v>
      </c>
    </row>
    <row r="62" spans="1:8">
      <c r="A62" s="74" t="n">
        <v>61</v>
      </c>
      <c r="B62" s="48" t="s">
        <v>838</v>
      </c>
      <c r="C62" s="75" t="s">
        <v>716</v>
      </c>
      <c r="D62" s="76" t="n">
        <v>37029</v>
      </c>
      <c r="E62" s="77" t="s">
        <v>717</v>
      </c>
      <c r="F62" s="78" t="s">
        <v>839</v>
      </c>
      <c r="G62" s="48" t="n">
        <v>31</v>
      </c>
      <c r="H62" s="48" t="n">
        <v>14</v>
      </c>
    </row>
    <row r="63" spans="1:8">
      <c r="A63" s="74" t="n">
        <v>62</v>
      </c>
      <c r="B63" s="48" t="s">
        <v>840</v>
      </c>
      <c r="C63" s="75" t="s">
        <v>716</v>
      </c>
      <c r="D63" s="76" t="n">
        <v>38001</v>
      </c>
      <c r="E63" s="77" t="s">
        <v>717</v>
      </c>
      <c r="F63" s="78" t="s">
        <v>841</v>
      </c>
      <c r="G63" s="48" t="n">
        <v>54</v>
      </c>
      <c r="H63" s="48" t="n">
        <v>16</v>
      </c>
    </row>
    <row r="64" spans="1:8">
      <c r="A64" s="74" t="n">
        <v>63</v>
      </c>
      <c r="B64" s="48" t="s">
        <v>842</v>
      </c>
      <c r="C64" s="75" t="s">
        <v>716</v>
      </c>
      <c r="D64" s="76" t="n">
        <v>38232</v>
      </c>
      <c r="E64" s="77" t="s">
        <v>717</v>
      </c>
      <c r="F64" s="78" t="s">
        <v>843</v>
      </c>
      <c r="G64" s="48" t="n">
        <v>41</v>
      </c>
      <c r="H64" s="48" t="n">
        <v>20</v>
      </c>
    </row>
    <row r="65" spans="1:8">
      <c r="A65" s="74" t="n">
        <v>64</v>
      </c>
      <c r="B65" s="48" t="s">
        <v>844</v>
      </c>
      <c r="C65" s="75" t="s">
        <v>716</v>
      </c>
      <c r="D65" s="76" t="n">
        <v>40472</v>
      </c>
      <c r="E65" s="77" t="s">
        <v>717</v>
      </c>
      <c r="F65" s="78" t="s">
        <v>845</v>
      </c>
      <c r="G65" s="48" t="n">
        <v>19</v>
      </c>
      <c r="H65" s="48" t="n">
        <v>6</v>
      </c>
    </row>
    <row r="66" spans="1:8">
      <c r="A66" s="74" t="n">
        <v>65</v>
      </c>
      <c r="B66" s="48" t="s">
        <v>846</v>
      </c>
      <c r="C66" s="75" t="s">
        <v>716</v>
      </c>
      <c r="D66" s="76" t="n">
        <v>40379</v>
      </c>
      <c r="E66" s="79" t="s">
        <v>758</v>
      </c>
      <c r="F66" s="78" t="s">
        <v>847</v>
      </c>
      <c r="G66" s="48" t="n">
        <v>46</v>
      </c>
      <c r="H66" s="48" t="n">
        <v>12</v>
      </c>
    </row>
    <row r="67" spans="1:8">
      <c r="A67" s="74" t="n">
        <v>66</v>
      </c>
      <c r="B67" s="48" t="s">
        <v>848</v>
      </c>
      <c r="C67" s="75" t="s">
        <v>716</v>
      </c>
      <c r="D67" s="76" t="n">
        <v>38306</v>
      </c>
      <c r="E67" s="77" t="s">
        <v>717</v>
      </c>
      <c r="F67" s="78" t="s">
        <v>849</v>
      </c>
      <c r="G67" s="48" t="n">
        <v>46</v>
      </c>
      <c r="H67" s="48" t="n">
        <v>13</v>
      </c>
    </row>
    <row r="68" spans="1:8">
      <c r="A68" s="74" t="n">
        <v>67</v>
      </c>
      <c r="B68" s="48" t="s">
        <v>850</v>
      </c>
      <c r="C68" s="75" t="s">
        <v>716</v>
      </c>
      <c r="D68" s="76" t="n">
        <v>42557</v>
      </c>
      <c r="E68" s="79" t="s">
        <v>758</v>
      </c>
      <c r="F68" s="78" t="s">
        <v>851</v>
      </c>
      <c r="G68" s="48" t="n">
        <v>23</v>
      </c>
      <c r="H68" s="48" t="n">
        <v>7</v>
      </c>
    </row>
    <row r="69" spans="1:8">
      <c r="A69" s="74" t="n">
        <v>68</v>
      </c>
      <c r="B69" s="48" t="s">
        <v>852</v>
      </c>
      <c r="C69" s="75" t="s">
        <v>716</v>
      </c>
      <c r="D69" s="76" t="n">
        <v>37714</v>
      </c>
      <c r="E69" s="77" t="s">
        <v>717</v>
      </c>
      <c r="F69" s="78" t="s">
        <v>853</v>
      </c>
      <c r="G69" s="48" t="n">
        <v>55</v>
      </c>
      <c r="H69" s="48" t="n">
        <v>16</v>
      </c>
    </row>
    <row r="70" spans="1:8">
      <c r="A70" s="74" t="n">
        <v>69</v>
      </c>
      <c r="B70" s="48" t="s">
        <v>854</v>
      </c>
      <c r="C70" s="75" t="s">
        <v>716</v>
      </c>
      <c r="D70" s="76" t="n">
        <v>38672</v>
      </c>
      <c r="E70" s="77" t="s">
        <v>717</v>
      </c>
      <c r="F70" s="78" t="s">
        <v>855</v>
      </c>
      <c r="G70" s="48" t="n">
        <v>26</v>
      </c>
      <c r="H70" s="48" t="n">
        <v>12</v>
      </c>
    </row>
    <row r="71" spans="1:8">
      <c r="A71" s="74" t="n">
        <v>70</v>
      </c>
      <c r="B71" s="48" t="s">
        <v>856</v>
      </c>
      <c r="C71" s="75" t="s">
        <v>716</v>
      </c>
      <c r="D71" s="76" t="n">
        <v>40732</v>
      </c>
      <c r="E71" s="77" t="s">
        <v>717</v>
      </c>
      <c r="F71" s="78" t="s">
        <v>857</v>
      </c>
      <c r="G71" s="48" t="n">
        <v>16</v>
      </c>
      <c r="H71" s="48" t="n">
        <v>5</v>
      </c>
    </row>
    <row r="72" spans="1:8">
      <c r="A72" s="74" t="n">
        <v>71</v>
      </c>
      <c r="B72" s="48" t="s">
        <v>858</v>
      </c>
      <c r="C72" s="75" t="s">
        <v>716</v>
      </c>
      <c r="D72" s="76" t="n">
        <v>42223</v>
      </c>
      <c r="E72" s="79" t="s">
        <v>758</v>
      </c>
      <c r="F72" s="78" t="s">
        <v>859</v>
      </c>
      <c r="G72" s="48" t="n">
        <v>28</v>
      </c>
      <c r="H72" s="48" t="n">
        <v>7</v>
      </c>
    </row>
    <row r="73" spans="1:8">
      <c r="A73" s="74" t="n">
        <v>72</v>
      </c>
      <c r="B73" s="48" t="s">
        <v>860</v>
      </c>
      <c r="C73" s="75" t="s">
        <v>716</v>
      </c>
      <c r="D73" s="76" t="n">
        <v>41988</v>
      </c>
      <c r="E73" s="79" t="s">
        <v>758</v>
      </c>
      <c r="F73" s="78" t="s">
        <v>861</v>
      </c>
      <c r="G73" s="48" t="n">
        <v>22</v>
      </c>
      <c r="H73" s="48" t="n">
        <v>6</v>
      </c>
    </row>
    <row r="74" spans="1:8">
      <c r="A74" s="74" t="n">
        <v>73</v>
      </c>
      <c r="B74" s="48" t="s">
        <v>862</v>
      </c>
      <c r="C74" s="75" t="s">
        <v>716</v>
      </c>
      <c r="D74" s="76" t="n">
        <v>42066</v>
      </c>
      <c r="E74" s="79" t="s">
        <v>758</v>
      </c>
      <c r="F74" s="78" t="s">
        <v>863</v>
      </c>
      <c r="G74" s="48" t="n">
        <v>34</v>
      </c>
      <c r="H74" s="48" t="n">
        <v>10</v>
      </c>
    </row>
    <row r="75" spans="1:8">
      <c r="A75" s="74" t="n">
        <v>74</v>
      </c>
      <c r="B75" s="48" t="s">
        <v>864</v>
      </c>
      <c r="C75" s="75" t="s">
        <v>716</v>
      </c>
      <c r="D75" s="76" t="n">
        <v>38706</v>
      </c>
      <c r="E75" s="77" t="s">
        <v>717</v>
      </c>
      <c r="F75" s="78" t="s">
        <v>865</v>
      </c>
      <c r="G75" s="48" t="n">
        <v>54</v>
      </c>
      <c r="H75" s="48" t="n">
        <v>18</v>
      </c>
    </row>
    <row r="76" spans="1:8">
      <c r="A76" s="74" t="n">
        <v>75</v>
      </c>
      <c r="B76" s="48" t="s">
        <v>866</v>
      </c>
      <c r="C76" s="75" t="s">
        <v>716</v>
      </c>
      <c r="D76" s="76" t="n">
        <v>39034</v>
      </c>
      <c r="E76" s="77" t="s">
        <v>717</v>
      </c>
      <c r="F76" s="78" t="s">
        <v>867</v>
      </c>
      <c r="G76" s="48" t="n">
        <v>21</v>
      </c>
      <c r="H76" s="48" t="n">
        <v>8</v>
      </c>
    </row>
    <row r="77" spans="1:8">
      <c r="A77" s="74" t="n">
        <v>76</v>
      </c>
      <c r="B77" s="48" t="s">
        <v>868</v>
      </c>
      <c r="C77" s="75" t="s">
        <v>716</v>
      </c>
      <c r="D77" s="76" t="n">
        <v>38876</v>
      </c>
      <c r="E77" s="77" t="s">
        <v>717</v>
      </c>
      <c r="F77" s="78" t="s">
        <v>869</v>
      </c>
      <c r="G77" s="48" t="n">
        <v>24</v>
      </c>
      <c r="H77" s="48" t="n">
        <v>13</v>
      </c>
    </row>
    <row r="78" spans="1:8">
      <c r="A78" s="74" t="n">
        <v>77</v>
      </c>
      <c r="B78" s="48" t="s">
        <v>870</v>
      </c>
      <c r="C78" s="75" t="s">
        <v>716</v>
      </c>
      <c r="D78" s="76" t="n">
        <v>40715</v>
      </c>
      <c r="E78" s="77" t="s">
        <v>717</v>
      </c>
      <c r="F78" s="78" t="s">
        <v>871</v>
      </c>
      <c r="G78" s="48" t="n">
        <v>27</v>
      </c>
      <c r="H78" s="48" t="n">
        <v>8</v>
      </c>
    </row>
    <row r="79" spans="1:8">
      <c r="A79" s="74" t="n">
        <v>78</v>
      </c>
      <c r="B79" s="48" t="s">
        <v>872</v>
      </c>
      <c r="C79" s="75" t="s">
        <v>716</v>
      </c>
      <c r="D79" s="76" t="n">
        <v>38149</v>
      </c>
      <c r="E79" s="77" t="s">
        <v>717</v>
      </c>
      <c r="F79" s="78" t="s">
        <v>873</v>
      </c>
      <c r="G79" s="48" t="n">
        <v>55</v>
      </c>
      <c r="H79" s="48" t="n">
        <v>15</v>
      </c>
    </row>
    <row r="80" spans="1:8">
      <c r="A80" s="74" t="n">
        <v>79</v>
      </c>
      <c r="B80" s="48" t="s">
        <v>874</v>
      </c>
      <c r="C80" s="75" t="s">
        <v>716</v>
      </c>
      <c r="D80" s="76" t="n">
        <v>41641</v>
      </c>
      <c r="E80" s="77" t="s">
        <v>717</v>
      </c>
      <c r="F80" s="78" t="s">
        <v>875</v>
      </c>
      <c r="G80" s="48" t="n">
        <v>24</v>
      </c>
      <c r="H80" s="48" t="n">
        <v>9</v>
      </c>
    </row>
    <row r="81" spans="1:8">
      <c r="A81" s="74" t="n">
        <v>80</v>
      </c>
      <c r="B81" s="48" t="s">
        <v>876</v>
      </c>
      <c r="C81" s="75" t="s">
        <v>716</v>
      </c>
      <c r="D81" s="76" t="n">
        <v>37694</v>
      </c>
      <c r="E81" s="77" t="s">
        <v>717</v>
      </c>
      <c r="F81" s="78" t="s">
        <v>877</v>
      </c>
      <c r="G81" s="48" t="n">
        <v>30</v>
      </c>
      <c r="H81" s="48" t="n">
        <v>10</v>
      </c>
    </row>
    <row r="82" spans="1:8">
      <c r="A82" s="74" t="n">
        <v>81</v>
      </c>
      <c r="B82" s="48" t="s">
        <v>878</v>
      </c>
      <c r="C82" s="75" t="s">
        <v>716</v>
      </c>
      <c r="D82" s="76" t="n">
        <v>37818</v>
      </c>
      <c r="E82" s="79" t="s">
        <v>758</v>
      </c>
      <c r="F82" s="78" t="s">
        <v>879</v>
      </c>
      <c r="G82" s="48" t="n">
        <v>18</v>
      </c>
      <c r="H82" s="48" t="n">
        <v>7</v>
      </c>
    </row>
    <row r="83" spans="1:8">
      <c r="A83" s="74" t="n">
        <v>82</v>
      </c>
      <c r="B83" s="48" t="s">
        <v>880</v>
      </c>
      <c r="C83" s="75" t="s">
        <v>716</v>
      </c>
      <c r="D83" s="76" t="n">
        <v>41680</v>
      </c>
      <c r="E83" s="79" t="s">
        <v>758</v>
      </c>
      <c r="F83" s="78" t="s">
        <v>881</v>
      </c>
      <c r="G83" s="48" t="n">
        <v>43</v>
      </c>
      <c r="H83" s="48" t="n">
        <v>7</v>
      </c>
    </row>
    <row r="84" spans="1:8">
      <c r="A84" s="74" t="n">
        <v>83</v>
      </c>
      <c r="B84" s="48" t="s">
        <v>882</v>
      </c>
      <c r="C84" s="75" t="s">
        <v>716</v>
      </c>
      <c r="D84" s="76" t="n">
        <v>41297</v>
      </c>
      <c r="E84" s="79" t="s">
        <v>758</v>
      </c>
      <c r="F84" s="78" t="s">
        <v>883</v>
      </c>
      <c r="G84" s="48" t="n">
        <v>7</v>
      </c>
      <c r="H84" s="48" t="n">
        <v>4</v>
      </c>
    </row>
    <row r="85" spans="1:8">
      <c r="A85" s="74" t="n">
        <v>84</v>
      </c>
      <c r="B85" s="48" t="s">
        <v>884</v>
      </c>
      <c r="C85" s="75" t="s">
        <v>716</v>
      </c>
      <c r="D85" s="76" t="n">
        <v>38873</v>
      </c>
      <c r="E85" s="79" t="s">
        <v>758</v>
      </c>
      <c r="F85" s="78" t="s">
        <v>885</v>
      </c>
      <c r="G85" s="48" t="n">
        <v>28</v>
      </c>
      <c r="H85" s="48" t="n">
        <v>9</v>
      </c>
    </row>
    <row r="86" spans="1:8">
      <c r="A86" s="74" t="n">
        <v>85</v>
      </c>
      <c r="B86" s="48" t="s">
        <v>886</v>
      </c>
      <c r="C86" s="75" t="s">
        <v>716</v>
      </c>
      <c r="D86" s="76" t="n">
        <v>41829</v>
      </c>
      <c r="E86" s="79" t="s">
        <v>758</v>
      </c>
      <c r="F86" s="78" t="s">
        <v>887</v>
      </c>
      <c r="G86" s="48" t="n">
        <v>70</v>
      </c>
      <c r="H86" s="48" t="n">
        <v>18</v>
      </c>
    </row>
    <row r="87" spans="1:8">
      <c r="A87" s="74" t="n">
        <v>86</v>
      </c>
      <c r="B87" s="48" t="s">
        <v>888</v>
      </c>
      <c r="C87" s="75" t="s">
        <v>716</v>
      </c>
      <c r="D87" s="76" t="n">
        <v>38064</v>
      </c>
      <c r="E87" s="77" t="s">
        <v>717</v>
      </c>
      <c r="F87" s="78" t="s">
        <v>889</v>
      </c>
      <c r="G87" s="48" t="n">
        <v>41</v>
      </c>
      <c r="H87" s="48" t="n">
        <v>11</v>
      </c>
    </row>
    <row r="88" spans="1:8">
      <c r="A88" s="74" t="n">
        <v>87</v>
      </c>
      <c r="B88" s="48" t="s">
        <v>890</v>
      </c>
      <c r="C88" s="75" t="s">
        <v>716</v>
      </c>
      <c r="D88" s="76" t="n">
        <v>41898</v>
      </c>
      <c r="E88" s="79" t="s">
        <v>758</v>
      </c>
      <c r="F88" s="78" t="s">
        <v>891</v>
      </c>
      <c r="G88" s="48" t="n">
        <v>14</v>
      </c>
      <c r="H88" s="48" t="n">
        <v>3</v>
      </c>
    </row>
    <row r="89" spans="1:8">
      <c r="A89" s="74" t="n">
        <v>88</v>
      </c>
      <c r="B89" s="48" t="s">
        <v>892</v>
      </c>
      <c r="C89" s="75" t="s">
        <v>716</v>
      </c>
      <c r="D89" s="76" t="n">
        <v>40995</v>
      </c>
      <c r="E89" s="77" t="s">
        <v>717</v>
      </c>
      <c r="F89" s="78" t="s">
        <v>893</v>
      </c>
      <c r="G89" s="48" t="n">
        <v>29</v>
      </c>
      <c r="H89" s="48" t="n">
        <v>9</v>
      </c>
    </row>
    <row r="90" spans="1:8">
      <c r="A90" s="74" t="n">
        <v>89</v>
      </c>
      <c r="B90" s="48" t="s">
        <v>894</v>
      </c>
      <c r="C90" s="75" t="s">
        <v>716</v>
      </c>
      <c r="D90" s="76" t="n">
        <v>39596</v>
      </c>
      <c r="E90" s="79" t="s">
        <v>758</v>
      </c>
      <c r="F90" s="78" t="s">
        <v>895</v>
      </c>
      <c r="G90" s="48" t="n">
        <v>10</v>
      </c>
      <c r="H90" s="48" t="n">
        <v>5</v>
      </c>
    </row>
    <row r="91" spans="1:8">
      <c r="A91" s="74" t="n">
        <v>90</v>
      </c>
      <c r="B91" s="48" t="s">
        <v>896</v>
      </c>
      <c r="C91" s="75" t="s">
        <v>716</v>
      </c>
      <c r="D91" s="76" t="n">
        <v>41808</v>
      </c>
      <c r="E91" s="79" t="s">
        <v>758</v>
      </c>
      <c r="F91" s="78" t="s">
        <v>897</v>
      </c>
      <c r="G91" s="48" t="n">
        <v>10</v>
      </c>
      <c r="H91" s="48" t="n">
        <v>4</v>
      </c>
    </row>
    <row r="92" spans="1:8">
      <c r="A92" s="74" t="n">
        <v>91</v>
      </c>
      <c r="B92" s="48" t="s">
        <v>898</v>
      </c>
      <c r="C92" s="75" t="s">
        <v>716</v>
      </c>
      <c r="D92" s="76" t="n">
        <v>41823</v>
      </c>
      <c r="E92" s="79" t="s">
        <v>758</v>
      </c>
      <c r="F92" s="78" t="s">
        <v>899</v>
      </c>
      <c r="G92" s="48" t="n">
        <v>24</v>
      </c>
      <c r="H92" s="48" t="n">
        <v>9</v>
      </c>
    </row>
    <row r="93" spans="1:8">
      <c r="A93" s="74" t="n">
        <v>92</v>
      </c>
      <c r="B93" s="48" t="s">
        <v>900</v>
      </c>
      <c r="C93" s="75" t="s">
        <v>716</v>
      </c>
      <c r="D93" s="76" t="n">
        <v>42485</v>
      </c>
      <c r="E93" s="79" t="s">
        <v>758</v>
      </c>
      <c r="F93" s="78" t="s">
        <v>901</v>
      </c>
      <c r="G93" s="48" t="n">
        <v>37</v>
      </c>
      <c r="H93" s="48" t="n">
        <v>8</v>
      </c>
    </row>
    <row r="94" spans="1:8">
      <c r="A94" s="74" t="n">
        <v>93</v>
      </c>
      <c r="B94" s="48" t="s">
        <v>902</v>
      </c>
      <c r="C94" s="75" t="s">
        <v>716</v>
      </c>
      <c r="D94" s="76" t="n">
        <v>42577</v>
      </c>
      <c r="E94" s="79" t="s">
        <v>758</v>
      </c>
      <c r="F94" s="78" t="s">
        <v>903</v>
      </c>
      <c r="G94" s="48" t="n">
        <v>18</v>
      </c>
      <c r="H94" s="48" t="n">
        <v>7</v>
      </c>
    </row>
    <row r="95" spans="1:8">
      <c r="A95" s="74" t="n">
        <v>94</v>
      </c>
      <c r="B95" s="48" t="s">
        <v>904</v>
      </c>
      <c r="C95" s="75" t="s">
        <v>716</v>
      </c>
      <c r="D95" s="76" t="n">
        <v>41526</v>
      </c>
      <c r="E95" s="79" t="s">
        <v>758</v>
      </c>
      <c r="F95" s="78" t="s">
        <v>905</v>
      </c>
      <c r="G95" s="48" t="n">
        <v>27</v>
      </c>
      <c r="H95" s="48" t="n">
        <v>10</v>
      </c>
    </row>
    <row r="96" spans="1:8">
      <c r="A96" s="74" t="n">
        <v>95</v>
      </c>
      <c r="B96" s="48" t="s">
        <v>906</v>
      </c>
      <c r="C96" s="75" t="s">
        <v>716</v>
      </c>
      <c r="D96" s="76" t="n">
        <v>41715</v>
      </c>
      <c r="E96" s="79" t="s">
        <v>758</v>
      </c>
      <c r="F96" s="78" t="s">
        <v>907</v>
      </c>
      <c r="G96" s="48" t="n">
        <v>20</v>
      </c>
      <c r="H96" s="48" t="n">
        <v>10</v>
      </c>
    </row>
    <row r="97" spans="1:8">
      <c r="A97" s="74" t="n">
        <v>96</v>
      </c>
      <c r="B97" s="48" t="s">
        <v>908</v>
      </c>
      <c r="C97" s="75" t="s">
        <v>716</v>
      </c>
      <c r="D97" s="76" t="n">
        <v>40791</v>
      </c>
      <c r="E97" s="77" t="s">
        <v>717</v>
      </c>
      <c r="F97" s="78" t="s">
        <v>909</v>
      </c>
      <c r="G97" s="48" t="n">
        <v>33</v>
      </c>
      <c r="H97" s="48" t="n">
        <v>8</v>
      </c>
    </row>
    <row r="98" spans="1:8">
      <c r="A98" s="74" t="n">
        <v>97</v>
      </c>
      <c r="B98" s="48" t="s">
        <v>910</v>
      </c>
      <c r="C98" s="75" t="s">
        <v>716</v>
      </c>
      <c r="D98" s="76" t="n">
        <v>42394</v>
      </c>
      <c r="E98" s="79" t="s">
        <v>758</v>
      </c>
      <c r="F98" s="78" t="s">
        <v>911</v>
      </c>
      <c r="G98" s="48" t="n">
        <v>22</v>
      </c>
      <c r="H98" s="48" t="n">
        <v>4</v>
      </c>
    </row>
    <row r="99" spans="1:8">
      <c r="A99" s="74" t="n">
        <v>98</v>
      </c>
      <c r="B99" s="48" t="s">
        <v>912</v>
      </c>
      <c r="C99" s="75" t="s">
        <v>716</v>
      </c>
      <c r="D99" s="76" t="n">
        <v>41291</v>
      </c>
      <c r="E99" s="77" t="s">
        <v>717</v>
      </c>
      <c r="F99" s="78" t="s">
        <v>913</v>
      </c>
      <c r="G99" s="48" t="n">
        <v>17</v>
      </c>
      <c r="H99" s="48" t="n">
        <v>7</v>
      </c>
    </row>
    <row r="100" spans="1:8">
      <c r="A100" s="74" t="n">
        <v>99</v>
      </c>
      <c r="B100" s="48" t="s">
        <v>914</v>
      </c>
      <c r="C100" s="75" t="s">
        <v>716</v>
      </c>
      <c r="D100" s="76" t="n">
        <v>42506</v>
      </c>
      <c r="E100" s="79" t="s">
        <v>758</v>
      </c>
      <c r="F100" s="78" t="s">
        <v>915</v>
      </c>
      <c r="G100" s="48" t="n">
        <v>15</v>
      </c>
      <c r="H100" s="48" t="n">
        <v>5</v>
      </c>
    </row>
    <row r="101" spans="1:8">
      <c r="A101" s="74" t="n">
        <v>100</v>
      </c>
      <c r="B101" s="48" t="s">
        <v>916</v>
      </c>
      <c r="C101" s="75" t="s">
        <v>716</v>
      </c>
      <c r="D101" s="76" t="n">
        <v>42691</v>
      </c>
      <c r="E101" s="79" t="s">
        <v>758</v>
      </c>
      <c r="F101" s="78" t="s">
        <v>917</v>
      </c>
      <c r="G101" s="48" t="n">
        <v>10</v>
      </c>
      <c r="H101" s="48" t="n">
        <v>6</v>
      </c>
    </row>
    <row r="102" spans="1:8">
      <c r="A102" s="74" t="n">
        <v>101</v>
      </c>
      <c r="B102" s="48" t="s">
        <v>918</v>
      </c>
      <c r="C102" s="75" t="s">
        <v>716</v>
      </c>
      <c r="D102" s="76" t="n">
        <v>32352</v>
      </c>
      <c r="E102" s="79" t="s">
        <v>758</v>
      </c>
      <c r="F102" s="78" t="s">
        <v>919</v>
      </c>
      <c r="G102" s="48" t="n">
        <v>6</v>
      </c>
      <c r="H102" s="48" t="n">
        <v>4</v>
      </c>
    </row>
    <row r="103" spans="1:8">
      <c r="A103" s="74" t="n">
        <v>102</v>
      </c>
      <c r="B103" s="48" t="s">
        <v>920</v>
      </c>
      <c r="C103" s="75" t="s">
        <v>716</v>
      </c>
      <c r="D103" s="76" t="n">
        <v>42188</v>
      </c>
      <c r="E103" s="79" t="s">
        <v>758</v>
      </c>
      <c r="F103" s="78" t="s">
        <v>921</v>
      </c>
      <c r="G103" s="48" t="n">
        <v>14</v>
      </c>
      <c r="H103" s="48" t="n">
        <v>6</v>
      </c>
    </row>
    <row r="104" spans="1:8">
      <c r="A104" s="74" t="n">
        <v>103</v>
      </c>
      <c r="B104" s="48" t="s">
        <v>922</v>
      </c>
      <c r="C104" s="75" t="s">
        <v>716</v>
      </c>
      <c r="D104" s="76" t="n">
        <v>40660</v>
      </c>
      <c r="E104" s="77" t="s">
        <v>717</v>
      </c>
      <c r="F104" s="78" t="s">
        <v>923</v>
      </c>
      <c r="G104" s="48" t="n">
        <v>12</v>
      </c>
      <c r="H104" s="48" t="n">
        <v>8</v>
      </c>
    </row>
    <row r="105" spans="1:8">
      <c r="A105" s="74" t="n">
        <v>104</v>
      </c>
      <c r="B105" s="48" t="s">
        <v>924</v>
      </c>
      <c r="C105" s="75" t="s">
        <v>716</v>
      </c>
      <c r="D105" s="76" t="n">
        <v>42235</v>
      </c>
      <c r="E105" s="79" t="s">
        <v>758</v>
      </c>
      <c r="F105" s="78" t="s">
        <v>925</v>
      </c>
      <c r="G105" s="48" t="n">
        <v>5</v>
      </c>
      <c r="H105" s="48" t="n">
        <v>1</v>
      </c>
    </row>
    <row r="106" spans="1:8">
      <c r="A106" s="74" t="n">
        <v>105</v>
      </c>
      <c r="B106" s="48" t="s">
        <v>926</v>
      </c>
      <c r="C106" s="75" t="s">
        <v>716</v>
      </c>
      <c r="D106" s="76" t="n">
        <v>37764</v>
      </c>
      <c r="E106" s="77" t="s">
        <v>717</v>
      </c>
      <c r="F106" s="78" t="s">
        <v>927</v>
      </c>
      <c r="G106" s="48" t="n">
        <v>30</v>
      </c>
      <c r="H106" s="48" t="n">
        <v>9</v>
      </c>
    </row>
    <row r="107" spans="1:8">
      <c r="A107" s="74" t="n">
        <v>106</v>
      </c>
      <c r="B107" s="48" t="s">
        <v>928</v>
      </c>
      <c r="C107" s="75" t="s">
        <v>716</v>
      </c>
      <c r="D107" s="76" t="n">
        <v>41302</v>
      </c>
      <c r="E107" s="79" t="s">
        <v>758</v>
      </c>
      <c r="F107" s="78" t="s">
        <v>929</v>
      </c>
      <c r="G107" s="48" t="n">
        <v>14</v>
      </c>
      <c r="H107" s="48" t="n">
        <v>4</v>
      </c>
    </row>
    <row r="108" spans="1:8">
      <c r="A108" s="74" t="n">
        <v>107</v>
      </c>
      <c r="B108" s="48" t="s">
        <v>930</v>
      </c>
      <c r="C108" s="75" t="s">
        <v>716</v>
      </c>
      <c r="D108" s="76" t="n">
        <v>41138</v>
      </c>
      <c r="E108" s="77" t="s">
        <v>717</v>
      </c>
      <c r="F108" s="78" t="s">
        <v>931</v>
      </c>
      <c r="G108" s="48" t="n">
        <v>13</v>
      </c>
      <c r="H108" s="48" t="n">
        <v>4</v>
      </c>
    </row>
    <row r="109" spans="1:8">
      <c r="A109" s="74" t="n">
        <v>108</v>
      </c>
      <c r="B109" s="48" t="s">
        <v>932</v>
      </c>
      <c r="C109" s="75" t="s">
        <v>716</v>
      </c>
      <c r="D109" s="76" t="n">
        <v>41928</v>
      </c>
      <c r="E109" s="79" t="s">
        <v>758</v>
      </c>
      <c r="F109" s="78" t="s">
        <v>933</v>
      </c>
      <c r="G109" s="48" t="n">
        <v>7</v>
      </c>
      <c r="H109" s="48" t="n">
        <v>5</v>
      </c>
    </row>
    <row r="110" spans="1:8">
      <c r="A110" s="74" t="n">
        <v>109</v>
      </c>
      <c r="B110" s="48" t="s">
        <v>934</v>
      </c>
      <c r="C110" s="75" t="s">
        <v>716</v>
      </c>
      <c r="D110" s="76" t="n">
        <v>42675</v>
      </c>
      <c r="E110" s="79" t="s">
        <v>758</v>
      </c>
      <c r="F110" s="78" t="s">
        <v>935</v>
      </c>
      <c r="G110" s="48" t="n">
        <v>10</v>
      </c>
      <c r="H110" s="48" t="n">
        <v>3</v>
      </c>
    </row>
    <row r="111" spans="1:8">
      <c r="A111" s="74" t="n">
        <v>110</v>
      </c>
      <c r="B111" s="48" t="s">
        <v>936</v>
      </c>
      <c r="C111" s="75" t="s">
        <v>716</v>
      </c>
      <c r="D111" s="76" t="n">
        <v>37768</v>
      </c>
      <c r="E111" s="77" t="s">
        <v>717</v>
      </c>
      <c r="F111" s="78" t="s">
        <v>937</v>
      </c>
      <c r="G111" s="48" t="n">
        <v>14</v>
      </c>
      <c r="H111" s="48" t="n">
        <v>9</v>
      </c>
    </row>
    <row r="112" spans="1:8">
      <c r="A112" s="74" t="n">
        <v>111</v>
      </c>
      <c r="B112" s="48" t="s">
        <v>938</v>
      </c>
      <c r="C112" s="75" t="s">
        <v>716</v>
      </c>
      <c r="D112" s="76" t="n">
        <v>42898</v>
      </c>
      <c r="E112" s="79" t="s">
        <v>758</v>
      </c>
      <c r="F112" s="78" t="s">
        <v>939</v>
      </c>
      <c r="G112" s="48" t="n">
        <v>6</v>
      </c>
      <c r="H112" s="48" t="n">
        <v>2</v>
      </c>
    </row>
    <row r="113" spans="1:8">
      <c r="A113" s="74" t="n">
        <v>112</v>
      </c>
      <c r="B113" s="48" t="s">
        <v>940</v>
      </c>
      <c r="C113" s="75" t="s">
        <v>716</v>
      </c>
      <c r="D113" s="76" t="n">
        <v>38698</v>
      </c>
      <c r="E113" s="79" t="s">
        <v>758</v>
      </c>
      <c r="F113" s="78" t="s">
        <v>941</v>
      </c>
      <c r="G113" s="48" t="n">
        <v>10</v>
      </c>
      <c r="H113" s="48" t="n">
        <v>3</v>
      </c>
    </row>
    <row r="114" spans="1:8">
      <c r="A114" s="74" t="n">
        <v>113</v>
      </c>
      <c r="B114" s="48" t="s">
        <v>942</v>
      </c>
      <c r="C114" s="75" t="s">
        <v>716</v>
      </c>
      <c r="D114" s="76" t="n">
        <v>39332</v>
      </c>
      <c r="E114" s="79" t="s">
        <v>758</v>
      </c>
      <c r="F114" s="78" t="s">
        <v>943</v>
      </c>
      <c r="G114" s="48" t="n">
        <v>5</v>
      </c>
      <c r="H114" s="48" t="n">
        <v>3</v>
      </c>
    </row>
    <row r="115" spans="1:8">
      <c r="A115" s="74" t="n">
        <v>114</v>
      </c>
      <c r="B115" s="48" t="s">
        <v>944</v>
      </c>
      <c r="C115" s="75" t="s">
        <v>716</v>
      </c>
      <c r="D115" s="76" t="n">
        <v>41072</v>
      </c>
      <c r="E115" s="79" t="s">
        <v>758</v>
      </c>
      <c r="F115" s="78" t="s">
        <v>945</v>
      </c>
      <c r="G115" s="48" t="n">
        <v>17</v>
      </c>
      <c r="H115" s="48" t="n">
        <v>4</v>
      </c>
    </row>
    <row r="116" spans="1:8">
      <c r="A116" s="74" t="n">
        <v>115</v>
      </c>
      <c r="B116" s="48" t="s">
        <v>946</v>
      </c>
      <c r="C116" s="75" t="s">
        <v>716</v>
      </c>
      <c r="D116" s="76" t="n">
        <v>42920</v>
      </c>
      <c r="E116" s="79" t="s">
        <v>758</v>
      </c>
      <c r="F116" s="78" t="s">
        <v>947</v>
      </c>
      <c r="G116" s="48" t="n">
        <v>2</v>
      </c>
      <c r="H116" s="48" t="n">
        <v>1</v>
      </c>
    </row>
    <row r="117" spans="1:8">
      <c r="A117" s="74" t="n">
        <v>116</v>
      </c>
      <c r="B117" s="48" t="s">
        <v>948</v>
      </c>
      <c r="C117" s="75" t="s">
        <v>716</v>
      </c>
      <c r="D117" s="76" t="n">
        <v>41382</v>
      </c>
      <c r="E117" s="79" t="s">
        <v>758</v>
      </c>
      <c r="F117" s="78" t="s">
        <v>949</v>
      </c>
      <c r="G117" s="48" t="n">
        <v>11</v>
      </c>
      <c r="H117" s="48" t="n">
        <v>5</v>
      </c>
    </row>
    <row r="118" spans="1:8">
      <c r="A118" s="74" t="n">
        <v>117</v>
      </c>
      <c r="B118" s="48" t="s">
        <v>950</v>
      </c>
      <c r="C118" s="75" t="s">
        <v>716</v>
      </c>
      <c r="D118" s="76" t="n">
        <v>42537</v>
      </c>
      <c r="E118" s="79" t="s">
        <v>758</v>
      </c>
      <c r="F118" s="78" t="s">
        <v>951</v>
      </c>
      <c r="G118" s="48" t="n">
        <v>9</v>
      </c>
      <c r="H118" s="48" t="n">
        <v>3</v>
      </c>
    </row>
    <row r="119" spans="1:8">
      <c r="A119" s="74" t="n">
        <v>118</v>
      </c>
      <c r="B119" s="48" t="s">
        <v>952</v>
      </c>
      <c r="C119" s="75" t="s">
        <v>716</v>
      </c>
      <c r="D119" s="76" t="n">
        <v>42253</v>
      </c>
      <c r="E119" s="79" t="s">
        <v>758</v>
      </c>
      <c r="F119" s="78" t="s">
        <v>953</v>
      </c>
      <c r="G119" s="48" t="n">
        <v>10</v>
      </c>
      <c r="H119" s="48" t="n">
        <v>4</v>
      </c>
    </row>
    <row r="120" spans="1:8">
      <c r="A120" s="74" t="n">
        <v>119</v>
      </c>
      <c r="B120" s="48" t="s">
        <v>954</v>
      </c>
      <c r="C120" s="75" t="s">
        <v>716</v>
      </c>
      <c r="D120" s="76" t="n">
        <v>41471</v>
      </c>
      <c r="E120" s="79" t="s">
        <v>758</v>
      </c>
      <c r="F120" s="78" t="s">
        <v>955</v>
      </c>
      <c r="G120" s="48" t="n">
        <v>6</v>
      </c>
      <c r="H120" s="48" t="n">
        <v>3</v>
      </c>
    </row>
    <row r="121" spans="1:8">
      <c r="A121" s="74" t="n">
        <v>120</v>
      </c>
      <c r="B121" s="48" t="s">
        <v>956</v>
      </c>
      <c r="C121" s="75" t="s">
        <v>716</v>
      </c>
      <c r="D121" s="76" t="n">
        <v>37253</v>
      </c>
      <c r="E121" s="79" t="s">
        <v>758</v>
      </c>
      <c r="F121" s="78" t="s">
        <v>957</v>
      </c>
      <c r="G121" s="48" t="n">
        <v>6</v>
      </c>
      <c r="H121" s="48" t="n">
        <v>7</v>
      </c>
    </row>
    <row r="122" spans="1:8">
      <c r="A122" s="74" t="n">
        <v>121</v>
      </c>
      <c r="B122" s="48" t="s">
        <v>958</v>
      </c>
      <c r="C122" s="75" t="s">
        <v>716</v>
      </c>
      <c r="D122" s="76" t="n">
        <v>42865</v>
      </c>
      <c r="E122" s="79" t="s">
        <v>758</v>
      </c>
      <c r="F122" s="78" t="s">
        <v>959</v>
      </c>
      <c r="G122" s="48" t="n">
        <v>3</v>
      </c>
      <c r="H122" s="48" t="n">
        <v>2</v>
      </c>
    </row>
    <row r="123" spans="1:8">
      <c r="A123" s="74" t="n">
        <v>122</v>
      </c>
      <c r="B123" s="48" t="s">
        <v>960</v>
      </c>
      <c r="C123" s="75" t="s">
        <v>716</v>
      </c>
      <c r="D123" s="76" t="n">
        <v>43131</v>
      </c>
      <c r="E123" s="79" t="s">
        <v>758</v>
      </c>
      <c r="F123" s="78" t="s">
        <v>961</v>
      </c>
      <c r="G123" s="48" t="n">
        <v>1</v>
      </c>
      <c r="H123" s="48" t="n">
        <v>1</v>
      </c>
    </row>
    <row r="124" spans="1:8">
      <c r="A124" s="74" t="n">
        <v>123</v>
      </c>
      <c r="B124" s="48" t="s">
        <v>962</v>
      </c>
      <c r="C124" s="75" t="s">
        <v>716</v>
      </c>
      <c r="D124" s="76" t="n">
        <v>42508</v>
      </c>
      <c r="E124" s="79" t="s">
        <v>758</v>
      </c>
      <c r="F124" s="78" t="s">
        <v>963</v>
      </c>
      <c r="G124" s="48" t="n">
        <v>7</v>
      </c>
      <c r="H124" s="48" t="n">
        <v>4</v>
      </c>
    </row>
    <row r="125" spans="1:8">
      <c r="A125" s="74" t="n">
        <v>124</v>
      </c>
      <c r="B125" s="48" t="s">
        <v>964</v>
      </c>
      <c r="C125" s="75" t="s">
        <v>716</v>
      </c>
      <c r="D125" s="76" t="n">
        <v>41330</v>
      </c>
      <c r="E125" s="79" t="s">
        <v>758</v>
      </c>
      <c r="F125" s="78" t="s">
        <v>965</v>
      </c>
      <c r="G125" s="48" t="n">
        <v>6</v>
      </c>
      <c r="H125" s="48" t="n">
        <v>2</v>
      </c>
    </row>
    <row r="126" spans="1:8">
      <c r="A126" s="74" t="n">
        <v>125</v>
      </c>
      <c r="B126" s="48" t="s">
        <v>966</v>
      </c>
      <c r="C126" s="75" t="s">
        <v>716</v>
      </c>
      <c r="D126" s="76" t="n">
        <v>42992</v>
      </c>
      <c r="E126" s="79" t="s">
        <v>758</v>
      </c>
      <c r="F126" s="78" t="s">
        <v>967</v>
      </c>
      <c r="G126" s="48" t="n">
        <v>2</v>
      </c>
      <c r="H126" s="48" t="n">
        <v>2</v>
      </c>
    </row>
    <row r="127" spans="1:8">
      <c r="A127" s="74" t="n">
        <v>126</v>
      </c>
      <c r="B127" s="48" t="s">
        <v>968</v>
      </c>
      <c r="C127" s="75" t="s">
        <v>716</v>
      </c>
      <c r="D127" s="76" t="n">
        <v>42968</v>
      </c>
      <c r="E127" s="79" t="s">
        <v>758</v>
      </c>
      <c r="F127" s="78" t="s">
        <v>969</v>
      </c>
      <c r="G127" s="48" t="n">
        <v>2</v>
      </c>
      <c r="H127" s="48" t="n">
        <v>2</v>
      </c>
    </row>
    <row r="128" spans="1:8">
      <c r="A128" s="74" t="n">
        <v>127</v>
      </c>
      <c r="B128" s="48" t="s">
        <v>970</v>
      </c>
      <c r="C128" s="75" t="s">
        <v>716</v>
      </c>
      <c r="D128" s="76" t="n">
        <v>42906</v>
      </c>
      <c r="E128" s="79" t="s">
        <v>758</v>
      </c>
      <c r="F128" s="78" t="s">
        <v>971</v>
      </c>
      <c r="G128" s="48" t="n">
        <v>4</v>
      </c>
      <c r="H128" s="48" t="n">
        <v>1</v>
      </c>
    </row>
    <row r="129" spans="1:8">
      <c r="A129" s="74" t="n">
        <v>128</v>
      </c>
      <c r="B129" s="48" t="s">
        <v>972</v>
      </c>
      <c r="C129" s="75" t="s">
        <v>716</v>
      </c>
      <c r="D129" s="76" t="n">
        <v>42552</v>
      </c>
      <c r="E129" s="79" t="s">
        <v>758</v>
      </c>
      <c r="F129" s="78" t="s">
        <v>973</v>
      </c>
      <c r="G129" s="48" t="n">
        <v>2</v>
      </c>
      <c r="H129" s="48" t="n">
        <v>4</v>
      </c>
    </row>
    <row r="130" spans="1:8">
      <c r="A130" s="74" t="n">
        <v>129</v>
      </c>
      <c r="B130" s="48" t="s">
        <v>974</v>
      </c>
      <c r="C130" s="75" t="s">
        <v>716</v>
      </c>
      <c r="D130" s="76" t="n">
        <v>41080</v>
      </c>
      <c r="E130" s="79" t="s">
        <v>758</v>
      </c>
      <c r="F130" s="78" t="s">
        <v>975</v>
      </c>
      <c r="G130" s="48" t="n">
        <v>2</v>
      </c>
      <c r="H130" s="48" t="n">
        <v>1</v>
      </c>
    </row>
    <row r="131" spans="1:8">
      <c r="A131" s="74" t="n">
        <v>130</v>
      </c>
      <c r="B131" s="48" t="s">
        <v>976</v>
      </c>
      <c r="C131" s="75" t="s">
        <v>716</v>
      </c>
      <c r="D131" s="76" t="n">
        <v>38278</v>
      </c>
      <c r="E131" s="79" t="s">
        <v>758</v>
      </c>
      <c r="F131" s="78" t="s">
        <v>977</v>
      </c>
      <c r="G131" s="48" t="n">
        <v>0</v>
      </c>
      <c r="H131" s="48" t="n">
        <v>0</v>
      </c>
    </row>
    <row r="132" spans="1:8">
      <c r="A132" s="74" t="n">
        <v>131</v>
      </c>
      <c r="B132" s="48" t="s">
        <v>978</v>
      </c>
      <c r="C132" s="75" t="s">
        <v>716</v>
      </c>
      <c r="D132" s="74" t="s">
        <v>979</v>
      </c>
      <c r="E132" s="79" t="s">
        <v>758</v>
      </c>
      <c r="F132" s="78" t="s">
        <v>977</v>
      </c>
      <c r="G132" s="48" t="n">
        <v>0</v>
      </c>
      <c r="H132" s="48" t="n">
        <v>0</v>
      </c>
    </row>
    <row r="133" spans="1:8">
      <c r="A133" s="74" t="n">
        <v>132</v>
      </c>
      <c r="B133" s="48" t="s">
        <v>980</v>
      </c>
      <c r="C133" s="75" t="s">
        <v>716</v>
      </c>
      <c r="D133" s="76" t="n">
        <v>43238</v>
      </c>
      <c r="E133" s="79" t="s">
        <v>758</v>
      </c>
      <c r="F133" s="78" t="s">
        <v>977</v>
      </c>
      <c r="G133" s="48" t="n">
        <v>0</v>
      </c>
      <c r="H133" s="48" t="n">
        <v>0</v>
      </c>
    </row>
    <row r="134" spans="1:8">
      <c r="A134" s="74" t="n">
        <v>133</v>
      </c>
      <c r="B134" s="48" t="s">
        <v>981</v>
      </c>
      <c r="C134" s="75" t="s">
        <v>716</v>
      </c>
      <c r="D134" s="76" t="n">
        <v>42321</v>
      </c>
      <c r="E134" s="79" t="s">
        <v>758</v>
      </c>
      <c r="F134" s="78" t="s">
        <v>977</v>
      </c>
      <c r="G134" s="48" t="n">
        <v>1</v>
      </c>
      <c r="H134" s="48" t="n">
        <v>1</v>
      </c>
    </row>
    <row r="135" spans="1:8">
      <c r="A135" s="74" t="n">
        <v>134</v>
      </c>
      <c r="B135" s="48" t="s">
        <v>982</v>
      </c>
      <c r="C135" s="75" t="s">
        <v>716</v>
      </c>
      <c r="D135" s="76" t="n">
        <v>43294</v>
      </c>
      <c r="E135" s="79" t="s">
        <v>758</v>
      </c>
      <c r="F135" s="78" t="s">
        <v>977</v>
      </c>
      <c r="G135" s="48" t="n">
        <v>0</v>
      </c>
      <c r="H135" s="48" t="n">
        <v>0</v>
      </c>
    </row>
    <row r="136" spans="1:8">
      <c r="A136" s="74" t="n">
        <v>135</v>
      </c>
      <c r="B136" s="48" t="s">
        <v>983</v>
      </c>
      <c r="C136" s="75" t="s">
        <v>716</v>
      </c>
      <c r="D136" s="74" t="s">
        <v>979</v>
      </c>
      <c r="E136" s="79" t="s">
        <v>758</v>
      </c>
      <c r="F136" s="78" t="s">
        <v>977</v>
      </c>
      <c r="G136" s="48" t="n">
        <v>0</v>
      </c>
      <c r="H136" s="48" t="n">
        <v>0</v>
      </c>
    </row>
    <row r="137" spans="1:8">
      <c r="A137" s="74" t="n">
        <v>136</v>
      </c>
      <c r="B137" s="48" t="s">
        <v>984</v>
      </c>
      <c r="C137" s="75" t="s">
        <v>716</v>
      </c>
      <c r="D137" s="74" t="s">
        <v>979</v>
      </c>
      <c r="E137" s="79" t="s">
        <v>758</v>
      </c>
      <c r="F137" s="78" t="s">
        <v>977</v>
      </c>
      <c r="G137" s="48" t="n">
        <v>0</v>
      </c>
      <c r="H137" s="48" t="n">
        <v>0</v>
      </c>
    </row>
    <row r="138" spans="1:8">
      <c r="A138" s="74" t="n">
        <v>137</v>
      </c>
      <c r="B138" s="48" t="s">
        <v>985</v>
      </c>
      <c r="C138" s="75" t="s">
        <v>716</v>
      </c>
      <c r="D138" s="74" t="s">
        <v>979</v>
      </c>
      <c r="E138" s="79" t="s">
        <v>758</v>
      </c>
      <c r="F138" s="78" t="s">
        <v>977</v>
      </c>
      <c r="G138" s="48" t="n">
        <v>0</v>
      </c>
      <c r="H138" s="48" t="n">
        <v>0</v>
      </c>
    </row>
    <row r="139" spans="1:8">
      <c r="A139" s="74" t="n">
        <v>138</v>
      </c>
      <c r="B139" s="48" t="s">
        <v>986</v>
      </c>
      <c r="C139" s="75" t="s">
        <v>716</v>
      </c>
      <c r="D139" s="74" t="s">
        <v>979</v>
      </c>
      <c r="E139" s="79" t="s">
        <v>758</v>
      </c>
      <c r="F139" s="78" t="s">
        <v>977</v>
      </c>
      <c r="G139" s="48" t="n">
        <v>0</v>
      </c>
      <c r="H139" s="48" t="n">
        <v>0</v>
      </c>
    </row>
    <row r="140" spans="1:8">
      <c r="A140" s="74" t="n">
        <v>139</v>
      </c>
      <c r="B140" s="48" t="s">
        <v>987</v>
      </c>
      <c r="C140" s="75" t="s">
        <v>716</v>
      </c>
      <c r="D140" s="76" t="n">
        <v>43399</v>
      </c>
      <c r="E140" s="79" t="s">
        <v>758</v>
      </c>
      <c r="F140" s="78" t="s">
        <v>977</v>
      </c>
      <c r="G140" s="48" t="n">
        <v>0</v>
      </c>
      <c r="H140" s="48" t="n">
        <v>0</v>
      </c>
    </row>
    <row r="141" spans="1:8">
      <c r="A141" s="74" t="n">
        <v>140</v>
      </c>
      <c r="B141" s="48" t="s">
        <v>988</v>
      </c>
      <c r="C141" s="75" t="s">
        <v>716</v>
      </c>
      <c r="D141" s="76" t="n">
        <v>43407</v>
      </c>
      <c r="E141" s="79" t="s">
        <v>758</v>
      </c>
      <c r="F141" s="78" t="s">
        <v>977</v>
      </c>
      <c r="G141" s="48" t="n">
        <v>0</v>
      </c>
      <c r="H141" s="48" t="n">
        <v>0</v>
      </c>
    </row>
    <row r="142" spans="1:8">
      <c r="A142" s="74" t="n">
        <v>141</v>
      </c>
      <c r="B142" s="48" t="s">
        <v>989</v>
      </c>
      <c r="C142" s="75" t="s">
        <v>716</v>
      </c>
      <c r="D142" s="76" t="n">
        <v>43402</v>
      </c>
      <c r="E142" s="79" t="s">
        <v>758</v>
      </c>
      <c r="F142" s="78" t="s">
        <v>977</v>
      </c>
      <c r="G142" s="48" t="n">
        <v>0</v>
      </c>
      <c r="H142" s="48" t="n">
        <v>0</v>
      </c>
    </row>
    <row r="143" spans="1:8">
      <c r="A143" s="74" t="n">
        <v>142</v>
      </c>
      <c r="B143" s="48" t="s">
        <v>990</v>
      </c>
      <c r="C143" s="75" t="s">
        <v>716</v>
      </c>
      <c r="D143" s="76" t="n">
        <v>41864</v>
      </c>
      <c r="E143" s="79" t="s">
        <v>758</v>
      </c>
      <c r="F143" s="78" t="s">
        <v>977</v>
      </c>
      <c r="G143" s="48" t="n">
        <v>1</v>
      </c>
      <c r="H143" s="48" t="n">
        <v>1</v>
      </c>
    </row>
    <row r="144" spans="1:8">
      <c r="G144">
        <f>SUM(G2:G143)</f>
        <v/>
      </c>
      <c r="H144">
        <f>SUM(H2:H143)</f>
        <v/>
      </c>
    </row>
    <row r="1048576" spans="1:8">
      <c r="H1048576">
        <f>SUM(H2:H1048575)</f>
        <v/>
      </c>
    </row>
  </sheetData>
  <hyperlinks>
    <hyperlink display="http://fund.eastmoney.com/Company/80041198.html" ref="B2" r:id="rId1"/>
    <hyperlink display="http://fund.eastmoney.com/Company/80041198.html" ref="G2" r:id="rId2"/>
    <hyperlink display="http://fund.eastmoney.com/Company/f10/jjjl_80041198.html" ref="H2" r:id="rId3"/>
    <hyperlink display="http://fund.eastmoney.com/Company/80000229.html" ref="B3" r:id="rId4"/>
    <hyperlink display="http://fund.eastmoney.com/Company/80000229.html" ref="G3" r:id="rId5"/>
    <hyperlink display="http://fund.eastmoney.com/Company/f10/jjjl_80000229.html" ref="H3" r:id="rId6"/>
    <hyperlink display="http://fund.eastmoney.com/Company/80065990.html" ref="B4" r:id="rId7"/>
    <hyperlink display="http://fund.eastmoney.com/Company/80065990.html" ref="G4" r:id="rId8"/>
    <hyperlink display="http://fund.eastmoney.com/Company/f10/jjjl_80065990.html" ref="H4" r:id="rId9"/>
    <hyperlink display="http://fund.eastmoney.com/Company/80064225.html" ref="B5" r:id="rId10"/>
    <hyperlink display="http://fund.eastmoney.com/Company/80064225.html" ref="G5" r:id="rId11"/>
    <hyperlink display="http://fund.eastmoney.com/Company/f10/jjjl_80064225.html" ref="H5" r:id="rId12"/>
    <hyperlink display="http://fund.eastmoney.com/Company/80000226.html" ref="B6" r:id="rId13"/>
    <hyperlink display="http://fund.eastmoney.com/Company/80000226.html" ref="G6" r:id="rId14"/>
    <hyperlink display="http://fund.eastmoney.com/Company/f10/jjjl_80000226.html" ref="H6" r:id="rId15"/>
    <hyperlink display="http://fund.eastmoney.com/Company/80000220.html" ref="B7" r:id="rId16"/>
    <hyperlink display="http://fund.eastmoney.com/Company/80000220.html" ref="G7" r:id="rId17"/>
    <hyperlink display="http://fund.eastmoney.com/Company/f10/jjjl_80000220.html" ref="H7" r:id="rId18"/>
    <hyperlink display="http://fund.eastmoney.com/Company/80053708.html" ref="B8" r:id="rId19"/>
    <hyperlink display="http://fund.eastmoney.com/Company/80053708.html" ref="G8" r:id="rId20"/>
    <hyperlink display="http://fund.eastmoney.com/Company/f10/jjjl_80053708.html" ref="H8" r:id="rId21"/>
    <hyperlink display="http://fund.eastmoney.com/Company/80000248.html" ref="B9" r:id="rId22"/>
    <hyperlink display="http://fund.eastmoney.com/Company/80000248.html" ref="G9" r:id="rId23"/>
    <hyperlink display="http://fund.eastmoney.com/Company/f10/jjjl_80000248.html" ref="H9" r:id="rId24"/>
    <hyperlink display="http://fund.eastmoney.com/Company/80048752.html" ref="B10" r:id="rId25"/>
    <hyperlink display="http://fund.eastmoney.com/Company/80048752.html" ref="G10" r:id="rId26"/>
    <hyperlink display="http://fund.eastmoney.com/Company/f10/jjjl_80048752.html" ref="H10" r:id="rId27"/>
    <hyperlink display="http://fund.eastmoney.com/Company/80000222.html" ref="B11" r:id="rId28"/>
    <hyperlink display="http://fund.eastmoney.com/Company/80000222.html" ref="G11" r:id="rId29"/>
    <hyperlink display="http://fund.eastmoney.com/Company/f10/jjjl_80000222.html" ref="H11" r:id="rId30"/>
    <hyperlink display="http://fund.eastmoney.com/Company/80000223.html" ref="B12" r:id="rId31"/>
    <hyperlink display="http://fund.eastmoney.com/Company/80000223.html" ref="G12" r:id="rId32"/>
    <hyperlink display="http://fund.eastmoney.com/Company/f10/jjjl_80000223.html" ref="H12" r:id="rId33"/>
    <hyperlink display="http://fund.eastmoney.com/Company/80036782.html" ref="B13" r:id="rId34"/>
    <hyperlink display="http://fund.eastmoney.com/Company/80036782.html" ref="G13" r:id="rId35"/>
    <hyperlink display="http://fund.eastmoney.com/Company/f10/jjjl_80036782.html" ref="H13" r:id="rId36"/>
    <hyperlink display="http://fund.eastmoney.com/Company/80000230.html" ref="B14" r:id="rId37"/>
    <hyperlink display="http://fund.eastmoney.com/Company/80000230.html" ref="G14" r:id="rId38"/>
    <hyperlink display="http://fund.eastmoney.com/Company/f10/jjjl_80000230.html" ref="H14" r:id="rId39"/>
    <hyperlink display="http://fund.eastmoney.com/Company/80000228.html" ref="B15" r:id="rId40"/>
    <hyperlink display="http://fund.eastmoney.com/Company/80000228.html" ref="G15" r:id="rId41"/>
    <hyperlink display="http://fund.eastmoney.com/Company/f10/jjjl_80000228.html" ref="H15" r:id="rId42"/>
    <hyperlink display="http://fund.eastmoney.com/Company/80168726.html" ref="B16" r:id="rId43"/>
    <hyperlink display="http://fund.eastmoney.com/Company/80168726.html" ref="G16" r:id="rId44"/>
    <hyperlink display="http://fund.eastmoney.com/Company/f10/jjjl_80168726.html" ref="H16" r:id="rId45"/>
    <hyperlink display="http://fund.eastmoney.com/Company/80000235.html" ref="B17" r:id="rId46"/>
    <hyperlink display="http://fund.eastmoney.com/Company/80000235.html" ref="G17" r:id="rId47"/>
    <hyperlink display="http://fund.eastmoney.com/Company/f10/jjjl_80000235.html" ref="H17" r:id="rId48"/>
    <hyperlink display="http://fund.eastmoney.com/Company/80092233.html" ref="B18" r:id="rId49"/>
    <hyperlink display="http://fund.eastmoney.com/Company/80092233.html" ref="G18" r:id="rId50"/>
    <hyperlink display="http://fund.eastmoney.com/Company/f10/jjjl_80092233.html" ref="H18" r:id="rId51"/>
    <hyperlink display="http://fund.eastmoney.com/Company/80000221.html" ref="B19" r:id="rId52"/>
    <hyperlink display="http://fund.eastmoney.com/Company/80000221.html" ref="G19" r:id="rId53"/>
    <hyperlink display="http://fund.eastmoney.com/Company/f10/jjjl_80000221.html" ref="H19" r:id="rId54"/>
    <hyperlink display="http://fund.eastmoney.com/Company/80000250.html" ref="B20" r:id="rId55"/>
    <hyperlink display="http://fund.eastmoney.com/Company/80000250.html" ref="G20" r:id="rId56"/>
    <hyperlink display="http://fund.eastmoney.com/Company/f10/jjjl_80000250.html" ref="H20" r:id="rId57"/>
    <hyperlink display="http://fund.eastmoney.com/Company/80036742.html" ref="B21" r:id="rId58"/>
    <hyperlink display="http://fund.eastmoney.com/Company/80036742.html" ref="G21" r:id="rId59"/>
    <hyperlink display="http://fund.eastmoney.com/Company/f10/jjjl_80036742.html" ref="H21" r:id="rId60"/>
    <hyperlink display="http://fund.eastmoney.com/Company/80280395.html" ref="B22" r:id="rId61"/>
    <hyperlink display="http://fund.eastmoney.com/Company/80280395.html" ref="G22" r:id="rId62"/>
    <hyperlink display="http://fund.eastmoney.com/Company/f10/jjjl_80280395.html" ref="H22" r:id="rId63"/>
    <hyperlink display="http://fund.eastmoney.com/Company/80000224.html" ref="B23" r:id="rId64"/>
    <hyperlink display="http://fund.eastmoney.com/Company/80000224.html" ref="G23" r:id="rId65"/>
    <hyperlink display="http://fund.eastmoney.com/Company/f10/jjjl_80000224.html" ref="H23" r:id="rId66"/>
    <hyperlink display="http://fund.eastmoney.com/Company/80065113.html" ref="B24" r:id="rId67"/>
    <hyperlink display="http://fund.eastmoney.com/Company/80065113.html" ref="G24" r:id="rId68"/>
    <hyperlink display="http://fund.eastmoney.com/Company/f10/jjjl_80065113.html" ref="H24" r:id="rId69"/>
    <hyperlink display="http://fund.eastmoney.com/Company/80064562.html" ref="B25" r:id="rId70"/>
    <hyperlink display="http://fund.eastmoney.com/Company/80064562.html" ref="G25" r:id="rId71"/>
    <hyperlink display="http://fund.eastmoney.com/Company/f10/jjjl_80064562.html" ref="H25" r:id="rId72"/>
    <hyperlink display="http://fund.eastmoney.com/Company/80000225.html" ref="B26" r:id="rId73"/>
    <hyperlink display="http://fund.eastmoney.com/Company/80000225.html" ref="G26" r:id="rId74"/>
    <hyperlink display="http://fund.eastmoney.com/Company/f10/jjjl_80000225.html" ref="H26" r:id="rId75"/>
    <hyperlink display="http://fund.eastmoney.com/Company/80355783.html" ref="B27" r:id="rId76"/>
    <hyperlink display="http://fund.eastmoney.com/Company/80355783.html" ref="G27" r:id="rId77"/>
    <hyperlink display="http://fund.eastmoney.com/Company/f10/jjjl_80355783.html" ref="H27" r:id="rId78"/>
    <hyperlink display="http://fund.eastmoney.com/Company/80106677.html" ref="B28" r:id="rId79"/>
    <hyperlink display="http://fund.eastmoney.com/Company/80106677.html" ref="G28" r:id="rId80"/>
    <hyperlink display="http://fund.eastmoney.com/Company/f10/jjjl_80106677.html" ref="H28" r:id="rId81"/>
    <hyperlink display="http://fund.eastmoney.com/Company/80000251.html" ref="B29" r:id="rId82"/>
    <hyperlink display="http://fund.eastmoney.com/Company/80000251.html" ref="G29" r:id="rId83"/>
    <hyperlink display="http://fund.eastmoney.com/Company/f10/jjjl_80000251.html" ref="H29" r:id="rId84"/>
    <hyperlink display="http://fund.eastmoney.com/Company/80091787.html" ref="B30" r:id="rId85"/>
    <hyperlink display="http://fund.eastmoney.com/Company/80091787.html" ref="G30" r:id="rId86"/>
    <hyperlink display="http://fund.eastmoney.com/Company/f10/jjjl_80091787.html" ref="H30" r:id="rId87"/>
    <hyperlink display="http://fund.eastmoney.com/Company/80048088.html" ref="B31" r:id="rId88"/>
    <hyperlink display="http://fund.eastmoney.com/Company/80048088.html" ref="G31" r:id="rId89"/>
    <hyperlink display="http://fund.eastmoney.com/Company/f10/jjjl_80048088.html" ref="H31" r:id="rId90"/>
    <hyperlink display="http://fund.eastmoney.com/Company/80356155.html" ref="B32" r:id="rId91"/>
    <hyperlink display="http://fund.eastmoney.com/Company/80356155.html" ref="G32" r:id="rId92"/>
    <hyperlink display="http://fund.eastmoney.com/Company/f10/jjjl_80356155.html" ref="H32" r:id="rId93"/>
    <hyperlink display="http://fund.eastmoney.com/Company/80066470.html" ref="B33" r:id="rId94"/>
    <hyperlink display="http://fund.eastmoney.com/Company/80066470.html" ref="G33" r:id="rId95"/>
    <hyperlink display="http://fund.eastmoney.com/Company/f10/jjjl_80066470.html" ref="H33" r:id="rId96"/>
    <hyperlink display="http://fund.eastmoney.com/Company/80050229.html" ref="B34" r:id="rId97"/>
    <hyperlink display="http://fund.eastmoney.com/Company/80050229.html" ref="G34" r:id="rId98"/>
    <hyperlink display="http://fund.eastmoney.com/Company/f10/jjjl_80050229.html" ref="H34" r:id="rId99"/>
    <hyperlink display="http://fund.eastmoney.com/Company/80055334.html" ref="B35" r:id="rId100"/>
    <hyperlink display="http://fund.eastmoney.com/Company/80055334.html" ref="G35" r:id="rId101"/>
    <hyperlink display="http://fund.eastmoney.com/Company/f10/jjjl_80055334.html" ref="H35" r:id="rId102"/>
    <hyperlink display="http://fund.eastmoney.com/Company/80145102.html" ref="B36" r:id="rId103"/>
    <hyperlink display="http://fund.eastmoney.com/Company/80145102.html" ref="G36" r:id="rId104"/>
    <hyperlink display="http://fund.eastmoney.com/Company/f10/jjjl_80145102.html" ref="H36" r:id="rId105"/>
    <hyperlink display="http://fund.eastmoney.com/Company/80049689.html" ref="B37" r:id="rId106"/>
    <hyperlink display="http://fund.eastmoney.com/Company/80049689.html" ref="G37" r:id="rId107"/>
    <hyperlink display="http://fund.eastmoney.com/Company/f10/jjjl_80049689.html" ref="H37" r:id="rId108"/>
    <hyperlink display="http://fund.eastmoney.com/Company/80000246.html" ref="B38" r:id="rId109"/>
    <hyperlink display="http://fund.eastmoney.com/Company/80000246.html" ref="G38" r:id="rId110"/>
    <hyperlink display="http://fund.eastmoney.com/Company/f10/jjjl_80000246.html" ref="H38" r:id="rId111"/>
    <hyperlink display="http://fund.eastmoney.com/Company/80000240.html" ref="B39" r:id="rId112"/>
    <hyperlink display="http://fund.eastmoney.com/Company/80000240.html" ref="G39" r:id="rId113"/>
    <hyperlink display="http://fund.eastmoney.com/Company/f10/jjjl_80000240.html" ref="H39" r:id="rId114"/>
    <hyperlink display="http://fund.eastmoney.com/Company/80000237.html" ref="B40" r:id="rId115"/>
    <hyperlink display="http://fund.eastmoney.com/Company/80000237.html" ref="G40" r:id="rId116"/>
    <hyperlink display="http://fund.eastmoney.com/Company/f10/jjjl_80000237.html" ref="H40" r:id="rId117"/>
    <hyperlink display="http://fund.eastmoney.com/Company/80000231.html" ref="B41" r:id="rId118"/>
    <hyperlink display="http://fund.eastmoney.com/Company/80000231.html" ref="G41" r:id="rId119"/>
    <hyperlink display="http://fund.eastmoney.com/Company/f10/jjjl_80000231.html" ref="H41" r:id="rId120"/>
    <hyperlink display="http://fund.eastmoney.com/Company/80351345.html" ref="B42" r:id="rId121"/>
    <hyperlink display="http://fund.eastmoney.com/Company/80351345.html" ref="G42" r:id="rId122"/>
    <hyperlink display="http://fund.eastmoney.com/Company/f10/jjjl_80351345.html" ref="H42" r:id="rId123"/>
    <hyperlink display="http://fund.eastmoney.com/Company/80341238.html" ref="B43" r:id="rId124"/>
    <hyperlink display="http://fund.eastmoney.com/Company/80341238.html" ref="G43" r:id="rId125"/>
    <hyperlink display="http://fund.eastmoney.com/Company/f10/jjjl_80341238.html" ref="H43" r:id="rId126"/>
    <hyperlink display="http://fund.eastmoney.com/Company/80000239.html" ref="B44" r:id="rId127"/>
    <hyperlink display="http://fund.eastmoney.com/Company/80000239.html" ref="G44" r:id="rId128"/>
    <hyperlink display="http://fund.eastmoney.com/Company/f10/jjjl_80000239.html" ref="H44" r:id="rId129"/>
    <hyperlink display="http://fund.eastmoney.com/Company/80000245.html" ref="B45" r:id="rId130"/>
    <hyperlink display="http://fund.eastmoney.com/Company/80000245.html" ref="G45" r:id="rId131"/>
    <hyperlink display="http://fund.eastmoney.com/Company/f10/jjjl_80000245.html" ref="H45" r:id="rId132"/>
    <hyperlink display="http://fund.eastmoney.com/Company/80366080.html" ref="B46" r:id="rId133"/>
    <hyperlink display="http://fund.eastmoney.com/Company/80366080.html" ref="G46" r:id="rId134"/>
    <hyperlink display="http://fund.eastmoney.com/Company/f10/jjjl_80366080.html" ref="H46" r:id="rId135"/>
    <hyperlink display="http://fund.eastmoney.com/Company/80000233.html" ref="B47" r:id="rId136"/>
    <hyperlink display="http://fund.eastmoney.com/Company/80000233.html" ref="G47" r:id="rId137"/>
    <hyperlink display="http://fund.eastmoney.com/Company/f10/jjjl_80000233.html" ref="H47" r:id="rId138"/>
    <hyperlink display="http://fund.eastmoney.com/Company/80000200.html" ref="B48" r:id="rId139"/>
    <hyperlink display="http://fund.eastmoney.com/Company/80000200.html" ref="G48" r:id="rId140"/>
    <hyperlink display="http://fund.eastmoney.com/Company/f10/jjjl_80000200.html" ref="H48" r:id="rId141"/>
    <hyperlink display="http://fund.eastmoney.com/Company/80280038.html" ref="B49" r:id="rId142"/>
    <hyperlink display="http://fund.eastmoney.com/Company/80280038.html" ref="G49" r:id="rId143"/>
    <hyperlink display="http://fund.eastmoney.com/Company/f10/jjjl_80280038.html" ref="H49" r:id="rId144"/>
    <hyperlink display="http://fund.eastmoney.com/Company/80037023.html" ref="B50" r:id="rId145"/>
    <hyperlink display="http://fund.eastmoney.com/Company/80037023.html" ref="G50" r:id="rId146"/>
    <hyperlink display="http://fund.eastmoney.com/Company/f10/jjjl_80037023.html" ref="H50" r:id="rId147"/>
    <hyperlink display="http://fund.eastmoney.com/Company/80000243.html" ref="B51" r:id="rId148"/>
    <hyperlink display="http://fund.eastmoney.com/Company/80000243.html" ref="G51" r:id="rId149"/>
    <hyperlink display="http://fund.eastmoney.com/Company/f10/jjjl_80000243.html" ref="H51" r:id="rId150"/>
    <hyperlink display="http://fund.eastmoney.com/Company/80102419.html" ref="B52" r:id="rId151"/>
    <hyperlink display="http://fund.eastmoney.com/Company/80102419.html" ref="G52" r:id="rId152"/>
    <hyperlink display="http://fund.eastmoney.com/Company/f10/jjjl_80102419.html" ref="H52" r:id="rId153"/>
    <hyperlink display="http://fund.eastmoney.com/Company/80061674.html" ref="B53" r:id="rId154"/>
    <hyperlink display="http://fund.eastmoney.com/Company/80061674.html" ref="G53" r:id="rId155"/>
    <hyperlink display="http://fund.eastmoney.com/Company/f10/jjjl_80061674.html" ref="H53" r:id="rId156"/>
    <hyperlink display="http://fund.eastmoney.com/Company/80000238.html" ref="B54" r:id="rId157"/>
    <hyperlink display="http://fund.eastmoney.com/Company/80000238.html" ref="G54" r:id="rId158"/>
    <hyperlink display="http://fund.eastmoney.com/Company/f10/jjjl_80000238.html" ref="H54" r:id="rId159"/>
    <hyperlink display="http://fund.eastmoney.com/Company/80163340.html" ref="B55" r:id="rId160"/>
    <hyperlink display="http://fund.eastmoney.com/Company/80163340.html" ref="G55" r:id="rId161"/>
    <hyperlink display="http://fund.eastmoney.com/Company/f10/jjjl_80163340.html" ref="H55" r:id="rId162"/>
    <hyperlink display="http://fund.eastmoney.com/Company/80000249.html" ref="B56" r:id="rId163"/>
    <hyperlink display="http://fund.eastmoney.com/Company/80000249.html" ref="G56" r:id="rId164"/>
    <hyperlink display="http://fund.eastmoney.com/Company/f10/jjjl_80000249.html" ref="H56" r:id="rId165"/>
    <hyperlink display="http://fund.eastmoney.com/Company/80075936.html" ref="B57" r:id="rId166"/>
    <hyperlink display="http://fund.eastmoney.com/Company/80075936.html" ref="G57" r:id="rId167"/>
    <hyperlink display="http://fund.eastmoney.com/Company/f10/jjjl_80075936.html" ref="H57" r:id="rId168"/>
    <hyperlink display="http://fund.eastmoney.com/Company/80368700.html" ref="B58" r:id="rId169"/>
    <hyperlink display="http://fund.eastmoney.com/Company/80368700.html" ref="G58" r:id="rId170"/>
    <hyperlink display="http://fund.eastmoney.com/Company/f10/jjjl_80368700.html" ref="H58" r:id="rId171"/>
    <hyperlink display="http://fund.eastmoney.com/Company/80351991.html" ref="B59" r:id="rId172"/>
    <hyperlink display="http://fund.eastmoney.com/Company/80351991.html" ref="G59" r:id="rId173"/>
    <hyperlink display="http://fund.eastmoney.com/Company/f10/jjjl_80351991.html" ref="H59" r:id="rId174"/>
    <hyperlink display="http://fund.eastmoney.com/Company/80365987.html" ref="B60" r:id="rId175"/>
    <hyperlink display="http://fund.eastmoney.com/Company/80365987.html" ref="G60" r:id="rId176"/>
    <hyperlink display="http://fund.eastmoney.com/Company/f10/jjjl_80365987.html" ref="H60" r:id="rId177"/>
    <hyperlink display="http://fund.eastmoney.com/Company/80000227.html" ref="B61" r:id="rId178"/>
    <hyperlink display="http://fund.eastmoney.com/Company/80000227.html" ref="G61" r:id="rId179"/>
    <hyperlink display="http://fund.eastmoney.com/Company/f10/jjjl_80000227.html" ref="H61" r:id="rId180"/>
    <hyperlink display="http://fund.eastmoney.com/Company/80000236.html" ref="B62" r:id="rId181"/>
    <hyperlink display="http://fund.eastmoney.com/Company/80000236.html" ref="G62" r:id="rId182"/>
    <hyperlink display="http://fund.eastmoney.com/Company/f10/jjjl_80000236.html" ref="H62" r:id="rId183"/>
    <hyperlink display="http://fund.eastmoney.com/Company/80045188.html" ref="B63" r:id="rId184"/>
    <hyperlink display="http://fund.eastmoney.com/Company/80045188.html" ref="G63" r:id="rId185"/>
    <hyperlink display="http://fund.eastmoney.com/Company/f10/jjjl_80045188.html" ref="H63" r:id="rId186"/>
    <hyperlink display="http://fund.eastmoney.com/Company/80048161.html" ref="B64" r:id="rId187"/>
    <hyperlink display="http://fund.eastmoney.com/Company/80048161.html" ref="G64" r:id="rId188"/>
    <hyperlink display="http://fund.eastmoney.com/Company/f10/jjjl_80048161.html" ref="H64" r:id="rId189"/>
    <hyperlink display="http://fund.eastmoney.com/Company/80156777.html" ref="B65" r:id="rId190"/>
    <hyperlink display="http://fund.eastmoney.com/Company/80156777.html" ref="G65" r:id="rId191"/>
    <hyperlink display="http://fund.eastmoney.com/Company/f10/jjjl_80156777.html" ref="H65" r:id="rId192"/>
    <hyperlink display="http://fund.eastmoney.com/Company/80147736.html" ref="B66" r:id="rId193"/>
    <hyperlink display="http://fund.eastmoney.com/Company/80147736.html" ref="G66" r:id="rId194"/>
    <hyperlink display="http://fund.eastmoney.com/Company/f10/jjjl_80147736.html" ref="H66" r:id="rId195"/>
    <hyperlink display="http://fund.eastmoney.com/Company/80044515.html" ref="B67" r:id="rId196"/>
    <hyperlink display="http://fund.eastmoney.com/Company/80044515.html" ref="G67" r:id="rId197"/>
    <hyperlink display="http://fund.eastmoney.com/Company/f10/jjjl_80044515.html" ref="H67" r:id="rId198"/>
    <hyperlink display="http://fund.eastmoney.com/Company/80522693.html" ref="B68" r:id="rId199"/>
    <hyperlink display="http://fund.eastmoney.com/Company/80522693.html" ref="G68" r:id="rId200"/>
    <hyperlink display="http://fund.eastmoney.com/Company/f10/jjjl_80522693.html" ref="H68" r:id="rId201"/>
    <hyperlink display="http://fund.eastmoney.com/Company/80043374.html" ref="B69" r:id="rId202"/>
    <hyperlink display="http://fund.eastmoney.com/Company/80043374.html" ref="G69" r:id="rId203"/>
    <hyperlink display="http://fund.eastmoney.com/Company/f10/jjjl_80043374.html" ref="H69" r:id="rId204"/>
    <hyperlink display="http://fund.eastmoney.com/Company/80067635.html" ref="B70" r:id="rId205"/>
    <hyperlink display="http://fund.eastmoney.com/Company/80067635.html" ref="G70" r:id="rId206"/>
    <hyperlink display="http://fund.eastmoney.com/Company/f10/jjjl_80067635.html" ref="H70" r:id="rId207"/>
    <hyperlink display="http://fund.eastmoney.com/Company/80174741.html" ref="B71" r:id="rId208"/>
    <hyperlink display="http://fund.eastmoney.com/Company/80174741.html" ref="G71" r:id="rId209"/>
    <hyperlink display="http://fund.eastmoney.com/Company/f10/jjjl_80174741.html" ref="H71" r:id="rId210"/>
    <hyperlink display="http://fund.eastmoney.com/Company/80468996.html" ref="B72" r:id="rId211"/>
    <hyperlink display="http://fund.eastmoney.com/Company/80468996.html" ref="G72" r:id="rId212"/>
    <hyperlink display="http://fund.eastmoney.com/Company/f10/jjjl_80468996.html" ref="H72" r:id="rId213"/>
    <hyperlink display="http://fund.eastmoney.com/Company/80404701.html" ref="B73" r:id="rId214"/>
    <hyperlink display="http://fund.eastmoney.com/Company/80404701.html" ref="G73" r:id="rId215"/>
    <hyperlink display="http://fund.eastmoney.com/Company/f10/jjjl_80404701.html" ref="H73" r:id="rId216"/>
    <hyperlink display="http://fund.eastmoney.com/Company/80424273.html" ref="B74" r:id="rId217"/>
    <hyperlink display="http://fund.eastmoney.com/Company/80424273.html" ref="G74" r:id="rId218"/>
    <hyperlink display="http://fund.eastmoney.com/Company/f10/jjjl_80424273.html" ref="H74" r:id="rId219"/>
    <hyperlink display="http://fund.eastmoney.com/Company/80053204.html" ref="B75" r:id="rId220"/>
    <hyperlink display="http://fund.eastmoney.com/Company/80053204.html" ref="G75" r:id="rId221"/>
    <hyperlink display="http://fund.eastmoney.com/Company/f10/jjjl_80053204.html" ref="H75" r:id="rId222"/>
    <hyperlink display="http://fund.eastmoney.com/Company/80086876.html" ref="B76" r:id="rId223"/>
    <hyperlink display="http://fund.eastmoney.com/Company/80086876.html" ref="G76" r:id="rId224"/>
    <hyperlink display="http://fund.eastmoney.com/Company/f10/jjjl_80086876.html" ref="H76" r:id="rId225"/>
    <hyperlink display="http://fund.eastmoney.com/Company/80068180.html" ref="B77" r:id="rId226"/>
    <hyperlink display="http://fund.eastmoney.com/Company/80068180.html" ref="G77" r:id="rId227"/>
    <hyperlink display="http://fund.eastmoney.com/Company/f10/jjjl_80068180.html" ref="H77" r:id="rId228"/>
    <hyperlink display="http://fund.eastmoney.com/Company/80161341.html" ref="B78" r:id="rId229"/>
    <hyperlink display="http://fund.eastmoney.com/Company/80161341.html" ref="G78" r:id="rId230"/>
    <hyperlink display="http://fund.eastmoney.com/Company/f10/jjjl_80161341.html" ref="H78" r:id="rId231"/>
    <hyperlink display="http://fund.eastmoney.com/Company/80042861.html" ref="B79" r:id="rId232"/>
    <hyperlink display="http://fund.eastmoney.com/Company/80042861.html" ref="G79" r:id="rId233"/>
    <hyperlink display="http://fund.eastmoney.com/Company/f10/jjjl_80042861.html" ref="H79" r:id="rId234"/>
    <hyperlink display="http://fund.eastmoney.com/Company/80280036.html" ref="B80" r:id="rId235"/>
    <hyperlink display="http://fund.eastmoney.com/Company/80280036.html" ref="G80" r:id="rId236"/>
    <hyperlink display="http://fund.eastmoney.com/Company/f10/jjjl_80280036.html" ref="H80" r:id="rId237"/>
    <hyperlink display="http://fund.eastmoney.com/Company/80036797.html" ref="B81" r:id="rId238"/>
    <hyperlink display="http://fund.eastmoney.com/Company/80036797.html" ref="G81" r:id="rId239"/>
    <hyperlink display="http://fund.eastmoney.com/Company/f10/jjjl_80036797.html" ref="H81" r:id="rId240"/>
    <hyperlink display="http://fund.eastmoney.com/Company/80061431.html" ref="B82" r:id="rId241"/>
    <hyperlink display="http://fund.eastmoney.com/Company/80061431.html" ref="G82" r:id="rId242"/>
    <hyperlink display="http://fund.eastmoney.com/Company/f10/jjjl_80061431.html" ref="H82" r:id="rId243"/>
    <hyperlink display="http://fund.eastmoney.com/Company/80365986.html" ref="B83" r:id="rId244"/>
    <hyperlink display="http://fund.eastmoney.com/Company/80365986.html" ref="G83" r:id="rId245"/>
    <hyperlink display="http://fund.eastmoney.com/Company/f10/jjjl_80365986.html" ref="H83" r:id="rId246"/>
    <hyperlink display="http://fund.eastmoney.com/Company/80294346.html" ref="B84" r:id="rId247"/>
    <hyperlink display="http://fund.eastmoney.com/Company/80294346.html" ref="G84" r:id="rId248"/>
    <hyperlink display="http://fund.eastmoney.com/Company/f10/jjjl_80294346.html" ref="H84" r:id="rId249"/>
    <hyperlink display="http://fund.eastmoney.com/Company/80074234.html" ref="B85" r:id="rId250"/>
    <hyperlink display="http://fund.eastmoney.com/Company/80074234.html" ref="G85" r:id="rId251"/>
    <hyperlink display="http://fund.eastmoney.com/Company/f10/jjjl_80074234.html" ref="H85" r:id="rId252"/>
    <hyperlink display="http://fund.eastmoney.com/Company/80380794.html" ref="B86" r:id="rId253"/>
    <hyperlink display="http://fund.eastmoney.com/Company/80380794.html" ref="G86" r:id="rId254"/>
    <hyperlink display="http://fund.eastmoney.com/Company/f10/jjjl_80380794.html" ref="H86" r:id="rId255"/>
    <hyperlink display="http://fund.eastmoney.com/Company/80046614.html" ref="B87" r:id="rId256"/>
    <hyperlink display="http://fund.eastmoney.com/Company/80046614.html" ref="G87" r:id="rId257"/>
    <hyperlink display="http://fund.eastmoney.com/Company/f10/jjjl_80046614.html" ref="H87" r:id="rId258"/>
    <hyperlink display="http://fund.eastmoney.com/Company/80404004.html" ref="B88" r:id="rId259"/>
    <hyperlink display="http://fund.eastmoney.com/Company/80404004.html" ref="G88" r:id="rId260"/>
    <hyperlink display="http://fund.eastmoney.com/Company/f10/jjjl_80404004.html" ref="H88" r:id="rId261"/>
    <hyperlink display="http://fund.eastmoney.com/Company/80175511.html" ref="B89" r:id="rId262"/>
    <hyperlink display="http://fund.eastmoney.com/Company/80175511.html" ref="G89" r:id="rId263"/>
    <hyperlink display="http://fund.eastmoney.com/Company/f10/jjjl_80175511.html" ref="H89" r:id="rId264"/>
    <hyperlink display="http://fund.eastmoney.com/Company/80114781.html" ref="B90" r:id="rId265"/>
    <hyperlink display="http://fund.eastmoney.com/Company/80114781.html" ref="G90" r:id="rId266"/>
    <hyperlink display="http://fund.eastmoney.com/Company/f10/jjjl_80114781.html" ref="H90" r:id="rId267"/>
    <hyperlink display="http://fund.eastmoney.com/Company/80385906.html" ref="B91" r:id="rId268"/>
    <hyperlink display="http://fund.eastmoney.com/Company/80385906.html" ref="G91" r:id="rId269"/>
    <hyperlink display="http://fund.eastmoney.com/Company/f10/jjjl_80385906.html" ref="H91" r:id="rId270"/>
    <hyperlink display="http://fund.eastmoney.com/Company/80384640.html" ref="B92" r:id="rId271"/>
    <hyperlink display="http://fund.eastmoney.com/Company/80384640.html" ref="G92" r:id="rId272"/>
    <hyperlink display="http://fund.eastmoney.com/Company/f10/jjjl_80384640.html" ref="H92" r:id="rId273"/>
    <hyperlink display="http://fund.eastmoney.com/Company/80498278.html" ref="B93" r:id="rId274"/>
    <hyperlink display="http://fund.eastmoney.com/Company/80498278.html" ref="G93" r:id="rId275"/>
    <hyperlink display="http://fund.eastmoney.com/Company/f10/jjjl_80498278.html" ref="H93" r:id="rId276"/>
    <hyperlink display="http://fund.eastmoney.com/Company/80523667.html" ref="B94" r:id="rId277"/>
    <hyperlink display="http://fund.eastmoney.com/Company/80523667.html" ref="G94" r:id="rId278"/>
    <hyperlink display="http://fund.eastmoney.com/Company/f10/jjjl_80523667.html" ref="H94" r:id="rId279"/>
    <hyperlink display="http://fund.eastmoney.com/Company/80355113.html" ref="B95" r:id="rId280"/>
    <hyperlink display="http://fund.eastmoney.com/Company/80355113.html" ref="G95" r:id="rId281"/>
    <hyperlink display="http://fund.eastmoney.com/Company/f10/jjjl_80355113.html" ref="H95" r:id="rId282"/>
    <hyperlink display="http://fund.eastmoney.com/Company/80365985.html" ref="B96" r:id="rId283"/>
    <hyperlink display="http://fund.eastmoney.com/Company/80365985.html" ref="G96" r:id="rId284"/>
    <hyperlink display="http://fund.eastmoney.com/Company/f10/jjjl_80365985.html" ref="H96" r:id="rId285"/>
    <hyperlink display="http://fund.eastmoney.com/Company/80139382.html" ref="B97" r:id="rId286"/>
    <hyperlink display="http://fund.eastmoney.com/Company/80139382.html" ref="G97" r:id="rId287"/>
    <hyperlink display="http://fund.eastmoney.com/Company/f10/jjjl_80139382.html" ref="H97" r:id="rId288"/>
    <hyperlink display="http://fund.eastmoney.com/Company/80488954.html" ref="B98" r:id="rId289"/>
    <hyperlink display="http://fund.eastmoney.com/Company/80488954.html" ref="G98" r:id="rId290"/>
    <hyperlink display="http://fund.eastmoney.com/Company/f10/jjjl_80488954.html" ref="H98" r:id="rId291"/>
    <hyperlink display="http://fund.eastmoney.com/Company/80199117.html" ref="B99" r:id="rId292"/>
    <hyperlink display="http://fund.eastmoney.com/Company/80199117.html" ref="G99" r:id="rId293"/>
    <hyperlink display="http://fund.eastmoney.com/Company/f10/jjjl_80199117.html" ref="H99" r:id="rId294"/>
    <hyperlink display="http://fund.eastmoney.com/Company/80501166.html" ref="B100" r:id="rId295"/>
    <hyperlink display="http://fund.eastmoney.com/Company/80501166.html" ref="G100" r:id="rId296"/>
    <hyperlink display="http://fund.eastmoney.com/Company/f10/jjjl_80501166.html" ref="H100" r:id="rId297"/>
    <hyperlink display="http://fund.eastmoney.com/Company/80555446.html" ref="B101" r:id="rId298"/>
    <hyperlink display="http://fund.eastmoney.com/Company/80555446.html" ref="G101" r:id="rId299"/>
    <hyperlink display="http://fund.eastmoney.com/Company/f10/jjjl_80555446.html" ref="H101" r:id="rId300"/>
    <hyperlink display="http://fund.eastmoney.com/Company/80000080.html" ref="B102" r:id="rId301"/>
    <hyperlink display="http://fund.eastmoney.com/Company/80000080.html" ref="G102" r:id="rId302"/>
    <hyperlink display="http://fund.eastmoney.com/Company/f10/jjjl_80000080.html" ref="H102" r:id="rId303"/>
    <hyperlink display="http://fund.eastmoney.com/Company/80446423.html" ref="B103" r:id="rId304"/>
    <hyperlink display="http://fund.eastmoney.com/Company/80446423.html" ref="G103" r:id="rId305"/>
    <hyperlink display="http://fund.eastmoney.com/Company/f10/jjjl_80446423.html" ref="H103" r:id="rId306"/>
    <hyperlink display="http://fund.eastmoney.com/Company/80128562.html" ref="B104" r:id="rId307"/>
    <hyperlink display="http://fund.eastmoney.com/Company/80128562.html" ref="G104" r:id="rId308"/>
    <hyperlink display="http://fund.eastmoney.com/Company/f10/jjjl_80128562.html" ref="H104" r:id="rId309"/>
    <hyperlink display="http://fund.eastmoney.com/Company/80452130.html" ref="B105" r:id="rId310"/>
    <hyperlink display="http://fund.eastmoney.com/Company/80452130.html" ref="G105" r:id="rId311"/>
    <hyperlink display="http://fund.eastmoney.com/Company/f10/jjjl_80452130.html" ref="H105" r:id="rId312"/>
    <hyperlink display="http://fund.eastmoney.com/Company/80000247.html" ref="B106" r:id="rId313"/>
    <hyperlink display="http://fund.eastmoney.com/Company/80000247.html" ref="G106" r:id="rId314"/>
    <hyperlink display="http://fund.eastmoney.com/Company/f10/jjjl_80000247.html" ref="H106" r:id="rId315"/>
    <hyperlink display="http://fund.eastmoney.com/Company/80205264.html" ref="B107" r:id="rId316"/>
    <hyperlink display="http://fund.eastmoney.com/Company/80205264.html" ref="G107" r:id="rId317"/>
    <hyperlink display="http://fund.eastmoney.com/Company/f10/jjjl_80205264.html" ref="H107" r:id="rId318"/>
    <hyperlink display="http://fund.eastmoney.com/Company/80175498.html" ref="B108" r:id="rId319"/>
    <hyperlink display="http://fund.eastmoney.com/Company/80175498.html" ref="G108" r:id="rId320"/>
    <hyperlink display="http://fund.eastmoney.com/Company/f10/jjjl_80175498.html" ref="H108" r:id="rId321"/>
    <hyperlink display="http://fund.eastmoney.com/Company/80391977.html" ref="B109" r:id="rId322"/>
    <hyperlink display="http://fund.eastmoney.com/Company/80391977.html" ref="G109" r:id="rId323"/>
    <hyperlink display="http://fund.eastmoney.com/Company/f10/jjjl_80391977.html" ref="H109" r:id="rId324"/>
    <hyperlink display="http://fund.eastmoney.com/Company/80548351.html" ref="B110" r:id="rId325"/>
    <hyperlink display="http://fund.eastmoney.com/Company/80548351.html" ref="G110" r:id="rId326"/>
    <hyperlink display="http://fund.eastmoney.com/Company/f10/jjjl_80548351.html" ref="H110" r:id="rId327"/>
    <hyperlink display="http://fund.eastmoney.com/Company/80000252.html" ref="B111" r:id="rId328"/>
    <hyperlink display="http://fund.eastmoney.com/Company/80000252.html" ref="G111" r:id="rId329"/>
    <hyperlink display="http://fund.eastmoney.com/Company/f10/jjjl_80000252.html" ref="H111" r:id="rId330"/>
    <hyperlink display="http://fund.eastmoney.com/Company/80560392.html" ref="B112" r:id="rId331"/>
    <hyperlink display="http://fund.eastmoney.com/Company/80560392.html" ref="G112" r:id="rId332"/>
    <hyperlink display="http://fund.eastmoney.com/Company/f10/jjjl_80560392.html" ref="H112" r:id="rId333"/>
    <hyperlink display="http://fund.eastmoney.com/Company/80046522.html" ref="B113" r:id="rId334"/>
    <hyperlink display="http://fund.eastmoney.com/Company/80046522.html" ref="G113" r:id="rId335"/>
    <hyperlink display="http://fund.eastmoney.com/Company/f10/jjjl_80046522.html" ref="H113" r:id="rId336"/>
    <hyperlink display="http://fund.eastmoney.com/Company/80092743.html" ref="B114" r:id="rId337"/>
    <hyperlink display="http://fund.eastmoney.com/Company/80092743.html" ref="G114" r:id="rId338"/>
    <hyperlink display="http://fund.eastmoney.com/Company/f10/jjjl_80092743.html" ref="H114" r:id="rId339"/>
    <hyperlink display="http://fund.eastmoney.com/Company/80205263.html" ref="B115" r:id="rId340"/>
    <hyperlink display="http://fund.eastmoney.com/Company/80205263.html" ref="G115" r:id="rId341"/>
    <hyperlink display="http://fund.eastmoney.com/Company/f10/jjjl_80205263.html" ref="H115" r:id="rId342"/>
    <hyperlink display="http://fund.eastmoney.com/Company/80560388.html" ref="B116" r:id="rId343"/>
    <hyperlink display="http://fund.eastmoney.com/Company/80560388.html" ref="G116" r:id="rId344"/>
    <hyperlink display="http://fund.eastmoney.com/Company/f10/jjjl_80560388.html" ref="H116" r:id="rId345"/>
    <hyperlink display="http://fund.eastmoney.com/Company/80403111.html" ref="B117" r:id="rId346"/>
    <hyperlink display="http://fund.eastmoney.com/Company/80403111.html" ref="G117" r:id="rId347"/>
    <hyperlink display="http://fund.eastmoney.com/Company/f10/jjjl_80403111.html" ref="H117" r:id="rId348"/>
    <hyperlink display="http://fund.eastmoney.com/Company/80508391.html" ref="B118" r:id="rId349"/>
    <hyperlink display="http://fund.eastmoney.com/Company/80508391.html" ref="G118" r:id="rId350"/>
    <hyperlink display="http://fund.eastmoney.com/Company/f10/jjjl_80508391.html" ref="H118" r:id="rId351"/>
    <hyperlink display="http://fund.eastmoney.com/Company/80455765.html" ref="B119" r:id="rId352"/>
    <hyperlink display="http://fund.eastmoney.com/Company/80455765.html" ref="G119" r:id="rId353"/>
    <hyperlink display="http://fund.eastmoney.com/Company/f10/jjjl_80455765.html" ref="H119" r:id="rId354"/>
    <hyperlink display="http://fund.eastmoney.com/Company/80280039.html" ref="B120" r:id="rId355"/>
    <hyperlink display="http://fund.eastmoney.com/Company/80280039.html" ref="G120" r:id="rId356"/>
    <hyperlink display="http://fund.eastmoney.com/Company/f10/jjjl_80280039.html" ref="H120" r:id="rId357"/>
    <hyperlink display="http://fund.eastmoney.com/Company/80000095.html" ref="B121" r:id="rId358"/>
    <hyperlink display="http://fund.eastmoney.com/Company/80000095.html" ref="G121" r:id="rId359"/>
    <hyperlink display="http://fund.eastmoney.com/Company/f10/jjjl_80000095.html" ref="H121" r:id="rId360"/>
    <hyperlink display="http://fund.eastmoney.com/Company/80560381.html" ref="B122" r:id="rId361"/>
    <hyperlink display="http://fund.eastmoney.com/Company/80560381.html" ref="G122" r:id="rId362"/>
    <hyperlink display="http://fund.eastmoney.com/Company/f10/jjjl_80560381.html" ref="H122" r:id="rId363"/>
    <hyperlink display="http://fund.eastmoney.com/Company/80560379.html" ref="B123" r:id="rId364"/>
    <hyperlink display="http://fund.eastmoney.com/Company/80560379.html" ref="G123" r:id="rId365"/>
    <hyperlink display="http://fund.eastmoney.com/Company/f10/jjjl_80560379.html" ref="H123" r:id="rId366"/>
    <hyperlink display="http://fund.eastmoney.com/Company/80538609.html" ref="B124" r:id="rId367"/>
    <hyperlink display="http://fund.eastmoney.com/Company/80538609.html" ref="G124" r:id="rId368"/>
    <hyperlink display="http://fund.eastmoney.com/Company/f10/jjjl_80538609.html" ref="H124" r:id="rId369"/>
    <hyperlink display="http://fund.eastmoney.com/Company/80205268.html" ref="B125" r:id="rId370"/>
    <hyperlink display="http://fund.eastmoney.com/Company/80205268.html" ref="G125" r:id="rId371"/>
    <hyperlink display="http://fund.eastmoney.com/Company/f10/jjjl_80205268.html" ref="H125" r:id="rId372"/>
    <hyperlink display="http://fund.eastmoney.com/Company/80560380.html" ref="B126" r:id="rId373"/>
    <hyperlink display="http://fund.eastmoney.com/Company/80560380.html" ref="G126" r:id="rId374"/>
    <hyperlink display="http://fund.eastmoney.com/Company/f10/jjjl_80560380.html" ref="H126" r:id="rId375"/>
    <hyperlink display="http://fund.eastmoney.com/Company/80560396.html" ref="B127" r:id="rId376"/>
    <hyperlink display="http://fund.eastmoney.com/Company/80560396.html" ref="G127" r:id="rId377"/>
    <hyperlink display="http://fund.eastmoney.com/Company/f10/jjjl_80560396.html" ref="H127" r:id="rId378"/>
    <hyperlink display="http://fund.eastmoney.com/Company/80560389.html" ref="B128" r:id="rId379"/>
    <hyperlink display="http://fund.eastmoney.com/Company/80560389.html" ref="G128" r:id="rId380"/>
    <hyperlink display="http://fund.eastmoney.com/Company/f10/jjjl_80560389.html" ref="H128" r:id="rId381"/>
    <hyperlink display="http://fund.eastmoney.com/Company/80508384.html" ref="B129" r:id="rId382"/>
    <hyperlink display="http://fund.eastmoney.com/Company/80508384.html" ref="G129" r:id="rId383"/>
    <hyperlink display="http://fund.eastmoney.com/Company/f10/jjjl_80508384.html" ref="H129" r:id="rId384"/>
    <hyperlink display="http://fund.eastmoney.com/Company/80201857.html" ref="B130" r:id="rId385"/>
    <hyperlink display="http://fund.eastmoney.com/Company/80201857.html" ref="G130" r:id="rId386"/>
    <hyperlink display="http://fund.eastmoney.com/Company/f10/jjjl_80201857.html" ref="H130" r:id="rId387"/>
    <hyperlink display="http://fund.eastmoney.com/Company/80056613.html" ref="B131" r:id="rId388"/>
    <hyperlink display="http://fund.eastmoney.com/Company/80056613.html" ref="G131" r:id="rId389"/>
    <hyperlink display="http://fund.eastmoney.com/Company/f10/jjjl_80056613.html" ref="H131" r:id="rId390"/>
    <hyperlink display="http://fund.eastmoney.com/Company/80560393.html" ref="B132" r:id="rId391"/>
    <hyperlink display="http://fund.eastmoney.com/Company/80560393.html" ref="G132" r:id="rId392"/>
    <hyperlink display="http://fund.eastmoney.com/Company/f10/jjjl_80560393.html" ref="H132" r:id="rId393"/>
    <hyperlink display="http://fund.eastmoney.com/Company/80560383.html" ref="B133" r:id="rId394"/>
    <hyperlink display="http://fund.eastmoney.com/Company/80560383.html" ref="G133" r:id="rId395"/>
    <hyperlink display="http://fund.eastmoney.com/Company/f10/jjjl_80560383.html" ref="H133" r:id="rId396"/>
    <hyperlink display="http://fund.eastmoney.com/Company/80560391.html" ref="B134" r:id="rId397"/>
    <hyperlink display="http://fund.eastmoney.com/Company/80560391.html" ref="G134" r:id="rId398"/>
    <hyperlink display="http://fund.eastmoney.com/Company/f10/jjjl_80560391.html" ref="H134" r:id="rId399"/>
    <hyperlink display="http://fund.eastmoney.com/Company/80280397.html" ref="B135" r:id="rId400"/>
    <hyperlink display="http://fund.eastmoney.com/Company/80280397.html" ref="G135" r:id="rId401"/>
    <hyperlink display="http://fund.eastmoney.com/Company/f10/jjjl_80280397.html" ref="H135" r:id="rId402"/>
    <hyperlink display="http://fund.eastmoney.com/Company/80664536.html" ref="B136" r:id="rId403"/>
    <hyperlink display="http://fund.eastmoney.com/Company/80664536.html" ref="G136" r:id="rId404"/>
    <hyperlink display="http://fund.eastmoney.com/Company/f10/jjjl_80664536.html" ref="H136" r:id="rId405"/>
    <hyperlink display="http://fund.eastmoney.com/Company/80924817.html" ref="B137" r:id="rId406"/>
    <hyperlink display="http://fund.eastmoney.com/Company/80924817.html" ref="G137" r:id="rId407"/>
    <hyperlink display="http://fund.eastmoney.com/Company/f10/jjjl_80924817.html" ref="H137" r:id="rId408"/>
    <hyperlink display="http://fund.eastmoney.com/Company/80560407.html" ref="B138" r:id="rId409"/>
    <hyperlink display="http://fund.eastmoney.com/Company/80560407.html" ref="G138" r:id="rId410"/>
    <hyperlink display="http://fund.eastmoney.com/Company/f10/jjjl_80560407.html" ref="H138" r:id="rId411"/>
    <hyperlink display="http://fund.eastmoney.com/Company/80560408.html" ref="B139" r:id="rId412"/>
    <hyperlink display="http://fund.eastmoney.com/Company/80560408.html" ref="G139" r:id="rId413"/>
    <hyperlink display="http://fund.eastmoney.com/Company/f10/jjjl_80560408.html" ref="H139" r:id="rId414"/>
    <hyperlink display="http://fund.eastmoney.com/Company/80560384.html" ref="B140" r:id="rId415"/>
    <hyperlink display="http://fund.eastmoney.com/Company/80560384.html" ref="G140" r:id="rId416"/>
    <hyperlink display="http://fund.eastmoney.com/Company/f10/jjjl_80560384.html" ref="H140" r:id="rId417"/>
    <hyperlink display="http://fund.eastmoney.com/Company/80965167.html" ref="B141" r:id="rId418"/>
    <hyperlink display="http://fund.eastmoney.com/Company/80965167.html" ref="G141" r:id="rId419"/>
    <hyperlink display="http://fund.eastmoney.com/Company/f10/jjjl_80965167.html" ref="H141" r:id="rId420"/>
    <hyperlink display="http://fund.eastmoney.com/Company/80672691.html" ref="B142" r:id="rId421"/>
    <hyperlink display="http://fund.eastmoney.com/Company/80672691.html" ref="G142" r:id="rId422"/>
    <hyperlink display="http://fund.eastmoney.com/Company/f10/jjjl_80672691.html" ref="H142" r:id="rId423"/>
    <hyperlink display="http://fund.eastmoney.com/Company/80381452.html" ref="B143" r:id="rId424"/>
    <hyperlink display="http://fund.eastmoney.com/Company/80381452.html" ref="G143" r:id="rId425"/>
    <hyperlink display="http://fund.eastmoney.com/Company/f10/jjjl_80381452.html" ref="H143" r:id="rId426"/>
  </hyperlinks>
  <pageMargins bottom="0.75" footer="0.3" header="0.3" left="0.7" right="0.7" top="0.7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 zoomScale="133">
      <selection activeCell="K19" sqref="K19"/>
    </sheetView>
  </sheetViews>
  <sheetFormatPr baseColWidth="10" defaultRowHeight="16" outlineLevelCol="0"/>
  <cols>
    <col customWidth="1" max="1" min="1" style="130" width="32.5"/>
    <col customWidth="1" max="2" min="2" style="130" width="13.5"/>
  </cols>
  <sheetData>
    <row customHeight="1" ht="18" r="1" s="130" spans="1:4">
      <c r="A1" s="81" t="s">
        <v>991</v>
      </c>
      <c r="B1" t="s">
        <v>992</v>
      </c>
      <c r="C1" t="s">
        <v>993</v>
      </c>
      <c r="D1" t="s">
        <v>994</v>
      </c>
    </row>
    <row customHeight="1" ht="18" r="2" s="130" spans="1:4">
      <c r="A2" s="81" t="s">
        <v>995</v>
      </c>
      <c r="B2" s="131" t="n">
        <v>0.85</v>
      </c>
      <c r="C2" s="131" t="n">
        <v>0.8</v>
      </c>
      <c r="D2" s="131" t="n">
        <v>0.68</v>
      </c>
    </row>
    <row customHeight="1" ht="18" r="3" s="130" spans="1:4">
      <c r="A3" s="81" t="s">
        <v>996</v>
      </c>
      <c r="B3" s="131" t="n">
        <v>0.35</v>
      </c>
      <c r="C3" s="131" t="n">
        <v>0.16</v>
      </c>
      <c r="D3" s="131" t="n">
        <v>0.056</v>
      </c>
    </row>
    <row customHeight="1" ht="18" r="4" s="130" spans="1:4">
      <c r="A4" s="81" t="s">
        <v>997</v>
      </c>
      <c r="B4" s="131" t="n">
        <v>0.15</v>
      </c>
      <c r="C4" s="131" t="n">
        <v>0.28</v>
      </c>
      <c r="D4" s="131" t="n">
        <v>0.042</v>
      </c>
    </row>
    <row customHeight="1" ht="18" r="5" s="130" spans="1:4">
      <c r="A5" s="81" t="s">
        <v>998</v>
      </c>
      <c r="B5" s="131" t="n">
        <v>0.1</v>
      </c>
      <c r="C5" s="131" t="n">
        <v>0.5</v>
      </c>
      <c r="D5" s="131" t="n">
        <v>0.05</v>
      </c>
    </row>
    <row customHeight="1" ht="18" r="6" s="130" spans="1:4">
      <c r="A6" s="82" t="n">
        <v>50</v>
      </c>
      <c r="B6" s="131" t="n">
        <v>0.2</v>
      </c>
      <c r="C6" s="131" t="n">
        <v>0.25</v>
      </c>
      <c r="D6" s="131" t="n">
        <v>0.05</v>
      </c>
    </row>
    <row customHeight="1" ht="18" r="7" s="130" spans="1:4">
      <c r="A7" s="82" t="n">
        <v>500</v>
      </c>
      <c r="B7" s="131" t="n">
        <v>0.2</v>
      </c>
      <c r="C7" s="131" t="n">
        <v>0.15</v>
      </c>
      <c r="D7" s="131" t="n">
        <v>0.03</v>
      </c>
    </row>
    <row customHeight="1" ht="18" r="8" s="130" spans="1:4">
      <c r="A8" s="81" t="s">
        <v>999</v>
      </c>
      <c r="B8" s="131" t="n">
        <v>0.1</v>
      </c>
      <c r="C8" s="131" t="n">
        <v>0.245</v>
      </c>
      <c r="D8" s="131" t="n">
        <v>0.0245</v>
      </c>
    </row>
    <row customHeight="1" ht="18" r="9" s="130" spans="1:4">
      <c r="A9" s="81" t="s">
        <v>1000</v>
      </c>
      <c r="B9" s="131" t="n">
        <v>0.15</v>
      </c>
      <c r="C9" s="131" t="n">
        <v>0.15</v>
      </c>
      <c r="D9" s="131" t="n">
        <v>0.0225</v>
      </c>
    </row>
    <row customHeight="1" ht="18" r="10" s="130" spans="1:4">
      <c r="A10" s="81" t="s">
        <v>1001</v>
      </c>
      <c r="B10" s="131" t="n">
        <v>0.15</v>
      </c>
      <c r="C10" s="131" t="n">
        <v>0.2</v>
      </c>
      <c r="D10" s="131" t="n">
        <v>0.03</v>
      </c>
    </row>
    <row customHeight="1" ht="18" r="11" s="130" spans="1:4">
      <c r="A11" s="81" t="s">
        <v>1002</v>
      </c>
      <c r="B11" s="131" t="n">
        <v>0.1</v>
      </c>
      <c r="C11" s="131" t="n">
        <v>0.15</v>
      </c>
      <c r="D11" s="131" t="n">
        <v>0.015</v>
      </c>
    </row>
    <row customHeight="1" ht="19" r="13" s="130" spans="1:4">
      <c r="A13" s="83" t="s">
        <v>1003</v>
      </c>
    </row>
    <row customHeight="1" ht="19" r="14" s="130" spans="1:4">
      <c r="A14" s="83" t="s">
        <v>1004</v>
      </c>
    </row>
    <row customHeight="1" ht="19" r="15" s="130" spans="1:4">
      <c r="A15" s="83" t="s">
        <v>1005</v>
      </c>
    </row>
    <row customHeight="1" ht="18" r="16" s="130" spans="1:4">
      <c r="A16" s="81" t="n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N26" sqref="N26"/>
    </sheetView>
  </sheetViews>
  <sheetFormatPr baseColWidth="10" defaultRowHeight="16"/>
  <sheetData>
    <row r="1" spans="1:4">
      <c r="A1" s="13" t="n">
        <v>-1000</v>
      </c>
      <c r="B1" s="13" t="n"/>
      <c r="C1" s="13" t="n"/>
      <c r="D1" s="13" t="n"/>
    </row>
    <row r="2" spans="1:4">
      <c r="A2" s="13" t="n">
        <v>-1000</v>
      </c>
      <c r="B2" s="13" t="n"/>
      <c r="C2" s="13" t="n"/>
      <c r="D2" s="13" t="n"/>
    </row>
    <row r="3" spans="1:4">
      <c r="A3" s="13" t="n">
        <v>-1000</v>
      </c>
      <c r="B3" s="13" t="n"/>
      <c r="C3" s="13" t="n"/>
      <c r="D3" s="13" t="n"/>
    </row>
    <row r="4" spans="1:4">
      <c r="A4" s="13" t="n">
        <v>-1000</v>
      </c>
      <c r="B4" s="13" t="n"/>
      <c r="C4" s="13" t="n"/>
      <c r="D4" s="13" t="n"/>
    </row>
    <row r="5" spans="1:4">
      <c r="A5" s="13" t="n">
        <v>-1000</v>
      </c>
      <c r="B5" s="13" t="n"/>
      <c r="C5" s="13" t="n"/>
      <c r="D5" s="13" t="n"/>
    </row>
    <row r="6" spans="1:4">
      <c r="A6" s="13" t="n">
        <v>-1000</v>
      </c>
      <c r="B6" s="13" t="n"/>
      <c r="C6" s="13" t="n"/>
      <c r="D6" s="13" t="n"/>
    </row>
    <row r="7" spans="1:4">
      <c r="A7" s="13" t="n">
        <v>-1000</v>
      </c>
      <c r="B7" s="13" t="n"/>
      <c r="C7" s="13" t="n"/>
      <c r="D7" s="13" t="n"/>
    </row>
    <row r="8" spans="1:4">
      <c r="A8" s="13" t="n">
        <v>-1000</v>
      </c>
      <c r="B8" s="13" t="n"/>
      <c r="C8" s="13" t="n"/>
      <c r="D8" s="13" t="n"/>
    </row>
    <row r="9" spans="1:4">
      <c r="A9" s="13" t="n">
        <v>-1000</v>
      </c>
      <c r="B9" s="13" t="n"/>
      <c r="C9" s="13" t="n"/>
      <c r="D9" s="13" t="n"/>
    </row>
    <row r="10" spans="1:4">
      <c r="A10" s="13" t="n">
        <v>-1000</v>
      </c>
      <c r="B10" s="13" t="n"/>
      <c r="C10" s="13" t="n"/>
      <c r="D10" s="13" t="n"/>
    </row>
    <row r="11" spans="1:4">
      <c r="A11" s="13" t="n">
        <v>-1000</v>
      </c>
    </row>
    <row r="12" spans="1:4">
      <c r="A12" s="13" t="n">
        <v>-1000</v>
      </c>
    </row>
    <row r="13" spans="1:4">
      <c r="A13" s="13" t="n">
        <v>15000</v>
      </c>
    </row>
    <row r="14" spans="1:4">
      <c r="A14" s="33">
        <f>IRR(A1:A13)</f>
        <v/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Brett Ren</dc:creator>
  <dcterms:created xsi:type="dcterms:W3CDTF">2018-09-12T12:02:31Z</dcterms:created>
  <dcterms:modified xsi:type="dcterms:W3CDTF">2019-04-09T03:16:16Z</dcterms:modified>
  <cp:lastModifiedBy>Brett Ren</cp:lastModifiedBy>
</cp:coreProperties>
</file>