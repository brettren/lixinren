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336543/PycharmProjects/lixinren/"/>
    </mc:Choice>
  </mc:AlternateContent>
  <xr:revisionPtr revIDLastSave="0" documentId="13_ncr:1_{A80C43BF-944F-A342-870F-974669315F41}" xr6:coauthVersionLast="43" xr6:coauthVersionMax="43" xr10:uidLastSave="{00000000-0000-0000-0000-000000000000}"/>
  <bookViews>
    <workbookView xWindow="0" yWindow="460" windowWidth="28800" windowHeight="16120" xr2:uid="{00000000-000D-0000-FFFF-FFFF00000000}"/>
  </bookViews>
  <sheets>
    <sheet name="全指医药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96" i="1" l="1"/>
  <c r="G396" i="1"/>
  <c r="E396" i="1"/>
  <c r="J395" i="1"/>
  <c r="G395" i="1"/>
  <c r="E395" i="1"/>
  <c r="J394" i="1"/>
  <c r="G394" i="1"/>
  <c r="N3" i="1" s="1"/>
  <c r="E394" i="1"/>
  <c r="J393" i="1"/>
  <c r="G393" i="1"/>
  <c r="E393" i="1"/>
  <c r="J392" i="1"/>
  <c r="G392" i="1"/>
  <c r="E392" i="1"/>
  <c r="J391" i="1"/>
  <c r="G391" i="1"/>
  <c r="E391" i="1"/>
  <c r="J390" i="1"/>
  <c r="G390" i="1"/>
  <c r="E390" i="1"/>
  <c r="J389" i="1"/>
  <c r="G389" i="1"/>
  <c r="E389" i="1"/>
  <c r="F340" i="1" s="1"/>
  <c r="J388" i="1"/>
  <c r="G388" i="1"/>
  <c r="E388" i="1"/>
  <c r="J387" i="1"/>
  <c r="G387" i="1"/>
  <c r="E387" i="1"/>
  <c r="J386" i="1"/>
  <c r="G386" i="1"/>
  <c r="E386" i="1"/>
  <c r="J385" i="1"/>
  <c r="G385" i="1"/>
  <c r="E385" i="1"/>
  <c r="J384" i="1"/>
  <c r="G384" i="1"/>
  <c r="E384" i="1"/>
  <c r="J383" i="1"/>
  <c r="G383" i="1"/>
  <c r="E383" i="1"/>
  <c r="J382" i="1"/>
  <c r="G382" i="1"/>
  <c r="E382" i="1"/>
  <c r="J381" i="1"/>
  <c r="G381" i="1"/>
  <c r="H333" i="1" s="1"/>
  <c r="E381" i="1"/>
  <c r="F332" i="1" s="1"/>
  <c r="J380" i="1"/>
  <c r="G380" i="1"/>
  <c r="E380" i="1"/>
  <c r="J379" i="1"/>
  <c r="G379" i="1"/>
  <c r="E379" i="1"/>
  <c r="J378" i="1"/>
  <c r="G378" i="1"/>
  <c r="H330" i="1" s="1"/>
  <c r="E378" i="1"/>
  <c r="J377" i="1"/>
  <c r="G377" i="1"/>
  <c r="E377" i="1"/>
  <c r="J376" i="1"/>
  <c r="G376" i="1"/>
  <c r="E376" i="1"/>
  <c r="J375" i="1"/>
  <c r="G375" i="1"/>
  <c r="E375" i="1"/>
  <c r="J374" i="1"/>
  <c r="G374" i="1"/>
  <c r="E374" i="1"/>
  <c r="J373" i="1"/>
  <c r="G373" i="1"/>
  <c r="H325" i="1" s="1"/>
  <c r="E373" i="1"/>
  <c r="F324" i="1" s="1"/>
  <c r="J372" i="1"/>
  <c r="G372" i="1"/>
  <c r="E372" i="1"/>
  <c r="J371" i="1"/>
  <c r="G371" i="1"/>
  <c r="E371" i="1"/>
  <c r="J370" i="1"/>
  <c r="G370" i="1"/>
  <c r="H322" i="1" s="1"/>
  <c r="E370" i="1"/>
  <c r="J369" i="1"/>
  <c r="G369" i="1"/>
  <c r="E369" i="1"/>
  <c r="J368" i="1"/>
  <c r="G368" i="1"/>
  <c r="E368" i="1"/>
  <c r="J367" i="1"/>
  <c r="G367" i="1"/>
  <c r="E367" i="1"/>
  <c r="J366" i="1"/>
  <c r="G366" i="1"/>
  <c r="E366" i="1"/>
  <c r="J365" i="1"/>
  <c r="G365" i="1"/>
  <c r="H317" i="1" s="1"/>
  <c r="E365" i="1"/>
  <c r="F316" i="1" s="1"/>
  <c r="J364" i="1"/>
  <c r="G364" i="1"/>
  <c r="E364" i="1"/>
  <c r="J363" i="1"/>
  <c r="G363" i="1"/>
  <c r="E363" i="1"/>
  <c r="J362" i="1"/>
  <c r="G362" i="1"/>
  <c r="E362" i="1"/>
  <c r="J361" i="1"/>
  <c r="G361" i="1"/>
  <c r="E361" i="1"/>
  <c r="J360" i="1"/>
  <c r="G360" i="1"/>
  <c r="E360" i="1"/>
  <c r="J359" i="1"/>
  <c r="G359" i="1"/>
  <c r="E359" i="1"/>
  <c r="J358" i="1"/>
  <c r="G358" i="1"/>
  <c r="E358" i="1"/>
  <c r="J357" i="1"/>
  <c r="G357" i="1"/>
  <c r="H309" i="1" s="1"/>
  <c r="E357" i="1"/>
  <c r="F308" i="1" s="1"/>
  <c r="J356" i="1"/>
  <c r="G356" i="1"/>
  <c r="E356" i="1"/>
  <c r="J355" i="1"/>
  <c r="G355" i="1"/>
  <c r="E355" i="1"/>
  <c r="J354" i="1"/>
  <c r="G354" i="1"/>
  <c r="H306" i="1" s="1"/>
  <c r="E354" i="1"/>
  <c r="J353" i="1"/>
  <c r="G353" i="1"/>
  <c r="E353" i="1"/>
  <c r="J352" i="1"/>
  <c r="G352" i="1"/>
  <c r="E352" i="1"/>
  <c r="J351" i="1"/>
  <c r="G351" i="1"/>
  <c r="E351" i="1"/>
  <c r="J350" i="1"/>
  <c r="G350" i="1"/>
  <c r="E350" i="1"/>
  <c r="J349" i="1"/>
  <c r="G349" i="1"/>
  <c r="H301" i="1" s="1"/>
  <c r="E349" i="1"/>
  <c r="F300" i="1" s="1"/>
  <c r="J348" i="1"/>
  <c r="G348" i="1"/>
  <c r="E348" i="1"/>
  <c r="J347" i="1"/>
  <c r="G347" i="1"/>
  <c r="E347" i="1"/>
  <c r="J346" i="1"/>
  <c r="H346" i="1"/>
  <c r="G346" i="1"/>
  <c r="E346" i="1"/>
  <c r="J345" i="1"/>
  <c r="G345" i="1"/>
  <c r="F345" i="1"/>
  <c r="E345" i="1"/>
  <c r="J344" i="1"/>
  <c r="G344" i="1"/>
  <c r="F344" i="1"/>
  <c r="E344" i="1"/>
  <c r="J343" i="1"/>
  <c r="H343" i="1"/>
  <c r="G343" i="1"/>
  <c r="E343" i="1"/>
  <c r="J342" i="1"/>
  <c r="G342" i="1"/>
  <c r="H344" i="1" s="1"/>
  <c r="E342" i="1"/>
  <c r="F343" i="1" s="1"/>
  <c r="J341" i="1"/>
  <c r="G341" i="1"/>
  <c r="E341" i="1"/>
  <c r="F342" i="1" s="1"/>
  <c r="J340" i="1"/>
  <c r="G340" i="1"/>
  <c r="H342" i="1" s="1"/>
  <c r="E340" i="1"/>
  <c r="F341" i="1" s="1"/>
  <c r="J339" i="1"/>
  <c r="G339" i="1"/>
  <c r="F339" i="1"/>
  <c r="E339" i="1"/>
  <c r="J338" i="1"/>
  <c r="H338" i="1"/>
  <c r="G338" i="1"/>
  <c r="H340" i="1" s="1"/>
  <c r="E338" i="1"/>
  <c r="J337" i="1"/>
  <c r="G337" i="1"/>
  <c r="F337" i="1"/>
  <c r="E337" i="1"/>
  <c r="J336" i="1"/>
  <c r="G336" i="1"/>
  <c r="F336" i="1"/>
  <c r="E336" i="1"/>
  <c r="J335" i="1"/>
  <c r="H335" i="1"/>
  <c r="G335" i="1"/>
  <c r="E335" i="1"/>
  <c r="J334" i="1"/>
  <c r="G334" i="1"/>
  <c r="H336" i="1" s="1"/>
  <c r="E334" i="1"/>
  <c r="F335" i="1" s="1"/>
  <c r="J333" i="1"/>
  <c r="G333" i="1"/>
  <c r="E333" i="1"/>
  <c r="F334" i="1" s="1"/>
  <c r="J332" i="1"/>
  <c r="G332" i="1"/>
  <c r="H334" i="1" s="1"/>
  <c r="E332" i="1"/>
  <c r="F333" i="1" s="1"/>
  <c r="J331" i="1"/>
  <c r="G331" i="1"/>
  <c r="F331" i="1"/>
  <c r="E331" i="1"/>
  <c r="J330" i="1"/>
  <c r="G330" i="1"/>
  <c r="H332" i="1" s="1"/>
  <c r="E330" i="1"/>
  <c r="J329" i="1"/>
  <c r="G329" i="1"/>
  <c r="H331" i="1" s="1"/>
  <c r="F329" i="1"/>
  <c r="E329" i="1"/>
  <c r="J328" i="1"/>
  <c r="G328" i="1"/>
  <c r="F328" i="1"/>
  <c r="E328" i="1"/>
  <c r="J327" i="1"/>
  <c r="H327" i="1"/>
  <c r="G327" i="1"/>
  <c r="E327" i="1"/>
  <c r="J326" i="1"/>
  <c r="G326" i="1"/>
  <c r="H328" i="1" s="1"/>
  <c r="E326" i="1"/>
  <c r="F327" i="1" s="1"/>
  <c r="J325" i="1"/>
  <c r="G325" i="1"/>
  <c r="E325" i="1"/>
  <c r="F326" i="1" s="1"/>
  <c r="J324" i="1"/>
  <c r="G324" i="1"/>
  <c r="H326" i="1" s="1"/>
  <c r="E324" i="1"/>
  <c r="F325" i="1" s="1"/>
  <c r="J323" i="1"/>
  <c r="G323" i="1"/>
  <c r="F323" i="1"/>
  <c r="E323" i="1"/>
  <c r="J322" i="1"/>
  <c r="G322" i="1"/>
  <c r="H324" i="1" s="1"/>
  <c r="E322" i="1"/>
  <c r="J321" i="1"/>
  <c r="G321" i="1"/>
  <c r="H323" i="1" s="1"/>
  <c r="F321" i="1"/>
  <c r="E321" i="1"/>
  <c r="J320" i="1"/>
  <c r="G320" i="1"/>
  <c r="F320" i="1"/>
  <c r="E320" i="1"/>
  <c r="J319" i="1"/>
  <c r="H319" i="1"/>
  <c r="G319" i="1"/>
  <c r="E319" i="1"/>
  <c r="J318" i="1"/>
  <c r="G318" i="1"/>
  <c r="H320" i="1" s="1"/>
  <c r="E318" i="1"/>
  <c r="F319" i="1" s="1"/>
  <c r="J317" i="1"/>
  <c r="G317" i="1"/>
  <c r="E317" i="1"/>
  <c r="F318" i="1" s="1"/>
  <c r="J316" i="1"/>
  <c r="G316" i="1"/>
  <c r="H318" i="1" s="1"/>
  <c r="E316" i="1"/>
  <c r="F317" i="1" s="1"/>
  <c r="J315" i="1"/>
  <c r="G315" i="1"/>
  <c r="F315" i="1"/>
  <c r="E315" i="1"/>
  <c r="J314" i="1"/>
  <c r="H314" i="1"/>
  <c r="G314" i="1"/>
  <c r="H316" i="1" s="1"/>
  <c r="E314" i="1"/>
  <c r="J313" i="1"/>
  <c r="G313" i="1"/>
  <c r="H315" i="1" s="1"/>
  <c r="F313" i="1"/>
  <c r="E313" i="1"/>
  <c r="J312" i="1"/>
  <c r="G312" i="1"/>
  <c r="F312" i="1"/>
  <c r="E312" i="1"/>
  <c r="J311" i="1"/>
  <c r="H311" i="1"/>
  <c r="G311" i="1"/>
  <c r="E311" i="1"/>
  <c r="J310" i="1"/>
  <c r="G310" i="1"/>
  <c r="H312" i="1" s="1"/>
  <c r="E310" i="1"/>
  <c r="F311" i="1" s="1"/>
  <c r="J309" i="1"/>
  <c r="G309" i="1"/>
  <c r="E309" i="1"/>
  <c r="F310" i="1" s="1"/>
  <c r="J308" i="1"/>
  <c r="G308" i="1"/>
  <c r="H310" i="1" s="1"/>
  <c r="E308" i="1"/>
  <c r="F309" i="1" s="1"/>
  <c r="J307" i="1"/>
  <c r="G307" i="1"/>
  <c r="F307" i="1"/>
  <c r="E307" i="1"/>
  <c r="J306" i="1"/>
  <c r="G306" i="1"/>
  <c r="H308" i="1" s="1"/>
  <c r="E306" i="1"/>
  <c r="J305" i="1"/>
  <c r="G305" i="1"/>
  <c r="H307" i="1" s="1"/>
  <c r="F305" i="1"/>
  <c r="E305" i="1"/>
  <c r="F306" i="1" s="1"/>
  <c r="J304" i="1"/>
  <c r="G304" i="1"/>
  <c r="F304" i="1"/>
  <c r="E304" i="1"/>
  <c r="J303" i="1"/>
  <c r="H303" i="1"/>
  <c r="G303" i="1"/>
  <c r="E303" i="1"/>
  <c r="J302" i="1"/>
  <c r="G302" i="1"/>
  <c r="H304" i="1" s="1"/>
  <c r="E302" i="1"/>
  <c r="F303" i="1" s="1"/>
  <c r="J301" i="1"/>
  <c r="G301" i="1"/>
  <c r="E301" i="1"/>
  <c r="F302" i="1" s="1"/>
  <c r="J300" i="1"/>
  <c r="G300" i="1"/>
  <c r="H302" i="1" s="1"/>
  <c r="E300" i="1"/>
  <c r="F301" i="1" s="1"/>
  <c r="J299" i="1"/>
  <c r="G299" i="1"/>
  <c r="F299" i="1"/>
  <c r="E299" i="1"/>
  <c r="J298" i="1"/>
  <c r="H298" i="1"/>
  <c r="G298" i="1"/>
  <c r="H300" i="1" s="1"/>
  <c r="E298" i="1"/>
  <c r="J297" i="1"/>
  <c r="G297" i="1"/>
  <c r="H299" i="1" s="1"/>
  <c r="F297" i="1"/>
  <c r="E297" i="1"/>
  <c r="F298" i="1" s="1"/>
  <c r="J296" i="1"/>
  <c r="G296" i="1"/>
  <c r="E296" i="1"/>
  <c r="J295" i="1"/>
  <c r="G295" i="1"/>
  <c r="H297" i="1" s="1"/>
  <c r="E295" i="1"/>
  <c r="J294" i="1"/>
  <c r="G294" i="1"/>
  <c r="H296" i="1" s="1"/>
  <c r="F294" i="1"/>
  <c r="E294" i="1"/>
  <c r="F295" i="1" s="1"/>
  <c r="J293" i="1"/>
  <c r="H293" i="1"/>
  <c r="G293" i="1"/>
  <c r="E293" i="1"/>
  <c r="J292" i="1"/>
  <c r="G292" i="1"/>
  <c r="H294" i="1" s="1"/>
  <c r="F292" i="1"/>
  <c r="E292" i="1"/>
  <c r="F293" i="1" s="1"/>
  <c r="J291" i="1"/>
  <c r="G291" i="1"/>
  <c r="F291" i="1"/>
  <c r="E291" i="1"/>
  <c r="J290" i="1"/>
  <c r="H290" i="1"/>
  <c r="G290" i="1"/>
  <c r="H292" i="1" s="1"/>
  <c r="E290" i="1"/>
  <c r="J289" i="1"/>
  <c r="G289" i="1"/>
  <c r="H341" i="1" s="1"/>
  <c r="F289" i="1"/>
  <c r="E289" i="1"/>
  <c r="F290" i="1" s="1"/>
  <c r="J288" i="1"/>
  <c r="G288" i="1"/>
  <c r="E288" i="1"/>
  <c r="J287" i="1"/>
  <c r="G287" i="1"/>
  <c r="H289" i="1" s="1"/>
  <c r="E287" i="1"/>
  <c r="J286" i="1"/>
  <c r="G286" i="1"/>
  <c r="H288" i="1" s="1"/>
  <c r="F286" i="1"/>
  <c r="E286" i="1"/>
  <c r="F287" i="1" s="1"/>
  <c r="J285" i="1"/>
  <c r="H285" i="1"/>
  <c r="G285" i="1"/>
  <c r="E285" i="1"/>
  <c r="J284" i="1"/>
  <c r="G284" i="1"/>
  <c r="H286" i="1" s="1"/>
  <c r="F284" i="1"/>
  <c r="E284" i="1"/>
  <c r="F285" i="1" s="1"/>
  <c r="J283" i="1"/>
  <c r="G283" i="1"/>
  <c r="F283" i="1"/>
  <c r="E283" i="1"/>
  <c r="J282" i="1"/>
  <c r="H282" i="1"/>
  <c r="G282" i="1"/>
  <c r="H284" i="1" s="1"/>
  <c r="E282" i="1"/>
  <c r="J281" i="1"/>
  <c r="G281" i="1"/>
  <c r="H283" i="1" s="1"/>
  <c r="F281" i="1"/>
  <c r="E281" i="1"/>
  <c r="F282" i="1" s="1"/>
  <c r="J280" i="1"/>
  <c r="G280" i="1"/>
  <c r="E280" i="1"/>
  <c r="J279" i="1"/>
  <c r="G279" i="1"/>
  <c r="H281" i="1" s="1"/>
  <c r="E279" i="1"/>
  <c r="J278" i="1"/>
  <c r="G278" i="1"/>
  <c r="H280" i="1" s="1"/>
  <c r="F278" i="1"/>
  <c r="E278" i="1"/>
  <c r="F279" i="1" s="1"/>
  <c r="J277" i="1"/>
  <c r="H277" i="1"/>
  <c r="G277" i="1"/>
  <c r="E277" i="1"/>
  <c r="J276" i="1"/>
  <c r="G276" i="1"/>
  <c r="H278" i="1" s="1"/>
  <c r="F276" i="1"/>
  <c r="E276" i="1"/>
  <c r="F277" i="1" s="1"/>
  <c r="J275" i="1"/>
  <c r="G275" i="1"/>
  <c r="F275" i="1"/>
  <c r="E275" i="1"/>
  <c r="J274" i="1"/>
  <c r="H274" i="1"/>
  <c r="G274" i="1"/>
  <c r="H276" i="1" s="1"/>
  <c r="E274" i="1"/>
  <c r="J273" i="1"/>
  <c r="G273" i="1"/>
  <c r="H275" i="1" s="1"/>
  <c r="F273" i="1"/>
  <c r="E273" i="1"/>
  <c r="F274" i="1" s="1"/>
  <c r="J272" i="1"/>
  <c r="G272" i="1"/>
  <c r="E272" i="1"/>
  <c r="J271" i="1"/>
  <c r="G271" i="1"/>
  <c r="H273" i="1" s="1"/>
  <c r="E271" i="1"/>
  <c r="J270" i="1"/>
  <c r="G270" i="1"/>
  <c r="H272" i="1" s="1"/>
  <c r="F270" i="1"/>
  <c r="E270" i="1"/>
  <c r="F271" i="1" s="1"/>
  <c r="J269" i="1"/>
  <c r="H269" i="1"/>
  <c r="G269" i="1"/>
  <c r="E269" i="1"/>
  <c r="J268" i="1"/>
  <c r="G268" i="1"/>
  <c r="H270" i="1" s="1"/>
  <c r="F268" i="1"/>
  <c r="E268" i="1"/>
  <c r="F269" i="1" s="1"/>
  <c r="J267" i="1"/>
  <c r="G267" i="1"/>
  <c r="F267" i="1"/>
  <c r="E267" i="1"/>
  <c r="J266" i="1"/>
  <c r="H266" i="1"/>
  <c r="G266" i="1"/>
  <c r="H268" i="1" s="1"/>
  <c r="E266" i="1"/>
  <c r="J265" i="1"/>
  <c r="G265" i="1"/>
  <c r="H267" i="1" s="1"/>
  <c r="F265" i="1"/>
  <c r="E265" i="1"/>
  <c r="F266" i="1" s="1"/>
  <c r="J264" i="1"/>
  <c r="G264" i="1"/>
  <c r="E264" i="1"/>
  <c r="J263" i="1"/>
  <c r="G263" i="1"/>
  <c r="H265" i="1" s="1"/>
  <c r="E263" i="1"/>
  <c r="J262" i="1"/>
  <c r="G262" i="1"/>
  <c r="H264" i="1" s="1"/>
  <c r="F262" i="1"/>
  <c r="E262" i="1"/>
  <c r="F263" i="1" s="1"/>
  <c r="J261" i="1"/>
  <c r="H261" i="1"/>
  <c r="G261" i="1"/>
  <c r="E261" i="1"/>
  <c r="J260" i="1"/>
  <c r="G260" i="1"/>
  <c r="H262" i="1" s="1"/>
  <c r="F260" i="1"/>
  <c r="E260" i="1"/>
  <c r="F261" i="1" s="1"/>
  <c r="J259" i="1"/>
  <c r="G259" i="1"/>
  <c r="F259" i="1"/>
  <c r="E259" i="1"/>
  <c r="J258" i="1"/>
  <c r="H258" i="1"/>
  <c r="G258" i="1"/>
  <c r="H260" i="1" s="1"/>
  <c r="E258" i="1"/>
  <c r="J257" i="1"/>
  <c r="G257" i="1"/>
  <c r="H259" i="1" s="1"/>
  <c r="F257" i="1"/>
  <c r="E257" i="1"/>
  <c r="F258" i="1" s="1"/>
  <c r="J256" i="1"/>
  <c r="G256" i="1"/>
  <c r="E256" i="1"/>
  <c r="J255" i="1"/>
  <c r="G255" i="1"/>
  <c r="H257" i="1" s="1"/>
  <c r="E255" i="1"/>
  <c r="F256" i="1" s="1"/>
  <c r="J254" i="1"/>
  <c r="G254" i="1"/>
  <c r="H256" i="1" s="1"/>
  <c r="F254" i="1"/>
  <c r="E254" i="1"/>
  <c r="F255" i="1" s="1"/>
  <c r="J253" i="1"/>
  <c r="H253" i="1"/>
  <c r="G253" i="1"/>
  <c r="E253" i="1"/>
  <c r="J252" i="1"/>
  <c r="G252" i="1"/>
  <c r="H254" i="1" s="1"/>
  <c r="F252" i="1"/>
  <c r="E252" i="1"/>
  <c r="F253" i="1" s="1"/>
  <c r="J251" i="1"/>
  <c r="G251" i="1"/>
  <c r="F251" i="1"/>
  <c r="E251" i="1"/>
  <c r="J250" i="1"/>
  <c r="H250" i="1"/>
  <c r="G250" i="1"/>
  <c r="H252" i="1" s="1"/>
  <c r="E250" i="1"/>
  <c r="J249" i="1"/>
  <c r="G249" i="1"/>
  <c r="H251" i="1" s="1"/>
  <c r="F249" i="1"/>
  <c r="E249" i="1"/>
  <c r="F250" i="1" s="1"/>
  <c r="J248" i="1"/>
  <c r="G248" i="1"/>
  <c r="E248" i="1"/>
  <c r="J247" i="1"/>
  <c r="G247" i="1"/>
  <c r="H249" i="1" s="1"/>
  <c r="E247" i="1"/>
  <c r="F248" i="1" s="1"/>
  <c r="J246" i="1"/>
  <c r="G246" i="1"/>
  <c r="H248" i="1" s="1"/>
  <c r="F246" i="1"/>
  <c r="E246" i="1"/>
  <c r="F247" i="1" s="1"/>
  <c r="J245" i="1"/>
  <c r="H245" i="1"/>
  <c r="G245" i="1"/>
  <c r="E245" i="1"/>
  <c r="J244" i="1"/>
  <c r="G244" i="1"/>
  <c r="H246" i="1" s="1"/>
  <c r="F244" i="1"/>
  <c r="E244" i="1"/>
  <c r="F245" i="1" s="1"/>
  <c r="J243" i="1"/>
  <c r="G243" i="1"/>
  <c r="F243" i="1"/>
  <c r="E243" i="1"/>
  <c r="J242" i="1"/>
  <c r="H242" i="1"/>
  <c r="G242" i="1"/>
  <c r="H244" i="1" s="1"/>
  <c r="E242" i="1"/>
  <c r="J241" i="1"/>
  <c r="G241" i="1"/>
  <c r="H243" i="1" s="1"/>
  <c r="F241" i="1"/>
  <c r="E241" i="1"/>
  <c r="F242" i="1" s="1"/>
  <c r="J240" i="1"/>
  <c r="G240" i="1"/>
  <c r="E240" i="1"/>
  <c r="J239" i="1"/>
  <c r="H239" i="1"/>
  <c r="G239" i="1"/>
  <c r="H241" i="1" s="1"/>
  <c r="E239" i="1"/>
  <c r="J238" i="1"/>
  <c r="G238" i="1"/>
  <c r="H240" i="1" s="1"/>
  <c r="F238" i="1"/>
  <c r="E238" i="1"/>
  <c r="F239" i="1" s="1"/>
  <c r="J237" i="1"/>
  <c r="H237" i="1"/>
  <c r="G237" i="1"/>
  <c r="E237" i="1"/>
  <c r="J236" i="1"/>
  <c r="G236" i="1"/>
  <c r="H238" i="1" s="1"/>
  <c r="F236" i="1"/>
  <c r="E236" i="1"/>
  <c r="F237" i="1" s="1"/>
  <c r="J235" i="1"/>
  <c r="G235" i="1"/>
  <c r="F235" i="1"/>
  <c r="E235" i="1"/>
  <c r="J234" i="1"/>
  <c r="H234" i="1"/>
  <c r="G234" i="1"/>
  <c r="H236" i="1" s="1"/>
  <c r="E234" i="1"/>
  <c r="J233" i="1"/>
  <c r="G233" i="1"/>
  <c r="H235" i="1" s="1"/>
  <c r="F233" i="1"/>
  <c r="E233" i="1"/>
  <c r="F234" i="1" s="1"/>
  <c r="J232" i="1"/>
  <c r="G232" i="1"/>
  <c r="E232" i="1"/>
  <c r="J231" i="1"/>
  <c r="H231" i="1"/>
  <c r="G231" i="1"/>
  <c r="H233" i="1" s="1"/>
  <c r="E231" i="1"/>
  <c r="J230" i="1"/>
  <c r="G230" i="1"/>
  <c r="H232" i="1" s="1"/>
  <c r="F230" i="1"/>
  <c r="E230" i="1"/>
  <c r="F231" i="1" s="1"/>
  <c r="J229" i="1"/>
  <c r="H229" i="1"/>
  <c r="G229" i="1"/>
  <c r="E229" i="1"/>
  <c r="J228" i="1"/>
  <c r="G228" i="1"/>
  <c r="H230" i="1" s="1"/>
  <c r="F228" i="1"/>
  <c r="E228" i="1"/>
  <c r="F229" i="1" s="1"/>
  <c r="J227" i="1"/>
  <c r="G227" i="1"/>
  <c r="F227" i="1"/>
  <c r="E227" i="1"/>
  <c r="J226" i="1"/>
  <c r="H226" i="1"/>
  <c r="G226" i="1"/>
  <c r="H228" i="1" s="1"/>
  <c r="E226" i="1"/>
  <c r="J225" i="1"/>
  <c r="G225" i="1"/>
  <c r="H227" i="1" s="1"/>
  <c r="F225" i="1"/>
  <c r="E225" i="1"/>
  <c r="F226" i="1" s="1"/>
  <c r="J224" i="1"/>
  <c r="G224" i="1"/>
  <c r="E224" i="1"/>
  <c r="J223" i="1"/>
  <c r="H223" i="1"/>
  <c r="G223" i="1"/>
  <c r="H225" i="1" s="1"/>
  <c r="E223" i="1"/>
  <c r="F224" i="1" s="1"/>
  <c r="J222" i="1"/>
  <c r="G222" i="1"/>
  <c r="H224" i="1" s="1"/>
  <c r="F222" i="1"/>
  <c r="E222" i="1"/>
  <c r="F223" i="1" s="1"/>
  <c r="J221" i="1"/>
  <c r="H221" i="1"/>
  <c r="G221" i="1"/>
  <c r="E221" i="1"/>
  <c r="J220" i="1"/>
  <c r="G220" i="1"/>
  <c r="H222" i="1" s="1"/>
  <c r="F220" i="1"/>
  <c r="E220" i="1"/>
  <c r="F221" i="1" s="1"/>
  <c r="J219" i="1"/>
  <c r="G219" i="1"/>
  <c r="F219" i="1"/>
  <c r="E219" i="1"/>
  <c r="J218" i="1"/>
  <c r="H218" i="1"/>
  <c r="G218" i="1"/>
  <c r="H220" i="1" s="1"/>
  <c r="E218" i="1"/>
  <c r="J217" i="1"/>
  <c r="G217" i="1"/>
  <c r="H219" i="1" s="1"/>
  <c r="F217" i="1"/>
  <c r="E217" i="1"/>
  <c r="J216" i="1"/>
  <c r="G216" i="1"/>
  <c r="E216" i="1"/>
  <c r="J215" i="1"/>
  <c r="H215" i="1"/>
  <c r="G215" i="1"/>
  <c r="H217" i="1" s="1"/>
  <c r="E215" i="1"/>
  <c r="F216" i="1" s="1"/>
  <c r="J214" i="1"/>
  <c r="G214" i="1"/>
  <c r="H216" i="1" s="1"/>
  <c r="F214" i="1"/>
  <c r="E214" i="1"/>
  <c r="F215" i="1" s="1"/>
  <c r="J213" i="1"/>
  <c r="H213" i="1"/>
  <c r="G213" i="1"/>
  <c r="E213" i="1"/>
  <c r="J212" i="1"/>
  <c r="G212" i="1"/>
  <c r="H214" i="1" s="1"/>
  <c r="F212" i="1"/>
  <c r="E212" i="1"/>
  <c r="F213" i="1" s="1"/>
  <c r="J211" i="1"/>
  <c r="G211" i="1"/>
  <c r="F211" i="1"/>
  <c r="E211" i="1"/>
  <c r="J210" i="1"/>
  <c r="H210" i="1"/>
  <c r="G210" i="1"/>
  <c r="H212" i="1" s="1"/>
  <c r="E210" i="1"/>
  <c r="J209" i="1"/>
  <c r="G209" i="1"/>
  <c r="H211" i="1" s="1"/>
  <c r="F209" i="1"/>
  <c r="E209" i="1"/>
  <c r="F210" i="1" s="1"/>
  <c r="J208" i="1"/>
  <c r="G208" i="1"/>
  <c r="E208" i="1"/>
  <c r="J207" i="1"/>
  <c r="H207" i="1"/>
  <c r="G207" i="1"/>
  <c r="H209" i="1" s="1"/>
  <c r="E207" i="1"/>
  <c r="F208" i="1" s="1"/>
  <c r="J206" i="1"/>
  <c r="G206" i="1"/>
  <c r="H208" i="1" s="1"/>
  <c r="F206" i="1"/>
  <c r="E206" i="1"/>
  <c r="F207" i="1" s="1"/>
  <c r="J205" i="1"/>
  <c r="H205" i="1"/>
  <c r="G205" i="1"/>
  <c r="E205" i="1"/>
  <c r="J204" i="1"/>
  <c r="G204" i="1"/>
  <c r="H206" i="1" s="1"/>
  <c r="F204" i="1"/>
  <c r="E204" i="1"/>
  <c r="F205" i="1" s="1"/>
  <c r="J203" i="1"/>
  <c r="G203" i="1"/>
  <c r="F203" i="1"/>
  <c r="E203" i="1"/>
  <c r="J202" i="1"/>
  <c r="H202" i="1"/>
  <c r="G202" i="1"/>
  <c r="H204" i="1" s="1"/>
  <c r="E202" i="1"/>
  <c r="J201" i="1"/>
  <c r="G201" i="1"/>
  <c r="H203" i="1" s="1"/>
  <c r="F201" i="1"/>
  <c r="E201" i="1"/>
  <c r="F202" i="1" s="1"/>
  <c r="J200" i="1"/>
  <c r="G200" i="1"/>
  <c r="E200" i="1"/>
  <c r="J199" i="1"/>
  <c r="H199" i="1"/>
  <c r="G199" i="1"/>
  <c r="H201" i="1" s="1"/>
  <c r="E199" i="1"/>
  <c r="F200" i="1" s="1"/>
  <c r="J198" i="1"/>
  <c r="G198" i="1"/>
  <c r="H200" i="1" s="1"/>
  <c r="F198" i="1"/>
  <c r="E198" i="1"/>
  <c r="F199" i="1" s="1"/>
  <c r="J197" i="1"/>
  <c r="H197" i="1"/>
  <c r="G197" i="1"/>
  <c r="E197" i="1"/>
  <c r="J196" i="1"/>
  <c r="G196" i="1"/>
  <c r="H198" i="1" s="1"/>
  <c r="F196" i="1"/>
  <c r="E196" i="1"/>
  <c r="F197" i="1" s="1"/>
  <c r="J195" i="1"/>
  <c r="G195" i="1"/>
  <c r="F195" i="1"/>
  <c r="E195" i="1"/>
  <c r="J194" i="1"/>
  <c r="H194" i="1"/>
  <c r="G194" i="1"/>
  <c r="E194" i="1"/>
  <c r="J193" i="1"/>
  <c r="G193" i="1"/>
  <c r="H195" i="1" s="1"/>
  <c r="F193" i="1"/>
  <c r="E193" i="1"/>
  <c r="F194" i="1" s="1"/>
  <c r="J192" i="1"/>
  <c r="G192" i="1"/>
  <c r="E192" i="1"/>
  <c r="J191" i="1"/>
  <c r="H191" i="1"/>
  <c r="G191" i="1"/>
  <c r="H193" i="1" s="1"/>
  <c r="E191" i="1"/>
  <c r="F192" i="1" s="1"/>
  <c r="J190" i="1"/>
  <c r="G190" i="1"/>
  <c r="H192" i="1" s="1"/>
  <c r="F190" i="1"/>
  <c r="E190" i="1"/>
  <c r="F191" i="1" s="1"/>
  <c r="J189" i="1"/>
  <c r="H189" i="1"/>
  <c r="G189" i="1"/>
  <c r="E189" i="1"/>
  <c r="J188" i="1"/>
  <c r="G188" i="1"/>
  <c r="H190" i="1" s="1"/>
  <c r="F188" i="1"/>
  <c r="E188" i="1"/>
  <c r="J187" i="1"/>
  <c r="G187" i="1"/>
  <c r="F187" i="1"/>
  <c r="E187" i="1"/>
  <c r="J186" i="1"/>
  <c r="H186" i="1"/>
  <c r="G186" i="1"/>
  <c r="E186" i="1"/>
  <c r="J185" i="1"/>
  <c r="G185" i="1"/>
  <c r="H187" i="1" s="1"/>
  <c r="F185" i="1"/>
  <c r="E185" i="1"/>
  <c r="F186" i="1" s="1"/>
  <c r="J184" i="1"/>
  <c r="G184" i="1"/>
  <c r="E184" i="1"/>
  <c r="J183" i="1"/>
  <c r="H183" i="1"/>
  <c r="G183" i="1"/>
  <c r="H185" i="1" s="1"/>
  <c r="E183" i="1"/>
  <c r="F184" i="1" s="1"/>
  <c r="J182" i="1"/>
  <c r="G182" i="1"/>
  <c r="H184" i="1" s="1"/>
  <c r="F182" i="1"/>
  <c r="E182" i="1"/>
  <c r="F183" i="1" s="1"/>
  <c r="J181" i="1"/>
  <c r="H181" i="1"/>
  <c r="G181" i="1"/>
  <c r="E181" i="1"/>
  <c r="J180" i="1"/>
  <c r="G180" i="1"/>
  <c r="H182" i="1" s="1"/>
  <c r="F180" i="1"/>
  <c r="E180" i="1"/>
  <c r="J179" i="1"/>
  <c r="G179" i="1"/>
  <c r="F179" i="1"/>
  <c r="E179" i="1"/>
  <c r="J178" i="1"/>
  <c r="H178" i="1"/>
  <c r="G178" i="1"/>
  <c r="H180" i="1" s="1"/>
  <c r="E178" i="1"/>
  <c r="J177" i="1"/>
  <c r="G177" i="1"/>
  <c r="H179" i="1" s="1"/>
  <c r="F177" i="1"/>
  <c r="E177" i="1"/>
  <c r="F178" i="1" s="1"/>
  <c r="J176" i="1"/>
  <c r="G176" i="1"/>
  <c r="E176" i="1"/>
  <c r="J175" i="1"/>
  <c r="H175" i="1"/>
  <c r="G175" i="1"/>
  <c r="H177" i="1" s="1"/>
  <c r="E175" i="1"/>
  <c r="F176" i="1" s="1"/>
  <c r="J174" i="1"/>
  <c r="G174" i="1"/>
  <c r="H176" i="1" s="1"/>
  <c r="F174" i="1"/>
  <c r="E174" i="1"/>
  <c r="F175" i="1" s="1"/>
  <c r="J173" i="1"/>
  <c r="H173" i="1"/>
  <c r="G173" i="1"/>
  <c r="E173" i="1"/>
  <c r="J172" i="1"/>
  <c r="G172" i="1"/>
  <c r="H174" i="1" s="1"/>
  <c r="F172" i="1"/>
  <c r="E172" i="1"/>
  <c r="F173" i="1" s="1"/>
  <c r="J171" i="1"/>
  <c r="G171" i="1"/>
  <c r="F171" i="1"/>
  <c r="E171" i="1"/>
  <c r="J170" i="1"/>
  <c r="H170" i="1"/>
  <c r="G170" i="1"/>
  <c r="H172" i="1" s="1"/>
  <c r="E170" i="1"/>
  <c r="J169" i="1"/>
  <c r="G169" i="1"/>
  <c r="H171" i="1" s="1"/>
  <c r="F169" i="1"/>
  <c r="E169" i="1"/>
  <c r="F170" i="1" s="1"/>
  <c r="J168" i="1"/>
  <c r="G168" i="1"/>
  <c r="E168" i="1"/>
  <c r="J167" i="1"/>
  <c r="G167" i="1"/>
  <c r="H169" i="1" s="1"/>
  <c r="E167" i="1"/>
  <c r="J166" i="1"/>
  <c r="G166" i="1"/>
  <c r="H168" i="1" s="1"/>
  <c r="F166" i="1"/>
  <c r="E166" i="1"/>
  <c r="F167" i="1" s="1"/>
  <c r="J165" i="1"/>
  <c r="H165" i="1"/>
  <c r="G165" i="1"/>
  <c r="E165" i="1"/>
  <c r="J164" i="1"/>
  <c r="G164" i="1"/>
  <c r="H166" i="1" s="1"/>
  <c r="F164" i="1"/>
  <c r="E164" i="1"/>
  <c r="F165" i="1" s="1"/>
  <c r="J163" i="1"/>
  <c r="G163" i="1"/>
  <c r="F163" i="1"/>
  <c r="E163" i="1"/>
  <c r="J162" i="1"/>
  <c r="H162" i="1"/>
  <c r="G162" i="1"/>
  <c r="H164" i="1" s="1"/>
  <c r="E162" i="1"/>
  <c r="J161" i="1"/>
  <c r="G161" i="1"/>
  <c r="H163" i="1" s="1"/>
  <c r="F161" i="1"/>
  <c r="E161" i="1"/>
  <c r="F162" i="1" s="1"/>
  <c r="J160" i="1"/>
  <c r="G160" i="1"/>
  <c r="E160" i="1"/>
  <c r="J159" i="1"/>
  <c r="H159" i="1"/>
  <c r="G159" i="1"/>
  <c r="H161" i="1" s="1"/>
  <c r="E159" i="1"/>
  <c r="F160" i="1" s="1"/>
  <c r="J158" i="1"/>
  <c r="G158" i="1"/>
  <c r="H160" i="1" s="1"/>
  <c r="F158" i="1"/>
  <c r="E158" i="1"/>
  <c r="F159" i="1" s="1"/>
  <c r="J157" i="1"/>
  <c r="H157" i="1"/>
  <c r="G157" i="1"/>
  <c r="E157" i="1"/>
  <c r="J156" i="1"/>
  <c r="G156" i="1"/>
  <c r="H158" i="1" s="1"/>
  <c r="F156" i="1"/>
  <c r="E156" i="1"/>
  <c r="F157" i="1" s="1"/>
  <c r="J155" i="1"/>
  <c r="G155" i="1"/>
  <c r="F155" i="1"/>
  <c r="E155" i="1"/>
  <c r="J154" i="1"/>
  <c r="H154" i="1"/>
  <c r="G154" i="1"/>
  <c r="H156" i="1" s="1"/>
  <c r="E154" i="1"/>
  <c r="J153" i="1"/>
  <c r="G153" i="1"/>
  <c r="H155" i="1" s="1"/>
  <c r="F153" i="1"/>
  <c r="E153" i="1"/>
  <c r="F154" i="1" s="1"/>
  <c r="J152" i="1"/>
  <c r="G152" i="1"/>
  <c r="E152" i="1"/>
  <c r="J151" i="1"/>
  <c r="H151" i="1"/>
  <c r="G151" i="1"/>
  <c r="H153" i="1" s="1"/>
  <c r="E151" i="1"/>
  <c r="J150" i="1"/>
  <c r="G150" i="1"/>
  <c r="H152" i="1" s="1"/>
  <c r="F150" i="1"/>
  <c r="E150" i="1"/>
  <c r="F151" i="1" s="1"/>
  <c r="J149" i="1"/>
  <c r="H149" i="1"/>
  <c r="G149" i="1"/>
  <c r="E149" i="1"/>
  <c r="J148" i="1"/>
  <c r="G148" i="1"/>
  <c r="H150" i="1" s="1"/>
  <c r="F148" i="1"/>
  <c r="E148" i="1"/>
  <c r="F149" i="1" s="1"/>
  <c r="J147" i="1"/>
  <c r="G147" i="1"/>
  <c r="F147" i="1"/>
  <c r="E147" i="1"/>
  <c r="J146" i="1"/>
  <c r="H146" i="1"/>
  <c r="G146" i="1"/>
  <c r="H148" i="1" s="1"/>
  <c r="E146" i="1"/>
  <c r="J145" i="1"/>
  <c r="G145" i="1"/>
  <c r="H147" i="1" s="1"/>
  <c r="F145" i="1"/>
  <c r="E145" i="1"/>
  <c r="F146" i="1" s="1"/>
  <c r="J144" i="1"/>
  <c r="G144" i="1"/>
  <c r="E144" i="1"/>
  <c r="J143" i="1"/>
  <c r="H143" i="1"/>
  <c r="G143" i="1"/>
  <c r="H145" i="1" s="1"/>
  <c r="E143" i="1"/>
  <c r="F144" i="1" s="1"/>
  <c r="J142" i="1"/>
  <c r="G142" i="1"/>
  <c r="H144" i="1" s="1"/>
  <c r="F142" i="1"/>
  <c r="E142" i="1"/>
  <c r="F143" i="1" s="1"/>
  <c r="J141" i="1"/>
  <c r="H141" i="1"/>
  <c r="G141" i="1"/>
  <c r="E141" i="1"/>
  <c r="J140" i="1"/>
  <c r="G140" i="1"/>
  <c r="H142" i="1" s="1"/>
  <c r="F140" i="1"/>
  <c r="E140" i="1"/>
  <c r="F141" i="1" s="1"/>
  <c r="J139" i="1"/>
  <c r="G139" i="1"/>
  <c r="F139" i="1"/>
  <c r="E139" i="1"/>
  <c r="J138" i="1"/>
  <c r="H138" i="1"/>
  <c r="G138" i="1"/>
  <c r="E138" i="1"/>
  <c r="J137" i="1"/>
  <c r="G137" i="1"/>
  <c r="H139" i="1" s="1"/>
  <c r="F137" i="1"/>
  <c r="E137" i="1"/>
  <c r="F138" i="1" s="1"/>
  <c r="J136" i="1"/>
  <c r="G136" i="1"/>
  <c r="E136" i="1"/>
  <c r="J135" i="1"/>
  <c r="G135" i="1"/>
  <c r="H137" i="1" s="1"/>
  <c r="E135" i="1"/>
  <c r="F136" i="1" s="1"/>
  <c r="J134" i="1"/>
  <c r="G134" i="1"/>
  <c r="H136" i="1" s="1"/>
  <c r="F134" i="1"/>
  <c r="E134" i="1"/>
  <c r="F135" i="1" s="1"/>
  <c r="J133" i="1"/>
  <c r="H133" i="1"/>
  <c r="G133" i="1"/>
  <c r="E133" i="1"/>
  <c r="J132" i="1"/>
  <c r="G132" i="1"/>
  <c r="H134" i="1" s="1"/>
  <c r="F132" i="1"/>
  <c r="E132" i="1"/>
  <c r="F133" i="1" s="1"/>
  <c r="J131" i="1"/>
  <c r="G131" i="1"/>
  <c r="F131" i="1"/>
  <c r="E131" i="1"/>
  <c r="J130" i="1"/>
  <c r="H130" i="1"/>
  <c r="G130" i="1"/>
  <c r="E130" i="1"/>
  <c r="J129" i="1"/>
  <c r="G129" i="1"/>
  <c r="H131" i="1" s="1"/>
  <c r="F129" i="1"/>
  <c r="E129" i="1"/>
  <c r="F130" i="1" s="1"/>
  <c r="J128" i="1"/>
  <c r="G128" i="1"/>
  <c r="E128" i="1"/>
  <c r="J127" i="1"/>
  <c r="H127" i="1"/>
  <c r="G127" i="1"/>
  <c r="H129" i="1" s="1"/>
  <c r="E127" i="1"/>
  <c r="F128" i="1" s="1"/>
  <c r="J126" i="1"/>
  <c r="G126" i="1"/>
  <c r="H128" i="1" s="1"/>
  <c r="F126" i="1"/>
  <c r="E126" i="1"/>
  <c r="F127" i="1" s="1"/>
  <c r="J125" i="1"/>
  <c r="H125" i="1"/>
  <c r="G125" i="1"/>
  <c r="E125" i="1"/>
  <c r="J124" i="1"/>
  <c r="G124" i="1"/>
  <c r="H126" i="1" s="1"/>
  <c r="F124" i="1"/>
  <c r="E124" i="1"/>
  <c r="J123" i="1"/>
  <c r="G123" i="1"/>
  <c r="F123" i="1"/>
  <c r="E123" i="1"/>
  <c r="J122" i="1"/>
  <c r="H122" i="1"/>
  <c r="G122" i="1"/>
  <c r="E122" i="1"/>
  <c r="J121" i="1"/>
  <c r="G121" i="1"/>
  <c r="H123" i="1" s="1"/>
  <c r="F121" i="1"/>
  <c r="E121" i="1"/>
  <c r="F122" i="1" s="1"/>
  <c r="J120" i="1"/>
  <c r="G120" i="1"/>
  <c r="E120" i="1"/>
  <c r="J119" i="1"/>
  <c r="H119" i="1"/>
  <c r="G119" i="1"/>
  <c r="H121" i="1" s="1"/>
  <c r="E119" i="1"/>
  <c r="J118" i="1"/>
  <c r="G118" i="1"/>
  <c r="H120" i="1" s="1"/>
  <c r="F118" i="1"/>
  <c r="E118" i="1"/>
  <c r="F119" i="1" s="1"/>
  <c r="J117" i="1"/>
  <c r="H117" i="1"/>
  <c r="G117" i="1"/>
  <c r="E117" i="1"/>
  <c r="J116" i="1"/>
  <c r="G116" i="1"/>
  <c r="H118" i="1" s="1"/>
  <c r="F116" i="1"/>
  <c r="E116" i="1"/>
  <c r="J115" i="1"/>
  <c r="G115" i="1"/>
  <c r="F115" i="1"/>
  <c r="E115" i="1"/>
  <c r="J114" i="1"/>
  <c r="H114" i="1"/>
  <c r="G114" i="1"/>
  <c r="H116" i="1" s="1"/>
  <c r="E114" i="1"/>
  <c r="J113" i="1"/>
  <c r="G113" i="1"/>
  <c r="H115" i="1" s="1"/>
  <c r="F113" i="1"/>
  <c r="E113" i="1"/>
  <c r="F114" i="1" s="1"/>
  <c r="J112" i="1"/>
  <c r="G112" i="1"/>
  <c r="E112" i="1"/>
  <c r="J111" i="1"/>
  <c r="H111" i="1"/>
  <c r="G111" i="1"/>
  <c r="H113" i="1" s="1"/>
  <c r="E111" i="1"/>
  <c r="F112" i="1" s="1"/>
  <c r="J110" i="1"/>
  <c r="G110" i="1"/>
  <c r="H112" i="1" s="1"/>
  <c r="F110" i="1"/>
  <c r="E110" i="1"/>
  <c r="F111" i="1" s="1"/>
  <c r="J109" i="1"/>
  <c r="H109" i="1"/>
  <c r="G109" i="1"/>
  <c r="E109" i="1"/>
  <c r="J108" i="1"/>
  <c r="G108" i="1"/>
  <c r="H110" i="1" s="1"/>
  <c r="F108" i="1"/>
  <c r="E108" i="1"/>
  <c r="F109" i="1" s="1"/>
  <c r="J107" i="1"/>
  <c r="G107" i="1"/>
  <c r="F107" i="1"/>
  <c r="E107" i="1"/>
  <c r="J106" i="1"/>
  <c r="H106" i="1"/>
  <c r="G106" i="1"/>
  <c r="H108" i="1" s="1"/>
  <c r="E106" i="1"/>
  <c r="J105" i="1"/>
  <c r="G105" i="1"/>
  <c r="H107" i="1" s="1"/>
  <c r="F105" i="1"/>
  <c r="E105" i="1"/>
  <c r="F106" i="1" s="1"/>
  <c r="J104" i="1"/>
  <c r="G104" i="1"/>
  <c r="E104" i="1"/>
  <c r="J103" i="1"/>
  <c r="G103" i="1"/>
  <c r="H105" i="1" s="1"/>
  <c r="E103" i="1"/>
  <c r="F104" i="1" s="1"/>
  <c r="J102" i="1"/>
  <c r="G102" i="1"/>
  <c r="H104" i="1" s="1"/>
  <c r="F102" i="1"/>
  <c r="E102" i="1"/>
  <c r="F103" i="1" s="1"/>
  <c r="J101" i="1"/>
  <c r="H101" i="1"/>
  <c r="G101" i="1"/>
  <c r="E101" i="1"/>
  <c r="J100" i="1"/>
  <c r="G100" i="1"/>
  <c r="H102" i="1" s="1"/>
  <c r="F100" i="1"/>
  <c r="E100" i="1"/>
  <c r="F101" i="1" s="1"/>
  <c r="J99" i="1"/>
  <c r="G99" i="1"/>
  <c r="F99" i="1"/>
  <c r="E99" i="1"/>
  <c r="J98" i="1"/>
  <c r="H98" i="1"/>
  <c r="G98" i="1"/>
  <c r="H100" i="1" s="1"/>
  <c r="E98" i="1"/>
  <c r="J97" i="1"/>
  <c r="G97" i="1"/>
  <c r="H99" i="1" s="1"/>
  <c r="F97" i="1"/>
  <c r="E97" i="1"/>
  <c r="F98" i="1" s="1"/>
  <c r="J96" i="1"/>
  <c r="G96" i="1"/>
  <c r="E96" i="1"/>
  <c r="J95" i="1"/>
  <c r="H95" i="1"/>
  <c r="G95" i="1"/>
  <c r="H97" i="1" s="1"/>
  <c r="E95" i="1"/>
  <c r="F96" i="1" s="1"/>
  <c r="J94" i="1"/>
  <c r="G94" i="1"/>
  <c r="H96" i="1" s="1"/>
  <c r="F94" i="1"/>
  <c r="E94" i="1"/>
  <c r="F95" i="1" s="1"/>
  <c r="J93" i="1"/>
  <c r="H93" i="1"/>
  <c r="G93" i="1"/>
  <c r="E93" i="1"/>
  <c r="J92" i="1"/>
  <c r="G92" i="1"/>
  <c r="H94" i="1" s="1"/>
  <c r="F92" i="1"/>
  <c r="E92" i="1"/>
  <c r="F93" i="1" s="1"/>
  <c r="J91" i="1"/>
  <c r="G91" i="1"/>
  <c r="F91" i="1"/>
  <c r="E91" i="1"/>
  <c r="J90" i="1"/>
  <c r="H90" i="1"/>
  <c r="G90" i="1"/>
  <c r="H92" i="1" s="1"/>
  <c r="E90" i="1"/>
  <c r="J89" i="1"/>
  <c r="G89" i="1"/>
  <c r="H91" i="1" s="1"/>
  <c r="F89" i="1"/>
  <c r="E89" i="1"/>
  <c r="F90" i="1" s="1"/>
  <c r="J88" i="1"/>
  <c r="G88" i="1"/>
  <c r="E88" i="1"/>
  <c r="J87" i="1"/>
  <c r="H87" i="1"/>
  <c r="G87" i="1"/>
  <c r="H89" i="1" s="1"/>
  <c r="E87" i="1"/>
  <c r="J86" i="1"/>
  <c r="G86" i="1"/>
  <c r="H88" i="1" s="1"/>
  <c r="F86" i="1"/>
  <c r="E86" i="1"/>
  <c r="F87" i="1" s="1"/>
  <c r="J85" i="1"/>
  <c r="H85" i="1"/>
  <c r="G85" i="1"/>
  <c r="E85" i="1"/>
  <c r="J84" i="1"/>
  <c r="G84" i="1"/>
  <c r="H86" i="1" s="1"/>
  <c r="F84" i="1"/>
  <c r="E84" i="1"/>
  <c r="F85" i="1" s="1"/>
  <c r="J83" i="1"/>
  <c r="G83" i="1"/>
  <c r="F83" i="1"/>
  <c r="E83" i="1"/>
  <c r="J82" i="1"/>
  <c r="H82" i="1"/>
  <c r="G82" i="1"/>
  <c r="H84" i="1" s="1"/>
  <c r="E82" i="1"/>
  <c r="J81" i="1"/>
  <c r="G81" i="1"/>
  <c r="H83" i="1" s="1"/>
  <c r="F81" i="1"/>
  <c r="E81" i="1"/>
  <c r="F82" i="1" s="1"/>
  <c r="J80" i="1"/>
  <c r="G80" i="1"/>
  <c r="E80" i="1"/>
  <c r="J79" i="1"/>
  <c r="H79" i="1"/>
  <c r="G79" i="1"/>
  <c r="H81" i="1" s="1"/>
  <c r="E79" i="1"/>
  <c r="F80" i="1" s="1"/>
  <c r="J78" i="1"/>
  <c r="G78" i="1"/>
  <c r="H80" i="1" s="1"/>
  <c r="F78" i="1"/>
  <c r="E78" i="1"/>
  <c r="F79" i="1" s="1"/>
  <c r="J77" i="1"/>
  <c r="H77" i="1"/>
  <c r="G77" i="1"/>
  <c r="E77" i="1"/>
  <c r="J76" i="1"/>
  <c r="G76" i="1"/>
  <c r="H78" i="1" s="1"/>
  <c r="F76" i="1"/>
  <c r="E76" i="1"/>
  <c r="F77" i="1" s="1"/>
  <c r="J75" i="1"/>
  <c r="G75" i="1"/>
  <c r="F75" i="1"/>
  <c r="E75" i="1"/>
  <c r="J74" i="1"/>
  <c r="H74" i="1"/>
  <c r="G74" i="1"/>
  <c r="E74" i="1"/>
  <c r="J73" i="1"/>
  <c r="G73" i="1"/>
  <c r="H75" i="1" s="1"/>
  <c r="F73" i="1"/>
  <c r="E73" i="1"/>
  <c r="F74" i="1" s="1"/>
  <c r="J72" i="1"/>
  <c r="G72" i="1"/>
  <c r="E72" i="1"/>
  <c r="J71" i="1"/>
  <c r="G71" i="1"/>
  <c r="H73" i="1" s="1"/>
  <c r="E71" i="1"/>
  <c r="F72" i="1" s="1"/>
  <c r="J70" i="1"/>
  <c r="G70" i="1"/>
  <c r="H72" i="1" s="1"/>
  <c r="F70" i="1"/>
  <c r="E70" i="1"/>
  <c r="F71" i="1" s="1"/>
  <c r="J69" i="1"/>
  <c r="H69" i="1"/>
  <c r="G69" i="1"/>
  <c r="E69" i="1"/>
  <c r="J68" i="1"/>
  <c r="G68" i="1"/>
  <c r="H70" i="1" s="1"/>
  <c r="F68" i="1"/>
  <c r="E68" i="1"/>
  <c r="F69" i="1" s="1"/>
  <c r="J67" i="1"/>
  <c r="G67" i="1"/>
  <c r="F67" i="1"/>
  <c r="E67" i="1"/>
  <c r="J66" i="1"/>
  <c r="H66" i="1"/>
  <c r="G66" i="1"/>
  <c r="E66" i="1"/>
  <c r="J65" i="1"/>
  <c r="G65" i="1"/>
  <c r="H67" i="1" s="1"/>
  <c r="F65" i="1"/>
  <c r="E65" i="1"/>
  <c r="F66" i="1" s="1"/>
  <c r="J64" i="1"/>
  <c r="G64" i="1"/>
  <c r="E64" i="1"/>
  <c r="J63" i="1"/>
  <c r="H63" i="1"/>
  <c r="G63" i="1"/>
  <c r="H65" i="1" s="1"/>
  <c r="E63" i="1"/>
  <c r="F64" i="1" s="1"/>
  <c r="J62" i="1"/>
  <c r="G62" i="1"/>
  <c r="H64" i="1" s="1"/>
  <c r="F62" i="1"/>
  <c r="E62" i="1"/>
  <c r="F63" i="1" s="1"/>
  <c r="J61" i="1"/>
  <c r="H61" i="1"/>
  <c r="G61" i="1"/>
  <c r="E61" i="1"/>
  <c r="J60" i="1"/>
  <c r="G60" i="1"/>
  <c r="H62" i="1" s="1"/>
  <c r="F60" i="1"/>
  <c r="E60" i="1"/>
  <c r="J59" i="1"/>
  <c r="G59" i="1"/>
  <c r="F59" i="1"/>
  <c r="E59" i="1"/>
  <c r="J58" i="1"/>
  <c r="H58" i="1"/>
  <c r="G58" i="1"/>
  <c r="E58" i="1"/>
  <c r="J57" i="1"/>
  <c r="G57" i="1"/>
  <c r="H59" i="1" s="1"/>
  <c r="F57" i="1"/>
  <c r="E57" i="1"/>
  <c r="F58" i="1" s="1"/>
  <c r="J56" i="1"/>
  <c r="G56" i="1"/>
  <c r="E56" i="1"/>
  <c r="J55" i="1"/>
  <c r="H55" i="1"/>
  <c r="G55" i="1"/>
  <c r="H57" i="1" s="1"/>
  <c r="E55" i="1"/>
  <c r="J54" i="1"/>
  <c r="G54" i="1"/>
  <c r="H56" i="1" s="1"/>
  <c r="F54" i="1"/>
  <c r="E54" i="1"/>
  <c r="F55" i="1" s="1"/>
  <c r="J53" i="1"/>
  <c r="H53" i="1"/>
  <c r="G53" i="1"/>
  <c r="E53" i="1"/>
  <c r="J52" i="1"/>
  <c r="G52" i="1"/>
  <c r="H54" i="1" s="1"/>
  <c r="F52" i="1"/>
  <c r="E52" i="1"/>
  <c r="J51" i="1"/>
  <c r="G51" i="1"/>
  <c r="F51" i="1"/>
  <c r="E51" i="1"/>
  <c r="J50" i="1"/>
  <c r="H50" i="1"/>
  <c r="G50" i="1"/>
  <c r="H52" i="1" s="1"/>
  <c r="E50" i="1"/>
  <c r="J49" i="1"/>
  <c r="G49" i="1"/>
  <c r="H51" i="1" s="1"/>
  <c r="F49" i="1"/>
  <c r="E49" i="1"/>
  <c r="F50" i="1" s="1"/>
  <c r="J48" i="1"/>
  <c r="G48" i="1"/>
  <c r="E48" i="1"/>
  <c r="J47" i="1"/>
  <c r="H47" i="1"/>
  <c r="G47" i="1"/>
  <c r="H49" i="1" s="1"/>
  <c r="E47" i="1"/>
  <c r="F48" i="1" s="1"/>
  <c r="J46" i="1"/>
  <c r="G46" i="1"/>
  <c r="H48" i="1" s="1"/>
  <c r="F46" i="1"/>
  <c r="E46" i="1"/>
  <c r="F47" i="1" s="1"/>
  <c r="J45" i="1"/>
  <c r="H45" i="1"/>
  <c r="G45" i="1"/>
  <c r="E45" i="1"/>
  <c r="J44" i="1"/>
  <c r="G44" i="1"/>
  <c r="H46" i="1" s="1"/>
  <c r="F44" i="1"/>
  <c r="E44" i="1"/>
  <c r="F45" i="1" s="1"/>
  <c r="J43" i="1"/>
  <c r="G43" i="1"/>
  <c r="F43" i="1"/>
  <c r="E43" i="1"/>
  <c r="J42" i="1"/>
  <c r="H42" i="1"/>
  <c r="G42" i="1"/>
  <c r="H44" i="1" s="1"/>
  <c r="E42" i="1"/>
  <c r="J41" i="1"/>
  <c r="G41" i="1"/>
  <c r="H43" i="1" s="1"/>
  <c r="F41" i="1"/>
  <c r="E41" i="1"/>
  <c r="F42" i="1" s="1"/>
  <c r="J40" i="1"/>
  <c r="G40" i="1"/>
  <c r="E40" i="1"/>
  <c r="J39" i="1"/>
  <c r="G39" i="1"/>
  <c r="H41" i="1" s="1"/>
  <c r="E39" i="1"/>
  <c r="F40" i="1" s="1"/>
  <c r="J38" i="1"/>
  <c r="G38" i="1"/>
  <c r="H40" i="1" s="1"/>
  <c r="F38" i="1"/>
  <c r="E38" i="1"/>
  <c r="F39" i="1" s="1"/>
  <c r="J37" i="1"/>
  <c r="H37" i="1"/>
  <c r="G37" i="1"/>
  <c r="E37" i="1"/>
  <c r="J36" i="1"/>
  <c r="G36" i="1"/>
  <c r="H38" i="1" s="1"/>
  <c r="F36" i="1"/>
  <c r="E36" i="1"/>
  <c r="F37" i="1" s="1"/>
  <c r="J35" i="1"/>
  <c r="G35" i="1"/>
  <c r="F35" i="1"/>
  <c r="E35" i="1"/>
  <c r="J34" i="1"/>
  <c r="H34" i="1"/>
  <c r="G34" i="1"/>
  <c r="H36" i="1" s="1"/>
  <c r="E34" i="1"/>
  <c r="J33" i="1"/>
  <c r="G33" i="1"/>
  <c r="H35" i="1" s="1"/>
  <c r="F33" i="1"/>
  <c r="E33" i="1"/>
  <c r="F34" i="1" s="1"/>
  <c r="J32" i="1"/>
  <c r="G32" i="1"/>
  <c r="E32" i="1"/>
  <c r="J31" i="1"/>
  <c r="H31" i="1"/>
  <c r="G31" i="1"/>
  <c r="H33" i="1" s="1"/>
  <c r="E31" i="1"/>
  <c r="F32" i="1" s="1"/>
  <c r="J30" i="1"/>
  <c r="G30" i="1"/>
  <c r="H32" i="1" s="1"/>
  <c r="F30" i="1"/>
  <c r="E30" i="1"/>
  <c r="F31" i="1" s="1"/>
  <c r="J29" i="1"/>
  <c r="H29" i="1"/>
  <c r="G29" i="1"/>
  <c r="E29" i="1"/>
  <c r="J28" i="1"/>
  <c r="G28" i="1"/>
  <c r="H30" i="1" s="1"/>
  <c r="F28" i="1"/>
  <c r="E28" i="1"/>
  <c r="F29" i="1" s="1"/>
  <c r="J27" i="1"/>
  <c r="G27" i="1"/>
  <c r="F27" i="1"/>
  <c r="E27" i="1"/>
  <c r="J26" i="1"/>
  <c r="H26" i="1"/>
  <c r="G26" i="1"/>
  <c r="H28" i="1" s="1"/>
  <c r="E26" i="1"/>
  <c r="J25" i="1"/>
  <c r="G25" i="1"/>
  <c r="H27" i="1" s="1"/>
  <c r="F25" i="1"/>
  <c r="E25" i="1"/>
  <c r="F26" i="1" s="1"/>
  <c r="J24" i="1"/>
  <c r="G24" i="1"/>
  <c r="E24" i="1"/>
  <c r="J23" i="1"/>
  <c r="H23" i="1"/>
  <c r="G23" i="1"/>
  <c r="H25" i="1" s="1"/>
  <c r="E23" i="1"/>
  <c r="J22" i="1"/>
  <c r="G22" i="1"/>
  <c r="H24" i="1" s="1"/>
  <c r="F22" i="1"/>
  <c r="E22" i="1"/>
  <c r="F23" i="1" s="1"/>
  <c r="J21" i="1"/>
  <c r="H21" i="1"/>
  <c r="G21" i="1"/>
  <c r="E21" i="1"/>
  <c r="J20" i="1"/>
  <c r="G20" i="1"/>
  <c r="H22" i="1" s="1"/>
  <c r="F20" i="1"/>
  <c r="E20" i="1"/>
  <c r="F21" i="1" s="1"/>
  <c r="J19" i="1"/>
  <c r="G19" i="1"/>
  <c r="F19" i="1"/>
  <c r="E19" i="1"/>
  <c r="J18" i="1"/>
  <c r="H18" i="1"/>
  <c r="G18" i="1"/>
  <c r="H20" i="1" s="1"/>
  <c r="E18" i="1"/>
  <c r="J17" i="1"/>
  <c r="H17" i="1"/>
  <c r="G17" i="1"/>
  <c r="H19" i="1" s="1"/>
  <c r="E17" i="1"/>
  <c r="F18" i="1" s="1"/>
  <c r="J16" i="1"/>
  <c r="G16" i="1"/>
  <c r="E16" i="1"/>
  <c r="F17" i="1" s="1"/>
  <c r="J15" i="1"/>
  <c r="H15" i="1"/>
  <c r="G15" i="1"/>
  <c r="E15" i="1"/>
  <c r="J14" i="1"/>
  <c r="G14" i="1"/>
  <c r="H16" i="1" s="1"/>
  <c r="F14" i="1"/>
  <c r="E14" i="1"/>
  <c r="F15" i="1" s="1"/>
  <c r="J13" i="1"/>
  <c r="H13" i="1"/>
  <c r="G13" i="1"/>
  <c r="E13" i="1"/>
  <c r="J12" i="1"/>
  <c r="G12" i="1"/>
  <c r="H14" i="1" s="1"/>
  <c r="F12" i="1"/>
  <c r="E12" i="1"/>
  <c r="F13" i="1" s="1"/>
  <c r="J11" i="1"/>
  <c r="G11" i="1"/>
  <c r="F11" i="1"/>
  <c r="E11" i="1"/>
  <c r="J10" i="1"/>
  <c r="H10" i="1"/>
  <c r="G10" i="1"/>
  <c r="H12" i="1" s="1"/>
  <c r="E10" i="1"/>
  <c r="J9" i="1"/>
  <c r="G9" i="1"/>
  <c r="H11" i="1" s="1"/>
  <c r="F9" i="1"/>
  <c r="E9" i="1"/>
  <c r="F10" i="1" s="1"/>
  <c r="J8" i="1"/>
  <c r="H8" i="1"/>
  <c r="G8" i="1"/>
  <c r="E8" i="1"/>
  <c r="J7" i="1"/>
  <c r="H7" i="1"/>
  <c r="G7" i="1"/>
  <c r="H9" i="1" s="1"/>
  <c r="E7" i="1"/>
  <c r="F8" i="1" s="1"/>
  <c r="N6" i="1"/>
  <c r="M6" i="1"/>
  <c r="J6" i="1"/>
  <c r="H6" i="1"/>
  <c r="G6" i="1"/>
  <c r="E6" i="1"/>
  <c r="F7" i="1" s="1"/>
  <c r="M5" i="1"/>
  <c r="J5" i="1"/>
  <c r="G5" i="1"/>
  <c r="E5" i="1"/>
  <c r="F6" i="1" s="1"/>
  <c r="M4" i="1"/>
  <c r="J4" i="1"/>
  <c r="H4" i="1"/>
  <c r="G4" i="1"/>
  <c r="E4" i="1"/>
  <c r="F5" i="1" s="1"/>
  <c r="M3" i="1"/>
  <c r="J3" i="1"/>
  <c r="H3" i="1"/>
  <c r="G3" i="1"/>
  <c r="H5" i="1" s="1"/>
  <c r="F3" i="1"/>
  <c r="E3" i="1"/>
  <c r="F4" i="1" s="1"/>
  <c r="H321" i="1" l="1"/>
  <c r="H271" i="1"/>
  <c r="F314" i="1"/>
  <c r="F264" i="1"/>
  <c r="F346" i="1"/>
  <c r="F296" i="1"/>
  <c r="N5" i="1"/>
  <c r="N4" i="1"/>
  <c r="F56" i="1"/>
  <c r="H71" i="1"/>
  <c r="F120" i="1"/>
  <c r="H135" i="1"/>
  <c r="H313" i="1"/>
  <c r="H263" i="1"/>
  <c r="H345" i="1"/>
  <c r="H295" i="1"/>
  <c r="F240" i="1"/>
  <c r="F338" i="1"/>
  <c r="F288" i="1"/>
  <c r="F322" i="1"/>
  <c r="F272" i="1"/>
  <c r="F16" i="1"/>
  <c r="H76" i="1"/>
  <c r="H140" i="1"/>
  <c r="F232" i="1"/>
  <c r="H247" i="1"/>
  <c r="H305" i="1"/>
  <c r="H255" i="1"/>
  <c r="H337" i="1"/>
  <c r="H287" i="1"/>
  <c r="F61" i="1"/>
  <c r="H68" i="1"/>
  <c r="F125" i="1"/>
  <c r="H132" i="1"/>
  <c r="F189" i="1"/>
  <c r="H196" i="1"/>
  <c r="F218" i="1"/>
  <c r="F168" i="1"/>
  <c r="F330" i="1"/>
  <c r="F280" i="1"/>
  <c r="H339" i="1"/>
  <c r="F24" i="1"/>
  <c r="H39" i="1"/>
  <c r="F53" i="1"/>
  <c r="H60" i="1"/>
  <c r="F88" i="1"/>
  <c r="H103" i="1"/>
  <c r="F117" i="1"/>
  <c r="H124" i="1"/>
  <c r="F152" i="1"/>
  <c r="H167" i="1"/>
  <c r="F181" i="1"/>
  <c r="H188" i="1"/>
  <c r="H329" i="1"/>
  <c r="H279" i="1"/>
  <c r="H291" i="1"/>
</calcChain>
</file>

<file path=xl/sharedStrings.xml><?xml version="1.0" encoding="utf-8"?>
<sst xmlns="http://schemas.openxmlformats.org/spreadsheetml/2006/main" count="15" uniqueCount="13">
  <si>
    <t>﻿时间</t>
  </si>
  <si>
    <t>全指医药 - 收盘点位</t>
  </si>
  <si>
    <t>全指医药 - PB (加权平均值)</t>
  </si>
  <si>
    <t>全指医药 - PE-TTM (加权平均值)</t>
  </si>
  <si>
    <t>B</t>
  </si>
  <si>
    <t>B Grow</t>
  </si>
  <si>
    <t>E</t>
  </si>
  <si>
    <t>E Grow</t>
  </si>
  <si>
    <t>ROE</t>
  </si>
  <si>
    <t>7Y</t>
  </si>
  <si>
    <t>5Y</t>
  </si>
  <si>
    <t>3Y</t>
  </si>
  <si>
    <t>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</si>
</sst>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[1]全指医药!$E$1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[1]全指医药!$A$2:$A$627</c:f>
              <c:numCache>
                <c:formatCode>General</c:formatCode>
                <c:ptCount val="626"/>
                <c:pt idx="0">
                  <c:v>43574</c:v>
                </c:pt>
                <c:pt idx="1">
                  <c:v>43567</c:v>
                </c:pt>
                <c:pt idx="2">
                  <c:v>43559</c:v>
                </c:pt>
                <c:pt idx="3">
                  <c:v>43553</c:v>
                </c:pt>
                <c:pt idx="4">
                  <c:v>43546</c:v>
                </c:pt>
                <c:pt idx="5">
                  <c:v>43539</c:v>
                </c:pt>
                <c:pt idx="6">
                  <c:v>43532</c:v>
                </c:pt>
                <c:pt idx="7">
                  <c:v>43525</c:v>
                </c:pt>
                <c:pt idx="8">
                  <c:v>43518</c:v>
                </c:pt>
                <c:pt idx="9">
                  <c:v>43511</c:v>
                </c:pt>
                <c:pt idx="10">
                  <c:v>43497</c:v>
                </c:pt>
                <c:pt idx="11">
                  <c:v>43490</c:v>
                </c:pt>
                <c:pt idx="12">
                  <c:v>43483</c:v>
                </c:pt>
                <c:pt idx="13">
                  <c:v>43476</c:v>
                </c:pt>
                <c:pt idx="14">
                  <c:v>43469</c:v>
                </c:pt>
                <c:pt idx="15">
                  <c:v>43462</c:v>
                </c:pt>
                <c:pt idx="16">
                  <c:v>43455</c:v>
                </c:pt>
                <c:pt idx="17">
                  <c:v>43448</c:v>
                </c:pt>
                <c:pt idx="18">
                  <c:v>43441</c:v>
                </c:pt>
                <c:pt idx="19">
                  <c:v>43434</c:v>
                </c:pt>
                <c:pt idx="20">
                  <c:v>43427</c:v>
                </c:pt>
                <c:pt idx="21">
                  <c:v>43420</c:v>
                </c:pt>
                <c:pt idx="22">
                  <c:v>43413</c:v>
                </c:pt>
                <c:pt idx="23">
                  <c:v>43406</c:v>
                </c:pt>
                <c:pt idx="24">
                  <c:v>43399</c:v>
                </c:pt>
                <c:pt idx="25">
                  <c:v>43392</c:v>
                </c:pt>
                <c:pt idx="26">
                  <c:v>43385</c:v>
                </c:pt>
                <c:pt idx="27">
                  <c:v>43371</c:v>
                </c:pt>
                <c:pt idx="28">
                  <c:v>43364</c:v>
                </c:pt>
                <c:pt idx="29">
                  <c:v>43357</c:v>
                </c:pt>
                <c:pt idx="30">
                  <c:v>43350</c:v>
                </c:pt>
                <c:pt idx="31">
                  <c:v>43343</c:v>
                </c:pt>
                <c:pt idx="32">
                  <c:v>43336</c:v>
                </c:pt>
                <c:pt idx="33">
                  <c:v>43329</c:v>
                </c:pt>
                <c:pt idx="34">
                  <c:v>43322</c:v>
                </c:pt>
                <c:pt idx="35">
                  <c:v>43315</c:v>
                </c:pt>
                <c:pt idx="36">
                  <c:v>43308</c:v>
                </c:pt>
                <c:pt idx="37">
                  <c:v>43301</c:v>
                </c:pt>
                <c:pt idx="38">
                  <c:v>43294</c:v>
                </c:pt>
                <c:pt idx="39">
                  <c:v>43287</c:v>
                </c:pt>
                <c:pt idx="40">
                  <c:v>43280</c:v>
                </c:pt>
                <c:pt idx="41">
                  <c:v>43273</c:v>
                </c:pt>
                <c:pt idx="42">
                  <c:v>43266</c:v>
                </c:pt>
                <c:pt idx="43">
                  <c:v>43259</c:v>
                </c:pt>
                <c:pt idx="44">
                  <c:v>43252</c:v>
                </c:pt>
                <c:pt idx="45">
                  <c:v>43245</c:v>
                </c:pt>
                <c:pt idx="46">
                  <c:v>43238</c:v>
                </c:pt>
                <c:pt idx="47">
                  <c:v>43231</c:v>
                </c:pt>
                <c:pt idx="48">
                  <c:v>43224</c:v>
                </c:pt>
                <c:pt idx="49">
                  <c:v>43217</c:v>
                </c:pt>
                <c:pt idx="50">
                  <c:v>43210</c:v>
                </c:pt>
                <c:pt idx="51">
                  <c:v>43203</c:v>
                </c:pt>
                <c:pt idx="52">
                  <c:v>43194</c:v>
                </c:pt>
                <c:pt idx="53">
                  <c:v>43189</c:v>
                </c:pt>
                <c:pt idx="54">
                  <c:v>43182</c:v>
                </c:pt>
                <c:pt idx="55">
                  <c:v>43175</c:v>
                </c:pt>
                <c:pt idx="56">
                  <c:v>43168</c:v>
                </c:pt>
                <c:pt idx="57">
                  <c:v>43161</c:v>
                </c:pt>
                <c:pt idx="58">
                  <c:v>43154</c:v>
                </c:pt>
                <c:pt idx="59">
                  <c:v>43145</c:v>
                </c:pt>
                <c:pt idx="60">
                  <c:v>43140</c:v>
                </c:pt>
                <c:pt idx="61">
                  <c:v>43133</c:v>
                </c:pt>
                <c:pt idx="62">
                  <c:v>43126</c:v>
                </c:pt>
                <c:pt idx="63">
                  <c:v>43119</c:v>
                </c:pt>
                <c:pt idx="64">
                  <c:v>43112</c:v>
                </c:pt>
                <c:pt idx="65">
                  <c:v>43105</c:v>
                </c:pt>
                <c:pt idx="66">
                  <c:v>43098</c:v>
                </c:pt>
                <c:pt idx="67">
                  <c:v>43091</c:v>
                </c:pt>
                <c:pt idx="68">
                  <c:v>43084</c:v>
                </c:pt>
                <c:pt idx="69">
                  <c:v>43077</c:v>
                </c:pt>
                <c:pt idx="70">
                  <c:v>43070</c:v>
                </c:pt>
                <c:pt idx="71">
                  <c:v>43063</c:v>
                </c:pt>
                <c:pt idx="72">
                  <c:v>43056</c:v>
                </c:pt>
                <c:pt idx="73">
                  <c:v>43049</c:v>
                </c:pt>
                <c:pt idx="74">
                  <c:v>43042</c:v>
                </c:pt>
                <c:pt idx="75">
                  <c:v>43035</c:v>
                </c:pt>
                <c:pt idx="76">
                  <c:v>43028</c:v>
                </c:pt>
                <c:pt idx="77">
                  <c:v>43021</c:v>
                </c:pt>
                <c:pt idx="78">
                  <c:v>43007</c:v>
                </c:pt>
                <c:pt idx="79">
                  <c:v>43000</c:v>
                </c:pt>
                <c:pt idx="80">
                  <c:v>42993</c:v>
                </c:pt>
                <c:pt idx="81">
                  <c:v>42986</c:v>
                </c:pt>
                <c:pt idx="82">
                  <c:v>42979</c:v>
                </c:pt>
                <c:pt idx="83">
                  <c:v>42972</c:v>
                </c:pt>
                <c:pt idx="84">
                  <c:v>42965</c:v>
                </c:pt>
                <c:pt idx="85">
                  <c:v>42958</c:v>
                </c:pt>
                <c:pt idx="86">
                  <c:v>42951</c:v>
                </c:pt>
                <c:pt idx="87">
                  <c:v>42944</c:v>
                </c:pt>
                <c:pt idx="88">
                  <c:v>42937</c:v>
                </c:pt>
                <c:pt idx="89">
                  <c:v>42930</c:v>
                </c:pt>
                <c:pt idx="90">
                  <c:v>42923</c:v>
                </c:pt>
                <c:pt idx="91">
                  <c:v>42916</c:v>
                </c:pt>
                <c:pt idx="92">
                  <c:v>42909</c:v>
                </c:pt>
                <c:pt idx="93">
                  <c:v>42902</c:v>
                </c:pt>
                <c:pt idx="94">
                  <c:v>42895</c:v>
                </c:pt>
                <c:pt idx="95">
                  <c:v>42888</c:v>
                </c:pt>
                <c:pt idx="96">
                  <c:v>42881</c:v>
                </c:pt>
                <c:pt idx="97">
                  <c:v>42874</c:v>
                </c:pt>
                <c:pt idx="98">
                  <c:v>42867</c:v>
                </c:pt>
                <c:pt idx="99">
                  <c:v>42860</c:v>
                </c:pt>
                <c:pt idx="100">
                  <c:v>42853</c:v>
                </c:pt>
                <c:pt idx="101">
                  <c:v>42846</c:v>
                </c:pt>
                <c:pt idx="102">
                  <c:v>42839</c:v>
                </c:pt>
                <c:pt idx="103">
                  <c:v>42832</c:v>
                </c:pt>
                <c:pt idx="104">
                  <c:v>42825</c:v>
                </c:pt>
                <c:pt idx="105">
                  <c:v>42818</c:v>
                </c:pt>
                <c:pt idx="106">
                  <c:v>42811</c:v>
                </c:pt>
                <c:pt idx="107">
                  <c:v>42804</c:v>
                </c:pt>
                <c:pt idx="108">
                  <c:v>42797</c:v>
                </c:pt>
                <c:pt idx="109">
                  <c:v>42790</c:v>
                </c:pt>
                <c:pt idx="110">
                  <c:v>42783</c:v>
                </c:pt>
                <c:pt idx="111">
                  <c:v>42776</c:v>
                </c:pt>
                <c:pt idx="112">
                  <c:v>42769</c:v>
                </c:pt>
                <c:pt idx="113">
                  <c:v>42761</c:v>
                </c:pt>
                <c:pt idx="114">
                  <c:v>42755</c:v>
                </c:pt>
                <c:pt idx="115">
                  <c:v>42748</c:v>
                </c:pt>
                <c:pt idx="116">
                  <c:v>42741</c:v>
                </c:pt>
                <c:pt idx="117">
                  <c:v>42734</c:v>
                </c:pt>
                <c:pt idx="118">
                  <c:v>42727</c:v>
                </c:pt>
                <c:pt idx="119">
                  <c:v>42720</c:v>
                </c:pt>
                <c:pt idx="120">
                  <c:v>42713</c:v>
                </c:pt>
                <c:pt idx="121">
                  <c:v>42706</c:v>
                </c:pt>
                <c:pt idx="122">
                  <c:v>42699</c:v>
                </c:pt>
                <c:pt idx="123">
                  <c:v>42692</c:v>
                </c:pt>
                <c:pt idx="124">
                  <c:v>42685</c:v>
                </c:pt>
                <c:pt idx="125">
                  <c:v>42678</c:v>
                </c:pt>
                <c:pt idx="126">
                  <c:v>42671</c:v>
                </c:pt>
                <c:pt idx="127">
                  <c:v>42664</c:v>
                </c:pt>
                <c:pt idx="128">
                  <c:v>42657</c:v>
                </c:pt>
                <c:pt idx="129">
                  <c:v>42643</c:v>
                </c:pt>
                <c:pt idx="130">
                  <c:v>42636</c:v>
                </c:pt>
                <c:pt idx="131">
                  <c:v>42627</c:v>
                </c:pt>
                <c:pt idx="132">
                  <c:v>42622</c:v>
                </c:pt>
                <c:pt idx="133">
                  <c:v>42615</c:v>
                </c:pt>
                <c:pt idx="134">
                  <c:v>42608</c:v>
                </c:pt>
                <c:pt idx="135">
                  <c:v>42601</c:v>
                </c:pt>
                <c:pt idx="136">
                  <c:v>42594</c:v>
                </c:pt>
                <c:pt idx="137">
                  <c:v>42587</c:v>
                </c:pt>
                <c:pt idx="138">
                  <c:v>42580</c:v>
                </c:pt>
                <c:pt idx="139">
                  <c:v>42573</c:v>
                </c:pt>
                <c:pt idx="140">
                  <c:v>42566</c:v>
                </c:pt>
                <c:pt idx="141">
                  <c:v>42559</c:v>
                </c:pt>
                <c:pt idx="142">
                  <c:v>42552</c:v>
                </c:pt>
                <c:pt idx="143">
                  <c:v>42545</c:v>
                </c:pt>
                <c:pt idx="144">
                  <c:v>42538</c:v>
                </c:pt>
                <c:pt idx="145">
                  <c:v>42529</c:v>
                </c:pt>
                <c:pt idx="146">
                  <c:v>42524</c:v>
                </c:pt>
                <c:pt idx="147">
                  <c:v>42517</c:v>
                </c:pt>
                <c:pt idx="148">
                  <c:v>42510</c:v>
                </c:pt>
                <c:pt idx="149">
                  <c:v>42503</c:v>
                </c:pt>
                <c:pt idx="150">
                  <c:v>42496</c:v>
                </c:pt>
                <c:pt idx="151">
                  <c:v>42489</c:v>
                </c:pt>
                <c:pt idx="152">
                  <c:v>42482</c:v>
                </c:pt>
                <c:pt idx="153">
                  <c:v>42475</c:v>
                </c:pt>
                <c:pt idx="154">
                  <c:v>42468</c:v>
                </c:pt>
                <c:pt idx="155">
                  <c:v>42461</c:v>
                </c:pt>
                <c:pt idx="156">
                  <c:v>42454</c:v>
                </c:pt>
                <c:pt idx="157">
                  <c:v>42447</c:v>
                </c:pt>
                <c:pt idx="158">
                  <c:v>42440</c:v>
                </c:pt>
                <c:pt idx="159">
                  <c:v>42433</c:v>
                </c:pt>
                <c:pt idx="160">
                  <c:v>42426</c:v>
                </c:pt>
                <c:pt idx="161">
                  <c:v>42419</c:v>
                </c:pt>
                <c:pt idx="162">
                  <c:v>42405</c:v>
                </c:pt>
                <c:pt idx="163">
                  <c:v>42398</c:v>
                </c:pt>
                <c:pt idx="164">
                  <c:v>42391</c:v>
                </c:pt>
                <c:pt idx="165">
                  <c:v>42384</c:v>
                </c:pt>
                <c:pt idx="166">
                  <c:v>42377</c:v>
                </c:pt>
                <c:pt idx="167">
                  <c:v>42369</c:v>
                </c:pt>
                <c:pt idx="168">
                  <c:v>42363</c:v>
                </c:pt>
                <c:pt idx="169">
                  <c:v>42356</c:v>
                </c:pt>
                <c:pt idx="170">
                  <c:v>42349</c:v>
                </c:pt>
                <c:pt idx="171">
                  <c:v>42342</c:v>
                </c:pt>
                <c:pt idx="172">
                  <c:v>42335</c:v>
                </c:pt>
                <c:pt idx="173">
                  <c:v>42328</c:v>
                </c:pt>
                <c:pt idx="174">
                  <c:v>42321</c:v>
                </c:pt>
                <c:pt idx="175">
                  <c:v>42314</c:v>
                </c:pt>
                <c:pt idx="176">
                  <c:v>42307</c:v>
                </c:pt>
                <c:pt idx="177">
                  <c:v>42300</c:v>
                </c:pt>
                <c:pt idx="178">
                  <c:v>42293</c:v>
                </c:pt>
                <c:pt idx="179">
                  <c:v>42286</c:v>
                </c:pt>
                <c:pt idx="180">
                  <c:v>42277</c:v>
                </c:pt>
                <c:pt idx="181">
                  <c:v>42272</c:v>
                </c:pt>
                <c:pt idx="182">
                  <c:v>42265</c:v>
                </c:pt>
                <c:pt idx="183">
                  <c:v>42258</c:v>
                </c:pt>
                <c:pt idx="184">
                  <c:v>42249</c:v>
                </c:pt>
                <c:pt idx="185">
                  <c:v>42244</c:v>
                </c:pt>
                <c:pt idx="186">
                  <c:v>42237</c:v>
                </c:pt>
                <c:pt idx="187">
                  <c:v>42230</c:v>
                </c:pt>
                <c:pt idx="188">
                  <c:v>42223</c:v>
                </c:pt>
                <c:pt idx="189">
                  <c:v>42216</c:v>
                </c:pt>
                <c:pt idx="190">
                  <c:v>42209</c:v>
                </c:pt>
                <c:pt idx="191">
                  <c:v>42202</c:v>
                </c:pt>
                <c:pt idx="192">
                  <c:v>42195</c:v>
                </c:pt>
                <c:pt idx="193">
                  <c:v>42188</c:v>
                </c:pt>
                <c:pt idx="194">
                  <c:v>42181</c:v>
                </c:pt>
                <c:pt idx="195">
                  <c:v>42174</c:v>
                </c:pt>
                <c:pt idx="196">
                  <c:v>42167</c:v>
                </c:pt>
                <c:pt idx="197">
                  <c:v>42160</c:v>
                </c:pt>
                <c:pt idx="198">
                  <c:v>42153</c:v>
                </c:pt>
                <c:pt idx="199">
                  <c:v>42146</c:v>
                </c:pt>
                <c:pt idx="200">
                  <c:v>42139</c:v>
                </c:pt>
                <c:pt idx="201">
                  <c:v>42132</c:v>
                </c:pt>
                <c:pt idx="202">
                  <c:v>42124</c:v>
                </c:pt>
                <c:pt idx="203">
                  <c:v>42118</c:v>
                </c:pt>
                <c:pt idx="204">
                  <c:v>42111</c:v>
                </c:pt>
                <c:pt idx="205">
                  <c:v>42104</c:v>
                </c:pt>
                <c:pt idx="206">
                  <c:v>42097</c:v>
                </c:pt>
                <c:pt idx="207">
                  <c:v>42090</c:v>
                </c:pt>
                <c:pt idx="208">
                  <c:v>42083</c:v>
                </c:pt>
                <c:pt idx="209">
                  <c:v>42076</c:v>
                </c:pt>
                <c:pt idx="210">
                  <c:v>42069</c:v>
                </c:pt>
                <c:pt idx="211">
                  <c:v>42062</c:v>
                </c:pt>
                <c:pt idx="212">
                  <c:v>42052</c:v>
                </c:pt>
                <c:pt idx="213">
                  <c:v>42048</c:v>
                </c:pt>
                <c:pt idx="214">
                  <c:v>42041</c:v>
                </c:pt>
                <c:pt idx="215">
                  <c:v>42034</c:v>
                </c:pt>
                <c:pt idx="216">
                  <c:v>42027</c:v>
                </c:pt>
                <c:pt idx="217">
                  <c:v>42020</c:v>
                </c:pt>
                <c:pt idx="218">
                  <c:v>42013</c:v>
                </c:pt>
                <c:pt idx="219">
                  <c:v>42004</c:v>
                </c:pt>
                <c:pt idx="220">
                  <c:v>41999</c:v>
                </c:pt>
                <c:pt idx="221">
                  <c:v>41992</c:v>
                </c:pt>
                <c:pt idx="222">
                  <c:v>41985</c:v>
                </c:pt>
                <c:pt idx="223">
                  <c:v>41978</c:v>
                </c:pt>
                <c:pt idx="224">
                  <c:v>41971</c:v>
                </c:pt>
                <c:pt idx="225">
                  <c:v>41964</c:v>
                </c:pt>
                <c:pt idx="226">
                  <c:v>41957</c:v>
                </c:pt>
                <c:pt idx="227">
                  <c:v>41950</c:v>
                </c:pt>
                <c:pt idx="228">
                  <c:v>41943</c:v>
                </c:pt>
                <c:pt idx="229">
                  <c:v>41936</c:v>
                </c:pt>
                <c:pt idx="230">
                  <c:v>41929</c:v>
                </c:pt>
                <c:pt idx="231">
                  <c:v>41922</c:v>
                </c:pt>
                <c:pt idx="232">
                  <c:v>41912</c:v>
                </c:pt>
                <c:pt idx="233">
                  <c:v>41908</c:v>
                </c:pt>
                <c:pt idx="234">
                  <c:v>41901</c:v>
                </c:pt>
                <c:pt idx="235">
                  <c:v>41894</c:v>
                </c:pt>
                <c:pt idx="236">
                  <c:v>41887</c:v>
                </c:pt>
                <c:pt idx="237">
                  <c:v>41880</c:v>
                </c:pt>
                <c:pt idx="238">
                  <c:v>41873</c:v>
                </c:pt>
                <c:pt idx="239">
                  <c:v>41866</c:v>
                </c:pt>
                <c:pt idx="240">
                  <c:v>41859</c:v>
                </c:pt>
                <c:pt idx="241">
                  <c:v>41852</c:v>
                </c:pt>
                <c:pt idx="242">
                  <c:v>41845</c:v>
                </c:pt>
                <c:pt idx="243">
                  <c:v>41838</c:v>
                </c:pt>
                <c:pt idx="244">
                  <c:v>41831</c:v>
                </c:pt>
                <c:pt idx="245">
                  <c:v>41824</c:v>
                </c:pt>
                <c:pt idx="246">
                  <c:v>41817</c:v>
                </c:pt>
                <c:pt idx="247">
                  <c:v>41810</c:v>
                </c:pt>
                <c:pt idx="248">
                  <c:v>41803</c:v>
                </c:pt>
                <c:pt idx="249">
                  <c:v>41796</c:v>
                </c:pt>
                <c:pt idx="250">
                  <c:v>41789</c:v>
                </c:pt>
                <c:pt idx="251">
                  <c:v>41782</c:v>
                </c:pt>
                <c:pt idx="252">
                  <c:v>41775</c:v>
                </c:pt>
                <c:pt idx="253">
                  <c:v>41768</c:v>
                </c:pt>
                <c:pt idx="254">
                  <c:v>41759</c:v>
                </c:pt>
                <c:pt idx="255">
                  <c:v>41754</c:v>
                </c:pt>
                <c:pt idx="256">
                  <c:v>41747</c:v>
                </c:pt>
                <c:pt idx="257">
                  <c:v>41740</c:v>
                </c:pt>
                <c:pt idx="258">
                  <c:v>41733</c:v>
                </c:pt>
                <c:pt idx="259">
                  <c:v>41726</c:v>
                </c:pt>
                <c:pt idx="260">
                  <c:v>41719</c:v>
                </c:pt>
                <c:pt idx="261">
                  <c:v>41712</c:v>
                </c:pt>
                <c:pt idx="262">
                  <c:v>41705</c:v>
                </c:pt>
                <c:pt idx="263">
                  <c:v>41698</c:v>
                </c:pt>
                <c:pt idx="264">
                  <c:v>41691</c:v>
                </c:pt>
                <c:pt idx="265">
                  <c:v>41684</c:v>
                </c:pt>
                <c:pt idx="266">
                  <c:v>41677</c:v>
                </c:pt>
                <c:pt idx="267">
                  <c:v>41669</c:v>
                </c:pt>
                <c:pt idx="268">
                  <c:v>41663</c:v>
                </c:pt>
                <c:pt idx="269">
                  <c:v>41656</c:v>
                </c:pt>
                <c:pt idx="270">
                  <c:v>41649</c:v>
                </c:pt>
                <c:pt idx="271">
                  <c:v>41642</c:v>
                </c:pt>
                <c:pt idx="272">
                  <c:v>41635</c:v>
                </c:pt>
                <c:pt idx="273">
                  <c:v>41628</c:v>
                </c:pt>
                <c:pt idx="274">
                  <c:v>41621</c:v>
                </c:pt>
                <c:pt idx="275">
                  <c:v>41614</c:v>
                </c:pt>
                <c:pt idx="276">
                  <c:v>41607</c:v>
                </c:pt>
                <c:pt idx="277">
                  <c:v>41600</c:v>
                </c:pt>
                <c:pt idx="278">
                  <c:v>41593</c:v>
                </c:pt>
                <c:pt idx="279">
                  <c:v>41586</c:v>
                </c:pt>
                <c:pt idx="280">
                  <c:v>41579</c:v>
                </c:pt>
                <c:pt idx="281">
                  <c:v>41572</c:v>
                </c:pt>
                <c:pt idx="282">
                  <c:v>41565</c:v>
                </c:pt>
                <c:pt idx="283">
                  <c:v>41558</c:v>
                </c:pt>
                <c:pt idx="284">
                  <c:v>41547</c:v>
                </c:pt>
                <c:pt idx="285">
                  <c:v>41544</c:v>
                </c:pt>
                <c:pt idx="286">
                  <c:v>41535</c:v>
                </c:pt>
                <c:pt idx="287">
                  <c:v>41530</c:v>
                </c:pt>
                <c:pt idx="288">
                  <c:v>41523</c:v>
                </c:pt>
                <c:pt idx="289">
                  <c:v>41516</c:v>
                </c:pt>
                <c:pt idx="290">
                  <c:v>41509</c:v>
                </c:pt>
                <c:pt idx="291">
                  <c:v>41502</c:v>
                </c:pt>
                <c:pt idx="292">
                  <c:v>41495</c:v>
                </c:pt>
                <c:pt idx="293">
                  <c:v>41488</c:v>
                </c:pt>
                <c:pt idx="294">
                  <c:v>41481</c:v>
                </c:pt>
                <c:pt idx="295">
                  <c:v>41474</c:v>
                </c:pt>
                <c:pt idx="296">
                  <c:v>41467</c:v>
                </c:pt>
                <c:pt idx="297">
                  <c:v>41460</c:v>
                </c:pt>
                <c:pt idx="298">
                  <c:v>41453</c:v>
                </c:pt>
                <c:pt idx="299">
                  <c:v>41446</c:v>
                </c:pt>
                <c:pt idx="300">
                  <c:v>41439</c:v>
                </c:pt>
                <c:pt idx="301">
                  <c:v>41432</c:v>
                </c:pt>
                <c:pt idx="302">
                  <c:v>41425</c:v>
                </c:pt>
                <c:pt idx="303">
                  <c:v>41418</c:v>
                </c:pt>
                <c:pt idx="304">
                  <c:v>41411</c:v>
                </c:pt>
                <c:pt idx="305">
                  <c:v>41404</c:v>
                </c:pt>
                <c:pt idx="306">
                  <c:v>41397</c:v>
                </c:pt>
                <c:pt idx="307">
                  <c:v>41390</c:v>
                </c:pt>
                <c:pt idx="308">
                  <c:v>41383</c:v>
                </c:pt>
                <c:pt idx="309">
                  <c:v>41376</c:v>
                </c:pt>
                <c:pt idx="310">
                  <c:v>41367</c:v>
                </c:pt>
                <c:pt idx="311">
                  <c:v>41362</c:v>
                </c:pt>
                <c:pt idx="312">
                  <c:v>41355</c:v>
                </c:pt>
                <c:pt idx="313">
                  <c:v>41348</c:v>
                </c:pt>
                <c:pt idx="314">
                  <c:v>41341</c:v>
                </c:pt>
                <c:pt idx="315">
                  <c:v>41334</c:v>
                </c:pt>
                <c:pt idx="316">
                  <c:v>41327</c:v>
                </c:pt>
                <c:pt idx="317">
                  <c:v>41313</c:v>
                </c:pt>
                <c:pt idx="318">
                  <c:v>41306</c:v>
                </c:pt>
                <c:pt idx="319">
                  <c:v>41299</c:v>
                </c:pt>
                <c:pt idx="320">
                  <c:v>41292</c:v>
                </c:pt>
                <c:pt idx="321">
                  <c:v>41285</c:v>
                </c:pt>
                <c:pt idx="322">
                  <c:v>41278</c:v>
                </c:pt>
                <c:pt idx="323">
                  <c:v>41271</c:v>
                </c:pt>
                <c:pt idx="324">
                  <c:v>41264</c:v>
                </c:pt>
                <c:pt idx="325">
                  <c:v>41257</c:v>
                </c:pt>
                <c:pt idx="326">
                  <c:v>41250</c:v>
                </c:pt>
                <c:pt idx="327">
                  <c:v>41243</c:v>
                </c:pt>
                <c:pt idx="328">
                  <c:v>41236</c:v>
                </c:pt>
                <c:pt idx="329">
                  <c:v>41229</c:v>
                </c:pt>
                <c:pt idx="330">
                  <c:v>41222</c:v>
                </c:pt>
                <c:pt idx="331">
                  <c:v>41215</c:v>
                </c:pt>
                <c:pt idx="332">
                  <c:v>41208</c:v>
                </c:pt>
                <c:pt idx="333">
                  <c:v>41201</c:v>
                </c:pt>
                <c:pt idx="334">
                  <c:v>41194</c:v>
                </c:pt>
                <c:pt idx="335">
                  <c:v>41180</c:v>
                </c:pt>
                <c:pt idx="336">
                  <c:v>41173</c:v>
                </c:pt>
                <c:pt idx="337">
                  <c:v>41166</c:v>
                </c:pt>
                <c:pt idx="338">
                  <c:v>41159</c:v>
                </c:pt>
                <c:pt idx="339">
                  <c:v>41152</c:v>
                </c:pt>
                <c:pt idx="340">
                  <c:v>41145</c:v>
                </c:pt>
                <c:pt idx="341">
                  <c:v>41138</c:v>
                </c:pt>
                <c:pt idx="342">
                  <c:v>41131</c:v>
                </c:pt>
                <c:pt idx="343">
                  <c:v>41124</c:v>
                </c:pt>
                <c:pt idx="344">
                  <c:v>41117</c:v>
                </c:pt>
                <c:pt idx="345">
                  <c:v>41110</c:v>
                </c:pt>
                <c:pt idx="346">
                  <c:v>41103</c:v>
                </c:pt>
                <c:pt idx="347">
                  <c:v>41096</c:v>
                </c:pt>
                <c:pt idx="348">
                  <c:v>41089</c:v>
                </c:pt>
                <c:pt idx="349">
                  <c:v>41081</c:v>
                </c:pt>
                <c:pt idx="350">
                  <c:v>41075</c:v>
                </c:pt>
                <c:pt idx="351">
                  <c:v>41068</c:v>
                </c:pt>
                <c:pt idx="352">
                  <c:v>41061</c:v>
                </c:pt>
                <c:pt idx="353">
                  <c:v>41054</c:v>
                </c:pt>
                <c:pt idx="354">
                  <c:v>41047</c:v>
                </c:pt>
                <c:pt idx="355">
                  <c:v>41040</c:v>
                </c:pt>
                <c:pt idx="356">
                  <c:v>41033</c:v>
                </c:pt>
                <c:pt idx="357">
                  <c:v>41026</c:v>
                </c:pt>
                <c:pt idx="358">
                  <c:v>41019</c:v>
                </c:pt>
                <c:pt idx="359">
                  <c:v>41012</c:v>
                </c:pt>
                <c:pt idx="360">
                  <c:v>41005</c:v>
                </c:pt>
                <c:pt idx="361">
                  <c:v>40998</c:v>
                </c:pt>
                <c:pt idx="362">
                  <c:v>40991</c:v>
                </c:pt>
                <c:pt idx="363">
                  <c:v>40984</c:v>
                </c:pt>
                <c:pt idx="364">
                  <c:v>40977</c:v>
                </c:pt>
                <c:pt idx="365">
                  <c:v>40970</c:v>
                </c:pt>
                <c:pt idx="366">
                  <c:v>40963</c:v>
                </c:pt>
                <c:pt idx="367">
                  <c:v>40956</c:v>
                </c:pt>
                <c:pt idx="368">
                  <c:v>40949</c:v>
                </c:pt>
                <c:pt idx="369">
                  <c:v>40942</c:v>
                </c:pt>
                <c:pt idx="370">
                  <c:v>40928</c:v>
                </c:pt>
                <c:pt idx="371">
                  <c:v>40921</c:v>
                </c:pt>
                <c:pt idx="372">
                  <c:v>40914</c:v>
                </c:pt>
                <c:pt idx="373">
                  <c:v>40907</c:v>
                </c:pt>
                <c:pt idx="374">
                  <c:v>40900</c:v>
                </c:pt>
                <c:pt idx="375">
                  <c:v>40893</c:v>
                </c:pt>
                <c:pt idx="376">
                  <c:v>40886</c:v>
                </c:pt>
                <c:pt idx="377">
                  <c:v>40879</c:v>
                </c:pt>
                <c:pt idx="378">
                  <c:v>40872</c:v>
                </c:pt>
                <c:pt idx="379">
                  <c:v>40865</c:v>
                </c:pt>
                <c:pt idx="380">
                  <c:v>40858</c:v>
                </c:pt>
                <c:pt idx="381">
                  <c:v>40851</c:v>
                </c:pt>
                <c:pt idx="382">
                  <c:v>40844</c:v>
                </c:pt>
                <c:pt idx="383">
                  <c:v>40837</c:v>
                </c:pt>
                <c:pt idx="384">
                  <c:v>40830</c:v>
                </c:pt>
                <c:pt idx="385">
                  <c:v>40816</c:v>
                </c:pt>
                <c:pt idx="386">
                  <c:v>40809</c:v>
                </c:pt>
                <c:pt idx="387">
                  <c:v>40802</c:v>
                </c:pt>
                <c:pt idx="388">
                  <c:v>40795</c:v>
                </c:pt>
                <c:pt idx="389">
                  <c:v>40788</c:v>
                </c:pt>
                <c:pt idx="390">
                  <c:v>40781</c:v>
                </c:pt>
                <c:pt idx="391">
                  <c:v>40774</c:v>
                </c:pt>
                <c:pt idx="392">
                  <c:v>40767</c:v>
                </c:pt>
                <c:pt idx="393">
                  <c:v>40760</c:v>
                </c:pt>
              </c:numCache>
            </c:numRef>
          </c:cat>
          <c:val>
            <c:numRef>
              <c:f>[1]全指医药!$E$2:$E$627</c:f>
              <c:numCache>
                <c:formatCode>General</c:formatCode>
                <c:ptCount val="626"/>
                <c:pt idx="0">
                  <c:v>2629.7566137566137</c:v>
                </c:pt>
                <c:pt idx="1">
                  <c:v>2619.8222811671085</c:v>
                </c:pt>
                <c:pt idx="2">
                  <c:v>2626.2539267015709</c:v>
                </c:pt>
                <c:pt idx="3">
                  <c:v>2607.6774193548385</c:v>
                </c:pt>
                <c:pt idx="4">
                  <c:v>2590.1827956989246</c:v>
                </c:pt>
                <c:pt idx="5">
                  <c:v>2577.6526610644255</c:v>
                </c:pt>
                <c:pt idx="6">
                  <c:v>2569.2790697674418</c:v>
                </c:pt>
                <c:pt idx="7">
                  <c:v>2563.1842105263158</c:v>
                </c:pt>
                <c:pt idx="8">
                  <c:v>2563.818181818182</c:v>
                </c:pt>
                <c:pt idx="9">
                  <c:v>2556.5225806451613</c:v>
                </c:pt>
                <c:pt idx="10">
                  <c:v>2557.9246575342468</c:v>
                </c:pt>
                <c:pt idx="11">
                  <c:v>2556.0652920962198</c:v>
                </c:pt>
                <c:pt idx="12">
                  <c:v>2560.9932203389831</c:v>
                </c:pt>
                <c:pt idx="13">
                  <c:v>2556.5</c:v>
                </c:pt>
                <c:pt idx="14">
                  <c:v>2557.4647887323945</c:v>
                </c:pt>
                <c:pt idx="15">
                  <c:v>2553.9450171821304</c:v>
                </c:pt>
                <c:pt idx="16">
                  <c:v>2553.5155709342557</c:v>
                </c:pt>
                <c:pt idx="17">
                  <c:v>2631.06</c:v>
                </c:pt>
                <c:pt idx="18">
                  <c:v>2621.3858520900321</c:v>
                </c:pt>
                <c:pt idx="19">
                  <c:v>2626.2389937106918</c:v>
                </c:pt>
                <c:pt idx="20">
                  <c:v>2627.7634069400633</c:v>
                </c:pt>
                <c:pt idx="21">
                  <c:v>2625.7668711656443</c:v>
                </c:pt>
                <c:pt idx="22">
                  <c:v>2623.0349206349206</c:v>
                </c:pt>
                <c:pt idx="23">
                  <c:v>2622.0470219435738</c:v>
                </c:pt>
                <c:pt idx="24">
                  <c:v>2547.4771241830063</c:v>
                </c:pt>
                <c:pt idx="25">
                  <c:v>2521.8149350649351</c:v>
                </c:pt>
                <c:pt idx="26">
                  <c:v>2526.2993827160494</c:v>
                </c:pt>
                <c:pt idx="27">
                  <c:v>2535.6890756302523</c:v>
                </c:pt>
                <c:pt idx="28">
                  <c:v>2537.4540229885056</c:v>
                </c:pt>
                <c:pt idx="29">
                  <c:v>2530.6430678466072</c:v>
                </c:pt>
                <c:pt idx="30">
                  <c:v>2534.8240223463686</c:v>
                </c:pt>
                <c:pt idx="31">
                  <c:v>2531.3444444444444</c:v>
                </c:pt>
                <c:pt idx="32">
                  <c:v>2514.7452054794521</c:v>
                </c:pt>
                <c:pt idx="33">
                  <c:v>2489.3805555555555</c:v>
                </c:pt>
                <c:pt idx="34">
                  <c:v>2488.3812010443862</c:v>
                </c:pt>
                <c:pt idx="35">
                  <c:v>2489.3518518518522</c:v>
                </c:pt>
                <c:pt idx="36">
                  <c:v>2485.4460784313728</c:v>
                </c:pt>
                <c:pt idx="37">
                  <c:v>2480.3080568720379</c:v>
                </c:pt>
                <c:pt idx="38">
                  <c:v>2481.6036866359445</c:v>
                </c:pt>
                <c:pt idx="39">
                  <c:v>2490.8125</c:v>
                </c:pt>
                <c:pt idx="40">
                  <c:v>2496.7933491686463</c:v>
                </c:pt>
                <c:pt idx="41">
                  <c:v>2497.2316784869977</c:v>
                </c:pt>
                <c:pt idx="42">
                  <c:v>2506.2570093457944</c:v>
                </c:pt>
                <c:pt idx="43">
                  <c:v>2517.6792873051222</c:v>
                </c:pt>
                <c:pt idx="44">
                  <c:v>2519.6606334841626</c:v>
                </c:pt>
                <c:pt idx="45">
                  <c:v>2527.1771058315335</c:v>
                </c:pt>
                <c:pt idx="46">
                  <c:v>2535</c:v>
                </c:pt>
                <c:pt idx="47">
                  <c:v>2530.9547511312217</c:v>
                </c:pt>
                <c:pt idx="48">
                  <c:v>2529.9586206896552</c:v>
                </c:pt>
                <c:pt idx="49">
                  <c:v>2505.1720930232559</c:v>
                </c:pt>
                <c:pt idx="50">
                  <c:v>2460.1607565011818</c:v>
                </c:pt>
                <c:pt idx="51">
                  <c:v>2445.9471264367821</c:v>
                </c:pt>
                <c:pt idx="52">
                  <c:v>2437.7602739726026</c:v>
                </c:pt>
                <c:pt idx="53">
                  <c:v>2434.841628959276</c:v>
                </c:pt>
                <c:pt idx="54">
                  <c:v>2426.9284009546536</c:v>
                </c:pt>
                <c:pt idx="55">
                  <c:v>2428.1134751773047</c:v>
                </c:pt>
                <c:pt idx="56">
                  <c:v>2419.3325581395347</c:v>
                </c:pt>
                <c:pt idx="57">
                  <c:v>2419.8374384236458</c:v>
                </c:pt>
                <c:pt idx="58">
                  <c:v>2425.2670025188913</c:v>
                </c:pt>
                <c:pt idx="59">
                  <c:v>2422.7442455242967</c:v>
                </c:pt>
                <c:pt idx="60">
                  <c:v>2420.5851063829787</c:v>
                </c:pt>
                <c:pt idx="61">
                  <c:v>2422.8808933002479</c:v>
                </c:pt>
                <c:pt idx="62">
                  <c:v>2415.9016393442625</c:v>
                </c:pt>
                <c:pt idx="63">
                  <c:v>2411.4562647754133</c:v>
                </c:pt>
                <c:pt idx="64">
                  <c:v>2405.2575406032483</c:v>
                </c:pt>
                <c:pt idx="65">
                  <c:v>2394.9462616822429</c:v>
                </c:pt>
                <c:pt idx="66">
                  <c:v>2392.9312796208533</c:v>
                </c:pt>
                <c:pt idx="67">
                  <c:v>2393.8537735849059</c:v>
                </c:pt>
                <c:pt idx="68">
                  <c:v>2378.8720379146921</c:v>
                </c:pt>
                <c:pt idx="69">
                  <c:v>2467.2363184079609</c:v>
                </c:pt>
                <c:pt idx="70">
                  <c:v>2464.908415841584</c:v>
                </c:pt>
                <c:pt idx="71">
                  <c:v>2456.541666666667</c:v>
                </c:pt>
                <c:pt idx="72">
                  <c:v>2448.4513064133016</c:v>
                </c:pt>
                <c:pt idx="73">
                  <c:v>2444.1395348837209</c:v>
                </c:pt>
                <c:pt idx="74">
                  <c:v>2439.2840095465394</c:v>
                </c:pt>
                <c:pt idx="75">
                  <c:v>2389.4055299539173</c:v>
                </c:pt>
                <c:pt idx="76">
                  <c:v>2335.3967889908254</c:v>
                </c:pt>
                <c:pt idx="77">
                  <c:v>2330.8666666666668</c:v>
                </c:pt>
                <c:pt idx="78">
                  <c:v>2333.4340527577938</c:v>
                </c:pt>
                <c:pt idx="79">
                  <c:v>2333.7263922518164</c:v>
                </c:pt>
                <c:pt idx="80">
                  <c:v>2334.8381642512077</c:v>
                </c:pt>
                <c:pt idx="81">
                  <c:v>2335.4337349397588</c:v>
                </c:pt>
                <c:pt idx="82">
                  <c:v>2332.3975609756098</c:v>
                </c:pt>
                <c:pt idx="83">
                  <c:v>2300.6803874092011</c:v>
                </c:pt>
                <c:pt idx="84">
                  <c:v>2276.7804295942715</c:v>
                </c:pt>
                <c:pt idx="85">
                  <c:v>2270.668280871671</c:v>
                </c:pt>
                <c:pt idx="86">
                  <c:v>2269.0492610837441</c:v>
                </c:pt>
                <c:pt idx="87">
                  <c:v>2268.3569682151588</c:v>
                </c:pt>
                <c:pt idx="88">
                  <c:v>2264.2689486552567</c:v>
                </c:pt>
                <c:pt idx="89">
                  <c:v>2268.5250596658711</c:v>
                </c:pt>
                <c:pt idx="90">
                  <c:v>2271.3497652582164</c:v>
                </c:pt>
                <c:pt idx="91">
                  <c:v>2277.4176334106733</c:v>
                </c:pt>
                <c:pt idx="92">
                  <c:v>2283.7630331753553</c:v>
                </c:pt>
                <c:pt idx="93">
                  <c:v>2283.0380047505937</c:v>
                </c:pt>
                <c:pt idx="94">
                  <c:v>2340.3041362530412</c:v>
                </c:pt>
                <c:pt idx="95">
                  <c:v>2347.8542713567836</c:v>
                </c:pt>
                <c:pt idx="96">
                  <c:v>2346.8024999999998</c:v>
                </c:pt>
                <c:pt idx="97">
                  <c:v>2350.394540942928</c:v>
                </c:pt>
                <c:pt idx="98">
                  <c:v>2350.1776649746193</c:v>
                </c:pt>
                <c:pt idx="99">
                  <c:v>2355.4862842892771</c:v>
                </c:pt>
                <c:pt idx="100">
                  <c:v>2347.3872549019607</c:v>
                </c:pt>
                <c:pt idx="101">
                  <c:v>2330.3755980861242</c:v>
                </c:pt>
                <c:pt idx="102">
                  <c:v>2343.0676328502414</c:v>
                </c:pt>
                <c:pt idx="103">
                  <c:v>2342.0285035629454</c:v>
                </c:pt>
                <c:pt idx="104">
                  <c:v>2341.7434052757794</c:v>
                </c:pt>
                <c:pt idx="105">
                  <c:v>2310.6120092378756</c:v>
                </c:pt>
                <c:pt idx="106">
                  <c:v>2309.657210401891</c:v>
                </c:pt>
                <c:pt idx="107">
                  <c:v>2307.9809523809522</c:v>
                </c:pt>
                <c:pt idx="108">
                  <c:v>2275.2352941176468</c:v>
                </c:pt>
                <c:pt idx="109">
                  <c:v>2275.1162790697676</c:v>
                </c:pt>
                <c:pt idx="110">
                  <c:v>2273.7146282973622</c:v>
                </c:pt>
                <c:pt idx="111">
                  <c:v>2268.5357142857142</c:v>
                </c:pt>
                <c:pt idx="112">
                  <c:v>2267.4556354916072</c:v>
                </c:pt>
                <c:pt idx="113">
                  <c:v>2268.7458033573143</c:v>
                </c:pt>
                <c:pt idx="114">
                  <c:v>2261.259708737864</c:v>
                </c:pt>
                <c:pt idx="115">
                  <c:v>2254.9831730769229</c:v>
                </c:pt>
                <c:pt idx="116">
                  <c:v>2264.1294117647058</c:v>
                </c:pt>
                <c:pt idx="117">
                  <c:v>2255.4882629107979</c:v>
                </c:pt>
                <c:pt idx="118">
                  <c:v>2244.159624413146</c:v>
                </c:pt>
                <c:pt idx="119">
                  <c:v>2243.2359813084108</c:v>
                </c:pt>
                <c:pt idx="120">
                  <c:v>2147.3663793103451</c:v>
                </c:pt>
                <c:pt idx="121">
                  <c:v>2150.0642398286936</c:v>
                </c:pt>
                <c:pt idx="122">
                  <c:v>2148.6751054852321</c:v>
                </c:pt>
                <c:pt idx="123">
                  <c:v>2143.6927966101694</c:v>
                </c:pt>
                <c:pt idx="124">
                  <c:v>2139.0826271186443</c:v>
                </c:pt>
                <c:pt idx="125">
                  <c:v>2135.9511677282376</c:v>
                </c:pt>
                <c:pt idx="126">
                  <c:v>2105.3277310924373</c:v>
                </c:pt>
                <c:pt idx="127">
                  <c:v>2063.3872950819673</c:v>
                </c:pt>
                <c:pt idx="128">
                  <c:v>2041.7116935483871</c:v>
                </c:pt>
                <c:pt idx="129">
                  <c:v>2048.5031055900622</c:v>
                </c:pt>
                <c:pt idx="130">
                  <c:v>2049.2004132231405</c:v>
                </c:pt>
                <c:pt idx="131">
                  <c:v>2033.5666666666668</c:v>
                </c:pt>
                <c:pt idx="132">
                  <c:v>2022.6727272727271</c:v>
                </c:pt>
                <c:pt idx="133">
                  <c:v>2022.9592668024438</c:v>
                </c:pt>
                <c:pt idx="134">
                  <c:v>2011.9919678714857</c:v>
                </c:pt>
                <c:pt idx="135">
                  <c:v>1986.8844621513945</c:v>
                </c:pt>
                <c:pt idx="136">
                  <c:v>1947.4610778443116</c:v>
                </c:pt>
                <c:pt idx="137">
                  <c:v>1942.9919191919191</c:v>
                </c:pt>
                <c:pt idx="138">
                  <c:v>1940.3207171314743</c:v>
                </c:pt>
                <c:pt idx="139">
                  <c:v>1931.721669980119</c:v>
                </c:pt>
                <c:pt idx="140">
                  <c:v>1936.2623274161735</c:v>
                </c:pt>
                <c:pt idx="141">
                  <c:v>1933.4808080808079</c:v>
                </c:pt>
                <c:pt idx="142">
                  <c:v>1937.3983228511531</c:v>
                </c:pt>
                <c:pt idx="143">
                  <c:v>1935.3594771241828</c:v>
                </c:pt>
                <c:pt idx="144">
                  <c:v>1934.6969696969695</c:v>
                </c:pt>
                <c:pt idx="145">
                  <c:v>1944.2974137931037</c:v>
                </c:pt>
                <c:pt idx="146">
                  <c:v>1946.2997858672377</c:v>
                </c:pt>
                <c:pt idx="147">
                  <c:v>1951.0269662921346</c:v>
                </c:pt>
                <c:pt idx="148">
                  <c:v>1959.4573991031391</c:v>
                </c:pt>
                <c:pt idx="149">
                  <c:v>1964.6644144144143</c:v>
                </c:pt>
                <c:pt idx="150">
                  <c:v>1959.730263157895</c:v>
                </c:pt>
                <c:pt idx="151">
                  <c:v>1959.90590809628</c:v>
                </c:pt>
                <c:pt idx="152">
                  <c:v>1914.0811965811965</c:v>
                </c:pt>
                <c:pt idx="153">
                  <c:v>1921.9352226720648</c:v>
                </c:pt>
                <c:pt idx="154">
                  <c:v>1917.5437499999998</c:v>
                </c:pt>
                <c:pt idx="155">
                  <c:v>1913.7211740041932</c:v>
                </c:pt>
                <c:pt idx="156">
                  <c:v>1897.8851774530274</c:v>
                </c:pt>
                <c:pt idx="157">
                  <c:v>1890.8781512605042</c:v>
                </c:pt>
                <c:pt idx="158">
                  <c:v>1884.2488687782804</c:v>
                </c:pt>
                <c:pt idx="159">
                  <c:v>1895.1963882618511</c:v>
                </c:pt>
                <c:pt idx="160">
                  <c:v>1881.8436123348017</c:v>
                </c:pt>
                <c:pt idx="161">
                  <c:v>1878.0124223602484</c:v>
                </c:pt>
                <c:pt idx="162">
                  <c:v>1877.2138228941685</c:v>
                </c:pt>
                <c:pt idx="163">
                  <c:v>1876.9349775784751</c:v>
                </c:pt>
                <c:pt idx="164">
                  <c:v>1877.1090146750525</c:v>
                </c:pt>
                <c:pt idx="165">
                  <c:v>1850.6016771488473</c:v>
                </c:pt>
                <c:pt idx="166">
                  <c:v>1856.2015503875969</c:v>
                </c:pt>
                <c:pt idx="167">
                  <c:v>1851.3685950413226</c:v>
                </c:pt>
                <c:pt idx="168">
                  <c:v>1832.7248000000002</c:v>
                </c:pt>
                <c:pt idx="169">
                  <c:v>1820.1626016260161</c:v>
                </c:pt>
                <c:pt idx="170">
                  <c:v>1886.6980461811725</c:v>
                </c:pt>
                <c:pt idx="171">
                  <c:v>1885.3653846153848</c:v>
                </c:pt>
                <c:pt idx="172">
                  <c:v>1868.2241992882562</c:v>
                </c:pt>
                <c:pt idx="173">
                  <c:v>1871.9541595925298</c:v>
                </c:pt>
                <c:pt idx="174">
                  <c:v>1873.146299483649</c:v>
                </c:pt>
                <c:pt idx="175">
                  <c:v>1866.939341421144</c:v>
                </c:pt>
                <c:pt idx="176">
                  <c:v>1868.3817204301074</c:v>
                </c:pt>
                <c:pt idx="177">
                  <c:v>1857.3020833333333</c:v>
                </c:pt>
                <c:pt idx="178">
                  <c:v>1851.2536764705881</c:v>
                </c:pt>
                <c:pt idx="179">
                  <c:v>1856.62984496124</c:v>
                </c:pt>
                <c:pt idx="180">
                  <c:v>1853.0777096114518</c:v>
                </c:pt>
                <c:pt idx="181">
                  <c:v>1850.9506172839506</c:v>
                </c:pt>
                <c:pt idx="182">
                  <c:v>1848.2328482328485</c:v>
                </c:pt>
                <c:pt idx="183">
                  <c:v>1854.0396825396826</c:v>
                </c:pt>
                <c:pt idx="184">
                  <c:v>1853.9958071278827</c:v>
                </c:pt>
                <c:pt idx="185">
                  <c:v>1854.2606177606178</c:v>
                </c:pt>
                <c:pt idx="186">
                  <c:v>1818.4395796847637</c:v>
                </c:pt>
                <c:pt idx="187">
                  <c:v>1802.6500777604979</c:v>
                </c:pt>
                <c:pt idx="188">
                  <c:v>1794.4048387096773</c:v>
                </c:pt>
                <c:pt idx="189">
                  <c:v>1794.9916387959863</c:v>
                </c:pt>
                <c:pt idx="190">
                  <c:v>1797.1257575757577</c:v>
                </c:pt>
                <c:pt idx="191">
                  <c:v>1797.9811616954473</c:v>
                </c:pt>
                <c:pt idx="192">
                  <c:v>1795.7019064124786</c:v>
                </c:pt>
                <c:pt idx="193">
                  <c:v>1809.135042735043</c:v>
                </c:pt>
                <c:pt idx="194">
                  <c:v>1874.5030864197531</c:v>
                </c:pt>
                <c:pt idx="195">
                  <c:v>1874.7629733520337</c:v>
                </c:pt>
                <c:pt idx="196">
                  <c:v>1837.064209274673</c:v>
                </c:pt>
                <c:pt idx="197">
                  <c:v>1827.2925336597307</c:v>
                </c:pt>
                <c:pt idx="198">
                  <c:v>1827.9602122015915</c:v>
                </c:pt>
                <c:pt idx="199">
                  <c:v>1834.6549391069013</c:v>
                </c:pt>
                <c:pt idx="200">
                  <c:v>1834.1170212765958</c:v>
                </c:pt>
                <c:pt idx="201">
                  <c:v>1827.3664000000001</c:v>
                </c:pt>
                <c:pt idx="202">
                  <c:v>1835.1088</c:v>
                </c:pt>
                <c:pt idx="203">
                  <c:v>1775.6006191950464</c:v>
                </c:pt>
                <c:pt idx="204">
                  <c:v>1752.376582278481</c:v>
                </c:pt>
                <c:pt idx="205">
                  <c:v>1740.2016000000001</c:v>
                </c:pt>
                <c:pt idx="206">
                  <c:v>1737.038269550749</c:v>
                </c:pt>
                <c:pt idx="207">
                  <c:v>1715.6830985915494</c:v>
                </c:pt>
                <c:pt idx="208">
                  <c:v>1705.3163636363636</c:v>
                </c:pt>
                <c:pt idx="209">
                  <c:v>1688.7992351816442</c:v>
                </c:pt>
                <c:pt idx="210">
                  <c:v>1680.400390625</c:v>
                </c:pt>
                <c:pt idx="211">
                  <c:v>1678.3720000000001</c:v>
                </c:pt>
                <c:pt idx="212">
                  <c:v>1677.7510040160644</c:v>
                </c:pt>
                <c:pt idx="213">
                  <c:v>1679.2135523613963</c:v>
                </c:pt>
                <c:pt idx="214">
                  <c:v>1674.8765957446808</c:v>
                </c:pt>
                <c:pt idx="215">
                  <c:v>1672.4095634095636</c:v>
                </c:pt>
                <c:pt idx="216">
                  <c:v>1678.4398340248961</c:v>
                </c:pt>
                <c:pt idx="217">
                  <c:v>1675.7115384615386</c:v>
                </c:pt>
                <c:pt idx="218">
                  <c:v>1675.3304157549233</c:v>
                </c:pt>
                <c:pt idx="219">
                  <c:v>1669.4843049327353</c:v>
                </c:pt>
                <c:pt idx="220">
                  <c:v>1673.6511111111113</c:v>
                </c:pt>
                <c:pt idx="221">
                  <c:v>1653.0729613733904</c:v>
                </c:pt>
                <c:pt idx="222">
                  <c:v>1642.4645833333334</c:v>
                </c:pt>
                <c:pt idx="223">
                  <c:v>1645.6407563025211</c:v>
                </c:pt>
                <c:pt idx="224">
                  <c:v>1641.213530655391</c:v>
                </c:pt>
                <c:pt idx="225">
                  <c:v>1635.6845493562232</c:v>
                </c:pt>
                <c:pt idx="226">
                  <c:v>1629.1239130434785</c:v>
                </c:pt>
                <c:pt idx="227">
                  <c:v>1630.1004273504275</c:v>
                </c:pt>
                <c:pt idx="228">
                  <c:v>1623.9311064718163</c:v>
                </c:pt>
                <c:pt idx="229">
                  <c:v>1574.3479166666666</c:v>
                </c:pt>
                <c:pt idx="230">
                  <c:v>1560.7154308617235</c:v>
                </c:pt>
                <c:pt idx="231">
                  <c:v>1561.1543086172344</c:v>
                </c:pt>
                <c:pt idx="232">
                  <c:v>1559.4958677685952</c:v>
                </c:pt>
                <c:pt idx="233">
                  <c:v>1560.4025157232707</c:v>
                </c:pt>
                <c:pt idx="234">
                  <c:v>1556.5611814345991</c:v>
                </c:pt>
                <c:pt idx="235">
                  <c:v>1556.9209401709404</c:v>
                </c:pt>
                <c:pt idx="236">
                  <c:v>1553.2129032258063</c:v>
                </c:pt>
                <c:pt idx="237">
                  <c:v>1545.3652561247216</c:v>
                </c:pt>
                <c:pt idx="238">
                  <c:v>1529.6551724137933</c:v>
                </c:pt>
                <c:pt idx="239">
                  <c:v>1518.8891304347828</c:v>
                </c:pt>
                <c:pt idx="240">
                  <c:v>1510.2275711159737</c:v>
                </c:pt>
                <c:pt idx="241">
                  <c:v>1507.5538461538463</c:v>
                </c:pt>
                <c:pt idx="242">
                  <c:v>1507.8672768878719</c:v>
                </c:pt>
                <c:pt idx="243">
                  <c:v>1499.4340909090909</c:v>
                </c:pt>
                <c:pt idx="244">
                  <c:v>1501.5079006772012</c:v>
                </c:pt>
                <c:pt idx="245">
                  <c:v>1503.6726057906458</c:v>
                </c:pt>
                <c:pt idx="246">
                  <c:v>1503.8256880733945</c:v>
                </c:pt>
                <c:pt idx="247">
                  <c:v>1507.2104018912528</c:v>
                </c:pt>
                <c:pt idx="248">
                  <c:v>1562.2529832935559</c:v>
                </c:pt>
                <c:pt idx="249">
                  <c:v>1563.1601941747574</c:v>
                </c:pt>
                <c:pt idx="250">
                  <c:v>1565.7274939172748</c:v>
                </c:pt>
                <c:pt idx="251">
                  <c:v>1568.3855721393036</c:v>
                </c:pt>
                <c:pt idx="252">
                  <c:v>1570.8813131313129</c:v>
                </c:pt>
                <c:pt idx="253">
                  <c:v>1575.3007518796992</c:v>
                </c:pt>
                <c:pt idx="254">
                  <c:v>1573.2531017369727</c:v>
                </c:pt>
                <c:pt idx="255">
                  <c:v>1542.2542372881358</c:v>
                </c:pt>
                <c:pt idx="256">
                  <c:v>1530.0886363636364</c:v>
                </c:pt>
                <c:pt idx="257">
                  <c:v>1530.4140271493213</c:v>
                </c:pt>
                <c:pt idx="258">
                  <c:v>1522.9375</c:v>
                </c:pt>
                <c:pt idx="259">
                  <c:v>1525.0603248259863</c:v>
                </c:pt>
                <c:pt idx="260">
                  <c:v>1505.1175166297119</c:v>
                </c:pt>
                <c:pt idx="261">
                  <c:v>1505.528888888889</c:v>
                </c:pt>
                <c:pt idx="262">
                  <c:v>1500.1113537117903</c:v>
                </c:pt>
                <c:pt idx="263">
                  <c:v>1501.8461538461538</c:v>
                </c:pt>
                <c:pt idx="264">
                  <c:v>1504.550847457627</c:v>
                </c:pt>
                <c:pt idx="265">
                  <c:v>1496.8528784648186</c:v>
                </c:pt>
                <c:pt idx="266">
                  <c:v>1500.1555555555556</c:v>
                </c:pt>
                <c:pt idx="267">
                  <c:v>1497.2917594654789</c:v>
                </c:pt>
                <c:pt idx="268">
                  <c:v>1497.0378619153673</c:v>
                </c:pt>
                <c:pt idx="269">
                  <c:v>1496.41647597254</c:v>
                </c:pt>
                <c:pt idx="270">
                  <c:v>1494.7339449541282</c:v>
                </c:pt>
                <c:pt idx="271">
                  <c:v>1494.2227171492204</c:v>
                </c:pt>
                <c:pt idx="272">
                  <c:v>1491.6454545454544</c:v>
                </c:pt>
                <c:pt idx="273">
                  <c:v>1490.8528037383178</c:v>
                </c:pt>
                <c:pt idx="274">
                  <c:v>1485.1559633027521</c:v>
                </c:pt>
                <c:pt idx="275">
                  <c:v>1490.7511520737328</c:v>
                </c:pt>
                <c:pt idx="276">
                  <c:v>1486.6704545454545</c:v>
                </c:pt>
                <c:pt idx="277">
                  <c:v>1489.8823529411766</c:v>
                </c:pt>
                <c:pt idx="278">
                  <c:v>1487.76</c:v>
                </c:pt>
                <c:pt idx="279">
                  <c:v>1488.2938271604939</c:v>
                </c:pt>
                <c:pt idx="280">
                  <c:v>1489.6964705882353</c:v>
                </c:pt>
                <c:pt idx="281">
                  <c:v>1449.2316258351893</c:v>
                </c:pt>
                <c:pt idx="282">
                  <c:v>1438.6081370449679</c:v>
                </c:pt>
                <c:pt idx="283">
                  <c:v>1434.7852631578946</c:v>
                </c:pt>
                <c:pt idx="284">
                  <c:v>1435.8270042194092</c:v>
                </c:pt>
                <c:pt idx="285">
                  <c:v>1438.8174097664544</c:v>
                </c:pt>
                <c:pt idx="286">
                  <c:v>1439.3861607142856</c:v>
                </c:pt>
                <c:pt idx="287">
                  <c:v>1440.3205417607223</c:v>
                </c:pt>
                <c:pt idx="288">
                  <c:v>1439.1714922048998</c:v>
                </c:pt>
                <c:pt idx="289">
                  <c:v>1454.0873563218393</c:v>
                </c:pt>
                <c:pt idx="290">
                  <c:v>1442.028888888889</c:v>
                </c:pt>
                <c:pt idx="291">
                  <c:v>1432.9276018099547</c:v>
                </c:pt>
                <c:pt idx="292">
                  <c:v>1427.5753715498938</c:v>
                </c:pt>
                <c:pt idx="293">
                  <c:v>1436.9757174392935</c:v>
                </c:pt>
                <c:pt idx="294">
                  <c:v>1435.8612334801762</c:v>
                </c:pt>
                <c:pt idx="295">
                  <c:v>1434.380733944954</c:v>
                </c:pt>
                <c:pt idx="296">
                  <c:v>1440.5286041189929</c:v>
                </c:pt>
                <c:pt idx="297">
                  <c:v>1440.4080188679245</c:v>
                </c:pt>
                <c:pt idx="298">
                  <c:v>1449.605</c:v>
                </c:pt>
                <c:pt idx="299">
                  <c:v>1453.4818401937046</c:v>
                </c:pt>
                <c:pt idx="300">
                  <c:v>1455.5602836879432</c:v>
                </c:pt>
                <c:pt idx="301">
                  <c:v>1459.0023923444978</c:v>
                </c:pt>
                <c:pt idx="302">
                  <c:v>1465.1108597285067</c:v>
                </c:pt>
                <c:pt idx="303">
                  <c:v>1465.180751173709</c:v>
                </c:pt>
                <c:pt idx="304">
                  <c:v>1456.1305361305363</c:v>
                </c:pt>
                <c:pt idx="305">
                  <c:v>1460.3277909738717</c:v>
                </c:pt>
                <c:pt idx="306">
                  <c:v>1465.6748166259169</c:v>
                </c:pt>
                <c:pt idx="307">
                  <c:v>1451.9045226130654</c:v>
                </c:pt>
                <c:pt idx="308">
                  <c:v>1410.9206730769231</c:v>
                </c:pt>
                <c:pt idx="309">
                  <c:v>1408.4466501240695</c:v>
                </c:pt>
                <c:pt idx="310">
                  <c:v>1407.1404358353511</c:v>
                </c:pt>
                <c:pt idx="311">
                  <c:v>1399.8430913348948</c:v>
                </c:pt>
                <c:pt idx="312">
                  <c:v>1378.7482837528605</c:v>
                </c:pt>
                <c:pt idx="313">
                  <c:v>1376.6611764705883</c:v>
                </c:pt>
                <c:pt idx="314">
                  <c:v>1368.3465116279071</c:v>
                </c:pt>
                <c:pt idx="315">
                  <c:v>1369.0275862068968</c:v>
                </c:pt>
                <c:pt idx="316">
                  <c:v>1364.5731132075471</c:v>
                </c:pt>
                <c:pt idx="317">
                  <c:v>1369.5441527446301</c:v>
                </c:pt>
                <c:pt idx="318">
                  <c:v>1361.3002481389576</c:v>
                </c:pt>
                <c:pt idx="319">
                  <c:v>1357.2575757575758</c:v>
                </c:pt>
                <c:pt idx="320">
                  <c:v>1355.4055415617129</c:v>
                </c:pt>
                <c:pt idx="321">
                  <c:v>1355.7018970189702</c:v>
                </c:pt>
                <c:pt idx="322">
                  <c:v>1354.7859154929577</c:v>
                </c:pt>
                <c:pt idx="323">
                  <c:v>1368.7323943661972</c:v>
                </c:pt>
                <c:pt idx="324">
                  <c:v>1360.785294117647</c:v>
                </c:pt>
                <c:pt idx="325">
                  <c:v>1369.5441176470588</c:v>
                </c:pt>
                <c:pt idx="326">
                  <c:v>1366.754491017964</c:v>
                </c:pt>
                <c:pt idx="327">
                  <c:v>1365.7055214723928</c:v>
                </c:pt>
                <c:pt idx="328">
                  <c:v>1366.7155425219942</c:v>
                </c:pt>
                <c:pt idx="329">
                  <c:v>1368.349710982659</c:v>
                </c:pt>
                <c:pt idx="330">
                  <c:v>1370.6095505617977</c:v>
                </c:pt>
                <c:pt idx="331">
                  <c:v>1370.3035230352305</c:v>
                </c:pt>
                <c:pt idx="332">
                  <c:v>1349.1707988980716</c:v>
                </c:pt>
                <c:pt idx="333">
                  <c:v>1333.1937172774869</c:v>
                </c:pt>
                <c:pt idx="334">
                  <c:v>1317.7387862796832</c:v>
                </c:pt>
                <c:pt idx="335">
                  <c:v>1317.3972972972972</c:v>
                </c:pt>
                <c:pt idx="336">
                  <c:v>1317.465564738292</c:v>
                </c:pt>
                <c:pt idx="337">
                  <c:v>1316.6073298429319</c:v>
                </c:pt>
                <c:pt idx="338">
                  <c:v>1315.2041884816754</c:v>
                </c:pt>
                <c:pt idx="339">
                  <c:v>1314.9228650137741</c:v>
                </c:pt>
                <c:pt idx="340">
                  <c:v>1298.7080103359174</c:v>
                </c:pt>
                <c:pt idx="341">
                  <c:v>1280.9305912596401</c:v>
                </c:pt>
                <c:pt idx="342">
                  <c:v>1273.6716049382717</c:v>
                </c:pt>
                <c:pt idx="343">
                  <c:v>1270.0178571428573</c:v>
                </c:pt>
                <c:pt idx="344">
                  <c:v>1268.6806282722512</c:v>
                </c:pt>
                <c:pt idx="345">
                  <c:v>1266.6489898989901</c:v>
                </c:pt>
                <c:pt idx="346">
                  <c:v>1268.2512315270938</c:v>
                </c:pt>
                <c:pt idx="347">
                  <c:v>1270.9974999999999</c:v>
                </c:pt>
                <c:pt idx="348">
                  <c:v>1303.9343832020998</c:v>
                </c:pt>
                <c:pt idx="349">
                  <c:v>1306.7733333333333</c:v>
                </c:pt>
                <c:pt idx="350">
                  <c:v>1307.6272965879266</c:v>
                </c:pt>
                <c:pt idx="351">
                  <c:v>1313.5793871866297</c:v>
                </c:pt>
                <c:pt idx="352">
                  <c:v>1319.9504132231405</c:v>
                </c:pt>
                <c:pt idx="353">
                  <c:v>1322.8914285714286</c:v>
                </c:pt>
                <c:pt idx="354">
                  <c:v>1326.0427350427351</c:v>
                </c:pt>
                <c:pt idx="355">
                  <c:v>1326.85</c:v>
                </c:pt>
                <c:pt idx="356">
                  <c:v>1335.1553672316384</c:v>
                </c:pt>
                <c:pt idx="357">
                  <c:v>1360.4712990936555</c:v>
                </c:pt>
                <c:pt idx="358">
                  <c:v>1324.7421203438396</c:v>
                </c:pt>
                <c:pt idx="359">
                  <c:v>1321.3988439306358</c:v>
                </c:pt>
                <c:pt idx="360">
                  <c:v>1319.4822485207103</c:v>
                </c:pt>
                <c:pt idx="361">
                  <c:v>1319.9452887537993</c:v>
                </c:pt>
                <c:pt idx="362">
                  <c:v>1304.5786516853932</c:v>
                </c:pt>
                <c:pt idx="363">
                  <c:v>1304.6451612903224</c:v>
                </c:pt>
                <c:pt idx="364">
                  <c:v>1301.4615384615383</c:v>
                </c:pt>
                <c:pt idx="365">
                  <c:v>1298.9203296703295</c:v>
                </c:pt>
                <c:pt idx="366">
                  <c:v>1296.6430517711174</c:v>
                </c:pt>
                <c:pt idx="367">
                  <c:v>1295.3276836158193</c:v>
                </c:pt>
                <c:pt idx="368">
                  <c:v>1295.7319884726223</c:v>
                </c:pt>
                <c:pt idx="369">
                  <c:v>1294.1863905325445</c:v>
                </c:pt>
                <c:pt idx="370">
                  <c:v>1293.3716012084594</c:v>
                </c:pt>
                <c:pt idx="371">
                  <c:v>1291.4181818181819</c:v>
                </c:pt>
                <c:pt idx="372">
                  <c:v>1258.5619335347433</c:v>
                </c:pt>
                <c:pt idx="373">
                  <c:v>1264.0842696629213</c:v>
                </c:pt>
                <c:pt idx="374">
                  <c:v>1268.1684782608695</c:v>
                </c:pt>
                <c:pt idx="375">
                  <c:v>1270.1653333333334</c:v>
                </c:pt>
                <c:pt idx="376">
                  <c:v>1267.6691919191919</c:v>
                </c:pt>
                <c:pt idx="377">
                  <c:v>1269.4033816425122</c:v>
                </c:pt>
                <c:pt idx="378">
                  <c:v>1267.0024271844661</c:v>
                </c:pt>
                <c:pt idx="379">
                  <c:v>1262.5084337349397</c:v>
                </c:pt>
                <c:pt idx="380">
                  <c:v>1268.6374407582939</c:v>
                </c:pt>
                <c:pt idx="381">
                  <c:v>1269.7971698113206</c:v>
                </c:pt>
                <c:pt idx="382">
                  <c:v>1256.2554744525546</c:v>
                </c:pt>
                <c:pt idx="383">
                  <c:v>1213.1586901763224</c:v>
                </c:pt>
                <c:pt idx="384">
                  <c:v>1208.1431924882629</c:v>
                </c:pt>
                <c:pt idx="385">
                  <c:v>1206.9055690072641</c:v>
                </c:pt>
                <c:pt idx="386">
                  <c:v>1207.4508009153319</c:v>
                </c:pt>
                <c:pt idx="387">
                  <c:v>1207.4665178571427</c:v>
                </c:pt>
                <c:pt idx="388">
                  <c:v>1206.248898678414</c:v>
                </c:pt>
                <c:pt idx="389">
                  <c:v>1210.8</c:v>
                </c:pt>
                <c:pt idx="390">
                  <c:v>1204.4680412371135</c:v>
                </c:pt>
                <c:pt idx="391">
                  <c:v>1187.8840579710143</c:v>
                </c:pt>
                <c:pt idx="392">
                  <c:v>1181.2845691382765</c:v>
                </c:pt>
                <c:pt idx="393">
                  <c:v>1177.078629032258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3B-BD4E-8AFF-BD213D96F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361887"/>
        <c:axId val="836502463"/>
      </c:lineChart>
      <c:dateAx>
        <c:axId val="836361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502463"/>
        <c:crosses val="autoZero"/>
        <c:auto val="0"/>
        <c:lblOffset val="100"/>
        <c:baseTimeUnit val="days"/>
      </c:dateAx>
      <c:valAx>
        <c:axId val="836502463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61887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[1]全指医药!$G$1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[1]全指医药!$A$2:$A$627</c:f>
              <c:numCache>
                <c:formatCode>General</c:formatCode>
                <c:ptCount val="626"/>
                <c:pt idx="0">
                  <c:v>43574</c:v>
                </c:pt>
                <c:pt idx="1">
                  <c:v>43567</c:v>
                </c:pt>
                <c:pt idx="2">
                  <c:v>43559</c:v>
                </c:pt>
                <c:pt idx="3">
                  <c:v>43553</c:v>
                </c:pt>
                <c:pt idx="4">
                  <c:v>43546</c:v>
                </c:pt>
                <c:pt idx="5">
                  <c:v>43539</c:v>
                </c:pt>
                <c:pt idx="6">
                  <c:v>43532</c:v>
                </c:pt>
                <c:pt idx="7">
                  <c:v>43525</c:v>
                </c:pt>
                <c:pt idx="8">
                  <c:v>43518</c:v>
                </c:pt>
                <c:pt idx="9">
                  <c:v>43511</c:v>
                </c:pt>
                <c:pt idx="10">
                  <c:v>43497</c:v>
                </c:pt>
                <c:pt idx="11">
                  <c:v>43490</c:v>
                </c:pt>
                <c:pt idx="12">
                  <c:v>43483</c:v>
                </c:pt>
                <c:pt idx="13">
                  <c:v>43476</c:v>
                </c:pt>
                <c:pt idx="14">
                  <c:v>43469</c:v>
                </c:pt>
                <c:pt idx="15">
                  <c:v>43462</c:v>
                </c:pt>
                <c:pt idx="16">
                  <c:v>43455</c:v>
                </c:pt>
                <c:pt idx="17">
                  <c:v>43448</c:v>
                </c:pt>
                <c:pt idx="18">
                  <c:v>43441</c:v>
                </c:pt>
                <c:pt idx="19">
                  <c:v>43434</c:v>
                </c:pt>
                <c:pt idx="20">
                  <c:v>43427</c:v>
                </c:pt>
                <c:pt idx="21">
                  <c:v>43420</c:v>
                </c:pt>
                <c:pt idx="22">
                  <c:v>43413</c:v>
                </c:pt>
                <c:pt idx="23">
                  <c:v>43406</c:v>
                </c:pt>
                <c:pt idx="24">
                  <c:v>43399</c:v>
                </c:pt>
                <c:pt idx="25">
                  <c:v>43392</c:v>
                </c:pt>
                <c:pt idx="26">
                  <c:v>43385</c:v>
                </c:pt>
                <c:pt idx="27">
                  <c:v>43371</c:v>
                </c:pt>
                <c:pt idx="28">
                  <c:v>43364</c:v>
                </c:pt>
                <c:pt idx="29">
                  <c:v>43357</c:v>
                </c:pt>
                <c:pt idx="30">
                  <c:v>43350</c:v>
                </c:pt>
                <c:pt idx="31">
                  <c:v>43343</c:v>
                </c:pt>
                <c:pt idx="32">
                  <c:v>43336</c:v>
                </c:pt>
                <c:pt idx="33">
                  <c:v>43329</c:v>
                </c:pt>
                <c:pt idx="34">
                  <c:v>43322</c:v>
                </c:pt>
                <c:pt idx="35">
                  <c:v>43315</c:v>
                </c:pt>
                <c:pt idx="36">
                  <c:v>43308</c:v>
                </c:pt>
                <c:pt idx="37">
                  <c:v>43301</c:v>
                </c:pt>
                <c:pt idx="38">
                  <c:v>43294</c:v>
                </c:pt>
                <c:pt idx="39">
                  <c:v>43287</c:v>
                </c:pt>
                <c:pt idx="40">
                  <c:v>43280</c:v>
                </c:pt>
                <c:pt idx="41">
                  <c:v>43273</c:v>
                </c:pt>
                <c:pt idx="42">
                  <c:v>43266</c:v>
                </c:pt>
                <c:pt idx="43">
                  <c:v>43259</c:v>
                </c:pt>
                <c:pt idx="44">
                  <c:v>43252</c:v>
                </c:pt>
                <c:pt idx="45">
                  <c:v>43245</c:v>
                </c:pt>
                <c:pt idx="46">
                  <c:v>43238</c:v>
                </c:pt>
                <c:pt idx="47">
                  <c:v>43231</c:v>
                </c:pt>
                <c:pt idx="48">
                  <c:v>43224</c:v>
                </c:pt>
                <c:pt idx="49">
                  <c:v>43217</c:v>
                </c:pt>
                <c:pt idx="50">
                  <c:v>43210</c:v>
                </c:pt>
                <c:pt idx="51">
                  <c:v>43203</c:v>
                </c:pt>
                <c:pt idx="52">
                  <c:v>43194</c:v>
                </c:pt>
                <c:pt idx="53">
                  <c:v>43189</c:v>
                </c:pt>
                <c:pt idx="54">
                  <c:v>43182</c:v>
                </c:pt>
                <c:pt idx="55">
                  <c:v>43175</c:v>
                </c:pt>
                <c:pt idx="56">
                  <c:v>43168</c:v>
                </c:pt>
                <c:pt idx="57">
                  <c:v>43161</c:v>
                </c:pt>
                <c:pt idx="58">
                  <c:v>43154</c:v>
                </c:pt>
                <c:pt idx="59">
                  <c:v>43145</c:v>
                </c:pt>
                <c:pt idx="60">
                  <c:v>43140</c:v>
                </c:pt>
                <c:pt idx="61">
                  <c:v>43133</c:v>
                </c:pt>
                <c:pt idx="62">
                  <c:v>43126</c:v>
                </c:pt>
                <c:pt idx="63">
                  <c:v>43119</c:v>
                </c:pt>
                <c:pt idx="64">
                  <c:v>43112</c:v>
                </c:pt>
                <c:pt idx="65">
                  <c:v>43105</c:v>
                </c:pt>
                <c:pt idx="66">
                  <c:v>43098</c:v>
                </c:pt>
                <c:pt idx="67">
                  <c:v>43091</c:v>
                </c:pt>
                <c:pt idx="68">
                  <c:v>43084</c:v>
                </c:pt>
                <c:pt idx="69">
                  <c:v>43077</c:v>
                </c:pt>
                <c:pt idx="70">
                  <c:v>43070</c:v>
                </c:pt>
                <c:pt idx="71">
                  <c:v>43063</c:v>
                </c:pt>
                <c:pt idx="72">
                  <c:v>43056</c:v>
                </c:pt>
                <c:pt idx="73">
                  <c:v>43049</c:v>
                </c:pt>
                <c:pt idx="74">
                  <c:v>43042</c:v>
                </c:pt>
                <c:pt idx="75">
                  <c:v>43035</c:v>
                </c:pt>
                <c:pt idx="76">
                  <c:v>43028</c:v>
                </c:pt>
                <c:pt idx="77">
                  <c:v>43021</c:v>
                </c:pt>
                <c:pt idx="78">
                  <c:v>43007</c:v>
                </c:pt>
                <c:pt idx="79">
                  <c:v>43000</c:v>
                </c:pt>
                <c:pt idx="80">
                  <c:v>42993</c:v>
                </c:pt>
                <c:pt idx="81">
                  <c:v>42986</c:v>
                </c:pt>
                <c:pt idx="82">
                  <c:v>42979</c:v>
                </c:pt>
                <c:pt idx="83">
                  <c:v>42972</c:v>
                </c:pt>
                <c:pt idx="84">
                  <c:v>42965</c:v>
                </c:pt>
                <c:pt idx="85">
                  <c:v>42958</c:v>
                </c:pt>
                <c:pt idx="86">
                  <c:v>42951</c:v>
                </c:pt>
                <c:pt idx="87">
                  <c:v>42944</c:v>
                </c:pt>
                <c:pt idx="88">
                  <c:v>42937</c:v>
                </c:pt>
                <c:pt idx="89">
                  <c:v>42930</c:v>
                </c:pt>
                <c:pt idx="90">
                  <c:v>42923</c:v>
                </c:pt>
                <c:pt idx="91">
                  <c:v>42916</c:v>
                </c:pt>
                <c:pt idx="92">
                  <c:v>42909</c:v>
                </c:pt>
                <c:pt idx="93">
                  <c:v>42902</c:v>
                </c:pt>
                <c:pt idx="94">
                  <c:v>42895</c:v>
                </c:pt>
                <c:pt idx="95">
                  <c:v>42888</c:v>
                </c:pt>
                <c:pt idx="96">
                  <c:v>42881</c:v>
                </c:pt>
                <c:pt idx="97">
                  <c:v>42874</c:v>
                </c:pt>
                <c:pt idx="98">
                  <c:v>42867</c:v>
                </c:pt>
                <c:pt idx="99">
                  <c:v>42860</c:v>
                </c:pt>
                <c:pt idx="100">
                  <c:v>42853</c:v>
                </c:pt>
                <c:pt idx="101">
                  <c:v>42846</c:v>
                </c:pt>
                <c:pt idx="102">
                  <c:v>42839</c:v>
                </c:pt>
                <c:pt idx="103">
                  <c:v>42832</c:v>
                </c:pt>
                <c:pt idx="104">
                  <c:v>42825</c:v>
                </c:pt>
                <c:pt idx="105">
                  <c:v>42818</c:v>
                </c:pt>
                <c:pt idx="106">
                  <c:v>42811</c:v>
                </c:pt>
                <c:pt idx="107">
                  <c:v>42804</c:v>
                </c:pt>
                <c:pt idx="108">
                  <c:v>42797</c:v>
                </c:pt>
                <c:pt idx="109">
                  <c:v>42790</c:v>
                </c:pt>
                <c:pt idx="110">
                  <c:v>42783</c:v>
                </c:pt>
                <c:pt idx="111">
                  <c:v>42776</c:v>
                </c:pt>
                <c:pt idx="112">
                  <c:v>42769</c:v>
                </c:pt>
                <c:pt idx="113">
                  <c:v>42761</c:v>
                </c:pt>
                <c:pt idx="114">
                  <c:v>42755</c:v>
                </c:pt>
                <c:pt idx="115">
                  <c:v>42748</c:v>
                </c:pt>
                <c:pt idx="116">
                  <c:v>42741</c:v>
                </c:pt>
                <c:pt idx="117">
                  <c:v>42734</c:v>
                </c:pt>
                <c:pt idx="118">
                  <c:v>42727</c:v>
                </c:pt>
                <c:pt idx="119">
                  <c:v>42720</c:v>
                </c:pt>
                <c:pt idx="120">
                  <c:v>42713</c:v>
                </c:pt>
                <c:pt idx="121">
                  <c:v>42706</c:v>
                </c:pt>
                <c:pt idx="122">
                  <c:v>42699</c:v>
                </c:pt>
                <c:pt idx="123">
                  <c:v>42692</c:v>
                </c:pt>
                <c:pt idx="124">
                  <c:v>42685</c:v>
                </c:pt>
                <c:pt idx="125">
                  <c:v>42678</c:v>
                </c:pt>
                <c:pt idx="126">
                  <c:v>42671</c:v>
                </c:pt>
                <c:pt idx="127">
                  <c:v>42664</c:v>
                </c:pt>
                <c:pt idx="128">
                  <c:v>42657</c:v>
                </c:pt>
                <c:pt idx="129">
                  <c:v>42643</c:v>
                </c:pt>
                <c:pt idx="130">
                  <c:v>42636</c:v>
                </c:pt>
                <c:pt idx="131">
                  <c:v>42627</c:v>
                </c:pt>
                <c:pt idx="132">
                  <c:v>42622</c:v>
                </c:pt>
                <c:pt idx="133">
                  <c:v>42615</c:v>
                </c:pt>
                <c:pt idx="134">
                  <c:v>42608</c:v>
                </c:pt>
                <c:pt idx="135">
                  <c:v>42601</c:v>
                </c:pt>
                <c:pt idx="136">
                  <c:v>42594</c:v>
                </c:pt>
                <c:pt idx="137">
                  <c:v>42587</c:v>
                </c:pt>
                <c:pt idx="138">
                  <c:v>42580</c:v>
                </c:pt>
                <c:pt idx="139">
                  <c:v>42573</c:v>
                </c:pt>
                <c:pt idx="140">
                  <c:v>42566</c:v>
                </c:pt>
                <c:pt idx="141">
                  <c:v>42559</c:v>
                </c:pt>
                <c:pt idx="142">
                  <c:v>42552</c:v>
                </c:pt>
                <c:pt idx="143">
                  <c:v>42545</c:v>
                </c:pt>
                <c:pt idx="144">
                  <c:v>42538</c:v>
                </c:pt>
                <c:pt idx="145">
                  <c:v>42529</c:v>
                </c:pt>
                <c:pt idx="146">
                  <c:v>42524</c:v>
                </c:pt>
                <c:pt idx="147">
                  <c:v>42517</c:v>
                </c:pt>
                <c:pt idx="148">
                  <c:v>42510</c:v>
                </c:pt>
                <c:pt idx="149">
                  <c:v>42503</c:v>
                </c:pt>
                <c:pt idx="150">
                  <c:v>42496</c:v>
                </c:pt>
                <c:pt idx="151">
                  <c:v>42489</c:v>
                </c:pt>
                <c:pt idx="152">
                  <c:v>42482</c:v>
                </c:pt>
                <c:pt idx="153">
                  <c:v>42475</c:v>
                </c:pt>
                <c:pt idx="154">
                  <c:v>42468</c:v>
                </c:pt>
                <c:pt idx="155">
                  <c:v>42461</c:v>
                </c:pt>
                <c:pt idx="156">
                  <c:v>42454</c:v>
                </c:pt>
                <c:pt idx="157">
                  <c:v>42447</c:v>
                </c:pt>
                <c:pt idx="158">
                  <c:v>42440</c:v>
                </c:pt>
                <c:pt idx="159">
                  <c:v>42433</c:v>
                </c:pt>
                <c:pt idx="160">
                  <c:v>42426</c:v>
                </c:pt>
                <c:pt idx="161">
                  <c:v>42419</c:v>
                </c:pt>
                <c:pt idx="162">
                  <c:v>42405</c:v>
                </c:pt>
                <c:pt idx="163">
                  <c:v>42398</c:v>
                </c:pt>
                <c:pt idx="164">
                  <c:v>42391</c:v>
                </c:pt>
                <c:pt idx="165">
                  <c:v>42384</c:v>
                </c:pt>
                <c:pt idx="166">
                  <c:v>42377</c:v>
                </c:pt>
                <c:pt idx="167">
                  <c:v>42369</c:v>
                </c:pt>
                <c:pt idx="168">
                  <c:v>42363</c:v>
                </c:pt>
                <c:pt idx="169">
                  <c:v>42356</c:v>
                </c:pt>
                <c:pt idx="170">
                  <c:v>42349</c:v>
                </c:pt>
                <c:pt idx="171">
                  <c:v>42342</c:v>
                </c:pt>
                <c:pt idx="172">
                  <c:v>42335</c:v>
                </c:pt>
                <c:pt idx="173">
                  <c:v>42328</c:v>
                </c:pt>
                <c:pt idx="174">
                  <c:v>42321</c:v>
                </c:pt>
                <c:pt idx="175">
                  <c:v>42314</c:v>
                </c:pt>
                <c:pt idx="176">
                  <c:v>42307</c:v>
                </c:pt>
                <c:pt idx="177">
                  <c:v>42300</c:v>
                </c:pt>
                <c:pt idx="178">
                  <c:v>42293</c:v>
                </c:pt>
                <c:pt idx="179">
                  <c:v>42286</c:v>
                </c:pt>
                <c:pt idx="180">
                  <c:v>42277</c:v>
                </c:pt>
                <c:pt idx="181">
                  <c:v>42272</c:v>
                </c:pt>
                <c:pt idx="182">
                  <c:v>42265</c:v>
                </c:pt>
                <c:pt idx="183">
                  <c:v>42258</c:v>
                </c:pt>
                <c:pt idx="184">
                  <c:v>42249</c:v>
                </c:pt>
                <c:pt idx="185">
                  <c:v>42244</c:v>
                </c:pt>
                <c:pt idx="186">
                  <c:v>42237</c:v>
                </c:pt>
                <c:pt idx="187">
                  <c:v>42230</c:v>
                </c:pt>
                <c:pt idx="188">
                  <c:v>42223</c:v>
                </c:pt>
                <c:pt idx="189">
                  <c:v>42216</c:v>
                </c:pt>
                <c:pt idx="190">
                  <c:v>42209</c:v>
                </c:pt>
                <c:pt idx="191">
                  <c:v>42202</c:v>
                </c:pt>
                <c:pt idx="192">
                  <c:v>42195</c:v>
                </c:pt>
                <c:pt idx="193">
                  <c:v>42188</c:v>
                </c:pt>
                <c:pt idx="194">
                  <c:v>42181</c:v>
                </c:pt>
                <c:pt idx="195">
                  <c:v>42174</c:v>
                </c:pt>
                <c:pt idx="196">
                  <c:v>42167</c:v>
                </c:pt>
                <c:pt idx="197">
                  <c:v>42160</c:v>
                </c:pt>
                <c:pt idx="198">
                  <c:v>42153</c:v>
                </c:pt>
                <c:pt idx="199">
                  <c:v>42146</c:v>
                </c:pt>
                <c:pt idx="200">
                  <c:v>42139</c:v>
                </c:pt>
                <c:pt idx="201">
                  <c:v>42132</c:v>
                </c:pt>
                <c:pt idx="202">
                  <c:v>42124</c:v>
                </c:pt>
                <c:pt idx="203">
                  <c:v>42118</c:v>
                </c:pt>
                <c:pt idx="204">
                  <c:v>42111</c:v>
                </c:pt>
                <c:pt idx="205">
                  <c:v>42104</c:v>
                </c:pt>
                <c:pt idx="206">
                  <c:v>42097</c:v>
                </c:pt>
                <c:pt idx="207">
                  <c:v>42090</c:v>
                </c:pt>
                <c:pt idx="208">
                  <c:v>42083</c:v>
                </c:pt>
                <c:pt idx="209">
                  <c:v>42076</c:v>
                </c:pt>
                <c:pt idx="210">
                  <c:v>42069</c:v>
                </c:pt>
                <c:pt idx="211">
                  <c:v>42062</c:v>
                </c:pt>
                <c:pt idx="212">
                  <c:v>42052</c:v>
                </c:pt>
                <c:pt idx="213">
                  <c:v>42048</c:v>
                </c:pt>
                <c:pt idx="214">
                  <c:v>42041</c:v>
                </c:pt>
                <c:pt idx="215">
                  <c:v>42034</c:v>
                </c:pt>
                <c:pt idx="216">
                  <c:v>42027</c:v>
                </c:pt>
                <c:pt idx="217">
                  <c:v>42020</c:v>
                </c:pt>
                <c:pt idx="218">
                  <c:v>42013</c:v>
                </c:pt>
                <c:pt idx="219">
                  <c:v>42004</c:v>
                </c:pt>
                <c:pt idx="220">
                  <c:v>41999</c:v>
                </c:pt>
                <c:pt idx="221">
                  <c:v>41992</c:v>
                </c:pt>
                <c:pt idx="222">
                  <c:v>41985</c:v>
                </c:pt>
                <c:pt idx="223">
                  <c:v>41978</c:v>
                </c:pt>
                <c:pt idx="224">
                  <c:v>41971</c:v>
                </c:pt>
                <c:pt idx="225">
                  <c:v>41964</c:v>
                </c:pt>
                <c:pt idx="226">
                  <c:v>41957</c:v>
                </c:pt>
                <c:pt idx="227">
                  <c:v>41950</c:v>
                </c:pt>
                <c:pt idx="228">
                  <c:v>41943</c:v>
                </c:pt>
                <c:pt idx="229">
                  <c:v>41936</c:v>
                </c:pt>
                <c:pt idx="230">
                  <c:v>41929</c:v>
                </c:pt>
                <c:pt idx="231">
                  <c:v>41922</c:v>
                </c:pt>
                <c:pt idx="232">
                  <c:v>41912</c:v>
                </c:pt>
                <c:pt idx="233">
                  <c:v>41908</c:v>
                </c:pt>
                <c:pt idx="234">
                  <c:v>41901</c:v>
                </c:pt>
                <c:pt idx="235">
                  <c:v>41894</c:v>
                </c:pt>
                <c:pt idx="236">
                  <c:v>41887</c:v>
                </c:pt>
                <c:pt idx="237">
                  <c:v>41880</c:v>
                </c:pt>
                <c:pt idx="238">
                  <c:v>41873</c:v>
                </c:pt>
                <c:pt idx="239">
                  <c:v>41866</c:v>
                </c:pt>
                <c:pt idx="240">
                  <c:v>41859</c:v>
                </c:pt>
                <c:pt idx="241">
                  <c:v>41852</c:v>
                </c:pt>
                <c:pt idx="242">
                  <c:v>41845</c:v>
                </c:pt>
                <c:pt idx="243">
                  <c:v>41838</c:v>
                </c:pt>
                <c:pt idx="244">
                  <c:v>41831</c:v>
                </c:pt>
                <c:pt idx="245">
                  <c:v>41824</c:v>
                </c:pt>
                <c:pt idx="246">
                  <c:v>41817</c:v>
                </c:pt>
                <c:pt idx="247">
                  <c:v>41810</c:v>
                </c:pt>
                <c:pt idx="248">
                  <c:v>41803</c:v>
                </c:pt>
                <c:pt idx="249">
                  <c:v>41796</c:v>
                </c:pt>
                <c:pt idx="250">
                  <c:v>41789</c:v>
                </c:pt>
                <c:pt idx="251">
                  <c:v>41782</c:v>
                </c:pt>
                <c:pt idx="252">
                  <c:v>41775</c:v>
                </c:pt>
                <c:pt idx="253">
                  <c:v>41768</c:v>
                </c:pt>
                <c:pt idx="254">
                  <c:v>41759</c:v>
                </c:pt>
                <c:pt idx="255">
                  <c:v>41754</c:v>
                </c:pt>
                <c:pt idx="256">
                  <c:v>41747</c:v>
                </c:pt>
                <c:pt idx="257">
                  <c:v>41740</c:v>
                </c:pt>
                <c:pt idx="258">
                  <c:v>41733</c:v>
                </c:pt>
                <c:pt idx="259">
                  <c:v>41726</c:v>
                </c:pt>
                <c:pt idx="260">
                  <c:v>41719</c:v>
                </c:pt>
                <c:pt idx="261">
                  <c:v>41712</c:v>
                </c:pt>
                <c:pt idx="262">
                  <c:v>41705</c:v>
                </c:pt>
                <c:pt idx="263">
                  <c:v>41698</c:v>
                </c:pt>
                <c:pt idx="264">
                  <c:v>41691</c:v>
                </c:pt>
                <c:pt idx="265">
                  <c:v>41684</c:v>
                </c:pt>
                <c:pt idx="266">
                  <c:v>41677</c:v>
                </c:pt>
                <c:pt idx="267">
                  <c:v>41669</c:v>
                </c:pt>
                <c:pt idx="268">
                  <c:v>41663</c:v>
                </c:pt>
                <c:pt idx="269">
                  <c:v>41656</c:v>
                </c:pt>
                <c:pt idx="270">
                  <c:v>41649</c:v>
                </c:pt>
                <c:pt idx="271">
                  <c:v>41642</c:v>
                </c:pt>
                <c:pt idx="272">
                  <c:v>41635</c:v>
                </c:pt>
                <c:pt idx="273">
                  <c:v>41628</c:v>
                </c:pt>
                <c:pt idx="274">
                  <c:v>41621</c:v>
                </c:pt>
                <c:pt idx="275">
                  <c:v>41614</c:v>
                </c:pt>
                <c:pt idx="276">
                  <c:v>41607</c:v>
                </c:pt>
                <c:pt idx="277">
                  <c:v>41600</c:v>
                </c:pt>
                <c:pt idx="278">
                  <c:v>41593</c:v>
                </c:pt>
                <c:pt idx="279">
                  <c:v>41586</c:v>
                </c:pt>
                <c:pt idx="280">
                  <c:v>41579</c:v>
                </c:pt>
                <c:pt idx="281">
                  <c:v>41572</c:v>
                </c:pt>
                <c:pt idx="282">
                  <c:v>41565</c:v>
                </c:pt>
                <c:pt idx="283">
                  <c:v>41558</c:v>
                </c:pt>
                <c:pt idx="284">
                  <c:v>41547</c:v>
                </c:pt>
                <c:pt idx="285">
                  <c:v>41544</c:v>
                </c:pt>
                <c:pt idx="286">
                  <c:v>41535</c:v>
                </c:pt>
                <c:pt idx="287">
                  <c:v>41530</c:v>
                </c:pt>
                <c:pt idx="288">
                  <c:v>41523</c:v>
                </c:pt>
                <c:pt idx="289">
                  <c:v>41516</c:v>
                </c:pt>
                <c:pt idx="290">
                  <c:v>41509</c:v>
                </c:pt>
                <c:pt idx="291">
                  <c:v>41502</c:v>
                </c:pt>
                <c:pt idx="292">
                  <c:v>41495</c:v>
                </c:pt>
                <c:pt idx="293">
                  <c:v>41488</c:v>
                </c:pt>
                <c:pt idx="294">
                  <c:v>41481</c:v>
                </c:pt>
                <c:pt idx="295">
                  <c:v>41474</c:v>
                </c:pt>
                <c:pt idx="296">
                  <c:v>41467</c:v>
                </c:pt>
                <c:pt idx="297">
                  <c:v>41460</c:v>
                </c:pt>
                <c:pt idx="298">
                  <c:v>41453</c:v>
                </c:pt>
                <c:pt idx="299">
                  <c:v>41446</c:v>
                </c:pt>
                <c:pt idx="300">
                  <c:v>41439</c:v>
                </c:pt>
                <c:pt idx="301">
                  <c:v>41432</c:v>
                </c:pt>
                <c:pt idx="302">
                  <c:v>41425</c:v>
                </c:pt>
                <c:pt idx="303">
                  <c:v>41418</c:v>
                </c:pt>
                <c:pt idx="304">
                  <c:v>41411</c:v>
                </c:pt>
                <c:pt idx="305">
                  <c:v>41404</c:v>
                </c:pt>
                <c:pt idx="306">
                  <c:v>41397</c:v>
                </c:pt>
                <c:pt idx="307">
                  <c:v>41390</c:v>
                </c:pt>
                <c:pt idx="308">
                  <c:v>41383</c:v>
                </c:pt>
                <c:pt idx="309">
                  <c:v>41376</c:v>
                </c:pt>
                <c:pt idx="310">
                  <c:v>41367</c:v>
                </c:pt>
                <c:pt idx="311">
                  <c:v>41362</c:v>
                </c:pt>
                <c:pt idx="312">
                  <c:v>41355</c:v>
                </c:pt>
                <c:pt idx="313">
                  <c:v>41348</c:v>
                </c:pt>
                <c:pt idx="314">
                  <c:v>41341</c:v>
                </c:pt>
                <c:pt idx="315">
                  <c:v>41334</c:v>
                </c:pt>
                <c:pt idx="316">
                  <c:v>41327</c:v>
                </c:pt>
                <c:pt idx="317">
                  <c:v>41313</c:v>
                </c:pt>
                <c:pt idx="318">
                  <c:v>41306</c:v>
                </c:pt>
                <c:pt idx="319">
                  <c:v>41299</c:v>
                </c:pt>
                <c:pt idx="320">
                  <c:v>41292</c:v>
                </c:pt>
                <c:pt idx="321">
                  <c:v>41285</c:v>
                </c:pt>
                <c:pt idx="322">
                  <c:v>41278</c:v>
                </c:pt>
                <c:pt idx="323">
                  <c:v>41271</c:v>
                </c:pt>
                <c:pt idx="324">
                  <c:v>41264</c:v>
                </c:pt>
                <c:pt idx="325">
                  <c:v>41257</c:v>
                </c:pt>
                <c:pt idx="326">
                  <c:v>41250</c:v>
                </c:pt>
                <c:pt idx="327">
                  <c:v>41243</c:v>
                </c:pt>
                <c:pt idx="328">
                  <c:v>41236</c:v>
                </c:pt>
                <c:pt idx="329">
                  <c:v>41229</c:v>
                </c:pt>
                <c:pt idx="330">
                  <c:v>41222</c:v>
                </c:pt>
                <c:pt idx="331">
                  <c:v>41215</c:v>
                </c:pt>
                <c:pt idx="332">
                  <c:v>41208</c:v>
                </c:pt>
                <c:pt idx="333">
                  <c:v>41201</c:v>
                </c:pt>
                <c:pt idx="334">
                  <c:v>41194</c:v>
                </c:pt>
                <c:pt idx="335">
                  <c:v>41180</c:v>
                </c:pt>
                <c:pt idx="336">
                  <c:v>41173</c:v>
                </c:pt>
                <c:pt idx="337">
                  <c:v>41166</c:v>
                </c:pt>
                <c:pt idx="338">
                  <c:v>41159</c:v>
                </c:pt>
                <c:pt idx="339">
                  <c:v>41152</c:v>
                </c:pt>
                <c:pt idx="340">
                  <c:v>41145</c:v>
                </c:pt>
                <c:pt idx="341">
                  <c:v>41138</c:v>
                </c:pt>
                <c:pt idx="342">
                  <c:v>41131</c:v>
                </c:pt>
                <c:pt idx="343">
                  <c:v>41124</c:v>
                </c:pt>
                <c:pt idx="344">
                  <c:v>41117</c:v>
                </c:pt>
                <c:pt idx="345">
                  <c:v>41110</c:v>
                </c:pt>
                <c:pt idx="346">
                  <c:v>41103</c:v>
                </c:pt>
                <c:pt idx="347">
                  <c:v>41096</c:v>
                </c:pt>
                <c:pt idx="348">
                  <c:v>41089</c:v>
                </c:pt>
                <c:pt idx="349">
                  <c:v>41081</c:v>
                </c:pt>
                <c:pt idx="350">
                  <c:v>41075</c:v>
                </c:pt>
                <c:pt idx="351">
                  <c:v>41068</c:v>
                </c:pt>
                <c:pt idx="352">
                  <c:v>41061</c:v>
                </c:pt>
                <c:pt idx="353">
                  <c:v>41054</c:v>
                </c:pt>
                <c:pt idx="354">
                  <c:v>41047</c:v>
                </c:pt>
                <c:pt idx="355">
                  <c:v>41040</c:v>
                </c:pt>
                <c:pt idx="356">
                  <c:v>41033</c:v>
                </c:pt>
                <c:pt idx="357">
                  <c:v>41026</c:v>
                </c:pt>
                <c:pt idx="358">
                  <c:v>41019</c:v>
                </c:pt>
                <c:pt idx="359">
                  <c:v>41012</c:v>
                </c:pt>
                <c:pt idx="360">
                  <c:v>41005</c:v>
                </c:pt>
                <c:pt idx="361">
                  <c:v>40998</c:v>
                </c:pt>
                <c:pt idx="362">
                  <c:v>40991</c:v>
                </c:pt>
                <c:pt idx="363">
                  <c:v>40984</c:v>
                </c:pt>
                <c:pt idx="364">
                  <c:v>40977</c:v>
                </c:pt>
                <c:pt idx="365">
                  <c:v>40970</c:v>
                </c:pt>
                <c:pt idx="366">
                  <c:v>40963</c:v>
                </c:pt>
                <c:pt idx="367">
                  <c:v>40956</c:v>
                </c:pt>
                <c:pt idx="368">
                  <c:v>40949</c:v>
                </c:pt>
                <c:pt idx="369">
                  <c:v>40942</c:v>
                </c:pt>
                <c:pt idx="370">
                  <c:v>40928</c:v>
                </c:pt>
                <c:pt idx="371">
                  <c:v>40921</c:v>
                </c:pt>
                <c:pt idx="372">
                  <c:v>40914</c:v>
                </c:pt>
                <c:pt idx="373">
                  <c:v>40907</c:v>
                </c:pt>
                <c:pt idx="374">
                  <c:v>40900</c:v>
                </c:pt>
                <c:pt idx="375">
                  <c:v>40893</c:v>
                </c:pt>
                <c:pt idx="376">
                  <c:v>40886</c:v>
                </c:pt>
                <c:pt idx="377">
                  <c:v>40879</c:v>
                </c:pt>
                <c:pt idx="378">
                  <c:v>40872</c:v>
                </c:pt>
                <c:pt idx="379">
                  <c:v>40865</c:v>
                </c:pt>
                <c:pt idx="380">
                  <c:v>40858</c:v>
                </c:pt>
                <c:pt idx="381">
                  <c:v>40851</c:v>
                </c:pt>
                <c:pt idx="382">
                  <c:v>40844</c:v>
                </c:pt>
                <c:pt idx="383">
                  <c:v>40837</c:v>
                </c:pt>
                <c:pt idx="384">
                  <c:v>40830</c:v>
                </c:pt>
                <c:pt idx="385">
                  <c:v>40816</c:v>
                </c:pt>
                <c:pt idx="386">
                  <c:v>40809</c:v>
                </c:pt>
                <c:pt idx="387">
                  <c:v>40802</c:v>
                </c:pt>
                <c:pt idx="388">
                  <c:v>40795</c:v>
                </c:pt>
                <c:pt idx="389">
                  <c:v>40788</c:v>
                </c:pt>
                <c:pt idx="390">
                  <c:v>40781</c:v>
                </c:pt>
                <c:pt idx="391">
                  <c:v>40774</c:v>
                </c:pt>
                <c:pt idx="392">
                  <c:v>40767</c:v>
                </c:pt>
                <c:pt idx="393">
                  <c:v>40760</c:v>
                </c:pt>
              </c:numCache>
            </c:numRef>
          </c:cat>
          <c:val>
            <c:numRef>
              <c:f>[1]全指医药!$G$2:$G$627</c:f>
              <c:numCache>
                <c:formatCode>General</c:formatCode>
                <c:ptCount val="626"/>
                <c:pt idx="0">
                  <c:v>0</c:v>
                </c:pt>
                <c:pt idx="1">
                  <c:v>299.50225971678219</c:v>
                </c:pt>
                <c:pt idx="2">
                  <c:v>298.30051344004829</c:v>
                </c:pt>
                <c:pt idx="3">
                  <c:v>298.58005952380955</c:v>
                </c:pt>
                <c:pt idx="4">
                  <c:v>299.12303422756708</c:v>
                </c:pt>
                <c:pt idx="5">
                  <c:v>300.45151231680694</c:v>
                </c:pt>
                <c:pt idx="6">
                  <c:v>301.61324156014416</c:v>
                </c:pt>
                <c:pt idx="7">
                  <c:v>302.06151742993848</c:v>
                </c:pt>
                <c:pt idx="8">
                  <c:v>301.86260330578511</c:v>
                </c:pt>
                <c:pt idx="9">
                  <c:v>301.79261992619922</c:v>
                </c:pt>
                <c:pt idx="10">
                  <c:v>300.19772727272732</c:v>
                </c:pt>
                <c:pt idx="11">
                  <c:v>300.08597830453999</c:v>
                </c:pt>
                <c:pt idx="12">
                  <c:v>299.68372280419015</c:v>
                </c:pt>
                <c:pt idx="13">
                  <c:v>300.39483101391653</c:v>
                </c:pt>
                <c:pt idx="14">
                  <c:v>300.14737274220033</c:v>
                </c:pt>
                <c:pt idx="15">
                  <c:v>299.88439306358384</c:v>
                </c:pt>
                <c:pt idx="16">
                  <c:v>299.3145388642771</c:v>
                </c:pt>
                <c:pt idx="17">
                  <c:v>299.49918831168827</c:v>
                </c:pt>
                <c:pt idx="18">
                  <c:v>304.40339375241035</c:v>
                </c:pt>
                <c:pt idx="19">
                  <c:v>303.06728624535316</c:v>
                </c:pt>
                <c:pt idx="20">
                  <c:v>310.92479523454955</c:v>
                </c:pt>
                <c:pt idx="21">
                  <c:v>310.93729003359465</c:v>
                </c:pt>
                <c:pt idx="22">
                  <c:v>310.70780399274048</c:v>
                </c:pt>
                <c:pt idx="23">
                  <c:v>310.50582487786545</c:v>
                </c:pt>
                <c:pt idx="24">
                  <c:v>310.36474953617812</c:v>
                </c:pt>
                <c:pt idx="25">
                  <c:v>312.56134723336004</c:v>
                </c:pt>
                <c:pt idx="26">
                  <c:v>318.71932704144439</c:v>
                </c:pt>
                <c:pt idx="27">
                  <c:v>319.1115009746589</c:v>
                </c:pt>
                <c:pt idx="28">
                  <c:v>320.32590233545648</c:v>
                </c:pt>
                <c:pt idx="29">
                  <c:v>320.28799419659049</c:v>
                </c:pt>
                <c:pt idx="30">
                  <c:v>319.39240506329111</c:v>
                </c:pt>
                <c:pt idx="31">
                  <c:v>320.09417989417989</c:v>
                </c:pt>
                <c:pt idx="32">
                  <c:v>319.63661873027007</c:v>
                </c:pt>
                <c:pt idx="33">
                  <c:v>316.40193036883829</c:v>
                </c:pt>
                <c:pt idx="34">
                  <c:v>312.25679442508715</c:v>
                </c:pt>
                <c:pt idx="35">
                  <c:v>308.83020090732339</c:v>
                </c:pt>
                <c:pt idx="36">
                  <c:v>307.60869565217394</c:v>
                </c:pt>
                <c:pt idx="37">
                  <c:v>306.54836759371227</c:v>
                </c:pt>
                <c:pt idx="38">
                  <c:v>306.49780380673502</c:v>
                </c:pt>
                <c:pt idx="39">
                  <c:v>305.62315550510783</c:v>
                </c:pt>
                <c:pt idx="40">
                  <c:v>305.99662162162161</c:v>
                </c:pt>
                <c:pt idx="41">
                  <c:v>306.36840571262019</c:v>
                </c:pt>
                <c:pt idx="42">
                  <c:v>306.89395700174316</c:v>
                </c:pt>
                <c:pt idx="43">
                  <c:v>307.18155784650628</c:v>
                </c:pt>
                <c:pt idx="44">
                  <c:v>306.85070575461452</c:v>
                </c:pt>
                <c:pt idx="45">
                  <c:v>306.54830718414536</c:v>
                </c:pt>
                <c:pt idx="46">
                  <c:v>306.06408579649491</c:v>
                </c:pt>
                <c:pt idx="47">
                  <c:v>307.56268535993524</c:v>
                </c:pt>
                <c:pt idx="48">
                  <c:v>307.0771342300302</c:v>
                </c:pt>
                <c:pt idx="49">
                  <c:v>307.32532812063664</c:v>
                </c:pt>
                <c:pt idx="50">
                  <c:v>300.39709983268267</c:v>
                </c:pt>
                <c:pt idx="51">
                  <c:v>287.78982300884957</c:v>
                </c:pt>
                <c:pt idx="52">
                  <c:v>283.80554814617233</c:v>
                </c:pt>
                <c:pt idx="53">
                  <c:v>283.59601593625496</c:v>
                </c:pt>
                <c:pt idx="54">
                  <c:v>280.4795413083138</c:v>
                </c:pt>
                <c:pt idx="55">
                  <c:v>279.0568057080132</c:v>
                </c:pt>
                <c:pt idx="56">
                  <c:v>279.4808163265306</c:v>
                </c:pt>
                <c:pt idx="57">
                  <c:v>278.45637044967879</c:v>
                </c:pt>
                <c:pt idx="58">
                  <c:v>278.15798414496038</c:v>
                </c:pt>
                <c:pt idx="59">
                  <c:v>279.64885274469935</c:v>
                </c:pt>
                <c:pt idx="60">
                  <c:v>279.35505750516074</c:v>
                </c:pt>
                <c:pt idx="61">
                  <c:v>279.18404907975457</c:v>
                </c:pt>
                <c:pt idx="62">
                  <c:v>279.05715918833948</c:v>
                </c:pt>
                <c:pt idx="63">
                  <c:v>278.80810810810812</c:v>
                </c:pt>
                <c:pt idx="64">
                  <c:v>278.54888039322776</c:v>
                </c:pt>
                <c:pt idx="65">
                  <c:v>278.67365591397845</c:v>
                </c:pt>
                <c:pt idx="66">
                  <c:v>278.54266304347829</c:v>
                </c:pt>
                <c:pt idx="67">
                  <c:v>278.10988708344809</c:v>
                </c:pt>
                <c:pt idx="68">
                  <c:v>278.30929531121473</c:v>
                </c:pt>
                <c:pt idx="69">
                  <c:v>278.46990291262136</c:v>
                </c:pt>
                <c:pt idx="70">
                  <c:v>287.8203714451538</c:v>
                </c:pt>
                <c:pt idx="71">
                  <c:v>287.64384748700172</c:v>
                </c:pt>
                <c:pt idx="72">
                  <c:v>288.09111813739582</c:v>
                </c:pt>
                <c:pt idx="73">
                  <c:v>288.25447427293068</c:v>
                </c:pt>
                <c:pt idx="74">
                  <c:v>287.86086003834566</c:v>
                </c:pt>
                <c:pt idx="75">
                  <c:v>287.41844769403826</c:v>
                </c:pt>
                <c:pt idx="76">
                  <c:v>282.33106452491154</c:v>
                </c:pt>
                <c:pt idx="77">
                  <c:v>264.88891779396465</c:v>
                </c:pt>
                <c:pt idx="78">
                  <c:v>264.18108389786346</c:v>
                </c:pt>
                <c:pt idx="79">
                  <c:v>264.41358695652178</c:v>
                </c:pt>
                <c:pt idx="80">
                  <c:v>265.07948294829487</c:v>
                </c:pt>
                <c:pt idx="81">
                  <c:v>265.26427003293082</c:v>
                </c:pt>
                <c:pt idx="82">
                  <c:v>265.09983588621441</c:v>
                </c:pt>
                <c:pt idx="83">
                  <c:v>264.89833795013851</c:v>
                </c:pt>
                <c:pt idx="84">
                  <c:v>258.97547015535571</c:v>
                </c:pt>
                <c:pt idx="85">
                  <c:v>253.24422617467476</c:v>
                </c:pt>
                <c:pt idx="86">
                  <c:v>251.34977217904049</c:v>
                </c:pt>
                <c:pt idx="87">
                  <c:v>250.53957030187652</c:v>
                </c:pt>
                <c:pt idx="88">
                  <c:v>250.13696414127796</c:v>
                </c:pt>
                <c:pt idx="89">
                  <c:v>249.48437500000003</c:v>
                </c:pt>
                <c:pt idx="90">
                  <c:v>249.02069688236836</c:v>
                </c:pt>
                <c:pt idx="91">
                  <c:v>248.73907455012855</c:v>
                </c:pt>
                <c:pt idx="92">
                  <c:v>249.12868020304569</c:v>
                </c:pt>
                <c:pt idx="93">
                  <c:v>249.15925542916236</c:v>
                </c:pt>
                <c:pt idx="94">
                  <c:v>248.94042994042994</c:v>
                </c:pt>
                <c:pt idx="95">
                  <c:v>255.95130388504523</c:v>
                </c:pt>
                <c:pt idx="96">
                  <c:v>255.80235422940046</c:v>
                </c:pt>
                <c:pt idx="97">
                  <c:v>255.9915462230706</c:v>
                </c:pt>
                <c:pt idx="98">
                  <c:v>255.79503105590061</c:v>
                </c:pt>
                <c:pt idx="99">
                  <c:v>255.15844585285205</c:v>
                </c:pt>
                <c:pt idx="100">
                  <c:v>255.56006493506493</c:v>
                </c:pt>
                <c:pt idx="101">
                  <c:v>260.11243889190655</c:v>
                </c:pt>
                <c:pt idx="102">
                  <c:v>256.543850408217</c:v>
                </c:pt>
                <c:pt idx="103">
                  <c:v>250.33032258064515</c:v>
                </c:pt>
                <c:pt idx="104">
                  <c:v>249.6187341772152</c:v>
                </c:pt>
                <c:pt idx="105">
                  <c:v>248.98189699133096</c:v>
                </c:pt>
                <c:pt idx="106">
                  <c:v>246.54879250862496</c:v>
                </c:pt>
                <c:pt idx="107">
                  <c:v>245.53531037949236</c:v>
                </c:pt>
                <c:pt idx="108">
                  <c:v>244.84768881030561</c:v>
                </c:pt>
                <c:pt idx="109">
                  <c:v>245.30060882800609</c:v>
                </c:pt>
                <c:pt idx="110">
                  <c:v>245.37246049661402</c:v>
                </c:pt>
                <c:pt idx="111">
                  <c:v>244.80738445649368</c:v>
                </c:pt>
                <c:pt idx="112">
                  <c:v>244.55467145790556</c:v>
                </c:pt>
                <c:pt idx="113">
                  <c:v>244.70212215320913</c:v>
                </c:pt>
                <c:pt idx="114">
                  <c:v>244.58815925542916</c:v>
                </c:pt>
                <c:pt idx="115">
                  <c:v>244.39637985309548</c:v>
                </c:pt>
                <c:pt idx="116">
                  <c:v>246.14877984780895</c:v>
                </c:pt>
                <c:pt idx="117">
                  <c:v>246.79533213644521</c:v>
                </c:pt>
                <c:pt idx="118">
                  <c:v>247.19269359403137</c:v>
                </c:pt>
                <c:pt idx="119">
                  <c:v>246.20448107133663</c:v>
                </c:pt>
                <c:pt idx="120">
                  <c:v>247.25856296677824</c:v>
                </c:pt>
                <c:pt idx="121">
                  <c:v>235.66177861873226</c:v>
                </c:pt>
                <c:pt idx="122">
                  <c:v>235.92105263157893</c:v>
                </c:pt>
                <c:pt idx="123">
                  <c:v>235.81199351701784</c:v>
                </c:pt>
                <c:pt idx="124">
                  <c:v>235.25296442687747</c:v>
                </c:pt>
                <c:pt idx="125">
                  <c:v>235.23928238583409</c:v>
                </c:pt>
                <c:pt idx="126">
                  <c:v>235.82583216127523</c:v>
                </c:pt>
                <c:pt idx="127">
                  <c:v>236.13006597549483</c:v>
                </c:pt>
                <c:pt idx="128">
                  <c:v>225.21426973831356</c:v>
                </c:pt>
                <c:pt idx="129">
                  <c:v>227.21314785730311</c:v>
                </c:pt>
                <c:pt idx="130">
                  <c:v>232.25985915492959</c:v>
                </c:pt>
                <c:pt idx="131">
                  <c:v>232.49249882794186</c:v>
                </c:pt>
                <c:pt idx="132">
                  <c:v>232.46296737318409</c:v>
                </c:pt>
                <c:pt idx="133">
                  <c:v>232.73430962343093</c:v>
                </c:pt>
                <c:pt idx="134">
                  <c:v>232.50772471910111</c:v>
                </c:pt>
                <c:pt idx="135">
                  <c:v>231.45576345576345</c:v>
                </c:pt>
                <c:pt idx="136">
                  <c:v>231.68780487804878</c:v>
                </c:pt>
                <c:pt idx="137">
                  <c:v>230.82044002838893</c:v>
                </c:pt>
                <c:pt idx="138">
                  <c:v>229.76134734830387</c:v>
                </c:pt>
                <c:pt idx="139">
                  <c:v>229.45606595995287</c:v>
                </c:pt>
                <c:pt idx="140">
                  <c:v>223.98709082526508</c:v>
                </c:pt>
                <c:pt idx="141">
                  <c:v>223.87343215507411</c:v>
                </c:pt>
                <c:pt idx="142">
                  <c:v>223.92910622367802</c:v>
                </c:pt>
                <c:pt idx="143">
                  <c:v>224.08802133850628</c:v>
                </c:pt>
                <c:pt idx="144">
                  <c:v>224.32575757575754</c:v>
                </c:pt>
                <c:pt idx="145">
                  <c:v>224.12988966900699</c:v>
                </c:pt>
                <c:pt idx="146">
                  <c:v>218.65099369849736</c:v>
                </c:pt>
                <c:pt idx="147">
                  <c:v>218.8064516129032</c:v>
                </c:pt>
                <c:pt idx="148">
                  <c:v>218.96771752837327</c:v>
                </c:pt>
                <c:pt idx="149">
                  <c:v>219.35692771084337</c:v>
                </c:pt>
                <c:pt idx="150">
                  <c:v>215.81172686788719</c:v>
                </c:pt>
                <c:pt idx="151">
                  <c:v>215.2823416044327</c:v>
                </c:pt>
                <c:pt idx="152">
                  <c:v>216.45166747220878</c:v>
                </c:pt>
                <c:pt idx="153">
                  <c:v>206.59363468634686</c:v>
                </c:pt>
                <c:pt idx="154">
                  <c:v>202.2658713250959</c:v>
                </c:pt>
                <c:pt idx="155">
                  <c:v>202.91468253968253</c:v>
                </c:pt>
                <c:pt idx="156">
                  <c:v>202.53938318171734</c:v>
                </c:pt>
                <c:pt idx="157">
                  <c:v>206.89280837505692</c:v>
                </c:pt>
                <c:pt idx="158">
                  <c:v>206.57746155611659</c:v>
                </c:pt>
                <c:pt idx="159">
                  <c:v>205.89320148331271</c:v>
                </c:pt>
                <c:pt idx="160">
                  <c:v>205.12387002198875</c:v>
                </c:pt>
                <c:pt idx="161">
                  <c:v>205.8195615514334</c:v>
                </c:pt>
                <c:pt idx="162">
                  <c:v>206.06088141753744</c:v>
                </c:pt>
                <c:pt idx="163">
                  <c:v>205.03656522764803</c:v>
                </c:pt>
                <c:pt idx="164">
                  <c:v>205.67886977886974</c:v>
                </c:pt>
                <c:pt idx="165">
                  <c:v>205.78740519420822</c:v>
                </c:pt>
                <c:pt idx="166">
                  <c:v>209.27856804172595</c:v>
                </c:pt>
                <c:pt idx="167">
                  <c:v>209.90576375191759</c:v>
                </c:pt>
                <c:pt idx="168">
                  <c:v>210.65977054730112</c:v>
                </c:pt>
                <c:pt idx="169">
                  <c:v>211.96391561806072</c:v>
                </c:pt>
                <c:pt idx="170">
                  <c:v>211.68683812405445</c:v>
                </c:pt>
                <c:pt idx="171">
                  <c:v>219.9194616977226</c:v>
                </c:pt>
                <c:pt idx="172">
                  <c:v>219.9080342577488</c:v>
                </c:pt>
                <c:pt idx="173">
                  <c:v>220.15978192493188</c:v>
                </c:pt>
                <c:pt idx="174">
                  <c:v>220.4280287884846</c:v>
                </c:pt>
                <c:pt idx="175">
                  <c:v>220.34784369305527</c:v>
                </c:pt>
                <c:pt idx="176">
                  <c:v>220.06618998978547</c:v>
                </c:pt>
                <c:pt idx="177">
                  <c:v>219.71696522655424</c:v>
                </c:pt>
                <c:pt idx="178">
                  <c:v>218.41690485912619</c:v>
                </c:pt>
                <c:pt idx="179">
                  <c:v>216.71659134925758</c:v>
                </c:pt>
                <c:pt idx="180">
                  <c:v>216.30638970422217</c:v>
                </c:pt>
                <c:pt idx="181">
                  <c:v>217.45980321574271</c:v>
                </c:pt>
                <c:pt idx="182">
                  <c:v>217.07577220077224</c:v>
                </c:pt>
                <c:pt idx="183">
                  <c:v>216.67072873507189</c:v>
                </c:pt>
                <c:pt idx="184">
                  <c:v>217.51303538175048</c:v>
                </c:pt>
                <c:pt idx="185">
                  <c:v>217.76803742920461</c:v>
                </c:pt>
                <c:pt idx="186">
                  <c:v>217.55537938844847</c:v>
                </c:pt>
                <c:pt idx="187">
                  <c:v>209.46721807544887</c:v>
                </c:pt>
                <c:pt idx="188">
                  <c:v>207.20486235252059</c:v>
                </c:pt>
                <c:pt idx="189">
                  <c:v>204.2465577382045</c:v>
                </c:pt>
                <c:pt idx="190">
                  <c:v>205.59375598544338</c:v>
                </c:pt>
                <c:pt idx="191">
                  <c:v>205.99218478638417</c:v>
                </c:pt>
                <c:pt idx="192">
                  <c:v>204.22860199714694</c:v>
                </c:pt>
                <c:pt idx="193">
                  <c:v>203.80015735641229</c:v>
                </c:pt>
                <c:pt idx="194">
                  <c:v>205.66342790516907</c:v>
                </c:pt>
                <c:pt idx="195">
                  <c:v>200.64056821935912</c:v>
                </c:pt>
                <c:pt idx="196">
                  <c:v>200.22558418214498</c:v>
                </c:pt>
                <c:pt idx="197">
                  <c:v>205.99613333333332</c:v>
                </c:pt>
                <c:pt idx="198">
                  <c:v>205.91696551724138</c:v>
                </c:pt>
                <c:pt idx="199">
                  <c:v>205.62166194241382</c:v>
                </c:pt>
                <c:pt idx="200">
                  <c:v>205.58150113722516</c:v>
                </c:pt>
                <c:pt idx="201">
                  <c:v>205.10690006798094</c:v>
                </c:pt>
                <c:pt idx="202">
                  <c:v>204.38511095204009</c:v>
                </c:pt>
                <c:pt idx="203">
                  <c:v>204.628545941124</c:v>
                </c:pt>
                <c:pt idx="204">
                  <c:v>200.25104748603351</c:v>
                </c:pt>
                <c:pt idx="205">
                  <c:v>198.44149793943737</c:v>
                </c:pt>
                <c:pt idx="206">
                  <c:v>197.71423377567717</c:v>
                </c:pt>
                <c:pt idx="207">
                  <c:v>196.82503770739066</c:v>
                </c:pt>
                <c:pt idx="208">
                  <c:v>195.95978282726725</c:v>
                </c:pt>
                <c:pt idx="209">
                  <c:v>195.80876826722337</c:v>
                </c:pt>
                <c:pt idx="210">
                  <c:v>191.09519688446559</c:v>
                </c:pt>
                <c:pt idx="211">
                  <c:v>189.88413153829174</c:v>
                </c:pt>
                <c:pt idx="212">
                  <c:v>189.94703485740155</c:v>
                </c:pt>
                <c:pt idx="213">
                  <c:v>189.80463425715584</c:v>
                </c:pt>
                <c:pt idx="214">
                  <c:v>190.49079897507571</c:v>
                </c:pt>
                <c:pt idx="215">
                  <c:v>189.45655836341757</c:v>
                </c:pt>
                <c:pt idx="216">
                  <c:v>188.78878197606195</c:v>
                </c:pt>
                <c:pt idx="217">
                  <c:v>189.374531835206</c:v>
                </c:pt>
                <c:pt idx="218">
                  <c:v>189.74909266876361</c:v>
                </c:pt>
                <c:pt idx="219">
                  <c:v>189.37076428394758</c:v>
                </c:pt>
                <c:pt idx="220">
                  <c:v>189.65613856342333</c:v>
                </c:pt>
                <c:pt idx="221">
                  <c:v>189.85202924124022</c:v>
                </c:pt>
                <c:pt idx="222">
                  <c:v>190.77067855373946</c:v>
                </c:pt>
                <c:pt idx="223">
                  <c:v>190.29278300748251</c:v>
                </c:pt>
                <c:pt idx="224">
                  <c:v>190.63640788513018</c:v>
                </c:pt>
                <c:pt idx="225">
                  <c:v>190.31478303505762</c:v>
                </c:pt>
                <c:pt idx="226">
                  <c:v>189.79805776892431</c:v>
                </c:pt>
                <c:pt idx="227">
                  <c:v>189.67274107820808</c:v>
                </c:pt>
                <c:pt idx="228">
                  <c:v>189.49006458022853</c:v>
                </c:pt>
                <c:pt idx="229">
                  <c:v>189.12302455628495</c:v>
                </c:pt>
                <c:pt idx="230">
                  <c:v>183.95496592015579</c:v>
                </c:pt>
                <c:pt idx="231">
                  <c:v>184.06925076813991</c:v>
                </c:pt>
                <c:pt idx="232">
                  <c:v>184.64470253614601</c:v>
                </c:pt>
                <c:pt idx="233">
                  <c:v>184.4114341558759</c:v>
                </c:pt>
                <c:pt idx="234">
                  <c:v>185.75293236835537</c:v>
                </c:pt>
                <c:pt idx="235">
                  <c:v>186.69281376518219</c:v>
                </c:pt>
                <c:pt idx="236">
                  <c:v>186.68690750704587</c:v>
                </c:pt>
                <c:pt idx="237">
                  <c:v>186.52995867768595</c:v>
                </c:pt>
                <c:pt idx="238">
                  <c:v>185.92416934619507</c:v>
                </c:pt>
                <c:pt idx="239">
                  <c:v>185.21920668058456</c:v>
                </c:pt>
                <c:pt idx="240">
                  <c:v>182.71155857740587</c:v>
                </c:pt>
                <c:pt idx="241">
                  <c:v>181.29078014184395</c:v>
                </c:pt>
                <c:pt idx="242">
                  <c:v>180.699947312961</c:v>
                </c:pt>
                <c:pt idx="243">
                  <c:v>180.28399452804379</c:v>
                </c:pt>
                <c:pt idx="244">
                  <c:v>180.16138722009833</c:v>
                </c:pt>
                <c:pt idx="245">
                  <c:v>180.36008676789587</c:v>
                </c:pt>
                <c:pt idx="246">
                  <c:v>179.9917355371901</c:v>
                </c:pt>
                <c:pt idx="247">
                  <c:v>179.83214481623696</c:v>
                </c:pt>
                <c:pt idx="248">
                  <c:v>179.54097437341596</c:v>
                </c:pt>
                <c:pt idx="249">
                  <c:v>181.37545026323079</c:v>
                </c:pt>
                <c:pt idx="250">
                  <c:v>181.41464788732395</c:v>
                </c:pt>
                <c:pt idx="251">
                  <c:v>181.37373167981966</c:v>
                </c:pt>
                <c:pt idx="252">
                  <c:v>181.38406214039125</c:v>
                </c:pt>
                <c:pt idx="253">
                  <c:v>181.62598540145984</c:v>
                </c:pt>
                <c:pt idx="254">
                  <c:v>181.8706597222222</c:v>
                </c:pt>
                <c:pt idx="255">
                  <c:v>181.66790830945558</c:v>
                </c:pt>
                <c:pt idx="256">
                  <c:v>182.45517043826987</c:v>
                </c:pt>
                <c:pt idx="257">
                  <c:v>178.76765799256509</c:v>
                </c:pt>
                <c:pt idx="258">
                  <c:v>178.05817320347461</c:v>
                </c:pt>
                <c:pt idx="259">
                  <c:v>177.86131386861314</c:v>
                </c:pt>
                <c:pt idx="260">
                  <c:v>177.98564852423505</c:v>
                </c:pt>
                <c:pt idx="261">
                  <c:v>176.54304291287386</c:v>
                </c:pt>
                <c:pt idx="262">
                  <c:v>176.19973992197657</c:v>
                </c:pt>
                <c:pt idx="263">
                  <c:v>178.50116913484021</c:v>
                </c:pt>
                <c:pt idx="264">
                  <c:v>178.55761693232296</c:v>
                </c:pt>
                <c:pt idx="265">
                  <c:v>178.65358490566035</c:v>
                </c:pt>
                <c:pt idx="266">
                  <c:v>178.9964303926568</c:v>
                </c:pt>
                <c:pt idx="267">
                  <c:v>179.06366047745357</c:v>
                </c:pt>
                <c:pt idx="268">
                  <c:v>179.13242739142021</c:v>
                </c:pt>
                <c:pt idx="269">
                  <c:v>178.62609619984053</c:v>
                </c:pt>
                <c:pt idx="270">
                  <c:v>178.42673942701228</c:v>
                </c:pt>
                <c:pt idx="271">
                  <c:v>178.89212187757343</c:v>
                </c:pt>
                <c:pt idx="272">
                  <c:v>178.90826666666669</c:v>
                </c:pt>
                <c:pt idx="273">
                  <c:v>178.88361951485419</c:v>
                </c:pt>
                <c:pt idx="274">
                  <c:v>179.48945147679328</c:v>
                </c:pt>
                <c:pt idx="275">
                  <c:v>179.37063711911355</c:v>
                </c:pt>
                <c:pt idx="276">
                  <c:v>179.96828929068147</c:v>
                </c:pt>
                <c:pt idx="277">
                  <c:v>179.90511551155117</c:v>
                </c:pt>
                <c:pt idx="278">
                  <c:v>180.09101251422072</c:v>
                </c:pt>
                <c:pt idx="279">
                  <c:v>179.88563300142246</c:v>
                </c:pt>
                <c:pt idx="280">
                  <c:v>180.14315600717273</c:v>
                </c:pt>
                <c:pt idx="281">
                  <c:v>180.01734432755188</c:v>
                </c:pt>
                <c:pt idx="282">
                  <c:v>173.70662039508809</c:v>
                </c:pt>
                <c:pt idx="283">
                  <c:v>173.50981404958679</c:v>
                </c:pt>
                <c:pt idx="284">
                  <c:v>173.68068297655452</c:v>
                </c:pt>
                <c:pt idx="285">
                  <c:v>173.92844364937386</c:v>
                </c:pt>
                <c:pt idx="286">
                  <c:v>174.12204522096607</c:v>
                </c:pt>
                <c:pt idx="287">
                  <c:v>174.47104978354977</c:v>
                </c:pt>
                <c:pt idx="288">
                  <c:v>174.33387978142076</c:v>
                </c:pt>
                <c:pt idx="289">
                  <c:v>174.36265515380464</c:v>
                </c:pt>
                <c:pt idx="290">
                  <c:v>174.58680651393874</c:v>
                </c:pt>
                <c:pt idx="291">
                  <c:v>172.07981967647839</c:v>
                </c:pt>
                <c:pt idx="292">
                  <c:v>169.3007217321572</c:v>
                </c:pt>
                <c:pt idx="293">
                  <c:v>168.51829573934839</c:v>
                </c:pt>
                <c:pt idx="294">
                  <c:v>167.85714285714286</c:v>
                </c:pt>
                <c:pt idx="295">
                  <c:v>167.7943371943372</c:v>
                </c:pt>
                <c:pt idx="296">
                  <c:v>167.93501611170782</c:v>
                </c:pt>
                <c:pt idx="297">
                  <c:v>168.63407447093491</c:v>
                </c:pt>
                <c:pt idx="298">
                  <c:v>168.47806896551725</c:v>
                </c:pt>
                <c:pt idx="299">
                  <c:v>167.87550665894616</c:v>
                </c:pt>
                <c:pt idx="300">
                  <c:v>168.10081209745169</c:v>
                </c:pt>
                <c:pt idx="301">
                  <c:v>167.94926350245501</c:v>
                </c:pt>
                <c:pt idx="302">
                  <c:v>168.09895259095921</c:v>
                </c:pt>
                <c:pt idx="303">
                  <c:v>168.15866008828877</c:v>
                </c:pt>
                <c:pt idx="304">
                  <c:v>168.19374831581786</c:v>
                </c:pt>
                <c:pt idx="305">
                  <c:v>170.53781053781054</c:v>
                </c:pt>
                <c:pt idx="306">
                  <c:v>170.82467352042232</c:v>
                </c:pt>
                <c:pt idx="307">
                  <c:v>170.83528070675405</c:v>
                </c:pt>
                <c:pt idx="308">
                  <c:v>164.91381278538813</c:v>
                </c:pt>
                <c:pt idx="309">
                  <c:v>163.6306105380541</c:v>
                </c:pt>
                <c:pt idx="310">
                  <c:v>165.67542323409225</c:v>
                </c:pt>
                <c:pt idx="311">
                  <c:v>163.98109480812641</c:v>
                </c:pt>
                <c:pt idx="312">
                  <c:v>162.16304937601737</c:v>
                </c:pt>
                <c:pt idx="313">
                  <c:v>162.27120926474549</c:v>
                </c:pt>
                <c:pt idx="314">
                  <c:v>161.44619205298014</c:v>
                </c:pt>
                <c:pt idx="315">
                  <c:v>159.06704514733713</c:v>
                </c:pt>
                <c:pt idx="316">
                  <c:v>158.55351437699682</c:v>
                </c:pt>
                <c:pt idx="317">
                  <c:v>157.60800871697086</c:v>
                </c:pt>
                <c:pt idx="318">
                  <c:v>157.43182441700961</c:v>
                </c:pt>
                <c:pt idx="319">
                  <c:v>156.9233409610984</c:v>
                </c:pt>
                <c:pt idx="320">
                  <c:v>156.69795918367348</c:v>
                </c:pt>
                <c:pt idx="321">
                  <c:v>156.65094614264919</c:v>
                </c:pt>
                <c:pt idx="322">
                  <c:v>156.47607131685956</c:v>
                </c:pt>
                <c:pt idx="323">
                  <c:v>156.30451738706532</c:v>
                </c:pt>
                <c:pt idx="324">
                  <c:v>157.50405186385737</c:v>
                </c:pt>
                <c:pt idx="325">
                  <c:v>157.63781942078364</c:v>
                </c:pt>
                <c:pt idx="326">
                  <c:v>158.27498300475864</c:v>
                </c:pt>
                <c:pt idx="327">
                  <c:v>158.12123311395914</c:v>
                </c:pt>
                <c:pt idx="328">
                  <c:v>157.82346685572492</c:v>
                </c:pt>
                <c:pt idx="329">
                  <c:v>158.19755600814665</c:v>
                </c:pt>
                <c:pt idx="330">
                  <c:v>158.23830213903742</c:v>
                </c:pt>
                <c:pt idx="331">
                  <c:v>158.42110389610389</c:v>
                </c:pt>
                <c:pt idx="332">
                  <c:v>158.50846394984328</c:v>
                </c:pt>
                <c:pt idx="333">
                  <c:v>165.3998649105032</c:v>
                </c:pt>
                <c:pt idx="334">
                  <c:v>162.19108280254778</c:v>
                </c:pt>
                <c:pt idx="335">
                  <c:v>163.2634847989539</c:v>
                </c:pt>
                <c:pt idx="336">
                  <c:v>163.45975855130783</c:v>
                </c:pt>
                <c:pt idx="337">
                  <c:v>163.27756913622395</c:v>
                </c:pt>
                <c:pt idx="338">
                  <c:v>163.0817120622568</c:v>
                </c:pt>
                <c:pt idx="339">
                  <c:v>162.90791180285345</c:v>
                </c:pt>
                <c:pt idx="340">
                  <c:v>162.96244452031411</c:v>
                </c:pt>
                <c:pt idx="341">
                  <c:v>165.98414795244386</c:v>
                </c:pt>
                <c:pt idx="342">
                  <c:v>165.98334443704198</c:v>
                </c:pt>
                <c:pt idx="343">
                  <c:v>164.75151708719258</c:v>
                </c:pt>
                <c:pt idx="344">
                  <c:v>162.90804973821992</c:v>
                </c:pt>
                <c:pt idx="345">
                  <c:v>162.79341619079611</c:v>
                </c:pt>
                <c:pt idx="346">
                  <c:v>162.17038473973489</c:v>
                </c:pt>
                <c:pt idx="347">
                  <c:v>162.84313725490196</c:v>
                </c:pt>
                <c:pt idx="348">
                  <c:v>163.15757381258021</c:v>
                </c:pt>
                <c:pt idx="349">
                  <c:v>162.35261437908494</c:v>
                </c:pt>
                <c:pt idx="350">
                  <c:v>162.48010610079575</c:v>
                </c:pt>
                <c:pt idx="351">
                  <c:v>162.59986945169715</c:v>
                </c:pt>
                <c:pt idx="352">
                  <c:v>162.44402342404408</c:v>
                </c:pt>
                <c:pt idx="353">
                  <c:v>162.47609359104783</c:v>
                </c:pt>
                <c:pt idx="354">
                  <c:v>162.34642356241235</c:v>
                </c:pt>
                <c:pt idx="355">
                  <c:v>162.62788259958072</c:v>
                </c:pt>
                <c:pt idx="356">
                  <c:v>162.74821124361156</c:v>
                </c:pt>
                <c:pt idx="357">
                  <c:v>162.92485349879351</c:v>
                </c:pt>
                <c:pt idx="358">
                  <c:v>166.3524196527521</c:v>
                </c:pt>
                <c:pt idx="359">
                  <c:v>165.65209602293086</c:v>
                </c:pt>
                <c:pt idx="360">
                  <c:v>168.52340582381129</c:v>
                </c:pt>
                <c:pt idx="361">
                  <c:v>168.80582891748676</c:v>
                </c:pt>
                <c:pt idx="362">
                  <c:v>169.50117096018735</c:v>
                </c:pt>
                <c:pt idx="363">
                  <c:v>170.93485461906513</c:v>
                </c:pt>
                <c:pt idx="364">
                  <c:v>171.49399293286217</c:v>
                </c:pt>
                <c:pt idx="365">
                  <c:v>170.96066402020929</c:v>
                </c:pt>
                <c:pt idx="366">
                  <c:v>170.62684951281125</c:v>
                </c:pt>
                <c:pt idx="367">
                  <c:v>170.19599427753934</c:v>
                </c:pt>
                <c:pt idx="368">
                  <c:v>170.27330115113256</c:v>
                </c:pt>
                <c:pt idx="369">
                  <c:v>170.1813020439061</c:v>
                </c:pt>
                <c:pt idx="370">
                  <c:v>169.48275862068968</c:v>
                </c:pt>
                <c:pt idx="371">
                  <c:v>169.41274238227149</c:v>
                </c:pt>
                <c:pt idx="372">
                  <c:v>169.11428571428573</c:v>
                </c:pt>
                <c:pt idx="373">
                  <c:v>169.06818181818181</c:v>
                </c:pt>
                <c:pt idx="374">
                  <c:v>172.55138036809819</c:v>
                </c:pt>
                <c:pt idx="375">
                  <c:v>173.23162583518928</c:v>
                </c:pt>
                <c:pt idx="376">
                  <c:v>173.07848837209303</c:v>
                </c:pt>
                <c:pt idx="377">
                  <c:v>173.10241379310347</c:v>
                </c:pt>
                <c:pt idx="378">
                  <c:v>173.32882585751977</c:v>
                </c:pt>
                <c:pt idx="379">
                  <c:v>173.02121312562147</c:v>
                </c:pt>
                <c:pt idx="380">
                  <c:v>172.40572556762092</c:v>
                </c:pt>
                <c:pt idx="381">
                  <c:v>173.08923375363725</c:v>
                </c:pt>
                <c:pt idx="382">
                  <c:v>173.28419697457352</c:v>
                </c:pt>
                <c:pt idx="383">
                  <c:v>174.19736842105263</c:v>
                </c:pt>
                <c:pt idx="384">
                  <c:v>162.2722371967655</c:v>
                </c:pt>
                <c:pt idx="385">
                  <c:v>163.80299172501589</c:v>
                </c:pt>
                <c:pt idx="386">
                  <c:v>163.48048540505087</c:v>
                </c:pt>
                <c:pt idx="387">
                  <c:v>163.86832298136645</c:v>
                </c:pt>
                <c:pt idx="388">
                  <c:v>163.62522686025406</c:v>
                </c:pt>
                <c:pt idx="389">
                  <c:v>163.62025694651928</c:v>
                </c:pt>
                <c:pt idx="390">
                  <c:v>164.14635568513123</c:v>
                </c:pt>
                <c:pt idx="391">
                  <c:v>161.72951273532669</c:v>
                </c:pt>
                <c:pt idx="392">
                  <c:v>159.37444444444444</c:v>
                </c:pt>
                <c:pt idx="393">
                  <c:v>160.13610431947839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3E-C347-9579-99111ECD1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216495"/>
        <c:axId val="1236250479"/>
      </c:lineChart>
      <c:dateAx>
        <c:axId val="1299216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50479"/>
        <c:crosses val="autoZero"/>
        <c:auto val="0"/>
        <c:lblOffset val="100"/>
        <c:baseTimeUnit val="days"/>
      </c:dateAx>
      <c:valAx>
        <c:axId val="1236250479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216495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340360</xdr:colOff>
      <xdr:row>401</xdr:row>
      <xdr:rowOff>116840</xdr:rowOff>
    </xdr:from>
    <xdr:to>
      <xdr:col>7</xdr:col>
      <xdr:colOff>792480</xdr:colOff>
      <xdr:row>417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157480</xdr:colOff>
      <xdr:row>401</xdr:row>
      <xdr:rowOff>147320</xdr:rowOff>
    </xdr:from>
    <xdr:to>
      <xdr:col>14</xdr:col>
      <xdr:colOff>203200</xdr:colOff>
      <xdr:row>417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dex_histo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全指医药"/>
      <sheetName val="医药100"/>
      <sheetName val="国证医药"/>
      <sheetName val="养老产业"/>
      <sheetName val="300地产"/>
      <sheetName val="地产等权"/>
      <sheetName val="国证地产"/>
      <sheetName val="深证价值"/>
      <sheetName val="中证200"/>
      <sheetName val="沪深300"/>
      <sheetName val="300价值"/>
      <sheetName val="中证500"/>
      <sheetName val="500 SNLV"/>
      <sheetName val="中国互联"/>
      <sheetName val="价值回报"/>
      <sheetName val="深证红利"/>
      <sheetName val="上证红利"/>
      <sheetName val="家用电器"/>
      <sheetName val="中证银行"/>
      <sheetName val="中证红利"/>
      <sheetName val="红利低波"/>
      <sheetName val="中证传媒"/>
      <sheetName val="中证军工"/>
      <sheetName val="恒生指数"/>
      <sheetName val="全指消费"/>
      <sheetName val="中证环保"/>
      <sheetName val="保险主题"/>
      <sheetName val="大农业"/>
      <sheetName val="全指信息"/>
      <sheetName val="全指金融"/>
      <sheetName val="证券公司"/>
      <sheetName val="食品饮料"/>
      <sheetName val="中证白酒"/>
      <sheetName val="创业板指"/>
      <sheetName val="中证生物医药"/>
      <sheetName val="SAP"/>
    </sheetNames>
    <sheetDataSet>
      <sheetData sheetId="0">
        <row r="1">
          <cell r="E1" t="str">
            <v>B</v>
          </cell>
          <cell r="G1" t="str">
            <v>E</v>
          </cell>
        </row>
        <row r="2">
          <cell r="A2">
            <v>43574</v>
          </cell>
          <cell r="E2">
            <v>2629.7566137566137</v>
          </cell>
          <cell r="G2" t="e">
            <v>#REF!</v>
          </cell>
        </row>
        <row r="3">
          <cell r="A3">
            <v>43567</v>
          </cell>
          <cell r="E3">
            <v>2619.8222811671085</v>
          </cell>
          <cell r="G3">
            <v>299.50225971678219</v>
          </cell>
        </row>
        <row r="4">
          <cell r="A4">
            <v>43559</v>
          </cell>
          <cell r="E4">
            <v>2626.2539267015709</v>
          </cell>
          <cell r="G4">
            <v>298.30051344004829</v>
          </cell>
        </row>
        <row r="5">
          <cell r="A5">
            <v>43553</v>
          </cell>
          <cell r="E5">
            <v>2607.6774193548385</v>
          </cell>
          <cell r="G5">
            <v>298.58005952380955</v>
          </cell>
        </row>
        <row r="6">
          <cell r="A6">
            <v>43546</v>
          </cell>
          <cell r="E6">
            <v>2590.1827956989246</v>
          </cell>
          <cell r="G6">
            <v>299.12303422756708</v>
          </cell>
        </row>
        <row r="7">
          <cell r="A7">
            <v>43539</v>
          </cell>
          <cell r="E7">
            <v>2577.6526610644255</v>
          </cell>
          <cell r="G7">
            <v>300.45151231680694</v>
          </cell>
        </row>
        <row r="8">
          <cell r="A8">
            <v>43532</v>
          </cell>
          <cell r="E8">
            <v>2569.2790697674418</v>
          </cell>
          <cell r="G8">
            <v>301.61324156014416</v>
          </cell>
        </row>
        <row r="9">
          <cell r="A9">
            <v>43525</v>
          </cell>
          <cell r="E9">
            <v>2563.1842105263158</v>
          </cell>
          <cell r="G9">
            <v>302.06151742993848</v>
          </cell>
        </row>
        <row r="10">
          <cell r="A10">
            <v>43518</v>
          </cell>
          <cell r="E10">
            <v>2563.818181818182</v>
          </cell>
          <cell r="G10">
            <v>301.86260330578511</v>
          </cell>
        </row>
        <row r="11">
          <cell r="A11">
            <v>43511</v>
          </cell>
          <cell r="E11">
            <v>2556.5225806451613</v>
          </cell>
          <cell r="G11">
            <v>301.79261992619922</v>
          </cell>
        </row>
        <row r="12">
          <cell r="A12">
            <v>43497</v>
          </cell>
          <cell r="E12">
            <v>2557.9246575342468</v>
          </cell>
          <cell r="G12">
            <v>300.19772727272732</v>
          </cell>
        </row>
        <row r="13">
          <cell r="A13">
            <v>43490</v>
          </cell>
          <cell r="E13">
            <v>2556.0652920962198</v>
          </cell>
          <cell r="G13">
            <v>300.08597830453999</v>
          </cell>
        </row>
        <row r="14">
          <cell r="A14">
            <v>43483</v>
          </cell>
          <cell r="E14">
            <v>2560.9932203389831</v>
          </cell>
          <cell r="G14">
            <v>299.68372280419015</v>
          </cell>
        </row>
        <row r="15">
          <cell r="A15">
            <v>43476</v>
          </cell>
          <cell r="E15">
            <v>2556.5</v>
          </cell>
          <cell r="G15">
            <v>300.39483101391653</v>
          </cell>
        </row>
        <row r="16">
          <cell r="A16">
            <v>43469</v>
          </cell>
          <cell r="E16">
            <v>2557.4647887323945</v>
          </cell>
          <cell r="G16">
            <v>300.14737274220033</v>
          </cell>
        </row>
        <row r="17">
          <cell r="A17">
            <v>43462</v>
          </cell>
          <cell r="E17">
            <v>2553.9450171821304</v>
          </cell>
          <cell r="G17">
            <v>299.88439306358384</v>
          </cell>
        </row>
        <row r="18">
          <cell r="A18">
            <v>43455</v>
          </cell>
          <cell r="E18">
            <v>2553.5155709342557</v>
          </cell>
          <cell r="G18">
            <v>299.3145388642771</v>
          </cell>
        </row>
        <row r="19">
          <cell r="A19">
            <v>43448</v>
          </cell>
          <cell r="E19">
            <v>2631.06</v>
          </cell>
          <cell r="G19">
            <v>299.49918831168827</v>
          </cell>
        </row>
        <row r="20">
          <cell r="A20">
            <v>43441</v>
          </cell>
          <cell r="E20">
            <v>2621.3858520900321</v>
          </cell>
          <cell r="G20">
            <v>304.40339375241035</v>
          </cell>
        </row>
        <row r="21">
          <cell r="A21">
            <v>43434</v>
          </cell>
          <cell r="E21">
            <v>2626.2389937106918</v>
          </cell>
          <cell r="G21">
            <v>303.06728624535316</v>
          </cell>
        </row>
        <row r="22">
          <cell r="A22">
            <v>43427</v>
          </cell>
          <cell r="E22">
            <v>2627.7634069400633</v>
          </cell>
          <cell r="G22">
            <v>310.92479523454955</v>
          </cell>
        </row>
        <row r="23">
          <cell r="A23">
            <v>43420</v>
          </cell>
          <cell r="E23">
            <v>2625.7668711656443</v>
          </cell>
          <cell r="G23">
            <v>310.93729003359465</v>
          </cell>
        </row>
        <row r="24">
          <cell r="A24">
            <v>43413</v>
          </cell>
          <cell r="E24">
            <v>2623.0349206349206</v>
          </cell>
          <cell r="G24">
            <v>310.70780399274048</v>
          </cell>
        </row>
        <row r="25">
          <cell r="A25">
            <v>43406</v>
          </cell>
          <cell r="E25">
            <v>2622.0470219435738</v>
          </cell>
          <cell r="G25">
            <v>310.50582487786545</v>
          </cell>
        </row>
        <row r="26">
          <cell r="A26">
            <v>43399</v>
          </cell>
          <cell r="E26">
            <v>2547.4771241830063</v>
          </cell>
          <cell r="G26">
            <v>310.36474953617812</v>
          </cell>
        </row>
        <row r="27">
          <cell r="A27">
            <v>43392</v>
          </cell>
          <cell r="E27">
            <v>2521.8149350649351</v>
          </cell>
          <cell r="G27">
            <v>312.56134723336004</v>
          </cell>
        </row>
        <row r="28">
          <cell r="A28">
            <v>43385</v>
          </cell>
          <cell r="E28">
            <v>2526.2993827160494</v>
          </cell>
          <cell r="G28">
            <v>318.71932704144439</v>
          </cell>
        </row>
        <row r="29">
          <cell r="A29">
            <v>43371</v>
          </cell>
          <cell r="E29">
            <v>2535.6890756302523</v>
          </cell>
          <cell r="G29">
            <v>319.1115009746589</v>
          </cell>
        </row>
        <row r="30">
          <cell r="A30">
            <v>43364</v>
          </cell>
          <cell r="E30">
            <v>2537.4540229885056</v>
          </cell>
          <cell r="G30">
            <v>320.32590233545648</v>
          </cell>
        </row>
        <row r="31">
          <cell r="A31">
            <v>43357</v>
          </cell>
          <cell r="E31">
            <v>2530.6430678466072</v>
          </cell>
          <cell r="G31">
            <v>320.28799419659049</v>
          </cell>
        </row>
        <row r="32">
          <cell r="A32">
            <v>43350</v>
          </cell>
          <cell r="E32">
            <v>2534.8240223463686</v>
          </cell>
          <cell r="G32">
            <v>319.39240506329111</v>
          </cell>
        </row>
        <row r="33">
          <cell r="A33">
            <v>43343</v>
          </cell>
          <cell r="E33">
            <v>2531.3444444444444</v>
          </cell>
          <cell r="G33">
            <v>320.09417989417989</v>
          </cell>
        </row>
        <row r="34">
          <cell r="A34">
            <v>43336</v>
          </cell>
          <cell r="E34">
            <v>2514.7452054794521</v>
          </cell>
          <cell r="G34">
            <v>319.63661873027007</v>
          </cell>
        </row>
        <row r="35">
          <cell r="A35">
            <v>43329</v>
          </cell>
          <cell r="E35">
            <v>2489.3805555555555</v>
          </cell>
          <cell r="G35">
            <v>316.40193036883829</v>
          </cell>
        </row>
        <row r="36">
          <cell r="A36">
            <v>43322</v>
          </cell>
          <cell r="E36">
            <v>2488.3812010443862</v>
          </cell>
          <cell r="G36">
            <v>312.25679442508715</v>
          </cell>
        </row>
        <row r="37">
          <cell r="A37">
            <v>43315</v>
          </cell>
          <cell r="E37">
            <v>2489.3518518518522</v>
          </cell>
          <cell r="G37">
            <v>308.83020090732339</v>
          </cell>
        </row>
        <row r="38">
          <cell r="A38">
            <v>43308</v>
          </cell>
          <cell r="E38">
            <v>2485.4460784313728</v>
          </cell>
          <cell r="G38">
            <v>307.60869565217394</v>
          </cell>
        </row>
        <row r="39">
          <cell r="A39">
            <v>43301</v>
          </cell>
          <cell r="E39">
            <v>2480.3080568720379</v>
          </cell>
          <cell r="G39">
            <v>306.54836759371227</v>
          </cell>
        </row>
        <row r="40">
          <cell r="A40">
            <v>43294</v>
          </cell>
          <cell r="E40">
            <v>2481.6036866359445</v>
          </cell>
          <cell r="G40">
            <v>306.49780380673502</v>
          </cell>
        </row>
        <row r="41">
          <cell r="A41">
            <v>43287</v>
          </cell>
          <cell r="E41">
            <v>2490.8125</v>
          </cell>
          <cell r="G41">
            <v>305.62315550510783</v>
          </cell>
        </row>
        <row r="42">
          <cell r="A42">
            <v>43280</v>
          </cell>
          <cell r="E42">
            <v>2496.7933491686463</v>
          </cell>
          <cell r="G42">
            <v>305.99662162162161</v>
          </cell>
        </row>
        <row r="43">
          <cell r="A43">
            <v>43273</v>
          </cell>
          <cell r="E43">
            <v>2497.2316784869977</v>
          </cell>
          <cell r="G43">
            <v>306.36840571262019</v>
          </cell>
        </row>
        <row r="44">
          <cell r="A44">
            <v>43266</v>
          </cell>
          <cell r="E44">
            <v>2506.2570093457944</v>
          </cell>
          <cell r="G44">
            <v>306.89395700174316</v>
          </cell>
        </row>
        <row r="45">
          <cell r="A45">
            <v>43259</v>
          </cell>
          <cell r="E45">
            <v>2517.6792873051222</v>
          </cell>
          <cell r="G45">
            <v>307.18155784650628</v>
          </cell>
        </row>
        <row r="46">
          <cell r="A46">
            <v>43252</v>
          </cell>
          <cell r="E46">
            <v>2519.6606334841626</v>
          </cell>
          <cell r="G46">
            <v>306.85070575461452</v>
          </cell>
        </row>
        <row r="47">
          <cell r="A47">
            <v>43245</v>
          </cell>
          <cell r="E47">
            <v>2527.1771058315335</v>
          </cell>
          <cell r="G47">
            <v>306.54830718414536</v>
          </cell>
        </row>
        <row r="48">
          <cell r="A48">
            <v>43238</v>
          </cell>
          <cell r="E48">
            <v>2535</v>
          </cell>
          <cell r="G48">
            <v>306.06408579649491</v>
          </cell>
        </row>
        <row r="49">
          <cell r="A49">
            <v>43231</v>
          </cell>
          <cell r="E49">
            <v>2530.9547511312217</v>
          </cell>
          <cell r="G49">
            <v>307.56268535993524</v>
          </cell>
        </row>
        <row r="50">
          <cell r="A50">
            <v>43224</v>
          </cell>
          <cell r="E50">
            <v>2529.9586206896552</v>
          </cell>
          <cell r="G50">
            <v>307.0771342300302</v>
          </cell>
        </row>
        <row r="51">
          <cell r="A51">
            <v>43217</v>
          </cell>
          <cell r="E51">
            <v>2505.1720930232559</v>
          </cell>
          <cell r="G51">
            <v>307.32532812063664</v>
          </cell>
        </row>
        <row r="52">
          <cell r="A52">
            <v>43210</v>
          </cell>
          <cell r="E52">
            <v>2460.1607565011818</v>
          </cell>
          <cell r="G52">
            <v>300.39709983268267</v>
          </cell>
        </row>
        <row r="53">
          <cell r="A53">
            <v>43203</v>
          </cell>
          <cell r="E53">
            <v>2445.9471264367821</v>
          </cell>
          <cell r="G53">
            <v>287.78982300884957</v>
          </cell>
        </row>
        <row r="54">
          <cell r="A54">
            <v>43194</v>
          </cell>
          <cell r="E54">
            <v>2437.7602739726026</v>
          </cell>
          <cell r="G54">
            <v>283.80554814617233</v>
          </cell>
        </row>
        <row r="55">
          <cell r="A55">
            <v>43189</v>
          </cell>
          <cell r="E55">
            <v>2434.841628959276</v>
          </cell>
          <cell r="G55">
            <v>283.59601593625496</v>
          </cell>
        </row>
        <row r="56">
          <cell r="A56">
            <v>43182</v>
          </cell>
          <cell r="E56">
            <v>2426.9284009546536</v>
          </cell>
          <cell r="G56">
            <v>280.4795413083138</v>
          </cell>
        </row>
        <row r="57">
          <cell r="A57">
            <v>43175</v>
          </cell>
          <cell r="E57">
            <v>2428.1134751773047</v>
          </cell>
          <cell r="G57">
            <v>279.0568057080132</v>
          </cell>
        </row>
        <row r="58">
          <cell r="A58">
            <v>43168</v>
          </cell>
          <cell r="E58">
            <v>2419.3325581395347</v>
          </cell>
          <cell r="G58">
            <v>279.4808163265306</v>
          </cell>
        </row>
        <row r="59">
          <cell r="A59">
            <v>43161</v>
          </cell>
          <cell r="E59">
            <v>2419.8374384236458</v>
          </cell>
          <cell r="G59">
            <v>278.45637044967879</v>
          </cell>
        </row>
        <row r="60">
          <cell r="A60">
            <v>43154</v>
          </cell>
          <cell r="E60">
            <v>2425.2670025188913</v>
          </cell>
          <cell r="G60">
            <v>278.15798414496038</v>
          </cell>
        </row>
        <row r="61">
          <cell r="A61">
            <v>43145</v>
          </cell>
          <cell r="E61">
            <v>2422.7442455242967</v>
          </cell>
          <cell r="G61">
            <v>279.64885274469935</v>
          </cell>
        </row>
        <row r="62">
          <cell r="A62">
            <v>43140</v>
          </cell>
          <cell r="E62">
            <v>2420.5851063829787</v>
          </cell>
          <cell r="G62">
            <v>279.35505750516074</v>
          </cell>
        </row>
        <row r="63">
          <cell r="A63">
            <v>43133</v>
          </cell>
          <cell r="E63">
            <v>2422.8808933002479</v>
          </cell>
          <cell r="G63">
            <v>279.18404907975457</v>
          </cell>
        </row>
        <row r="64">
          <cell r="A64">
            <v>43126</v>
          </cell>
          <cell r="E64">
            <v>2415.9016393442625</v>
          </cell>
          <cell r="G64">
            <v>279.05715918833948</v>
          </cell>
        </row>
        <row r="65">
          <cell r="A65">
            <v>43119</v>
          </cell>
          <cell r="E65">
            <v>2411.4562647754133</v>
          </cell>
          <cell r="G65">
            <v>278.80810810810812</v>
          </cell>
        </row>
        <row r="66">
          <cell r="A66">
            <v>43112</v>
          </cell>
          <cell r="E66">
            <v>2405.2575406032483</v>
          </cell>
          <cell r="G66">
            <v>278.54888039322776</v>
          </cell>
        </row>
        <row r="67">
          <cell r="A67">
            <v>43105</v>
          </cell>
          <cell r="E67">
            <v>2394.9462616822429</v>
          </cell>
          <cell r="G67">
            <v>278.67365591397845</v>
          </cell>
        </row>
        <row r="68">
          <cell r="A68">
            <v>43098</v>
          </cell>
          <cell r="E68">
            <v>2392.9312796208533</v>
          </cell>
          <cell r="G68">
            <v>278.54266304347829</v>
          </cell>
        </row>
        <row r="69">
          <cell r="A69">
            <v>43091</v>
          </cell>
          <cell r="E69">
            <v>2393.8537735849059</v>
          </cell>
          <cell r="G69">
            <v>278.10988708344809</v>
          </cell>
        </row>
        <row r="70">
          <cell r="A70">
            <v>43084</v>
          </cell>
          <cell r="E70">
            <v>2378.8720379146921</v>
          </cell>
          <cell r="G70">
            <v>278.30929531121473</v>
          </cell>
        </row>
        <row r="71">
          <cell r="A71">
            <v>43077</v>
          </cell>
          <cell r="E71">
            <v>2467.2363184079609</v>
          </cell>
          <cell r="G71">
            <v>278.46990291262136</v>
          </cell>
        </row>
        <row r="72">
          <cell r="A72">
            <v>43070</v>
          </cell>
          <cell r="E72">
            <v>2464.908415841584</v>
          </cell>
          <cell r="G72">
            <v>287.8203714451538</v>
          </cell>
        </row>
        <row r="73">
          <cell r="A73">
            <v>43063</v>
          </cell>
          <cell r="E73">
            <v>2456.541666666667</v>
          </cell>
          <cell r="G73">
            <v>287.64384748700172</v>
          </cell>
        </row>
        <row r="74">
          <cell r="A74">
            <v>43056</v>
          </cell>
          <cell r="E74">
            <v>2448.4513064133016</v>
          </cell>
          <cell r="G74">
            <v>288.09111813739582</v>
          </cell>
        </row>
        <row r="75">
          <cell r="A75">
            <v>43049</v>
          </cell>
          <cell r="E75">
            <v>2444.1395348837209</v>
          </cell>
          <cell r="G75">
            <v>288.25447427293068</v>
          </cell>
        </row>
        <row r="76">
          <cell r="A76">
            <v>43042</v>
          </cell>
          <cell r="E76">
            <v>2439.2840095465394</v>
          </cell>
          <cell r="G76">
            <v>287.86086003834566</v>
          </cell>
        </row>
        <row r="77">
          <cell r="A77">
            <v>43035</v>
          </cell>
          <cell r="E77">
            <v>2389.4055299539173</v>
          </cell>
          <cell r="G77">
            <v>287.41844769403826</v>
          </cell>
        </row>
        <row r="78">
          <cell r="A78">
            <v>43028</v>
          </cell>
          <cell r="E78">
            <v>2335.3967889908254</v>
          </cell>
          <cell r="G78">
            <v>282.33106452491154</v>
          </cell>
        </row>
        <row r="79">
          <cell r="A79">
            <v>43021</v>
          </cell>
          <cell r="E79">
            <v>2330.8666666666668</v>
          </cell>
          <cell r="G79">
            <v>264.88891779396465</v>
          </cell>
        </row>
        <row r="80">
          <cell r="A80">
            <v>43007</v>
          </cell>
          <cell r="E80">
            <v>2333.4340527577938</v>
          </cell>
          <cell r="G80">
            <v>264.18108389786346</v>
          </cell>
        </row>
        <row r="81">
          <cell r="A81">
            <v>43000</v>
          </cell>
          <cell r="E81">
            <v>2333.7263922518164</v>
          </cell>
          <cell r="G81">
            <v>264.41358695652178</v>
          </cell>
        </row>
        <row r="82">
          <cell r="A82">
            <v>42993</v>
          </cell>
          <cell r="E82">
            <v>2334.8381642512077</v>
          </cell>
          <cell r="G82">
            <v>265.07948294829487</v>
          </cell>
        </row>
        <row r="83">
          <cell r="A83">
            <v>42986</v>
          </cell>
          <cell r="E83">
            <v>2335.4337349397588</v>
          </cell>
          <cell r="G83">
            <v>265.26427003293082</v>
          </cell>
        </row>
        <row r="84">
          <cell r="A84">
            <v>42979</v>
          </cell>
          <cell r="E84">
            <v>2332.3975609756098</v>
          </cell>
          <cell r="G84">
            <v>265.09983588621441</v>
          </cell>
        </row>
        <row r="85">
          <cell r="A85">
            <v>42972</v>
          </cell>
          <cell r="E85">
            <v>2300.6803874092011</v>
          </cell>
          <cell r="G85">
            <v>264.89833795013851</v>
          </cell>
        </row>
        <row r="86">
          <cell r="A86">
            <v>42965</v>
          </cell>
          <cell r="E86">
            <v>2276.7804295942715</v>
          </cell>
          <cell r="G86">
            <v>258.97547015535571</v>
          </cell>
        </row>
        <row r="87">
          <cell r="A87">
            <v>42958</v>
          </cell>
          <cell r="E87">
            <v>2270.668280871671</v>
          </cell>
          <cell r="G87">
            <v>253.24422617467476</v>
          </cell>
        </row>
        <row r="88">
          <cell r="A88">
            <v>42951</v>
          </cell>
          <cell r="E88">
            <v>2269.0492610837441</v>
          </cell>
          <cell r="G88">
            <v>251.34977217904049</v>
          </cell>
        </row>
        <row r="89">
          <cell r="A89">
            <v>42944</v>
          </cell>
          <cell r="E89">
            <v>2268.3569682151588</v>
          </cell>
          <cell r="G89">
            <v>250.53957030187652</v>
          </cell>
        </row>
        <row r="90">
          <cell r="A90">
            <v>42937</v>
          </cell>
          <cell r="E90">
            <v>2264.2689486552567</v>
          </cell>
          <cell r="G90">
            <v>250.13696414127796</v>
          </cell>
        </row>
        <row r="91">
          <cell r="A91">
            <v>42930</v>
          </cell>
          <cell r="E91">
            <v>2268.5250596658711</v>
          </cell>
          <cell r="G91">
            <v>249.48437500000003</v>
          </cell>
        </row>
        <row r="92">
          <cell r="A92">
            <v>42923</v>
          </cell>
          <cell r="E92">
            <v>2271.3497652582164</v>
          </cell>
          <cell r="G92">
            <v>249.02069688236836</v>
          </cell>
        </row>
        <row r="93">
          <cell r="A93">
            <v>42916</v>
          </cell>
          <cell r="E93">
            <v>2277.4176334106733</v>
          </cell>
          <cell r="G93">
            <v>248.73907455012855</v>
          </cell>
        </row>
        <row r="94">
          <cell r="A94">
            <v>42909</v>
          </cell>
          <cell r="E94">
            <v>2283.7630331753553</v>
          </cell>
          <cell r="G94">
            <v>249.12868020304569</v>
          </cell>
        </row>
        <row r="95">
          <cell r="A95">
            <v>42902</v>
          </cell>
          <cell r="E95">
            <v>2283.0380047505937</v>
          </cell>
          <cell r="G95">
            <v>249.15925542916236</v>
          </cell>
        </row>
        <row r="96">
          <cell r="A96">
            <v>42895</v>
          </cell>
          <cell r="E96">
            <v>2340.3041362530412</v>
          </cell>
          <cell r="G96">
            <v>248.94042994042994</v>
          </cell>
        </row>
        <row r="97">
          <cell r="A97">
            <v>42888</v>
          </cell>
          <cell r="E97">
            <v>2347.8542713567836</v>
          </cell>
          <cell r="G97">
            <v>255.95130388504523</v>
          </cell>
        </row>
        <row r="98">
          <cell r="A98">
            <v>42881</v>
          </cell>
          <cell r="E98">
            <v>2346.8024999999998</v>
          </cell>
          <cell r="G98">
            <v>255.80235422940046</v>
          </cell>
        </row>
        <row r="99">
          <cell r="A99">
            <v>42874</v>
          </cell>
          <cell r="E99">
            <v>2350.394540942928</v>
          </cell>
          <cell r="G99">
            <v>255.9915462230706</v>
          </cell>
        </row>
        <row r="100">
          <cell r="A100">
            <v>42867</v>
          </cell>
          <cell r="E100">
            <v>2350.1776649746193</v>
          </cell>
          <cell r="G100">
            <v>255.79503105590061</v>
          </cell>
        </row>
        <row r="101">
          <cell r="A101">
            <v>42860</v>
          </cell>
          <cell r="E101">
            <v>2355.4862842892771</v>
          </cell>
          <cell r="G101">
            <v>255.15844585285205</v>
          </cell>
        </row>
        <row r="102">
          <cell r="A102">
            <v>42853</v>
          </cell>
          <cell r="E102">
            <v>2347.3872549019607</v>
          </cell>
          <cell r="G102">
            <v>255.56006493506493</v>
          </cell>
        </row>
        <row r="103">
          <cell r="A103">
            <v>42846</v>
          </cell>
          <cell r="E103">
            <v>2330.3755980861242</v>
          </cell>
          <cell r="G103">
            <v>260.11243889190655</v>
          </cell>
        </row>
        <row r="104">
          <cell r="A104">
            <v>42839</v>
          </cell>
          <cell r="E104">
            <v>2343.0676328502414</v>
          </cell>
          <cell r="G104">
            <v>256.543850408217</v>
          </cell>
        </row>
        <row r="105">
          <cell r="A105">
            <v>42832</v>
          </cell>
          <cell r="E105">
            <v>2342.0285035629454</v>
          </cell>
          <cell r="G105">
            <v>250.33032258064515</v>
          </cell>
        </row>
        <row r="106">
          <cell r="A106">
            <v>42825</v>
          </cell>
          <cell r="E106">
            <v>2341.7434052757794</v>
          </cell>
          <cell r="G106">
            <v>249.6187341772152</v>
          </cell>
        </row>
        <row r="107">
          <cell r="A107">
            <v>42818</v>
          </cell>
          <cell r="E107">
            <v>2310.6120092378756</v>
          </cell>
          <cell r="G107">
            <v>248.98189699133096</v>
          </cell>
        </row>
        <row r="108">
          <cell r="A108">
            <v>42811</v>
          </cell>
          <cell r="E108">
            <v>2309.657210401891</v>
          </cell>
          <cell r="G108">
            <v>246.54879250862496</v>
          </cell>
        </row>
        <row r="109">
          <cell r="A109">
            <v>42804</v>
          </cell>
          <cell r="E109">
            <v>2307.9809523809522</v>
          </cell>
          <cell r="G109">
            <v>245.53531037949236</v>
          </cell>
        </row>
        <row r="110">
          <cell r="A110">
            <v>42797</v>
          </cell>
          <cell r="E110">
            <v>2275.2352941176468</v>
          </cell>
          <cell r="G110">
            <v>244.84768881030561</v>
          </cell>
        </row>
        <row r="111">
          <cell r="A111">
            <v>42790</v>
          </cell>
          <cell r="E111">
            <v>2275.1162790697676</v>
          </cell>
          <cell r="G111">
            <v>245.30060882800609</v>
          </cell>
        </row>
        <row r="112">
          <cell r="A112">
            <v>42783</v>
          </cell>
          <cell r="E112">
            <v>2273.7146282973622</v>
          </cell>
          <cell r="G112">
            <v>245.37246049661402</v>
          </cell>
        </row>
        <row r="113">
          <cell r="A113">
            <v>42776</v>
          </cell>
          <cell r="E113">
            <v>2268.5357142857142</v>
          </cell>
          <cell r="G113">
            <v>244.80738445649368</v>
          </cell>
        </row>
        <row r="114">
          <cell r="A114">
            <v>42769</v>
          </cell>
          <cell r="E114">
            <v>2267.4556354916072</v>
          </cell>
          <cell r="G114">
            <v>244.55467145790556</v>
          </cell>
        </row>
        <row r="115">
          <cell r="A115">
            <v>42761</v>
          </cell>
          <cell r="E115">
            <v>2268.7458033573143</v>
          </cell>
          <cell r="G115">
            <v>244.70212215320913</v>
          </cell>
        </row>
        <row r="116">
          <cell r="A116">
            <v>42755</v>
          </cell>
          <cell r="E116">
            <v>2261.259708737864</v>
          </cell>
          <cell r="G116">
            <v>244.58815925542916</v>
          </cell>
        </row>
        <row r="117">
          <cell r="A117">
            <v>42748</v>
          </cell>
          <cell r="E117">
            <v>2254.9831730769229</v>
          </cell>
          <cell r="G117">
            <v>244.39637985309548</v>
          </cell>
        </row>
        <row r="118">
          <cell r="A118">
            <v>42741</v>
          </cell>
          <cell r="E118">
            <v>2264.1294117647058</v>
          </cell>
          <cell r="G118">
            <v>246.14877984780895</v>
          </cell>
        </row>
        <row r="119">
          <cell r="A119">
            <v>42734</v>
          </cell>
          <cell r="E119">
            <v>2255.4882629107979</v>
          </cell>
          <cell r="G119">
            <v>246.79533213644521</v>
          </cell>
        </row>
        <row r="120">
          <cell r="A120">
            <v>42727</v>
          </cell>
          <cell r="E120">
            <v>2244.159624413146</v>
          </cell>
          <cell r="G120">
            <v>247.19269359403137</v>
          </cell>
        </row>
        <row r="121">
          <cell r="A121">
            <v>42720</v>
          </cell>
          <cell r="E121">
            <v>2243.2359813084108</v>
          </cell>
          <cell r="G121">
            <v>246.20448107133663</v>
          </cell>
        </row>
        <row r="122">
          <cell r="A122">
            <v>42713</v>
          </cell>
          <cell r="E122">
            <v>2147.3663793103451</v>
          </cell>
          <cell r="G122">
            <v>247.25856296677824</v>
          </cell>
        </row>
        <row r="123">
          <cell r="A123">
            <v>42706</v>
          </cell>
          <cell r="E123">
            <v>2150.0642398286936</v>
          </cell>
          <cell r="G123">
            <v>235.66177861873226</v>
          </cell>
        </row>
        <row r="124">
          <cell r="A124">
            <v>42699</v>
          </cell>
          <cell r="E124">
            <v>2148.6751054852321</v>
          </cell>
          <cell r="G124">
            <v>235.92105263157893</v>
          </cell>
        </row>
        <row r="125">
          <cell r="A125">
            <v>42692</v>
          </cell>
          <cell r="E125">
            <v>2143.6927966101694</v>
          </cell>
          <cell r="G125">
            <v>235.81199351701784</v>
          </cell>
        </row>
        <row r="126">
          <cell r="A126">
            <v>42685</v>
          </cell>
          <cell r="E126">
            <v>2139.0826271186443</v>
          </cell>
          <cell r="G126">
            <v>235.25296442687747</v>
          </cell>
        </row>
        <row r="127">
          <cell r="A127">
            <v>42678</v>
          </cell>
          <cell r="E127">
            <v>2135.9511677282376</v>
          </cell>
          <cell r="G127">
            <v>235.23928238583409</v>
          </cell>
        </row>
        <row r="128">
          <cell r="A128">
            <v>42671</v>
          </cell>
          <cell r="E128">
            <v>2105.3277310924373</v>
          </cell>
          <cell r="G128">
            <v>235.82583216127523</v>
          </cell>
        </row>
        <row r="129">
          <cell r="A129">
            <v>42664</v>
          </cell>
          <cell r="E129">
            <v>2063.3872950819673</v>
          </cell>
          <cell r="G129">
            <v>236.13006597549483</v>
          </cell>
        </row>
        <row r="130">
          <cell r="A130">
            <v>42657</v>
          </cell>
          <cell r="E130">
            <v>2041.7116935483871</v>
          </cell>
          <cell r="G130">
            <v>225.21426973831356</v>
          </cell>
        </row>
        <row r="131">
          <cell r="A131">
            <v>42643</v>
          </cell>
          <cell r="E131">
            <v>2048.5031055900622</v>
          </cell>
          <cell r="G131">
            <v>227.21314785730311</v>
          </cell>
        </row>
        <row r="132">
          <cell r="A132">
            <v>42636</v>
          </cell>
          <cell r="E132">
            <v>2049.2004132231405</v>
          </cell>
          <cell r="G132">
            <v>232.25985915492959</v>
          </cell>
        </row>
        <row r="133">
          <cell r="A133">
            <v>42627</v>
          </cell>
          <cell r="E133">
            <v>2033.5666666666668</v>
          </cell>
          <cell r="G133">
            <v>232.49249882794186</v>
          </cell>
        </row>
        <row r="134">
          <cell r="A134">
            <v>42622</v>
          </cell>
          <cell r="E134">
            <v>2022.6727272727271</v>
          </cell>
          <cell r="G134">
            <v>232.46296737318409</v>
          </cell>
        </row>
        <row r="135">
          <cell r="A135">
            <v>42615</v>
          </cell>
          <cell r="E135">
            <v>2022.9592668024438</v>
          </cell>
          <cell r="G135">
            <v>232.73430962343093</v>
          </cell>
        </row>
        <row r="136">
          <cell r="A136">
            <v>42608</v>
          </cell>
          <cell r="E136">
            <v>2011.9919678714857</v>
          </cell>
          <cell r="G136">
            <v>232.50772471910111</v>
          </cell>
        </row>
        <row r="137">
          <cell r="A137">
            <v>42601</v>
          </cell>
          <cell r="E137">
            <v>1986.8844621513945</v>
          </cell>
          <cell r="G137">
            <v>231.45576345576345</v>
          </cell>
        </row>
        <row r="138">
          <cell r="A138">
            <v>42594</v>
          </cell>
          <cell r="E138">
            <v>1947.4610778443116</v>
          </cell>
          <cell r="G138">
            <v>231.68780487804878</v>
          </cell>
        </row>
        <row r="139">
          <cell r="A139">
            <v>42587</v>
          </cell>
          <cell r="E139">
            <v>1942.9919191919191</v>
          </cell>
          <cell r="G139">
            <v>230.82044002838893</v>
          </cell>
        </row>
        <row r="140">
          <cell r="A140">
            <v>42580</v>
          </cell>
          <cell r="E140">
            <v>1940.3207171314743</v>
          </cell>
          <cell r="G140">
            <v>229.76134734830387</v>
          </cell>
        </row>
        <row r="141">
          <cell r="A141">
            <v>42573</v>
          </cell>
          <cell r="E141">
            <v>1931.721669980119</v>
          </cell>
          <cell r="G141">
            <v>229.45606595995287</v>
          </cell>
        </row>
        <row r="142">
          <cell r="A142">
            <v>42566</v>
          </cell>
          <cell r="E142">
            <v>1936.2623274161735</v>
          </cell>
          <cell r="G142">
            <v>223.98709082526508</v>
          </cell>
        </row>
        <row r="143">
          <cell r="A143">
            <v>42559</v>
          </cell>
          <cell r="E143">
            <v>1933.4808080808079</v>
          </cell>
          <cell r="G143">
            <v>223.87343215507411</v>
          </cell>
        </row>
        <row r="144">
          <cell r="A144">
            <v>42552</v>
          </cell>
          <cell r="E144">
            <v>1937.3983228511531</v>
          </cell>
          <cell r="G144">
            <v>223.92910622367802</v>
          </cell>
        </row>
        <row r="145">
          <cell r="A145">
            <v>42545</v>
          </cell>
          <cell r="E145">
            <v>1935.3594771241828</v>
          </cell>
          <cell r="G145">
            <v>224.08802133850628</v>
          </cell>
        </row>
        <row r="146">
          <cell r="A146">
            <v>42538</v>
          </cell>
          <cell r="E146">
            <v>1934.6969696969695</v>
          </cell>
          <cell r="G146">
            <v>224.32575757575754</v>
          </cell>
        </row>
        <row r="147">
          <cell r="A147">
            <v>42529</v>
          </cell>
          <cell r="E147">
            <v>1944.2974137931037</v>
          </cell>
          <cell r="G147">
            <v>224.12988966900699</v>
          </cell>
        </row>
        <row r="148">
          <cell r="A148">
            <v>42524</v>
          </cell>
          <cell r="E148">
            <v>1946.2997858672377</v>
          </cell>
          <cell r="G148">
            <v>218.65099369849736</v>
          </cell>
        </row>
        <row r="149">
          <cell r="A149">
            <v>42517</v>
          </cell>
          <cell r="E149">
            <v>1951.0269662921346</v>
          </cell>
          <cell r="G149">
            <v>218.8064516129032</v>
          </cell>
        </row>
        <row r="150">
          <cell r="A150">
            <v>42510</v>
          </cell>
          <cell r="E150">
            <v>1959.4573991031391</v>
          </cell>
          <cell r="G150">
            <v>218.96771752837327</v>
          </cell>
        </row>
        <row r="151">
          <cell r="A151">
            <v>42503</v>
          </cell>
          <cell r="E151">
            <v>1964.6644144144143</v>
          </cell>
          <cell r="G151">
            <v>219.35692771084337</v>
          </cell>
        </row>
        <row r="152">
          <cell r="A152">
            <v>42496</v>
          </cell>
          <cell r="E152">
            <v>1959.730263157895</v>
          </cell>
          <cell r="G152">
            <v>215.81172686788719</v>
          </cell>
        </row>
        <row r="153">
          <cell r="A153">
            <v>42489</v>
          </cell>
          <cell r="E153">
            <v>1959.90590809628</v>
          </cell>
          <cell r="G153">
            <v>215.2823416044327</v>
          </cell>
        </row>
        <row r="154">
          <cell r="A154">
            <v>42482</v>
          </cell>
          <cell r="E154">
            <v>1914.0811965811965</v>
          </cell>
          <cell r="G154">
            <v>216.45166747220878</v>
          </cell>
        </row>
        <row r="155">
          <cell r="A155">
            <v>42475</v>
          </cell>
          <cell r="E155">
            <v>1921.9352226720648</v>
          </cell>
          <cell r="G155">
            <v>206.59363468634686</v>
          </cell>
        </row>
        <row r="156">
          <cell r="A156">
            <v>42468</v>
          </cell>
          <cell r="E156">
            <v>1917.5437499999998</v>
          </cell>
          <cell r="G156">
            <v>202.2658713250959</v>
          </cell>
        </row>
        <row r="157">
          <cell r="A157">
            <v>42461</v>
          </cell>
          <cell r="E157">
            <v>1913.7211740041932</v>
          </cell>
          <cell r="G157">
            <v>202.91468253968253</v>
          </cell>
        </row>
        <row r="158">
          <cell r="A158">
            <v>42454</v>
          </cell>
          <cell r="E158">
            <v>1897.8851774530274</v>
          </cell>
          <cell r="G158">
            <v>202.53938318171734</v>
          </cell>
        </row>
        <row r="159">
          <cell r="A159">
            <v>42447</v>
          </cell>
          <cell r="E159">
            <v>1890.8781512605042</v>
          </cell>
          <cell r="G159">
            <v>206.89280837505692</v>
          </cell>
        </row>
        <row r="160">
          <cell r="A160">
            <v>42440</v>
          </cell>
          <cell r="E160">
            <v>1884.2488687782804</v>
          </cell>
          <cell r="G160">
            <v>206.57746155611659</v>
          </cell>
        </row>
        <row r="161">
          <cell r="A161">
            <v>42433</v>
          </cell>
          <cell r="E161">
            <v>1895.1963882618511</v>
          </cell>
          <cell r="G161">
            <v>205.89320148331271</v>
          </cell>
        </row>
        <row r="162">
          <cell r="A162">
            <v>42426</v>
          </cell>
          <cell r="E162">
            <v>1881.8436123348017</v>
          </cell>
          <cell r="G162">
            <v>205.12387002198875</v>
          </cell>
        </row>
        <row r="163">
          <cell r="A163">
            <v>42419</v>
          </cell>
          <cell r="E163">
            <v>1878.0124223602484</v>
          </cell>
          <cell r="G163">
            <v>205.8195615514334</v>
          </cell>
        </row>
        <row r="164">
          <cell r="A164">
            <v>42405</v>
          </cell>
          <cell r="E164">
            <v>1877.2138228941685</v>
          </cell>
          <cell r="G164">
            <v>206.06088141753744</v>
          </cell>
        </row>
        <row r="165">
          <cell r="A165">
            <v>42398</v>
          </cell>
          <cell r="E165">
            <v>1876.9349775784751</v>
          </cell>
          <cell r="G165">
            <v>205.03656522764803</v>
          </cell>
        </row>
        <row r="166">
          <cell r="A166">
            <v>42391</v>
          </cell>
          <cell r="E166">
            <v>1877.1090146750525</v>
          </cell>
          <cell r="G166">
            <v>205.67886977886974</v>
          </cell>
        </row>
        <row r="167">
          <cell r="A167">
            <v>42384</v>
          </cell>
          <cell r="E167">
            <v>1850.6016771488473</v>
          </cell>
          <cell r="G167">
            <v>205.78740519420822</v>
          </cell>
        </row>
        <row r="168">
          <cell r="A168">
            <v>42377</v>
          </cell>
          <cell r="E168">
            <v>1856.2015503875969</v>
          </cell>
          <cell r="G168">
            <v>209.27856804172595</v>
          </cell>
        </row>
        <row r="169">
          <cell r="A169">
            <v>42369</v>
          </cell>
          <cell r="E169">
            <v>1851.3685950413226</v>
          </cell>
          <cell r="G169">
            <v>209.90576375191759</v>
          </cell>
        </row>
        <row r="170">
          <cell r="A170">
            <v>42363</v>
          </cell>
          <cell r="E170">
            <v>1832.7248000000002</v>
          </cell>
          <cell r="G170">
            <v>210.65977054730112</v>
          </cell>
        </row>
        <row r="171">
          <cell r="A171">
            <v>42356</v>
          </cell>
          <cell r="E171">
            <v>1820.1626016260161</v>
          </cell>
          <cell r="G171">
            <v>211.96391561806072</v>
          </cell>
        </row>
        <row r="172">
          <cell r="A172">
            <v>42349</v>
          </cell>
          <cell r="E172">
            <v>1886.6980461811725</v>
          </cell>
          <cell r="G172">
            <v>211.68683812405445</v>
          </cell>
        </row>
        <row r="173">
          <cell r="A173">
            <v>42342</v>
          </cell>
          <cell r="E173">
            <v>1885.3653846153848</v>
          </cell>
          <cell r="G173">
            <v>219.9194616977226</v>
          </cell>
        </row>
        <row r="174">
          <cell r="A174">
            <v>42335</v>
          </cell>
          <cell r="E174">
            <v>1868.2241992882562</v>
          </cell>
          <cell r="G174">
            <v>219.9080342577488</v>
          </cell>
        </row>
        <row r="175">
          <cell r="A175">
            <v>42328</v>
          </cell>
          <cell r="E175">
            <v>1871.9541595925298</v>
          </cell>
          <cell r="G175">
            <v>220.15978192493188</v>
          </cell>
        </row>
        <row r="176">
          <cell r="A176">
            <v>42321</v>
          </cell>
          <cell r="E176">
            <v>1873.146299483649</v>
          </cell>
          <cell r="G176">
            <v>220.4280287884846</v>
          </cell>
        </row>
        <row r="177">
          <cell r="A177">
            <v>42314</v>
          </cell>
          <cell r="E177">
            <v>1866.939341421144</v>
          </cell>
          <cell r="G177">
            <v>220.34784369305527</v>
          </cell>
        </row>
        <row r="178">
          <cell r="A178">
            <v>42307</v>
          </cell>
          <cell r="E178">
            <v>1868.3817204301074</v>
          </cell>
          <cell r="G178">
            <v>220.06618998978547</v>
          </cell>
        </row>
        <row r="179">
          <cell r="A179">
            <v>42300</v>
          </cell>
          <cell r="E179">
            <v>1857.3020833333333</v>
          </cell>
          <cell r="G179">
            <v>219.71696522655424</v>
          </cell>
        </row>
        <row r="180">
          <cell r="A180">
            <v>42293</v>
          </cell>
          <cell r="E180">
            <v>1851.2536764705881</v>
          </cell>
          <cell r="G180">
            <v>218.41690485912619</v>
          </cell>
        </row>
        <row r="181">
          <cell r="A181">
            <v>42286</v>
          </cell>
          <cell r="E181">
            <v>1856.62984496124</v>
          </cell>
          <cell r="G181">
            <v>216.71659134925758</v>
          </cell>
        </row>
        <row r="182">
          <cell r="A182">
            <v>42277</v>
          </cell>
          <cell r="E182">
            <v>1853.0777096114518</v>
          </cell>
          <cell r="G182">
            <v>216.30638970422217</v>
          </cell>
        </row>
        <row r="183">
          <cell r="A183">
            <v>42272</v>
          </cell>
          <cell r="E183">
            <v>1850.9506172839506</v>
          </cell>
          <cell r="G183">
            <v>217.45980321574271</v>
          </cell>
        </row>
        <row r="184">
          <cell r="A184">
            <v>42265</v>
          </cell>
          <cell r="E184">
            <v>1848.2328482328485</v>
          </cell>
          <cell r="G184">
            <v>217.07577220077224</v>
          </cell>
        </row>
        <row r="185">
          <cell r="A185">
            <v>42258</v>
          </cell>
          <cell r="E185">
            <v>1854.0396825396826</v>
          </cell>
          <cell r="G185">
            <v>216.67072873507189</v>
          </cell>
        </row>
        <row r="186">
          <cell r="A186">
            <v>42249</v>
          </cell>
          <cell r="E186">
            <v>1853.9958071278827</v>
          </cell>
          <cell r="G186">
            <v>217.51303538175048</v>
          </cell>
        </row>
        <row r="187">
          <cell r="A187">
            <v>42244</v>
          </cell>
          <cell r="E187">
            <v>1854.2606177606178</v>
          </cell>
          <cell r="G187">
            <v>217.76803742920461</v>
          </cell>
        </row>
        <row r="188">
          <cell r="A188">
            <v>42237</v>
          </cell>
          <cell r="E188">
            <v>1818.4395796847637</v>
          </cell>
          <cell r="G188">
            <v>217.55537938844847</v>
          </cell>
        </row>
        <row r="189">
          <cell r="A189">
            <v>42230</v>
          </cell>
          <cell r="E189">
            <v>1802.6500777604979</v>
          </cell>
          <cell r="G189">
            <v>209.46721807544887</v>
          </cell>
        </row>
        <row r="190">
          <cell r="A190">
            <v>42223</v>
          </cell>
          <cell r="E190">
            <v>1794.4048387096773</v>
          </cell>
          <cell r="G190">
            <v>207.20486235252059</v>
          </cell>
        </row>
        <row r="191">
          <cell r="A191">
            <v>42216</v>
          </cell>
          <cell r="E191">
            <v>1794.9916387959863</v>
          </cell>
          <cell r="G191">
            <v>204.2465577382045</v>
          </cell>
        </row>
        <row r="192">
          <cell r="A192">
            <v>42209</v>
          </cell>
          <cell r="E192">
            <v>1797.1257575757577</v>
          </cell>
          <cell r="G192">
            <v>205.59375598544338</v>
          </cell>
        </row>
        <row r="193">
          <cell r="A193">
            <v>42202</v>
          </cell>
          <cell r="E193">
            <v>1797.9811616954473</v>
          </cell>
          <cell r="G193">
            <v>205.99218478638417</v>
          </cell>
        </row>
        <row r="194">
          <cell r="A194">
            <v>42195</v>
          </cell>
          <cell r="E194">
            <v>1795.7019064124786</v>
          </cell>
          <cell r="G194">
            <v>204.22860199714694</v>
          </cell>
        </row>
        <row r="195">
          <cell r="A195">
            <v>42188</v>
          </cell>
          <cell r="E195">
            <v>1809.135042735043</v>
          </cell>
          <cell r="G195">
            <v>203.80015735641229</v>
          </cell>
        </row>
        <row r="196">
          <cell r="A196">
            <v>42181</v>
          </cell>
          <cell r="E196">
            <v>1874.5030864197531</v>
          </cell>
          <cell r="G196">
            <v>205.66342790516907</v>
          </cell>
        </row>
        <row r="197">
          <cell r="A197">
            <v>42174</v>
          </cell>
          <cell r="E197">
            <v>1874.7629733520337</v>
          </cell>
          <cell r="G197">
            <v>200.64056821935912</v>
          </cell>
        </row>
        <row r="198">
          <cell r="A198">
            <v>42167</v>
          </cell>
          <cell r="E198">
            <v>1837.064209274673</v>
          </cell>
          <cell r="G198">
            <v>200.22558418214498</v>
          </cell>
        </row>
        <row r="199">
          <cell r="A199">
            <v>42160</v>
          </cell>
          <cell r="E199">
            <v>1827.2925336597307</v>
          </cell>
          <cell r="G199">
            <v>205.99613333333332</v>
          </cell>
        </row>
        <row r="200">
          <cell r="A200">
            <v>42153</v>
          </cell>
          <cell r="E200">
            <v>1827.9602122015915</v>
          </cell>
          <cell r="G200">
            <v>205.91696551724138</v>
          </cell>
        </row>
        <row r="201">
          <cell r="A201">
            <v>42146</v>
          </cell>
          <cell r="E201">
            <v>1834.6549391069013</v>
          </cell>
          <cell r="G201">
            <v>205.62166194241382</v>
          </cell>
        </row>
        <row r="202">
          <cell r="A202">
            <v>42139</v>
          </cell>
          <cell r="E202">
            <v>1834.1170212765958</v>
          </cell>
          <cell r="G202">
            <v>205.58150113722516</v>
          </cell>
        </row>
        <row r="203">
          <cell r="A203">
            <v>42132</v>
          </cell>
          <cell r="E203">
            <v>1827.3664000000001</v>
          </cell>
          <cell r="G203">
            <v>205.10690006798094</v>
          </cell>
        </row>
        <row r="204">
          <cell r="A204">
            <v>42124</v>
          </cell>
          <cell r="E204">
            <v>1835.1088</v>
          </cell>
          <cell r="G204">
            <v>204.38511095204009</v>
          </cell>
        </row>
        <row r="205">
          <cell r="A205">
            <v>42118</v>
          </cell>
          <cell r="E205">
            <v>1775.6006191950464</v>
          </cell>
          <cell r="G205">
            <v>204.628545941124</v>
          </cell>
        </row>
        <row r="206">
          <cell r="A206">
            <v>42111</v>
          </cell>
          <cell r="E206">
            <v>1752.376582278481</v>
          </cell>
          <cell r="G206">
            <v>200.25104748603351</v>
          </cell>
        </row>
        <row r="207">
          <cell r="A207">
            <v>42104</v>
          </cell>
          <cell r="E207">
            <v>1740.2016000000001</v>
          </cell>
          <cell r="G207">
            <v>198.44149793943737</v>
          </cell>
        </row>
        <row r="208">
          <cell r="A208">
            <v>42097</v>
          </cell>
          <cell r="E208">
            <v>1737.038269550749</v>
          </cell>
          <cell r="G208">
            <v>197.71423377567717</v>
          </cell>
        </row>
        <row r="209">
          <cell r="A209">
            <v>42090</v>
          </cell>
          <cell r="E209">
            <v>1715.6830985915494</v>
          </cell>
          <cell r="G209">
            <v>196.82503770739066</v>
          </cell>
        </row>
        <row r="210">
          <cell r="A210">
            <v>42083</v>
          </cell>
          <cell r="E210">
            <v>1705.3163636363636</v>
          </cell>
          <cell r="G210">
            <v>195.95978282726725</v>
          </cell>
        </row>
        <row r="211">
          <cell r="A211">
            <v>42076</v>
          </cell>
          <cell r="E211">
            <v>1688.7992351816442</v>
          </cell>
          <cell r="G211">
            <v>195.80876826722337</v>
          </cell>
        </row>
        <row r="212">
          <cell r="A212">
            <v>42069</v>
          </cell>
          <cell r="E212">
            <v>1680.400390625</v>
          </cell>
          <cell r="G212">
            <v>191.09519688446559</v>
          </cell>
        </row>
        <row r="213">
          <cell r="A213">
            <v>42062</v>
          </cell>
          <cell r="E213">
            <v>1678.3720000000001</v>
          </cell>
          <cell r="G213">
            <v>189.88413153829174</v>
          </cell>
        </row>
        <row r="214">
          <cell r="A214">
            <v>42052</v>
          </cell>
          <cell r="E214">
            <v>1677.7510040160644</v>
          </cell>
          <cell r="G214">
            <v>189.94703485740155</v>
          </cell>
        </row>
        <row r="215">
          <cell r="A215">
            <v>42048</v>
          </cell>
          <cell r="E215">
            <v>1679.2135523613963</v>
          </cell>
          <cell r="G215">
            <v>189.80463425715584</v>
          </cell>
        </row>
        <row r="216">
          <cell r="A216">
            <v>42041</v>
          </cell>
          <cell r="E216">
            <v>1674.8765957446808</v>
          </cell>
          <cell r="G216">
            <v>190.49079897507571</v>
          </cell>
        </row>
        <row r="217">
          <cell r="A217">
            <v>42034</v>
          </cell>
          <cell r="E217">
            <v>1672.4095634095636</v>
          </cell>
          <cell r="G217">
            <v>189.45655836341757</v>
          </cell>
        </row>
        <row r="218">
          <cell r="A218">
            <v>42027</v>
          </cell>
          <cell r="E218">
            <v>1678.4398340248961</v>
          </cell>
          <cell r="G218">
            <v>188.78878197606195</v>
          </cell>
        </row>
        <row r="219">
          <cell r="A219">
            <v>42020</v>
          </cell>
          <cell r="E219">
            <v>1675.7115384615386</v>
          </cell>
          <cell r="G219">
            <v>189.374531835206</v>
          </cell>
        </row>
        <row r="220">
          <cell r="A220">
            <v>42013</v>
          </cell>
          <cell r="E220">
            <v>1675.3304157549233</v>
          </cell>
          <cell r="G220">
            <v>189.74909266876361</v>
          </cell>
        </row>
        <row r="221">
          <cell r="A221">
            <v>42004</v>
          </cell>
          <cell r="E221">
            <v>1669.4843049327353</v>
          </cell>
          <cell r="G221">
            <v>189.37076428394758</v>
          </cell>
        </row>
        <row r="222">
          <cell r="A222">
            <v>41999</v>
          </cell>
          <cell r="E222">
            <v>1673.6511111111113</v>
          </cell>
          <cell r="G222">
            <v>189.65613856342333</v>
          </cell>
        </row>
        <row r="223">
          <cell r="A223">
            <v>41992</v>
          </cell>
          <cell r="E223">
            <v>1653.0729613733904</v>
          </cell>
          <cell r="G223">
            <v>189.85202924124022</v>
          </cell>
        </row>
        <row r="224">
          <cell r="A224">
            <v>41985</v>
          </cell>
          <cell r="E224">
            <v>1642.4645833333334</v>
          </cell>
          <cell r="G224">
            <v>190.77067855373946</v>
          </cell>
        </row>
        <row r="225">
          <cell r="A225">
            <v>41978</v>
          </cell>
          <cell r="E225">
            <v>1645.6407563025211</v>
          </cell>
          <cell r="G225">
            <v>190.29278300748251</v>
          </cell>
        </row>
        <row r="226">
          <cell r="A226">
            <v>41971</v>
          </cell>
          <cell r="E226">
            <v>1641.213530655391</v>
          </cell>
          <cell r="G226">
            <v>190.63640788513018</v>
          </cell>
        </row>
        <row r="227">
          <cell r="A227">
            <v>41964</v>
          </cell>
          <cell r="E227">
            <v>1635.6845493562232</v>
          </cell>
          <cell r="G227">
            <v>190.31478303505762</v>
          </cell>
        </row>
        <row r="228">
          <cell r="A228">
            <v>41957</v>
          </cell>
          <cell r="E228">
            <v>1629.1239130434785</v>
          </cell>
          <cell r="G228">
            <v>189.79805776892431</v>
          </cell>
        </row>
        <row r="229">
          <cell r="A229">
            <v>41950</v>
          </cell>
          <cell r="E229">
            <v>1630.1004273504275</v>
          </cell>
          <cell r="G229">
            <v>189.67274107820808</v>
          </cell>
        </row>
        <row r="230">
          <cell r="A230">
            <v>41943</v>
          </cell>
          <cell r="E230">
            <v>1623.9311064718163</v>
          </cell>
          <cell r="G230">
            <v>189.49006458022853</v>
          </cell>
        </row>
        <row r="231">
          <cell r="A231">
            <v>41936</v>
          </cell>
          <cell r="E231">
            <v>1574.3479166666666</v>
          </cell>
          <cell r="G231">
            <v>189.12302455628495</v>
          </cell>
        </row>
        <row r="232">
          <cell r="A232">
            <v>41929</v>
          </cell>
          <cell r="E232">
            <v>1560.7154308617235</v>
          </cell>
          <cell r="G232">
            <v>183.95496592015579</v>
          </cell>
        </row>
        <row r="233">
          <cell r="A233">
            <v>41922</v>
          </cell>
          <cell r="E233">
            <v>1561.1543086172344</v>
          </cell>
          <cell r="G233">
            <v>184.06925076813991</v>
          </cell>
        </row>
        <row r="234">
          <cell r="A234">
            <v>41912</v>
          </cell>
          <cell r="E234">
            <v>1559.4958677685952</v>
          </cell>
          <cell r="G234">
            <v>184.64470253614601</v>
          </cell>
        </row>
        <row r="235">
          <cell r="A235">
            <v>41908</v>
          </cell>
          <cell r="E235">
            <v>1560.4025157232707</v>
          </cell>
          <cell r="G235">
            <v>184.4114341558759</v>
          </cell>
        </row>
        <row r="236">
          <cell r="A236">
            <v>41901</v>
          </cell>
          <cell r="E236">
            <v>1556.5611814345991</v>
          </cell>
          <cell r="G236">
            <v>185.75293236835537</v>
          </cell>
        </row>
        <row r="237">
          <cell r="A237">
            <v>41894</v>
          </cell>
          <cell r="E237">
            <v>1556.9209401709404</v>
          </cell>
          <cell r="G237">
            <v>186.69281376518219</v>
          </cell>
        </row>
        <row r="238">
          <cell r="A238">
            <v>41887</v>
          </cell>
          <cell r="E238">
            <v>1553.2129032258063</v>
          </cell>
          <cell r="G238">
            <v>186.68690750704587</v>
          </cell>
        </row>
        <row r="239">
          <cell r="A239">
            <v>41880</v>
          </cell>
          <cell r="E239">
            <v>1545.3652561247216</v>
          </cell>
          <cell r="G239">
            <v>186.52995867768595</v>
          </cell>
        </row>
        <row r="240">
          <cell r="A240">
            <v>41873</v>
          </cell>
          <cell r="E240">
            <v>1529.6551724137933</v>
          </cell>
          <cell r="G240">
            <v>185.92416934619507</v>
          </cell>
        </row>
        <row r="241">
          <cell r="A241">
            <v>41866</v>
          </cell>
          <cell r="E241">
            <v>1518.8891304347828</v>
          </cell>
          <cell r="G241">
            <v>185.21920668058456</v>
          </cell>
        </row>
        <row r="242">
          <cell r="A242">
            <v>41859</v>
          </cell>
          <cell r="E242">
            <v>1510.2275711159737</v>
          </cell>
          <cell r="G242">
            <v>182.71155857740587</v>
          </cell>
        </row>
        <row r="243">
          <cell r="A243">
            <v>41852</v>
          </cell>
          <cell r="E243">
            <v>1507.5538461538463</v>
          </cell>
          <cell r="G243">
            <v>181.29078014184395</v>
          </cell>
        </row>
        <row r="244">
          <cell r="A244">
            <v>41845</v>
          </cell>
          <cell r="E244">
            <v>1507.8672768878719</v>
          </cell>
          <cell r="G244">
            <v>180.699947312961</v>
          </cell>
        </row>
        <row r="245">
          <cell r="A245">
            <v>41838</v>
          </cell>
          <cell r="E245">
            <v>1499.4340909090909</v>
          </cell>
          <cell r="G245">
            <v>180.28399452804379</v>
          </cell>
        </row>
        <row r="246">
          <cell r="A246">
            <v>41831</v>
          </cell>
          <cell r="E246">
            <v>1501.5079006772012</v>
          </cell>
          <cell r="G246">
            <v>180.16138722009833</v>
          </cell>
        </row>
        <row r="247">
          <cell r="A247">
            <v>41824</v>
          </cell>
          <cell r="E247">
            <v>1503.6726057906458</v>
          </cell>
          <cell r="G247">
            <v>180.36008676789587</v>
          </cell>
        </row>
        <row r="248">
          <cell r="A248">
            <v>41817</v>
          </cell>
          <cell r="E248">
            <v>1503.8256880733945</v>
          </cell>
          <cell r="G248">
            <v>179.9917355371901</v>
          </cell>
        </row>
        <row r="249">
          <cell r="A249">
            <v>41810</v>
          </cell>
          <cell r="E249">
            <v>1507.2104018912528</v>
          </cell>
          <cell r="G249">
            <v>179.83214481623696</v>
          </cell>
        </row>
        <row r="250">
          <cell r="A250">
            <v>41803</v>
          </cell>
          <cell r="E250">
            <v>1562.2529832935559</v>
          </cell>
          <cell r="G250">
            <v>179.54097437341596</v>
          </cell>
        </row>
        <row r="251">
          <cell r="A251">
            <v>41796</v>
          </cell>
          <cell r="E251">
            <v>1563.1601941747574</v>
          </cell>
          <cell r="G251">
            <v>181.37545026323079</v>
          </cell>
        </row>
        <row r="252">
          <cell r="A252">
            <v>41789</v>
          </cell>
          <cell r="E252">
            <v>1565.7274939172748</v>
          </cell>
          <cell r="G252">
            <v>181.41464788732395</v>
          </cell>
        </row>
        <row r="253">
          <cell r="A253">
            <v>41782</v>
          </cell>
          <cell r="E253">
            <v>1568.3855721393036</v>
          </cell>
          <cell r="G253">
            <v>181.37373167981966</v>
          </cell>
        </row>
        <row r="254">
          <cell r="A254">
            <v>41775</v>
          </cell>
          <cell r="E254">
            <v>1570.8813131313129</v>
          </cell>
          <cell r="G254">
            <v>181.38406214039125</v>
          </cell>
        </row>
        <row r="255">
          <cell r="A255">
            <v>41768</v>
          </cell>
          <cell r="E255">
            <v>1575.3007518796992</v>
          </cell>
          <cell r="G255">
            <v>181.62598540145984</v>
          </cell>
        </row>
        <row r="256">
          <cell r="A256">
            <v>41759</v>
          </cell>
          <cell r="E256">
            <v>1573.2531017369727</v>
          </cell>
          <cell r="G256">
            <v>181.8706597222222</v>
          </cell>
        </row>
        <row r="257">
          <cell r="A257">
            <v>41754</v>
          </cell>
          <cell r="E257">
            <v>1542.2542372881358</v>
          </cell>
          <cell r="G257">
            <v>181.66790830945558</v>
          </cell>
        </row>
        <row r="258">
          <cell r="A258">
            <v>41747</v>
          </cell>
          <cell r="E258">
            <v>1530.0886363636364</v>
          </cell>
          <cell r="G258">
            <v>182.45517043826987</v>
          </cell>
        </row>
        <row r="259">
          <cell r="A259">
            <v>41740</v>
          </cell>
          <cell r="E259">
            <v>1530.4140271493213</v>
          </cell>
          <cell r="G259">
            <v>178.76765799256509</v>
          </cell>
        </row>
        <row r="260">
          <cell r="A260">
            <v>41733</v>
          </cell>
          <cell r="E260">
            <v>1522.9375</v>
          </cell>
          <cell r="G260">
            <v>178.05817320347461</v>
          </cell>
        </row>
        <row r="261">
          <cell r="A261">
            <v>41726</v>
          </cell>
          <cell r="E261">
            <v>1525.0603248259863</v>
          </cell>
          <cell r="G261">
            <v>177.86131386861314</v>
          </cell>
        </row>
        <row r="262">
          <cell r="A262">
            <v>41719</v>
          </cell>
          <cell r="E262">
            <v>1505.1175166297119</v>
          </cell>
          <cell r="G262">
            <v>177.98564852423505</v>
          </cell>
        </row>
        <row r="263">
          <cell r="A263">
            <v>41712</v>
          </cell>
          <cell r="E263">
            <v>1505.528888888889</v>
          </cell>
          <cell r="G263">
            <v>176.54304291287386</v>
          </cell>
        </row>
        <row r="264">
          <cell r="A264">
            <v>41705</v>
          </cell>
          <cell r="E264">
            <v>1500.1113537117903</v>
          </cell>
          <cell r="G264">
            <v>176.19973992197657</v>
          </cell>
        </row>
        <row r="265">
          <cell r="A265">
            <v>41698</v>
          </cell>
          <cell r="E265">
            <v>1501.8461538461538</v>
          </cell>
          <cell r="G265">
            <v>178.50116913484021</v>
          </cell>
        </row>
        <row r="266">
          <cell r="A266">
            <v>41691</v>
          </cell>
          <cell r="E266">
            <v>1504.550847457627</v>
          </cell>
          <cell r="G266">
            <v>178.55761693232296</v>
          </cell>
        </row>
        <row r="267">
          <cell r="A267">
            <v>41684</v>
          </cell>
          <cell r="E267">
            <v>1496.8528784648186</v>
          </cell>
          <cell r="G267">
            <v>178.65358490566035</v>
          </cell>
        </row>
        <row r="268">
          <cell r="A268">
            <v>41677</v>
          </cell>
          <cell r="E268">
            <v>1500.1555555555556</v>
          </cell>
          <cell r="G268">
            <v>178.9964303926568</v>
          </cell>
        </row>
        <row r="269">
          <cell r="A269">
            <v>41669</v>
          </cell>
          <cell r="E269">
            <v>1497.2917594654789</v>
          </cell>
          <cell r="G269">
            <v>179.06366047745357</v>
          </cell>
        </row>
        <row r="270">
          <cell r="A270">
            <v>41663</v>
          </cell>
          <cell r="E270">
            <v>1497.0378619153673</v>
          </cell>
          <cell r="G270">
            <v>179.13242739142021</v>
          </cell>
        </row>
        <row r="271">
          <cell r="A271">
            <v>41656</v>
          </cell>
          <cell r="E271">
            <v>1496.41647597254</v>
          </cell>
          <cell r="G271">
            <v>178.62609619984053</v>
          </cell>
        </row>
        <row r="272">
          <cell r="A272">
            <v>41649</v>
          </cell>
          <cell r="E272">
            <v>1494.7339449541282</v>
          </cell>
          <cell r="G272">
            <v>178.42673942701228</v>
          </cell>
        </row>
        <row r="273">
          <cell r="A273">
            <v>41642</v>
          </cell>
          <cell r="E273">
            <v>1494.2227171492204</v>
          </cell>
          <cell r="G273">
            <v>178.89212187757343</v>
          </cell>
        </row>
        <row r="274">
          <cell r="A274">
            <v>41635</v>
          </cell>
          <cell r="E274">
            <v>1491.6454545454544</v>
          </cell>
          <cell r="G274">
            <v>178.90826666666669</v>
          </cell>
        </row>
        <row r="275">
          <cell r="A275">
            <v>41628</v>
          </cell>
          <cell r="E275">
            <v>1490.8528037383178</v>
          </cell>
          <cell r="G275">
            <v>178.88361951485419</v>
          </cell>
        </row>
        <row r="276">
          <cell r="A276">
            <v>41621</v>
          </cell>
          <cell r="E276">
            <v>1485.1559633027521</v>
          </cell>
          <cell r="G276">
            <v>179.48945147679328</v>
          </cell>
        </row>
        <row r="277">
          <cell r="A277">
            <v>41614</v>
          </cell>
          <cell r="E277">
            <v>1490.7511520737328</v>
          </cell>
          <cell r="G277">
            <v>179.37063711911355</v>
          </cell>
        </row>
        <row r="278">
          <cell r="A278">
            <v>41607</v>
          </cell>
          <cell r="E278">
            <v>1486.6704545454545</v>
          </cell>
          <cell r="G278">
            <v>179.96828929068147</v>
          </cell>
        </row>
        <row r="279">
          <cell r="A279">
            <v>41600</v>
          </cell>
          <cell r="E279">
            <v>1489.8823529411766</v>
          </cell>
          <cell r="G279">
            <v>179.90511551155117</v>
          </cell>
        </row>
        <row r="280">
          <cell r="A280">
            <v>41593</v>
          </cell>
          <cell r="E280">
            <v>1487.76</v>
          </cell>
          <cell r="G280">
            <v>180.09101251422072</v>
          </cell>
        </row>
        <row r="281">
          <cell r="A281">
            <v>41586</v>
          </cell>
          <cell r="E281">
            <v>1488.2938271604939</v>
          </cell>
          <cell r="G281">
            <v>179.88563300142246</v>
          </cell>
        </row>
        <row r="282">
          <cell r="A282">
            <v>41579</v>
          </cell>
          <cell r="E282">
            <v>1489.6964705882353</v>
          </cell>
          <cell r="G282">
            <v>180.14315600717273</v>
          </cell>
        </row>
        <row r="283">
          <cell r="A283">
            <v>41572</v>
          </cell>
          <cell r="E283">
            <v>1449.2316258351893</v>
          </cell>
          <cell r="G283">
            <v>180.01734432755188</v>
          </cell>
        </row>
        <row r="284">
          <cell r="A284">
            <v>41565</v>
          </cell>
          <cell r="E284">
            <v>1438.6081370449679</v>
          </cell>
          <cell r="G284">
            <v>173.70662039508809</v>
          </cell>
        </row>
        <row r="285">
          <cell r="A285">
            <v>41558</v>
          </cell>
          <cell r="E285">
            <v>1434.7852631578946</v>
          </cell>
          <cell r="G285">
            <v>173.50981404958679</v>
          </cell>
        </row>
        <row r="286">
          <cell r="A286">
            <v>41547</v>
          </cell>
          <cell r="E286">
            <v>1435.8270042194092</v>
          </cell>
          <cell r="G286">
            <v>173.68068297655452</v>
          </cell>
        </row>
        <row r="287">
          <cell r="A287">
            <v>41544</v>
          </cell>
          <cell r="E287">
            <v>1438.8174097664544</v>
          </cell>
          <cell r="G287">
            <v>173.92844364937386</v>
          </cell>
        </row>
        <row r="288">
          <cell r="A288">
            <v>41535</v>
          </cell>
          <cell r="E288">
            <v>1439.3861607142856</v>
          </cell>
          <cell r="G288">
            <v>174.12204522096607</v>
          </cell>
        </row>
        <row r="289">
          <cell r="A289">
            <v>41530</v>
          </cell>
          <cell r="E289">
            <v>1440.3205417607223</v>
          </cell>
          <cell r="G289">
            <v>174.47104978354977</v>
          </cell>
        </row>
        <row r="290">
          <cell r="A290">
            <v>41523</v>
          </cell>
          <cell r="E290">
            <v>1439.1714922048998</v>
          </cell>
          <cell r="G290">
            <v>174.33387978142076</v>
          </cell>
        </row>
        <row r="291">
          <cell r="A291">
            <v>41516</v>
          </cell>
          <cell r="E291">
            <v>1454.0873563218393</v>
          </cell>
          <cell r="G291">
            <v>174.36265515380464</v>
          </cell>
        </row>
        <row r="292">
          <cell r="A292">
            <v>41509</v>
          </cell>
          <cell r="E292">
            <v>1442.028888888889</v>
          </cell>
          <cell r="G292">
            <v>174.58680651393874</v>
          </cell>
        </row>
        <row r="293">
          <cell r="A293">
            <v>41502</v>
          </cell>
          <cell r="E293">
            <v>1432.9276018099547</v>
          </cell>
          <cell r="G293">
            <v>172.07981967647839</v>
          </cell>
        </row>
        <row r="294">
          <cell r="A294">
            <v>41495</v>
          </cell>
          <cell r="E294">
            <v>1427.5753715498938</v>
          </cell>
          <cell r="G294">
            <v>169.3007217321572</v>
          </cell>
        </row>
        <row r="295">
          <cell r="A295">
            <v>41488</v>
          </cell>
          <cell r="E295">
            <v>1436.9757174392935</v>
          </cell>
          <cell r="G295">
            <v>168.51829573934839</v>
          </cell>
        </row>
        <row r="296">
          <cell r="A296">
            <v>41481</v>
          </cell>
          <cell r="E296">
            <v>1435.8612334801762</v>
          </cell>
          <cell r="G296">
            <v>167.85714285714286</v>
          </cell>
        </row>
        <row r="297">
          <cell r="A297">
            <v>41474</v>
          </cell>
          <cell r="E297">
            <v>1434.380733944954</v>
          </cell>
          <cell r="G297">
            <v>167.7943371943372</v>
          </cell>
        </row>
        <row r="298">
          <cell r="A298">
            <v>41467</v>
          </cell>
          <cell r="E298">
            <v>1440.5286041189929</v>
          </cell>
          <cell r="G298">
            <v>167.93501611170782</v>
          </cell>
        </row>
        <row r="299">
          <cell r="A299">
            <v>41460</v>
          </cell>
          <cell r="E299">
            <v>1440.4080188679245</v>
          </cell>
          <cell r="G299">
            <v>168.63407447093491</v>
          </cell>
        </row>
        <row r="300">
          <cell r="A300">
            <v>41453</v>
          </cell>
          <cell r="E300">
            <v>1449.605</v>
          </cell>
          <cell r="G300">
            <v>168.47806896551725</v>
          </cell>
        </row>
        <row r="301">
          <cell r="A301">
            <v>41446</v>
          </cell>
          <cell r="E301">
            <v>1453.4818401937046</v>
          </cell>
          <cell r="G301">
            <v>167.87550665894616</v>
          </cell>
        </row>
        <row r="302">
          <cell r="A302">
            <v>41439</v>
          </cell>
          <cell r="E302">
            <v>1455.5602836879432</v>
          </cell>
          <cell r="G302">
            <v>168.10081209745169</v>
          </cell>
        </row>
        <row r="303">
          <cell r="A303">
            <v>41432</v>
          </cell>
          <cell r="E303">
            <v>1459.0023923444978</v>
          </cell>
          <cell r="G303">
            <v>167.94926350245501</v>
          </cell>
        </row>
        <row r="304">
          <cell r="A304">
            <v>41425</v>
          </cell>
          <cell r="E304">
            <v>1465.1108597285067</v>
          </cell>
          <cell r="G304">
            <v>168.09895259095921</v>
          </cell>
        </row>
        <row r="305">
          <cell r="A305">
            <v>41418</v>
          </cell>
          <cell r="E305">
            <v>1465.180751173709</v>
          </cell>
          <cell r="G305">
            <v>168.15866008828877</v>
          </cell>
        </row>
        <row r="306">
          <cell r="A306">
            <v>41411</v>
          </cell>
          <cell r="E306">
            <v>1456.1305361305363</v>
          </cell>
          <cell r="G306">
            <v>168.19374831581786</v>
          </cell>
        </row>
        <row r="307">
          <cell r="A307">
            <v>41404</v>
          </cell>
          <cell r="E307">
            <v>1460.3277909738717</v>
          </cell>
          <cell r="G307">
            <v>170.53781053781054</v>
          </cell>
        </row>
        <row r="308">
          <cell r="A308">
            <v>41397</v>
          </cell>
          <cell r="E308">
            <v>1465.6748166259169</v>
          </cell>
          <cell r="G308">
            <v>170.82467352042232</v>
          </cell>
        </row>
        <row r="309">
          <cell r="A309">
            <v>41390</v>
          </cell>
          <cell r="E309">
            <v>1451.9045226130654</v>
          </cell>
          <cell r="G309">
            <v>170.83528070675405</v>
          </cell>
        </row>
        <row r="310">
          <cell r="A310">
            <v>41383</v>
          </cell>
          <cell r="E310">
            <v>1410.9206730769231</v>
          </cell>
          <cell r="G310">
            <v>164.91381278538813</v>
          </cell>
        </row>
        <row r="311">
          <cell r="A311">
            <v>41376</v>
          </cell>
          <cell r="E311">
            <v>1408.4466501240695</v>
          </cell>
          <cell r="G311">
            <v>163.6306105380541</v>
          </cell>
        </row>
        <row r="312">
          <cell r="A312">
            <v>41367</v>
          </cell>
          <cell r="E312">
            <v>1407.1404358353511</v>
          </cell>
          <cell r="G312">
            <v>165.67542323409225</v>
          </cell>
        </row>
        <row r="313">
          <cell r="A313">
            <v>41362</v>
          </cell>
          <cell r="E313">
            <v>1399.8430913348948</v>
          </cell>
          <cell r="G313">
            <v>163.98109480812641</v>
          </cell>
        </row>
        <row r="314">
          <cell r="A314">
            <v>41355</v>
          </cell>
          <cell r="E314">
            <v>1378.7482837528605</v>
          </cell>
          <cell r="G314">
            <v>162.16304937601737</v>
          </cell>
        </row>
        <row r="315">
          <cell r="A315">
            <v>41348</v>
          </cell>
          <cell r="E315">
            <v>1376.6611764705883</v>
          </cell>
          <cell r="G315">
            <v>162.27120926474549</v>
          </cell>
        </row>
        <row r="316">
          <cell r="A316">
            <v>41341</v>
          </cell>
          <cell r="E316">
            <v>1368.3465116279071</v>
          </cell>
          <cell r="G316">
            <v>161.44619205298014</v>
          </cell>
        </row>
        <row r="317">
          <cell r="A317">
            <v>41334</v>
          </cell>
          <cell r="E317">
            <v>1369.0275862068968</v>
          </cell>
          <cell r="G317">
            <v>159.06704514733713</v>
          </cell>
        </row>
        <row r="318">
          <cell r="A318">
            <v>41327</v>
          </cell>
          <cell r="E318">
            <v>1364.5731132075471</v>
          </cell>
          <cell r="G318">
            <v>158.55351437699682</v>
          </cell>
        </row>
        <row r="319">
          <cell r="A319">
            <v>41313</v>
          </cell>
          <cell r="E319">
            <v>1369.5441527446301</v>
          </cell>
          <cell r="G319">
            <v>157.60800871697086</v>
          </cell>
        </row>
        <row r="320">
          <cell r="A320">
            <v>41306</v>
          </cell>
          <cell r="E320">
            <v>1361.3002481389576</v>
          </cell>
          <cell r="G320">
            <v>157.43182441700961</v>
          </cell>
        </row>
        <row r="321">
          <cell r="A321">
            <v>41299</v>
          </cell>
          <cell r="E321">
            <v>1357.2575757575758</v>
          </cell>
          <cell r="G321">
            <v>156.9233409610984</v>
          </cell>
        </row>
        <row r="322">
          <cell r="A322">
            <v>41292</v>
          </cell>
          <cell r="E322">
            <v>1355.4055415617129</v>
          </cell>
          <cell r="G322">
            <v>156.69795918367348</v>
          </cell>
        </row>
        <row r="323">
          <cell r="A323">
            <v>41285</v>
          </cell>
          <cell r="E323">
            <v>1355.7018970189702</v>
          </cell>
          <cell r="G323">
            <v>156.65094614264919</v>
          </cell>
        </row>
        <row r="324">
          <cell r="A324">
            <v>41278</v>
          </cell>
          <cell r="E324">
            <v>1354.7859154929577</v>
          </cell>
          <cell r="G324">
            <v>156.47607131685956</v>
          </cell>
        </row>
        <row r="325">
          <cell r="A325">
            <v>41271</v>
          </cell>
          <cell r="E325">
            <v>1368.7323943661972</v>
          </cell>
          <cell r="G325">
            <v>156.30451738706532</v>
          </cell>
        </row>
        <row r="326">
          <cell r="A326">
            <v>41264</v>
          </cell>
          <cell r="E326">
            <v>1360.785294117647</v>
          </cell>
          <cell r="G326">
            <v>157.50405186385737</v>
          </cell>
        </row>
        <row r="327">
          <cell r="A327">
            <v>41257</v>
          </cell>
          <cell r="E327">
            <v>1369.5441176470588</v>
          </cell>
          <cell r="G327">
            <v>157.63781942078364</v>
          </cell>
        </row>
        <row r="328">
          <cell r="A328">
            <v>41250</v>
          </cell>
          <cell r="E328">
            <v>1366.754491017964</v>
          </cell>
          <cell r="G328">
            <v>158.27498300475864</v>
          </cell>
        </row>
        <row r="329">
          <cell r="A329">
            <v>41243</v>
          </cell>
          <cell r="E329">
            <v>1365.7055214723928</v>
          </cell>
          <cell r="G329">
            <v>158.12123311395914</v>
          </cell>
        </row>
        <row r="330">
          <cell r="A330">
            <v>41236</v>
          </cell>
          <cell r="E330">
            <v>1366.7155425219942</v>
          </cell>
          <cell r="G330">
            <v>157.82346685572492</v>
          </cell>
        </row>
        <row r="331">
          <cell r="A331">
            <v>41229</v>
          </cell>
          <cell r="E331">
            <v>1368.349710982659</v>
          </cell>
          <cell r="G331">
            <v>158.19755600814665</v>
          </cell>
        </row>
        <row r="332">
          <cell r="A332">
            <v>41222</v>
          </cell>
          <cell r="E332">
            <v>1370.6095505617977</v>
          </cell>
          <cell r="G332">
            <v>158.23830213903742</v>
          </cell>
        </row>
        <row r="333">
          <cell r="A333">
            <v>41215</v>
          </cell>
          <cell r="E333">
            <v>1370.3035230352305</v>
          </cell>
          <cell r="G333">
            <v>158.42110389610389</v>
          </cell>
        </row>
        <row r="334">
          <cell r="A334">
            <v>41208</v>
          </cell>
          <cell r="E334">
            <v>1349.1707988980716</v>
          </cell>
          <cell r="G334">
            <v>158.50846394984328</v>
          </cell>
        </row>
        <row r="335">
          <cell r="A335">
            <v>41201</v>
          </cell>
          <cell r="E335">
            <v>1333.1937172774869</v>
          </cell>
          <cell r="G335">
            <v>165.3998649105032</v>
          </cell>
        </row>
        <row r="336">
          <cell r="A336">
            <v>41194</v>
          </cell>
          <cell r="E336">
            <v>1317.7387862796832</v>
          </cell>
          <cell r="G336">
            <v>162.19108280254778</v>
          </cell>
        </row>
        <row r="337">
          <cell r="A337">
            <v>41180</v>
          </cell>
          <cell r="E337">
            <v>1317.3972972972972</v>
          </cell>
          <cell r="G337">
            <v>163.2634847989539</v>
          </cell>
        </row>
        <row r="338">
          <cell r="A338">
            <v>41173</v>
          </cell>
          <cell r="E338">
            <v>1317.465564738292</v>
          </cell>
          <cell r="G338">
            <v>163.45975855130783</v>
          </cell>
        </row>
        <row r="339">
          <cell r="A339">
            <v>41166</v>
          </cell>
          <cell r="E339">
            <v>1316.6073298429319</v>
          </cell>
          <cell r="G339">
            <v>163.27756913622395</v>
          </cell>
        </row>
        <row r="340">
          <cell r="A340">
            <v>41159</v>
          </cell>
          <cell r="E340">
            <v>1315.2041884816754</v>
          </cell>
          <cell r="G340">
            <v>163.0817120622568</v>
          </cell>
        </row>
        <row r="341">
          <cell r="A341">
            <v>41152</v>
          </cell>
          <cell r="E341">
            <v>1314.9228650137741</v>
          </cell>
          <cell r="G341">
            <v>162.90791180285345</v>
          </cell>
        </row>
        <row r="342">
          <cell r="A342">
            <v>41145</v>
          </cell>
          <cell r="E342">
            <v>1298.7080103359174</v>
          </cell>
          <cell r="G342">
            <v>162.96244452031411</v>
          </cell>
        </row>
        <row r="343">
          <cell r="A343">
            <v>41138</v>
          </cell>
          <cell r="E343">
            <v>1280.9305912596401</v>
          </cell>
          <cell r="G343">
            <v>165.98414795244386</v>
          </cell>
        </row>
        <row r="344">
          <cell r="A344">
            <v>41131</v>
          </cell>
          <cell r="E344">
            <v>1273.6716049382717</v>
          </cell>
          <cell r="G344">
            <v>165.98334443704198</v>
          </cell>
        </row>
        <row r="345">
          <cell r="A345">
            <v>41124</v>
          </cell>
          <cell r="E345">
            <v>1270.0178571428573</v>
          </cell>
          <cell r="G345">
            <v>164.75151708719258</v>
          </cell>
        </row>
        <row r="346">
          <cell r="A346">
            <v>41117</v>
          </cell>
          <cell r="E346">
            <v>1268.6806282722512</v>
          </cell>
          <cell r="G346">
            <v>162.90804973821992</v>
          </cell>
        </row>
        <row r="347">
          <cell r="A347">
            <v>41110</v>
          </cell>
          <cell r="E347">
            <v>1266.6489898989901</v>
          </cell>
          <cell r="G347">
            <v>162.79341619079611</v>
          </cell>
        </row>
        <row r="348">
          <cell r="A348">
            <v>41103</v>
          </cell>
          <cell r="E348">
            <v>1268.2512315270938</v>
          </cell>
          <cell r="G348">
            <v>162.17038473973489</v>
          </cell>
        </row>
        <row r="349">
          <cell r="A349">
            <v>41096</v>
          </cell>
          <cell r="E349">
            <v>1270.9974999999999</v>
          </cell>
          <cell r="G349">
            <v>162.84313725490196</v>
          </cell>
        </row>
        <row r="350">
          <cell r="A350">
            <v>41089</v>
          </cell>
          <cell r="E350">
            <v>1303.9343832020998</v>
          </cell>
          <cell r="G350">
            <v>163.15757381258021</v>
          </cell>
        </row>
        <row r="351">
          <cell r="A351">
            <v>41081</v>
          </cell>
          <cell r="E351">
            <v>1306.7733333333333</v>
          </cell>
          <cell r="G351">
            <v>162.35261437908494</v>
          </cell>
        </row>
        <row r="352">
          <cell r="A352">
            <v>41075</v>
          </cell>
          <cell r="E352">
            <v>1307.6272965879266</v>
          </cell>
          <cell r="G352">
            <v>162.48010610079575</v>
          </cell>
        </row>
        <row r="353">
          <cell r="A353">
            <v>41068</v>
          </cell>
          <cell r="E353">
            <v>1313.5793871866297</v>
          </cell>
          <cell r="G353">
            <v>162.59986945169715</v>
          </cell>
        </row>
        <row r="354">
          <cell r="A354">
            <v>41061</v>
          </cell>
          <cell r="E354">
            <v>1319.9504132231405</v>
          </cell>
          <cell r="G354">
            <v>162.44402342404408</v>
          </cell>
        </row>
        <row r="355">
          <cell r="A355">
            <v>41054</v>
          </cell>
          <cell r="E355">
            <v>1322.8914285714286</v>
          </cell>
          <cell r="G355">
            <v>162.47609359104783</v>
          </cell>
        </row>
        <row r="356">
          <cell r="A356">
            <v>41047</v>
          </cell>
          <cell r="E356">
            <v>1326.0427350427351</v>
          </cell>
          <cell r="G356">
            <v>162.34642356241235</v>
          </cell>
        </row>
        <row r="357">
          <cell r="A357">
            <v>41040</v>
          </cell>
          <cell r="E357">
            <v>1326.85</v>
          </cell>
          <cell r="G357">
            <v>162.62788259958072</v>
          </cell>
        </row>
        <row r="358">
          <cell r="A358">
            <v>41033</v>
          </cell>
          <cell r="E358">
            <v>1335.1553672316384</v>
          </cell>
          <cell r="G358">
            <v>162.74821124361156</v>
          </cell>
        </row>
        <row r="359">
          <cell r="A359">
            <v>41026</v>
          </cell>
          <cell r="E359">
            <v>1360.4712990936555</v>
          </cell>
          <cell r="G359">
            <v>162.92485349879351</v>
          </cell>
        </row>
        <row r="360">
          <cell r="A360">
            <v>41019</v>
          </cell>
          <cell r="E360">
            <v>1324.7421203438396</v>
          </cell>
          <cell r="G360">
            <v>166.3524196527521</v>
          </cell>
        </row>
        <row r="361">
          <cell r="A361">
            <v>41012</v>
          </cell>
          <cell r="E361">
            <v>1321.3988439306358</v>
          </cell>
          <cell r="G361">
            <v>165.65209602293086</v>
          </cell>
        </row>
        <row r="362">
          <cell r="A362">
            <v>41005</v>
          </cell>
          <cell r="E362">
            <v>1319.4822485207103</v>
          </cell>
          <cell r="G362">
            <v>168.52340582381129</v>
          </cell>
        </row>
        <row r="363">
          <cell r="A363">
            <v>40998</v>
          </cell>
          <cell r="E363">
            <v>1319.9452887537993</v>
          </cell>
          <cell r="G363">
            <v>168.80582891748676</v>
          </cell>
        </row>
        <row r="364">
          <cell r="A364">
            <v>40991</v>
          </cell>
          <cell r="E364">
            <v>1304.5786516853932</v>
          </cell>
          <cell r="G364">
            <v>169.50117096018735</v>
          </cell>
        </row>
        <row r="365">
          <cell r="A365">
            <v>40984</v>
          </cell>
          <cell r="E365">
            <v>1304.6451612903224</v>
          </cell>
          <cell r="G365">
            <v>170.93485461906513</v>
          </cell>
        </row>
        <row r="366">
          <cell r="A366">
            <v>40977</v>
          </cell>
          <cell r="E366">
            <v>1301.4615384615383</v>
          </cell>
          <cell r="G366">
            <v>171.49399293286217</v>
          </cell>
        </row>
        <row r="367">
          <cell r="A367">
            <v>40970</v>
          </cell>
          <cell r="E367">
            <v>1298.9203296703295</v>
          </cell>
          <cell r="G367">
            <v>170.96066402020929</v>
          </cell>
        </row>
        <row r="368">
          <cell r="A368">
            <v>40963</v>
          </cell>
          <cell r="E368">
            <v>1296.6430517711174</v>
          </cell>
          <cell r="G368">
            <v>170.62684951281125</v>
          </cell>
        </row>
        <row r="369">
          <cell r="A369">
            <v>40956</v>
          </cell>
          <cell r="E369">
            <v>1295.3276836158193</v>
          </cell>
          <cell r="G369">
            <v>170.19599427753934</v>
          </cell>
        </row>
        <row r="370">
          <cell r="A370">
            <v>40949</v>
          </cell>
          <cell r="E370">
            <v>1295.7319884726223</v>
          </cell>
          <cell r="G370">
            <v>170.27330115113256</v>
          </cell>
        </row>
        <row r="371">
          <cell r="A371">
            <v>40942</v>
          </cell>
          <cell r="E371">
            <v>1294.1863905325445</v>
          </cell>
          <cell r="G371">
            <v>170.1813020439061</v>
          </cell>
        </row>
        <row r="372">
          <cell r="A372">
            <v>40928</v>
          </cell>
          <cell r="E372">
            <v>1293.3716012084594</v>
          </cell>
          <cell r="G372">
            <v>169.48275862068968</v>
          </cell>
        </row>
        <row r="373">
          <cell r="A373">
            <v>40921</v>
          </cell>
          <cell r="E373">
            <v>1291.4181818181819</v>
          </cell>
          <cell r="G373">
            <v>169.41274238227149</v>
          </cell>
        </row>
        <row r="374">
          <cell r="A374">
            <v>40914</v>
          </cell>
          <cell r="E374">
            <v>1258.5619335347433</v>
          </cell>
          <cell r="G374">
            <v>169.11428571428573</v>
          </cell>
        </row>
        <row r="375">
          <cell r="A375">
            <v>40907</v>
          </cell>
          <cell r="E375">
            <v>1264.0842696629213</v>
          </cell>
          <cell r="G375">
            <v>169.06818181818181</v>
          </cell>
        </row>
        <row r="376">
          <cell r="A376">
            <v>40900</v>
          </cell>
          <cell r="E376">
            <v>1268.1684782608695</v>
          </cell>
          <cell r="G376">
            <v>172.55138036809819</v>
          </cell>
        </row>
        <row r="377">
          <cell r="A377">
            <v>40893</v>
          </cell>
          <cell r="E377">
            <v>1270.1653333333334</v>
          </cell>
          <cell r="G377">
            <v>173.23162583518928</v>
          </cell>
        </row>
        <row r="378">
          <cell r="A378">
            <v>40886</v>
          </cell>
          <cell r="E378">
            <v>1267.6691919191919</v>
          </cell>
          <cell r="G378">
            <v>173.07848837209303</v>
          </cell>
        </row>
        <row r="379">
          <cell r="A379">
            <v>40879</v>
          </cell>
          <cell r="E379">
            <v>1269.4033816425122</v>
          </cell>
          <cell r="G379">
            <v>173.10241379310347</v>
          </cell>
        </row>
        <row r="380">
          <cell r="A380">
            <v>40872</v>
          </cell>
          <cell r="E380">
            <v>1267.0024271844661</v>
          </cell>
          <cell r="G380">
            <v>173.32882585751977</v>
          </cell>
        </row>
        <row r="381">
          <cell r="A381">
            <v>40865</v>
          </cell>
          <cell r="E381">
            <v>1262.5084337349397</v>
          </cell>
          <cell r="G381">
            <v>173.02121312562147</v>
          </cell>
        </row>
        <row r="382">
          <cell r="A382">
            <v>40858</v>
          </cell>
          <cell r="E382">
            <v>1268.6374407582939</v>
          </cell>
          <cell r="G382">
            <v>172.40572556762092</v>
          </cell>
        </row>
        <row r="383">
          <cell r="A383">
            <v>40851</v>
          </cell>
          <cell r="E383">
            <v>1269.7971698113206</v>
          </cell>
          <cell r="G383">
            <v>173.08923375363725</v>
          </cell>
        </row>
        <row r="384">
          <cell r="A384">
            <v>40844</v>
          </cell>
          <cell r="E384">
            <v>1256.2554744525546</v>
          </cell>
          <cell r="G384">
            <v>173.28419697457352</v>
          </cell>
        </row>
        <row r="385">
          <cell r="A385">
            <v>40837</v>
          </cell>
          <cell r="E385">
            <v>1213.1586901763224</v>
          </cell>
          <cell r="G385">
            <v>174.19736842105263</v>
          </cell>
        </row>
        <row r="386">
          <cell r="A386">
            <v>40830</v>
          </cell>
          <cell r="E386">
            <v>1208.1431924882629</v>
          </cell>
          <cell r="G386">
            <v>162.2722371967655</v>
          </cell>
        </row>
        <row r="387">
          <cell r="A387">
            <v>40816</v>
          </cell>
          <cell r="E387">
            <v>1206.9055690072641</v>
          </cell>
          <cell r="G387">
            <v>163.80299172501589</v>
          </cell>
        </row>
        <row r="388">
          <cell r="A388">
            <v>40809</v>
          </cell>
          <cell r="E388">
            <v>1207.4508009153319</v>
          </cell>
          <cell r="G388">
            <v>163.48048540505087</v>
          </cell>
        </row>
        <row r="389">
          <cell r="A389">
            <v>40802</v>
          </cell>
          <cell r="E389">
            <v>1207.4665178571427</v>
          </cell>
          <cell r="G389">
            <v>163.86832298136645</v>
          </cell>
        </row>
        <row r="390">
          <cell r="A390">
            <v>40795</v>
          </cell>
          <cell r="E390">
            <v>1206.248898678414</v>
          </cell>
          <cell r="G390">
            <v>163.62522686025406</v>
          </cell>
        </row>
        <row r="391">
          <cell r="A391">
            <v>40788</v>
          </cell>
          <cell r="E391">
            <v>1210.8</v>
          </cell>
          <cell r="G391">
            <v>163.62025694651928</v>
          </cell>
        </row>
        <row r="392">
          <cell r="A392">
            <v>40781</v>
          </cell>
          <cell r="E392">
            <v>1204.4680412371135</v>
          </cell>
          <cell r="G392">
            <v>164.14635568513123</v>
          </cell>
        </row>
        <row r="393">
          <cell r="A393">
            <v>40774</v>
          </cell>
          <cell r="E393">
            <v>1187.8840579710143</v>
          </cell>
          <cell r="G393">
            <v>161.72951273532669</v>
          </cell>
        </row>
        <row r="394">
          <cell r="A394">
            <v>40767</v>
          </cell>
          <cell r="E394">
            <v>1181.2845691382765</v>
          </cell>
          <cell r="G394">
            <v>159.37444444444444</v>
          </cell>
        </row>
        <row r="395">
          <cell r="A395">
            <v>40760</v>
          </cell>
          <cell r="E395">
            <v>1177.078629032258</v>
          </cell>
          <cell r="G395">
            <v>160.13610431947839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29"/>
  <sheetViews>
    <sheetView tabSelected="1" zoomScale="125" workbookViewId="0">
      <pane ySplit="1" topLeftCell="A2" activePane="bottomLeft" state="frozen"/>
      <selection pane="bottomLeft" activeCell="E4" sqref="E4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3" spans="1:14" x14ac:dyDescent="0.2">
      <c r="A3" s="1">
        <v>43574</v>
      </c>
      <c r="B3">
        <v>9940.48</v>
      </c>
      <c r="C3">
        <v>3.78</v>
      </c>
      <c r="D3">
        <v>33.19</v>
      </c>
      <c r="E3" s="2" t="e">
        <f t="shared" ref="E3:E66" si="0">B2/C2</f>
        <v>#DIV/0!</v>
      </c>
      <c r="F3" s="3">
        <f t="shared" ref="F3:F66" si="1">E2/E52-1</f>
        <v>-1</v>
      </c>
      <c r="G3" s="2" t="e">
        <f>#REF!/#REF!</f>
        <v>#REF!</v>
      </c>
      <c r="H3" s="3" t="e">
        <f>#REF!/G51-1</f>
        <v>#REF!</v>
      </c>
      <c r="J3" s="3" t="e">
        <f>#REF!/#REF!</f>
        <v>#REF!</v>
      </c>
      <c r="L3" s="4" t="s">
        <v>9</v>
      </c>
      <c r="M3" s="3">
        <f>(E394/E36)^(1/7)-1</f>
        <v>-9.9821251116676946E-2</v>
      </c>
      <c r="N3" s="3">
        <f>(G394/G36)^(1/7)-1</f>
        <v>-9.0812343277831498E-2</v>
      </c>
    </row>
    <row r="4" spans="1:14" x14ac:dyDescent="0.2">
      <c r="A4" s="1">
        <v>43567</v>
      </c>
      <c r="B4">
        <v>9876.73</v>
      </c>
      <c r="C4">
        <v>3.77</v>
      </c>
      <c r="D4">
        <v>33.11</v>
      </c>
      <c r="E4" s="2">
        <f t="shared" si="0"/>
        <v>2629.7566137566137</v>
      </c>
      <c r="F4" s="3" t="e">
        <f t="shared" si="1"/>
        <v>#DIV/0!</v>
      </c>
      <c r="G4" s="2" t="e">
        <f t="shared" ref="G4:G67" si="2">B2/D2</f>
        <v>#DIV/0!</v>
      </c>
      <c r="H4" s="3">
        <f t="shared" ref="H4:H67" si="3">G2/G52-1</f>
        <v>-1</v>
      </c>
      <c r="J4" s="3" t="e">
        <f t="shared" ref="J4:J67" si="4">C2/D2</f>
        <v>#DIV/0!</v>
      </c>
      <c r="L4" s="4" t="s">
        <v>10</v>
      </c>
      <c r="M4" s="3">
        <f>(E394/E138)^(1/5)-1</f>
        <v>-9.7527851862074799E-2</v>
      </c>
      <c r="N4" s="3">
        <f>(G394/G138)^(1/5)-1</f>
        <v>-6.7263929975208248E-2</v>
      </c>
    </row>
    <row r="5" spans="1:14" x14ac:dyDescent="0.2">
      <c r="A5" s="1">
        <v>43559</v>
      </c>
      <c r="B5">
        <v>10032.290000000001</v>
      </c>
      <c r="C5">
        <v>3.82</v>
      </c>
      <c r="D5">
        <v>33.6</v>
      </c>
      <c r="E5" s="2">
        <f t="shared" si="0"/>
        <v>2619.8222811671085</v>
      </c>
      <c r="F5" s="3">
        <f t="shared" si="1"/>
        <v>6.8936900488010933E-2</v>
      </c>
      <c r="G5" s="2">
        <f t="shared" si="2"/>
        <v>299.50225971678219</v>
      </c>
      <c r="H5" s="3" t="e">
        <f t="shared" si="3"/>
        <v>#REF!</v>
      </c>
      <c r="J5" s="3">
        <f t="shared" si="4"/>
        <v>0.11388972582103044</v>
      </c>
      <c r="L5" s="4" t="s">
        <v>11</v>
      </c>
      <c r="M5" s="3">
        <f>(E394/E242)^(1/3)-1</f>
        <v>-7.6577227398305636E-2</v>
      </c>
      <c r="N5" s="3">
        <f>(G394/G242)^(1/3)-1</f>
        <v>-4.0676392886631607E-2</v>
      </c>
    </row>
    <row r="6" spans="1:14" x14ac:dyDescent="0.2">
      <c r="A6" s="1">
        <v>43553</v>
      </c>
      <c r="B6">
        <v>9700.56</v>
      </c>
      <c r="C6">
        <v>3.72</v>
      </c>
      <c r="D6">
        <v>32.43</v>
      </c>
      <c r="E6" s="2">
        <f t="shared" si="0"/>
        <v>2626.2539267015709</v>
      </c>
      <c r="F6" s="3">
        <f t="shared" si="1"/>
        <v>7.1087045525642711E-2</v>
      </c>
      <c r="G6" s="2">
        <f t="shared" si="2"/>
        <v>298.30051344004829</v>
      </c>
      <c r="H6" s="3" t="e">
        <f t="shared" si="3"/>
        <v>#DIV/0!</v>
      </c>
      <c r="J6" s="3">
        <f t="shared" si="4"/>
        <v>0.11386288130474177</v>
      </c>
      <c r="L6" s="4" t="s">
        <v>12</v>
      </c>
      <c r="M6" s="3" t="e">
        <f>#REF!</f>
        <v>#REF!</v>
      </c>
      <c r="N6" s="3" t="e">
        <f>#REF!</f>
        <v>#REF!</v>
      </c>
    </row>
    <row r="7" spans="1:14" x14ac:dyDescent="0.2">
      <c r="A7" s="1">
        <v>43546</v>
      </c>
      <c r="B7">
        <v>9635.48</v>
      </c>
      <c r="C7">
        <v>3.72</v>
      </c>
      <c r="D7">
        <v>32.07</v>
      </c>
      <c r="E7" s="2">
        <f t="shared" si="0"/>
        <v>2607.6774193548385</v>
      </c>
      <c r="F7" s="3">
        <f t="shared" si="1"/>
        <v>7.7322472903291972E-2</v>
      </c>
      <c r="G7" s="2">
        <f t="shared" si="2"/>
        <v>298.58005952380955</v>
      </c>
      <c r="H7" s="3">
        <f t="shared" si="3"/>
        <v>4.0697883564744686E-2</v>
      </c>
      <c r="J7" s="3">
        <f t="shared" si="4"/>
        <v>0.11369047619047618</v>
      </c>
      <c r="M7" s="4" t="s">
        <v>4</v>
      </c>
      <c r="N7" s="4" t="s">
        <v>6</v>
      </c>
    </row>
    <row r="8" spans="1:14" x14ac:dyDescent="0.2">
      <c r="A8" s="1">
        <v>43539</v>
      </c>
      <c r="B8">
        <v>9202.2199999999993</v>
      </c>
      <c r="C8">
        <v>3.57</v>
      </c>
      <c r="D8">
        <v>30.51</v>
      </c>
      <c r="E8" s="2">
        <f t="shared" si="0"/>
        <v>2590.1827956989246</v>
      </c>
      <c r="F8" s="3">
        <f t="shared" si="1"/>
        <v>7.0984407503102309E-2</v>
      </c>
      <c r="G8" s="2">
        <f t="shared" si="2"/>
        <v>299.12303422756708</v>
      </c>
      <c r="H8" s="3">
        <f t="shared" si="3"/>
        <v>5.1073579739922659E-2</v>
      </c>
      <c r="J8" s="3">
        <f t="shared" si="4"/>
        <v>0.1147086031452359</v>
      </c>
    </row>
    <row r="9" spans="1:14" x14ac:dyDescent="0.2">
      <c r="A9" s="1">
        <v>43532</v>
      </c>
      <c r="B9">
        <v>8838.32</v>
      </c>
      <c r="C9">
        <v>3.44</v>
      </c>
      <c r="D9">
        <v>29.26</v>
      </c>
      <c r="E9" s="2">
        <f t="shared" si="0"/>
        <v>2577.6526610644255</v>
      </c>
      <c r="F9" s="3">
        <f t="shared" si="1"/>
        <v>6.7267907318589781E-2</v>
      </c>
      <c r="G9" s="2">
        <f t="shared" si="2"/>
        <v>300.45151231680694</v>
      </c>
      <c r="H9" s="3">
        <f t="shared" si="3"/>
        <v>5.2835874785076786E-2</v>
      </c>
      <c r="J9" s="3">
        <f t="shared" si="4"/>
        <v>0.11599625818521983</v>
      </c>
    </row>
    <row r="10" spans="1:14" x14ac:dyDescent="0.2">
      <c r="A10" s="1">
        <v>43525</v>
      </c>
      <c r="B10">
        <v>8766.09</v>
      </c>
      <c r="C10">
        <v>3.42</v>
      </c>
      <c r="D10">
        <v>29.04</v>
      </c>
      <c r="E10" s="2">
        <f t="shared" si="0"/>
        <v>2569.2790697674418</v>
      </c>
      <c r="F10" s="3">
        <f t="shared" si="1"/>
        <v>6.1586572215782232E-2</v>
      </c>
      <c r="G10" s="2">
        <f t="shared" si="2"/>
        <v>301.61324156014416</v>
      </c>
      <c r="H10" s="3">
        <f t="shared" si="3"/>
        <v>6.6470063493007547E-2</v>
      </c>
      <c r="J10" s="3">
        <f t="shared" si="4"/>
        <v>0.11701081612586037</v>
      </c>
    </row>
    <row r="11" spans="1:14" x14ac:dyDescent="0.2">
      <c r="A11" s="1">
        <v>43518</v>
      </c>
      <c r="B11">
        <v>8178.58</v>
      </c>
      <c r="C11">
        <v>3.19</v>
      </c>
      <c r="D11">
        <v>27.1</v>
      </c>
      <c r="E11" s="2">
        <f t="shared" si="0"/>
        <v>2563.1842105263158</v>
      </c>
      <c r="F11" s="3">
        <f t="shared" si="1"/>
        <v>6.197846225126491E-2</v>
      </c>
      <c r="G11" s="2">
        <f t="shared" si="2"/>
        <v>302.06151742993848</v>
      </c>
      <c r="H11" s="3">
        <f t="shared" si="3"/>
        <v>7.6667926283008336E-2</v>
      </c>
      <c r="J11" s="3">
        <f t="shared" si="4"/>
        <v>0.11756664388243335</v>
      </c>
    </row>
    <row r="12" spans="1:14" x14ac:dyDescent="0.2">
      <c r="A12" s="1">
        <v>43511</v>
      </c>
      <c r="B12">
        <v>7925.22</v>
      </c>
      <c r="C12">
        <v>3.1</v>
      </c>
      <c r="D12">
        <v>26.4</v>
      </c>
      <c r="E12" s="2">
        <f t="shared" si="0"/>
        <v>2563.818181818182</v>
      </c>
      <c r="F12" s="3">
        <f t="shared" si="1"/>
        <v>5.9238182626040414E-2</v>
      </c>
      <c r="G12" s="2">
        <f t="shared" si="2"/>
        <v>301.86260330578511</v>
      </c>
      <c r="H12" s="3">
        <f t="shared" si="3"/>
        <v>7.9191214354244588E-2</v>
      </c>
      <c r="J12" s="3">
        <f t="shared" si="4"/>
        <v>0.11776859504132231</v>
      </c>
    </row>
    <row r="13" spans="1:14" x14ac:dyDescent="0.2">
      <c r="A13" s="1">
        <v>43497</v>
      </c>
      <c r="B13">
        <v>7469.14</v>
      </c>
      <c r="C13">
        <v>2.92</v>
      </c>
      <c r="D13">
        <v>24.89</v>
      </c>
      <c r="E13" s="2">
        <f t="shared" si="0"/>
        <v>2556.5225806451613</v>
      </c>
      <c r="F13" s="3">
        <f t="shared" si="1"/>
        <v>5.7128216874839266E-2</v>
      </c>
      <c r="G13" s="2">
        <f t="shared" si="2"/>
        <v>301.79261992619922</v>
      </c>
      <c r="H13" s="3">
        <f t="shared" si="3"/>
        <v>8.4771438132802635E-2</v>
      </c>
      <c r="J13" s="3">
        <f t="shared" si="4"/>
        <v>0.11771217712177121</v>
      </c>
    </row>
    <row r="14" spans="1:14" x14ac:dyDescent="0.2">
      <c r="A14" s="1">
        <v>43490</v>
      </c>
      <c r="B14">
        <v>7438.15</v>
      </c>
      <c r="C14">
        <v>2.91</v>
      </c>
      <c r="D14">
        <v>24.82</v>
      </c>
      <c r="E14" s="2">
        <f t="shared" si="0"/>
        <v>2557.9246575342468</v>
      </c>
      <c r="F14" s="3">
        <f t="shared" si="1"/>
        <v>5.5217687697743045E-2</v>
      </c>
      <c r="G14" s="2">
        <f t="shared" si="2"/>
        <v>300.19772727272732</v>
      </c>
      <c r="H14" s="3">
        <f t="shared" si="3"/>
        <v>8.5219984728071685E-2</v>
      </c>
      <c r="J14" s="3">
        <f t="shared" si="4"/>
        <v>0.11742424242424243</v>
      </c>
    </row>
    <row r="15" spans="1:14" x14ac:dyDescent="0.2">
      <c r="A15" s="1">
        <v>43483</v>
      </c>
      <c r="B15">
        <v>7554.93</v>
      </c>
      <c r="C15">
        <v>2.95</v>
      </c>
      <c r="D15">
        <v>25.15</v>
      </c>
      <c r="E15" s="2">
        <f t="shared" si="0"/>
        <v>2556.0652920962198</v>
      </c>
      <c r="F15" s="3">
        <f t="shared" si="1"/>
        <v>5.6738162516620338E-2</v>
      </c>
      <c r="G15" s="2">
        <f t="shared" si="2"/>
        <v>300.08597830453999</v>
      </c>
      <c r="H15" s="3">
        <f t="shared" si="3"/>
        <v>7.9184187469975686E-2</v>
      </c>
      <c r="J15" s="3">
        <f t="shared" si="4"/>
        <v>0.11731619124146243</v>
      </c>
    </row>
    <row r="16" spans="1:14" x14ac:dyDescent="0.2">
      <c r="A16" s="1">
        <v>43476</v>
      </c>
      <c r="B16">
        <v>7311.59</v>
      </c>
      <c r="C16">
        <v>2.86</v>
      </c>
      <c r="D16">
        <v>24.36</v>
      </c>
      <c r="E16" s="2">
        <f t="shared" si="0"/>
        <v>2560.9932203389831</v>
      </c>
      <c r="F16" s="3">
        <f t="shared" si="1"/>
        <v>5.4969437071485272E-2</v>
      </c>
      <c r="G16" s="2">
        <f t="shared" si="2"/>
        <v>299.68372280419015</v>
      </c>
      <c r="H16" s="3">
        <f t="shared" si="3"/>
        <v>7.4609960362652661E-2</v>
      </c>
      <c r="J16" s="3">
        <f t="shared" si="4"/>
        <v>0.11724415793714747</v>
      </c>
    </row>
    <row r="17" spans="1:10" x14ac:dyDescent="0.2">
      <c r="A17" s="1">
        <v>43469</v>
      </c>
      <c r="B17">
        <v>7263.2</v>
      </c>
      <c r="C17">
        <v>2.84</v>
      </c>
      <c r="D17">
        <v>24.22</v>
      </c>
      <c r="E17" s="2">
        <f t="shared" si="0"/>
        <v>2556.5</v>
      </c>
      <c r="F17" s="3">
        <f t="shared" si="1"/>
        <v>6.0056907380592772E-2</v>
      </c>
      <c r="G17" s="2">
        <f t="shared" si="2"/>
        <v>300.39483101391653</v>
      </c>
      <c r="H17" s="3">
        <f t="shared" si="3"/>
        <v>7.4867920619685391E-2</v>
      </c>
      <c r="J17" s="3">
        <f t="shared" si="4"/>
        <v>0.11729622266401592</v>
      </c>
    </row>
    <row r="18" spans="1:10" x14ac:dyDescent="0.2">
      <c r="A18" s="1">
        <v>43462</v>
      </c>
      <c r="B18">
        <v>7431.98</v>
      </c>
      <c r="C18">
        <v>2.91</v>
      </c>
      <c r="D18">
        <v>24.83</v>
      </c>
      <c r="E18" s="2">
        <f t="shared" si="0"/>
        <v>2557.4647887323945</v>
      </c>
      <c r="F18" s="3">
        <f t="shared" si="1"/>
        <v>6.0147777649243395E-2</v>
      </c>
      <c r="G18" s="2">
        <f t="shared" si="2"/>
        <v>300.14737274220033</v>
      </c>
      <c r="H18" s="3">
        <f t="shared" si="3"/>
        <v>7.391519241378619E-2</v>
      </c>
      <c r="J18" s="3">
        <f t="shared" si="4"/>
        <v>0.1174055829228243</v>
      </c>
    </row>
    <row r="19" spans="1:10" x14ac:dyDescent="0.2">
      <c r="A19" s="1">
        <v>43455</v>
      </c>
      <c r="B19">
        <v>7379.66</v>
      </c>
      <c r="C19">
        <v>2.89</v>
      </c>
      <c r="D19">
        <v>24.64</v>
      </c>
      <c r="E19" s="2">
        <f t="shared" si="0"/>
        <v>2553.9450171821304</v>
      </c>
      <c r="F19" s="3">
        <f t="shared" si="1"/>
        <v>6.3281060576561687E-2</v>
      </c>
      <c r="G19" s="2">
        <f t="shared" si="2"/>
        <v>299.88439306358384</v>
      </c>
      <c r="H19" s="3">
        <f t="shared" si="3"/>
        <v>7.7425018419615466E-2</v>
      </c>
      <c r="J19" s="3">
        <f t="shared" si="4"/>
        <v>0.11725846407927333</v>
      </c>
    </row>
    <row r="20" spans="1:10" x14ac:dyDescent="0.2">
      <c r="A20" s="1">
        <v>43448</v>
      </c>
      <c r="B20">
        <v>7893.18</v>
      </c>
      <c r="C20">
        <v>3</v>
      </c>
      <c r="D20">
        <v>25.93</v>
      </c>
      <c r="E20" s="2">
        <f t="shared" si="0"/>
        <v>2553.5155709342557</v>
      </c>
      <c r="F20" s="3">
        <f t="shared" si="1"/>
        <v>6.6389278976224153E-2</v>
      </c>
      <c r="G20" s="2">
        <f t="shared" si="2"/>
        <v>299.3145388642771</v>
      </c>
      <c r="H20" s="3">
        <f t="shared" si="3"/>
        <v>7.7539325659761849E-2</v>
      </c>
      <c r="J20" s="3">
        <f t="shared" si="4"/>
        <v>0.11719693918646799</v>
      </c>
    </row>
    <row r="21" spans="1:10" x14ac:dyDescent="0.2">
      <c r="A21" s="1">
        <v>43441</v>
      </c>
      <c r="B21">
        <v>8152.51</v>
      </c>
      <c r="C21">
        <v>3.11</v>
      </c>
      <c r="D21">
        <v>26.9</v>
      </c>
      <c r="E21" s="2">
        <f t="shared" si="0"/>
        <v>2631.06</v>
      </c>
      <c r="F21" s="3">
        <f t="shared" si="1"/>
        <v>6.7107773917705726E-2</v>
      </c>
      <c r="G21" s="2">
        <f t="shared" si="2"/>
        <v>299.49918831168827</v>
      </c>
      <c r="H21" s="3">
        <f t="shared" si="3"/>
        <v>7.6113176468150856E-2</v>
      </c>
      <c r="J21" s="3">
        <f t="shared" si="4"/>
        <v>0.11728896103896104</v>
      </c>
    </row>
    <row r="22" spans="1:10" x14ac:dyDescent="0.2">
      <c r="A22" s="1">
        <v>43434</v>
      </c>
      <c r="B22">
        <v>8351.44</v>
      </c>
      <c r="C22">
        <v>3.18</v>
      </c>
      <c r="D22">
        <v>26.86</v>
      </c>
      <c r="E22" s="2">
        <f t="shared" si="0"/>
        <v>2621.3858520900321</v>
      </c>
      <c r="F22" s="3">
        <f t="shared" si="1"/>
        <v>9.9089689200133169E-2</v>
      </c>
      <c r="G22" s="2">
        <f t="shared" si="2"/>
        <v>304.40339375241035</v>
      </c>
      <c r="H22" s="3">
        <f t="shared" si="3"/>
        <v>7.4573408589679868E-2</v>
      </c>
      <c r="J22" s="3">
        <f t="shared" si="4"/>
        <v>0.11569610489780177</v>
      </c>
    </row>
    <row r="23" spans="1:10" x14ac:dyDescent="0.2">
      <c r="A23" s="1">
        <v>43427</v>
      </c>
      <c r="B23">
        <v>8330.01</v>
      </c>
      <c r="C23">
        <v>3.17</v>
      </c>
      <c r="D23">
        <v>26.79</v>
      </c>
      <c r="E23" s="2">
        <f t="shared" si="0"/>
        <v>2626.2389937106918</v>
      </c>
      <c r="F23" s="3">
        <f t="shared" si="1"/>
        <v>0.10194487568483357</v>
      </c>
      <c r="G23" s="2">
        <f t="shared" si="2"/>
        <v>303.06728624535316</v>
      </c>
      <c r="H23" s="3">
        <f t="shared" si="3"/>
        <v>7.690953188522287E-2</v>
      </c>
      <c r="J23" s="3">
        <f t="shared" si="4"/>
        <v>0.11561338289962825</v>
      </c>
    </row>
    <row r="24" spans="1:10" x14ac:dyDescent="0.2">
      <c r="A24" s="1">
        <v>43420</v>
      </c>
      <c r="B24">
        <v>8560</v>
      </c>
      <c r="C24">
        <v>3.26</v>
      </c>
      <c r="D24">
        <v>27.55</v>
      </c>
      <c r="E24" s="2">
        <f t="shared" si="0"/>
        <v>2627.7634069400633</v>
      </c>
      <c r="F24" s="3">
        <f t="shared" si="1"/>
        <v>6.444566096746307E-2</v>
      </c>
      <c r="G24" s="2">
        <f t="shared" si="2"/>
        <v>310.92479523454955</v>
      </c>
      <c r="H24" s="3">
        <f t="shared" si="3"/>
        <v>9.3759349331168806E-2</v>
      </c>
      <c r="J24" s="3">
        <f t="shared" si="4"/>
        <v>0.11839166046165303</v>
      </c>
    </row>
    <row r="25" spans="1:10" x14ac:dyDescent="0.2">
      <c r="A25" s="1">
        <v>43413</v>
      </c>
      <c r="B25">
        <v>8262.56</v>
      </c>
      <c r="C25">
        <v>3.15</v>
      </c>
      <c r="D25">
        <v>26.61</v>
      </c>
      <c r="E25" s="2">
        <f t="shared" si="0"/>
        <v>2625.7668711656443</v>
      </c>
      <c r="F25" s="3">
        <f t="shared" si="1"/>
        <v>6.606938823845776E-2</v>
      </c>
      <c r="G25" s="2">
        <f t="shared" si="2"/>
        <v>310.93729003359465</v>
      </c>
      <c r="H25" s="3">
        <f t="shared" si="3"/>
        <v>8.8330491286342072E-2</v>
      </c>
      <c r="J25" s="3">
        <f t="shared" si="4"/>
        <v>0.11832773422919</v>
      </c>
    </row>
    <row r="26" spans="1:10" x14ac:dyDescent="0.2">
      <c r="A26" s="1">
        <v>43406</v>
      </c>
      <c r="B26">
        <v>8364.33</v>
      </c>
      <c r="C26">
        <v>3.19</v>
      </c>
      <c r="D26">
        <v>26.95</v>
      </c>
      <c r="E26" s="2">
        <f t="shared" si="0"/>
        <v>2623.0349206349206</v>
      </c>
      <c r="F26" s="3">
        <f t="shared" si="1"/>
        <v>6.8887577522184884E-2</v>
      </c>
      <c r="G26" s="2">
        <f t="shared" si="2"/>
        <v>310.70780399274048</v>
      </c>
      <c r="H26" s="3">
        <f t="shared" si="3"/>
        <v>8.0273761281690392E-2</v>
      </c>
      <c r="J26" s="3">
        <f t="shared" si="4"/>
        <v>0.11833030852994554</v>
      </c>
    </row>
    <row r="27" spans="1:10" x14ac:dyDescent="0.2">
      <c r="A27" s="1">
        <v>43399</v>
      </c>
      <c r="B27">
        <v>7795.28</v>
      </c>
      <c r="C27">
        <v>3.06</v>
      </c>
      <c r="D27">
        <v>24.94</v>
      </c>
      <c r="E27" s="2">
        <f t="shared" si="0"/>
        <v>2622.0470219435738</v>
      </c>
      <c r="F27" s="3">
        <f t="shared" si="1"/>
        <v>7.1303690526467456E-2</v>
      </c>
      <c r="G27" s="2">
        <f t="shared" si="2"/>
        <v>310.50582487786545</v>
      </c>
      <c r="H27" s="3">
        <f t="shared" si="3"/>
        <v>8.0980152192010824E-2</v>
      </c>
      <c r="J27" s="3">
        <f t="shared" si="4"/>
        <v>0.11837655016910936</v>
      </c>
    </row>
    <row r="28" spans="1:10" x14ac:dyDescent="0.2">
      <c r="A28" s="1">
        <v>43392</v>
      </c>
      <c r="B28">
        <v>7767.19</v>
      </c>
      <c r="C28">
        <v>3.08</v>
      </c>
      <c r="D28">
        <v>24.37</v>
      </c>
      <c r="E28" s="2">
        <f t="shared" si="0"/>
        <v>2547.4771241830063</v>
      </c>
      <c r="F28" s="3">
        <f t="shared" si="1"/>
        <v>7.2789415056172979E-2</v>
      </c>
      <c r="G28" s="2">
        <f t="shared" si="2"/>
        <v>310.36474953617812</v>
      </c>
      <c r="H28" s="3">
        <f t="shared" si="3"/>
        <v>7.8505321516223692E-2</v>
      </c>
      <c r="J28" s="3">
        <f t="shared" si="4"/>
        <v>0.11836734693877551</v>
      </c>
    </row>
    <row r="29" spans="1:10" x14ac:dyDescent="0.2">
      <c r="A29" s="1">
        <v>43385</v>
      </c>
      <c r="B29">
        <v>8185.21</v>
      </c>
      <c r="C29">
        <v>3.24</v>
      </c>
      <c r="D29">
        <v>25.65</v>
      </c>
      <c r="E29" s="2">
        <f t="shared" si="0"/>
        <v>2521.8149350649351</v>
      </c>
      <c r="F29" s="3">
        <f t="shared" si="1"/>
        <v>4.4354455739075593E-2</v>
      </c>
      <c r="G29" s="2">
        <f t="shared" si="2"/>
        <v>312.56134723336004</v>
      </c>
      <c r="H29" s="3">
        <f t="shared" si="3"/>
        <v>7.7193426610496552E-2</v>
      </c>
      <c r="J29" s="3">
        <f t="shared" si="4"/>
        <v>0.12269446672012831</v>
      </c>
    </row>
    <row r="30" spans="1:10" x14ac:dyDescent="0.2">
      <c r="A30" s="1">
        <v>43371</v>
      </c>
      <c r="B30">
        <v>9052.41</v>
      </c>
      <c r="C30">
        <v>3.57</v>
      </c>
      <c r="D30">
        <v>28.26</v>
      </c>
      <c r="E30" s="2">
        <f t="shared" si="0"/>
        <v>2526.2993827160494</v>
      </c>
      <c r="F30" s="3">
        <f t="shared" si="1"/>
        <v>5.5415208281355044E-2</v>
      </c>
      <c r="G30" s="2">
        <f t="shared" si="2"/>
        <v>318.71932704144439</v>
      </c>
      <c r="H30" s="3">
        <f t="shared" si="3"/>
        <v>7.8176274102824239E-2</v>
      </c>
      <c r="J30" s="3">
        <f t="shared" si="4"/>
        <v>0.12638489946655723</v>
      </c>
    </row>
    <row r="31" spans="1:10" x14ac:dyDescent="0.2">
      <c r="A31" s="1">
        <v>43364</v>
      </c>
      <c r="B31">
        <v>8830.34</v>
      </c>
      <c r="C31">
        <v>3.48</v>
      </c>
      <c r="D31">
        <v>27.57</v>
      </c>
      <c r="E31" s="2">
        <f t="shared" si="0"/>
        <v>2535.6890756302523</v>
      </c>
      <c r="F31" s="3">
        <f t="shared" si="1"/>
        <v>8.174310876213764E-2</v>
      </c>
      <c r="G31" s="2">
        <f t="shared" si="2"/>
        <v>319.1115009746589</v>
      </c>
      <c r="H31" s="3">
        <f t="shared" si="3"/>
        <v>8.7478377748692049E-2</v>
      </c>
      <c r="J31" s="3">
        <f t="shared" si="4"/>
        <v>0.12631578947368421</v>
      </c>
    </row>
    <row r="32" spans="1:10" x14ac:dyDescent="0.2">
      <c r="A32" s="1">
        <v>43357</v>
      </c>
      <c r="B32">
        <v>8578.8799999999992</v>
      </c>
      <c r="C32">
        <v>3.39</v>
      </c>
      <c r="D32">
        <v>26.86</v>
      </c>
      <c r="E32" s="2">
        <f t="shared" si="0"/>
        <v>2537.4540229885056</v>
      </c>
      <c r="F32" s="3">
        <f t="shared" si="1"/>
        <v>8.7873927707970756E-2</v>
      </c>
      <c r="G32" s="2">
        <f t="shared" si="2"/>
        <v>320.32590233545648</v>
      </c>
      <c r="H32" s="3">
        <f t="shared" si="3"/>
        <v>0.12888508240410834</v>
      </c>
      <c r="J32" s="3">
        <f t="shared" si="4"/>
        <v>0.12632696390658174</v>
      </c>
    </row>
    <row r="33" spans="1:10" x14ac:dyDescent="0.2">
      <c r="A33" s="1">
        <v>43350</v>
      </c>
      <c r="B33">
        <v>9074.67</v>
      </c>
      <c r="C33">
        <v>3.58</v>
      </c>
      <c r="D33">
        <v>28.35</v>
      </c>
      <c r="E33" s="2">
        <f t="shared" si="0"/>
        <v>2530.6430678466072</v>
      </c>
      <c r="F33" s="3">
        <f t="shared" si="1"/>
        <v>8.7433355997178719E-2</v>
      </c>
      <c r="G33" s="2">
        <f t="shared" si="2"/>
        <v>320.28799419659049</v>
      </c>
      <c r="H33" s="3">
        <f t="shared" si="3"/>
        <v>0.20469932691887682</v>
      </c>
      <c r="J33" s="3">
        <f t="shared" si="4"/>
        <v>0.12622415669205658</v>
      </c>
    </row>
    <row r="34" spans="1:10" x14ac:dyDescent="0.2">
      <c r="A34" s="1">
        <v>43343</v>
      </c>
      <c r="B34">
        <v>9112.84</v>
      </c>
      <c r="C34">
        <v>3.6</v>
      </c>
      <c r="D34">
        <v>28.51</v>
      </c>
      <c r="E34" s="2">
        <f t="shared" si="0"/>
        <v>2534.8240223463686</v>
      </c>
      <c r="F34" s="3">
        <f t="shared" si="1"/>
        <v>8.4378647063585444E-2</v>
      </c>
      <c r="G34" s="2">
        <f t="shared" si="2"/>
        <v>319.39240506329111</v>
      </c>
      <c r="H34" s="3">
        <f t="shared" si="3"/>
        <v>0.21252399153339629</v>
      </c>
      <c r="J34" s="3">
        <f t="shared" si="4"/>
        <v>0.12620997766195086</v>
      </c>
    </row>
    <row r="35" spans="1:10" x14ac:dyDescent="0.2">
      <c r="A35" s="1">
        <v>43336</v>
      </c>
      <c r="B35">
        <v>9178.82</v>
      </c>
      <c r="C35">
        <v>3.65</v>
      </c>
      <c r="D35">
        <v>29.01</v>
      </c>
      <c r="E35" s="2">
        <f t="shared" si="0"/>
        <v>2531.3444444444444</v>
      </c>
      <c r="F35" s="3">
        <f t="shared" si="1"/>
        <v>8.5652984929384779E-2</v>
      </c>
      <c r="G35" s="2">
        <f t="shared" si="2"/>
        <v>320.09417989417989</v>
      </c>
      <c r="H35" s="3">
        <f t="shared" si="3"/>
        <v>0.21131443313182041</v>
      </c>
      <c r="J35" s="3">
        <f t="shared" si="4"/>
        <v>0.12627865961199294</v>
      </c>
    </row>
    <row r="36" spans="1:10" x14ac:dyDescent="0.2">
      <c r="A36" s="1">
        <v>43329</v>
      </c>
      <c r="B36">
        <v>8961.77</v>
      </c>
      <c r="C36">
        <v>3.6</v>
      </c>
      <c r="D36">
        <v>28.7</v>
      </c>
      <c r="E36" s="2">
        <f t="shared" si="0"/>
        <v>2514.7452054794521</v>
      </c>
      <c r="F36" s="3">
        <f t="shared" si="1"/>
        <v>8.3886220608070161E-2</v>
      </c>
      <c r="G36" s="2">
        <f t="shared" si="2"/>
        <v>319.63661873027007</v>
      </c>
      <c r="H36" s="3">
        <f t="shared" si="3"/>
        <v>0.2048929683690015</v>
      </c>
      <c r="J36" s="3">
        <f t="shared" si="4"/>
        <v>0.12627148368993335</v>
      </c>
    </row>
    <row r="37" spans="1:10" x14ac:dyDescent="0.2">
      <c r="A37" s="1">
        <v>43322</v>
      </c>
      <c r="B37">
        <v>9530.5</v>
      </c>
      <c r="C37">
        <v>3.83</v>
      </c>
      <c r="D37">
        <v>30.86</v>
      </c>
      <c r="E37" s="2">
        <f t="shared" si="0"/>
        <v>2489.3805555555555</v>
      </c>
      <c r="F37" s="3">
        <f t="shared" si="1"/>
        <v>7.8180344361005405E-2</v>
      </c>
      <c r="G37" s="2">
        <f t="shared" si="2"/>
        <v>316.40193036883829</v>
      </c>
      <c r="H37" s="3">
        <f t="shared" si="3"/>
        <v>0.20669919041279972</v>
      </c>
      <c r="J37" s="3">
        <f t="shared" si="4"/>
        <v>0.12581868321268527</v>
      </c>
    </row>
    <row r="38" spans="1:10" x14ac:dyDescent="0.2">
      <c r="A38" s="1">
        <v>43315</v>
      </c>
      <c r="B38">
        <v>9409.75</v>
      </c>
      <c r="C38">
        <v>3.78</v>
      </c>
      <c r="D38">
        <v>30.59</v>
      </c>
      <c r="E38" s="2">
        <f t="shared" si="0"/>
        <v>2488.3812010443862</v>
      </c>
      <c r="F38" s="3">
        <f t="shared" si="1"/>
        <v>8.2019288371841137E-2</v>
      </c>
      <c r="G38" s="2">
        <f t="shared" si="2"/>
        <v>312.25679442508715</v>
      </c>
      <c r="H38" s="3">
        <f t="shared" si="3"/>
        <v>0.20572167712492972</v>
      </c>
      <c r="J38" s="3">
        <f t="shared" si="4"/>
        <v>0.12543554006968641</v>
      </c>
    </row>
    <row r="39" spans="1:10" x14ac:dyDescent="0.2">
      <c r="A39" s="1">
        <v>43308</v>
      </c>
      <c r="B39">
        <v>10140.620000000001</v>
      </c>
      <c r="C39">
        <v>4.08</v>
      </c>
      <c r="D39">
        <v>33.08</v>
      </c>
      <c r="E39" s="2">
        <f t="shared" si="0"/>
        <v>2489.3518518518522</v>
      </c>
      <c r="F39" s="3">
        <f t="shared" si="1"/>
        <v>9.2938593770248934E-2</v>
      </c>
      <c r="G39" s="2">
        <f t="shared" si="2"/>
        <v>308.83020090732339</v>
      </c>
      <c r="H39" s="3">
        <f t="shared" si="3"/>
        <v>0.19442776733614031</v>
      </c>
      <c r="J39" s="3">
        <f t="shared" si="4"/>
        <v>0.12410887880751782</v>
      </c>
    </row>
    <row r="40" spans="1:10" x14ac:dyDescent="0.2">
      <c r="A40" s="1">
        <v>43301</v>
      </c>
      <c r="B40">
        <v>10466.9</v>
      </c>
      <c r="C40">
        <v>4.22</v>
      </c>
      <c r="D40">
        <v>34.15</v>
      </c>
      <c r="E40" s="2">
        <f t="shared" si="0"/>
        <v>2485.4460784313728</v>
      </c>
      <c r="F40" s="3">
        <f t="shared" si="1"/>
        <v>9.6308022101859958E-2</v>
      </c>
      <c r="G40" s="2">
        <f t="shared" si="2"/>
        <v>307.60869565217394</v>
      </c>
      <c r="H40" s="3">
        <f t="shared" si="3"/>
        <v>0.20573888421852748</v>
      </c>
      <c r="J40" s="3">
        <f t="shared" si="4"/>
        <v>0.12356979405034324</v>
      </c>
    </row>
    <row r="41" spans="1:10" x14ac:dyDescent="0.2">
      <c r="A41" s="1">
        <v>43294</v>
      </c>
      <c r="B41">
        <v>10770.16</v>
      </c>
      <c r="C41">
        <v>4.34</v>
      </c>
      <c r="D41">
        <v>35.24</v>
      </c>
      <c r="E41" s="2">
        <f t="shared" si="0"/>
        <v>2480.3080568720379</v>
      </c>
      <c r="F41" s="3">
        <f t="shared" si="1"/>
        <v>9.5368937580611712E-2</v>
      </c>
      <c r="G41" s="2">
        <f t="shared" si="2"/>
        <v>306.54836759371227</v>
      </c>
      <c r="H41" s="3">
        <f t="shared" si="3"/>
        <v>0.21949552640267611</v>
      </c>
      <c r="J41" s="3">
        <f t="shared" si="4"/>
        <v>0.1233373639661427</v>
      </c>
    </row>
    <row r="42" spans="1:10" x14ac:dyDescent="0.2">
      <c r="A42" s="1">
        <v>43287</v>
      </c>
      <c r="B42">
        <v>9963.25</v>
      </c>
      <c r="C42">
        <v>4</v>
      </c>
      <c r="D42">
        <v>32.56</v>
      </c>
      <c r="E42" s="2">
        <f t="shared" si="0"/>
        <v>2481.6036866359445</v>
      </c>
      <c r="F42" s="3">
        <f t="shared" si="1"/>
        <v>9.3438154411671581E-2</v>
      </c>
      <c r="G42" s="2">
        <f t="shared" si="2"/>
        <v>306.49780380673502</v>
      </c>
      <c r="H42" s="3">
        <f t="shared" si="3"/>
        <v>0.22382723081626388</v>
      </c>
      <c r="J42" s="3">
        <f t="shared" si="4"/>
        <v>0.12357247437774524</v>
      </c>
    </row>
    <row r="43" spans="1:10" x14ac:dyDescent="0.2">
      <c r="A43" s="1">
        <v>43280</v>
      </c>
      <c r="B43">
        <v>10511.5</v>
      </c>
      <c r="C43">
        <v>4.21</v>
      </c>
      <c r="D43">
        <v>34.31</v>
      </c>
      <c r="E43" s="2">
        <f t="shared" si="0"/>
        <v>2490.8125</v>
      </c>
      <c r="F43" s="3">
        <f t="shared" si="1"/>
        <v>9.5984506659318125E-2</v>
      </c>
      <c r="G43" s="2">
        <f t="shared" si="2"/>
        <v>305.62315550510783</v>
      </c>
      <c r="H43" s="3">
        <f t="shared" si="3"/>
        <v>0.22355269957695878</v>
      </c>
      <c r="J43" s="3">
        <f t="shared" si="4"/>
        <v>0.12315550510783199</v>
      </c>
    </row>
    <row r="44" spans="1:10" x14ac:dyDescent="0.2">
      <c r="A44" s="1">
        <v>43273</v>
      </c>
      <c r="B44">
        <v>10563.29</v>
      </c>
      <c r="C44">
        <v>4.2300000000000004</v>
      </c>
      <c r="D44">
        <v>34.42</v>
      </c>
      <c r="E44" s="2">
        <f t="shared" si="0"/>
        <v>2496.7933491686463</v>
      </c>
      <c r="F44" s="3">
        <f t="shared" si="1"/>
        <v>9.798765034002721E-2</v>
      </c>
      <c r="G44" s="2">
        <f t="shared" si="2"/>
        <v>305.99662162162161</v>
      </c>
      <c r="H44" s="3">
        <f t="shared" si="3"/>
        <v>0.22531991566677978</v>
      </c>
      <c r="J44" s="3">
        <f t="shared" si="4"/>
        <v>0.12285012285012284</v>
      </c>
    </row>
    <row r="45" spans="1:10" x14ac:dyDescent="0.2">
      <c r="A45" s="1">
        <v>43266</v>
      </c>
      <c r="B45">
        <v>10726.78</v>
      </c>
      <c r="C45">
        <v>4.28</v>
      </c>
      <c r="D45">
        <v>34.92</v>
      </c>
      <c r="E45" s="2">
        <f t="shared" si="0"/>
        <v>2497.2316784869977</v>
      </c>
      <c r="F45" s="3">
        <f t="shared" si="1"/>
        <v>9.9255335905872988E-2</v>
      </c>
      <c r="G45" s="2">
        <f t="shared" si="2"/>
        <v>306.36840571262019</v>
      </c>
      <c r="H45" s="3">
        <f t="shared" si="3"/>
        <v>0.22501922417028242</v>
      </c>
      <c r="J45" s="3">
        <f t="shared" si="4"/>
        <v>0.12270475080151558</v>
      </c>
    </row>
    <row r="46" spans="1:10" x14ac:dyDescent="0.2">
      <c r="A46" s="1">
        <v>43259</v>
      </c>
      <c r="B46">
        <v>11304.38</v>
      </c>
      <c r="C46">
        <v>4.49</v>
      </c>
      <c r="D46">
        <v>36.840000000000003</v>
      </c>
      <c r="E46" s="2">
        <f t="shared" si="0"/>
        <v>2506.2570093457944</v>
      </c>
      <c r="F46" s="3">
        <f t="shared" si="1"/>
        <v>9.6518987932454836E-2</v>
      </c>
      <c r="G46" s="2">
        <f t="shared" si="2"/>
        <v>306.89395700174316</v>
      </c>
      <c r="H46" s="3">
        <f t="shared" si="3"/>
        <v>0.22879995700183664</v>
      </c>
      <c r="J46" s="3">
        <f t="shared" si="4"/>
        <v>0.12289366647298083</v>
      </c>
    </row>
    <row r="47" spans="1:10" x14ac:dyDescent="0.2">
      <c r="A47" s="1">
        <v>43252</v>
      </c>
      <c r="B47">
        <v>11136.9</v>
      </c>
      <c r="C47">
        <v>4.42</v>
      </c>
      <c r="D47">
        <v>36.33</v>
      </c>
      <c r="E47" s="2">
        <f t="shared" si="0"/>
        <v>2517.6792873051222</v>
      </c>
      <c r="F47" s="3">
        <f t="shared" si="1"/>
        <v>9.7424283053168859E-2</v>
      </c>
      <c r="G47" s="2">
        <f t="shared" si="2"/>
        <v>307.18155784650628</v>
      </c>
      <c r="H47" s="3">
        <f t="shared" si="3"/>
        <v>0.23168587913547767</v>
      </c>
      <c r="J47" s="3">
        <f t="shared" si="4"/>
        <v>0.12256586483390607</v>
      </c>
    </row>
    <row r="48" spans="1:10" x14ac:dyDescent="0.2">
      <c r="A48" s="1">
        <v>43245</v>
      </c>
      <c r="B48">
        <v>11700.83</v>
      </c>
      <c r="C48">
        <v>4.63</v>
      </c>
      <c r="D48">
        <v>38.229999999999997</v>
      </c>
      <c r="E48" s="2">
        <f t="shared" si="0"/>
        <v>2519.6606334841626</v>
      </c>
      <c r="F48" s="3">
        <f t="shared" si="1"/>
        <v>0.10277589863431191</v>
      </c>
      <c r="G48" s="2">
        <f t="shared" si="2"/>
        <v>306.85070575461452</v>
      </c>
      <c r="H48" s="3">
        <f t="shared" si="3"/>
        <v>0.23186923621807587</v>
      </c>
      <c r="J48" s="3">
        <f t="shared" si="4"/>
        <v>0.12187839305103149</v>
      </c>
    </row>
    <row r="49" spans="1:10" x14ac:dyDescent="0.2">
      <c r="A49" s="1">
        <v>43238</v>
      </c>
      <c r="B49">
        <v>11407.5</v>
      </c>
      <c r="C49">
        <v>4.5</v>
      </c>
      <c r="D49">
        <v>37.090000000000003</v>
      </c>
      <c r="E49" s="2">
        <f t="shared" si="0"/>
        <v>2527.1771058315335</v>
      </c>
      <c r="F49" s="3">
        <f t="shared" si="1"/>
        <v>7.6638114872659813E-2</v>
      </c>
      <c r="G49" s="2">
        <f t="shared" si="2"/>
        <v>306.54830718414536</v>
      </c>
      <c r="H49" s="3">
        <f t="shared" si="3"/>
        <v>0.23287235433981324</v>
      </c>
      <c r="J49" s="3">
        <f t="shared" si="4"/>
        <v>0.12166253784750895</v>
      </c>
    </row>
    <row r="50" spans="1:10" x14ac:dyDescent="0.2">
      <c r="A50" s="1">
        <v>43231</v>
      </c>
      <c r="B50">
        <v>11186.82</v>
      </c>
      <c r="C50">
        <v>4.42</v>
      </c>
      <c r="D50">
        <v>36.43</v>
      </c>
      <c r="E50" s="2">
        <f t="shared" si="0"/>
        <v>2535</v>
      </c>
      <c r="F50" s="3">
        <f t="shared" si="1"/>
        <v>7.6377327444229426E-2</v>
      </c>
      <c r="G50" s="2">
        <f t="shared" si="2"/>
        <v>306.06408579649491</v>
      </c>
      <c r="H50" s="3">
        <f t="shared" si="3"/>
        <v>0.23262704185110539</v>
      </c>
      <c r="J50" s="3">
        <f t="shared" si="4"/>
        <v>0.12110907664138112</v>
      </c>
    </row>
    <row r="51" spans="1:10" x14ac:dyDescent="0.2">
      <c r="A51" s="1">
        <v>43224</v>
      </c>
      <c r="B51">
        <v>11005.32</v>
      </c>
      <c r="C51">
        <v>4.3499999999999996</v>
      </c>
      <c r="D51">
        <v>35.81</v>
      </c>
      <c r="E51" s="2">
        <f t="shared" si="0"/>
        <v>2530.9547511312217</v>
      </c>
      <c r="F51" s="3">
        <f t="shared" si="1"/>
        <v>8.0193156433061574E-2</v>
      </c>
      <c r="G51" s="2">
        <f t="shared" si="2"/>
        <v>307.56268535993524</v>
      </c>
      <c r="H51" s="3">
        <f t="shared" si="3"/>
        <v>0.19768214707679177</v>
      </c>
      <c r="J51" s="3">
        <f t="shared" si="4"/>
        <v>0.12132650310056618</v>
      </c>
    </row>
    <row r="52" spans="1:10" x14ac:dyDescent="0.2">
      <c r="A52" s="1">
        <v>43217</v>
      </c>
      <c r="B52">
        <v>10772.24</v>
      </c>
      <c r="C52">
        <v>4.3</v>
      </c>
      <c r="D52">
        <v>35.86</v>
      </c>
      <c r="E52" s="2">
        <f t="shared" si="0"/>
        <v>2529.9586206896552</v>
      </c>
      <c r="F52" s="3">
        <f t="shared" si="1"/>
        <v>7.6821234496169621E-2</v>
      </c>
      <c r="G52" s="2">
        <f t="shared" si="2"/>
        <v>307.0771342300302</v>
      </c>
      <c r="H52" s="3">
        <f t="shared" si="3"/>
        <v>0.19648658714853084</v>
      </c>
      <c r="J52" s="3">
        <f t="shared" si="4"/>
        <v>0.12132857534998627</v>
      </c>
    </row>
    <row r="53" spans="1:10" x14ac:dyDescent="0.2">
      <c r="A53" s="1">
        <v>43210</v>
      </c>
      <c r="B53">
        <v>10406.48</v>
      </c>
      <c r="C53">
        <v>4.2300000000000004</v>
      </c>
      <c r="D53">
        <v>36.159999999999997</v>
      </c>
      <c r="E53" s="2">
        <f t="shared" si="0"/>
        <v>2505.1720930232559</v>
      </c>
      <c r="F53" s="3">
        <f t="shared" si="1"/>
        <v>7.6496751030513011E-2</v>
      </c>
      <c r="G53" s="2">
        <f t="shared" si="2"/>
        <v>307.32532812063664</v>
      </c>
      <c r="H53" s="3">
        <f t="shared" si="3"/>
        <v>0.20145641486115973</v>
      </c>
      <c r="J53" s="3">
        <f t="shared" si="4"/>
        <v>0.12147444847807873</v>
      </c>
    </row>
    <row r="54" spans="1:10" x14ac:dyDescent="0.2">
      <c r="A54" s="1">
        <v>43203</v>
      </c>
      <c r="B54">
        <v>10639.87</v>
      </c>
      <c r="C54">
        <v>4.3499999999999996</v>
      </c>
      <c r="D54">
        <v>37.49</v>
      </c>
      <c r="E54" s="2">
        <f t="shared" si="0"/>
        <v>2460.1607565011818</v>
      </c>
      <c r="F54" s="3">
        <f t="shared" si="1"/>
        <v>6.354773098546973E-2</v>
      </c>
      <c r="G54" s="2">
        <f t="shared" si="2"/>
        <v>300.39709983268267</v>
      </c>
      <c r="H54" s="3">
        <f t="shared" si="3"/>
        <v>0.20048123281535735</v>
      </c>
      <c r="J54" s="3">
        <f t="shared" si="4"/>
        <v>0.11991076408254323</v>
      </c>
    </row>
    <row r="55" spans="1:10" x14ac:dyDescent="0.2">
      <c r="A55" s="1">
        <v>43194</v>
      </c>
      <c r="B55">
        <v>10677.39</v>
      </c>
      <c r="C55">
        <v>4.38</v>
      </c>
      <c r="D55">
        <v>37.65</v>
      </c>
      <c r="E55" s="2">
        <f t="shared" si="0"/>
        <v>2445.9471264367821</v>
      </c>
      <c r="F55" s="3">
        <f t="shared" si="1"/>
        <v>4.8042137642061666E-2</v>
      </c>
      <c r="G55" s="2">
        <f t="shared" si="2"/>
        <v>287.78982300884957</v>
      </c>
      <c r="H55" s="3">
        <f t="shared" si="3"/>
        <v>0.20444897323864741</v>
      </c>
      <c r="J55" s="3">
        <f t="shared" si="4"/>
        <v>0.11698008849557524</v>
      </c>
    </row>
    <row r="56" spans="1:10" x14ac:dyDescent="0.2">
      <c r="A56" s="1">
        <v>43189</v>
      </c>
      <c r="B56">
        <v>10762</v>
      </c>
      <c r="C56">
        <v>4.42</v>
      </c>
      <c r="D56">
        <v>38.369999999999997</v>
      </c>
      <c r="E56" s="2">
        <f t="shared" si="0"/>
        <v>2437.7602739726026</v>
      </c>
      <c r="F56" s="3">
        <f t="shared" si="1"/>
        <v>4.9593519793793561E-2</v>
      </c>
      <c r="G56" s="2">
        <f t="shared" si="2"/>
        <v>283.80554814617233</v>
      </c>
      <c r="H56" s="3">
        <f t="shared" si="3"/>
        <v>0.17544617117314609</v>
      </c>
      <c r="J56" s="3">
        <f t="shared" si="4"/>
        <v>0.1160309415844225</v>
      </c>
    </row>
    <row r="57" spans="1:10" x14ac:dyDescent="0.2">
      <c r="A57" s="1">
        <v>43182</v>
      </c>
      <c r="B57">
        <v>10168.83</v>
      </c>
      <c r="C57">
        <v>4.1900000000000004</v>
      </c>
      <c r="D57">
        <v>36.44</v>
      </c>
      <c r="E57" s="2">
        <f t="shared" si="0"/>
        <v>2434.841628959276</v>
      </c>
      <c r="F57" s="3">
        <f t="shared" si="1"/>
        <v>4.04139597998594E-2</v>
      </c>
      <c r="G57" s="2">
        <f t="shared" si="2"/>
        <v>283.59601593625496</v>
      </c>
      <c r="H57" s="3">
        <f t="shared" si="3"/>
        <v>0.10640546155674135</v>
      </c>
      <c r="J57" s="3">
        <f t="shared" si="4"/>
        <v>0.11633466135458168</v>
      </c>
    </row>
    <row r="58" spans="1:10" x14ac:dyDescent="0.2">
      <c r="A58" s="1">
        <v>43175</v>
      </c>
      <c r="B58">
        <v>10270.92</v>
      </c>
      <c r="C58">
        <v>4.2300000000000004</v>
      </c>
      <c r="D58">
        <v>36.75</v>
      </c>
      <c r="E58" s="2">
        <f t="shared" si="0"/>
        <v>2426.9284009546536</v>
      </c>
      <c r="F58" s="3">
        <f t="shared" si="1"/>
        <v>3.9629374815521423E-2</v>
      </c>
      <c r="G58" s="2">
        <f t="shared" si="2"/>
        <v>280.4795413083138</v>
      </c>
      <c r="H58" s="3">
        <f t="shared" si="3"/>
        <v>0.10626525521689967</v>
      </c>
      <c r="J58" s="3">
        <f t="shared" si="4"/>
        <v>0.11519416210581183</v>
      </c>
    </row>
    <row r="59" spans="1:10" x14ac:dyDescent="0.2">
      <c r="A59" s="1">
        <v>43168</v>
      </c>
      <c r="B59">
        <v>10403.129999999999</v>
      </c>
      <c r="C59">
        <v>4.3</v>
      </c>
      <c r="D59">
        <v>37.36</v>
      </c>
      <c r="E59" s="2">
        <f t="shared" si="0"/>
        <v>2428.1134751773047</v>
      </c>
      <c r="F59" s="3">
        <f t="shared" si="1"/>
        <v>3.6376741997846018E-2</v>
      </c>
      <c r="G59" s="2">
        <f t="shared" si="2"/>
        <v>279.0568057080132</v>
      </c>
      <c r="H59" s="3">
        <f t="shared" si="3"/>
        <v>0.13288719086315681</v>
      </c>
      <c r="J59" s="3">
        <f t="shared" si="4"/>
        <v>0.1149835345773875</v>
      </c>
    </row>
    <row r="60" spans="1:10" x14ac:dyDescent="0.2">
      <c r="A60" s="1">
        <v>43161</v>
      </c>
      <c r="B60">
        <v>9824.5400000000009</v>
      </c>
      <c r="C60">
        <v>4.0599999999999996</v>
      </c>
      <c r="D60">
        <v>35.32</v>
      </c>
      <c r="E60" s="2">
        <f t="shared" si="0"/>
        <v>2419.3325581395347</v>
      </c>
      <c r="F60" s="3">
        <f t="shared" si="1"/>
        <v>5.0852962535317792E-2</v>
      </c>
      <c r="G60" s="2">
        <f t="shared" si="2"/>
        <v>279.4808163265306</v>
      </c>
      <c r="H60" s="3">
        <f t="shared" si="3"/>
        <v>0.12363177480576915</v>
      </c>
      <c r="J60" s="3">
        <f t="shared" si="4"/>
        <v>0.11510204081632654</v>
      </c>
    </row>
    <row r="61" spans="1:10" x14ac:dyDescent="0.2">
      <c r="A61" s="1">
        <v>43154</v>
      </c>
      <c r="B61">
        <v>9628.31</v>
      </c>
      <c r="C61">
        <v>3.97</v>
      </c>
      <c r="D61">
        <v>34.43</v>
      </c>
      <c r="E61" s="2">
        <f t="shared" si="0"/>
        <v>2419.8374384236458</v>
      </c>
      <c r="F61" s="3">
        <f t="shared" si="1"/>
        <v>4.748555207400651E-2</v>
      </c>
      <c r="G61" s="2">
        <f t="shared" si="2"/>
        <v>278.45637044967879</v>
      </c>
      <c r="H61" s="3">
        <f t="shared" si="3"/>
        <v>0.12079154781975743</v>
      </c>
      <c r="J61" s="3">
        <f t="shared" si="4"/>
        <v>0.11509635974304068</v>
      </c>
    </row>
    <row r="62" spans="1:10" x14ac:dyDescent="0.2">
      <c r="A62" s="1">
        <v>43145</v>
      </c>
      <c r="B62">
        <v>9472.93</v>
      </c>
      <c r="C62">
        <v>3.91</v>
      </c>
      <c r="D62">
        <v>33.909999999999997</v>
      </c>
      <c r="E62" s="2">
        <f t="shared" si="0"/>
        <v>2425.2670025188913</v>
      </c>
      <c r="F62" s="3">
        <f t="shared" si="1"/>
        <v>4.8465081970152646E-2</v>
      </c>
      <c r="G62" s="2">
        <f t="shared" si="2"/>
        <v>278.15798414496038</v>
      </c>
      <c r="H62" s="3">
        <f t="shared" si="3"/>
        <v>0.13357203449598565</v>
      </c>
      <c r="J62" s="3">
        <f t="shared" si="4"/>
        <v>0.11494903737259342</v>
      </c>
    </row>
    <row r="63" spans="1:10" x14ac:dyDescent="0.2">
      <c r="A63" s="1">
        <v>43140</v>
      </c>
      <c r="B63">
        <v>9101.4</v>
      </c>
      <c r="C63">
        <v>3.76</v>
      </c>
      <c r="D63">
        <v>32.6</v>
      </c>
      <c r="E63" s="2">
        <f t="shared" si="0"/>
        <v>2422.7442455242967</v>
      </c>
      <c r="F63" s="3">
        <f t="shared" si="1"/>
        <v>6.5941183660931157E-2</v>
      </c>
      <c r="G63" s="2">
        <f t="shared" si="2"/>
        <v>279.64885274469935</v>
      </c>
      <c r="H63" s="3">
        <f t="shared" si="3"/>
        <v>0.13407871975441976</v>
      </c>
      <c r="J63" s="3">
        <f t="shared" si="4"/>
        <v>0.11530641882079583</v>
      </c>
    </row>
    <row r="64" spans="1:10" x14ac:dyDescent="0.2">
      <c r="A64" s="1">
        <v>43133</v>
      </c>
      <c r="B64">
        <v>9764.2099999999991</v>
      </c>
      <c r="C64">
        <v>4.03</v>
      </c>
      <c r="D64">
        <v>34.99</v>
      </c>
      <c r="E64" s="2">
        <f t="shared" si="0"/>
        <v>2420.5851063829787</v>
      </c>
      <c r="F64" s="3">
        <f t="shared" si="1"/>
        <v>6.4888097286565971E-2</v>
      </c>
      <c r="G64" s="2">
        <f t="shared" si="2"/>
        <v>279.35505750516074</v>
      </c>
      <c r="H64" s="3">
        <f t="shared" si="3"/>
        <v>0.13604496532724775</v>
      </c>
      <c r="J64" s="3">
        <f t="shared" si="4"/>
        <v>0.11530521969920379</v>
      </c>
    </row>
    <row r="65" spans="1:10" x14ac:dyDescent="0.2">
      <c r="A65" s="1">
        <v>43126</v>
      </c>
      <c r="B65">
        <v>10315.9</v>
      </c>
      <c r="C65">
        <v>4.2699999999999996</v>
      </c>
      <c r="D65">
        <v>37</v>
      </c>
      <c r="E65" s="2">
        <f t="shared" si="0"/>
        <v>2422.8808933002479</v>
      </c>
      <c r="F65" s="3">
        <f t="shared" si="1"/>
        <v>6.4594947957738347E-2</v>
      </c>
      <c r="G65" s="2">
        <f t="shared" si="2"/>
        <v>279.18404907975457</v>
      </c>
      <c r="H65" s="3">
        <f t="shared" si="3"/>
        <v>0.14002510666729218</v>
      </c>
      <c r="J65" s="3">
        <f t="shared" si="4"/>
        <v>0.11533742331288342</v>
      </c>
    </row>
    <row r="66" spans="1:10" x14ac:dyDescent="0.2">
      <c r="A66" s="1">
        <v>43119</v>
      </c>
      <c r="B66">
        <v>10200.459999999999</v>
      </c>
      <c r="C66">
        <v>4.2300000000000004</v>
      </c>
      <c r="D66">
        <v>36.619999999999997</v>
      </c>
      <c r="E66" s="2">
        <f t="shared" si="0"/>
        <v>2415.9016393442625</v>
      </c>
      <c r="F66" s="3">
        <f t="shared" si="1"/>
        <v>6.8037359095812988E-2</v>
      </c>
      <c r="G66" s="2">
        <f t="shared" si="2"/>
        <v>279.05715918833948</v>
      </c>
      <c r="H66" s="3">
        <f t="shared" si="3"/>
        <v>0.13849393261072862</v>
      </c>
      <c r="J66" s="3">
        <f t="shared" si="4"/>
        <v>0.11517576450414405</v>
      </c>
    </row>
    <row r="67" spans="1:10" x14ac:dyDescent="0.2">
      <c r="A67" s="1">
        <v>43112</v>
      </c>
      <c r="B67">
        <v>10366.66</v>
      </c>
      <c r="C67">
        <v>4.3099999999999996</v>
      </c>
      <c r="D67">
        <v>37.200000000000003</v>
      </c>
      <c r="E67" s="2">
        <f t="shared" ref="E67:E130" si="5">B66/C66</f>
        <v>2411.4562647754133</v>
      </c>
      <c r="F67" s="3">
        <f t="shared" ref="F67:F130" si="6">E66/E116-1</f>
        <v>6.5468096278969101E-2</v>
      </c>
      <c r="G67" s="2">
        <f t="shared" si="2"/>
        <v>278.80810810810812</v>
      </c>
      <c r="H67" s="3">
        <f t="shared" si="3"/>
        <v>0.14042331565929622</v>
      </c>
      <c r="J67" s="3">
        <f t="shared" si="4"/>
        <v>0.11540540540540539</v>
      </c>
    </row>
    <row r="68" spans="1:10" x14ac:dyDescent="0.2">
      <c r="A68" s="1">
        <v>43105</v>
      </c>
      <c r="B68">
        <v>10250.370000000001</v>
      </c>
      <c r="C68">
        <v>4.28</v>
      </c>
      <c r="D68">
        <v>36.799999999999997</v>
      </c>
      <c r="E68" s="2">
        <f t="shared" si="5"/>
        <v>2405.2575406032483</v>
      </c>
      <c r="F68" s="3">
        <f t="shared" si="6"/>
        <v>6.2902799073794258E-2</v>
      </c>
      <c r="G68" s="2">
        <f t="shared" ref="G68:G131" si="7">B66/D66</f>
        <v>278.54888039322776</v>
      </c>
      <c r="H68" s="3">
        <f t="shared" ref="H68:H131" si="8">G66/G116-1</f>
        <v>0.14108292237784026</v>
      </c>
      <c r="J68" s="3">
        <f t="shared" ref="J68:J131" si="9">C66/D66</f>
        <v>0.11551064991807758</v>
      </c>
    </row>
    <row r="69" spans="1:10" x14ac:dyDescent="0.2">
      <c r="A69" s="1">
        <v>43098</v>
      </c>
      <c r="B69">
        <v>10098.17</v>
      </c>
      <c r="C69">
        <v>4.22</v>
      </c>
      <c r="D69">
        <v>36.31</v>
      </c>
      <c r="E69" s="2">
        <f t="shared" si="5"/>
        <v>2394.9462616822429</v>
      </c>
      <c r="F69" s="3">
        <f t="shared" si="6"/>
        <v>6.3680359805180276E-2</v>
      </c>
      <c r="G69" s="2">
        <f t="shared" si="7"/>
        <v>278.67365591397845</v>
      </c>
      <c r="H69" s="3">
        <f t="shared" si="8"/>
        <v>0.13937756507704124</v>
      </c>
      <c r="J69" s="3">
        <f t="shared" si="9"/>
        <v>0.11586021505376343</v>
      </c>
    </row>
    <row r="70" spans="1:10" x14ac:dyDescent="0.2">
      <c r="A70" s="1">
        <v>43091</v>
      </c>
      <c r="B70">
        <v>10149.94</v>
      </c>
      <c r="C70">
        <v>4.24</v>
      </c>
      <c r="D70">
        <v>36.47</v>
      </c>
      <c r="E70" s="2">
        <f t="shared" si="5"/>
        <v>2392.9312796208533</v>
      </c>
      <c r="F70" s="3">
        <f t="shared" si="6"/>
        <v>6.2068351673924216E-2</v>
      </c>
      <c r="G70" s="2">
        <f t="shared" si="7"/>
        <v>278.54266304347829</v>
      </c>
      <c r="H70" s="3">
        <f t="shared" si="8"/>
        <v>0.13884859038630992</v>
      </c>
      <c r="J70" s="3">
        <f t="shared" si="9"/>
        <v>0.11630434782608698</v>
      </c>
    </row>
    <row r="71" spans="1:10" x14ac:dyDescent="0.2">
      <c r="A71" s="1">
        <v>43084</v>
      </c>
      <c r="B71">
        <v>10038.84</v>
      </c>
      <c r="C71">
        <v>4.22</v>
      </c>
      <c r="D71">
        <v>36.049999999999997</v>
      </c>
      <c r="E71" s="2">
        <f t="shared" si="5"/>
        <v>2393.8537735849059</v>
      </c>
      <c r="F71" s="3">
        <f t="shared" si="6"/>
        <v>5.6888032630501018E-2</v>
      </c>
      <c r="G71" s="2">
        <f t="shared" si="7"/>
        <v>278.10988708344809</v>
      </c>
      <c r="H71" s="3">
        <f t="shared" si="8"/>
        <v>0.14025279785849021</v>
      </c>
      <c r="J71" s="3">
        <f t="shared" si="9"/>
        <v>0.11622142660424124</v>
      </c>
    </row>
    <row r="72" spans="1:10" x14ac:dyDescent="0.2">
      <c r="A72" s="1">
        <v>43077</v>
      </c>
      <c r="B72">
        <v>9918.2900000000009</v>
      </c>
      <c r="C72">
        <v>4.0199999999999996</v>
      </c>
      <c r="D72">
        <v>34.46</v>
      </c>
      <c r="E72" s="2">
        <f t="shared" si="5"/>
        <v>2378.8720379146921</v>
      </c>
      <c r="F72" s="3">
        <f t="shared" si="6"/>
        <v>6.1346145288976972E-2</v>
      </c>
      <c r="G72" s="2">
        <f t="shared" si="7"/>
        <v>278.30929531121473</v>
      </c>
      <c r="H72" s="3">
        <f t="shared" si="8"/>
        <v>0.13160285911511771</v>
      </c>
      <c r="J72" s="3">
        <f t="shared" si="9"/>
        <v>0.11625993967644641</v>
      </c>
    </row>
    <row r="73" spans="1:10" x14ac:dyDescent="0.2">
      <c r="A73" s="1">
        <v>43070</v>
      </c>
      <c r="B73">
        <v>9958.23</v>
      </c>
      <c r="C73">
        <v>4.04</v>
      </c>
      <c r="D73">
        <v>34.619999999999997</v>
      </c>
      <c r="E73" s="2">
        <f t="shared" si="5"/>
        <v>2467.2363184079609</v>
      </c>
      <c r="F73" s="3">
        <f t="shared" si="6"/>
        <v>6.0027999807176657E-2</v>
      </c>
      <c r="G73" s="2">
        <f t="shared" si="7"/>
        <v>278.46990291262136</v>
      </c>
      <c r="H73" s="3">
        <f t="shared" si="8"/>
        <v>0.12688471323959272</v>
      </c>
      <c r="J73" s="3">
        <f t="shared" si="9"/>
        <v>0.11705963938973649</v>
      </c>
    </row>
    <row r="74" spans="1:10" x14ac:dyDescent="0.2">
      <c r="A74" s="1">
        <v>43063</v>
      </c>
      <c r="B74">
        <v>10022.69</v>
      </c>
      <c r="C74">
        <v>4.08</v>
      </c>
      <c r="D74">
        <v>34.79</v>
      </c>
      <c r="E74" s="2">
        <f t="shared" si="5"/>
        <v>2464.908415841584</v>
      </c>
      <c r="F74" s="3">
        <f t="shared" si="6"/>
        <v>9.985589521834326E-2</v>
      </c>
      <c r="G74" s="2">
        <f t="shared" si="7"/>
        <v>287.8203714451538</v>
      </c>
      <c r="H74" s="3">
        <f t="shared" si="8"/>
        <v>0.1258799411291931</v>
      </c>
      <c r="J74" s="3">
        <f t="shared" si="9"/>
        <v>0.11665699361578641</v>
      </c>
    </row>
    <row r="75" spans="1:10" x14ac:dyDescent="0.2">
      <c r="A75" s="1">
        <v>43056</v>
      </c>
      <c r="B75">
        <v>10307.98</v>
      </c>
      <c r="C75">
        <v>4.21</v>
      </c>
      <c r="D75">
        <v>35.76</v>
      </c>
      <c r="E75" s="2">
        <f t="shared" si="5"/>
        <v>2456.541666666667</v>
      </c>
      <c r="F75" s="3">
        <f t="shared" si="6"/>
        <v>0.14787510859382169</v>
      </c>
      <c r="G75" s="2">
        <f t="shared" si="7"/>
        <v>287.64384748700172</v>
      </c>
      <c r="H75" s="3">
        <f t="shared" si="8"/>
        <v>0.13105131840364836</v>
      </c>
      <c r="J75" s="3">
        <f t="shared" si="9"/>
        <v>0.11669555170421722</v>
      </c>
    </row>
    <row r="76" spans="1:10" x14ac:dyDescent="0.2">
      <c r="A76" s="1">
        <v>43049</v>
      </c>
      <c r="B76">
        <v>10509.8</v>
      </c>
      <c r="C76">
        <v>4.3</v>
      </c>
      <c r="D76">
        <v>36.51</v>
      </c>
      <c r="E76" s="2">
        <f t="shared" si="5"/>
        <v>2448.4513064133016</v>
      </c>
      <c r="F76" s="3">
        <f t="shared" si="6"/>
        <v>0.14254338133747657</v>
      </c>
      <c r="G76" s="2">
        <f t="shared" si="7"/>
        <v>288.09111813739582</v>
      </c>
      <c r="H76" s="3">
        <f t="shared" si="8"/>
        <v>0.16404612237362826</v>
      </c>
      <c r="J76" s="3">
        <f t="shared" si="9"/>
        <v>0.11727507904570279</v>
      </c>
    </row>
    <row r="77" spans="1:10" x14ac:dyDescent="0.2">
      <c r="A77" s="1">
        <v>43042</v>
      </c>
      <c r="B77">
        <v>10220.6</v>
      </c>
      <c r="C77">
        <v>4.1900000000000004</v>
      </c>
      <c r="D77">
        <v>35.56</v>
      </c>
      <c r="E77" s="2">
        <f t="shared" si="5"/>
        <v>2444.1395348837209</v>
      </c>
      <c r="F77" s="3">
        <f t="shared" si="6"/>
        <v>0.13951676554672576</v>
      </c>
      <c r="G77" s="2">
        <f t="shared" si="7"/>
        <v>288.25447427293068</v>
      </c>
      <c r="H77" s="3">
        <f t="shared" si="8"/>
        <v>0.22057912476494201</v>
      </c>
      <c r="J77" s="3">
        <f t="shared" si="9"/>
        <v>0.11772930648769575</v>
      </c>
    </row>
    <row r="78" spans="1:10" x14ac:dyDescent="0.2">
      <c r="A78" s="1">
        <v>43035</v>
      </c>
      <c r="B78">
        <v>10370.02</v>
      </c>
      <c r="C78">
        <v>4.34</v>
      </c>
      <c r="D78">
        <v>36.729999999999997</v>
      </c>
      <c r="E78" s="2">
        <f t="shared" si="5"/>
        <v>2439.2840095465394</v>
      </c>
      <c r="F78" s="3">
        <f t="shared" si="6"/>
        <v>0.14015382182962477</v>
      </c>
      <c r="G78" s="2">
        <f t="shared" si="7"/>
        <v>287.86086003834566</v>
      </c>
      <c r="H78" s="3">
        <f t="shared" si="8"/>
        <v>0.22113357381160537</v>
      </c>
      <c r="J78" s="3">
        <f t="shared" si="9"/>
        <v>0.11777595179402904</v>
      </c>
    </row>
    <row r="79" spans="1:10" x14ac:dyDescent="0.2">
      <c r="A79" s="1">
        <v>43028</v>
      </c>
      <c r="B79">
        <v>10182.33</v>
      </c>
      <c r="C79">
        <v>4.3600000000000003</v>
      </c>
      <c r="D79">
        <v>38.44</v>
      </c>
      <c r="E79" s="2">
        <f t="shared" si="5"/>
        <v>2389.4055299539173</v>
      </c>
      <c r="F79" s="3">
        <f t="shared" si="6"/>
        <v>0.14034118113159</v>
      </c>
      <c r="G79" s="2">
        <f t="shared" si="7"/>
        <v>287.41844769403826</v>
      </c>
      <c r="H79" s="3">
        <f t="shared" si="8"/>
        <v>0.22239106660250596</v>
      </c>
      <c r="J79" s="3">
        <f t="shared" si="9"/>
        <v>0.11782902137232847</v>
      </c>
    </row>
    <row r="80" spans="1:10" x14ac:dyDescent="0.2">
      <c r="A80" s="1">
        <v>43021</v>
      </c>
      <c r="B80">
        <v>10139.27</v>
      </c>
      <c r="C80">
        <v>4.3499999999999996</v>
      </c>
      <c r="D80">
        <v>38.380000000000003</v>
      </c>
      <c r="E80" s="2">
        <f t="shared" si="5"/>
        <v>2335.3967889908254</v>
      </c>
      <c r="F80" s="3">
        <f t="shared" si="6"/>
        <v>0.11866112205891377</v>
      </c>
      <c r="G80" s="2">
        <f t="shared" si="7"/>
        <v>282.33106452491154</v>
      </c>
      <c r="H80" s="3">
        <f t="shared" si="8"/>
        <v>0.22362266821857646</v>
      </c>
      <c r="J80" s="3">
        <f t="shared" si="9"/>
        <v>0.11815954260822217</v>
      </c>
    </row>
    <row r="81" spans="1:10" x14ac:dyDescent="0.2">
      <c r="A81" s="1">
        <v>43007</v>
      </c>
      <c r="B81">
        <v>9730.42</v>
      </c>
      <c r="C81">
        <v>4.17</v>
      </c>
      <c r="D81">
        <v>36.799999999999997</v>
      </c>
      <c r="E81" s="2">
        <f t="shared" si="5"/>
        <v>2330.8666666666668</v>
      </c>
      <c r="F81" s="3">
        <f t="shared" si="6"/>
        <v>0.1092794506530379</v>
      </c>
      <c r="G81" s="2">
        <f t="shared" si="7"/>
        <v>264.88891779396465</v>
      </c>
      <c r="H81" s="3">
        <f t="shared" si="8"/>
        <v>0.22181314608255387</v>
      </c>
      <c r="J81" s="3">
        <f t="shared" si="9"/>
        <v>0.113423517169615</v>
      </c>
    </row>
    <row r="82" spans="1:10" x14ac:dyDescent="0.2">
      <c r="A82" s="1">
        <v>43000</v>
      </c>
      <c r="B82">
        <v>9638.2900000000009</v>
      </c>
      <c r="C82">
        <v>4.13</v>
      </c>
      <c r="D82">
        <v>36.36</v>
      </c>
      <c r="E82" s="2">
        <f t="shared" si="5"/>
        <v>2333.4340527577938</v>
      </c>
      <c r="F82" s="3">
        <f t="shared" si="6"/>
        <v>0.12963120022219288</v>
      </c>
      <c r="G82" s="2">
        <f t="shared" si="7"/>
        <v>264.18108389786346</v>
      </c>
      <c r="H82" s="3">
        <f t="shared" si="8"/>
        <v>0.19720160398642239</v>
      </c>
      <c r="J82" s="3">
        <f t="shared" si="9"/>
        <v>0.11334028139656069</v>
      </c>
    </row>
    <row r="83" spans="1:10" x14ac:dyDescent="0.2">
      <c r="A83" s="1">
        <v>42993</v>
      </c>
      <c r="B83">
        <v>9666.23</v>
      </c>
      <c r="C83">
        <v>4.1399999999999997</v>
      </c>
      <c r="D83">
        <v>36.44</v>
      </c>
      <c r="E83" s="2">
        <f t="shared" si="5"/>
        <v>2333.7263922518164</v>
      </c>
      <c r="F83" s="3">
        <f t="shared" si="6"/>
        <v>0.1428812697361832</v>
      </c>
      <c r="G83" s="2">
        <f t="shared" si="7"/>
        <v>264.41358695652178</v>
      </c>
      <c r="H83" s="3">
        <f t="shared" si="8"/>
        <v>0.12179241851164502</v>
      </c>
      <c r="J83" s="3">
        <f t="shared" si="9"/>
        <v>0.11331521739130436</v>
      </c>
    </row>
    <row r="84" spans="1:10" x14ac:dyDescent="0.2">
      <c r="A84" s="1">
        <v>42986</v>
      </c>
      <c r="B84">
        <v>9692.0499999999993</v>
      </c>
      <c r="C84">
        <v>4.1500000000000004</v>
      </c>
      <c r="D84">
        <v>36.56</v>
      </c>
      <c r="E84" s="2">
        <f t="shared" si="5"/>
        <v>2334.8381642512077</v>
      </c>
      <c r="F84" s="3">
        <f t="shared" si="6"/>
        <v>0.13923497888942515</v>
      </c>
      <c r="G84" s="2">
        <f t="shared" si="7"/>
        <v>265.07948294829487</v>
      </c>
      <c r="H84" s="3">
        <f t="shared" si="8"/>
        <v>0.17302107102195241</v>
      </c>
      <c r="J84" s="3">
        <f t="shared" si="9"/>
        <v>0.11358635863586358</v>
      </c>
    </row>
    <row r="85" spans="1:10" x14ac:dyDescent="0.2">
      <c r="A85" s="1">
        <v>42979</v>
      </c>
      <c r="B85">
        <v>9562.83</v>
      </c>
      <c r="C85">
        <v>4.0999999999999996</v>
      </c>
      <c r="D85">
        <v>36.1</v>
      </c>
      <c r="E85" s="2">
        <f t="shared" si="5"/>
        <v>2335.4337349397588</v>
      </c>
      <c r="F85" s="3">
        <f t="shared" si="6"/>
        <v>0.13938985625070899</v>
      </c>
      <c r="G85" s="2">
        <f t="shared" si="7"/>
        <v>265.26427003293082</v>
      </c>
      <c r="H85" s="3">
        <f t="shared" si="8"/>
        <v>0.16372485241294976</v>
      </c>
      <c r="J85" s="3">
        <f t="shared" si="9"/>
        <v>0.11361141602634467</v>
      </c>
    </row>
    <row r="86" spans="1:10" x14ac:dyDescent="0.2">
      <c r="A86" s="1">
        <v>42972</v>
      </c>
      <c r="B86">
        <v>9501.81</v>
      </c>
      <c r="C86">
        <v>4.13</v>
      </c>
      <c r="D86">
        <v>36.69</v>
      </c>
      <c r="E86" s="2">
        <f t="shared" si="5"/>
        <v>2332.3975609756098</v>
      </c>
      <c r="F86" s="3">
        <f t="shared" si="6"/>
        <v>0.14844217955632555</v>
      </c>
      <c r="G86" s="2">
        <f t="shared" si="7"/>
        <v>265.09983588621441</v>
      </c>
      <c r="H86" s="3">
        <f t="shared" si="8"/>
        <v>0.14130562169794847</v>
      </c>
      <c r="J86" s="3">
        <f t="shared" si="9"/>
        <v>0.11351203501094093</v>
      </c>
    </row>
    <row r="87" spans="1:10" x14ac:dyDescent="0.2">
      <c r="A87" s="1">
        <v>42965</v>
      </c>
      <c r="B87">
        <v>9539.7099999999991</v>
      </c>
      <c r="C87">
        <v>4.1900000000000004</v>
      </c>
      <c r="D87">
        <v>37.67</v>
      </c>
      <c r="E87" s="2">
        <f t="shared" si="5"/>
        <v>2300.6803874092011</v>
      </c>
      <c r="F87" s="3">
        <f t="shared" si="6"/>
        <v>0.15312651895025087</v>
      </c>
      <c r="G87" s="2">
        <f t="shared" si="7"/>
        <v>264.89833795013851</v>
      </c>
      <c r="H87" s="3">
        <f t="shared" si="8"/>
        <v>0.14095840240093938</v>
      </c>
      <c r="J87" s="3">
        <f t="shared" si="9"/>
        <v>0.11357340720221605</v>
      </c>
    </row>
    <row r="88" spans="1:10" x14ac:dyDescent="0.2">
      <c r="A88" s="1">
        <v>42958</v>
      </c>
      <c r="B88">
        <v>9377.86</v>
      </c>
      <c r="C88">
        <v>4.13</v>
      </c>
      <c r="D88">
        <v>37.31</v>
      </c>
      <c r="E88" s="2">
        <f t="shared" si="5"/>
        <v>2276.7804295942715</v>
      </c>
      <c r="F88" s="3">
        <f t="shared" si="6"/>
        <v>0.13728458361187501</v>
      </c>
      <c r="G88" s="2">
        <f t="shared" si="7"/>
        <v>258.97547015535571</v>
      </c>
      <c r="H88" s="3">
        <f t="shared" si="8"/>
        <v>0.140395990302562</v>
      </c>
      <c r="J88" s="3">
        <f t="shared" si="9"/>
        <v>0.11256473153447806</v>
      </c>
    </row>
    <row r="89" spans="1:10" x14ac:dyDescent="0.2">
      <c r="A89" s="1">
        <v>42951</v>
      </c>
      <c r="B89">
        <v>9212.34</v>
      </c>
      <c r="C89">
        <v>4.0599999999999996</v>
      </c>
      <c r="D89">
        <v>36.770000000000003</v>
      </c>
      <c r="E89" s="2">
        <f t="shared" si="5"/>
        <v>2270.668280871671</v>
      </c>
      <c r="F89" s="3">
        <f t="shared" si="6"/>
        <v>0.13160512862430029</v>
      </c>
      <c r="G89" s="2">
        <f t="shared" si="7"/>
        <v>253.24422617467476</v>
      </c>
      <c r="H89" s="3">
        <f t="shared" si="8"/>
        <v>0.13820063049040621</v>
      </c>
      <c r="J89" s="3">
        <f t="shared" si="9"/>
        <v>0.11122909477037431</v>
      </c>
    </row>
    <row r="90" spans="1:10" x14ac:dyDescent="0.2">
      <c r="A90" s="1">
        <v>42944</v>
      </c>
      <c r="B90">
        <v>9277.58</v>
      </c>
      <c r="C90">
        <v>4.09</v>
      </c>
      <c r="D90">
        <v>37.090000000000003</v>
      </c>
      <c r="E90" s="2">
        <f t="shared" si="5"/>
        <v>2269.0492610837441</v>
      </c>
      <c r="F90" s="3">
        <f t="shared" si="6"/>
        <v>0.14282854596034023</v>
      </c>
      <c r="G90" s="2">
        <f t="shared" si="7"/>
        <v>251.34977217904049</v>
      </c>
      <c r="H90" s="3">
        <f t="shared" si="8"/>
        <v>0.11383598316241317</v>
      </c>
      <c r="J90" s="3">
        <f t="shared" si="9"/>
        <v>0.11069418386491556</v>
      </c>
    </row>
    <row r="91" spans="1:10" x14ac:dyDescent="0.2">
      <c r="A91" s="1">
        <v>42937</v>
      </c>
      <c r="B91">
        <v>9260.86</v>
      </c>
      <c r="C91">
        <v>4.09</v>
      </c>
      <c r="D91">
        <v>37.119999999999997</v>
      </c>
      <c r="E91" s="2">
        <f t="shared" si="5"/>
        <v>2268.3569682151588</v>
      </c>
      <c r="F91" s="3">
        <f t="shared" si="6"/>
        <v>0.16513202081317369</v>
      </c>
      <c r="G91" s="2">
        <f t="shared" si="7"/>
        <v>250.53957030187652</v>
      </c>
      <c r="H91" s="3">
        <f t="shared" si="8"/>
        <v>9.4136617700062653E-2</v>
      </c>
      <c r="J91" s="3">
        <f t="shared" si="9"/>
        <v>0.11041610008158823</v>
      </c>
    </row>
    <row r="92" spans="1:10" x14ac:dyDescent="0.2">
      <c r="A92" s="1">
        <v>42930</v>
      </c>
      <c r="B92">
        <v>9505.1200000000008</v>
      </c>
      <c r="C92">
        <v>4.1900000000000004</v>
      </c>
      <c r="D92">
        <v>38.17</v>
      </c>
      <c r="E92" s="2">
        <f t="shared" si="5"/>
        <v>2264.2689486552567</v>
      </c>
      <c r="F92" s="3">
        <f t="shared" si="6"/>
        <v>0.16745568821436851</v>
      </c>
      <c r="G92" s="2">
        <f t="shared" si="7"/>
        <v>250.13696414127796</v>
      </c>
      <c r="H92" s="3">
        <f t="shared" si="8"/>
        <v>8.486405795652896E-2</v>
      </c>
      <c r="J92" s="3">
        <f t="shared" si="9"/>
        <v>0.11027231059584792</v>
      </c>
    </row>
    <row r="93" spans="1:10" x14ac:dyDescent="0.2">
      <c r="A93" s="1">
        <v>42923</v>
      </c>
      <c r="B93">
        <v>9675.9500000000007</v>
      </c>
      <c r="C93">
        <v>4.26</v>
      </c>
      <c r="D93">
        <v>38.9</v>
      </c>
      <c r="E93" s="2">
        <f t="shared" si="5"/>
        <v>2268.5250596658711</v>
      </c>
      <c r="F93" s="3">
        <f t="shared" si="6"/>
        <v>0.16695602364267903</v>
      </c>
      <c r="G93" s="2">
        <f t="shared" si="7"/>
        <v>249.48437500000003</v>
      </c>
      <c r="H93" s="3">
        <f t="shared" si="8"/>
        <v>8.5430606886731209E-2</v>
      </c>
      <c r="J93" s="3">
        <f t="shared" si="9"/>
        <v>0.11018318965517242</v>
      </c>
    </row>
    <row r="94" spans="1:10" x14ac:dyDescent="0.2">
      <c r="A94" s="1">
        <v>42916</v>
      </c>
      <c r="B94">
        <v>9815.67</v>
      </c>
      <c r="C94">
        <v>4.3099999999999996</v>
      </c>
      <c r="D94">
        <v>39.4</v>
      </c>
      <c r="E94" s="2">
        <f t="shared" si="5"/>
        <v>2271.3497652582164</v>
      </c>
      <c r="F94" s="3">
        <f t="shared" si="6"/>
        <v>0.17435399463589318</v>
      </c>
      <c r="G94" s="2">
        <f t="shared" si="7"/>
        <v>249.02069688236836</v>
      </c>
      <c r="H94" s="3">
        <f t="shared" si="8"/>
        <v>8.8681656110267904E-2</v>
      </c>
      <c r="J94" s="3">
        <f t="shared" si="9"/>
        <v>0.10977207230809537</v>
      </c>
    </row>
    <row r="95" spans="1:10" x14ac:dyDescent="0.2">
      <c r="A95" s="1">
        <v>42909</v>
      </c>
      <c r="B95">
        <v>9637.48</v>
      </c>
      <c r="C95">
        <v>4.22</v>
      </c>
      <c r="D95">
        <v>38.68</v>
      </c>
      <c r="E95" s="2">
        <f t="shared" si="5"/>
        <v>2277.4176334106733</v>
      </c>
      <c r="F95" s="3">
        <f t="shared" si="6"/>
        <v>0.17305890482783748</v>
      </c>
      <c r="G95" s="2">
        <f t="shared" si="7"/>
        <v>248.73907455012855</v>
      </c>
      <c r="H95" s="3">
        <f t="shared" si="8"/>
        <v>8.7286029925845332E-2</v>
      </c>
      <c r="J95" s="3">
        <f t="shared" si="9"/>
        <v>0.10951156812339331</v>
      </c>
    </row>
    <row r="96" spans="1:10" x14ac:dyDescent="0.2">
      <c r="A96" s="1">
        <v>42902</v>
      </c>
      <c r="B96">
        <v>9611.59</v>
      </c>
      <c r="C96">
        <v>4.21</v>
      </c>
      <c r="D96">
        <v>38.61</v>
      </c>
      <c r="E96" s="2">
        <f t="shared" si="5"/>
        <v>2283.7630331753553</v>
      </c>
      <c r="F96" s="3">
        <f t="shared" si="6"/>
        <v>0.1778847888701105</v>
      </c>
      <c r="G96" s="2">
        <f t="shared" si="7"/>
        <v>249.12868020304569</v>
      </c>
      <c r="H96" s="3">
        <f t="shared" si="8"/>
        <v>0.11176361086198616</v>
      </c>
      <c r="J96" s="3">
        <f t="shared" si="9"/>
        <v>0.10939086294416243</v>
      </c>
    </row>
    <row r="97" spans="1:10" x14ac:dyDescent="0.2">
      <c r="A97" s="1">
        <v>42895</v>
      </c>
      <c r="B97">
        <v>9618.65</v>
      </c>
      <c r="C97">
        <v>4.1100000000000003</v>
      </c>
      <c r="D97">
        <v>37.58</v>
      </c>
      <c r="E97" s="2">
        <f t="shared" si="5"/>
        <v>2283.0380047505937</v>
      </c>
      <c r="F97" s="3">
        <f t="shared" si="6"/>
        <v>0.178778264768227</v>
      </c>
      <c r="G97" s="2">
        <f t="shared" si="7"/>
        <v>249.15925542916236</v>
      </c>
      <c r="H97" s="3">
        <f t="shared" si="8"/>
        <v>0.11107009061187001</v>
      </c>
      <c r="J97" s="3">
        <f t="shared" si="9"/>
        <v>0.10910031023784901</v>
      </c>
    </row>
    <row r="98" spans="1:10" x14ac:dyDescent="0.2">
      <c r="A98" s="1">
        <v>42888</v>
      </c>
      <c r="B98">
        <v>9344.4599999999991</v>
      </c>
      <c r="C98">
        <v>3.98</v>
      </c>
      <c r="D98">
        <v>36.53</v>
      </c>
      <c r="E98" s="2">
        <f t="shared" si="5"/>
        <v>2340.3041362530412</v>
      </c>
      <c r="F98" s="3">
        <f t="shared" si="6"/>
        <v>0.17964545178089519</v>
      </c>
      <c r="G98" s="2">
        <f t="shared" si="7"/>
        <v>248.94042994042994</v>
      </c>
      <c r="H98" s="3">
        <f t="shared" si="8"/>
        <v>0.11253371392549716</v>
      </c>
      <c r="J98" s="3">
        <f t="shared" si="9"/>
        <v>0.10903910903910904</v>
      </c>
    </row>
    <row r="99" spans="1:10" x14ac:dyDescent="0.2">
      <c r="A99" s="1">
        <v>42881</v>
      </c>
      <c r="B99">
        <v>9387.2099999999991</v>
      </c>
      <c r="C99">
        <v>4</v>
      </c>
      <c r="D99">
        <v>36.67</v>
      </c>
      <c r="E99" s="2">
        <f t="shared" si="5"/>
        <v>2347.8542713567836</v>
      </c>
      <c r="F99" s="3">
        <f t="shared" si="6"/>
        <v>0.20964893877908009</v>
      </c>
      <c r="G99" s="2">
        <f t="shared" si="7"/>
        <v>255.95130388504523</v>
      </c>
      <c r="H99" s="3">
        <f t="shared" si="8"/>
        <v>0.11188118820855486</v>
      </c>
      <c r="J99" s="3">
        <f t="shared" si="9"/>
        <v>0.10936668440659927</v>
      </c>
    </row>
    <row r="100" spans="1:10" x14ac:dyDescent="0.2">
      <c r="A100" s="1">
        <v>42874</v>
      </c>
      <c r="B100">
        <v>9472.09</v>
      </c>
      <c r="C100">
        <v>4.03</v>
      </c>
      <c r="D100">
        <v>37.03</v>
      </c>
      <c r="E100" s="2">
        <f t="shared" si="5"/>
        <v>2346.8024999999998</v>
      </c>
      <c r="F100" s="3">
        <f t="shared" si="6"/>
        <v>0.20755922149604999</v>
      </c>
      <c r="G100" s="2">
        <f t="shared" si="7"/>
        <v>255.80235422940046</v>
      </c>
      <c r="H100" s="3">
        <f t="shared" si="8"/>
        <v>0.10972735645998988</v>
      </c>
      <c r="J100" s="3">
        <f t="shared" si="9"/>
        <v>0.1089515466739666</v>
      </c>
    </row>
    <row r="101" spans="1:10" x14ac:dyDescent="0.2">
      <c r="A101" s="1">
        <v>42867</v>
      </c>
      <c r="B101">
        <v>9259.7000000000007</v>
      </c>
      <c r="C101">
        <v>3.94</v>
      </c>
      <c r="D101">
        <v>36.29</v>
      </c>
      <c r="E101" s="2">
        <f t="shared" si="5"/>
        <v>2350.394540942928</v>
      </c>
      <c r="F101" s="3">
        <f t="shared" si="6"/>
        <v>0.20577647751952299</v>
      </c>
      <c r="G101" s="2">
        <f t="shared" si="7"/>
        <v>255.9915462230706</v>
      </c>
      <c r="H101" s="3">
        <f t="shared" si="8"/>
        <v>0.14197755713453408</v>
      </c>
      <c r="J101" s="3">
        <f t="shared" si="9"/>
        <v>0.109080992637033</v>
      </c>
    </row>
    <row r="102" spans="1:10" x14ac:dyDescent="0.2">
      <c r="A102" s="1">
        <v>42860</v>
      </c>
      <c r="B102">
        <v>9445.5</v>
      </c>
      <c r="C102">
        <v>4.01</v>
      </c>
      <c r="D102">
        <v>36.96</v>
      </c>
      <c r="E102" s="2">
        <f t="shared" si="5"/>
        <v>2350.1776649746193</v>
      </c>
      <c r="F102" s="3">
        <f t="shared" si="6"/>
        <v>0.20469608137184236</v>
      </c>
      <c r="G102" s="2">
        <f t="shared" si="7"/>
        <v>255.79503105590061</v>
      </c>
      <c r="H102" s="3">
        <f t="shared" si="8"/>
        <v>0.16991169307070209</v>
      </c>
      <c r="J102" s="3">
        <f t="shared" si="9"/>
        <v>0.10883067782878747</v>
      </c>
    </row>
    <row r="103" spans="1:10" x14ac:dyDescent="0.2">
      <c r="A103" s="1">
        <v>42853</v>
      </c>
      <c r="B103">
        <v>9577.34</v>
      </c>
      <c r="C103">
        <v>4.08</v>
      </c>
      <c r="D103">
        <v>36.82</v>
      </c>
      <c r="E103" s="2">
        <f t="shared" si="5"/>
        <v>2355.4862842892771</v>
      </c>
      <c r="F103" s="3">
        <f t="shared" si="6"/>
        <v>0.19940227639055408</v>
      </c>
      <c r="G103" s="2">
        <f t="shared" si="7"/>
        <v>255.15844585285205</v>
      </c>
      <c r="H103" s="3">
        <f t="shared" si="8"/>
        <v>0.16994514712003372</v>
      </c>
      <c r="J103" s="3">
        <f t="shared" si="9"/>
        <v>0.10856985395425738</v>
      </c>
    </row>
    <row r="104" spans="1:10" x14ac:dyDescent="0.2">
      <c r="A104" s="1">
        <v>42846</v>
      </c>
      <c r="B104">
        <v>9740.9699999999993</v>
      </c>
      <c r="C104">
        <v>4.18</v>
      </c>
      <c r="D104">
        <v>37.97</v>
      </c>
      <c r="E104" s="2">
        <f t="shared" si="5"/>
        <v>2347.3872549019607</v>
      </c>
      <c r="F104" s="3">
        <f t="shared" si="6"/>
        <v>0.19892550962264499</v>
      </c>
      <c r="G104" s="2">
        <f t="shared" si="7"/>
        <v>255.56006493506493</v>
      </c>
      <c r="H104" s="3">
        <f t="shared" si="8"/>
        <v>0.1681860410439513</v>
      </c>
      <c r="J104" s="3">
        <f t="shared" si="9"/>
        <v>0.10849567099567099</v>
      </c>
    </row>
    <row r="105" spans="1:10" x14ac:dyDescent="0.2">
      <c r="A105" s="1">
        <v>42839</v>
      </c>
      <c r="B105">
        <v>9700.2999999999993</v>
      </c>
      <c r="C105">
        <v>4.1399999999999997</v>
      </c>
      <c r="D105">
        <v>38.75</v>
      </c>
      <c r="E105" s="2">
        <f t="shared" si="5"/>
        <v>2330.3755980861242</v>
      </c>
      <c r="F105" s="3">
        <f t="shared" si="6"/>
        <v>0.19781140243218887</v>
      </c>
      <c r="G105" s="2">
        <f t="shared" si="7"/>
        <v>260.11243889190655</v>
      </c>
      <c r="H105" s="3">
        <f t="shared" si="8"/>
        <v>0.16321124897045558</v>
      </c>
      <c r="J105" s="3">
        <f t="shared" si="9"/>
        <v>0.11080934274850625</v>
      </c>
    </row>
    <row r="106" spans="1:10" x14ac:dyDescent="0.2">
      <c r="A106" s="1">
        <v>42832</v>
      </c>
      <c r="B106">
        <v>9859.94</v>
      </c>
      <c r="C106">
        <v>4.21</v>
      </c>
      <c r="D106">
        <v>39.5</v>
      </c>
      <c r="E106" s="2">
        <f t="shared" si="5"/>
        <v>2343.0676328502414</v>
      </c>
      <c r="F106" s="3">
        <f t="shared" si="6"/>
        <v>0.18902422226467674</v>
      </c>
      <c r="G106" s="2">
        <f t="shared" si="7"/>
        <v>256.543850408217</v>
      </c>
      <c r="H106" s="3">
        <f t="shared" si="8"/>
        <v>0.18418062189692952</v>
      </c>
      <c r="J106" s="3">
        <f t="shared" si="9"/>
        <v>0.11008691071898867</v>
      </c>
    </row>
    <row r="107" spans="1:10" x14ac:dyDescent="0.2">
      <c r="A107" s="1">
        <v>42825</v>
      </c>
      <c r="B107">
        <v>9765.07</v>
      </c>
      <c r="C107">
        <v>4.17</v>
      </c>
      <c r="D107">
        <v>39.22</v>
      </c>
      <c r="E107" s="2">
        <f t="shared" si="5"/>
        <v>2342.0285035629454</v>
      </c>
      <c r="F107" s="3">
        <f t="shared" si="6"/>
        <v>0.22412133666809519</v>
      </c>
      <c r="G107" s="2">
        <f t="shared" si="7"/>
        <v>250.33032258064515</v>
      </c>
      <c r="H107" s="3">
        <f t="shared" si="8"/>
        <v>0.20823861796266696</v>
      </c>
      <c r="J107" s="3">
        <f t="shared" si="9"/>
        <v>0.10683870967741935</v>
      </c>
    </row>
    <row r="108" spans="1:10" x14ac:dyDescent="0.2">
      <c r="A108" s="1">
        <v>42818</v>
      </c>
      <c r="B108">
        <v>10004.950000000001</v>
      </c>
      <c r="C108">
        <v>4.33</v>
      </c>
      <c r="D108">
        <v>40.58</v>
      </c>
      <c r="E108" s="2">
        <f t="shared" si="5"/>
        <v>2341.7434052757794</v>
      </c>
      <c r="F108" s="3">
        <f t="shared" si="6"/>
        <v>0.21857827253242457</v>
      </c>
      <c r="G108" s="2">
        <f t="shared" si="7"/>
        <v>249.6187341772152</v>
      </c>
      <c r="H108" s="3">
        <f t="shared" si="8"/>
        <v>0.18522464346991385</v>
      </c>
      <c r="J108" s="3">
        <f t="shared" si="9"/>
        <v>0.10658227848101266</v>
      </c>
    </row>
    <row r="109" spans="1:10" x14ac:dyDescent="0.2">
      <c r="A109" s="1">
        <v>42811</v>
      </c>
      <c r="B109">
        <v>9769.85</v>
      </c>
      <c r="C109">
        <v>4.2300000000000004</v>
      </c>
      <c r="D109">
        <v>39.79</v>
      </c>
      <c r="E109" s="2">
        <f t="shared" si="5"/>
        <v>2310.6120092378756</v>
      </c>
      <c r="F109" s="3">
        <f t="shared" si="6"/>
        <v>0.22122032692906202</v>
      </c>
      <c r="G109" s="2">
        <f t="shared" si="7"/>
        <v>248.98189699133096</v>
      </c>
      <c r="H109" s="3">
        <f t="shared" si="8"/>
        <v>0.2117039470296358</v>
      </c>
      <c r="J109" s="3">
        <f t="shared" si="9"/>
        <v>0.10632330443651199</v>
      </c>
    </row>
    <row r="110" spans="1:10" x14ac:dyDescent="0.2">
      <c r="A110" s="1">
        <v>42804</v>
      </c>
      <c r="B110">
        <v>9693.52</v>
      </c>
      <c r="C110">
        <v>4.2</v>
      </c>
      <c r="D110">
        <v>39.590000000000003</v>
      </c>
      <c r="E110" s="2">
        <f t="shared" si="5"/>
        <v>2309.657210401891</v>
      </c>
      <c r="F110" s="3">
        <f t="shared" si="6"/>
        <v>0.20739219517712915</v>
      </c>
      <c r="G110" s="2">
        <f t="shared" si="7"/>
        <v>246.54879250862496</v>
      </c>
      <c r="H110" s="3">
        <f t="shared" si="8"/>
        <v>0.2341119761920214</v>
      </c>
      <c r="J110" s="3">
        <f t="shared" si="9"/>
        <v>0.10670280926564811</v>
      </c>
    </row>
    <row r="111" spans="1:10" x14ac:dyDescent="0.2">
      <c r="A111" s="1">
        <v>42797</v>
      </c>
      <c r="B111">
        <v>9669.75</v>
      </c>
      <c r="C111">
        <v>4.25</v>
      </c>
      <c r="D111">
        <v>39.42</v>
      </c>
      <c r="E111" s="2">
        <f t="shared" si="5"/>
        <v>2307.9809523809522</v>
      </c>
      <c r="F111" s="3">
        <f t="shared" si="6"/>
        <v>0.21696361710430967</v>
      </c>
      <c r="G111" s="2">
        <f t="shared" si="7"/>
        <v>245.53531037949236</v>
      </c>
      <c r="H111" s="3">
        <f t="shared" si="8"/>
        <v>0.22702750670907901</v>
      </c>
      <c r="J111" s="3">
        <f t="shared" si="9"/>
        <v>0.10630811761749184</v>
      </c>
    </row>
    <row r="112" spans="1:10" x14ac:dyDescent="0.2">
      <c r="A112" s="1">
        <v>42790</v>
      </c>
      <c r="B112">
        <v>9783</v>
      </c>
      <c r="C112">
        <v>4.3</v>
      </c>
      <c r="D112">
        <v>39.869999999999997</v>
      </c>
      <c r="E112" s="2">
        <f t="shared" si="5"/>
        <v>2275.2352941176468</v>
      </c>
      <c r="F112" s="3">
        <f t="shared" si="6"/>
        <v>0.22058682144187736</v>
      </c>
      <c r="G112" s="2">
        <f t="shared" si="7"/>
        <v>244.84768881030561</v>
      </c>
      <c r="H112" s="3">
        <f t="shared" si="8"/>
        <v>0.21728815717495586</v>
      </c>
      <c r="J112" s="3">
        <f t="shared" si="9"/>
        <v>0.10608739580702196</v>
      </c>
    </row>
    <row r="113" spans="1:10" x14ac:dyDescent="0.2">
      <c r="A113" s="1">
        <v>42783</v>
      </c>
      <c r="B113">
        <v>9481.39</v>
      </c>
      <c r="C113">
        <v>4.17</v>
      </c>
      <c r="D113">
        <v>38.729999999999997</v>
      </c>
      <c r="E113" s="2">
        <f t="shared" si="5"/>
        <v>2275.1162790697676</v>
      </c>
      <c r="F113" s="3">
        <f t="shared" si="6"/>
        <v>0.2075025395094845</v>
      </c>
      <c r="G113" s="2">
        <f t="shared" si="7"/>
        <v>245.30060882800609</v>
      </c>
      <c r="H113" s="3">
        <f t="shared" si="8"/>
        <v>0.18677547232276925</v>
      </c>
      <c r="J113" s="3">
        <f t="shared" si="9"/>
        <v>0.10781329274479959</v>
      </c>
    </row>
    <row r="114" spans="1:10" x14ac:dyDescent="0.2">
      <c r="A114" s="1">
        <v>42776</v>
      </c>
      <c r="B114">
        <v>9527.85</v>
      </c>
      <c r="C114">
        <v>4.2</v>
      </c>
      <c r="D114">
        <v>38.96</v>
      </c>
      <c r="E114" s="2">
        <f t="shared" si="5"/>
        <v>2273.7146282973622</v>
      </c>
      <c r="F114" s="3">
        <f t="shared" si="6"/>
        <v>0.20046465535761904</v>
      </c>
      <c r="G114" s="2">
        <f t="shared" si="7"/>
        <v>245.37246049661402</v>
      </c>
      <c r="H114" s="3">
        <f t="shared" si="8"/>
        <v>0.18525848350495355</v>
      </c>
      <c r="J114" s="3">
        <f t="shared" si="9"/>
        <v>0.10785051417105593</v>
      </c>
    </row>
    <row r="115" spans="1:10" x14ac:dyDescent="0.2">
      <c r="A115" s="1">
        <v>42769</v>
      </c>
      <c r="B115">
        <v>9455.2900000000009</v>
      </c>
      <c r="C115">
        <v>4.17</v>
      </c>
      <c r="D115">
        <v>38.64</v>
      </c>
      <c r="E115" s="2">
        <f t="shared" si="5"/>
        <v>2268.5357142857142</v>
      </c>
      <c r="F115" s="3">
        <f t="shared" si="6"/>
        <v>0.20823782241732958</v>
      </c>
      <c r="G115" s="2">
        <f t="shared" si="7"/>
        <v>244.80738445649368</v>
      </c>
      <c r="H115" s="3">
        <f t="shared" si="8"/>
        <v>0.19139732181923108</v>
      </c>
      <c r="J115" s="3">
        <f t="shared" si="9"/>
        <v>0.10766847405112316</v>
      </c>
    </row>
    <row r="116" spans="1:10" x14ac:dyDescent="0.2">
      <c r="A116" s="1">
        <v>42761</v>
      </c>
      <c r="B116">
        <v>9460.67</v>
      </c>
      <c r="C116">
        <v>4.17</v>
      </c>
      <c r="D116">
        <v>38.68</v>
      </c>
      <c r="E116" s="2">
        <f t="shared" si="5"/>
        <v>2267.4556354916072</v>
      </c>
      <c r="F116" s="3">
        <f t="shared" si="6"/>
        <v>0.20794499933853694</v>
      </c>
      <c r="G116" s="2">
        <f t="shared" si="7"/>
        <v>244.55467145790556</v>
      </c>
      <c r="H116" s="3">
        <f t="shared" si="8"/>
        <v>0.19621602532318994</v>
      </c>
      <c r="J116" s="3">
        <f t="shared" si="9"/>
        <v>0.10780287474332649</v>
      </c>
    </row>
    <row r="117" spans="1:10" x14ac:dyDescent="0.2">
      <c r="A117" s="1">
        <v>42755</v>
      </c>
      <c r="B117">
        <v>9316.39</v>
      </c>
      <c r="C117">
        <v>4.12</v>
      </c>
      <c r="D117">
        <v>38.119999999999997</v>
      </c>
      <c r="E117" s="2">
        <f t="shared" si="5"/>
        <v>2268.7458033573143</v>
      </c>
      <c r="F117" s="3">
        <f t="shared" si="6"/>
        <v>0.20788351749711098</v>
      </c>
      <c r="G117" s="2">
        <f t="shared" si="7"/>
        <v>244.70212215320913</v>
      </c>
      <c r="H117" s="3">
        <f t="shared" si="8"/>
        <v>0.18942719832447708</v>
      </c>
      <c r="J117" s="3">
        <f t="shared" si="9"/>
        <v>0.10791925465838509</v>
      </c>
    </row>
    <row r="118" spans="1:10" x14ac:dyDescent="0.2">
      <c r="A118" s="1">
        <v>42748</v>
      </c>
      <c r="B118">
        <v>9380.73</v>
      </c>
      <c r="C118">
        <v>4.16</v>
      </c>
      <c r="D118">
        <v>38.11</v>
      </c>
      <c r="E118" s="2">
        <f t="shared" si="5"/>
        <v>2261.259708737864</v>
      </c>
      <c r="F118" s="3">
        <f t="shared" si="6"/>
        <v>0.2087503458880251</v>
      </c>
      <c r="G118" s="2">
        <f t="shared" si="7"/>
        <v>244.58815925542916</v>
      </c>
      <c r="H118" s="3">
        <f t="shared" si="8"/>
        <v>0.18680784909567016</v>
      </c>
      <c r="J118" s="3">
        <f t="shared" si="9"/>
        <v>0.10780765253360911</v>
      </c>
    </row>
    <row r="119" spans="1:10" x14ac:dyDescent="0.2">
      <c r="A119" s="1">
        <v>42741</v>
      </c>
      <c r="B119">
        <v>9622.5499999999993</v>
      </c>
      <c r="C119">
        <v>4.25</v>
      </c>
      <c r="D119">
        <v>38.99</v>
      </c>
      <c r="E119" s="2">
        <f t="shared" si="5"/>
        <v>2254.9831730769229</v>
      </c>
      <c r="F119" s="3">
        <f t="shared" si="6"/>
        <v>0.20465017804483354</v>
      </c>
      <c r="G119" s="2">
        <f t="shared" si="7"/>
        <v>244.39637985309548</v>
      </c>
      <c r="H119" s="3">
        <f t="shared" si="8"/>
        <v>0.19345601542593749</v>
      </c>
      <c r="J119" s="3">
        <f t="shared" si="9"/>
        <v>0.1080797481636936</v>
      </c>
    </row>
    <row r="120" spans="1:10" x14ac:dyDescent="0.2">
      <c r="A120" s="1">
        <v>42734</v>
      </c>
      <c r="B120">
        <v>9608.3799999999992</v>
      </c>
      <c r="C120">
        <v>4.26</v>
      </c>
      <c r="D120">
        <v>38.869999999999997</v>
      </c>
      <c r="E120" s="2">
        <f t="shared" si="5"/>
        <v>2264.1294117647058</v>
      </c>
      <c r="F120" s="3">
        <f t="shared" si="6"/>
        <v>0.21851352504504962</v>
      </c>
      <c r="G120" s="2">
        <f t="shared" si="7"/>
        <v>246.14877984780895</v>
      </c>
      <c r="H120" s="3">
        <f t="shared" si="8"/>
        <v>0.18917494790977663</v>
      </c>
      <c r="J120" s="3">
        <f t="shared" si="9"/>
        <v>0.1091577013907111</v>
      </c>
    </row>
    <row r="121" spans="1:10" x14ac:dyDescent="0.2">
      <c r="A121" s="1">
        <v>42727</v>
      </c>
      <c r="B121">
        <v>9560.1200000000008</v>
      </c>
      <c r="C121">
        <v>4.26</v>
      </c>
      <c r="D121">
        <v>38.83</v>
      </c>
      <c r="E121" s="2">
        <f t="shared" si="5"/>
        <v>2255.4882629107979</v>
      </c>
      <c r="F121" s="3">
        <f t="shared" si="6"/>
        <v>0.21976485327896023</v>
      </c>
      <c r="G121" s="2">
        <f t="shared" si="7"/>
        <v>246.79533213644521</v>
      </c>
      <c r="H121" s="3">
        <f t="shared" si="8"/>
        <v>0.18761582917307651</v>
      </c>
      <c r="J121" s="3">
        <f t="shared" si="9"/>
        <v>0.10900230828417543</v>
      </c>
    </row>
    <row r="122" spans="1:10" x14ac:dyDescent="0.2">
      <c r="A122" s="1">
        <v>42720</v>
      </c>
      <c r="B122">
        <v>9601.0499999999993</v>
      </c>
      <c r="C122">
        <v>4.28</v>
      </c>
      <c r="D122">
        <v>38.83</v>
      </c>
      <c r="E122" s="2">
        <f t="shared" si="5"/>
        <v>2244.159624413146</v>
      </c>
      <c r="F122" s="3">
        <f t="shared" si="6"/>
        <v>0.21828158312281154</v>
      </c>
      <c r="G122" s="2">
        <f t="shared" si="7"/>
        <v>247.19269359403137</v>
      </c>
      <c r="H122" s="3">
        <f t="shared" si="8"/>
        <v>0.17617767624791769</v>
      </c>
      <c r="J122" s="3">
        <f t="shared" si="9"/>
        <v>0.1095960895291999</v>
      </c>
    </row>
    <row r="123" spans="1:10" x14ac:dyDescent="0.2">
      <c r="A123" s="1">
        <v>42713</v>
      </c>
      <c r="B123">
        <v>9963.7800000000007</v>
      </c>
      <c r="C123">
        <v>4.6399999999999997</v>
      </c>
      <c r="D123">
        <v>42.28</v>
      </c>
      <c r="E123" s="2">
        <f t="shared" si="5"/>
        <v>2243.2359813084108</v>
      </c>
      <c r="F123" s="3">
        <f t="shared" si="6"/>
        <v>0.22449351065317935</v>
      </c>
      <c r="G123" s="2">
        <f t="shared" si="7"/>
        <v>246.20448107133663</v>
      </c>
      <c r="H123" s="3">
        <f t="shared" si="8"/>
        <v>0.17574347519168887</v>
      </c>
      <c r="J123" s="3">
        <f t="shared" si="9"/>
        <v>0.10970898789595673</v>
      </c>
    </row>
    <row r="124" spans="1:10" x14ac:dyDescent="0.2">
      <c r="A124" s="1">
        <v>42706</v>
      </c>
      <c r="B124">
        <v>10040.799999999999</v>
      </c>
      <c r="C124">
        <v>4.67</v>
      </c>
      <c r="D124">
        <v>42.56</v>
      </c>
      <c r="E124" s="2">
        <f t="shared" si="5"/>
        <v>2147.3663793103451</v>
      </c>
      <c r="F124" s="3">
        <f t="shared" si="6"/>
        <v>0.23243713462986659</v>
      </c>
      <c r="G124" s="2">
        <f t="shared" si="7"/>
        <v>247.25856296677824</v>
      </c>
      <c r="H124" s="3">
        <f t="shared" si="8"/>
        <v>0.17342145086276561</v>
      </c>
      <c r="J124" s="3">
        <f t="shared" si="9"/>
        <v>0.11022405356682978</v>
      </c>
    </row>
    <row r="125" spans="1:10" x14ac:dyDescent="0.2">
      <c r="A125" s="1">
        <v>42699</v>
      </c>
      <c r="B125">
        <v>10184.719999999999</v>
      </c>
      <c r="C125">
        <v>4.74</v>
      </c>
      <c r="D125">
        <v>43.19</v>
      </c>
      <c r="E125" s="2">
        <f t="shared" si="5"/>
        <v>2150.0642398286936</v>
      </c>
      <c r="F125" s="3">
        <f t="shared" si="6"/>
        <v>0.13816112952297077</v>
      </c>
      <c r="G125" s="2">
        <f t="shared" si="7"/>
        <v>235.66177861873226</v>
      </c>
      <c r="H125" s="3">
        <f t="shared" si="8"/>
        <v>0.16153959674426011</v>
      </c>
      <c r="J125" s="3">
        <f t="shared" si="9"/>
        <v>0.10974456007568589</v>
      </c>
    </row>
    <row r="126" spans="1:10" x14ac:dyDescent="0.2">
      <c r="A126" s="1">
        <v>42692</v>
      </c>
      <c r="B126">
        <v>10118.23</v>
      </c>
      <c r="C126">
        <v>4.72</v>
      </c>
      <c r="D126">
        <v>43.01</v>
      </c>
      <c r="E126" s="2">
        <f t="shared" si="5"/>
        <v>2148.6751054852321</v>
      </c>
      <c r="F126" s="3">
        <f t="shared" si="6"/>
        <v>0.1403965816776187</v>
      </c>
      <c r="G126" s="2">
        <f t="shared" si="7"/>
        <v>235.92105263157893</v>
      </c>
      <c r="H126" s="3">
        <f t="shared" si="8"/>
        <v>0.16803937910337985</v>
      </c>
      <c r="J126" s="3">
        <f t="shared" si="9"/>
        <v>0.10972744360902255</v>
      </c>
    </row>
    <row r="127" spans="1:10" x14ac:dyDescent="0.2">
      <c r="A127" s="1">
        <v>42685</v>
      </c>
      <c r="B127">
        <v>10096.469999999999</v>
      </c>
      <c r="C127">
        <v>4.72</v>
      </c>
      <c r="D127">
        <v>42.92</v>
      </c>
      <c r="E127" s="2">
        <f t="shared" si="5"/>
        <v>2143.6927966101694</v>
      </c>
      <c r="F127" s="3">
        <f t="shared" si="6"/>
        <v>0.15011630097919748</v>
      </c>
      <c r="G127" s="2">
        <f t="shared" si="7"/>
        <v>235.81199351701784</v>
      </c>
      <c r="H127" s="3">
        <f t="shared" si="8"/>
        <v>7.1582191041588361E-2</v>
      </c>
      <c r="J127" s="3">
        <f t="shared" si="9"/>
        <v>0.10974762676545498</v>
      </c>
    </row>
    <row r="128" spans="1:10" x14ac:dyDescent="0.2">
      <c r="A128" s="1">
        <v>42678</v>
      </c>
      <c r="B128">
        <v>10060.33</v>
      </c>
      <c r="C128">
        <v>4.71</v>
      </c>
      <c r="D128">
        <v>42.66</v>
      </c>
      <c r="E128" s="2">
        <f t="shared" si="5"/>
        <v>2139.0826271186443</v>
      </c>
      <c r="F128" s="3">
        <f t="shared" si="6"/>
        <v>0.14516308298745373</v>
      </c>
      <c r="G128" s="2">
        <f t="shared" si="7"/>
        <v>235.25296442687747</v>
      </c>
      <c r="H128" s="3">
        <f t="shared" si="8"/>
        <v>7.2816886512939716E-2</v>
      </c>
      <c r="J128" s="3">
        <f t="shared" si="9"/>
        <v>0.10974192048360847</v>
      </c>
    </row>
    <row r="129" spans="1:10" x14ac:dyDescent="0.2">
      <c r="A129" s="1">
        <v>42671</v>
      </c>
      <c r="B129">
        <v>10021.36</v>
      </c>
      <c r="C129">
        <v>4.76</v>
      </c>
      <c r="D129">
        <v>42.44</v>
      </c>
      <c r="E129" s="2">
        <f t="shared" si="5"/>
        <v>2135.9511677282376</v>
      </c>
      <c r="F129" s="3">
        <f t="shared" si="6"/>
        <v>0.14197306836540369</v>
      </c>
      <c r="G129" s="2">
        <f t="shared" si="7"/>
        <v>235.23928238583409</v>
      </c>
      <c r="H129" s="3">
        <f t="shared" si="8"/>
        <v>7.1094781504747795E-2</v>
      </c>
      <c r="J129" s="3">
        <f t="shared" si="9"/>
        <v>0.10997204100652376</v>
      </c>
    </row>
    <row r="130" spans="1:10" x14ac:dyDescent="0.2">
      <c r="A130" s="1">
        <v>42664</v>
      </c>
      <c r="B130">
        <v>10069.33</v>
      </c>
      <c r="C130">
        <v>4.88</v>
      </c>
      <c r="D130">
        <v>44.71</v>
      </c>
      <c r="E130" s="2">
        <f t="shared" si="5"/>
        <v>2105.3277310924373</v>
      </c>
      <c r="F130" s="3">
        <f t="shared" si="6"/>
        <v>0.14409242996739113</v>
      </c>
      <c r="G130" s="2">
        <f t="shared" si="7"/>
        <v>235.82583216127523</v>
      </c>
      <c r="H130" s="3">
        <f t="shared" si="8"/>
        <v>6.7255220308749308E-2</v>
      </c>
      <c r="J130" s="3">
        <f t="shared" si="9"/>
        <v>0.11040787623066105</v>
      </c>
    </row>
    <row r="131" spans="1:10" x14ac:dyDescent="0.2">
      <c r="A131" s="1">
        <v>42657</v>
      </c>
      <c r="B131">
        <v>10126.89</v>
      </c>
      <c r="C131">
        <v>4.96</v>
      </c>
      <c r="D131">
        <v>44.57</v>
      </c>
      <c r="E131" s="2">
        <f t="shared" ref="E131:E194" si="10">B130/C130</f>
        <v>2063.3872950819673</v>
      </c>
      <c r="F131" s="3">
        <f t="shared" ref="F131:F194" si="11">E130/E180-1</f>
        <v>0.12681884438892066</v>
      </c>
      <c r="G131" s="2">
        <f t="shared" si="7"/>
        <v>236.13006597549483</v>
      </c>
      <c r="H131" s="3">
        <f t="shared" si="8"/>
        <v>6.7581504058295216E-2</v>
      </c>
      <c r="J131" s="3">
        <f t="shared" si="9"/>
        <v>0.11215834118755891</v>
      </c>
    </row>
    <row r="132" spans="1:10" x14ac:dyDescent="0.2">
      <c r="A132" s="1">
        <v>42643</v>
      </c>
      <c r="B132">
        <v>9894.27</v>
      </c>
      <c r="C132">
        <v>4.83</v>
      </c>
      <c r="D132">
        <v>42.6</v>
      </c>
      <c r="E132" s="2">
        <f t="shared" si="10"/>
        <v>2041.7116935483871</v>
      </c>
      <c r="F132" s="3">
        <f t="shared" si="11"/>
        <v>0.11095944682233339</v>
      </c>
      <c r="G132" s="2">
        <f t="shared" ref="G132:G195" si="12">B130/D130</f>
        <v>225.21426973831356</v>
      </c>
      <c r="H132" s="3">
        <f t="shared" ref="H132:H195" si="13">G130/G180-1</f>
        <v>7.1613191341301619E-2</v>
      </c>
      <c r="J132" s="3">
        <f t="shared" ref="J132:J195" si="14">C130/D130</f>
        <v>0.10914784164616416</v>
      </c>
    </row>
    <row r="133" spans="1:10" x14ac:dyDescent="0.2">
      <c r="A133" s="1">
        <v>42636</v>
      </c>
      <c r="B133">
        <v>9918.1299999999992</v>
      </c>
      <c r="C133">
        <v>4.84</v>
      </c>
      <c r="D133">
        <v>42.66</v>
      </c>
      <c r="E133" s="2">
        <f t="shared" si="10"/>
        <v>2048.5031055900622</v>
      </c>
      <c r="F133" s="3">
        <f t="shared" si="11"/>
        <v>0.10288056115621447</v>
      </c>
      <c r="G133" s="2">
        <f t="shared" si="12"/>
        <v>227.21314785730311</v>
      </c>
      <c r="H133" s="3">
        <f t="shared" si="13"/>
        <v>7.470110800054397E-2</v>
      </c>
      <c r="J133" s="3">
        <f t="shared" si="14"/>
        <v>0.11128561812878618</v>
      </c>
    </row>
    <row r="134" spans="1:10" x14ac:dyDescent="0.2">
      <c r="A134" s="1">
        <v>42627</v>
      </c>
      <c r="B134">
        <v>9761.1200000000008</v>
      </c>
      <c r="C134">
        <v>4.8</v>
      </c>
      <c r="D134">
        <v>41.99</v>
      </c>
      <c r="E134" s="2">
        <f t="shared" si="10"/>
        <v>2049.2004132231405</v>
      </c>
      <c r="F134" s="3">
        <f t="shared" si="11"/>
        <v>0.10334491883212604</v>
      </c>
      <c r="G134" s="2">
        <f t="shared" si="12"/>
        <v>232.25985915492959</v>
      </c>
      <c r="H134" s="3">
        <f t="shared" si="13"/>
        <v>3.1121056694634053E-2</v>
      </c>
      <c r="J134" s="3">
        <f t="shared" si="14"/>
        <v>0.11338028169014085</v>
      </c>
    </row>
    <row r="135" spans="1:10" x14ac:dyDescent="0.2">
      <c r="A135" s="1">
        <v>42622</v>
      </c>
      <c r="B135">
        <v>10012.23</v>
      </c>
      <c r="C135">
        <v>4.95</v>
      </c>
      <c r="D135">
        <v>43.02</v>
      </c>
      <c r="E135" s="2">
        <f t="shared" si="10"/>
        <v>2033.5666666666668</v>
      </c>
      <c r="F135" s="3">
        <f t="shared" si="11"/>
        <v>0.10583620028153651</v>
      </c>
      <c r="G135" s="2">
        <f t="shared" si="12"/>
        <v>232.49249882794186</v>
      </c>
      <c r="H135" s="3">
        <f t="shared" si="13"/>
        <v>4.8434485069624555E-2</v>
      </c>
      <c r="J135" s="3">
        <f t="shared" si="14"/>
        <v>0.11345522737927802</v>
      </c>
    </row>
    <row r="136" spans="1:10" x14ac:dyDescent="0.2">
      <c r="A136" s="1">
        <v>42615</v>
      </c>
      <c r="B136">
        <v>9932.73</v>
      </c>
      <c r="C136">
        <v>4.91</v>
      </c>
      <c r="D136">
        <v>42.72</v>
      </c>
      <c r="E136" s="2">
        <f t="shared" si="10"/>
        <v>2022.6727272727271</v>
      </c>
      <c r="F136" s="3">
        <f t="shared" si="11"/>
        <v>9.866068153167884E-2</v>
      </c>
      <c r="G136" s="2">
        <f t="shared" si="12"/>
        <v>232.46296737318409</v>
      </c>
      <c r="H136" s="3">
        <f t="shared" si="13"/>
        <v>7.3754036912743182E-2</v>
      </c>
      <c r="J136" s="3">
        <f t="shared" si="14"/>
        <v>0.11431293165039294</v>
      </c>
    </row>
    <row r="137" spans="1:10" x14ac:dyDescent="0.2">
      <c r="A137" s="1">
        <v>42608</v>
      </c>
      <c r="B137">
        <v>10019.719999999999</v>
      </c>
      <c r="C137">
        <v>4.9800000000000004</v>
      </c>
      <c r="D137">
        <v>43.29</v>
      </c>
      <c r="E137" s="2">
        <f t="shared" si="10"/>
        <v>2022.9592668024438</v>
      </c>
      <c r="F137" s="3">
        <f t="shared" si="11"/>
        <v>9.4381981797729608E-2</v>
      </c>
      <c r="G137" s="2">
        <f t="shared" si="12"/>
        <v>232.73430962343093</v>
      </c>
      <c r="H137" s="3">
        <f t="shared" si="13"/>
        <v>6.9128617748656529E-2</v>
      </c>
      <c r="J137" s="3">
        <f t="shared" si="14"/>
        <v>0.11506276150627615</v>
      </c>
    </row>
    <row r="138" spans="1:10" x14ac:dyDescent="0.2">
      <c r="A138" s="1">
        <v>42601</v>
      </c>
      <c r="B138">
        <v>9974.16</v>
      </c>
      <c r="C138">
        <v>5.0199999999999996</v>
      </c>
      <c r="D138">
        <v>43.05</v>
      </c>
      <c r="E138" s="2">
        <f t="shared" si="10"/>
        <v>2011.9919678714857</v>
      </c>
      <c r="F138" s="3">
        <f t="shared" si="11"/>
        <v>9.1108936800841978E-2</v>
      </c>
      <c r="G138" s="2">
        <f t="shared" si="12"/>
        <v>232.50772471910111</v>
      </c>
      <c r="H138" s="3">
        <f t="shared" si="13"/>
        <v>7.0883982198530759E-2</v>
      </c>
      <c r="J138" s="3">
        <f t="shared" si="14"/>
        <v>0.11493445692883895</v>
      </c>
    </row>
    <row r="139" spans="1:10" x14ac:dyDescent="0.2">
      <c r="A139" s="1">
        <v>42594</v>
      </c>
      <c r="B139">
        <v>9756.7800000000007</v>
      </c>
      <c r="C139">
        <v>5.01</v>
      </c>
      <c r="D139">
        <v>42.27</v>
      </c>
      <c r="E139" s="2">
        <f t="shared" si="10"/>
        <v>1986.8844621513945</v>
      </c>
      <c r="F139" s="3">
        <f t="shared" si="11"/>
        <v>8.5219265402958433E-2</v>
      </c>
      <c r="G139" s="2">
        <f t="shared" si="12"/>
        <v>231.45576345576345</v>
      </c>
      <c r="H139" s="3">
        <f t="shared" si="13"/>
        <v>7.4138214156284743E-2</v>
      </c>
      <c r="J139" s="3">
        <f t="shared" si="14"/>
        <v>0.11503811503811505</v>
      </c>
    </row>
    <row r="140" spans="1:10" x14ac:dyDescent="0.2">
      <c r="A140" s="1">
        <v>42587</v>
      </c>
      <c r="B140">
        <v>9617.81</v>
      </c>
      <c r="C140">
        <v>4.95</v>
      </c>
      <c r="D140">
        <v>41.86</v>
      </c>
      <c r="E140" s="2">
        <f t="shared" si="10"/>
        <v>1947.4610778443116</v>
      </c>
      <c r="F140" s="3">
        <f t="shared" si="11"/>
        <v>7.1523842506532764E-2</v>
      </c>
      <c r="G140" s="2">
        <f t="shared" si="12"/>
        <v>231.68780487804878</v>
      </c>
      <c r="H140" s="3">
        <f t="shared" si="13"/>
        <v>6.8936968816760258E-2</v>
      </c>
      <c r="J140" s="3">
        <f t="shared" si="14"/>
        <v>0.11660859465737514</v>
      </c>
    </row>
    <row r="141" spans="1:10" x14ac:dyDescent="0.2">
      <c r="A141" s="1">
        <v>42580</v>
      </c>
      <c r="B141">
        <v>9740.41</v>
      </c>
      <c r="C141">
        <v>5.0199999999999996</v>
      </c>
      <c r="D141">
        <v>42.45</v>
      </c>
      <c r="E141" s="2">
        <f t="shared" si="10"/>
        <v>1942.9919191919191</v>
      </c>
      <c r="F141" s="3">
        <f t="shared" si="11"/>
        <v>7.0951765239246845E-2</v>
      </c>
      <c r="G141" s="2">
        <f t="shared" si="12"/>
        <v>230.82044002838893</v>
      </c>
      <c r="H141" s="3">
        <f t="shared" si="13"/>
        <v>6.2854614424344257E-2</v>
      </c>
      <c r="J141" s="3">
        <f t="shared" si="14"/>
        <v>0.11852377572746628</v>
      </c>
    </row>
    <row r="142" spans="1:10" x14ac:dyDescent="0.2">
      <c r="A142" s="1">
        <v>42573</v>
      </c>
      <c r="B142">
        <v>9716.56</v>
      </c>
      <c r="C142">
        <v>5.03</v>
      </c>
      <c r="D142">
        <v>43.38</v>
      </c>
      <c r="E142" s="2">
        <f t="shared" si="10"/>
        <v>1940.3207171314743</v>
      </c>
      <c r="F142" s="3">
        <f t="shared" si="11"/>
        <v>7.7853069302153965E-2</v>
      </c>
      <c r="G142" s="2">
        <f t="shared" si="12"/>
        <v>229.76134734830387</v>
      </c>
      <c r="H142" s="3">
        <f t="shared" si="13"/>
        <v>6.4960128907530557E-2</v>
      </c>
      <c r="J142" s="3">
        <f t="shared" si="14"/>
        <v>0.11825131390348782</v>
      </c>
    </row>
    <row r="143" spans="1:10" x14ac:dyDescent="0.2">
      <c r="A143" s="1">
        <v>42566</v>
      </c>
      <c r="B143">
        <v>9816.85</v>
      </c>
      <c r="C143">
        <v>5.07</v>
      </c>
      <c r="D143">
        <v>43.85</v>
      </c>
      <c r="E143" s="2">
        <f t="shared" si="10"/>
        <v>1931.721669980119</v>
      </c>
      <c r="F143" s="3">
        <f t="shared" si="11"/>
        <v>8.1317144979793143E-2</v>
      </c>
      <c r="G143" s="2">
        <f t="shared" si="12"/>
        <v>229.45606595995287</v>
      </c>
      <c r="H143" s="3">
        <f t="shared" si="13"/>
        <v>0.10194063848811297</v>
      </c>
      <c r="J143" s="3">
        <f t="shared" si="14"/>
        <v>0.11825677267373379</v>
      </c>
    </row>
    <row r="144" spans="1:10" x14ac:dyDescent="0.2">
      <c r="A144" s="1">
        <v>42559</v>
      </c>
      <c r="B144">
        <v>9570.73</v>
      </c>
      <c r="C144">
        <v>4.95</v>
      </c>
      <c r="D144">
        <v>42.74</v>
      </c>
      <c r="E144" s="2">
        <f t="shared" si="10"/>
        <v>1936.2623274161735</v>
      </c>
      <c r="F144" s="3">
        <f t="shared" si="11"/>
        <v>7.6173074140805541E-2</v>
      </c>
      <c r="G144" s="2">
        <f t="shared" si="12"/>
        <v>223.98709082526508</v>
      </c>
      <c r="H144" s="3">
        <f t="shared" si="13"/>
        <v>0.10886078994327653</v>
      </c>
      <c r="J144" s="3">
        <f t="shared" si="14"/>
        <v>0.11595205163669894</v>
      </c>
    </row>
    <row r="145" spans="1:10" x14ac:dyDescent="0.2">
      <c r="A145" s="1">
        <v>42552</v>
      </c>
      <c r="B145">
        <v>9241.39</v>
      </c>
      <c r="C145">
        <v>4.7699999999999996</v>
      </c>
      <c r="D145">
        <v>41.24</v>
      </c>
      <c r="E145" s="2">
        <f t="shared" si="10"/>
        <v>1933.4808080808079</v>
      </c>
      <c r="F145" s="3">
        <f t="shared" si="11"/>
        <v>7.7421721464893345E-2</v>
      </c>
      <c r="G145" s="2">
        <f t="shared" si="12"/>
        <v>223.87343215507411</v>
      </c>
      <c r="H145" s="3">
        <f t="shared" si="13"/>
        <v>0.12342684499026402</v>
      </c>
      <c r="J145" s="3">
        <f t="shared" si="14"/>
        <v>0.11562143671607754</v>
      </c>
    </row>
    <row r="146" spans="1:10" x14ac:dyDescent="0.2">
      <c r="A146" s="1">
        <v>42545</v>
      </c>
      <c r="B146">
        <v>8883.2999999999993</v>
      </c>
      <c r="C146">
        <v>4.59</v>
      </c>
      <c r="D146">
        <v>39.6</v>
      </c>
      <c r="E146" s="2">
        <f t="shared" si="10"/>
        <v>1937.3983228511531</v>
      </c>
      <c r="F146" s="3">
        <f t="shared" si="11"/>
        <v>7.5362105717274641E-2</v>
      </c>
      <c r="G146" s="2">
        <f t="shared" si="12"/>
        <v>223.92910622367802</v>
      </c>
      <c r="H146" s="3">
        <f t="shared" si="13"/>
        <v>8.9464462340597573E-2</v>
      </c>
      <c r="J146" s="3">
        <f t="shared" si="14"/>
        <v>0.11581656527842771</v>
      </c>
    </row>
    <row r="147" spans="1:10" x14ac:dyDescent="0.2">
      <c r="A147" s="1">
        <v>42538</v>
      </c>
      <c r="B147">
        <v>8938.2999999999993</v>
      </c>
      <c r="C147">
        <v>4.62</v>
      </c>
      <c r="D147">
        <v>39.880000000000003</v>
      </c>
      <c r="E147" s="2">
        <f t="shared" si="10"/>
        <v>1935.3594771241828</v>
      </c>
      <c r="F147" s="3">
        <f t="shared" si="11"/>
        <v>7.8908651782723327E-2</v>
      </c>
      <c r="G147" s="2">
        <f t="shared" si="12"/>
        <v>224.08802133850628</v>
      </c>
      <c r="H147" s="3">
        <f t="shared" si="13"/>
        <v>8.6805464912336205E-2</v>
      </c>
      <c r="J147" s="3">
        <f t="shared" si="14"/>
        <v>0.11566440349175557</v>
      </c>
    </row>
    <row r="148" spans="1:10" x14ac:dyDescent="0.2">
      <c r="A148" s="1">
        <v>42529</v>
      </c>
      <c r="B148">
        <v>9021.5400000000009</v>
      </c>
      <c r="C148">
        <v>4.6399999999999997</v>
      </c>
      <c r="D148">
        <v>41.26</v>
      </c>
      <c r="E148" s="2">
        <f t="shared" si="10"/>
        <v>1934.6969696969695</v>
      </c>
      <c r="F148" s="3">
        <f t="shared" si="11"/>
        <v>6.9770598328753985E-2</v>
      </c>
      <c r="G148" s="2">
        <f t="shared" si="12"/>
        <v>224.32575757575754</v>
      </c>
      <c r="H148" s="3">
        <f t="shared" si="13"/>
        <v>9.6463002899105588E-2</v>
      </c>
      <c r="J148" s="3">
        <f t="shared" si="14"/>
        <v>0.11590909090909091</v>
      </c>
    </row>
    <row r="149" spans="1:10" x14ac:dyDescent="0.2">
      <c r="A149" s="1">
        <v>42524</v>
      </c>
      <c r="B149">
        <v>9089.2199999999993</v>
      </c>
      <c r="C149">
        <v>4.67</v>
      </c>
      <c r="D149">
        <v>41.54</v>
      </c>
      <c r="E149" s="2">
        <f t="shared" si="10"/>
        <v>1944.2974137931037</v>
      </c>
      <c r="F149" s="3">
        <f t="shared" si="11"/>
        <v>3.2111914732658509E-2</v>
      </c>
      <c r="G149" s="2">
        <f t="shared" si="12"/>
        <v>224.12988966900699</v>
      </c>
      <c r="H149" s="3">
        <f t="shared" si="13"/>
        <v>9.9547832765476851E-2</v>
      </c>
      <c r="J149" s="3">
        <f t="shared" si="14"/>
        <v>0.11584754262788365</v>
      </c>
    </row>
    <row r="150" spans="1:10" x14ac:dyDescent="0.2">
      <c r="A150" s="1">
        <v>42517</v>
      </c>
      <c r="B150">
        <v>8682.07</v>
      </c>
      <c r="C150">
        <v>4.45</v>
      </c>
      <c r="D150">
        <v>39.65</v>
      </c>
      <c r="E150" s="2">
        <f t="shared" si="10"/>
        <v>1946.2997858672377</v>
      </c>
      <c r="F150" s="3">
        <f t="shared" si="11"/>
        <v>3.708972357009177E-2</v>
      </c>
      <c r="G150" s="2">
        <f t="shared" si="12"/>
        <v>218.65099369849736</v>
      </c>
      <c r="H150" s="3">
        <f t="shared" si="13"/>
        <v>9.0742091876410802E-2</v>
      </c>
      <c r="J150" s="3">
        <f t="shared" si="14"/>
        <v>0.11245758603974794</v>
      </c>
    </row>
    <row r="151" spans="1:10" x14ac:dyDescent="0.2">
      <c r="A151" s="1">
        <v>42510</v>
      </c>
      <c r="B151">
        <v>8739.18</v>
      </c>
      <c r="C151">
        <v>4.46</v>
      </c>
      <c r="D151">
        <v>39.840000000000003</v>
      </c>
      <c r="E151" s="2">
        <f t="shared" si="10"/>
        <v>1951.0269662921346</v>
      </c>
      <c r="F151" s="3">
        <f t="shared" si="11"/>
        <v>5.94620351542825E-2</v>
      </c>
      <c r="G151" s="2">
        <f t="shared" si="12"/>
        <v>218.8064516129032</v>
      </c>
      <c r="H151" s="3">
        <f t="shared" si="13"/>
        <v>0.11707164537117509</v>
      </c>
      <c r="J151" s="3">
        <f t="shared" si="14"/>
        <v>0.11242176215695715</v>
      </c>
    </row>
    <row r="152" spans="1:10" x14ac:dyDescent="0.2">
      <c r="A152" s="1">
        <v>42503</v>
      </c>
      <c r="B152">
        <v>8723.11</v>
      </c>
      <c r="C152">
        <v>4.4400000000000004</v>
      </c>
      <c r="D152">
        <v>40.42</v>
      </c>
      <c r="E152" s="2">
        <f t="shared" si="10"/>
        <v>1959.4573991031391</v>
      </c>
      <c r="F152" s="3">
        <f t="shared" si="11"/>
        <v>6.7714627161851615E-2</v>
      </c>
      <c r="G152" s="2">
        <f t="shared" si="12"/>
        <v>218.96771752837327</v>
      </c>
      <c r="H152" s="3">
        <f t="shared" si="13"/>
        <v>9.2023252630846653E-2</v>
      </c>
      <c r="J152" s="3">
        <f t="shared" si="14"/>
        <v>0.11223203026481716</v>
      </c>
    </row>
    <row r="153" spans="1:10" x14ac:dyDescent="0.2">
      <c r="A153" s="1">
        <v>42496</v>
      </c>
      <c r="B153">
        <v>8936.3700000000008</v>
      </c>
      <c r="C153">
        <v>4.5599999999999996</v>
      </c>
      <c r="D153">
        <v>41.51</v>
      </c>
      <c r="E153" s="2">
        <f t="shared" si="10"/>
        <v>1964.6644144144143</v>
      </c>
      <c r="F153" s="3">
        <f t="shared" si="11"/>
        <v>7.1936569529143402E-2</v>
      </c>
      <c r="G153" s="2">
        <f t="shared" si="12"/>
        <v>219.35692771084337</v>
      </c>
      <c r="H153" s="3">
        <f t="shared" si="13"/>
        <v>6.2187178333298343E-2</v>
      </c>
      <c r="J153" s="3">
        <f t="shared" si="14"/>
        <v>0.11194779116465862</v>
      </c>
    </row>
    <row r="154" spans="1:10" x14ac:dyDescent="0.2">
      <c r="A154" s="1">
        <v>42489</v>
      </c>
      <c r="B154">
        <v>8956.77</v>
      </c>
      <c r="C154">
        <v>4.57</v>
      </c>
      <c r="D154">
        <v>41.38</v>
      </c>
      <c r="E154" s="2">
        <f t="shared" si="10"/>
        <v>1959.730263157895</v>
      </c>
      <c r="F154" s="3">
        <f t="shared" si="11"/>
        <v>7.0863175704746206E-2</v>
      </c>
      <c r="G154" s="2">
        <f t="shared" si="12"/>
        <v>215.81172686788719</v>
      </c>
      <c r="H154" s="3">
        <f t="shared" si="13"/>
        <v>6.3378711794580989E-2</v>
      </c>
      <c r="J154" s="3">
        <f t="shared" si="14"/>
        <v>0.10984661058881742</v>
      </c>
    </row>
    <row r="155" spans="1:10" x14ac:dyDescent="0.2">
      <c r="A155" s="1">
        <v>42482</v>
      </c>
      <c r="B155">
        <v>8957.9</v>
      </c>
      <c r="C155">
        <v>4.68</v>
      </c>
      <c r="D155">
        <v>43.36</v>
      </c>
      <c r="E155" s="2">
        <f t="shared" si="10"/>
        <v>1959.90590809628</v>
      </c>
      <c r="F155" s="3">
        <f t="shared" si="11"/>
        <v>6.8487037862976052E-2</v>
      </c>
      <c r="G155" s="2">
        <f t="shared" si="12"/>
        <v>215.2823416044327</v>
      </c>
      <c r="H155" s="3">
        <f t="shared" si="13"/>
        <v>6.6798729465946227E-2</v>
      </c>
      <c r="J155" s="3">
        <f t="shared" si="14"/>
        <v>0.10985304745844375</v>
      </c>
    </row>
    <row r="156" spans="1:10" x14ac:dyDescent="0.2">
      <c r="A156" s="1">
        <v>42475</v>
      </c>
      <c r="B156">
        <v>9494.36</v>
      </c>
      <c r="C156">
        <v>4.9400000000000004</v>
      </c>
      <c r="D156">
        <v>46.94</v>
      </c>
      <c r="E156" s="2">
        <f t="shared" si="10"/>
        <v>1914.0811965811965</v>
      </c>
      <c r="F156" s="3">
        <f t="shared" si="11"/>
        <v>7.2530340984862107E-2</v>
      </c>
      <c r="G156" s="2">
        <f t="shared" si="12"/>
        <v>216.45166747220878</v>
      </c>
      <c r="H156" s="3">
        <f t="shared" si="13"/>
        <v>4.9762384621529598E-2</v>
      </c>
      <c r="J156" s="3">
        <f t="shared" si="14"/>
        <v>0.11043982600289995</v>
      </c>
    </row>
    <row r="157" spans="1:10" x14ac:dyDescent="0.2">
      <c r="A157" s="1">
        <v>42468</v>
      </c>
      <c r="B157">
        <v>9204.2099999999991</v>
      </c>
      <c r="C157">
        <v>4.8</v>
      </c>
      <c r="D157">
        <v>45.36</v>
      </c>
      <c r="E157" s="2">
        <f t="shared" si="10"/>
        <v>1921.9352226720648</v>
      </c>
      <c r="F157" s="3">
        <f t="shared" si="11"/>
        <v>4.3034176818941949E-2</v>
      </c>
      <c r="G157" s="2">
        <f t="shared" si="12"/>
        <v>206.59363468634686</v>
      </c>
      <c r="H157" s="3">
        <f t="shared" si="13"/>
        <v>4.9610430137061234E-2</v>
      </c>
      <c r="J157" s="3">
        <f t="shared" si="14"/>
        <v>0.10793357933579335</v>
      </c>
    </row>
    <row r="158" spans="1:10" x14ac:dyDescent="0.2">
      <c r="A158" s="1">
        <v>42461</v>
      </c>
      <c r="B158">
        <v>9128.4500000000007</v>
      </c>
      <c r="C158">
        <v>4.7699999999999996</v>
      </c>
      <c r="D158">
        <v>45.07</v>
      </c>
      <c r="E158" s="2">
        <f t="shared" si="10"/>
        <v>1917.5437499999998</v>
      </c>
      <c r="F158" s="3">
        <f t="shared" si="11"/>
        <v>8.2414143076475099E-2</v>
      </c>
      <c r="G158" s="2">
        <f t="shared" si="12"/>
        <v>202.2658713250959</v>
      </c>
      <c r="H158" s="3">
        <f t="shared" si="13"/>
        <v>5.9038334367713219E-2</v>
      </c>
      <c r="J158" s="3">
        <f t="shared" si="14"/>
        <v>0.1052407328504474</v>
      </c>
    </row>
    <row r="159" spans="1:10" x14ac:dyDescent="0.2">
      <c r="A159" s="1">
        <v>42454</v>
      </c>
      <c r="B159">
        <v>9090.8700000000008</v>
      </c>
      <c r="C159">
        <v>4.79</v>
      </c>
      <c r="D159">
        <v>43.94</v>
      </c>
      <c r="E159" s="2">
        <f t="shared" si="10"/>
        <v>1913.7211740041932</v>
      </c>
      <c r="F159" s="3">
        <f t="shared" si="11"/>
        <v>9.4253238368869674E-2</v>
      </c>
      <c r="G159" s="2">
        <f t="shared" si="12"/>
        <v>202.91468253968253</v>
      </c>
      <c r="H159" s="3">
        <f t="shared" si="13"/>
        <v>9.6031994763245976E-3</v>
      </c>
      <c r="J159" s="3">
        <f t="shared" si="14"/>
        <v>0.10582010582010581</v>
      </c>
    </row>
    <row r="160" spans="1:10" x14ac:dyDescent="0.2">
      <c r="A160" s="1">
        <v>42447</v>
      </c>
      <c r="B160">
        <v>9000.58</v>
      </c>
      <c r="C160">
        <v>4.76</v>
      </c>
      <c r="D160">
        <v>43.57</v>
      </c>
      <c r="E160" s="2">
        <f t="shared" si="10"/>
        <v>1897.8851774530274</v>
      </c>
      <c r="F160" s="3">
        <f t="shared" si="11"/>
        <v>9.9712340227817942E-2</v>
      </c>
      <c r="G160" s="2">
        <f t="shared" si="12"/>
        <v>202.53938318171734</v>
      </c>
      <c r="H160" s="3">
        <f t="shared" si="13"/>
        <v>1.0061489636916443E-2</v>
      </c>
      <c r="J160" s="3">
        <f t="shared" si="14"/>
        <v>0.10583536720656755</v>
      </c>
    </row>
    <row r="161" spans="1:10" x14ac:dyDescent="0.2">
      <c r="A161" s="1">
        <v>42440</v>
      </c>
      <c r="B161">
        <v>8328.3799999999992</v>
      </c>
      <c r="C161">
        <v>4.42</v>
      </c>
      <c r="D161">
        <v>40.450000000000003</v>
      </c>
      <c r="E161" s="2">
        <f t="shared" si="10"/>
        <v>1890.8781512605042</v>
      </c>
      <c r="F161" s="3">
        <f t="shared" si="11"/>
        <v>9.2598367417591865E-2</v>
      </c>
      <c r="G161" s="2">
        <f t="shared" si="12"/>
        <v>206.89280837505692</v>
      </c>
      <c r="H161" s="3">
        <f t="shared" si="13"/>
        <v>2.254157848380256E-2</v>
      </c>
      <c r="J161" s="3">
        <f t="shared" si="14"/>
        <v>0.10901228948566227</v>
      </c>
    </row>
    <row r="162" spans="1:10" x14ac:dyDescent="0.2">
      <c r="A162" s="1">
        <v>42433</v>
      </c>
      <c r="B162">
        <v>8395.7199999999993</v>
      </c>
      <c r="C162">
        <v>4.43</v>
      </c>
      <c r="D162">
        <v>40.93</v>
      </c>
      <c r="E162" s="2">
        <f t="shared" si="10"/>
        <v>1884.2488687782804</v>
      </c>
      <c r="F162" s="3">
        <f t="shared" si="11"/>
        <v>0.10211387686500917</v>
      </c>
      <c r="G162" s="2">
        <f t="shared" si="12"/>
        <v>206.57746155611659</v>
      </c>
      <c r="H162" s="3">
        <f t="shared" si="13"/>
        <v>2.4404663811482097E-2</v>
      </c>
      <c r="J162" s="3">
        <f t="shared" si="14"/>
        <v>0.10924948358962588</v>
      </c>
    </row>
    <row r="163" spans="1:10" x14ac:dyDescent="0.2">
      <c r="A163" s="1">
        <v>42426</v>
      </c>
      <c r="B163">
        <v>8543.57</v>
      </c>
      <c r="C163">
        <v>4.54</v>
      </c>
      <c r="D163">
        <v>41.51</v>
      </c>
      <c r="E163" s="2">
        <f t="shared" si="10"/>
        <v>1895.1963882618511</v>
      </c>
      <c r="F163" s="3">
        <f t="shared" si="11"/>
        <v>0.10492628169025875</v>
      </c>
      <c r="G163" s="2">
        <f t="shared" si="12"/>
        <v>205.89320148331271</v>
      </c>
      <c r="H163" s="3">
        <f t="shared" si="13"/>
        <v>5.1150863655026857E-2</v>
      </c>
      <c r="J163" s="3">
        <f t="shared" si="14"/>
        <v>0.10927070457354758</v>
      </c>
    </row>
    <row r="164" spans="1:10" x14ac:dyDescent="0.2">
      <c r="A164" s="1">
        <v>42419</v>
      </c>
      <c r="B164">
        <v>9070.7999999999993</v>
      </c>
      <c r="C164">
        <v>4.83</v>
      </c>
      <c r="D164">
        <v>44.02</v>
      </c>
      <c r="E164" s="2">
        <f t="shared" si="10"/>
        <v>1881.8436123348017</v>
      </c>
      <c r="F164" s="3">
        <f t="shared" si="11"/>
        <v>0.1222153283708749</v>
      </c>
      <c r="G164" s="2">
        <f t="shared" si="12"/>
        <v>205.12387002198875</v>
      </c>
      <c r="H164" s="3">
        <f t="shared" si="13"/>
        <v>5.4182948029741995E-2</v>
      </c>
      <c r="J164" s="3">
        <f t="shared" si="14"/>
        <v>0.10823356950891766</v>
      </c>
    </row>
    <row r="165" spans="1:10" x14ac:dyDescent="0.2">
      <c r="A165" s="1">
        <v>42405</v>
      </c>
      <c r="B165">
        <v>8691.5</v>
      </c>
      <c r="C165">
        <v>4.63</v>
      </c>
      <c r="D165">
        <v>42.39</v>
      </c>
      <c r="E165" s="2">
        <f t="shared" si="10"/>
        <v>1878.0124223602484</v>
      </c>
      <c r="F165" s="3">
        <f t="shared" si="11"/>
        <v>0.1198781093087451</v>
      </c>
      <c r="G165" s="2">
        <f t="shared" si="12"/>
        <v>205.8195615514334</v>
      </c>
      <c r="H165" s="3">
        <f t="shared" si="13"/>
        <v>5.150143839486776E-2</v>
      </c>
      <c r="J165" s="3">
        <f t="shared" si="14"/>
        <v>0.10937123584678392</v>
      </c>
    </row>
    <row r="166" spans="1:10" x14ac:dyDescent="0.2">
      <c r="A166" s="1">
        <v>42398</v>
      </c>
      <c r="B166">
        <v>8371.1299999999992</v>
      </c>
      <c r="C166">
        <v>4.46</v>
      </c>
      <c r="D166">
        <v>40.700000000000003</v>
      </c>
      <c r="E166" s="2">
        <f t="shared" si="10"/>
        <v>1877.2138228941685</v>
      </c>
      <c r="F166" s="3">
        <f t="shared" si="11"/>
        <v>0.11894885183990689</v>
      </c>
      <c r="G166" s="2">
        <f t="shared" si="12"/>
        <v>206.06088141753744</v>
      </c>
      <c r="H166" s="3">
        <f t="shared" si="13"/>
        <v>7.3411960981964119E-2</v>
      </c>
      <c r="J166" s="3">
        <f t="shared" si="14"/>
        <v>0.10972285324852339</v>
      </c>
    </row>
    <row r="167" spans="1:10" x14ac:dyDescent="0.2">
      <c r="A167" s="1">
        <v>42391</v>
      </c>
      <c r="B167">
        <v>8953.81</v>
      </c>
      <c r="C167">
        <v>4.7699999999999996</v>
      </c>
      <c r="D167">
        <v>43.51</v>
      </c>
      <c r="E167" s="2">
        <f t="shared" si="10"/>
        <v>1876.9349775784751</v>
      </c>
      <c r="F167" s="3">
        <f t="shared" si="11"/>
        <v>0.11888702101840276</v>
      </c>
      <c r="G167" s="2">
        <f t="shared" si="12"/>
        <v>205.03656522764803</v>
      </c>
      <c r="H167" s="3">
        <f t="shared" si="13"/>
        <v>8.3921862685656601E-2</v>
      </c>
      <c r="J167" s="3">
        <f t="shared" si="14"/>
        <v>0.10922387355508374</v>
      </c>
    </row>
    <row r="168" spans="1:10" x14ac:dyDescent="0.2">
      <c r="A168" s="1">
        <v>42384</v>
      </c>
      <c r="B168">
        <v>8827.3700000000008</v>
      </c>
      <c r="C168">
        <v>4.7699999999999996</v>
      </c>
      <c r="D168">
        <v>42.18</v>
      </c>
      <c r="E168" s="2">
        <f t="shared" si="10"/>
        <v>1877.1090146750525</v>
      </c>
      <c r="F168" s="3">
        <f t="shared" si="11"/>
        <v>0.11774644442276738</v>
      </c>
      <c r="G168" s="2">
        <f t="shared" si="12"/>
        <v>205.67886977886974</v>
      </c>
      <c r="H168" s="3">
        <f t="shared" si="13"/>
        <v>8.4833367218567046E-2</v>
      </c>
      <c r="J168" s="3">
        <f t="shared" si="14"/>
        <v>0.10958230958230958</v>
      </c>
    </row>
    <row r="169" spans="1:10" x14ac:dyDescent="0.2">
      <c r="A169" s="1">
        <v>42377</v>
      </c>
      <c r="B169">
        <v>9578</v>
      </c>
      <c r="C169">
        <v>5.16</v>
      </c>
      <c r="D169">
        <v>45.63</v>
      </c>
      <c r="E169" s="2">
        <f t="shared" si="10"/>
        <v>1850.6016771488473</v>
      </c>
      <c r="F169" s="3">
        <f t="shared" si="11"/>
        <v>0.12074466826044317</v>
      </c>
      <c r="G169" s="2">
        <f t="shared" si="12"/>
        <v>205.78740519420822</v>
      </c>
      <c r="H169" s="3">
        <f t="shared" si="13"/>
        <v>8.0250574650644557E-2</v>
      </c>
      <c r="J169" s="3">
        <f t="shared" si="14"/>
        <v>0.10962997012181107</v>
      </c>
    </row>
    <row r="170" spans="1:10" x14ac:dyDescent="0.2">
      <c r="A170" s="1">
        <v>42369</v>
      </c>
      <c r="B170">
        <v>11200.78</v>
      </c>
      <c r="C170">
        <v>6.05</v>
      </c>
      <c r="D170">
        <v>53.17</v>
      </c>
      <c r="E170" s="2">
        <f t="shared" si="10"/>
        <v>1856.2015503875969</v>
      </c>
      <c r="F170" s="3">
        <f t="shared" si="11"/>
        <v>0.10654813129386875</v>
      </c>
      <c r="G170" s="2">
        <f t="shared" si="12"/>
        <v>209.27856804172595</v>
      </c>
      <c r="H170" s="3">
        <f t="shared" si="13"/>
        <v>7.9731256761547131E-2</v>
      </c>
      <c r="J170" s="3">
        <f t="shared" si="14"/>
        <v>0.11308677098150781</v>
      </c>
    </row>
    <row r="171" spans="1:10" x14ac:dyDescent="0.2">
      <c r="A171" s="1">
        <v>42363</v>
      </c>
      <c r="B171">
        <v>11454.53</v>
      </c>
      <c r="C171">
        <v>6.25</v>
      </c>
      <c r="D171">
        <v>54.04</v>
      </c>
      <c r="E171" s="2">
        <f t="shared" si="10"/>
        <v>1851.3685950413226</v>
      </c>
      <c r="F171" s="3">
        <f t="shared" si="11"/>
        <v>0.10590889989570162</v>
      </c>
      <c r="G171" s="2">
        <f t="shared" si="12"/>
        <v>209.90576375191759</v>
      </c>
      <c r="H171" s="3">
        <f t="shared" si="13"/>
        <v>8.6198371657657979E-2</v>
      </c>
      <c r="J171" s="3">
        <f t="shared" si="14"/>
        <v>0.1130834976988823</v>
      </c>
    </row>
    <row r="172" spans="1:10" x14ac:dyDescent="0.2">
      <c r="A172" s="1">
        <v>42356</v>
      </c>
      <c r="B172">
        <v>11194</v>
      </c>
      <c r="C172">
        <v>6.15</v>
      </c>
      <c r="D172">
        <v>52.88</v>
      </c>
      <c r="E172" s="2">
        <f t="shared" si="10"/>
        <v>1832.7248000000002</v>
      </c>
      <c r="F172" s="3">
        <f t="shared" si="11"/>
        <v>0.10482535481080091</v>
      </c>
      <c r="G172" s="2">
        <f t="shared" si="12"/>
        <v>210.65977054730112</v>
      </c>
      <c r="H172" s="3">
        <f t="shared" si="13"/>
        <v>0.10853285799715606</v>
      </c>
      <c r="J172" s="3">
        <f t="shared" si="14"/>
        <v>0.11378596953169079</v>
      </c>
    </row>
    <row r="173" spans="1:10" x14ac:dyDescent="0.2">
      <c r="A173" s="1">
        <v>42349</v>
      </c>
      <c r="B173">
        <v>10622.11</v>
      </c>
      <c r="C173">
        <v>5.63</v>
      </c>
      <c r="D173">
        <v>48.3</v>
      </c>
      <c r="E173" s="2">
        <f t="shared" si="10"/>
        <v>1820.1626016260161</v>
      </c>
      <c r="F173" s="3">
        <f t="shared" si="11"/>
        <v>9.3948264034920737E-2</v>
      </c>
      <c r="G173" s="2">
        <f t="shared" si="12"/>
        <v>211.96391561806072</v>
      </c>
      <c r="H173" s="3">
        <f t="shared" si="13"/>
        <v>0.10841601411629043</v>
      </c>
      <c r="J173" s="3">
        <f t="shared" si="14"/>
        <v>0.11565507031828276</v>
      </c>
    </row>
    <row r="174" spans="1:10" x14ac:dyDescent="0.2">
      <c r="A174" s="1">
        <v>42342</v>
      </c>
      <c r="B174">
        <v>10784.29</v>
      </c>
      <c r="C174">
        <v>5.72</v>
      </c>
      <c r="D174">
        <v>49.04</v>
      </c>
      <c r="E174" s="2">
        <f t="shared" si="10"/>
        <v>1886.6980461811725</v>
      </c>
      <c r="F174" s="3">
        <f t="shared" si="11"/>
        <v>9.0254395472949112E-2</v>
      </c>
      <c r="G174" s="2">
        <f t="shared" si="12"/>
        <v>211.68683812405445</v>
      </c>
      <c r="H174" s="3">
        <f t="shared" si="13"/>
        <v>0.11020172789463789</v>
      </c>
      <c r="J174" s="3">
        <f t="shared" si="14"/>
        <v>0.11630105900151286</v>
      </c>
    </row>
    <row r="175" spans="1:10" x14ac:dyDescent="0.2">
      <c r="A175" s="1">
        <v>42335</v>
      </c>
      <c r="B175">
        <v>10499.42</v>
      </c>
      <c r="C175">
        <v>5.62</v>
      </c>
      <c r="D175">
        <v>47.69</v>
      </c>
      <c r="E175" s="2">
        <f t="shared" si="10"/>
        <v>1885.3653846153848</v>
      </c>
      <c r="F175" s="3">
        <f t="shared" si="11"/>
        <v>0.12729471133838799</v>
      </c>
      <c r="G175" s="2">
        <f t="shared" si="12"/>
        <v>219.9194616977226</v>
      </c>
      <c r="H175" s="3">
        <f t="shared" si="13"/>
        <v>0.11930643792637574</v>
      </c>
      <c r="J175" s="3">
        <f t="shared" si="14"/>
        <v>0.11656314699792961</v>
      </c>
    </row>
    <row r="176" spans="1:10" x14ac:dyDescent="0.2">
      <c r="A176" s="1">
        <v>42328</v>
      </c>
      <c r="B176">
        <v>11025.81</v>
      </c>
      <c r="C176">
        <v>5.89</v>
      </c>
      <c r="D176">
        <v>50.02</v>
      </c>
      <c r="E176" s="2">
        <f t="shared" si="10"/>
        <v>1868.2241992882562</v>
      </c>
      <c r="F176" s="3">
        <f t="shared" si="11"/>
        <v>0.14052157930706421</v>
      </c>
      <c r="G176" s="2">
        <f t="shared" si="12"/>
        <v>219.9080342577488</v>
      </c>
      <c r="H176" s="3">
        <f t="shared" si="13"/>
        <v>0.11616127865676118</v>
      </c>
      <c r="J176" s="3">
        <f t="shared" si="14"/>
        <v>0.1166394779771615</v>
      </c>
    </row>
    <row r="177" spans="1:10" x14ac:dyDescent="0.2">
      <c r="A177" s="1">
        <v>42321</v>
      </c>
      <c r="B177">
        <v>10882.98</v>
      </c>
      <c r="C177">
        <v>5.81</v>
      </c>
      <c r="D177">
        <v>49.39</v>
      </c>
      <c r="E177" s="2">
        <f t="shared" si="10"/>
        <v>1871.9541595925298</v>
      </c>
      <c r="F177" s="3">
        <f t="shared" si="11"/>
        <v>0.13745174066204235</v>
      </c>
      <c r="G177" s="2">
        <f t="shared" si="12"/>
        <v>220.15978192493188</v>
      </c>
      <c r="H177" s="3">
        <f t="shared" si="13"/>
        <v>0.15837298435339053</v>
      </c>
      <c r="J177" s="3">
        <f t="shared" si="14"/>
        <v>0.1178444118263787</v>
      </c>
    </row>
    <row r="178" spans="1:10" x14ac:dyDescent="0.2">
      <c r="A178" s="1">
        <v>42314</v>
      </c>
      <c r="B178">
        <v>10772.24</v>
      </c>
      <c r="C178">
        <v>5.77</v>
      </c>
      <c r="D178">
        <v>48.95</v>
      </c>
      <c r="E178" s="2">
        <f t="shared" si="10"/>
        <v>1873.146299483649</v>
      </c>
      <c r="F178" s="3">
        <f t="shared" si="11"/>
        <v>0.1375229693499429</v>
      </c>
      <c r="G178" s="2">
        <f t="shared" si="12"/>
        <v>220.4280287884846</v>
      </c>
      <c r="H178" s="3">
        <f t="shared" si="13"/>
        <v>0.15273497963577998</v>
      </c>
      <c r="J178" s="3">
        <f t="shared" si="14"/>
        <v>0.1177528988404638</v>
      </c>
    </row>
    <row r="179" spans="1:10" x14ac:dyDescent="0.2">
      <c r="A179" s="1">
        <v>42307</v>
      </c>
      <c r="B179">
        <v>10425.57</v>
      </c>
      <c r="C179">
        <v>5.58</v>
      </c>
      <c r="D179">
        <v>47.45</v>
      </c>
      <c r="E179" s="2">
        <f t="shared" si="10"/>
        <v>1866.939341421144</v>
      </c>
      <c r="F179" s="3">
        <f t="shared" si="11"/>
        <v>0.14131785078303594</v>
      </c>
      <c r="G179" s="2">
        <f t="shared" si="12"/>
        <v>220.34784369305527</v>
      </c>
      <c r="H179" s="3">
        <f t="shared" si="13"/>
        <v>0.15695287254417289</v>
      </c>
      <c r="J179" s="3">
        <f t="shared" si="14"/>
        <v>0.11763514881554969</v>
      </c>
    </row>
    <row r="180" spans="1:10" x14ac:dyDescent="0.2">
      <c r="A180" s="1">
        <v>42300</v>
      </c>
      <c r="B180">
        <v>10698.06</v>
      </c>
      <c r="C180">
        <v>5.76</v>
      </c>
      <c r="D180">
        <v>48.98</v>
      </c>
      <c r="E180" s="2">
        <f t="shared" si="10"/>
        <v>1868.3817204301074</v>
      </c>
      <c r="F180" s="3">
        <f t="shared" si="11"/>
        <v>0.14138104572543564</v>
      </c>
      <c r="G180" s="2">
        <f t="shared" si="12"/>
        <v>220.06618998978547</v>
      </c>
      <c r="H180" s="3">
        <f t="shared" si="13"/>
        <v>0.15627456074028445</v>
      </c>
      <c r="J180" s="3">
        <f t="shared" si="14"/>
        <v>0.11787538304392235</v>
      </c>
    </row>
    <row r="181" spans="1:10" x14ac:dyDescent="0.2">
      <c r="A181" s="1">
        <v>42293</v>
      </c>
      <c r="B181">
        <v>10070.82</v>
      </c>
      <c r="C181">
        <v>5.44</v>
      </c>
      <c r="D181">
        <v>46.47</v>
      </c>
      <c r="E181" s="2">
        <f t="shared" si="10"/>
        <v>1857.3020833333333</v>
      </c>
      <c r="F181" s="3">
        <f t="shared" si="11"/>
        <v>0.14686286627495071</v>
      </c>
      <c r="G181" s="2">
        <f t="shared" si="12"/>
        <v>219.71696522655424</v>
      </c>
      <c r="H181" s="3">
        <f t="shared" si="13"/>
        <v>0.15780729262878812</v>
      </c>
      <c r="J181" s="3">
        <f t="shared" si="14"/>
        <v>0.11759747102212854</v>
      </c>
    </row>
    <row r="182" spans="1:10" x14ac:dyDescent="0.2">
      <c r="A182" s="1">
        <v>42286</v>
      </c>
      <c r="B182">
        <v>9580.2099999999991</v>
      </c>
      <c r="C182">
        <v>5.16</v>
      </c>
      <c r="D182">
        <v>44.29</v>
      </c>
      <c r="E182" s="2">
        <f t="shared" si="10"/>
        <v>1851.2536764705881</v>
      </c>
      <c r="F182" s="3">
        <f t="shared" si="11"/>
        <v>0.13937893161110337</v>
      </c>
      <c r="G182" s="2">
        <f t="shared" si="12"/>
        <v>218.41690485912619</v>
      </c>
      <c r="H182" s="3">
        <f t="shared" si="13"/>
        <v>0.15947545816149522</v>
      </c>
      <c r="J182" s="3">
        <f t="shared" si="14"/>
        <v>0.1175990200081666</v>
      </c>
    </row>
    <row r="183" spans="1:10" x14ac:dyDescent="0.2">
      <c r="A183" s="1">
        <v>42277</v>
      </c>
      <c r="B183">
        <v>9061.5499999999993</v>
      </c>
      <c r="C183">
        <v>4.8899999999999997</v>
      </c>
      <c r="D183">
        <v>41.67</v>
      </c>
      <c r="E183" s="2">
        <f t="shared" si="10"/>
        <v>1856.62984496124</v>
      </c>
      <c r="F183" s="3">
        <f t="shared" si="11"/>
        <v>0.13998289034111622</v>
      </c>
      <c r="G183" s="2">
        <f t="shared" si="12"/>
        <v>216.71659134925758</v>
      </c>
      <c r="H183" s="3">
        <f t="shared" si="13"/>
        <v>0.15840032667613513</v>
      </c>
      <c r="J183" s="3">
        <f t="shared" si="14"/>
        <v>0.11706477297180978</v>
      </c>
    </row>
    <row r="184" spans="1:10" x14ac:dyDescent="0.2">
      <c r="A184" s="1">
        <v>42272</v>
      </c>
      <c r="B184">
        <v>8995.6200000000008</v>
      </c>
      <c r="C184">
        <v>4.8600000000000003</v>
      </c>
      <c r="D184">
        <v>41.44</v>
      </c>
      <c r="E184" s="2">
        <f t="shared" si="10"/>
        <v>1853.0777096114518</v>
      </c>
      <c r="F184" s="3">
        <f t="shared" si="11"/>
        <v>0.17930085548831087</v>
      </c>
      <c r="G184" s="2">
        <f t="shared" si="12"/>
        <v>216.30638970422217</v>
      </c>
      <c r="H184" s="3">
        <f t="shared" si="13"/>
        <v>0.15265623737570833</v>
      </c>
      <c r="J184" s="3">
        <f t="shared" si="14"/>
        <v>0.11650485436893204</v>
      </c>
    </row>
    <row r="185" spans="1:10" x14ac:dyDescent="0.2">
      <c r="A185" s="1">
        <v>42265</v>
      </c>
      <c r="B185">
        <v>8890</v>
      </c>
      <c r="C185">
        <v>4.8099999999999996</v>
      </c>
      <c r="D185">
        <v>41.03</v>
      </c>
      <c r="E185" s="2">
        <f t="shared" si="10"/>
        <v>1850.9506172839506</v>
      </c>
      <c r="F185" s="3">
        <f t="shared" si="11"/>
        <v>0.18732580774722352</v>
      </c>
      <c r="G185" s="2">
        <f t="shared" si="12"/>
        <v>217.45980321574271</v>
      </c>
      <c r="H185" s="3">
        <f t="shared" si="13"/>
        <v>0.14590273636809625</v>
      </c>
      <c r="J185" s="3">
        <f t="shared" si="14"/>
        <v>0.1173506119510439</v>
      </c>
    </row>
    <row r="186" spans="1:10" x14ac:dyDescent="0.2">
      <c r="A186" s="1">
        <v>42258</v>
      </c>
      <c r="B186">
        <v>9344.36</v>
      </c>
      <c r="C186">
        <v>5.04</v>
      </c>
      <c r="D186">
        <v>42.96</v>
      </c>
      <c r="E186" s="2">
        <f t="shared" si="10"/>
        <v>1848.2328482328485</v>
      </c>
      <c r="F186" s="3">
        <f t="shared" si="11"/>
        <v>0.18562950956680146</v>
      </c>
      <c r="G186" s="2">
        <f t="shared" si="12"/>
        <v>217.07577220077224</v>
      </c>
      <c r="H186" s="3">
        <f t="shared" si="13"/>
        <v>0.17586599862766561</v>
      </c>
      <c r="J186" s="3">
        <f t="shared" si="14"/>
        <v>0.11727799227799229</v>
      </c>
    </row>
    <row r="187" spans="1:10" x14ac:dyDescent="0.2">
      <c r="A187" s="1">
        <v>42249</v>
      </c>
      <c r="B187">
        <v>8843.56</v>
      </c>
      <c r="C187">
        <v>4.7699999999999996</v>
      </c>
      <c r="D187">
        <v>40.61</v>
      </c>
      <c r="E187" s="2">
        <f t="shared" si="10"/>
        <v>1854.0396825396826</v>
      </c>
      <c r="F187" s="3">
        <f t="shared" si="11"/>
        <v>0.18514764061375333</v>
      </c>
      <c r="G187" s="2">
        <f t="shared" si="12"/>
        <v>216.67072873507189</v>
      </c>
      <c r="H187" s="3">
        <f t="shared" si="13"/>
        <v>0.18140212071413653</v>
      </c>
      <c r="J187" s="3">
        <f t="shared" si="14"/>
        <v>0.11723129417499389</v>
      </c>
    </row>
    <row r="188" spans="1:10" x14ac:dyDescent="0.2">
      <c r="A188" s="1">
        <v>42244</v>
      </c>
      <c r="B188">
        <v>9605.07</v>
      </c>
      <c r="C188">
        <v>5.18</v>
      </c>
      <c r="D188">
        <v>44.15</v>
      </c>
      <c r="E188" s="2">
        <f t="shared" si="10"/>
        <v>1853.9958071278827</v>
      </c>
      <c r="F188" s="3">
        <f t="shared" si="11"/>
        <v>0.18818039823545574</v>
      </c>
      <c r="G188" s="2">
        <f t="shared" si="12"/>
        <v>217.51303538175048</v>
      </c>
      <c r="H188" s="3">
        <f t="shared" si="13"/>
        <v>0.17564040137180492</v>
      </c>
      <c r="J188" s="3">
        <f t="shared" si="14"/>
        <v>0.11731843575418995</v>
      </c>
    </row>
    <row r="189" spans="1:10" x14ac:dyDescent="0.2">
      <c r="A189" s="1">
        <v>42237</v>
      </c>
      <c r="B189">
        <v>10383.290000000001</v>
      </c>
      <c r="C189">
        <v>5.71</v>
      </c>
      <c r="D189">
        <v>49.57</v>
      </c>
      <c r="E189" s="2">
        <f t="shared" si="10"/>
        <v>1854.2606177606178</v>
      </c>
      <c r="F189" s="3">
        <f t="shared" si="11"/>
        <v>0.19108444257819279</v>
      </c>
      <c r="G189" s="2">
        <f t="shared" si="12"/>
        <v>217.76803742920461</v>
      </c>
      <c r="H189" s="3">
        <f t="shared" si="13"/>
        <v>0.17493109755834579</v>
      </c>
      <c r="J189" s="3">
        <f t="shared" si="14"/>
        <v>0.11745875400147746</v>
      </c>
    </row>
    <row r="190" spans="1:10" x14ac:dyDescent="0.2">
      <c r="A190" s="1">
        <v>42230</v>
      </c>
      <c r="B190">
        <v>11591.04</v>
      </c>
      <c r="C190">
        <v>6.43</v>
      </c>
      <c r="D190">
        <v>55.94</v>
      </c>
      <c r="E190" s="2">
        <f t="shared" si="10"/>
        <v>1818.4395796847637</v>
      </c>
      <c r="F190" s="3">
        <f t="shared" si="11"/>
        <v>0.19097930403391672</v>
      </c>
      <c r="G190" s="2">
        <f t="shared" si="12"/>
        <v>217.55537938844847</v>
      </c>
      <c r="H190" s="3">
        <f t="shared" si="13"/>
        <v>0.17098035874025164</v>
      </c>
      <c r="J190" s="3">
        <f t="shared" si="14"/>
        <v>0.11732729331823329</v>
      </c>
    </row>
    <row r="191" spans="1:10" x14ac:dyDescent="0.2">
      <c r="A191" s="1">
        <v>42223</v>
      </c>
      <c r="B191">
        <v>11125.31</v>
      </c>
      <c r="C191">
        <v>6.2</v>
      </c>
      <c r="D191">
        <v>54.47</v>
      </c>
      <c r="E191" s="2">
        <f t="shared" si="10"/>
        <v>1802.6500777604979</v>
      </c>
      <c r="F191" s="3">
        <f t="shared" si="11"/>
        <v>0.17076002646393085</v>
      </c>
      <c r="G191" s="2">
        <f t="shared" si="12"/>
        <v>209.46721807544887</v>
      </c>
      <c r="H191" s="3">
        <f t="shared" si="13"/>
        <v>0.16645109705780148</v>
      </c>
      <c r="J191" s="3">
        <f t="shared" si="14"/>
        <v>0.11519063949969739</v>
      </c>
    </row>
    <row r="192" spans="1:10" x14ac:dyDescent="0.2">
      <c r="A192" s="1">
        <v>42216</v>
      </c>
      <c r="B192">
        <v>10734.05</v>
      </c>
      <c r="C192">
        <v>5.98</v>
      </c>
      <c r="D192">
        <v>52.21</v>
      </c>
      <c r="E192" s="2">
        <f t="shared" si="10"/>
        <v>1794.4048387096773</v>
      </c>
      <c r="F192" s="3">
        <f t="shared" si="11"/>
        <v>0.1664880329204268</v>
      </c>
      <c r="G192" s="2">
        <f t="shared" si="12"/>
        <v>207.20486235252059</v>
      </c>
      <c r="H192" s="3">
        <f t="shared" si="13"/>
        <v>0.1653488843626465</v>
      </c>
      <c r="J192" s="3">
        <f t="shared" si="14"/>
        <v>0.11494458348230246</v>
      </c>
    </row>
    <row r="193" spans="1:10" x14ac:dyDescent="0.2">
      <c r="A193" s="1">
        <v>42209</v>
      </c>
      <c r="B193">
        <v>11861.03</v>
      </c>
      <c r="C193">
        <v>6.6</v>
      </c>
      <c r="D193">
        <v>57.58</v>
      </c>
      <c r="E193" s="2">
        <f t="shared" si="10"/>
        <v>1794.9916387959863</v>
      </c>
      <c r="F193" s="3">
        <f t="shared" si="11"/>
        <v>0.17307800546845442</v>
      </c>
      <c r="G193" s="2">
        <f t="shared" si="12"/>
        <v>204.2465577382045</v>
      </c>
      <c r="H193" s="3">
        <f t="shared" si="13"/>
        <v>0.12296823287993819</v>
      </c>
      <c r="J193" s="3">
        <f t="shared" si="14"/>
        <v>0.11382412337066275</v>
      </c>
    </row>
    <row r="194" spans="1:10" x14ac:dyDescent="0.2">
      <c r="A194" s="1">
        <v>42202</v>
      </c>
      <c r="B194">
        <v>11453.14</v>
      </c>
      <c r="C194">
        <v>6.37</v>
      </c>
      <c r="D194">
        <v>56.08</v>
      </c>
      <c r="E194" s="2">
        <f t="shared" si="10"/>
        <v>1797.1257575757577</v>
      </c>
      <c r="F194" s="3">
        <f t="shared" si="11"/>
        <v>0.18177923775263904</v>
      </c>
      <c r="G194" s="2">
        <f t="shared" si="12"/>
        <v>205.59375598544338</v>
      </c>
      <c r="H194" s="3">
        <f t="shared" si="13"/>
        <v>0.11445899197054032</v>
      </c>
      <c r="J194" s="3">
        <f t="shared" si="14"/>
        <v>0.11453744493392071</v>
      </c>
    </row>
    <row r="195" spans="1:10" x14ac:dyDescent="0.2">
      <c r="A195" s="1">
        <v>42195</v>
      </c>
      <c r="B195">
        <v>10361.200000000001</v>
      </c>
      <c r="C195">
        <v>5.77</v>
      </c>
      <c r="D195">
        <v>50.84</v>
      </c>
      <c r="E195" s="2">
        <f t="shared" ref="E195:E258" si="15">B194/C194</f>
        <v>1797.9811616954473</v>
      </c>
      <c r="F195" s="3">
        <f t="shared" ref="F195:F258" si="16">E194/E244-1</f>
        <v>0.1899701686996631</v>
      </c>
      <c r="G195" s="2">
        <f t="shared" si="12"/>
        <v>205.99218478638417</v>
      </c>
      <c r="H195" s="3">
        <f t="shared" si="13"/>
        <v>0.10272882277502204</v>
      </c>
      <c r="J195" s="3">
        <f t="shared" si="14"/>
        <v>0.11462313303230288</v>
      </c>
    </row>
    <row r="196" spans="1:10" x14ac:dyDescent="0.2">
      <c r="A196" s="1">
        <v>42188</v>
      </c>
      <c r="B196">
        <v>10583.44</v>
      </c>
      <c r="C196">
        <v>5.85</v>
      </c>
      <c r="D196">
        <v>51.46</v>
      </c>
      <c r="E196" s="2">
        <f t="shared" si="15"/>
        <v>1795.7019064124786</v>
      </c>
      <c r="F196" s="3">
        <f t="shared" si="16"/>
        <v>0.19264805451729305</v>
      </c>
      <c r="G196" s="2">
        <f t="shared" ref="G196:G259" si="17">B194/D194</f>
        <v>204.22860199714694</v>
      </c>
      <c r="H196" s="3">
        <f t="shared" ref="H196:H259" si="18">G194/G244-1</f>
        <v>0.12523672605169889</v>
      </c>
      <c r="J196" s="3">
        <f t="shared" ref="J196:J259" si="19">C194/D194</f>
        <v>0.11358773181169758</v>
      </c>
    </row>
    <row r="197" spans="1:10" x14ac:dyDescent="0.2">
      <c r="A197" s="1">
        <v>42181</v>
      </c>
      <c r="B197">
        <v>12146.78</v>
      </c>
      <c r="C197">
        <v>6.48</v>
      </c>
      <c r="D197">
        <v>60.54</v>
      </c>
      <c r="E197" s="2">
        <f t="shared" si="15"/>
        <v>1809.135042735043</v>
      </c>
      <c r="F197" s="3">
        <f t="shared" si="16"/>
        <v>0.1908885708553052</v>
      </c>
      <c r="G197" s="2">
        <f t="shared" si="17"/>
        <v>203.80015735641229</v>
      </c>
      <c r="H197" s="3">
        <f t="shared" si="18"/>
        <v>0.13625295574994811</v>
      </c>
      <c r="J197" s="3">
        <f t="shared" si="19"/>
        <v>0.11349331235247835</v>
      </c>
    </row>
    <row r="198" spans="1:10" x14ac:dyDescent="0.2">
      <c r="A198" s="1">
        <v>42174</v>
      </c>
      <c r="B198">
        <v>13367.06</v>
      </c>
      <c r="C198">
        <v>7.13</v>
      </c>
      <c r="D198">
        <v>66.760000000000005</v>
      </c>
      <c r="E198" s="2">
        <f t="shared" si="15"/>
        <v>1874.5030864197531</v>
      </c>
      <c r="F198" s="3">
        <f t="shared" si="16"/>
        <v>0.20654522509767914</v>
      </c>
      <c r="G198" s="2">
        <f t="shared" si="17"/>
        <v>205.66342790516907</v>
      </c>
      <c r="H198" s="3">
        <f t="shared" si="18"/>
        <v>0.13020842027936941</v>
      </c>
      <c r="J198" s="3">
        <f t="shared" si="19"/>
        <v>0.1136805285658764</v>
      </c>
    </row>
    <row r="199" spans="1:10" x14ac:dyDescent="0.2">
      <c r="A199" s="1">
        <v>42167</v>
      </c>
      <c r="B199">
        <v>15449.71</v>
      </c>
      <c r="C199">
        <v>8.41</v>
      </c>
      <c r="D199">
        <v>75</v>
      </c>
      <c r="E199" s="2">
        <f t="shared" si="15"/>
        <v>1874.7629733520337</v>
      </c>
      <c r="F199" s="3">
        <f t="shared" si="16"/>
        <v>0.24841373500221064</v>
      </c>
      <c r="G199" s="2">
        <f t="shared" si="17"/>
        <v>200.64056821935912</v>
      </c>
      <c r="H199" s="3">
        <f t="shared" si="18"/>
        <v>0.13043954839102745</v>
      </c>
      <c r="J199" s="3">
        <f t="shared" si="19"/>
        <v>0.1070366699702676</v>
      </c>
    </row>
    <row r="200" spans="1:10" x14ac:dyDescent="0.2">
      <c r="A200" s="1">
        <v>42160</v>
      </c>
      <c r="B200">
        <v>14928.98</v>
      </c>
      <c r="C200">
        <v>8.17</v>
      </c>
      <c r="D200">
        <v>72.5</v>
      </c>
      <c r="E200" s="2">
        <f t="shared" si="15"/>
        <v>1837.064209274673</v>
      </c>
      <c r="F200" s="3">
        <f t="shared" si="16"/>
        <v>0.24678933840539363</v>
      </c>
      <c r="G200" s="2">
        <f t="shared" si="17"/>
        <v>200.22558418214498</v>
      </c>
      <c r="H200" s="3">
        <f t="shared" si="18"/>
        <v>0.14155108971222319</v>
      </c>
      <c r="J200" s="3">
        <f t="shared" si="19"/>
        <v>0.10680047932893948</v>
      </c>
    </row>
    <row r="201" spans="1:10" x14ac:dyDescent="0.2">
      <c r="A201" s="1">
        <v>42153</v>
      </c>
      <c r="B201">
        <v>13782.82</v>
      </c>
      <c r="C201">
        <v>7.54</v>
      </c>
      <c r="D201">
        <v>67.03</v>
      </c>
      <c r="E201" s="2">
        <f t="shared" si="15"/>
        <v>1827.2925336597307</v>
      </c>
      <c r="F201" s="3">
        <f t="shared" si="16"/>
        <v>0.22159384817279082</v>
      </c>
      <c r="G201" s="2">
        <f t="shared" si="17"/>
        <v>205.99613333333332</v>
      </c>
      <c r="H201" s="3">
        <f t="shared" si="18"/>
        <v>0.11244439839709153</v>
      </c>
      <c r="J201" s="3">
        <f t="shared" si="19"/>
        <v>0.11213333333333333</v>
      </c>
    </row>
    <row r="202" spans="1:10" x14ac:dyDescent="0.2">
      <c r="A202" s="1">
        <v>42146</v>
      </c>
      <c r="B202">
        <v>13558.1</v>
      </c>
      <c r="C202">
        <v>7.39</v>
      </c>
      <c r="D202">
        <v>65.95</v>
      </c>
      <c r="E202" s="2">
        <f t="shared" si="15"/>
        <v>1827.9602122015915</v>
      </c>
      <c r="F202" s="3">
        <f t="shared" si="16"/>
        <v>0.21236725235364462</v>
      </c>
      <c r="G202" s="2">
        <f t="shared" si="17"/>
        <v>205.91696551724138</v>
      </c>
      <c r="H202" s="3">
        <f t="shared" si="18"/>
        <v>0.11241543165616141</v>
      </c>
      <c r="J202" s="3">
        <f t="shared" si="19"/>
        <v>0.11268965517241379</v>
      </c>
    </row>
    <row r="203" spans="1:10" x14ac:dyDescent="0.2">
      <c r="A203" s="1">
        <v>42139</v>
      </c>
      <c r="B203">
        <v>12068.49</v>
      </c>
      <c r="C203">
        <v>6.58</v>
      </c>
      <c r="D203">
        <v>58.84</v>
      </c>
      <c r="E203" s="2">
        <f t="shared" si="15"/>
        <v>1834.6549391069013</v>
      </c>
      <c r="F203" s="3">
        <f t="shared" si="16"/>
        <v>0.17007951448930458</v>
      </c>
      <c r="G203" s="2">
        <f t="shared" si="17"/>
        <v>205.62166194241382</v>
      </c>
      <c r="H203" s="3">
        <f t="shared" si="18"/>
        <v>0.14549116646432858</v>
      </c>
      <c r="J203" s="3">
        <f t="shared" si="19"/>
        <v>0.11248694614351783</v>
      </c>
    </row>
    <row r="204" spans="1:10" x14ac:dyDescent="0.2">
      <c r="A204" s="1">
        <v>42132</v>
      </c>
      <c r="B204">
        <v>11421.04</v>
      </c>
      <c r="C204">
        <v>6.25</v>
      </c>
      <c r="D204">
        <v>55.88</v>
      </c>
      <c r="E204" s="2">
        <f t="shared" si="15"/>
        <v>1834.1170212765958</v>
      </c>
      <c r="F204" s="3">
        <f t="shared" si="16"/>
        <v>0.1736832513672566</v>
      </c>
      <c r="G204" s="2">
        <f t="shared" si="17"/>
        <v>205.58150113722516</v>
      </c>
      <c r="H204" s="3">
        <f t="shared" si="18"/>
        <v>0.14690792024425381</v>
      </c>
      <c r="J204" s="3">
        <f t="shared" si="19"/>
        <v>0.11205458680818801</v>
      </c>
    </row>
    <row r="205" spans="1:10" x14ac:dyDescent="0.2">
      <c r="A205" s="1">
        <v>42124</v>
      </c>
      <c r="B205">
        <v>11469.43</v>
      </c>
      <c r="C205">
        <v>6.25</v>
      </c>
      <c r="D205">
        <v>56.05</v>
      </c>
      <c r="E205" s="2">
        <f t="shared" si="15"/>
        <v>1827.3664000000001</v>
      </c>
      <c r="F205" s="3">
        <f t="shared" si="16"/>
        <v>0.17141522289286781</v>
      </c>
      <c r="G205" s="2">
        <f t="shared" si="17"/>
        <v>205.10690006798094</v>
      </c>
      <c r="H205" s="3">
        <f t="shared" si="18"/>
        <v>0.13367967739842634</v>
      </c>
      <c r="J205" s="3">
        <f t="shared" si="19"/>
        <v>0.11182868796736913</v>
      </c>
    </row>
    <row r="206" spans="1:10" x14ac:dyDescent="0.2">
      <c r="A206" s="1">
        <v>42118</v>
      </c>
      <c r="B206">
        <v>11470.38</v>
      </c>
      <c r="C206">
        <v>6.46</v>
      </c>
      <c r="D206">
        <v>57.28</v>
      </c>
      <c r="E206" s="2">
        <f t="shared" si="15"/>
        <v>1835.1088</v>
      </c>
      <c r="F206" s="3">
        <f t="shared" si="16"/>
        <v>0.16512573978058365</v>
      </c>
      <c r="G206" s="2">
        <f t="shared" si="17"/>
        <v>204.38511095204009</v>
      </c>
      <c r="H206" s="3">
        <f t="shared" si="18"/>
        <v>0.1332133514649334</v>
      </c>
      <c r="J206" s="3">
        <f t="shared" si="19"/>
        <v>0.11184681460272011</v>
      </c>
    </row>
    <row r="207" spans="1:10" x14ac:dyDescent="0.2">
      <c r="A207" s="1">
        <v>42111</v>
      </c>
      <c r="B207">
        <v>11075.02</v>
      </c>
      <c r="C207">
        <v>6.32</v>
      </c>
      <c r="D207">
        <v>55.81</v>
      </c>
      <c r="E207" s="2">
        <f t="shared" si="15"/>
        <v>1775.6006191950464</v>
      </c>
      <c r="F207" s="3">
        <f t="shared" si="16"/>
        <v>0.1682033420729856</v>
      </c>
      <c r="G207" s="2">
        <f t="shared" si="17"/>
        <v>204.628545941124</v>
      </c>
      <c r="H207" s="3">
        <f t="shared" si="18"/>
        <v>0.13085229138945897</v>
      </c>
      <c r="J207" s="3">
        <f t="shared" si="19"/>
        <v>0.11150758251561106</v>
      </c>
    </row>
    <row r="208" spans="1:10" x14ac:dyDescent="0.2">
      <c r="A208" s="1">
        <v>42104</v>
      </c>
      <c r="B208">
        <v>10876.26</v>
      </c>
      <c r="C208">
        <v>6.25</v>
      </c>
      <c r="D208">
        <v>55.01</v>
      </c>
      <c r="E208" s="2">
        <f t="shared" si="15"/>
        <v>1752.376582278481</v>
      </c>
      <c r="F208" s="3">
        <f t="shared" si="16"/>
        <v>0.12715023913772838</v>
      </c>
      <c r="G208" s="2">
        <f t="shared" si="17"/>
        <v>200.25104748603351</v>
      </c>
      <c r="H208" s="3">
        <f t="shared" si="18"/>
        <v>0.12680854392733809</v>
      </c>
      <c r="J208" s="3">
        <f t="shared" si="19"/>
        <v>0.11277932960893855</v>
      </c>
    </row>
    <row r="209" spans="1:10" x14ac:dyDescent="0.2">
      <c r="A209" s="1">
        <v>42097</v>
      </c>
      <c r="B209">
        <v>10439.6</v>
      </c>
      <c r="C209">
        <v>6.01</v>
      </c>
      <c r="D209">
        <v>53.04</v>
      </c>
      <c r="E209" s="2">
        <f t="shared" si="15"/>
        <v>1740.2016000000001</v>
      </c>
      <c r="F209" s="3">
        <f t="shared" si="16"/>
        <v>0.11385547585683731</v>
      </c>
      <c r="G209" s="2">
        <f t="shared" si="17"/>
        <v>198.44149793943737</v>
      </c>
      <c r="H209" s="3">
        <f t="shared" si="18"/>
        <v>0.12664796003071976</v>
      </c>
      <c r="J209" s="3">
        <f t="shared" si="19"/>
        <v>0.11324135459595054</v>
      </c>
    </row>
    <row r="210" spans="1:10" x14ac:dyDescent="0.2">
      <c r="A210" s="1">
        <v>42090</v>
      </c>
      <c r="B210">
        <v>9745.08</v>
      </c>
      <c r="C210">
        <v>5.68</v>
      </c>
      <c r="D210">
        <v>49.73</v>
      </c>
      <c r="E210" s="2">
        <f t="shared" si="15"/>
        <v>1737.038269550749</v>
      </c>
      <c r="F210" s="3">
        <f t="shared" si="16"/>
        <v>0.12834937192970886</v>
      </c>
      <c r="G210" s="2">
        <f t="shared" si="17"/>
        <v>197.71423377567717</v>
      </c>
      <c r="H210" s="3">
        <f t="shared" si="18"/>
        <v>0.10106296305233808</v>
      </c>
      <c r="J210" s="3">
        <f t="shared" si="19"/>
        <v>0.11361570623522996</v>
      </c>
    </row>
    <row r="211" spans="1:10" x14ac:dyDescent="0.2">
      <c r="A211" s="1">
        <v>42083</v>
      </c>
      <c r="B211">
        <v>9379.24</v>
      </c>
      <c r="C211">
        <v>5.5</v>
      </c>
      <c r="D211">
        <v>47.9</v>
      </c>
      <c r="E211" s="2">
        <f t="shared" si="15"/>
        <v>1715.6830985915494</v>
      </c>
      <c r="F211" s="3">
        <f t="shared" si="16"/>
        <v>0.1352533626280259</v>
      </c>
      <c r="G211" s="2">
        <f t="shared" si="17"/>
        <v>196.82503770739066</v>
      </c>
      <c r="H211" s="3">
        <f t="shared" si="18"/>
        <v>9.2331054978677995E-2</v>
      </c>
      <c r="J211" s="3">
        <f t="shared" si="19"/>
        <v>0.11331070889894419</v>
      </c>
    </row>
    <row r="212" spans="1:10" x14ac:dyDescent="0.2">
      <c r="A212" s="1">
        <v>42076</v>
      </c>
      <c r="B212">
        <v>8832.42</v>
      </c>
      <c r="C212">
        <v>5.23</v>
      </c>
      <c r="D212">
        <v>46.22</v>
      </c>
      <c r="E212" s="2">
        <f t="shared" si="15"/>
        <v>1705.3163636363636</v>
      </c>
      <c r="F212" s="3">
        <f t="shared" si="16"/>
        <v>0.12105813731159132</v>
      </c>
      <c r="G212" s="2">
        <f t="shared" si="17"/>
        <v>195.95978282726725</v>
      </c>
      <c r="H212" s="3">
        <f t="shared" si="18"/>
        <v>8.3631849405823688E-2</v>
      </c>
      <c r="J212" s="3">
        <f t="shared" si="19"/>
        <v>0.11421677056102957</v>
      </c>
    </row>
    <row r="213" spans="1:10" x14ac:dyDescent="0.2">
      <c r="A213" s="1">
        <v>42069</v>
      </c>
      <c r="B213">
        <v>8603.65</v>
      </c>
      <c r="C213">
        <v>5.12</v>
      </c>
      <c r="D213">
        <v>45.31</v>
      </c>
      <c r="E213" s="2">
        <f t="shared" si="15"/>
        <v>1688.7992351816442</v>
      </c>
      <c r="F213" s="3">
        <f t="shared" si="16"/>
        <v>0.11975466073713692</v>
      </c>
      <c r="G213" s="2">
        <f t="shared" si="17"/>
        <v>195.80876826722337</v>
      </c>
      <c r="H213" s="3">
        <f t="shared" si="18"/>
        <v>0.1010103276934835</v>
      </c>
      <c r="J213" s="3">
        <f t="shared" si="19"/>
        <v>0.11482254697286012</v>
      </c>
    </row>
    <row r="214" spans="1:10" x14ac:dyDescent="0.2">
      <c r="A214" s="1">
        <v>42062</v>
      </c>
      <c r="B214">
        <v>8391.86</v>
      </c>
      <c r="C214">
        <v>5</v>
      </c>
      <c r="D214">
        <v>44.18</v>
      </c>
      <c r="E214" s="2">
        <f t="shared" si="15"/>
        <v>1680.400390625</v>
      </c>
      <c r="F214" s="3">
        <f t="shared" si="16"/>
        <v>0.10736553019588979</v>
      </c>
      <c r="G214" s="2">
        <f t="shared" si="17"/>
        <v>191.09519688446559</v>
      </c>
      <c r="H214" s="3">
        <f t="shared" si="18"/>
        <v>0.10053798318674034</v>
      </c>
      <c r="J214" s="3">
        <f t="shared" si="19"/>
        <v>0.113154478580701</v>
      </c>
    </row>
    <row r="215" spans="1:10" x14ac:dyDescent="0.2">
      <c r="A215" s="1">
        <v>42052</v>
      </c>
      <c r="B215">
        <v>8355.2000000000007</v>
      </c>
      <c r="C215">
        <v>4.9800000000000004</v>
      </c>
      <c r="D215">
        <v>44.02</v>
      </c>
      <c r="E215" s="2">
        <f t="shared" si="15"/>
        <v>1678.3720000000001</v>
      </c>
      <c r="F215" s="3">
        <f t="shared" si="16"/>
        <v>0.1164579323930699</v>
      </c>
      <c r="G215" s="2">
        <f t="shared" si="17"/>
        <v>189.88413153829174</v>
      </c>
      <c r="H215" s="3">
        <f t="shared" si="18"/>
        <v>0.10090701574299676</v>
      </c>
      <c r="J215" s="3">
        <f t="shared" si="19"/>
        <v>0.11299933789450452</v>
      </c>
    </row>
    <row r="216" spans="1:10" x14ac:dyDescent="0.2">
      <c r="A216" s="1">
        <v>42048</v>
      </c>
      <c r="B216">
        <v>8177.77</v>
      </c>
      <c r="C216">
        <v>4.87</v>
      </c>
      <c r="D216">
        <v>42.93</v>
      </c>
      <c r="E216" s="2">
        <f t="shared" si="15"/>
        <v>1677.7510040160644</v>
      </c>
      <c r="F216" s="3">
        <f t="shared" si="16"/>
        <v>0.11480557589211915</v>
      </c>
      <c r="G216" s="2">
        <f t="shared" si="17"/>
        <v>189.94703485740155</v>
      </c>
      <c r="H216" s="3">
        <f t="shared" si="18"/>
        <v>7.3655086625961985E-2</v>
      </c>
      <c r="J216" s="3">
        <f t="shared" si="19"/>
        <v>0.11317338162064283</v>
      </c>
    </row>
    <row r="217" spans="1:10" x14ac:dyDescent="0.2">
      <c r="A217" s="1">
        <v>42041</v>
      </c>
      <c r="B217">
        <v>7871.92</v>
      </c>
      <c r="C217">
        <v>4.7</v>
      </c>
      <c r="D217">
        <v>41.55</v>
      </c>
      <c r="E217" s="2">
        <f t="shared" si="15"/>
        <v>1679.2135523613963</v>
      </c>
      <c r="F217" s="3">
        <f t="shared" si="16"/>
        <v>0.11841764270681154</v>
      </c>
      <c r="G217" s="2">
        <f t="shared" si="17"/>
        <v>189.80463425715584</v>
      </c>
      <c r="H217" s="3">
        <f t="shared" si="18"/>
        <v>7.5568475570016558E-2</v>
      </c>
      <c r="J217" s="3">
        <f t="shared" si="19"/>
        <v>0.11313039527487506</v>
      </c>
    </row>
    <row r="218" spans="1:10" x14ac:dyDescent="0.2">
      <c r="A218" s="1">
        <v>42034</v>
      </c>
      <c r="B218">
        <v>8044.29</v>
      </c>
      <c r="C218">
        <v>4.8099999999999996</v>
      </c>
      <c r="D218">
        <v>42.61</v>
      </c>
      <c r="E218" s="2">
        <f t="shared" si="15"/>
        <v>1674.8765957446808</v>
      </c>
      <c r="F218" s="3">
        <f t="shared" si="16"/>
        <v>0.11809957901547596</v>
      </c>
      <c r="G218" s="2">
        <f t="shared" si="17"/>
        <v>190.49079897507571</v>
      </c>
      <c r="H218" s="3">
        <f t="shared" si="18"/>
        <v>7.8021085283737968E-2</v>
      </c>
      <c r="J218" s="3">
        <f t="shared" si="19"/>
        <v>0.1134404845096669</v>
      </c>
    </row>
    <row r="219" spans="1:10" x14ac:dyDescent="0.2">
      <c r="A219" s="1">
        <v>42027</v>
      </c>
      <c r="B219">
        <v>8090.08</v>
      </c>
      <c r="C219">
        <v>4.82</v>
      </c>
      <c r="D219">
        <v>42.72</v>
      </c>
      <c r="E219" s="2">
        <f t="shared" si="15"/>
        <v>1672.4095634095636</v>
      </c>
      <c r="F219" s="3">
        <f t="shared" si="16"/>
        <v>0.11320704021061712</v>
      </c>
      <c r="G219" s="2">
        <f t="shared" si="17"/>
        <v>189.45655836341757</v>
      </c>
      <c r="H219" s="3">
        <f t="shared" si="18"/>
        <v>6.3324319818751196E-2</v>
      </c>
      <c r="J219" s="3">
        <f t="shared" si="19"/>
        <v>0.1131167268351384</v>
      </c>
    </row>
    <row r="220" spans="1:10" x14ac:dyDescent="0.2">
      <c r="A220" s="1">
        <v>42020</v>
      </c>
      <c r="B220">
        <v>7842.33</v>
      </c>
      <c r="C220">
        <v>4.68</v>
      </c>
      <c r="D220">
        <v>41.33</v>
      </c>
      <c r="E220" s="2">
        <f t="shared" si="15"/>
        <v>1678.4398340248961</v>
      </c>
      <c r="F220" s="3">
        <f t="shared" si="16"/>
        <v>0.11728386100629806</v>
      </c>
      <c r="G220" s="2">
        <f t="shared" si="17"/>
        <v>188.78878197606195</v>
      </c>
      <c r="H220" s="3">
        <f t="shared" si="18"/>
        <v>6.6830988494182675E-2</v>
      </c>
      <c r="J220" s="3">
        <f t="shared" si="19"/>
        <v>0.11288429946022059</v>
      </c>
    </row>
    <row r="221" spans="1:10" x14ac:dyDescent="0.2">
      <c r="A221" s="1">
        <v>42013</v>
      </c>
      <c r="B221">
        <v>7656.26</v>
      </c>
      <c r="C221">
        <v>4.57</v>
      </c>
      <c r="D221">
        <v>40.43</v>
      </c>
      <c r="E221" s="2">
        <f t="shared" si="15"/>
        <v>1675.7115384615386</v>
      </c>
      <c r="F221" s="3">
        <f t="shared" si="16"/>
        <v>0.11884386109766876</v>
      </c>
      <c r="G221" s="2">
        <f t="shared" si="17"/>
        <v>189.374531835206</v>
      </c>
      <c r="H221" s="3">
        <f t="shared" si="18"/>
        <v>6.0468831137431955E-2</v>
      </c>
      <c r="J221" s="3">
        <f t="shared" si="19"/>
        <v>0.11282771535580526</v>
      </c>
    </row>
    <row r="222" spans="1:10" x14ac:dyDescent="0.2">
      <c r="A222" s="1">
        <v>42004</v>
      </c>
      <c r="B222">
        <v>7445.9</v>
      </c>
      <c r="C222">
        <v>4.46</v>
      </c>
      <c r="D222">
        <v>39.26</v>
      </c>
      <c r="E222" s="2">
        <f t="shared" si="15"/>
        <v>1675.3304157549233</v>
      </c>
      <c r="F222" s="3">
        <f t="shared" si="16"/>
        <v>0.11916166496485237</v>
      </c>
      <c r="G222" s="2">
        <f t="shared" si="17"/>
        <v>189.74909266876361</v>
      </c>
      <c r="H222" s="3">
        <f t="shared" si="18"/>
        <v>5.4706965730680235E-2</v>
      </c>
      <c r="J222" s="3">
        <f t="shared" si="19"/>
        <v>0.11323493830147592</v>
      </c>
    </row>
    <row r="223" spans="1:10" x14ac:dyDescent="0.2">
      <c r="A223" s="1">
        <v>41999</v>
      </c>
      <c r="B223">
        <v>7531.43</v>
      </c>
      <c r="C223">
        <v>4.5</v>
      </c>
      <c r="D223">
        <v>39.67</v>
      </c>
      <c r="E223" s="2">
        <f t="shared" si="15"/>
        <v>1669.4843049327353</v>
      </c>
      <c r="F223" s="3">
        <f t="shared" si="16"/>
        <v>0.11909689018248448</v>
      </c>
      <c r="G223" s="2">
        <f t="shared" si="17"/>
        <v>189.37076428394758</v>
      </c>
      <c r="H223" s="3">
        <f t="shared" si="18"/>
        <v>5.758215447098336E-2</v>
      </c>
      <c r="J223" s="3">
        <f t="shared" si="19"/>
        <v>0.11303487509275291</v>
      </c>
    </row>
    <row r="224" spans="1:10" x14ac:dyDescent="0.2">
      <c r="A224" s="1">
        <v>41992</v>
      </c>
      <c r="B224">
        <v>7703.32</v>
      </c>
      <c r="C224">
        <v>4.66</v>
      </c>
      <c r="D224">
        <v>40.380000000000003</v>
      </c>
      <c r="E224" s="2">
        <f t="shared" si="15"/>
        <v>1673.6511111111113</v>
      </c>
      <c r="F224" s="3">
        <f t="shared" si="16"/>
        <v>0.11565485393878494</v>
      </c>
      <c r="G224" s="2">
        <f t="shared" si="17"/>
        <v>189.65613856342333</v>
      </c>
      <c r="H224" s="3">
        <f t="shared" si="18"/>
        <v>5.926713232186076E-2</v>
      </c>
      <c r="J224" s="3">
        <f t="shared" si="19"/>
        <v>0.11360163015792156</v>
      </c>
    </row>
    <row r="225" spans="1:10" x14ac:dyDescent="0.2">
      <c r="A225" s="1">
        <v>41985</v>
      </c>
      <c r="B225">
        <v>7883.83</v>
      </c>
      <c r="C225">
        <v>4.8</v>
      </c>
      <c r="D225">
        <v>41.43</v>
      </c>
      <c r="E225" s="2">
        <f t="shared" si="15"/>
        <v>1653.0729613733904</v>
      </c>
      <c r="F225" s="3">
        <f t="shared" si="16"/>
        <v>0.11969833612260272</v>
      </c>
      <c r="G225" s="2">
        <f t="shared" si="17"/>
        <v>189.85202924124022</v>
      </c>
      <c r="H225" s="3">
        <f t="shared" si="18"/>
        <v>6.0151726498497204E-2</v>
      </c>
      <c r="J225" s="3">
        <f t="shared" si="19"/>
        <v>0.11343584572724981</v>
      </c>
    </row>
    <row r="226" spans="1:10" x14ac:dyDescent="0.2">
      <c r="A226" s="1">
        <v>41978</v>
      </c>
      <c r="B226">
        <v>7833.25</v>
      </c>
      <c r="C226">
        <v>4.76</v>
      </c>
      <c r="D226">
        <v>41.09</v>
      </c>
      <c r="E226" s="2">
        <f t="shared" si="15"/>
        <v>1642.4645833333334</v>
      </c>
      <c r="F226" s="3">
        <f t="shared" si="16"/>
        <v>0.10630961663281036</v>
      </c>
      <c r="G226" s="2">
        <f t="shared" si="17"/>
        <v>190.77067855373946</v>
      </c>
      <c r="H226" s="3">
        <f t="shared" si="18"/>
        <v>6.2935629337129484E-2</v>
      </c>
      <c r="J226" s="3">
        <f t="shared" si="19"/>
        <v>0.11540366518078256</v>
      </c>
    </row>
    <row r="227" spans="1:10" x14ac:dyDescent="0.2">
      <c r="A227" s="1">
        <v>41971</v>
      </c>
      <c r="B227">
        <v>7762.94</v>
      </c>
      <c r="C227">
        <v>4.7300000000000004</v>
      </c>
      <c r="D227">
        <v>40.79</v>
      </c>
      <c r="E227" s="2">
        <f t="shared" si="15"/>
        <v>1645.6407563025211</v>
      </c>
      <c r="F227" s="3">
        <f t="shared" si="16"/>
        <v>0.10110923365085966</v>
      </c>
      <c r="G227" s="2">
        <f t="shared" si="17"/>
        <v>190.29278300748251</v>
      </c>
      <c r="H227" s="3">
        <f t="shared" si="18"/>
        <v>6.1265455675948211E-2</v>
      </c>
      <c r="J227" s="3">
        <f t="shared" si="19"/>
        <v>0.11585807385952208</v>
      </c>
    </row>
    <row r="228" spans="1:10" x14ac:dyDescent="0.2">
      <c r="A228" s="1">
        <v>41964</v>
      </c>
      <c r="B228">
        <v>7622.29</v>
      </c>
      <c r="C228">
        <v>4.66</v>
      </c>
      <c r="D228">
        <v>40.159999999999997</v>
      </c>
      <c r="E228" s="2">
        <f t="shared" si="15"/>
        <v>1641.213530655391</v>
      </c>
      <c r="F228" s="3">
        <f t="shared" si="16"/>
        <v>0.103825107466057</v>
      </c>
      <c r="G228" s="2">
        <f t="shared" si="17"/>
        <v>190.63640788513018</v>
      </c>
      <c r="H228" s="3">
        <f t="shared" si="18"/>
        <v>6.6304436950217926E-2</v>
      </c>
      <c r="J228" s="3">
        <f t="shared" si="19"/>
        <v>0.11584327086882451</v>
      </c>
    </row>
    <row r="229" spans="1:10" x14ac:dyDescent="0.2">
      <c r="A229" s="1">
        <v>41957</v>
      </c>
      <c r="B229">
        <v>7493.97</v>
      </c>
      <c r="C229">
        <v>4.5999999999999996</v>
      </c>
      <c r="D229">
        <v>39.51</v>
      </c>
      <c r="E229" s="2">
        <f t="shared" si="15"/>
        <v>1635.6845493562232</v>
      </c>
      <c r="F229" s="3">
        <f t="shared" si="16"/>
        <v>0.10507823501956759</v>
      </c>
      <c r="G229" s="2">
        <f t="shared" si="17"/>
        <v>190.31478303505762</v>
      </c>
      <c r="H229" s="3">
        <f t="shared" si="18"/>
        <v>6.3779811273781517E-2</v>
      </c>
      <c r="J229" s="3">
        <f t="shared" si="19"/>
        <v>0.11595979406717334</v>
      </c>
    </row>
    <row r="230" spans="1:10" x14ac:dyDescent="0.2">
      <c r="A230" s="1">
        <v>41950</v>
      </c>
      <c r="B230">
        <v>7628.87</v>
      </c>
      <c r="C230">
        <v>4.68</v>
      </c>
      <c r="D230">
        <v>40.26</v>
      </c>
      <c r="E230" s="2">
        <f t="shared" si="15"/>
        <v>1629.1239130434785</v>
      </c>
      <c r="F230" s="3">
        <f t="shared" si="16"/>
        <v>9.722172414951924E-2</v>
      </c>
      <c r="G230" s="2">
        <f t="shared" si="17"/>
        <v>189.79805776892431</v>
      </c>
      <c r="H230" s="3">
        <f t="shared" si="18"/>
        <v>6.2103685295278321E-2</v>
      </c>
      <c r="J230" s="3">
        <f t="shared" si="19"/>
        <v>0.11603585657370519</v>
      </c>
    </row>
    <row r="231" spans="1:10" x14ac:dyDescent="0.2">
      <c r="A231" s="1">
        <v>41943</v>
      </c>
      <c r="B231">
        <v>7778.63</v>
      </c>
      <c r="C231">
        <v>4.79</v>
      </c>
      <c r="D231">
        <v>41.13</v>
      </c>
      <c r="E231" s="2">
        <f t="shared" si="15"/>
        <v>1630.1004273504275</v>
      </c>
      <c r="F231" s="3">
        <f t="shared" si="16"/>
        <v>9.5820467853165781E-2</v>
      </c>
      <c r="G231" s="2">
        <f t="shared" si="17"/>
        <v>189.67274107820808</v>
      </c>
      <c r="H231" s="3">
        <f t="shared" si="18"/>
        <v>6.1014144186132491E-2</v>
      </c>
      <c r="J231" s="3">
        <f t="shared" si="19"/>
        <v>0.1164262212098203</v>
      </c>
    </row>
    <row r="232" spans="1:10" x14ac:dyDescent="0.2">
      <c r="A232" s="1">
        <v>41936</v>
      </c>
      <c r="B232">
        <v>7556.87</v>
      </c>
      <c r="C232">
        <v>4.8</v>
      </c>
      <c r="D232">
        <v>41.08</v>
      </c>
      <c r="E232" s="2">
        <f t="shared" si="15"/>
        <v>1623.9311064718163</v>
      </c>
      <c r="F232" s="3">
        <f t="shared" si="16"/>
        <v>9.4113521200144712E-2</v>
      </c>
      <c r="G232" s="2">
        <f t="shared" si="17"/>
        <v>189.49006458022853</v>
      </c>
      <c r="H232" s="3">
        <f t="shared" si="18"/>
        <v>5.461944722031542E-2</v>
      </c>
      <c r="J232" s="3">
        <f t="shared" si="19"/>
        <v>0.11624441132637854</v>
      </c>
    </row>
    <row r="233" spans="1:10" x14ac:dyDescent="0.2">
      <c r="A233" s="1">
        <v>41929</v>
      </c>
      <c r="B233">
        <v>7787.97</v>
      </c>
      <c r="C233">
        <v>4.99</v>
      </c>
      <c r="D233">
        <v>42.31</v>
      </c>
      <c r="E233" s="2">
        <f t="shared" si="15"/>
        <v>1574.3479166666666</v>
      </c>
      <c r="F233" s="3">
        <f t="shared" si="16"/>
        <v>9.1527602887438997E-2</v>
      </c>
      <c r="G233" s="2">
        <f t="shared" si="17"/>
        <v>189.12302455628495</v>
      </c>
      <c r="H233" s="3">
        <f t="shared" si="18"/>
        <v>5.4293206387618032E-2</v>
      </c>
      <c r="J233" s="3">
        <f t="shared" si="19"/>
        <v>0.11646000486263068</v>
      </c>
    </row>
    <row r="234" spans="1:10" x14ac:dyDescent="0.2">
      <c r="A234" s="1">
        <v>41922</v>
      </c>
      <c r="B234">
        <v>7790.16</v>
      </c>
      <c r="C234">
        <v>4.99</v>
      </c>
      <c r="D234">
        <v>42.19</v>
      </c>
      <c r="E234" s="2">
        <f t="shared" si="15"/>
        <v>1560.7154308617235</v>
      </c>
      <c r="F234" s="3">
        <f t="shared" si="16"/>
        <v>5.7820631877748774E-2</v>
      </c>
      <c r="G234" s="2">
        <f t="shared" si="17"/>
        <v>183.95496592015579</v>
      </c>
      <c r="H234" s="3">
        <f t="shared" si="18"/>
        <v>5.2190567062671223E-2</v>
      </c>
      <c r="J234" s="3">
        <f t="shared" si="19"/>
        <v>0.11684518013631938</v>
      </c>
    </row>
    <row r="235" spans="1:10" x14ac:dyDescent="0.2">
      <c r="A235" s="1">
        <v>41912</v>
      </c>
      <c r="B235">
        <v>7547.96</v>
      </c>
      <c r="C235">
        <v>4.84</v>
      </c>
      <c r="D235">
        <v>40.93</v>
      </c>
      <c r="E235" s="2">
        <f t="shared" si="15"/>
        <v>1561.1543086172344</v>
      </c>
      <c r="F235" s="3">
        <f t="shared" si="16"/>
        <v>4.7673443332684418E-2</v>
      </c>
      <c r="G235" s="2">
        <f t="shared" si="17"/>
        <v>184.06925076813991</v>
      </c>
      <c r="H235" s="3">
        <f t="shared" si="18"/>
        <v>5.1351469268195782E-2</v>
      </c>
      <c r="J235" s="3">
        <f t="shared" si="19"/>
        <v>0.11793902150791775</v>
      </c>
    </row>
    <row r="236" spans="1:10" x14ac:dyDescent="0.2">
      <c r="A236" s="1">
        <v>41908</v>
      </c>
      <c r="B236">
        <v>7443.12</v>
      </c>
      <c r="C236">
        <v>4.7699999999999996</v>
      </c>
      <c r="D236">
        <v>40.07</v>
      </c>
      <c r="E236" s="2">
        <f t="shared" si="15"/>
        <v>1559.4958677685952</v>
      </c>
      <c r="F236" s="3">
        <f t="shared" si="16"/>
        <v>7.7228981749238423E-2</v>
      </c>
      <c r="G236" s="2">
        <f t="shared" si="17"/>
        <v>184.64470253614601</v>
      </c>
      <c r="H236" s="3">
        <f t="shared" si="18"/>
        <v>2.1159893039907063E-2</v>
      </c>
      <c r="J236" s="3">
        <f t="shared" si="19"/>
        <v>0.11827447262384452</v>
      </c>
    </row>
    <row r="237" spans="1:10" x14ac:dyDescent="0.2">
      <c r="A237" s="1">
        <v>41901</v>
      </c>
      <c r="B237">
        <v>7378.1</v>
      </c>
      <c r="C237">
        <v>4.74</v>
      </c>
      <c r="D237">
        <v>39.520000000000003</v>
      </c>
      <c r="E237" s="2">
        <f t="shared" si="15"/>
        <v>1560.4025157232707</v>
      </c>
      <c r="F237" s="3">
        <f t="shared" si="16"/>
        <v>8.4031035005781129E-2</v>
      </c>
      <c r="G237" s="2">
        <f t="shared" si="17"/>
        <v>184.4114341558759</v>
      </c>
      <c r="H237" s="3">
        <f t="shared" si="18"/>
        <v>2.2508422484087687E-2</v>
      </c>
      <c r="J237" s="3">
        <f t="shared" si="19"/>
        <v>0.11825067187881749</v>
      </c>
    </row>
    <row r="238" spans="1:10" x14ac:dyDescent="0.2">
      <c r="A238" s="1">
        <v>41894</v>
      </c>
      <c r="B238">
        <v>7286.39</v>
      </c>
      <c r="C238">
        <v>4.68</v>
      </c>
      <c r="D238">
        <v>39.03</v>
      </c>
      <c r="E238" s="2">
        <f t="shared" si="15"/>
        <v>1556.5611814345991</v>
      </c>
      <c r="F238" s="3">
        <f t="shared" si="16"/>
        <v>8.7551256477849781E-2</v>
      </c>
      <c r="G238" s="2">
        <f t="shared" si="17"/>
        <v>185.75293236835537</v>
      </c>
      <c r="H238" s="3">
        <f t="shared" si="18"/>
        <v>6.2968711936135291E-2</v>
      </c>
      <c r="J238" s="3">
        <f t="shared" si="19"/>
        <v>0.11904167706513601</v>
      </c>
    </row>
    <row r="239" spans="1:10" x14ac:dyDescent="0.2">
      <c r="A239" s="1">
        <v>41887</v>
      </c>
      <c r="B239">
        <v>7222.44</v>
      </c>
      <c r="C239">
        <v>4.6500000000000004</v>
      </c>
      <c r="D239">
        <v>38.72</v>
      </c>
      <c r="E239" s="2">
        <f t="shared" si="15"/>
        <v>1556.9209401709404</v>
      </c>
      <c r="F239" s="3">
        <f t="shared" si="16"/>
        <v>8.4086855074039679E-2</v>
      </c>
      <c r="G239" s="2">
        <f t="shared" si="17"/>
        <v>186.69281376518219</v>
      </c>
      <c r="H239" s="3">
        <f t="shared" si="18"/>
        <v>6.2829991294749199E-2</v>
      </c>
      <c r="J239" s="3">
        <f t="shared" si="19"/>
        <v>0.11993927125506072</v>
      </c>
    </row>
    <row r="240" spans="1:10" x14ac:dyDescent="0.2">
      <c r="A240" s="1">
        <v>41880</v>
      </c>
      <c r="B240">
        <v>6938.69</v>
      </c>
      <c r="C240">
        <v>4.49</v>
      </c>
      <c r="D240">
        <v>37.32</v>
      </c>
      <c r="E240" s="2">
        <f t="shared" si="15"/>
        <v>1553.2129032258063</v>
      </c>
      <c r="F240" s="3">
        <f t="shared" si="16"/>
        <v>8.2083751282698403E-2</v>
      </c>
      <c r="G240" s="2">
        <f t="shared" si="17"/>
        <v>186.68690750704587</v>
      </c>
      <c r="H240" s="3">
        <f t="shared" si="18"/>
        <v>6.9508302160641078E-2</v>
      </c>
      <c r="J240" s="3">
        <f t="shared" si="19"/>
        <v>0.11990776325903151</v>
      </c>
    </row>
    <row r="241" spans="1:10" x14ac:dyDescent="0.2">
      <c r="A241" s="1">
        <v>41873</v>
      </c>
      <c r="B241">
        <v>7097.6</v>
      </c>
      <c r="C241">
        <v>4.6399999999999997</v>
      </c>
      <c r="D241">
        <v>38.32</v>
      </c>
      <c r="E241" s="2">
        <f t="shared" si="15"/>
        <v>1545.3652561247216</v>
      </c>
      <c r="F241" s="3">
        <f t="shared" si="16"/>
        <v>7.908005899892423E-2</v>
      </c>
      <c r="G241" s="2">
        <f t="shared" si="17"/>
        <v>186.52995867768595</v>
      </c>
      <c r="H241" s="3">
        <f t="shared" si="18"/>
        <v>7.3388629530545924E-2</v>
      </c>
      <c r="J241" s="3">
        <f t="shared" si="19"/>
        <v>0.12009297520661158</v>
      </c>
    </row>
    <row r="242" spans="1:10" x14ac:dyDescent="0.2">
      <c r="A242" s="1">
        <v>41866</v>
      </c>
      <c r="B242">
        <v>6986.89</v>
      </c>
      <c r="C242">
        <v>4.5999999999999996</v>
      </c>
      <c r="D242">
        <v>38.24</v>
      </c>
      <c r="E242" s="2">
        <f t="shared" si="15"/>
        <v>1529.6551724137933</v>
      </c>
      <c r="F242" s="3">
        <f t="shared" si="16"/>
        <v>7.2931483873434955E-2</v>
      </c>
      <c r="G242" s="2">
        <f t="shared" si="17"/>
        <v>185.92416934619507</v>
      </c>
      <c r="H242" s="3">
        <f t="shared" si="18"/>
        <v>7.2161237654511989E-2</v>
      </c>
      <c r="J242" s="3">
        <f t="shared" si="19"/>
        <v>0.12031082529474812</v>
      </c>
    </row>
    <row r="243" spans="1:10" x14ac:dyDescent="0.2">
      <c r="A243" s="1">
        <v>41859</v>
      </c>
      <c r="B243">
        <v>6901.74</v>
      </c>
      <c r="C243">
        <v>4.57</v>
      </c>
      <c r="D243">
        <v>38.07</v>
      </c>
      <c r="E243" s="2">
        <f t="shared" si="15"/>
        <v>1518.8891304347828</v>
      </c>
      <c r="F243" s="3">
        <f t="shared" si="16"/>
        <v>6.2872062640892734E-2</v>
      </c>
      <c r="G243" s="2">
        <f t="shared" si="17"/>
        <v>185.21920668058456</v>
      </c>
      <c r="H243" s="3">
        <f t="shared" si="18"/>
        <v>6.9116961863280757E-2</v>
      </c>
      <c r="J243" s="3">
        <f t="shared" si="19"/>
        <v>0.12108559498956158</v>
      </c>
    </row>
    <row r="244" spans="1:10" x14ac:dyDescent="0.2">
      <c r="A244" s="1">
        <v>41852</v>
      </c>
      <c r="B244">
        <v>6859.37</v>
      </c>
      <c r="C244">
        <v>4.55</v>
      </c>
      <c r="D244">
        <v>37.96</v>
      </c>
      <c r="E244" s="2">
        <f t="shared" si="15"/>
        <v>1510.2275711159737</v>
      </c>
      <c r="F244" s="3">
        <f t="shared" si="16"/>
        <v>4.4565255196814091E-2</v>
      </c>
      <c r="G244" s="2">
        <f t="shared" si="17"/>
        <v>182.71155857740587</v>
      </c>
      <c r="H244" s="3">
        <f t="shared" si="18"/>
        <v>6.6483288155498865E-2</v>
      </c>
      <c r="J244" s="3">
        <f t="shared" si="19"/>
        <v>0.12029288702928868</v>
      </c>
    </row>
    <row r="245" spans="1:10" x14ac:dyDescent="0.2">
      <c r="A245" s="1">
        <v>41845</v>
      </c>
      <c r="B245">
        <v>6589.38</v>
      </c>
      <c r="C245">
        <v>4.37</v>
      </c>
      <c r="D245">
        <v>36.549999999999997</v>
      </c>
      <c r="E245" s="2">
        <f t="shared" si="15"/>
        <v>1507.5538461538463</v>
      </c>
      <c r="F245" s="3">
        <f t="shared" si="16"/>
        <v>4.7293561698082964E-2</v>
      </c>
      <c r="G245" s="2">
        <f t="shared" si="17"/>
        <v>181.29078014184395</v>
      </c>
      <c r="H245" s="3">
        <f t="shared" si="18"/>
        <v>6.2264201684720799E-2</v>
      </c>
      <c r="J245" s="3">
        <f t="shared" si="19"/>
        <v>0.12004202784344629</v>
      </c>
    </row>
    <row r="246" spans="1:10" x14ac:dyDescent="0.2">
      <c r="A246" s="1">
        <v>41838</v>
      </c>
      <c r="B246">
        <v>6597.51</v>
      </c>
      <c r="C246">
        <v>4.4000000000000004</v>
      </c>
      <c r="D246">
        <v>36.619999999999997</v>
      </c>
      <c r="E246" s="2">
        <f t="shared" si="15"/>
        <v>1507.8672768878719</v>
      </c>
      <c r="F246" s="3">
        <f t="shared" si="16"/>
        <v>5.2079563719499733E-2</v>
      </c>
      <c r="G246" s="2">
        <f t="shared" si="17"/>
        <v>180.699947312961</v>
      </c>
      <c r="H246" s="3">
        <f t="shared" si="18"/>
        <v>4.6537033500400726E-2</v>
      </c>
      <c r="J246" s="3">
        <f t="shared" si="19"/>
        <v>0.11986301369863013</v>
      </c>
    </row>
    <row r="247" spans="1:10" x14ac:dyDescent="0.2">
      <c r="A247" s="1">
        <v>41831</v>
      </c>
      <c r="B247">
        <v>6651.68</v>
      </c>
      <c r="C247">
        <v>4.43</v>
      </c>
      <c r="D247">
        <v>36.880000000000003</v>
      </c>
      <c r="E247" s="2">
        <f t="shared" si="15"/>
        <v>1499.4340909090909</v>
      </c>
      <c r="F247" s="3">
        <f t="shared" si="16"/>
        <v>5.6243548983901714E-2</v>
      </c>
      <c r="G247" s="2">
        <f t="shared" si="17"/>
        <v>180.28399452804379</v>
      </c>
      <c r="H247" s="3">
        <f t="shared" si="18"/>
        <v>5.3527255448563293E-2</v>
      </c>
      <c r="J247" s="3">
        <f t="shared" si="19"/>
        <v>0.119562243502052</v>
      </c>
    </row>
    <row r="248" spans="1:10" x14ac:dyDescent="0.2">
      <c r="A248" s="1">
        <v>41824</v>
      </c>
      <c r="B248">
        <v>6751.49</v>
      </c>
      <c r="C248">
        <v>4.49</v>
      </c>
      <c r="D248">
        <v>37.51</v>
      </c>
      <c r="E248" s="2">
        <f t="shared" si="15"/>
        <v>1501.5079006772012</v>
      </c>
      <c r="F248" s="3">
        <f t="shared" si="16"/>
        <v>4.3465155821212464E-2</v>
      </c>
      <c r="G248" s="2">
        <f t="shared" si="17"/>
        <v>180.16138722009833</v>
      </c>
      <c r="H248" s="3">
        <f t="shared" si="18"/>
        <v>6.7331228503786145E-2</v>
      </c>
      <c r="J248" s="3">
        <f t="shared" si="19"/>
        <v>0.12015292190060078</v>
      </c>
    </row>
    <row r="249" spans="1:10" x14ac:dyDescent="0.2">
      <c r="A249" s="1">
        <v>41817</v>
      </c>
      <c r="B249">
        <v>6556.68</v>
      </c>
      <c r="C249">
        <v>4.3600000000000003</v>
      </c>
      <c r="D249">
        <v>36.46</v>
      </c>
      <c r="E249" s="2">
        <f t="shared" si="15"/>
        <v>1503.6726057906458</v>
      </c>
      <c r="F249" s="3">
        <f t="shared" si="16"/>
        <v>4.5719367349944751E-2</v>
      </c>
      <c r="G249" s="2">
        <f t="shared" si="17"/>
        <v>180.36008676789587</v>
      </c>
      <c r="H249" s="3">
        <f t="shared" si="18"/>
        <v>6.9818524671610316E-2</v>
      </c>
      <c r="J249" s="3">
        <f t="shared" si="19"/>
        <v>0.12011930585683296</v>
      </c>
    </row>
    <row r="250" spans="1:10" x14ac:dyDescent="0.2">
      <c r="A250" s="1">
        <v>41810</v>
      </c>
      <c r="B250">
        <v>6375.5</v>
      </c>
      <c r="C250">
        <v>4.2300000000000004</v>
      </c>
      <c r="D250">
        <v>35.51</v>
      </c>
      <c r="E250" s="2">
        <f t="shared" si="15"/>
        <v>1503.8256880733945</v>
      </c>
      <c r="F250" s="3">
        <f t="shared" si="16"/>
        <v>4.8307865691363139E-2</v>
      </c>
      <c r="G250" s="2">
        <f t="shared" si="17"/>
        <v>179.9917355371901</v>
      </c>
      <c r="H250" s="3">
        <f t="shared" si="18"/>
        <v>7.330188131122406E-2</v>
      </c>
      <c r="J250" s="3">
        <f t="shared" si="19"/>
        <v>0.11970141295654493</v>
      </c>
    </row>
    <row r="251" spans="1:10" x14ac:dyDescent="0.2">
      <c r="A251" s="1">
        <v>41803</v>
      </c>
      <c r="B251">
        <v>6545.84</v>
      </c>
      <c r="C251">
        <v>4.1900000000000004</v>
      </c>
      <c r="D251">
        <v>36.090000000000003</v>
      </c>
      <c r="E251" s="2">
        <f t="shared" si="15"/>
        <v>1507.2104018912528</v>
      </c>
      <c r="F251" s="3">
        <f t="shared" si="16"/>
        <v>4.3940178468801161E-2</v>
      </c>
      <c r="G251" s="2">
        <f t="shared" si="17"/>
        <v>179.83214481623696</v>
      </c>
      <c r="H251" s="3">
        <f t="shared" si="18"/>
        <v>7.4887804819093295E-2</v>
      </c>
      <c r="J251" s="3">
        <f t="shared" si="19"/>
        <v>0.11958310477235327</v>
      </c>
    </row>
    <row r="252" spans="1:10" x14ac:dyDescent="0.2">
      <c r="A252" s="1">
        <v>41796</v>
      </c>
      <c r="B252">
        <v>6440.22</v>
      </c>
      <c r="C252">
        <v>4.12</v>
      </c>
      <c r="D252">
        <v>35.5</v>
      </c>
      <c r="E252" s="2">
        <f t="shared" si="15"/>
        <v>1562.2529832935559</v>
      </c>
      <c r="F252" s="3">
        <f t="shared" si="16"/>
        <v>4.6377402894376418E-2</v>
      </c>
      <c r="G252" s="2">
        <f t="shared" si="17"/>
        <v>179.54097437341596</v>
      </c>
      <c r="H252" s="3">
        <f t="shared" si="18"/>
        <v>7.1793957595254199E-2</v>
      </c>
      <c r="J252" s="3">
        <f t="shared" si="19"/>
        <v>0.11912137426077163</v>
      </c>
    </row>
    <row r="253" spans="1:10" x14ac:dyDescent="0.2">
      <c r="A253" s="1">
        <v>41789</v>
      </c>
      <c r="B253">
        <v>6435.14</v>
      </c>
      <c r="C253">
        <v>4.1100000000000003</v>
      </c>
      <c r="D253">
        <v>35.479999999999997</v>
      </c>
      <c r="E253" s="2">
        <f t="shared" si="15"/>
        <v>1563.1601941747574</v>
      </c>
      <c r="F253" s="3">
        <f t="shared" si="16"/>
        <v>7.7709433461912614E-2</v>
      </c>
      <c r="G253" s="2">
        <f t="shared" si="17"/>
        <v>181.37545026323079</v>
      </c>
      <c r="H253" s="3">
        <f t="shared" si="18"/>
        <v>6.6404553056281124E-2</v>
      </c>
      <c r="J253" s="3">
        <f t="shared" si="19"/>
        <v>0.11609864228318094</v>
      </c>
    </row>
    <row r="254" spans="1:10" x14ac:dyDescent="0.2">
      <c r="A254" s="1">
        <v>41782</v>
      </c>
      <c r="B254">
        <v>6304.91</v>
      </c>
      <c r="C254">
        <v>4.0199999999999996</v>
      </c>
      <c r="D254">
        <v>34.76</v>
      </c>
      <c r="E254" s="2">
        <f t="shared" si="15"/>
        <v>1565.7274939172748</v>
      </c>
      <c r="F254" s="3">
        <f t="shared" si="16"/>
        <v>7.5459046647900374E-2</v>
      </c>
      <c r="G254" s="2">
        <f t="shared" si="17"/>
        <v>181.41464788732395</v>
      </c>
      <c r="H254" s="3">
        <f t="shared" si="18"/>
        <v>6.5663771408508875E-2</v>
      </c>
      <c r="J254" s="3">
        <f t="shared" si="19"/>
        <v>0.11605633802816902</v>
      </c>
    </row>
    <row r="255" spans="1:10" x14ac:dyDescent="0.2">
      <c r="A255" s="1">
        <v>41775</v>
      </c>
      <c r="B255">
        <v>6220.69</v>
      </c>
      <c r="C255">
        <v>3.96</v>
      </c>
      <c r="D255">
        <v>34.25</v>
      </c>
      <c r="E255" s="2">
        <f t="shared" si="15"/>
        <v>1568.3855721393036</v>
      </c>
      <c r="F255" s="3">
        <f t="shared" si="16"/>
        <v>7.5687150483525034E-2</v>
      </c>
      <c r="G255" s="2">
        <f t="shared" si="17"/>
        <v>181.37373167981966</v>
      </c>
      <c r="H255" s="3">
        <f t="shared" si="18"/>
        <v>8.0416398276080603E-2</v>
      </c>
      <c r="J255" s="3">
        <f t="shared" si="19"/>
        <v>0.11583990980834274</v>
      </c>
    </row>
    <row r="256" spans="1:10" x14ac:dyDescent="0.2">
      <c r="A256" s="1">
        <v>41768</v>
      </c>
      <c r="B256">
        <v>6285.45</v>
      </c>
      <c r="C256">
        <v>3.99</v>
      </c>
      <c r="D256">
        <v>34.56</v>
      </c>
      <c r="E256" s="2">
        <f t="shared" si="15"/>
        <v>1570.8813131313129</v>
      </c>
      <c r="F256" s="3">
        <f t="shared" si="16"/>
        <v>7.4971213459791519E-2</v>
      </c>
      <c r="G256" s="2">
        <f t="shared" si="17"/>
        <v>181.38406214039125</v>
      </c>
      <c r="H256" s="3">
        <f t="shared" si="18"/>
        <v>7.9201495957996526E-2</v>
      </c>
      <c r="J256" s="3">
        <f t="shared" si="19"/>
        <v>0.11565017261219793</v>
      </c>
    </row>
    <row r="257" spans="1:10" x14ac:dyDescent="0.2">
      <c r="A257" s="1">
        <v>41759</v>
      </c>
      <c r="B257">
        <v>6340.21</v>
      </c>
      <c r="C257">
        <v>4.03</v>
      </c>
      <c r="D257">
        <v>34.9</v>
      </c>
      <c r="E257" s="2">
        <f t="shared" si="15"/>
        <v>1575.3007518796992</v>
      </c>
      <c r="F257" s="3">
        <f t="shared" si="16"/>
        <v>7.2192798722689133E-2</v>
      </c>
      <c r="G257" s="2">
        <f t="shared" si="17"/>
        <v>181.62598540145984</v>
      </c>
      <c r="H257" s="3">
        <f t="shared" si="18"/>
        <v>7.9931688281374313E-2</v>
      </c>
      <c r="J257" s="3">
        <f t="shared" si="19"/>
        <v>0.11562043795620437</v>
      </c>
    </row>
    <row r="258" spans="1:10" x14ac:dyDescent="0.2">
      <c r="A258" s="1">
        <v>41754</v>
      </c>
      <c r="B258">
        <v>6369.51</v>
      </c>
      <c r="C258">
        <v>4.13</v>
      </c>
      <c r="D258">
        <v>34.909999999999997</v>
      </c>
      <c r="E258" s="2">
        <f t="shared" si="15"/>
        <v>1573.2531017369727</v>
      </c>
      <c r="F258" s="3">
        <f t="shared" si="16"/>
        <v>7.5157963014308438E-2</v>
      </c>
      <c r="G258" s="2">
        <f t="shared" si="17"/>
        <v>181.8706597222222</v>
      </c>
      <c r="H258" s="3">
        <f t="shared" si="18"/>
        <v>7.9031483210720177E-2</v>
      </c>
      <c r="J258" s="3">
        <f t="shared" si="19"/>
        <v>0.11545138888888888</v>
      </c>
    </row>
    <row r="259" spans="1:10" x14ac:dyDescent="0.2">
      <c r="A259" s="1">
        <v>41747</v>
      </c>
      <c r="B259">
        <v>6732.39</v>
      </c>
      <c r="C259">
        <v>4.4000000000000004</v>
      </c>
      <c r="D259">
        <v>37.659999999999997</v>
      </c>
      <c r="E259" s="2">
        <f t="shared" ref="E259:E322" si="20">B258/C258</f>
        <v>1542.2542372881358</v>
      </c>
      <c r="F259" s="3">
        <f t="shared" ref="F259:F322" si="21">E258/E308-1</f>
        <v>8.0434111297242206E-2</v>
      </c>
      <c r="G259" s="2">
        <f t="shared" si="17"/>
        <v>181.66790830945558</v>
      </c>
      <c r="H259" s="3">
        <f t="shared" si="18"/>
        <v>8.0087016072204031E-2</v>
      </c>
      <c r="J259" s="3">
        <f t="shared" si="19"/>
        <v>0.11547277936962752</v>
      </c>
    </row>
    <row r="260" spans="1:10" x14ac:dyDescent="0.2">
      <c r="A260" s="1">
        <v>41740</v>
      </c>
      <c r="B260">
        <v>6764.43</v>
      </c>
      <c r="C260">
        <v>4.42</v>
      </c>
      <c r="D260">
        <v>37.99</v>
      </c>
      <c r="E260" s="2">
        <f t="shared" si="20"/>
        <v>1530.0886363636364</v>
      </c>
      <c r="F260" s="3">
        <f t="shared" si="21"/>
        <v>5.6101408752639248E-2</v>
      </c>
      <c r="G260" s="2">
        <f t="shared" ref="G260:G323" si="22">B258/D258</f>
        <v>182.45517043826987</v>
      </c>
      <c r="H260" s="3">
        <f t="shared" ref="H260:H323" si="23">G258/G308-1</f>
        <v>8.1316407674815405E-2</v>
      </c>
      <c r="J260" s="3">
        <f t="shared" ref="J260:J323" si="24">C258/D258</f>
        <v>0.11830421082784304</v>
      </c>
    </row>
    <row r="261" spans="1:10" x14ac:dyDescent="0.2">
      <c r="A261" s="1">
        <v>41733</v>
      </c>
      <c r="B261">
        <v>6579.09</v>
      </c>
      <c r="C261">
        <v>4.32</v>
      </c>
      <c r="D261">
        <v>36.99</v>
      </c>
      <c r="E261" s="2">
        <f t="shared" si="20"/>
        <v>1530.4140271493213</v>
      </c>
      <c r="F261" s="3">
        <f t="shared" si="21"/>
        <v>4.3948233951378368E-2</v>
      </c>
      <c r="G261" s="2">
        <f t="shared" si="22"/>
        <v>178.76765799256509</v>
      </c>
      <c r="H261" s="3">
        <f t="shared" si="23"/>
        <v>6.5264692542639002E-2</v>
      </c>
      <c r="J261" s="3">
        <f t="shared" si="24"/>
        <v>0.11683483802442912</v>
      </c>
    </row>
    <row r="262" spans="1:10" x14ac:dyDescent="0.2">
      <c r="A262" s="1">
        <v>41726</v>
      </c>
      <c r="B262">
        <v>6573.01</v>
      </c>
      <c r="C262">
        <v>4.3099999999999996</v>
      </c>
      <c r="D262">
        <v>36.93</v>
      </c>
      <c r="E262" s="2">
        <f t="shared" si="20"/>
        <v>1522.9375</v>
      </c>
      <c r="F262" s="3">
        <f t="shared" si="21"/>
        <v>5.4073462347894896E-2</v>
      </c>
      <c r="G262" s="2">
        <f t="shared" si="22"/>
        <v>178.05817320347461</v>
      </c>
      <c r="H262" s="3">
        <f t="shared" si="23"/>
        <v>6.8084408874676372E-2</v>
      </c>
      <c r="J262" s="3">
        <f t="shared" si="24"/>
        <v>0.11634640694919715</v>
      </c>
    </row>
    <row r="263" spans="1:10" x14ac:dyDescent="0.2">
      <c r="A263" s="1">
        <v>41719</v>
      </c>
      <c r="B263">
        <v>6788.08</v>
      </c>
      <c r="C263">
        <v>4.51</v>
      </c>
      <c r="D263">
        <v>38.450000000000003</v>
      </c>
      <c r="E263" s="2">
        <f t="shared" si="20"/>
        <v>1525.0603248259863</v>
      </c>
      <c r="F263" s="3">
        <f t="shared" si="21"/>
        <v>7.9392717861870743E-2</v>
      </c>
      <c r="G263" s="2">
        <f t="shared" si="22"/>
        <v>177.86131386861314</v>
      </c>
      <c r="H263" s="3">
        <f t="shared" si="23"/>
        <v>4.6432898713862913E-2</v>
      </c>
      <c r="J263" s="3">
        <f t="shared" si="24"/>
        <v>0.11678832116788321</v>
      </c>
    </row>
    <row r="264" spans="1:10" x14ac:dyDescent="0.2">
      <c r="A264" s="1">
        <v>41712</v>
      </c>
      <c r="B264">
        <v>6774.88</v>
      </c>
      <c r="C264">
        <v>4.5</v>
      </c>
      <c r="D264">
        <v>38.450000000000003</v>
      </c>
      <c r="E264" s="2">
        <f t="shared" si="20"/>
        <v>1505.1175166297119</v>
      </c>
      <c r="F264" s="3">
        <f t="shared" si="21"/>
        <v>8.2795947359201927E-2</v>
      </c>
      <c r="G264" s="2">
        <f t="shared" si="22"/>
        <v>177.98564852423505</v>
      </c>
      <c r="H264" s="3">
        <f t="shared" si="23"/>
        <v>7.9704423759773269E-2</v>
      </c>
      <c r="J264" s="3">
        <f t="shared" si="24"/>
        <v>0.11670728405090711</v>
      </c>
    </row>
    <row r="265" spans="1:10" x14ac:dyDescent="0.2">
      <c r="A265" s="1">
        <v>41705</v>
      </c>
      <c r="B265">
        <v>6870.51</v>
      </c>
      <c r="C265">
        <v>4.58</v>
      </c>
      <c r="D265">
        <v>38.49</v>
      </c>
      <c r="E265" s="2">
        <f t="shared" si="20"/>
        <v>1505.528888888889</v>
      </c>
      <c r="F265" s="3">
        <f t="shared" si="21"/>
        <v>6.9628502101992673E-2</v>
      </c>
      <c r="G265" s="2">
        <f t="shared" si="22"/>
        <v>176.54304291287386</v>
      </c>
      <c r="H265" s="3">
        <f t="shared" si="23"/>
        <v>8.6968466864270066E-2</v>
      </c>
      <c r="J265" s="3">
        <f t="shared" si="24"/>
        <v>0.11729518855656695</v>
      </c>
    </row>
    <row r="266" spans="1:10" x14ac:dyDescent="0.2">
      <c r="A266" s="1">
        <v>41698</v>
      </c>
      <c r="B266">
        <v>6833.4</v>
      </c>
      <c r="C266">
        <v>4.55</v>
      </c>
      <c r="D266">
        <v>38.270000000000003</v>
      </c>
      <c r="E266" s="2">
        <f t="shared" si="20"/>
        <v>1500.1113537117903</v>
      </c>
      <c r="F266" s="3">
        <f t="shared" si="21"/>
        <v>7.5498317067244969E-2</v>
      </c>
      <c r="G266" s="2">
        <f t="shared" si="22"/>
        <v>176.19973992197657</v>
      </c>
      <c r="H266" s="3">
        <f t="shared" si="23"/>
        <v>7.430326749640459E-2</v>
      </c>
      <c r="J266" s="3">
        <f t="shared" si="24"/>
        <v>0.11703511053315994</v>
      </c>
    </row>
    <row r="267" spans="1:10" x14ac:dyDescent="0.2">
      <c r="A267" s="1">
        <v>41691</v>
      </c>
      <c r="B267">
        <v>7101.48</v>
      </c>
      <c r="C267">
        <v>4.72</v>
      </c>
      <c r="D267">
        <v>39.75</v>
      </c>
      <c r="E267" s="2">
        <f t="shared" si="20"/>
        <v>1501.8461538461538</v>
      </c>
      <c r="F267" s="3">
        <f t="shared" si="21"/>
        <v>8.8024095035380778E-2</v>
      </c>
      <c r="G267" s="2">
        <f t="shared" si="22"/>
        <v>178.50116913484021</v>
      </c>
      <c r="H267" s="3">
        <f t="shared" si="23"/>
        <v>7.6606075349394009E-2</v>
      </c>
      <c r="J267" s="3">
        <f t="shared" si="24"/>
        <v>0.1189919459599896</v>
      </c>
    </row>
    <row r="268" spans="1:10" x14ac:dyDescent="0.2">
      <c r="A268" s="1">
        <v>41684</v>
      </c>
      <c r="B268">
        <v>7020.24</v>
      </c>
      <c r="C268">
        <v>4.6900000000000004</v>
      </c>
      <c r="D268">
        <v>39.22</v>
      </c>
      <c r="E268" s="2">
        <f t="shared" si="20"/>
        <v>1504.550847457627</v>
      </c>
      <c r="F268" s="3">
        <f t="shared" si="21"/>
        <v>9.0933760256469265E-2</v>
      </c>
      <c r="G268" s="2">
        <f t="shared" si="22"/>
        <v>178.55761693232296</v>
      </c>
      <c r="H268" s="3">
        <f t="shared" si="23"/>
        <v>8.655911812198025E-2</v>
      </c>
      <c r="J268" s="3">
        <f t="shared" si="24"/>
        <v>0.11889208257120458</v>
      </c>
    </row>
    <row r="269" spans="1:10" x14ac:dyDescent="0.2">
      <c r="A269" s="1">
        <v>41677</v>
      </c>
      <c r="B269">
        <v>6750.7</v>
      </c>
      <c r="C269">
        <v>4.5</v>
      </c>
      <c r="D269">
        <v>37.700000000000003</v>
      </c>
      <c r="E269" s="2">
        <f t="shared" si="20"/>
        <v>1496.8528784648186</v>
      </c>
      <c r="F269" s="3">
        <f t="shared" si="21"/>
        <v>9.9539359856794629E-2</v>
      </c>
      <c r="G269" s="2">
        <f t="shared" si="22"/>
        <v>178.65358490566035</v>
      </c>
      <c r="H269" s="3">
        <f t="shared" si="23"/>
        <v>0.1000174950543169</v>
      </c>
      <c r="J269" s="3">
        <f t="shared" si="24"/>
        <v>0.11874213836477987</v>
      </c>
    </row>
    <row r="270" spans="1:10" x14ac:dyDescent="0.2">
      <c r="A270" s="1">
        <v>41669</v>
      </c>
      <c r="B270">
        <v>6722.84</v>
      </c>
      <c r="C270">
        <v>4.49</v>
      </c>
      <c r="D270">
        <v>37.53</v>
      </c>
      <c r="E270" s="2">
        <f t="shared" si="20"/>
        <v>1500.1555555555556</v>
      </c>
      <c r="F270" s="3">
        <f t="shared" si="21"/>
        <v>9.3369405807286698E-2</v>
      </c>
      <c r="G270" s="2">
        <f t="shared" si="22"/>
        <v>178.9964303926568</v>
      </c>
      <c r="H270" s="3">
        <f t="shared" si="23"/>
        <v>0.10598840803707255</v>
      </c>
      <c r="J270" s="3">
        <f t="shared" si="24"/>
        <v>0.11958184599694036</v>
      </c>
    </row>
    <row r="271" spans="1:10" x14ac:dyDescent="0.2">
      <c r="A271" s="1">
        <v>41663</v>
      </c>
      <c r="B271">
        <v>6721.7</v>
      </c>
      <c r="C271">
        <v>4.49</v>
      </c>
      <c r="D271">
        <v>37.630000000000003</v>
      </c>
      <c r="E271" s="2">
        <f t="shared" si="20"/>
        <v>1497.2917594654789</v>
      </c>
      <c r="F271" s="3">
        <f t="shared" si="21"/>
        <v>9.9358869844144992E-2</v>
      </c>
      <c r="G271" s="2">
        <f t="shared" si="22"/>
        <v>179.06366047745357</v>
      </c>
      <c r="H271" s="3">
        <f t="shared" si="23"/>
        <v>0.12313386308384011</v>
      </c>
      <c r="J271" s="3">
        <f t="shared" si="24"/>
        <v>0.11936339522546419</v>
      </c>
    </row>
    <row r="272" spans="1:10" x14ac:dyDescent="0.2">
      <c r="A272" s="1">
        <v>41656</v>
      </c>
      <c r="B272">
        <v>6539.34</v>
      </c>
      <c r="C272">
        <v>4.37</v>
      </c>
      <c r="D272">
        <v>36.65</v>
      </c>
      <c r="E272" s="2">
        <f t="shared" si="20"/>
        <v>1497.0378619153673</v>
      </c>
      <c r="F272" s="3">
        <f t="shared" si="21"/>
        <v>9.3277464961488699E-2</v>
      </c>
      <c r="G272" s="2">
        <f t="shared" si="22"/>
        <v>179.13242739142021</v>
      </c>
      <c r="H272" s="3">
        <f t="shared" si="23"/>
        <v>0.1289338561556721</v>
      </c>
      <c r="J272" s="3">
        <f t="shared" si="24"/>
        <v>0.11963762323474554</v>
      </c>
    </row>
    <row r="273" spans="1:10" x14ac:dyDescent="0.2">
      <c r="A273" s="1">
        <v>41649</v>
      </c>
      <c r="B273">
        <v>6517.04</v>
      </c>
      <c r="C273">
        <v>4.3600000000000003</v>
      </c>
      <c r="D273">
        <v>36.43</v>
      </c>
      <c r="E273" s="2">
        <f t="shared" si="20"/>
        <v>1496.41647597254</v>
      </c>
      <c r="F273" s="3">
        <f t="shared" si="21"/>
        <v>9.9711738069524047E-2</v>
      </c>
      <c r="G273" s="2">
        <f t="shared" si="22"/>
        <v>178.62609619984053</v>
      </c>
      <c r="H273" s="3">
        <f t="shared" si="23"/>
        <v>0.13613300450367549</v>
      </c>
      <c r="J273" s="3">
        <f t="shared" si="24"/>
        <v>0.11931969173531756</v>
      </c>
    </row>
    <row r="274" spans="1:10" x14ac:dyDescent="0.2">
      <c r="A274" s="1">
        <v>41642</v>
      </c>
      <c r="B274">
        <v>6709.06</v>
      </c>
      <c r="C274">
        <v>4.49</v>
      </c>
      <c r="D274">
        <v>37.5</v>
      </c>
      <c r="E274" s="2">
        <f t="shared" si="20"/>
        <v>1494.7339449541282</v>
      </c>
      <c r="F274" s="3">
        <f t="shared" si="21"/>
        <v>0.10252947023507342</v>
      </c>
      <c r="G274" s="2">
        <f t="shared" si="22"/>
        <v>178.42673942701228</v>
      </c>
      <c r="H274" s="3">
        <f t="shared" si="23"/>
        <v>0.13784127227624232</v>
      </c>
      <c r="J274" s="3">
        <f t="shared" si="24"/>
        <v>0.11923601637107777</v>
      </c>
    </row>
    <row r="275" spans="1:10" x14ac:dyDescent="0.2">
      <c r="A275" s="1">
        <v>41635</v>
      </c>
      <c r="B275">
        <v>6563.24</v>
      </c>
      <c r="C275">
        <v>4.4000000000000004</v>
      </c>
      <c r="D275">
        <v>36.69</v>
      </c>
      <c r="E275" s="2">
        <f t="shared" si="20"/>
        <v>1494.2227171492204</v>
      </c>
      <c r="F275" s="3">
        <f t="shared" si="21"/>
        <v>0.1027946242804052</v>
      </c>
      <c r="G275" s="2">
        <f t="shared" si="22"/>
        <v>178.89212187757343</v>
      </c>
      <c r="H275" s="3">
        <f t="shared" si="23"/>
        <v>0.13830163891375657</v>
      </c>
      <c r="J275" s="3">
        <f t="shared" si="24"/>
        <v>0.11968158111446611</v>
      </c>
    </row>
    <row r="276" spans="1:10" x14ac:dyDescent="0.2">
      <c r="A276" s="1">
        <v>41628</v>
      </c>
      <c r="B276">
        <v>6380.85</v>
      </c>
      <c r="C276">
        <v>4.28</v>
      </c>
      <c r="D276">
        <v>35.549999999999997</v>
      </c>
      <c r="E276" s="2">
        <f t="shared" si="20"/>
        <v>1491.6454545454544</v>
      </c>
      <c r="F276" s="3">
        <f t="shared" si="21"/>
        <v>0.10217645961464039</v>
      </c>
      <c r="G276" s="2">
        <f t="shared" si="22"/>
        <v>178.90826666666669</v>
      </c>
      <c r="H276" s="3">
        <f t="shared" si="23"/>
        <v>0.13866664477658852</v>
      </c>
      <c r="J276" s="3">
        <f t="shared" si="24"/>
        <v>0.11973333333333334</v>
      </c>
    </row>
    <row r="277" spans="1:10" x14ac:dyDescent="0.2">
      <c r="A277" s="1">
        <v>41621</v>
      </c>
      <c r="B277">
        <v>6475.28</v>
      </c>
      <c r="C277">
        <v>4.3600000000000003</v>
      </c>
      <c r="D277">
        <v>36.1</v>
      </c>
      <c r="E277" s="2">
        <f t="shared" si="20"/>
        <v>1490.8528037383178</v>
      </c>
      <c r="F277" s="3">
        <f t="shared" si="21"/>
        <v>0.10101931049578305</v>
      </c>
      <c r="G277" s="2">
        <f t="shared" si="22"/>
        <v>178.88361951485419</v>
      </c>
      <c r="H277" s="3">
        <f t="shared" si="23"/>
        <v>0.14197919822757421</v>
      </c>
      <c r="J277" s="3">
        <f t="shared" si="24"/>
        <v>0.11992368492777325</v>
      </c>
    </row>
    <row r="278" spans="1:10" x14ac:dyDescent="0.2">
      <c r="A278" s="1">
        <v>41614</v>
      </c>
      <c r="B278">
        <v>6469.86</v>
      </c>
      <c r="C278">
        <v>4.34</v>
      </c>
      <c r="D278">
        <v>35.950000000000003</v>
      </c>
      <c r="E278" s="2">
        <f t="shared" si="20"/>
        <v>1485.1559633027521</v>
      </c>
      <c r="F278" s="3">
        <f t="shared" si="21"/>
        <v>8.9221538026554414E-2</v>
      </c>
      <c r="G278" s="2">
        <f t="shared" si="22"/>
        <v>179.48945147679328</v>
      </c>
      <c r="H278" s="3">
        <f t="shared" si="23"/>
        <v>0.14335863088217859</v>
      </c>
      <c r="J278" s="3">
        <f t="shared" si="24"/>
        <v>0.12039381153305205</v>
      </c>
    </row>
    <row r="279" spans="1:10" x14ac:dyDescent="0.2">
      <c r="A279" s="1">
        <v>41607</v>
      </c>
      <c r="B279">
        <v>6541.35</v>
      </c>
      <c r="C279">
        <v>4.4000000000000004</v>
      </c>
      <c r="D279">
        <v>36.36</v>
      </c>
      <c r="E279" s="2">
        <f t="shared" si="20"/>
        <v>1490.7511520737328</v>
      </c>
      <c r="F279" s="3">
        <f t="shared" si="21"/>
        <v>9.1396247242478301E-2</v>
      </c>
      <c r="G279" s="2">
        <f t="shared" si="22"/>
        <v>179.37063711911355</v>
      </c>
      <c r="H279" s="3">
        <f t="shared" si="23"/>
        <v>0.14445585134225536</v>
      </c>
      <c r="J279" s="3">
        <f t="shared" si="24"/>
        <v>0.12077562326869806</v>
      </c>
    </row>
    <row r="280" spans="1:10" x14ac:dyDescent="0.2">
      <c r="A280" s="1">
        <v>41600</v>
      </c>
      <c r="B280">
        <v>6332</v>
      </c>
      <c r="C280">
        <v>4.25</v>
      </c>
      <c r="D280">
        <v>35.159999999999997</v>
      </c>
      <c r="E280" s="2">
        <f t="shared" si="20"/>
        <v>1486.6704545454545</v>
      </c>
      <c r="F280" s="3">
        <f t="shared" si="21"/>
        <v>8.8501737815436909E-2</v>
      </c>
      <c r="G280" s="2">
        <f t="shared" si="22"/>
        <v>179.96828929068147</v>
      </c>
      <c r="H280" s="3">
        <f t="shared" si="23"/>
        <v>0.13958624779976803</v>
      </c>
      <c r="J280" s="3">
        <f t="shared" si="24"/>
        <v>0.1207232267037552</v>
      </c>
    </row>
    <row r="281" spans="1:10" x14ac:dyDescent="0.2">
      <c r="A281" s="1">
        <v>41593</v>
      </c>
      <c r="B281">
        <v>6322.98</v>
      </c>
      <c r="C281">
        <v>4.25</v>
      </c>
      <c r="D281">
        <v>35.15</v>
      </c>
      <c r="E281" s="2">
        <f t="shared" si="20"/>
        <v>1489.8823529411766</v>
      </c>
      <c r="F281" s="3">
        <f t="shared" si="21"/>
        <v>8.7737749768194817E-2</v>
      </c>
      <c r="G281" s="2">
        <f t="shared" si="22"/>
        <v>179.90511551155117</v>
      </c>
      <c r="H281" s="3">
        <f t="shared" si="23"/>
        <v>0.13786550574084222</v>
      </c>
      <c r="J281" s="3">
        <f t="shared" si="24"/>
        <v>0.12101210121012103</v>
      </c>
    </row>
    <row r="282" spans="1:10" x14ac:dyDescent="0.2">
      <c r="A282" s="1">
        <v>41586</v>
      </c>
      <c r="B282">
        <v>6027.59</v>
      </c>
      <c r="C282">
        <v>4.05</v>
      </c>
      <c r="D282">
        <v>33.46</v>
      </c>
      <c r="E282" s="2">
        <f t="shared" si="20"/>
        <v>1487.76</v>
      </c>
      <c r="F282" s="3">
        <f t="shared" si="21"/>
        <v>9.0925041684613239E-2</v>
      </c>
      <c r="G282" s="2">
        <f t="shared" si="22"/>
        <v>180.09101251422072</v>
      </c>
      <c r="H282" s="3">
        <f t="shared" si="23"/>
        <v>0.13706086631056924</v>
      </c>
      <c r="J282" s="3">
        <f t="shared" si="24"/>
        <v>0.1208759954493743</v>
      </c>
    </row>
    <row r="283" spans="1:10" x14ac:dyDescent="0.2">
      <c r="A283" s="1">
        <v>41579</v>
      </c>
      <c r="B283">
        <v>6331.21</v>
      </c>
      <c r="C283">
        <v>4.25</v>
      </c>
      <c r="D283">
        <v>35.17</v>
      </c>
      <c r="E283" s="2">
        <f t="shared" si="20"/>
        <v>1488.2938271604939</v>
      </c>
      <c r="F283" s="3">
        <f t="shared" si="21"/>
        <v>8.8565947859671645E-2</v>
      </c>
      <c r="G283" s="2">
        <f t="shared" si="22"/>
        <v>179.88563300142246</v>
      </c>
      <c r="H283" s="3">
        <f t="shared" si="23"/>
        <v>0.13776696505960229</v>
      </c>
      <c r="J283" s="3">
        <f t="shared" si="24"/>
        <v>0.12091038406827881</v>
      </c>
    </row>
    <row r="284" spans="1:10" x14ac:dyDescent="0.2">
      <c r="A284" s="1">
        <v>41572</v>
      </c>
      <c r="B284">
        <v>6507.05</v>
      </c>
      <c r="C284">
        <v>4.49</v>
      </c>
      <c r="D284">
        <v>37.46</v>
      </c>
      <c r="E284" s="2">
        <f t="shared" si="20"/>
        <v>1489.6964705882353</v>
      </c>
      <c r="F284" s="3">
        <f t="shared" si="21"/>
        <v>8.7656039399240271E-2</v>
      </c>
      <c r="G284" s="2">
        <f t="shared" si="22"/>
        <v>180.14315600717273</v>
      </c>
      <c r="H284" s="3">
        <f t="shared" si="23"/>
        <v>0.14109147455778426</v>
      </c>
      <c r="J284" s="3">
        <f t="shared" si="24"/>
        <v>0.12104004781829049</v>
      </c>
    </row>
    <row r="285" spans="1:10" x14ac:dyDescent="0.2">
      <c r="A285" s="1">
        <v>41565</v>
      </c>
      <c r="B285">
        <v>6718.3</v>
      </c>
      <c r="C285">
        <v>4.67</v>
      </c>
      <c r="D285">
        <v>38.72</v>
      </c>
      <c r="E285" s="2">
        <f t="shared" si="20"/>
        <v>1449.2316258351893</v>
      </c>
      <c r="F285" s="3">
        <f t="shared" si="21"/>
        <v>8.6886101134801885E-2</v>
      </c>
      <c r="G285" s="2">
        <f t="shared" si="22"/>
        <v>180.01734432755188</v>
      </c>
      <c r="H285" s="3">
        <f t="shared" si="23"/>
        <v>0.13709489287027266</v>
      </c>
      <c r="J285" s="3">
        <f t="shared" si="24"/>
        <v>0.12084162638612453</v>
      </c>
    </row>
    <row r="286" spans="1:10" x14ac:dyDescent="0.2">
      <c r="A286" s="1">
        <v>41558</v>
      </c>
      <c r="B286">
        <v>6815.23</v>
      </c>
      <c r="C286">
        <v>4.75</v>
      </c>
      <c r="D286">
        <v>39.24</v>
      </c>
      <c r="E286" s="2">
        <f t="shared" si="20"/>
        <v>1438.6081370449679</v>
      </c>
      <c r="F286" s="3">
        <f t="shared" si="21"/>
        <v>5.7598992831261686E-2</v>
      </c>
      <c r="G286" s="2">
        <f t="shared" si="22"/>
        <v>173.70662039508809</v>
      </c>
      <c r="H286" s="3">
        <f t="shared" si="23"/>
        <v>0.13842953047416073</v>
      </c>
      <c r="J286" s="3">
        <f t="shared" si="24"/>
        <v>0.1198611852642819</v>
      </c>
    </row>
    <row r="287" spans="1:10" x14ac:dyDescent="0.2">
      <c r="A287" s="1">
        <v>41547</v>
      </c>
      <c r="B287">
        <v>6805.82</v>
      </c>
      <c r="C287">
        <v>4.74</v>
      </c>
      <c r="D287">
        <v>39.130000000000003</v>
      </c>
      <c r="E287" s="2">
        <f t="shared" si="20"/>
        <v>1434.7852631578946</v>
      </c>
      <c r="F287" s="3">
        <f t="shared" si="21"/>
        <v>6.6290597320920241E-2</v>
      </c>
      <c r="G287" s="2">
        <f t="shared" si="22"/>
        <v>173.50981404958679</v>
      </c>
      <c r="H287" s="3">
        <f t="shared" si="23"/>
        <v>0.13632173934106206</v>
      </c>
      <c r="J287" s="3">
        <f t="shared" si="24"/>
        <v>0.12060950413223141</v>
      </c>
    </row>
    <row r="288" spans="1:10" x14ac:dyDescent="0.2">
      <c r="A288" s="1">
        <v>41544</v>
      </c>
      <c r="B288">
        <v>6776.83</v>
      </c>
      <c r="C288">
        <v>4.71</v>
      </c>
      <c r="D288">
        <v>38.92</v>
      </c>
      <c r="E288" s="2">
        <f t="shared" si="20"/>
        <v>1435.8270042194092</v>
      </c>
      <c r="F288" s="3">
        <f t="shared" si="21"/>
        <v>7.6201638639482594E-2</v>
      </c>
      <c r="G288" s="2">
        <f t="shared" si="22"/>
        <v>173.68068297655452</v>
      </c>
      <c r="H288" s="3">
        <f t="shared" si="23"/>
        <v>9.5882302222384475E-2</v>
      </c>
      <c r="J288" s="3">
        <f t="shared" si="24"/>
        <v>0.12104994903160041</v>
      </c>
    </row>
    <row r="289" spans="1:10" x14ac:dyDescent="0.2">
      <c r="A289" s="1">
        <v>41535</v>
      </c>
      <c r="B289">
        <v>6448.45</v>
      </c>
      <c r="C289">
        <v>4.4800000000000004</v>
      </c>
      <c r="D289">
        <v>36.96</v>
      </c>
      <c r="E289" s="2">
        <f t="shared" si="20"/>
        <v>1438.8174097664544</v>
      </c>
      <c r="F289" s="3">
        <f t="shared" si="21"/>
        <v>8.9614284082143225E-2</v>
      </c>
      <c r="G289" s="2">
        <f t="shared" si="22"/>
        <v>173.92844364937386</v>
      </c>
      <c r="H289" s="3">
        <f t="shared" si="23"/>
        <v>4.9032380670152476E-2</v>
      </c>
      <c r="J289" s="3">
        <f t="shared" si="24"/>
        <v>0.12113467927421416</v>
      </c>
    </row>
    <row r="290" spans="1:10" x14ac:dyDescent="0.2">
      <c r="A290" s="1">
        <v>41530</v>
      </c>
      <c r="B290">
        <v>6380.62</v>
      </c>
      <c r="C290">
        <v>4.43</v>
      </c>
      <c r="D290">
        <v>36.6</v>
      </c>
      <c r="E290" s="2">
        <f t="shared" si="20"/>
        <v>1439.3861607142856</v>
      </c>
      <c r="F290" s="3">
        <f t="shared" si="21"/>
        <v>9.2166662796603793E-2</v>
      </c>
      <c r="G290" s="2">
        <f t="shared" si="22"/>
        <v>174.12204522096607</v>
      </c>
      <c r="H290" s="3">
        <f t="shared" si="23"/>
        <v>7.0839900538762768E-2</v>
      </c>
      <c r="J290" s="3">
        <f t="shared" si="24"/>
        <v>0.12101747173689618</v>
      </c>
    </row>
    <row r="291" spans="1:10" x14ac:dyDescent="0.2">
      <c r="A291" s="1">
        <v>41523</v>
      </c>
      <c r="B291">
        <v>6461.88</v>
      </c>
      <c r="C291">
        <v>4.49</v>
      </c>
      <c r="D291">
        <v>37.06</v>
      </c>
      <c r="E291" s="2">
        <f t="shared" si="20"/>
        <v>1440.3205417607223</v>
      </c>
      <c r="F291" s="3">
        <f t="shared" si="21"/>
        <v>9.2541770532129641E-2</v>
      </c>
      <c r="G291" s="2">
        <f t="shared" si="22"/>
        <v>174.47104978354977</v>
      </c>
      <c r="H291" s="3">
        <f t="shared" si="23"/>
        <v>6.5323601683211718E-2</v>
      </c>
      <c r="J291" s="3">
        <f t="shared" si="24"/>
        <v>0.12121212121212122</v>
      </c>
    </row>
    <row r="292" spans="1:10" x14ac:dyDescent="0.2">
      <c r="A292" s="1">
        <v>41516</v>
      </c>
      <c r="B292">
        <v>6325.28</v>
      </c>
      <c r="C292">
        <v>4.3499999999999996</v>
      </c>
      <c r="D292">
        <v>36.229999999999997</v>
      </c>
      <c r="E292" s="2">
        <f t="shared" si="20"/>
        <v>1439.1714922048998</v>
      </c>
      <c r="F292" s="3">
        <f t="shared" si="21"/>
        <v>9.3963636016327845E-2</v>
      </c>
      <c r="G292" s="2">
        <f t="shared" si="22"/>
        <v>174.33387978142076</v>
      </c>
      <c r="H292" s="3">
        <f t="shared" si="23"/>
        <v>6.5228816952592528E-2</v>
      </c>
      <c r="J292" s="3">
        <f t="shared" si="24"/>
        <v>0.1210382513661202</v>
      </c>
    </row>
    <row r="293" spans="1:10" x14ac:dyDescent="0.2">
      <c r="A293" s="1">
        <v>41509</v>
      </c>
      <c r="B293">
        <v>6489.13</v>
      </c>
      <c r="C293">
        <v>4.5</v>
      </c>
      <c r="D293">
        <v>37.71</v>
      </c>
      <c r="E293" s="2">
        <f t="shared" si="20"/>
        <v>1454.0873563218393</v>
      </c>
      <c r="F293" s="3">
        <f t="shared" si="21"/>
        <v>9.4257077957102142E-2</v>
      </c>
      <c r="G293" s="2">
        <f t="shared" si="22"/>
        <v>174.36265515380464</v>
      </c>
      <c r="H293" s="3">
        <f t="shared" si="23"/>
        <v>6.8554919739079345E-2</v>
      </c>
      <c r="J293" s="3">
        <f t="shared" si="24"/>
        <v>0.1211548839719374</v>
      </c>
    </row>
    <row r="294" spans="1:10" x14ac:dyDescent="0.2">
      <c r="A294" s="1">
        <v>41502</v>
      </c>
      <c r="B294">
        <v>6333.54</v>
      </c>
      <c r="C294">
        <v>4.42</v>
      </c>
      <c r="D294">
        <v>37.409999999999997</v>
      </c>
      <c r="E294" s="2">
        <f t="shared" si="20"/>
        <v>1442.028888888889</v>
      </c>
      <c r="F294" s="3">
        <f t="shared" si="21"/>
        <v>0.10583471853051041</v>
      </c>
      <c r="G294" s="2">
        <f t="shared" si="22"/>
        <v>174.58680651393874</v>
      </c>
      <c r="H294" s="3">
        <f t="shared" si="23"/>
        <v>6.8997115475881277E-2</v>
      </c>
      <c r="J294" s="3">
        <f t="shared" si="24"/>
        <v>0.12006624344465912</v>
      </c>
    </row>
    <row r="295" spans="1:10" x14ac:dyDescent="0.2">
      <c r="A295" s="1">
        <v>41495</v>
      </c>
      <c r="B295">
        <v>6723.88</v>
      </c>
      <c r="C295">
        <v>4.71</v>
      </c>
      <c r="D295">
        <v>39.9</v>
      </c>
      <c r="E295" s="2">
        <f t="shared" si="20"/>
        <v>1432.9276018099547</v>
      </c>
      <c r="F295" s="3">
        <f t="shared" si="21"/>
        <v>0.1103565061679268</v>
      </c>
      <c r="G295" s="2">
        <f t="shared" si="22"/>
        <v>172.07981967647839</v>
      </c>
      <c r="H295" s="3">
        <f t="shared" si="23"/>
        <v>7.0314223687388377E-2</v>
      </c>
      <c r="J295" s="3">
        <f t="shared" si="24"/>
        <v>0.11933174224343675</v>
      </c>
    </row>
    <row r="296" spans="1:10" x14ac:dyDescent="0.2">
      <c r="A296" s="1">
        <v>41488</v>
      </c>
      <c r="B296">
        <v>6509.5</v>
      </c>
      <c r="C296">
        <v>4.53</v>
      </c>
      <c r="D296">
        <v>38.78</v>
      </c>
      <c r="E296" s="2">
        <f t="shared" si="20"/>
        <v>1427.5753715498938</v>
      </c>
      <c r="F296" s="3">
        <f t="shared" si="21"/>
        <v>0.11866139476054194</v>
      </c>
      <c r="G296" s="2">
        <f t="shared" si="22"/>
        <v>169.3007217321572</v>
      </c>
      <c r="H296" s="3">
        <f t="shared" si="23"/>
        <v>7.1331539164384505E-2</v>
      </c>
      <c r="J296" s="3">
        <f t="shared" si="24"/>
        <v>0.11815022721197542</v>
      </c>
    </row>
    <row r="297" spans="1:10" x14ac:dyDescent="0.2">
      <c r="A297" s="1">
        <v>41481</v>
      </c>
      <c r="B297">
        <v>6518.81</v>
      </c>
      <c r="C297">
        <v>4.54</v>
      </c>
      <c r="D297">
        <v>38.85</v>
      </c>
      <c r="E297" s="2">
        <f t="shared" si="20"/>
        <v>1436.9757174392935</v>
      </c>
      <c r="F297" s="3">
        <f t="shared" si="21"/>
        <v>0.12083473166466718</v>
      </c>
      <c r="G297" s="2">
        <f t="shared" si="22"/>
        <v>168.51829573934839</v>
      </c>
      <c r="H297" s="3">
        <f t="shared" si="23"/>
        <v>3.6724420971700367E-2</v>
      </c>
      <c r="J297" s="3">
        <f t="shared" si="24"/>
        <v>0.1180451127819549</v>
      </c>
    </row>
    <row r="298" spans="1:10" x14ac:dyDescent="0.2">
      <c r="A298" s="1">
        <v>41474</v>
      </c>
      <c r="B298">
        <v>6253.9</v>
      </c>
      <c r="C298">
        <v>4.3600000000000003</v>
      </c>
      <c r="D298">
        <v>37.24</v>
      </c>
      <c r="E298" s="2">
        <f t="shared" si="20"/>
        <v>1435.8612334801762</v>
      </c>
      <c r="F298" s="3">
        <f t="shared" si="21"/>
        <v>0.13146103368344675</v>
      </c>
      <c r="G298" s="2">
        <f t="shared" si="22"/>
        <v>167.85714285714286</v>
      </c>
      <c r="H298" s="3">
        <f t="shared" si="23"/>
        <v>1.9986205883286701E-2</v>
      </c>
      <c r="J298" s="3">
        <f t="shared" si="24"/>
        <v>0.11681279009798866</v>
      </c>
    </row>
    <row r="299" spans="1:10" x14ac:dyDescent="0.2">
      <c r="A299" s="1">
        <v>41467</v>
      </c>
      <c r="B299">
        <v>6295.11</v>
      </c>
      <c r="C299">
        <v>4.37</v>
      </c>
      <c r="D299">
        <v>37.33</v>
      </c>
      <c r="E299" s="2">
        <f t="shared" si="20"/>
        <v>1434.380733944954</v>
      </c>
      <c r="F299" s="3">
        <f t="shared" si="21"/>
        <v>0.13177516979635717</v>
      </c>
      <c r="G299" s="2">
        <f t="shared" si="22"/>
        <v>167.7943371943372</v>
      </c>
      <c r="H299" s="3">
        <f t="shared" si="23"/>
        <v>2.2863392815753558E-2</v>
      </c>
      <c r="J299" s="3">
        <f t="shared" si="24"/>
        <v>0.11685971685971686</v>
      </c>
    </row>
    <row r="300" spans="1:10" x14ac:dyDescent="0.2">
      <c r="A300" s="1">
        <v>41460</v>
      </c>
      <c r="B300">
        <v>6107.33</v>
      </c>
      <c r="C300">
        <v>4.24</v>
      </c>
      <c r="D300">
        <v>36.25</v>
      </c>
      <c r="E300" s="2">
        <f t="shared" si="20"/>
        <v>1440.5286041189929</v>
      </c>
      <c r="F300" s="3">
        <f t="shared" si="21"/>
        <v>0.13242164592050076</v>
      </c>
      <c r="G300" s="2">
        <f t="shared" si="22"/>
        <v>167.93501611170782</v>
      </c>
      <c r="H300" s="3">
        <f t="shared" si="23"/>
        <v>3.0379672010534486E-2</v>
      </c>
      <c r="J300" s="3">
        <f t="shared" si="24"/>
        <v>0.11707841031149302</v>
      </c>
    </row>
    <row r="301" spans="1:10" x14ac:dyDescent="0.2">
      <c r="A301" s="1">
        <v>41453</v>
      </c>
      <c r="B301">
        <v>5798.42</v>
      </c>
      <c r="C301">
        <v>4</v>
      </c>
      <c r="D301">
        <v>34.54</v>
      </c>
      <c r="E301" s="2">
        <f t="shared" si="20"/>
        <v>1440.4080188679245</v>
      </c>
      <c r="F301" s="3">
        <f t="shared" si="21"/>
        <v>0.13583852182383538</v>
      </c>
      <c r="G301" s="2">
        <f t="shared" si="22"/>
        <v>168.63407447093491</v>
      </c>
      <c r="H301" s="3">
        <f t="shared" si="23"/>
        <v>3.0719430309638307E-2</v>
      </c>
      <c r="J301" s="3">
        <f t="shared" si="24"/>
        <v>0.11706402357353336</v>
      </c>
    </row>
    <row r="302" spans="1:10" x14ac:dyDescent="0.2">
      <c r="A302" s="1">
        <v>41446</v>
      </c>
      <c r="B302">
        <v>6002.88</v>
      </c>
      <c r="C302">
        <v>4.13</v>
      </c>
      <c r="D302">
        <v>35.71</v>
      </c>
      <c r="E302" s="2">
        <f t="shared" si="20"/>
        <v>1449.605</v>
      </c>
      <c r="F302" s="3">
        <f t="shared" si="21"/>
        <v>0.13328941942680816</v>
      </c>
      <c r="G302" s="2">
        <f t="shared" si="22"/>
        <v>168.47806896551725</v>
      </c>
      <c r="H302" s="3">
        <f t="shared" si="23"/>
        <v>3.5546757697001885E-2</v>
      </c>
      <c r="J302" s="3">
        <f t="shared" si="24"/>
        <v>0.11696551724137931</v>
      </c>
    </row>
    <row r="303" spans="1:10" x14ac:dyDescent="0.2">
      <c r="A303" s="1">
        <v>41439</v>
      </c>
      <c r="B303">
        <v>6157.02</v>
      </c>
      <c r="C303">
        <v>4.2300000000000004</v>
      </c>
      <c r="D303">
        <v>36.659999999999997</v>
      </c>
      <c r="E303" s="2">
        <f t="shared" si="20"/>
        <v>1453.4818401937046</v>
      </c>
      <c r="F303" s="3">
        <f t="shared" si="21"/>
        <v>0.11171621722265956</v>
      </c>
      <c r="G303" s="2">
        <f t="shared" si="22"/>
        <v>167.87550665894616</v>
      </c>
      <c r="H303" s="3">
        <f t="shared" si="23"/>
        <v>3.5561444674013343E-2</v>
      </c>
      <c r="J303" s="3">
        <f t="shared" si="24"/>
        <v>0.11580775911986103</v>
      </c>
    </row>
    <row r="304" spans="1:10" x14ac:dyDescent="0.2">
      <c r="A304" s="1">
        <v>41432</v>
      </c>
      <c r="B304">
        <v>6098.63</v>
      </c>
      <c r="C304">
        <v>4.18</v>
      </c>
      <c r="D304">
        <v>36.28</v>
      </c>
      <c r="E304" s="2">
        <f t="shared" si="20"/>
        <v>1455.5602836879432</v>
      </c>
      <c r="F304" s="3">
        <f t="shared" si="21"/>
        <v>0.11226775380099419</v>
      </c>
      <c r="G304" s="2">
        <f t="shared" si="22"/>
        <v>168.10081209745169</v>
      </c>
      <c r="H304" s="3">
        <f t="shared" si="23"/>
        <v>3.2609550562750611E-2</v>
      </c>
      <c r="J304" s="3">
        <f t="shared" si="24"/>
        <v>0.11565387846541585</v>
      </c>
    </row>
    <row r="305" spans="1:10" x14ac:dyDescent="0.2">
      <c r="A305" s="1">
        <v>41425</v>
      </c>
      <c r="B305">
        <v>6475.79</v>
      </c>
      <c r="C305">
        <v>4.42</v>
      </c>
      <c r="D305">
        <v>38.51</v>
      </c>
      <c r="E305" s="2">
        <f t="shared" si="20"/>
        <v>1459.0023923444978</v>
      </c>
      <c r="F305" s="3">
        <f t="shared" si="21"/>
        <v>0.11313084965878839</v>
      </c>
      <c r="G305" s="2">
        <f t="shared" si="22"/>
        <v>167.94926350245501</v>
      </c>
      <c r="H305" s="3">
        <f t="shared" si="23"/>
        <v>3.4017883241261204E-2</v>
      </c>
      <c r="J305" s="3">
        <f t="shared" si="24"/>
        <v>0.1153846153846154</v>
      </c>
    </row>
    <row r="306" spans="1:10" x14ac:dyDescent="0.2">
      <c r="A306" s="1">
        <v>41418</v>
      </c>
      <c r="B306">
        <v>6241.67</v>
      </c>
      <c r="C306">
        <v>4.26</v>
      </c>
      <c r="D306">
        <v>37.11</v>
      </c>
      <c r="E306" s="2">
        <f t="shared" si="20"/>
        <v>1465.1108597285067</v>
      </c>
      <c r="F306" s="3">
        <f t="shared" si="21"/>
        <v>0.11070743540619121</v>
      </c>
      <c r="G306" s="2">
        <f t="shared" si="22"/>
        <v>168.09895259095921</v>
      </c>
      <c r="H306" s="3">
        <f t="shared" si="23"/>
        <v>3.4593195016558553E-2</v>
      </c>
      <c r="J306" s="3">
        <f t="shared" si="24"/>
        <v>0.11521499448732082</v>
      </c>
    </row>
    <row r="307" spans="1:10" x14ac:dyDescent="0.2">
      <c r="A307" s="1">
        <v>41411</v>
      </c>
      <c r="B307">
        <v>6246.8</v>
      </c>
      <c r="C307">
        <v>4.29</v>
      </c>
      <c r="D307">
        <v>36.630000000000003</v>
      </c>
      <c r="E307" s="2">
        <f t="shared" si="20"/>
        <v>1465.180751173709</v>
      </c>
      <c r="F307" s="3">
        <f t="shared" si="21"/>
        <v>0.10997416649228819</v>
      </c>
      <c r="G307" s="2">
        <f t="shared" si="22"/>
        <v>168.15866008828877</v>
      </c>
      <c r="H307" s="3">
        <f t="shared" si="23"/>
        <v>3.2899128817240442E-2</v>
      </c>
      <c r="J307" s="3">
        <f t="shared" si="24"/>
        <v>0.11477538301739808</v>
      </c>
    </row>
    <row r="308" spans="1:10" x14ac:dyDescent="0.2">
      <c r="A308" s="1">
        <v>41404</v>
      </c>
      <c r="B308">
        <v>6147.98</v>
      </c>
      <c r="C308">
        <v>4.21</v>
      </c>
      <c r="D308">
        <v>35.99</v>
      </c>
      <c r="E308" s="2">
        <f t="shared" si="20"/>
        <v>1456.1305361305363</v>
      </c>
      <c r="F308" s="3">
        <f t="shared" si="21"/>
        <v>0.10755933520253946</v>
      </c>
      <c r="G308" s="2">
        <f t="shared" si="22"/>
        <v>168.19374831581786</v>
      </c>
      <c r="H308" s="3">
        <f t="shared" si="23"/>
        <v>3.48115556837294E-2</v>
      </c>
      <c r="J308" s="3">
        <f t="shared" si="24"/>
        <v>0.11479385610347614</v>
      </c>
    </row>
    <row r="309" spans="1:10" x14ac:dyDescent="0.2">
      <c r="A309" s="1">
        <v>41397</v>
      </c>
      <c r="B309">
        <v>5994.61</v>
      </c>
      <c r="C309">
        <v>4.09</v>
      </c>
      <c r="D309">
        <v>35.090000000000003</v>
      </c>
      <c r="E309" s="2">
        <f t="shared" si="20"/>
        <v>1460.3277909738717</v>
      </c>
      <c r="F309" s="3">
        <f t="shared" si="21"/>
        <v>9.8102268991812513E-2</v>
      </c>
      <c r="G309" s="2">
        <f t="shared" si="22"/>
        <v>170.53781053781054</v>
      </c>
      <c r="H309" s="3">
        <f t="shared" si="23"/>
        <v>3.497478534623033E-2</v>
      </c>
      <c r="J309" s="3">
        <f t="shared" si="24"/>
        <v>0.11711711711711711</v>
      </c>
    </row>
    <row r="310" spans="1:10" x14ac:dyDescent="0.2">
      <c r="A310" s="1">
        <v>41390</v>
      </c>
      <c r="B310">
        <v>5778.58</v>
      </c>
      <c r="C310">
        <v>3.98</v>
      </c>
      <c r="D310">
        <v>35.04</v>
      </c>
      <c r="E310" s="2">
        <f t="shared" si="20"/>
        <v>1465.6748166259169</v>
      </c>
      <c r="F310" s="3">
        <f t="shared" si="21"/>
        <v>0.10059749856718692</v>
      </c>
      <c r="G310" s="2">
        <f t="shared" si="22"/>
        <v>170.82467352042232</v>
      </c>
      <c r="H310" s="3">
        <f t="shared" si="23"/>
        <v>3.6017576643180949E-2</v>
      </c>
      <c r="J310" s="3">
        <f t="shared" si="24"/>
        <v>0.11697693803834398</v>
      </c>
    </row>
    <row r="311" spans="1:10" x14ac:dyDescent="0.2">
      <c r="A311" s="1">
        <v>41383</v>
      </c>
      <c r="B311">
        <v>5869.43</v>
      </c>
      <c r="C311">
        <v>4.16</v>
      </c>
      <c r="D311">
        <v>35.869999999999997</v>
      </c>
      <c r="E311" s="2">
        <f t="shared" si="20"/>
        <v>1451.9045226130654</v>
      </c>
      <c r="F311" s="3">
        <f t="shared" si="21"/>
        <v>9.7756000985040892E-2</v>
      </c>
      <c r="G311" s="2">
        <f t="shared" si="22"/>
        <v>170.83528070675405</v>
      </c>
      <c r="H311" s="3">
        <f t="shared" si="23"/>
        <v>4.8638202821010168E-2</v>
      </c>
      <c r="J311" s="3">
        <f t="shared" si="24"/>
        <v>0.11655742376745511</v>
      </c>
    </row>
    <row r="312" spans="1:10" x14ac:dyDescent="0.2">
      <c r="A312" s="1">
        <v>41376</v>
      </c>
      <c r="B312">
        <v>5676.04</v>
      </c>
      <c r="C312">
        <v>4.03</v>
      </c>
      <c r="D312">
        <v>34.26</v>
      </c>
      <c r="E312" s="2">
        <f t="shared" si="20"/>
        <v>1410.9206730769231</v>
      </c>
      <c r="F312" s="3">
        <f t="shared" si="21"/>
        <v>6.7207021258237853E-2</v>
      </c>
      <c r="G312" s="2">
        <f t="shared" si="22"/>
        <v>164.91381278538813</v>
      </c>
      <c r="H312" s="3">
        <f t="shared" si="23"/>
        <v>4.9625505651311963E-2</v>
      </c>
      <c r="J312" s="3">
        <f t="shared" si="24"/>
        <v>0.11358447488584475</v>
      </c>
    </row>
    <row r="313" spans="1:10" x14ac:dyDescent="0.2">
      <c r="A313" s="1">
        <v>41367</v>
      </c>
      <c r="B313">
        <v>5811.49</v>
      </c>
      <c r="C313">
        <v>4.13</v>
      </c>
      <c r="D313">
        <v>35.44</v>
      </c>
      <c r="E313" s="2">
        <f t="shared" si="20"/>
        <v>1408.4466501240695</v>
      </c>
      <c r="F313" s="3">
        <f t="shared" si="21"/>
        <v>6.5053078187561342E-2</v>
      </c>
      <c r="G313" s="2">
        <f t="shared" si="22"/>
        <v>163.6306105380541</v>
      </c>
      <c r="H313" s="3">
        <f t="shared" si="23"/>
        <v>4.8552612066759426E-2</v>
      </c>
      <c r="J313" s="3">
        <f t="shared" si="24"/>
        <v>0.11597435182603849</v>
      </c>
    </row>
    <row r="314" spans="1:10" x14ac:dyDescent="0.2">
      <c r="A314" s="1">
        <v>41362</v>
      </c>
      <c r="B314">
        <v>5977.33</v>
      </c>
      <c r="C314">
        <v>4.2699999999999996</v>
      </c>
      <c r="D314">
        <v>36.86</v>
      </c>
      <c r="E314" s="2">
        <f t="shared" si="20"/>
        <v>1407.1404358353511</v>
      </c>
      <c r="F314" s="3">
        <f t="shared" si="21"/>
        <v>6.5875497464869204E-2</v>
      </c>
      <c r="G314" s="2">
        <f t="shared" si="22"/>
        <v>165.67542323409225</v>
      </c>
      <c r="H314" s="3">
        <f t="shared" si="23"/>
        <v>-8.6479467528453036E-3</v>
      </c>
      <c r="J314" s="3">
        <f t="shared" si="24"/>
        <v>0.11762988908347929</v>
      </c>
    </row>
    <row r="315" spans="1:10" x14ac:dyDescent="0.2">
      <c r="A315" s="1">
        <v>41355</v>
      </c>
      <c r="B315">
        <v>6025.13</v>
      </c>
      <c r="C315">
        <v>4.37</v>
      </c>
      <c r="D315">
        <v>37.130000000000003</v>
      </c>
      <c r="E315" s="2">
        <f t="shared" si="20"/>
        <v>1399.8430913348948</v>
      </c>
      <c r="F315" s="3">
        <f t="shared" si="21"/>
        <v>6.6433775378877291E-2</v>
      </c>
      <c r="G315" s="2">
        <f t="shared" si="22"/>
        <v>163.98109480812641</v>
      </c>
      <c r="H315" s="3">
        <f t="shared" si="23"/>
        <v>-1.2203198953769534E-2</v>
      </c>
      <c r="J315" s="3">
        <f t="shared" si="24"/>
        <v>0.11653498871331829</v>
      </c>
    </row>
    <row r="316" spans="1:10" x14ac:dyDescent="0.2">
      <c r="A316" s="1">
        <v>41348</v>
      </c>
      <c r="B316">
        <v>5850.81</v>
      </c>
      <c r="C316">
        <v>4.25</v>
      </c>
      <c r="D316">
        <v>36.24</v>
      </c>
      <c r="E316" s="2">
        <f t="shared" si="20"/>
        <v>1378.7482837528605</v>
      </c>
      <c r="F316" s="3">
        <f t="shared" si="21"/>
        <v>6.0531147208782832E-2</v>
      </c>
      <c r="G316" s="2">
        <f t="shared" si="22"/>
        <v>162.16304937601737</v>
      </c>
      <c r="H316" s="3">
        <f t="shared" si="23"/>
        <v>-1.6899626350398878E-2</v>
      </c>
      <c r="J316" s="3">
        <f t="shared" si="24"/>
        <v>0.11584373304395007</v>
      </c>
    </row>
    <row r="317" spans="1:10" x14ac:dyDescent="0.2">
      <c r="A317" s="1">
        <v>41341</v>
      </c>
      <c r="B317">
        <v>5883.89</v>
      </c>
      <c r="C317">
        <v>4.3</v>
      </c>
      <c r="D317">
        <v>36.99</v>
      </c>
      <c r="E317" s="2">
        <f t="shared" si="20"/>
        <v>1376.6611764705883</v>
      </c>
      <c r="F317" s="3">
        <f t="shared" si="21"/>
        <v>5.6853323463209371E-2</v>
      </c>
      <c r="G317" s="2">
        <f t="shared" si="22"/>
        <v>162.27120926474549</v>
      </c>
      <c r="H317" s="3">
        <f t="shared" si="23"/>
        <v>-2.8581561077009376E-2</v>
      </c>
      <c r="J317" s="3">
        <f t="shared" si="24"/>
        <v>0.11769458658766496</v>
      </c>
    </row>
    <row r="318" spans="1:10" x14ac:dyDescent="0.2">
      <c r="A318" s="1">
        <v>41334</v>
      </c>
      <c r="B318">
        <v>5955.27</v>
      </c>
      <c r="C318">
        <v>4.3499999999999996</v>
      </c>
      <c r="D318">
        <v>37.56</v>
      </c>
      <c r="E318" s="2">
        <f t="shared" si="20"/>
        <v>1368.3465116279071</v>
      </c>
      <c r="F318" s="3">
        <f t="shared" si="21"/>
        <v>5.519969514855716E-2</v>
      </c>
      <c r="G318" s="2">
        <f t="shared" si="22"/>
        <v>161.44619205298014</v>
      </c>
      <c r="H318" s="3">
        <f t="shared" si="23"/>
        <v>-4.3292453630857652E-2</v>
      </c>
      <c r="J318" s="3">
        <f t="shared" si="24"/>
        <v>0.1172737306843267</v>
      </c>
    </row>
    <row r="319" spans="1:10" x14ac:dyDescent="0.2">
      <c r="A319" s="1">
        <v>41327</v>
      </c>
      <c r="B319">
        <v>5785.79</v>
      </c>
      <c r="C319">
        <v>4.24</v>
      </c>
      <c r="D319">
        <v>36.71</v>
      </c>
      <c r="E319" s="2">
        <f t="shared" si="20"/>
        <v>1369.0275862068968</v>
      </c>
      <c r="F319" s="3">
        <f t="shared" si="21"/>
        <v>5.1392201144440763E-2</v>
      </c>
      <c r="G319" s="2">
        <f t="shared" si="22"/>
        <v>159.06704514733713</v>
      </c>
      <c r="H319" s="3">
        <f t="shared" si="23"/>
        <v>-5.0683901616360827E-2</v>
      </c>
      <c r="J319" s="3">
        <f t="shared" si="24"/>
        <v>0.11624763449580967</v>
      </c>
    </row>
    <row r="320" spans="1:10" x14ac:dyDescent="0.2">
      <c r="A320" s="1">
        <v>41313</v>
      </c>
      <c r="B320">
        <v>5738.39</v>
      </c>
      <c r="C320">
        <v>4.1900000000000004</v>
      </c>
      <c r="D320">
        <v>36.450000000000003</v>
      </c>
      <c r="E320" s="2">
        <f t="shared" si="20"/>
        <v>1364.5731132075471</v>
      </c>
      <c r="F320" s="3">
        <f t="shared" si="21"/>
        <v>5.3973484697372287E-2</v>
      </c>
      <c r="G320" s="2">
        <f t="shared" si="22"/>
        <v>158.55351437699682</v>
      </c>
      <c r="H320" s="3">
        <f t="shared" si="23"/>
        <v>-5.8589812436261934E-2</v>
      </c>
      <c r="J320" s="3">
        <f t="shared" si="24"/>
        <v>0.11581469648562298</v>
      </c>
    </row>
    <row r="321" spans="1:10" x14ac:dyDescent="0.2">
      <c r="A321" s="1">
        <v>41306</v>
      </c>
      <c r="B321">
        <v>5486.04</v>
      </c>
      <c r="C321">
        <v>4.03</v>
      </c>
      <c r="D321">
        <v>34.96</v>
      </c>
      <c r="E321" s="2">
        <f t="shared" si="20"/>
        <v>1369.5441527446301</v>
      </c>
      <c r="F321" s="3">
        <f t="shared" si="21"/>
        <v>5.238917629924611E-2</v>
      </c>
      <c r="G321" s="2">
        <f t="shared" si="22"/>
        <v>157.60800871697086</v>
      </c>
      <c r="H321" s="3">
        <f t="shared" si="23"/>
        <v>-6.9569330120677453E-2</v>
      </c>
      <c r="J321" s="3">
        <f t="shared" si="24"/>
        <v>0.11549986379733043</v>
      </c>
    </row>
    <row r="322" spans="1:10" x14ac:dyDescent="0.2">
      <c r="A322" s="1">
        <v>41299</v>
      </c>
      <c r="B322">
        <v>5374.74</v>
      </c>
      <c r="C322">
        <v>3.96</v>
      </c>
      <c r="D322">
        <v>34.299999999999997</v>
      </c>
      <c r="E322" s="2">
        <f t="shared" si="20"/>
        <v>1361.3002481389576</v>
      </c>
      <c r="F322" s="3">
        <f t="shared" si="21"/>
        <v>5.7295516854577233E-2</v>
      </c>
      <c r="G322" s="2">
        <f t="shared" si="22"/>
        <v>157.43182441700961</v>
      </c>
      <c r="H322" s="3">
        <f t="shared" si="23"/>
        <v>-7.0758706324867804E-2</v>
      </c>
      <c r="J322" s="3">
        <f t="shared" si="24"/>
        <v>0.1149519890260631</v>
      </c>
    </row>
    <row r="323" spans="1:10" x14ac:dyDescent="0.2">
      <c r="A323" s="1">
        <v>41292</v>
      </c>
      <c r="B323">
        <v>5380.96</v>
      </c>
      <c r="C323">
        <v>3.97</v>
      </c>
      <c r="D323">
        <v>34.35</v>
      </c>
      <c r="E323" s="2">
        <f t="shared" ref="E323:E386" si="25">B322/C322</f>
        <v>1357.2575757575758</v>
      </c>
      <c r="F323" s="3">
        <f t="shared" ref="F323:F386" si="26">E322/E372-1</f>
        <v>5.0603257656412159E-2</v>
      </c>
      <c r="G323" s="2">
        <f t="shared" si="22"/>
        <v>156.9233409610984</v>
      </c>
      <c r="H323" s="3">
        <f t="shared" si="23"/>
        <v>-7.3961702882626046E-2</v>
      </c>
      <c r="J323" s="3">
        <f t="shared" si="24"/>
        <v>0.1152745995423341</v>
      </c>
    </row>
    <row r="324" spans="1:10" x14ac:dyDescent="0.2">
      <c r="A324" s="1">
        <v>41285</v>
      </c>
      <c r="B324">
        <v>5002.54</v>
      </c>
      <c r="C324">
        <v>3.69</v>
      </c>
      <c r="D324">
        <v>31.97</v>
      </c>
      <c r="E324" s="2">
        <f t="shared" si="25"/>
        <v>1355.4055415617129</v>
      </c>
      <c r="F324" s="3">
        <f t="shared" si="26"/>
        <v>4.8734236186086077E-2</v>
      </c>
      <c r="G324" s="2">
        <f t="shared" ref="G324:G387" si="27">B322/D322</f>
        <v>156.69795918367348</v>
      </c>
      <c r="H324" s="3">
        <f t="shared" ref="H324:H387" si="28">G322/G372-1</f>
        <v>-7.5416854241435072E-2</v>
      </c>
      <c r="J324" s="3">
        <f t="shared" ref="J324:J387" si="29">C322/D322</f>
        <v>0.11545189504373178</v>
      </c>
    </row>
    <row r="325" spans="1:10" x14ac:dyDescent="0.2">
      <c r="A325" s="1">
        <v>41278</v>
      </c>
      <c r="B325">
        <v>4809.49</v>
      </c>
      <c r="C325">
        <v>3.55</v>
      </c>
      <c r="D325">
        <v>30.77</v>
      </c>
      <c r="E325" s="2">
        <f t="shared" si="25"/>
        <v>1355.7018970189702</v>
      </c>
      <c r="F325" s="3">
        <f t="shared" si="26"/>
        <v>4.796296771576869E-2</v>
      </c>
      <c r="G325" s="2">
        <f t="shared" si="27"/>
        <v>156.65094614264919</v>
      </c>
      <c r="H325" s="3">
        <f t="shared" si="28"/>
        <v>-7.7904922124683251E-2</v>
      </c>
      <c r="J325" s="3">
        <f t="shared" si="29"/>
        <v>0.11557496360989811</v>
      </c>
    </row>
    <row r="326" spans="1:10" x14ac:dyDescent="0.2">
      <c r="A326" s="1">
        <v>41271</v>
      </c>
      <c r="B326">
        <v>4859</v>
      </c>
      <c r="C326">
        <v>3.55</v>
      </c>
      <c r="D326">
        <v>30.85</v>
      </c>
      <c r="E326" s="2">
        <f t="shared" si="25"/>
        <v>1354.7859154929577</v>
      </c>
      <c r="F326" s="3">
        <f t="shared" si="26"/>
        <v>4.9777613561459599E-2</v>
      </c>
      <c r="G326" s="2">
        <f t="shared" si="27"/>
        <v>156.47607131685956</v>
      </c>
      <c r="H326" s="3">
        <f t="shared" si="28"/>
        <v>-7.5434218448315327E-2</v>
      </c>
      <c r="J326" s="3">
        <f t="shared" si="29"/>
        <v>0.11542070691273068</v>
      </c>
    </row>
    <row r="327" spans="1:10" x14ac:dyDescent="0.2">
      <c r="A327" s="1">
        <v>41264</v>
      </c>
      <c r="B327">
        <v>4626.67</v>
      </c>
      <c r="C327">
        <v>3.4</v>
      </c>
      <c r="D327">
        <v>29.35</v>
      </c>
      <c r="E327" s="2">
        <f t="shared" si="25"/>
        <v>1368.7323943661972</v>
      </c>
      <c r="F327" s="3">
        <f t="shared" si="26"/>
        <v>7.6455500038813184E-2</v>
      </c>
      <c r="G327" s="2">
        <f t="shared" si="27"/>
        <v>156.30451738706532</v>
      </c>
      <c r="H327" s="3">
        <f t="shared" si="28"/>
        <v>-7.5329612520089739E-2</v>
      </c>
      <c r="J327" s="3">
        <f t="shared" si="29"/>
        <v>0.11537211569710756</v>
      </c>
    </row>
    <row r="328" spans="1:10" x14ac:dyDescent="0.2">
      <c r="A328" s="1">
        <v>41257</v>
      </c>
      <c r="B328">
        <v>4656.45</v>
      </c>
      <c r="C328">
        <v>3.4</v>
      </c>
      <c r="D328">
        <v>29.42</v>
      </c>
      <c r="E328" s="2">
        <f t="shared" si="25"/>
        <v>1360.785294117647</v>
      </c>
      <c r="F328" s="3">
        <f t="shared" si="26"/>
        <v>8.2785718654011298E-2</v>
      </c>
      <c r="G328" s="2">
        <f t="shared" si="27"/>
        <v>157.50405186385737</v>
      </c>
      <c r="H328" s="3">
        <f t="shared" si="28"/>
        <v>-7.4731796572041875E-2</v>
      </c>
      <c r="J328" s="3">
        <f t="shared" si="29"/>
        <v>0.11507293354943272</v>
      </c>
    </row>
    <row r="329" spans="1:10" x14ac:dyDescent="0.2">
      <c r="A329" s="1">
        <v>41250</v>
      </c>
      <c r="B329">
        <v>4564.96</v>
      </c>
      <c r="C329">
        <v>3.34</v>
      </c>
      <c r="D329">
        <v>28.87</v>
      </c>
      <c r="E329" s="2">
        <f t="shared" si="25"/>
        <v>1369.5441176470588</v>
      </c>
      <c r="F329" s="3">
        <f t="shared" si="26"/>
        <v>7.3031949180592859E-2</v>
      </c>
      <c r="G329" s="2">
        <f t="shared" si="27"/>
        <v>157.63781942078364</v>
      </c>
      <c r="H329" s="3">
        <f t="shared" si="28"/>
        <v>-7.5494184025961308E-2</v>
      </c>
      <c r="J329" s="3">
        <f t="shared" si="29"/>
        <v>0.11584327086882452</v>
      </c>
    </row>
    <row r="330" spans="1:10" x14ac:dyDescent="0.2">
      <c r="A330" s="1">
        <v>41243</v>
      </c>
      <c r="B330">
        <v>4452.2</v>
      </c>
      <c r="C330">
        <v>3.26</v>
      </c>
      <c r="D330">
        <v>28.21</v>
      </c>
      <c r="E330" s="2">
        <f t="shared" si="25"/>
        <v>1366.754491017964</v>
      </c>
      <c r="F330" s="3">
        <f t="shared" si="26"/>
        <v>7.8240825588368645E-2</v>
      </c>
      <c r="G330" s="2">
        <f t="shared" si="27"/>
        <v>158.27498300475864</v>
      </c>
      <c r="H330" s="3">
        <f t="shared" si="28"/>
        <v>-8.7204915267214078E-2</v>
      </c>
      <c r="J330" s="3">
        <f t="shared" si="29"/>
        <v>0.11556764106050305</v>
      </c>
    </row>
    <row r="331" spans="1:10" x14ac:dyDescent="0.2">
      <c r="A331" s="1">
        <v>41236</v>
      </c>
      <c r="B331">
        <v>4660.5</v>
      </c>
      <c r="C331">
        <v>3.41</v>
      </c>
      <c r="D331">
        <v>29.46</v>
      </c>
      <c r="E331" s="2">
        <f t="shared" si="25"/>
        <v>1365.7055214723928</v>
      </c>
      <c r="F331" s="3">
        <f t="shared" si="26"/>
        <v>7.8163372376953921E-2</v>
      </c>
      <c r="G331" s="2">
        <f t="shared" si="27"/>
        <v>158.12123311395914</v>
      </c>
      <c r="H331" s="3">
        <f t="shared" si="28"/>
        <v>-9.0017087464395296E-2</v>
      </c>
      <c r="J331" s="3">
        <f t="shared" si="29"/>
        <v>0.11569102874956702</v>
      </c>
    </row>
    <row r="332" spans="1:10" x14ac:dyDescent="0.2">
      <c r="A332" s="1">
        <v>41229</v>
      </c>
      <c r="B332">
        <v>4734.49</v>
      </c>
      <c r="C332">
        <v>3.46</v>
      </c>
      <c r="D332">
        <v>29.92</v>
      </c>
      <c r="E332" s="2">
        <f t="shared" si="25"/>
        <v>1366.7155425219942</v>
      </c>
      <c r="F332" s="3">
        <f t="shared" si="26"/>
        <v>7.5864095859956571E-2</v>
      </c>
      <c r="G332" s="2">
        <f t="shared" si="27"/>
        <v>157.82346685572492</v>
      </c>
      <c r="H332" s="3">
        <f t="shared" si="28"/>
        <v>-8.5530590812123664E-2</v>
      </c>
      <c r="J332" s="3">
        <f t="shared" si="29"/>
        <v>0.11556185749734135</v>
      </c>
    </row>
    <row r="333" spans="1:10" x14ac:dyDescent="0.2">
      <c r="A333" s="1">
        <v>41222</v>
      </c>
      <c r="B333">
        <v>4879.37</v>
      </c>
      <c r="C333">
        <v>3.56</v>
      </c>
      <c r="D333">
        <v>30.8</v>
      </c>
      <c r="E333" s="2">
        <f t="shared" si="25"/>
        <v>1368.349710982659</v>
      </c>
      <c r="F333" s="3">
        <f t="shared" si="26"/>
        <v>7.8700019193420623E-2</v>
      </c>
      <c r="G333" s="2">
        <f t="shared" si="27"/>
        <v>158.19755600814665</v>
      </c>
      <c r="H333" s="3">
        <f t="shared" si="28"/>
        <v>-8.6545186464298651E-2</v>
      </c>
      <c r="J333" s="3">
        <f t="shared" si="29"/>
        <v>0.11575016972165648</v>
      </c>
    </row>
    <row r="334" spans="1:10" x14ac:dyDescent="0.2">
      <c r="A334" s="1">
        <v>41215</v>
      </c>
      <c r="B334">
        <v>5056.42</v>
      </c>
      <c r="C334">
        <v>3.69</v>
      </c>
      <c r="D334">
        <v>31.9</v>
      </c>
      <c r="E334" s="2">
        <f t="shared" si="25"/>
        <v>1370.6095505617977</v>
      </c>
      <c r="F334" s="3">
        <f t="shared" si="26"/>
        <v>8.3834115020209321E-2</v>
      </c>
      <c r="G334" s="2">
        <f t="shared" si="27"/>
        <v>158.23830213903742</v>
      </c>
      <c r="H334" s="3">
        <f t="shared" si="28"/>
        <v>-8.9456320523053745E-2</v>
      </c>
      <c r="J334" s="3">
        <f t="shared" si="29"/>
        <v>0.11564171122994651</v>
      </c>
    </row>
    <row r="335" spans="1:10" x14ac:dyDescent="0.2">
      <c r="A335" s="1">
        <v>41208</v>
      </c>
      <c r="B335">
        <v>4897.49</v>
      </c>
      <c r="C335">
        <v>3.63</v>
      </c>
      <c r="D335">
        <v>29.61</v>
      </c>
      <c r="E335" s="2">
        <f t="shared" si="25"/>
        <v>1370.3035230352305</v>
      </c>
      <c r="F335" s="3">
        <f t="shared" si="26"/>
        <v>8.037923722521767E-2</v>
      </c>
      <c r="G335" s="2">
        <f t="shared" si="27"/>
        <v>158.42110389610389</v>
      </c>
      <c r="H335" s="3">
        <f t="shared" ref="H335:H345" si="30">G333/G283-1</f>
        <v>-0.12056592086542184</v>
      </c>
      <c r="J335" s="3">
        <f t="shared" si="29"/>
        <v>0.11558441558441558</v>
      </c>
    </row>
    <row r="336" spans="1:10" x14ac:dyDescent="0.2">
      <c r="A336" s="1">
        <v>41201</v>
      </c>
      <c r="B336">
        <v>5092.8</v>
      </c>
      <c r="C336">
        <v>3.82</v>
      </c>
      <c r="D336">
        <v>31.4</v>
      </c>
      <c r="E336" s="2">
        <f t="shared" si="25"/>
        <v>1349.1707988980716</v>
      </c>
      <c r="F336" s="3">
        <f t="shared" si="26"/>
        <v>7.9151501998420803E-2</v>
      </c>
      <c r="G336" s="2">
        <f t="shared" si="27"/>
        <v>158.50846394984328</v>
      </c>
      <c r="H336" s="3">
        <f t="shared" si="30"/>
        <v>-0.12159692521020971</v>
      </c>
      <c r="J336" s="3">
        <f t="shared" si="29"/>
        <v>0.11567398119122257</v>
      </c>
    </row>
    <row r="337" spans="1:10" x14ac:dyDescent="0.2">
      <c r="A337" s="1">
        <v>41194</v>
      </c>
      <c r="B337">
        <v>4994.2299999999996</v>
      </c>
      <c r="C337">
        <v>3.79</v>
      </c>
      <c r="D337">
        <v>30.59</v>
      </c>
      <c r="E337" s="2">
        <f t="shared" si="25"/>
        <v>1333.1937172774869</v>
      </c>
      <c r="F337" s="3">
        <f t="shared" si="26"/>
        <v>7.3962125009650048E-2</v>
      </c>
      <c r="G337" s="2">
        <f t="shared" si="27"/>
        <v>165.3998649105032</v>
      </c>
      <c r="H337" s="3">
        <f t="shared" si="30"/>
        <v>-0.11996755374944534</v>
      </c>
      <c r="J337" s="3">
        <f t="shared" si="29"/>
        <v>0.12259371833839919</v>
      </c>
    </row>
    <row r="338" spans="1:10" x14ac:dyDescent="0.2">
      <c r="A338" s="1">
        <v>41180</v>
      </c>
      <c r="B338">
        <v>4874.37</v>
      </c>
      <c r="C338">
        <v>3.7</v>
      </c>
      <c r="D338">
        <v>29.82</v>
      </c>
      <c r="E338" s="2">
        <f t="shared" si="25"/>
        <v>1317.7387862796832</v>
      </c>
      <c r="F338" s="3">
        <f t="shared" si="26"/>
        <v>9.8944209090831015E-2</v>
      </c>
      <c r="G338" s="2">
        <f t="shared" si="27"/>
        <v>162.19108280254778</v>
      </c>
      <c r="H338" s="3">
        <f t="shared" si="30"/>
        <v>-8.7493248159899006E-2</v>
      </c>
      <c r="J338" s="3">
        <f t="shared" si="29"/>
        <v>0.12165605095541401</v>
      </c>
    </row>
    <row r="339" spans="1:10" x14ac:dyDescent="0.2">
      <c r="A339" s="1">
        <v>41173</v>
      </c>
      <c r="B339">
        <v>4782.3999999999996</v>
      </c>
      <c r="C339">
        <v>3.63</v>
      </c>
      <c r="D339">
        <v>29.29</v>
      </c>
      <c r="E339" s="2">
        <f t="shared" si="25"/>
        <v>1317.3972972972972</v>
      </c>
      <c r="F339" s="3">
        <f t="shared" si="26"/>
        <v>9.0714076338666239E-2</v>
      </c>
      <c r="G339" s="2">
        <f t="shared" si="27"/>
        <v>163.2634847989539</v>
      </c>
      <c r="H339" s="3">
        <f t="shared" si="30"/>
        <v>-4.6740578816860889E-2</v>
      </c>
      <c r="J339" s="3">
        <f t="shared" si="29"/>
        <v>0.12389669826740765</v>
      </c>
    </row>
    <row r="340" spans="1:10" x14ac:dyDescent="0.2">
      <c r="A340" s="1">
        <v>41166</v>
      </c>
      <c r="B340">
        <v>5029.4399999999996</v>
      </c>
      <c r="C340">
        <v>3.82</v>
      </c>
      <c r="D340">
        <v>30.84</v>
      </c>
      <c r="E340" s="2">
        <f t="shared" si="25"/>
        <v>1317.465564738292</v>
      </c>
      <c r="F340" s="3">
        <f t="shared" si="26"/>
        <v>9.154960514509658E-2</v>
      </c>
      <c r="G340" s="2">
        <f t="shared" si="27"/>
        <v>163.45975855130783</v>
      </c>
      <c r="H340" s="3">
        <f t="shared" si="30"/>
        <v>-6.6153587014381676E-2</v>
      </c>
      <c r="J340" s="3">
        <f t="shared" si="29"/>
        <v>0.12407780013413816</v>
      </c>
    </row>
    <row r="341" spans="1:10" x14ac:dyDescent="0.2">
      <c r="A341" s="1">
        <v>41159</v>
      </c>
      <c r="B341">
        <v>5024.08</v>
      </c>
      <c r="C341">
        <v>3.82</v>
      </c>
      <c r="D341">
        <v>30.84</v>
      </c>
      <c r="E341" s="2">
        <f t="shared" si="25"/>
        <v>1316.6073298429319</v>
      </c>
      <c r="F341" s="3">
        <f t="shared" si="26"/>
        <v>9.111324762844264E-2</v>
      </c>
      <c r="G341" s="2">
        <f t="shared" si="27"/>
        <v>163.27756913622395</v>
      </c>
      <c r="H341" s="3">
        <f t="shared" si="30"/>
        <v>-6.131808361327995E-2</v>
      </c>
      <c r="J341" s="3">
        <f t="shared" si="29"/>
        <v>0.12393308296346876</v>
      </c>
    </row>
    <row r="342" spans="1:10" x14ac:dyDescent="0.2">
      <c r="A342" s="1">
        <v>41152</v>
      </c>
      <c r="B342">
        <v>4773.17</v>
      </c>
      <c r="C342">
        <v>3.63</v>
      </c>
      <c r="D342">
        <v>29.29</v>
      </c>
      <c r="E342" s="2">
        <f t="shared" si="25"/>
        <v>1315.2041884816754</v>
      </c>
      <c r="F342" s="3">
        <f t="shared" si="26"/>
        <v>9.0388271949336074E-2</v>
      </c>
      <c r="G342" s="2">
        <f t="shared" si="27"/>
        <v>163.0817120622568</v>
      </c>
      <c r="H342" s="3">
        <f t="shared" si="30"/>
        <v>-6.1234559105525554E-2</v>
      </c>
      <c r="J342" s="3">
        <f t="shared" si="29"/>
        <v>0.12386511024643319</v>
      </c>
    </row>
    <row r="343" spans="1:10" x14ac:dyDescent="0.2">
      <c r="A343" s="1">
        <v>41145</v>
      </c>
      <c r="B343">
        <v>5026</v>
      </c>
      <c r="C343">
        <v>3.87</v>
      </c>
      <c r="D343">
        <v>30.28</v>
      </c>
      <c r="E343" s="2">
        <f t="shared" si="25"/>
        <v>1314.9228650137741</v>
      </c>
      <c r="F343" s="3">
        <f t="shared" si="26"/>
        <v>9.032571132096745E-2</v>
      </c>
      <c r="G343" s="2">
        <f t="shared" si="27"/>
        <v>162.90791180285345</v>
      </c>
      <c r="H343" s="3">
        <f t="shared" si="30"/>
        <v>-6.415666473728765E-2</v>
      </c>
      <c r="J343" s="3">
        <f t="shared" si="29"/>
        <v>0.12386511024643319</v>
      </c>
    </row>
    <row r="344" spans="1:10" x14ac:dyDescent="0.2">
      <c r="A344" s="1">
        <v>41138</v>
      </c>
      <c r="B344">
        <v>4982.82</v>
      </c>
      <c r="C344">
        <v>3.89</v>
      </c>
      <c r="D344">
        <v>30.02</v>
      </c>
      <c r="E344" s="2">
        <f t="shared" si="25"/>
        <v>1298.7080103359174</v>
      </c>
      <c r="F344" s="3">
        <f t="shared" si="26"/>
        <v>8.5995098293503602E-2</v>
      </c>
      <c r="G344" s="2">
        <f t="shared" si="27"/>
        <v>162.96244452031411</v>
      </c>
      <c r="H344" s="3">
        <f t="shared" si="30"/>
        <v>-6.4543780780143778E-2</v>
      </c>
      <c r="J344" s="3">
        <f t="shared" si="29"/>
        <v>0.12393308296346876</v>
      </c>
    </row>
    <row r="345" spans="1:10" x14ac:dyDescent="0.2">
      <c r="A345" s="1">
        <v>41131</v>
      </c>
      <c r="B345">
        <v>5158.37</v>
      </c>
      <c r="C345">
        <v>4.05</v>
      </c>
      <c r="D345">
        <v>31.31</v>
      </c>
      <c r="E345" s="2">
        <f t="shared" si="25"/>
        <v>1280.9305912596401</v>
      </c>
      <c r="F345" s="3">
        <f t="shared" si="26"/>
        <v>7.8241983906861989E-2</v>
      </c>
      <c r="G345" s="2">
        <f t="shared" si="27"/>
        <v>165.98414795244386</v>
      </c>
      <c r="H345" s="3">
        <f t="shared" si="30"/>
        <v>-6.5694935310815272E-2</v>
      </c>
      <c r="J345" s="3">
        <f t="shared" si="29"/>
        <v>0.12780713342140027</v>
      </c>
    </row>
    <row r="346" spans="1:10" x14ac:dyDescent="0.2">
      <c r="A346" s="1">
        <v>41124</v>
      </c>
      <c r="B346">
        <v>4978.47</v>
      </c>
      <c r="C346">
        <v>3.92</v>
      </c>
      <c r="D346">
        <v>30.56</v>
      </c>
      <c r="E346" s="2">
        <f t="shared" si="25"/>
        <v>1273.6716049382717</v>
      </c>
      <c r="F346" s="3">
        <f t="shared" si="26"/>
        <v>7.8329642244341136E-2</v>
      </c>
      <c r="G346" s="2">
        <f t="shared" si="27"/>
        <v>165.98334443704198</v>
      </c>
      <c r="H346" s="3">
        <f>G344/G394-1</f>
        <v>-7.2125339601697425E-3</v>
      </c>
      <c r="J346" s="3">
        <f t="shared" si="29"/>
        <v>0.12958027981345771</v>
      </c>
    </row>
    <row r="347" spans="1:10" x14ac:dyDescent="0.2">
      <c r="A347" s="1">
        <v>41117</v>
      </c>
      <c r="B347">
        <v>4846.3599999999997</v>
      </c>
      <c r="C347">
        <v>3.82</v>
      </c>
      <c r="D347">
        <v>29.77</v>
      </c>
      <c r="E347" s="2">
        <f t="shared" si="25"/>
        <v>1270.0178571428573</v>
      </c>
      <c r="F347" s="3"/>
      <c r="G347" s="2">
        <f t="shared" si="27"/>
        <v>164.75151708719258</v>
      </c>
      <c r="H347" s="3"/>
      <c r="J347" s="3">
        <f t="shared" si="29"/>
        <v>0.12935164484190353</v>
      </c>
    </row>
    <row r="348" spans="1:10" x14ac:dyDescent="0.2">
      <c r="A348" s="1">
        <v>41110</v>
      </c>
      <c r="B348">
        <v>5015.93</v>
      </c>
      <c r="C348">
        <v>3.96</v>
      </c>
      <c r="D348">
        <v>30.93</v>
      </c>
      <c r="E348" s="2">
        <f t="shared" si="25"/>
        <v>1268.6806282722512</v>
      </c>
      <c r="F348" s="3"/>
      <c r="G348" s="2">
        <f t="shared" si="27"/>
        <v>162.90804973821992</v>
      </c>
      <c r="H348" s="3"/>
      <c r="J348" s="3">
        <f t="shared" si="29"/>
        <v>0.12827225130890052</v>
      </c>
    </row>
    <row r="349" spans="1:10" x14ac:dyDescent="0.2">
      <c r="A349" s="1">
        <v>41103</v>
      </c>
      <c r="B349">
        <v>5149.1000000000004</v>
      </c>
      <c r="C349">
        <v>4.0599999999999996</v>
      </c>
      <c r="D349">
        <v>31.62</v>
      </c>
      <c r="E349" s="2">
        <f t="shared" si="25"/>
        <v>1266.6489898989901</v>
      </c>
      <c r="F349" s="3"/>
      <c r="G349" s="2">
        <f t="shared" si="27"/>
        <v>162.79341619079611</v>
      </c>
      <c r="H349" s="3"/>
      <c r="J349" s="3">
        <f t="shared" si="29"/>
        <v>0.12831709774941216</v>
      </c>
    </row>
    <row r="350" spans="1:10" x14ac:dyDescent="0.2">
      <c r="A350" s="1">
        <v>41096</v>
      </c>
      <c r="B350">
        <v>5083.99</v>
      </c>
      <c r="C350">
        <v>4</v>
      </c>
      <c r="D350">
        <v>31.16</v>
      </c>
      <c r="E350" s="2">
        <f t="shared" si="25"/>
        <v>1268.2512315270938</v>
      </c>
      <c r="F350" s="3"/>
      <c r="G350" s="2">
        <f t="shared" si="27"/>
        <v>162.17038473973489</v>
      </c>
      <c r="H350" s="3"/>
      <c r="J350" s="3">
        <f t="shared" si="29"/>
        <v>0.12803103782735209</v>
      </c>
    </row>
    <row r="351" spans="1:10" x14ac:dyDescent="0.2">
      <c r="A351" s="1">
        <v>41089</v>
      </c>
      <c r="B351">
        <v>4967.99</v>
      </c>
      <c r="C351">
        <v>3.81</v>
      </c>
      <c r="D351">
        <v>30.6</v>
      </c>
      <c r="E351" s="2">
        <f t="shared" si="25"/>
        <v>1270.9974999999999</v>
      </c>
      <c r="F351" s="3"/>
      <c r="G351" s="2">
        <f t="shared" si="27"/>
        <v>162.84313725490196</v>
      </c>
      <c r="H351" s="3"/>
      <c r="J351" s="3">
        <f t="shared" si="29"/>
        <v>0.12839974699557241</v>
      </c>
    </row>
    <row r="352" spans="1:10" x14ac:dyDescent="0.2">
      <c r="A352" s="1">
        <v>41081</v>
      </c>
      <c r="B352">
        <v>4900.3999999999996</v>
      </c>
      <c r="C352">
        <v>3.75</v>
      </c>
      <c r="D352">
        <v>30.16</v>
      </c>
      <c r="E352" s="2">
        <f t="shared" si="25"/>
        <v>1303.9343832020998</v>
      </c>
      <c r="F352" s="3"/>
      <c r="G352" s="2">
        <f t="shared" si="27"/>
        <v>163.15757381258021</v>
      </c>
      <c r="H352" s="3"/>
      <c r="J352" s="3">
        <f t="shared" si="29"/>
        <v>0.12836970474967907</v>
      </c>
    </row>
    <row r="353" spans="1:10" x14ac:dyDescent="0.2">
      <c r="A353" s="1">
        <v>41075</v>
      </c>
      <c r="B353">
        <v>4982.0600000000004</v>
      </c>
      <c r="C353">
        <v>3.81</v>
      </c>
      <c r="D353">
        <v>30.64</v>
      </c>
      <c r="E353" s="2">
        <f t="shared" si="25"/>
        <v>1306.7733333333333</v>
      </c>
      <c r="F353" s="3"/>
      <c r="G353" s="2">
        <f t="shared" si="27"/>
        <v>162.35261437908494</v>
      </c>
      <c r="H353" s="3"/>
      <c r="J353" s="3">
        <f t="shared" si="29"/>
        <v>0.12450980392156863</v>
      </c>
    </row>
    <row r="354" spans="1:10" x14ac:dyDescent="0.2">
      <c r="A354" s="1">
        <v>41068</v>
      </c>
      <c r="B354">
        <v>4715.75</v>
      </c>
      <c r="C354">
        <v>3.59</v>
      </c>
      <c r="D354">
        <v>29.03</v>
      </c>
      <c r="E354" s="2">
        <f t="shared" si="25"/>
        <v>1307.6272965879266</v>
      </c>
      <c r="F354" s="3"/>
      <c r="G354" s="2">
        <f t="shared" si="27"/>
        <v>162.48010610079575</v>
      </c>
      <c r="H354" s="3"/>
      <c r="J354" s="3">
        <f t="shared" si="29"/>
        <v>0.1243368700265252</v>
      </c>
    </row>
    <row r="355" spans="1:10" x14ac:dyDescent="0.2">
      <c r="A355" s="1">
        <v>41061</v>
      </c>
      <c r="B355">
        <v>4791.42</v>
      </c>
      <c r="C355">
        <v>3.63</v>
      </c>
      <c r="D355">
        <v>29.49</v>
      </c>
      <c r="E355" s="2">
        <f t="shared" si="25"/>
        <v>1313.5793871866297</v>
      </c>
      <c r="F355" s="3"/>
      <c r="G355" s="2">
        <f t="shared" si="27"/>
        <v>162.59986945169715</v>
      </c>
      <c r="H355" s="3"/>
      <c r="J355" s="3">
        <f t="shared" si="29"/>
        <v>0.12434725848563968</v>
      </c>
    </row>
    <row r="356" spans="1:10" x14ac:dyDescent="0.2">
      <c r="A356" s="1">
        <v>41054</v>
      </c>
      <c r="B356">
        <v>4630.12</v>
      </c>
      <c r="C356">
        <v>3.5</v>
      </c>
      <c r="D356">
        <v>28.52</v>
      </c>
      <c r="E356" s="2">
        <f t="shared" si="25"/>
        <v>1319.9504132231405</v>
      </c>
      <c r="F356" s="3"/>
      <c r="G356" s="2">
        <f t="shared" si="27"/>
        <v>162.44402342404408</v>
      </c>
      <c r="H356" s="3"/>
      <c r="J356" s="3">
        <f t="shared" si="29"/>
        <v>0.12366517395797449</v>
      </c>
    </row>
    <row r="357" spans="1:10" x14ac:dyDescent="0.2">
      <c r="A357" s="1">
        <v>41047</v>
      </c>
      <c r="B357">
        <v>4654.41</v>
      </c>
      <c r="C357">
        <v>3.51</v>
      </c>
      <c r="D357">
        <v>28.62</v>
      </c>
      <c r="E357" s="2">
        <f t="shared" si="25"/>
        <v>1322.8914285714286</v>
      </c>
      <c r="F357" s="3"/>
      <c r="G357" s="2">
        <f t="shared" si="27"/>
        <v>162.47609359104783</v>
      </c>
      <c r="H357" s="3"/>
      <c r="J357" s="3">
        <f t="shared" si="29"/>
        <v>0.12309257375381485</v>
      </c>
    </row>
    <row r="358" spans="1:10" x14ac:dyDescent="0.2">
      <c r="A358" s="1">
        <v>41040</v>
      </c>
      <c r="B358">
        <v>4776.66</v>
      </c>
      <c r="C358">
        <v>3.6</v>
      </c>
      <c r="D358">
        <v>29.35</v>
      </c>
      <c r="E358" s="2">
        <f t="shared" si="25"/>
        <v>1326.0427350427351</v>
      </c>
      <c r="F358" s="3"/>
      <c r="G358" s="2">
        <f t="shared" si="27"/>
        <v>162.34642356241235</v>
      </c>
      <c r="H358" s="3"/>
      <c r="J358" s="3">
        <f t="shared" si="29"/>
        <v>0.12272089761570827</v>
      </c>
    </row>
    <row r="359" spans="1:10" x14ac:dyDescent="0.2">
      <c r="A359" s="1">
        <v>41033</v>
      </c>
      <c r="B359">
        <v>4726.45</v>
      </c>
      <c r="C359">
        <v>3.54</v>
      </c>
      <c r="D359">
        <v>29.01</v>
      </c>
      <c r="E359" s="2">
        <f t="shared" si="25"/>
        <v>1326.85</v>
      </c>
      <c r="F359" s="3"/>
      <c r="G359" s="2">
        <f t="shared" si="27"/>
        <v>162.62788259958072</v>
      </c>
      <c r="H359" s="3"/>
      <c r="J359" s="3">
        <f t="shared" si="29"/>
        <v>0.12264150943396225</v>
      </c>
    </row>
    <row r="360" spans="1:10" x14ac:dyDescent="0.2">
      <c r="A360" s="1">
        <v>41026</v>
      </c>
      <c r="B360">
        <v>4503.16</v>
      </c>
      <c r="C360">
        <v>3.31</v>
      </c>
      <c r="D360">
        <v>27.07</v>
      </c>
      <c r="E360" s="2">
        <f t="shared" si="25"/>
        <v>1335.1553672316384</v>
      </c>
      <c r="F360" s="3"/>
      <c r="G360" s="2">
        <f t="shared" si="27"/>
        <v>162.74821124361156</v>
      </c>
      <c r="H360" s="3"/>
      <c r="J360" s="3">
        <f t="shared" si="29"/>
        <v>0.12265758091993186</v>
      </c>
    </row>
    <row r="361" spans="1:10" x14ac:dyDescent="0.2">
      <c r="A361" s="1">
        <v>41019</v>
      </c>
      <c r="B361">
        <v>4623.3500000000004</v>
      </c>
      <c r="C361">
        <v>3.49</v>
      </c>
      <c r="D361">
        <v>27.91</v>
      </c>
      <c r="E361" s="2">
        <f t="shared" si="25"/>
        <v>1360.4712990936555</v>
      </c>
      <c r="F361" s="3"/>
      <c r="G361" s="2">
        <f t="shared" si="27"/>
        <v>162.92485349879351</v>
      </c>
      <c r="H361" s="3"/>
      <c r="J361" s="3">
        <f t="shared" si="29"/>
        <v>0.12202688728024819</v>
      </c>
    </row>
    <row r="362" spans="1:10" x14ac:dyDescent="0.2">
      <c r="A362" s="1">
        <v>41012</v>
      </c>
      <c r="B362">
        <v>4572.04</v>
      </c>
      <c r="C362">
        <v>3.46</v>
      </c>
      <c r="D362">
        <v>27.13</v>
      </c>
      <c r="E362" s="2">
        <f t="shared" si="25"/>
        <v>1324.7421203438396</v>
      </c>
      <c r="F362" s="3"/>
      <c r="G362" s="2">
        <f t="shared" si="27"/>
        <v>166.3524196527521</v>
      </c>
      <c r="H362" s="3"/>
      <c r="J362" s="3">
        <f t="shared" si="29"/>
        <v>0.12227558182489841</v>
      </c>
    </row>
    <row r="363" spans="1:10" x14ac:dyDescent="0.2">
      <c r="A363" s="1">
        <v>41005</v>
      </c>
      <c r="B363">
        <v>4459.8500000000004</v>
      </c>
      <c r="C363">
        <v>3.38</v>
      </c>
      <c r="D363">
        <v>26.42</v>
      </c>
      <c r="E363" s="2">
        <f t="shared" si="25"/>
        <v>1321.3988439306358</v>
      </c>
      <c r="F363" s="3"/>
      <c r="G363" s="2">
        <f t="shared" si="27"/>
        <v>165.65209602293086</v>
      </c>
      <c r="H363" s="3"/>
      <c r="J363" s="3">
        <f t="shared" si="29"/>
        <v>0.12504478681476175</v>
      </c>
    </row>
    <row r="364" spans="1:10" x14ac:dyDescent="0.2">
      <c r="A364" s="1">
        <v>40998</v>
      </c>
      <c r="B364">
        <v>4342.62</v>
      </c>
      <c r="C364">
        <v>3.29</v>
      </c>
      <c r="D364">
        <v>25.62</v>
      </c>
      <c r="E364" s="2">
        <f t="shared" si="25"/>
        <v>1319.4822485207103</v>
      </c>
      <c r="F364" s="3"/>
      <c r="G364" s="2">
        <f t="shared" si="27"/>
        <v>168.52340582381129</v>
      </c>
      <c r="H364" s="3"/>
      <c r="J364" s="3">
        <f t="shared" si="29"/>
        <v>0.12753409509767785</v>
      </c>
    </row>
    <row r="365" spans="1:10" x14ac:dyDescent="0.2">
      <c r="A365" s="1">
        <v>40991</v>
      </c>
      <c r="B365">
        <v>4644.3</v>
      </c>
      <c r="C365">
        <v>3.56</v>
      </c>
      <c r="D365">
        <v>27.17</v>
      </c>
      <c r="E365" s="2">
        <f t="shared" si="25"/>
        <v>1319.9452887537993</v>
      </c>
      <c r="F365" s="3"/>
      <c r="G365" s="2">
        <f t="shared" si="27"/>
        <v>168.80582891748676</v>
      </c>
      <c r="H365" s="3"/>
      <c r="J365" s="3">
        <f t="shared" si="29"/>
        <v>0.1279333838001514</v>
      </c>
    </row>
    <row r="366" spans="1:10" x14ac:dyDescent="0.2">
      <c r="A366" s="1">
        <v>40984</v>
      </c>
      <c r="B366">
        <v>4853.28</v>
      </c>
      <c r="C366">
        <v>3.72</v>
      </c>
      <c r="D366">
        <v>28.3</v>
      </c>
      <c r="E366" s="2">
        <f t="shared" si="25"/>
        <v>1304.5786516853932</v>
      </c>
      <c r="F366" s="3"/>
      <c r="G366" s="2">
        <f t="shared" si="27"/>
        <v>169.50117096018735</v>
      </c>
      <c r="H366" s="3"/>
      <c r="J366" s="3">
        <f t="shared" si="29"/>
        <v>0.12841530054644809</v>
      </c>
    </row>
    <row r="367" spans="1:10" x14ac:dyDescent="0.2">
      <c r="A367" s="1">
        <v>40977</v>
      </c>
      <c r="B367">
        <v>4737.32</v>
      </c>
      <c r="C367">
        <v>3.64</v>
      </c>
      <c r="D367">
        <v>27.71</v>
      </c>
      <c r="E367" s="2">
        <f t="shared" si="25"/>
        <v>1304.6451612903224</v>
      </c>
      <c r="F367" s="3"/>
      <c r="G367" s="2">
        <f t="shared" si="27"/>
        <v>170.93485461906513</v>
      </c>
      <c r="H367" s="3"/>
      <c r="J367" s="3">
        <f t="shared" si="29"/>
        <v>0.13102686786897313</v>
      </c>
    </row>
    <row r="368" spans="1:10" x14ac:dyDescent="0.2">
      <c r="A368" s="1">
        <v>40970</v>
      </c>
      <c r="B368">
        <v>4728.07</v>
      </c>
      <c r="C368">
        <v>3.64</v>
      </c>
      <c r="D368">
        <v>27.71</v>
      </c>
      <c r="E368" s="2">
        <f t="shared" si="25"/>
        <v>1301.4615384615383</v>
      </c>
      <c r="F368" s="3"/>
      <c r="G368" s="2">
        <f t="shared" si="27"/>
        <v>171.49399293286217</v>
      </c>
      <c r="H368" s="3"/>
      <c r="J368" s="3">
        <f t="shared" si="29"/>
        <v>0.13144876325088339</v>
      </c>
    </row>
    <row r="369" spans="1:10" x14ac:dyDescent="0.2">
      <c r="A369" s="1">
        <v>40963</v>
      </c>
      <c r="B369">
        <v>4758.68</v>
      </c>
      <c r="C369">
        <v>3.67</v>
      </c>
      <c r="D369">
        <v>27.96</v>
      </c>
      <c r="E369" s="2">
        <f t="shared" si="25"/>
        <v>1298.9203296703295</v>
      </c>
      <c r="F369" s="3"/>
      <c r="G369" s="2">
        <f t="shared" si="27"/>
        <v>170.96066402020929</v>
      </c>
      <c r="H369" s="3"/>
      <c r="J369" s="3">
        <f t="shared" si="29"/>
        <v>0.13136051966798989</v>
      </c>
    </row>
    <row r="370" spans="1:10" x14ac:dyDescent="0.2">
      <c r="A370" s="1">
        <v>40956</v>
      </c>
      <c r="B370">
        <v>4585.46</v>
      </c>
      <c r="C370">
        <v>3.54</v>
      </c>
      <c r="D370">
        <v>26.93</v>
      </c>
      <c r="E370" s="2">
        <f t="shared" si="25"/>
        <v>1296.6430517711174</v>
      </c>
      <c r="F370" s="3"/>
      <c r="G370" s="2">
        <f t="shared" si="27"/>
        <v>170.62684951281125</v>
      </c>
      <c r="H370" s="3"/>
      <c r="J370" s="3">
        <f t="shared" si="29"/>
        <v>0.13136051966798989</v>
      </c>
    </row>
    <row r="371" spans="1:10" x14ac:dyDescent="0.2">
      <c r="A371" s="1">
        <v>40949</v>
      </c>
      <c r="B371">
        <v>4496.1899999999996</v>
      </c>
      <c r="C371">
        <v>3.47</v>
      </c>
      <c r="D371">
        <v>26.42</v>
      </c>
      <c r="E371" s="2">
        <f t="shared" si="25"/>
        <v>1295.3276836158193</v>
      </c>
      <c r="F371" s="3"/>
      <c r="G371" s="2">
        <f t="shared" si="27"/>
        <v>170.19599427753934</v>
      </c>
      <c r="H371" s="3"/>
      <c r="J371" s="3">
        <f t="shared" si="29"/>
        <v>0.13125894134477825</v>
      </c>
    </row>
    <row r="372" spans="1:10" x14ac:dyDescent="0.2">
      <c r="A372" s="1">
        <v>40942</v>
      </c>
      <c r="B372">
        <v>4374.3500000000004</v>
      </c>
      <c r="C372">
        <v>3.38</v>
      </c>
      <c r="D372">
        <v>25.81</v>
      </c>
      <c r="E372" s="2">
        <f t="shared" si="25"/>
        <v>1295.7319884726223</v>
      </c>
      <c r="F372" s="3"/>
      <c r="G372" s="2">
        <f t="shared" si="27"/>
        <v>170.27330115113256</v>
      </c>
      <c r="H372" s="3"/>
      <c r="J372" s="3">
        <f t="shared" si="29"/>
        <v>0.13145191236539175</v>
      </c>
    </row>
    <row r="373" spans="1:10" x14ac:dyDescent="0.2">
      <c r="A373" s="1">
        <v>40928</v>
      </c>
      <c r="B373">
        <v>4281.0600000000004</v>
      </c>
      <c r="C373">
        <v>3.31</v>
      </c>
      <c r="D373">
        <v>25.27</v>
      </c>
      <c r="E373" s="2">
        <f t="shared" si="25"/>
        <v>1294.1863905325445</v>
      </c>
      <c r="F373" s="3"/>
      <c r="G373" s="2">
        <f t="shared" si="27"/>
        <v>170.1813020439061</v>
      </c>
      <c r="H373" s="3"/>
      <c r="J373" s="3">
        <f t="shared" si="29"/>
        <v>0.13133989401968205</v>
      </c>
    </row>
    <row r="374" spans="1:10" x14ac:dyDescent="0.2">
      <c r="A374" s="1">
        <v>40921</v>
      </c>
      <c r="B374">
        <v>4261.68</v>
      </c>
      <c r="C374">
        <v>3.3</v>
      </c>
      <c r="D374">
        <v>25.2</v>
      </c>
      <c r="E374" s="2">
        <f t="shared" si="25"/>
        <v>1293.3716012084594</v>
      </c>
      <c r="F374" s="3"/>
      <c r="G374" s="2">
        <f t="shared" si="27"/>
        <v>169.48275862068968</v>
      </c>
      <c r="H374" s="3"/>
      <c r="J374" s="3">
        <f t="shared" si="29"/>
        <v>0.13095699341340566</v>
      </c>
    </row>
    <row r="375" spans="1:10" x14ac:dyDescent="0.2">
      <c r="A375" s="1">
        <v>40914</v>
      </c>
      <c r="B375">
        <v>4165.84</v>
      </c>
      <c r="C375">
        <v>3.31</v>
      </c>
      <c r="D375">
        <v>24.64</v>
      </c>
      <c r="E375" s="2">
        <f t="shared" si="25"/>
        <v>1291.4181818181819</v>
      </c>
      <c r="F375" s="3"/>
      <c r="G375" s="2">
        <f t="shared" si="27"/>
        <v>169.41274238227149</v>
      </c>
      <c r="H375" s="3"/>
      <c r="J375" s="3">
        <f t="shared" si="29"/>
        <v>0.13098535813217255</v>
      </c>
    </row>
    <row r="376" spans="1:10" x14ac:dyDescent="0.2">
      <c r="A376" s="1">
        <v>40907</v>
      </c>
      <c r="B376">
        <v>4500.1400000000003</v>
      </c>
      <c r="C376">
        <v>3.56</v>
      </c>
      <c r="D376">
        <v>26.08</v>
      </c>
      <c r="E376" s="2">
        <f t="shared" si="25"/>
        <v>1258.5619335347433</v>
      </c>
      <c r="F376" s="3"/>
      <c r="G376" s="2">
        <f t="shared" si="27"/>
        <v>169.11428571428573</v>
      </c>
      <c r="H376" s="3"/>
      <c r="J376" s="3">
        <f t="shared" si="29"/>
        <v>0.13095238095238096</v>
      </c>
    </row>
    <row r="377" spans="1:10" x14ac:dyDescent="0.2">
      <c r="A377" s="1">
        <v>40900</v>
      </c>
      <c r="B377">
        <v>4666.8599999999997</v>
      </c>
      <c r="C377">
        <v>3.68</v>
      </c>
      <c r="D377">
        <v>26.94</v>
      </c>
      <c r="E377" s="2">
        <f t="shared" si="25"/>
        <v>1264.0842696629213</v>
      </c>
      <c r="F377" s="3"/>
      <c r="G377" s="2">
        <f t="shared" si="27"/>
        <v>169.06818181818181</v>
      </c>
      <c r="H377" s="3"/>
      <c r="J377" s="3">
        <f t="shared" si="29"/>
        <v>0.13433441558441558</v>
      </c>
    </row>
    <row r="378" spans="1:10" x14ac:dyDescent="0.2">
      <c r="A378" s="1">
        <v>40893</v>
      </c>
      <c r="B378">
        <v>4763.12</v>
      </c>
      <c r="C378">
        <v>3.75</v>
      </c>
      <c r="D378">
        <v>27.52</v>
      </c>
      <c r="E378" s="2">
        <f t="shared" si="25"/>
        <v>1268.1684782608695</v>
      </c>
      <c r="F378" s="3"/>
      <c r="G378" s="2">
        <f t="shared" si="27"/>
        <v>172.55138036809819</v>
      </c>
      <c r="H378" s="3"/>
      <c r="J378" s="3">
        <f t="shared" si="29"/>
        <v>0.13650306748466259</v>
      </c>
    </row>
    <row r="379" spans="1:10" x14ac:dyDescent="0.2">
      <c r="A379" s="1">
        <v>40886</v>
      </c>
      <c r="B379">
        <v>5019.97</v>
      </c>
      <c r="C379">
        <v>3.96</v>
      </c>
      <c r="D379">
        <v>29</v>
      </c>
      <c r="E379" s="2">
        <f t="shared" si="25"/>
        <v>1270.1653333333334</v>
      </c>
      <c r="F379" s="3"/>
      <c r="G379" s="2">
        <f t="shared" si="27"/>
        <v>173.23162583518928</v>
      </c>
      <c r="H379" s="3"/>
      <c r="J379" s="3">
        <f t="shared" si="29"/>
        <v>0.13659985152190052</v>
      </c>
    </row>
    <row r="380" spans="1:10" x14ac:dyDescent="0.2">
      <c r="A380" s="1">
        <v>40879</v>
      </c>
      <c r="B380">
        <v>5255.33</v>
      </c>
      <c r="C380">
        <v>4.1399999999999997</v>
      </c>
      <c r="D380">
        <v>30.32</v>
      </c>
      <c r="E380" s="2">
        <f t="shared" si="25"/>
        <v>1267.6691919191919</v>
      </c>
      <c r="F380" s="3"/>
      <c r="G380" s="2">
        <f t="shared" si="27"/>
        <v>173.07848837209303</v>
      </c>
      <c r="H380" s="3"/>
      <c r="J380" s="3">
        <f t="shared" si="29"/>
        <v>0.13626453488372092</v>
      </c>
    </row>
    <row r="381" spans="1:10" x14ac:dyDescent="0.2">
      <c r="A381" s="1">
        <v>40872</v>
      </c>
      <c r="B381">
        <v>5220.05</v>
      </c>
      <c r="C381">
        <v>4.12</v>
      </c>
      <c r="D381">
        <v>30.17</v>
      </c>
      <c r="E381" s="2">
        <f t="shared" si="25"/>
        <v>1269.4033816425122</v>
      </c>
      <c r="F381" s="3"/>
      <c r="G381" s="2">
        <f t="shared" si="27"/>
        <v>173.10241379310347</v>
      </c>
      <c r="H381" s="3"/>
      <c r="J381" s="3">
        <f t="shared" si="29"/>
        <v>0.13655172413793104</v>
      </c>
    </row>
    <row r="382" spans="1:10" x14ac:dyDescent="0.2">
      <c r="A382" s="1">
        <v>40865</v>
      </c>
      <c r="B382">
        <v>5239.41</v>
      </c>
      <c r="C382">
        <v>4.1500000000000004</v>
      </c>
      <c r="D382">
        <v>30.39</v>
      </c>
      <c r="E382" s="2">
        <f t="shared" si="25"/>
        <v>1267.0024271844661</v>
      </c>
      <c r="F382" s="3"/>
      <c r="G382" s="2">
        <f t="shared" si="27"/>
        <v>173.32882585751977</v>
      </c>
      <c r="H382" s="3"/>
      <c r="J382" s="3">
        <f t="shared" si="29"/>
        <v>0.13654353562005275</v>
      </c>
    </row>
    <row r="383" spans="1:10" x14ac:dyDescent="0.2">
      <c r="A383" s="1">
        <v>40858</v>
      </c>
      <c r="B383">
        <v>5353.65</v>
      </c>
      <c r="C383">
        <v>4.22</v>
      </c>
      <c r="D383">
        <v>30.93</v>
      </c>
      <c r="E383" s="2">
        <f t="shared" si="25"/>
        <v>1262.5084337349397</v>
      </c>
      <c r="F383" s="3"/>
      <c r="G383" s="2">
        <f t="shared" si="27"/>
        <v>173.02121312562147</v>
      </c>
      <c r="H383" s="3"/>
      <c r="J383" s="3">
        <f t="shared" si="29"/>
        <v>0.13655949618826649</v>
      </c>
    </row>
    <row r="384" spans="1:10" x14ac:dyDescent="0.2">
      <c r="A384" s="1">
        <v>40851</v>
      </c>
      <c r="B384">
        <v>5383.94</v>
      </c>
      <c r="C384">
        <v>4.24</v>
      </c>
      <c r="D384">
        <v>31.07</v>
      </c>
      <c r="E384" s="2">
        <f t="shared" si="25"/>
        <v>1268.6374407582939</v>
      </c>
      <c r="F384" s="3"/>
      <c r="G384" s="2">
        <f t="shared" si="27"/>
        <v>172.40572556762092</v>
      </c>
      <c r="H384" s="2"/>
      <c r="J384" s="3">
        <f t="shared" si="29"/>
        <v>0.13655807831523528</v>
      </c>
    </row>
    <row r="385" spans="1:10" x14ac:dyDescent="0.2">
      <c r="A385" s="1">
        <v>40844</v>
      </c>
      <c r="B385">
        <v>5163.21</v>
      </c>
      <c r="C385">
        <v>4.1100000000000003</v>
      </c>
      <c r="D385">
        <v>29.64</v>
      </c>
      <c r="E385" s="2">
        <f t="shared" si="25"/>
        <v>1269.7971698113206</v>
      </c>
      <c r="F385" s="3"/>
      <c r="G385" s="2">
        <f t="shared" si="27"/>
        <v>173.08923375363725</v>
      </c>
      <c r="H385" s="2"/>
      <c r="J385" s="3">
        <f t="shared" si="29"/>
        <v>0.13643711606854186</v>
      </c>
    </row>
    <row r="386" spans="1:10" x14ac:dyDescent="0.2">
      <c r="A386" s="1">
        <v>40837</v>
      </c>
      <c r="B386">
        <v>4816.24</v>
      </c>
      <c r="C386">
        <v>3.97</v>
      </c>
      <c r="D386">
        <v>29.68</v>
      </c>
      <c r="E386" s="2">
        <f t="shared" si="25"/>
        <v>1256.2554744525546</v>
      </c>
      <c r="F386" s="3"/>
      <c r="G386" s="2">
        <f t="shared" si="27"/>
        <v>173.28419697457352</v>
      </c>
      <c r="H386" s="2"/>
      <c r="J386" s="3">
        <f t="shared" si="29"/>
        <v>0.13646604441583521</v>
      </c>
    </row>
    <row r="387" spans="1:10" x14ac:dyDescent="0.2">
      <c r="A387" s="1">
        <v>40830</v>
      </c>
      <c r="B387">
        <v>5146.6899999999996</v>
      </c>
      <c r="C387">
        <v>4.26</v>
      </c>
      <c r="D387">
        <v>31.42</v>
      </c>
      <c r="E387" s="2">
        <f t="shared" ref="E387:E396" si="31">B386/C386</f>
        <v>1213.1586901763224</v>
      </c>
      <c r="F387" s="3"/>
      <c r="G387" s="2">
        <f t="shared" si="27"/>
        <v>174.19736842105263</v>
      </c>
      <c r="H387" s="2"/>
      <c r="J387" s="3">
        <f t="shared" si="29"/>
        <v>0.13866396761133604</v>
      </c>
    </row>
    <row r="388" spans="1:10" x14ac:dyDescent="0.2">
      <c r="A388" s="1">
        <v>40816</v>
      </c>
      <c r="B388">
        <v>4984.5200000000004</v>
      </c>
      <c r="C388">
        <v>4.13</v>
      </c>
      <c r="D388">
        <v>30.49</v>
      </c>
      <c r="E388" s="2">
        <f t="shared" si="31"/>
        <v>1208.1431924882629</v>
      </c>
      <c r="F388" s="2"/>
      <c r="G388" s="2">
        <f t="shared" ref="G388:G451" si="32">B386/D386</f>
        <v>162.2722371967655</v>
      </c>
      <c r="H388" s="2"/>
      <c r="J388" s="3">
        <f t="shared" ref="J388:J451" si="33">C386/D386</f>
        <v>0.1337601078167116</v>
      </c>
    </row>
    <row r="389" spans="1:10" x14ac:dyDescent="0.2">
      <c r="A389" s="1">
        <v>40809</v>
      </c>
      <c r="B389">
        <v>5276.56</v>
      </c>
      <c r="C389">
        <v>4.37</v>
      </c>
      <c r="D389">
        <v>32.200000000000003</v>
      </c>
      <c r="E389" s="2">
        <f t="shared" si="31"/>
        <v>1206.9055690072641</v>
      </c>
      <c r="F389" s="2"/>
      <c r="G389" s="2">
        <f t="shared" si="32"/>
        <v>163.80299172501589</v>
      </c>
      <c r="H389" s="2"/>
      <c r="J389" s="3">
        <f t="shared" si="33"/>
        <v>0.13558243157224698</v>
      </c>
    </row>
    <row r="390" spans="1:10" x14ac:dyDescent="0.2">
      <c r="A390" s="1">
        <v>40802</v>
      </c>
      <c r="B390">
        <v>5409.45</v>
      </c>
      <c r="C390">
        <v>4.4800000000000004</v>
      </c>
      <c r="D390">
        <v>33.06</v>
      </c>
      <c r="E390" s="2">
        <f t="shared" si="31"/>
        <v>1207.4508009153319</v>
      </c>
      <c r="F390" s="2"/>
      <c r="G390" s="2">
        <f t="shared" si="32"/>
        <v>163.48048540505087</v>
      </c>
      <c r="H390" s="2"/>
      <c r="J390" s="3">
        <f t="shared" si="33"/>
        <v>0.13545424729419484</v>
      </c>
    </row>
    <row r="391" spans="1:10" x14ac:dyDescent="0.2">
      <c r="A391" s="1">
        <v>40795</v>
      </c>
      <c r="B391">
        <v>5476.37</v>
      </c>
      <c r="C391">
        <v>4.54</v>
      </c>
      <c r="D391">
        <v>33.47</v>
      </c>
      <c r="E391" s="2">
        <f t="shared" si="31"/>
        <v>1207.4665178571427</v>
      </c>
      <c r="F391" s="2"/>
      <c r="G391" s="2">
        <f t="shared" si="32"/>
        <v>163.86832298136645</v>
      </c>
      <c r="H391" s="2"/>
      <c r="J391" s="3">
        <f t="shared" si="33"/>
        <v>0.1357142857142857</v>
      </c>
    </row>
    <row r="392" spans="1:10" x14ac:dyDescent="0.2">
      <c r="A392" s="1">
        <v>40788</v>
      </c>
      <c r="B392">
        <v>5630.22</v>
      </c>
      <c r="C392">
        <v>4.6500000000000004</v>
      </c>
      <c r="D392">
        <v>34.299999999999997</v>
      </c>
      <c r="E392" s="2">
        <f t="shared" si="31"/>
        <v>1206.248898678414</v>
      </c>
      <c r="F392" s="2"/>
      <c r="G392" s="2">
        <f t="shared" si="32"/>
        <v>163.62522686025406</v>
      </c>
      <c r="H392" s="2"/>
      <c r="J392" s="3">
        <f t="shared" si="33"/>
        <v>0.13551119177253479</v>
      </c>
    </row>
    <row r="393" spans="1:10" x14ac:dyDescent="0.2">
      <c r="A393" s="1">
        <v>40781</v>
      </c>
      <c r="B393">
        <v>5841.67</v>
      </c>
      <c r="C393">
        <v>4.8499999999999996</v>
      </c>
      <c r="D393">
        <v>36.119999999999997</v>
      </c>
      <c r="E393" s="2">
        <f t="shared" si="31"/>
        <v>1210.8</v>
      </c>
      <c r="F393" s="2"/>
      <c r="G393" s="2">
        <f t="shared" si="32"/>
        <v>163.62025694651928</v>
      </c>
      <c r="H393" s="2"/>
      <c r="J393" s="3">
        <f t="shared" si="33"/>
        <v>0.13564386017328953</v>
      </c>
    </row>
    <row r="394" spans="1:10" x14ac:dyDescent="0.2">
      <c r="A394" s="1">
        <v>40774</v>
      </c>
      <c r="B394">
        <v>5737.48</v>
      </c>
      <c r="C394">
        <v>4.83</v>
      </c>
      <c r="D394">
        <v>36</v>
      </c>
      <c r="E394" s="2">
        <f t="shared" si="31"/>
        <v>1204.4680412371135</v>
      </c>
      <c r="F394" s="2"/>
      <c r="G394" s="2">
        <f t="shared" si="32"/>
        <v>164.14635568513123</v>
      </c>
      <c r="H394" s="2"/>
      <c r="J394" s="3">
        <f t="shared" si="33"/>
        <v>0.13556851311953355</v>
      </c>
    </row>
    <row r="395" spans="1:10" x14ac:dyDescent="0.2">
      <c r="A395" s="1">
        <v>40767</v>
      </c>
      <c r="B395">
        <v>5894.61</v>
      </c>
      <c r="C395">
        <v>4.99</v>
      </c>
      <c r="D395">
        <v>36.81</v>
      </c>
      <c r="E395" s="2">
        <f t="shared" si="31"/>
        <v>1187.8840579710143</v>
      </c>
      <c r="F395" s="2"/>
      <c r="G395" s="2">
        <f t="shared" si="32"/>
        <v>161.72951273532669</v>
      </c>
      <c r="H395" s="2"/>
      <c r="J395" s="3">
        <f t="shared" si="33"/>
        <v>0.13427464008859358</v>
      </c>
    </row>
    <row r="396" spans="1:10" x14ac:dyDescent="0.2">
      <c r="A396" s="1">
        <v>40760</v>
      </c>
      <c r="B396">
        <v>5838.31</v>
      </c>
      <c r="C396">
        <v>4.96</v>
      </c>
      <c r="D396">
        <v>36.6</v>
      </c>
      <c r="E396" s="2">
        <f t="shared" si="31"/>
        <v>1181.2845691382765</v>
      </c>
      <c r="F396" s="2"/>
      <c r="G396" s="2">
        <f t="shared" si="32"/>
        <v>159.37444444444444</v>
      </c>
      <c r="H396" s="2"/>
      <c r="J396" s="3">
        <f t="shared" si="33"/>
        <v>0.13416666666666666</v>
      </c>
    </row>
    <row r="397" spans="1:10" x14ac:dyDescent="0.2">
      <c r="J397" s="3"/>
    </row>
    <row r="398" spans="1:10" x14ac:dyDescent="0.2">
      <c r="J398" s="3"/>
    </row>
    <row r="403" spans="10:10" x14ac:dyDescent="0.2">
      <c r="J403" s="3"/>
    </row>
    <row r="404" spans="10:10" x14ac:dyDescent="0.2">
      <c r="J404" s="3"/>
    </row>
    <row r="405" spans="10:10" x14ac:dyDescent="0.2">
      <c r="J405" s="3"/>
    </row>
    <row r="406" spans="10:10" x14ac:dyDescent="0.2">
      <c r="J406" s="3"/>
    </row>
    <row r="407" spans="10:10" x14ac:dyDescent="0.2">
      <c r="J407" s="3"/>
    </row>
    <row r="408" spans="10:10" x14ac:dyDescent="0.2">
      <c r="J408" s="3"/>
    </row>
    <row r="409" spans="10:10" x14ac:dyDescent="0.2">
      <c r="J409" s="3"/>
    </row>
    <row r="410" spans="10:10" x14ac:dyDescent="0.2">
      <c r="J410" s="3"/>
    </row>
    <row r="411" spans="10:10" x14ac:dyDescent="0.2">
      <c r="J411" s="3"/>
    </row>
    <row r="412" spans="10:10" x14ac:dyDescent="0.2">
      <c r="J412" s="3"/>
    </row>
    <row r="413" spans="10:10" x14ac:dyDescent="0.2">
      <c r="J413" s="3"/>
    </row>
    <row r="414" spans="10:10" x14ac:dyDescent="0.2">
      <c r="J414" s="3"/>
    </row>
    <row r="415" spans="10:10" x14ac:dyDescent="0.2">
      <c r="J415" s="3"/>
    </row>
    <row r="416" spans="10:10" x14ac:dyDescent="0.2">
      <c r="J416" s="3"/>
    </row>
    <row r="417" spans="10:10" x14ac:dyDescent="0.2">
      <c r="J417" s="3"/>
    </row>
    <row r="418" spans="10:10" x14ac:dyDescent="0.2">
      <c r="J418" s="3"/>
    </row>
    <row r="419" spans="10:10" x14ac:dyDescent="0.2">
      <c r="J419" s="3"/>
    </row>
    <row r="420" spans="10:10" x14ac:dyDescent="0.2">
      <c r="J420" s="3"/>
    </row>
    <row r="421" spans="10:10" x14ac:dyDescent="0.2">
      <c r="J421" s="3"/>
    </row>
    <row r="422" spans="10:10" x14ac:dyDescent="0.2">
      <c r="J422" s="3"/>
    </row>
    <row r="423" spans="10:10" x14ac:dyDescent="0.2">
      <c r="J423" s="3"/>
    </row>
    <row r="424" spans="10:10" x14ac:dyDescent="0.2">
      <c r="J424" s="3"/>
    </row>
    <row r="425" spans="10:10" x14ac:dyDescent="0.2">
      <c r="J425" s="3"/>
    </row>
    <row r="426" spans="10:10" x14ac:dyDescent="0.2">
      <c r="J426" s="3"/>
    </row>
    <row r="427" spans="10:10" x14ac:dyDescent="0.2">
      <c r="J427" s="3"/>
    </row>
    <row r="428" spans="10:10" x14ac:dyDescent="0.2">
      <c r="J428" s="3"/>
    </row>
    <row r="429" spans="10:10" x14ac:dyDescent="0.2">
      <c r="J429" s="3"/>
    </row>
    <row r="430" spans="10:10" x14ac:dyDescent="0.2">
      <c r="J430" s="3"/>
    </row>
    <row r="431" spans="10:10" x14ac:dyDescent="0.2">
      <c r="J431" s="3"/>
    </row>
    <row r="432" spans="10:10" x14ac:dyDescent="0.2">
      <c r="J432" s="3"/>
    </row>
    <row r="433" spans="10:10" x14ac:dyDescent="0.2">
      <c r="J433" s="3"/>
    </row>
    <row r="434" spans="10:10" x14ac:dyDescent="0.2">
      <c r="J434" s="3"/>
    </row>
    <row r="435" spans="10:10" x14ac:dyDescent="0.2">
      <c r="J435" s="3"/>
    </row>
    <row r="436" spans="10:10" x14ac:dyDescent="0.2">
      <c r="J436" s="3"/>
    </row>
    <row r="437" spans="10:10" x14ac:dyDescent="0.2">
      <c r="J437" s="3"/>
    </row>
    <row r="438" spans="10:10" x14ac:dyDescent="0.2">
      <c r="J438" s="3"/>
    </row>
    <row r="439" spans="10:10" x14ac:dyDescent="0.2">
      <c r="J439" s="3"/>
    </row>
    <row r="440" spans="10:10" x14ac:dyDescent="0.2">
      <c r="J440" s="3"/>
    </row>
    <row r="441" spans="10:10" x14ac:dyDescent="0.2">
      <c r="J441" s="3"/>
    </row>
    <row r="442" spans="10:10" x14ac:dyDescent="0.2">
      <c r="J442" s="3"/>
    </row>
    <row r="443" spans="10:10" x14ac:dyDescent="0.2">
      <c r="J443" s="3"/>
    </row>
    <row r="444" spans="10:10" x14ac:dyDescent="0.2">
      <c r="J444" s="3"/>
    </row>
    <row r="445" spans="10:10" x14ac:dyDescent="0.2">
      <c r="J445" s="3"/>
    </row>
    <row r="446" spans="10:10" x14ac:dyDescent="0.2">
      <c r="J446" s="3"/>
    </row>
    <row r="447" spans="10:10" x14ac:dyDescent="0.2">
      <c r="J447" s="3"/>
    </row>
    <row r="448" spans="10:10" x14ac:dyDescent="0.2">
      <c r="J448" s="3"/>
    </row>
    <row r="449" spans="10:10" x14ac:dyDescent="0.2">
      <c r="J449" s="3"/>
    </row>
    <row r="450" spans="10:10" x14ac:dyDescent="0.2">
      <c r="J450" s="3"/>
    </row>
    <row r="451" spans="10:10" x14ac:dyDescent="0.2">
      <c r="J451" s="3"/>
    </row>
    <row r="452" spans="10:10" x14ac:dyDescent="0.2">
      <c r="J452" s="3"/>
    </row>
    <row r="453" spans="10:10" x14ac:dyDescent="0.2">
      <c r="J453" s="3"/>
    </row>
    <row r="454" spans="10:10" x14ac:dyDescent="0.2">
      <c r="J454" s="3"/>
    </row>
    <row r="455" spans="10:10" x14ac:dyDescent="0.2">
      <c r="J455" s="3"/>
    </row>
    <row r="456" spans="10:10" x14ac:dyDescent="0.2">
      <c r="J456" s="3"/>
    </row>
    <row r="457" spans="10:10" x14ac:dyDescent="0.2">
      <c r="J457" s="3"/>
    </row>
    <row r="458" spans="10:10" x14ac:dyDescent="0.2">
      <c r="J458" s="3"/>
    </row>
    <row r="459" spans="10:10" x14ac:dyDescent="0.2">
      <c r="J459" s="3"/>
    </row>
    <row r="460" spans="10:10" x14ac:dyDescent="0.2">
      <c r="J460" s="3"/>
    </row>
    <row r="461" spans="10:10" x14ac:dyDescent="0.2">
      <c r="J461" s="3"/>
    </row>
    <row r="462" spans="10:10" x14ac:dyDescent="0.2">
      <c r="J462" s="3"/>
    </row>
    <row r="463" spans="10:10" x14ac:dyDescent="0.2">
      <c r="J463" s="3"/>
    </row>
    <row r="464" spans="10:10" x14ac:dyDescent="0.2">
      <c r="J464" s="3"/>
    </row>
    <row r="465" spans="10:10" x14ac:dyDescent="0.2">
      <c r="J465" s="3"/>
    </row>
    <row r="466" spans="10:10" x14ac:dyDescent="0.2">
      <c r="J466" s="3"/>
    </row>
    <row r="467" spans="10:10" x14ac:dyDescent="0.2">
      <c r="J467" s="3"/>
    </row>
    <row r="468" spans="10:10" x14ac:dyDescent="0.2">
      <c r="J468" s="3"/>
    </row>
    <row r="469" spans="10:10" x14ac:dyDescent="0.2">
      <c r="J469" s="3"/>
    </row>
    <row r="470" spans="10:10" x14ac:dyDescent="0.2">
      <c r="J470" s="3"/>
    </row>
    <row r="471" spans="10:10" x14ac:dyDescent="0.2">
      <c r="J471" s="3"/>
    </row>
    <row r="472" spans="10:10" x14ac:dyDescent="0.2">
      <c r="J472" s="3"/>
    </row>
    <row r="473" spans="10:10" x14ac:dyDescent="0.2">
      <c r="J473" s="3"/>
    </row>
    <row r="474" spans="10:10" x14ac:dyDescent="0.2">
      <c r="J474" s="3"/>
    </row>
    <row r="475" spans="10:10" x14ac:dyDescent="0.2">
      <c r="J475" s="3"/>
    </row>
    <row r="476" spans="10:10" x14ac:dyDescent="0.2">
      <c r="J476" s="3"/>
    </row>
    <row r="477" spans="10:10" x14ac:dyDescent="0.2">
      <c r="J477" s="3"/>
    </row>
    <row r="478" spans="10:10" x14ac:dyDescent="0.2">
      <c r="J478" s="3"/>
    </row>
    <row r="479" spans="10:10" x14ac:dyDescent="0.2">
      <c r="J479" s="3"/>
    </row>
    <row r="480" spans="10:10" x14ac:dyDescent="0.2">
      <c r="J480" s="3"/>
    </row>
    <row r="481" spans="10:10" x14ac:dyDescent="0.2">
      <c r="J481" s="3"/>
    </row>
    <row r="482" spans="10:10" x14ac:dyDescent="0.2">
      <c r="J482" s="3"/>
    </row>
    <row r="483" spans="10:10" x14ac:dyDescent="0.2">
      <c r="J483" s="3"/>
    </row>
    <row r="484" spans="10:10" x14ac:dyDescent="0.2">
      <c r="J484" s="3"/>
    </row>
    <row r="485" spans="10:10" x14ac:dyDescent="0.2">
      <c r="J485" s="3"/>
    </row>
    <row r="486" spans="10:10" x14ac:dyDescent="0.2">
      <c r="J486" s="3"/>
    </row>
    <row r="487" spans="10:10" x14ac:dyDescent="0.2">
      <c r="J487" s="3"/>
    </row>
    <row r="488" spans="10:10" x14ac:dyDescent="0.2">
      <c r="J488" s="3"/>
    </row>
    <row r="489" spans="10:10" x14ac:dyDescent="0.2">
      <c r="J489" s="3"/>
    </row>
    <row r="490" spans="10:10" x14ac:dyDescent="0.2">
      <c r="J490" s="3"/>
    </row>
    <row r="491" spans="10:10" x14ac:dyDescent="0.2">
      <c r="J491" s="3"/>
    </row>
    <row r="492" spans="10:10" x14ac:dyDescent="0.2">
      <c r="J492" s="3"/>
    </row>
    <row r="493" spans="10:10" x14ac:dyDescent="0.2">
      <c r="J493" s="3"/>
    </row>
    <row r="494" spans="10:10" x14ac:dyDescent="0.2">
      <c r="J494" s="3"/>
    </row>
    <row r="495" spans="10:10" x14ac:dyDescent="0.2">
      <c r="J495" s="3"/>
    </row>
    <row r="496" spans="10:10" x14ac:dyDescent="0.2">
      <c r="J496" s="3"/>
    </row>
    <row r="497" spans="10:10" x14ac:dyDescent="0.2">
      <c r="J497" s="3"/>
    </row>
    <row r="498" spans="10:10" x14ac:dyDescent="0.2">
      <c r="J498" s="3"/>
    </row>
    <row r="499" spans="10:10" x14ac:dyDescent="0.2">
      <c r="J499" s="3"/>
    </row>
    <row r="500" spans="10:10" x14ac:dyDescent="0.2">
      <c r="J500" s="3"/>
    </row>
    <row r="501" spans="10:10" x14ac:dyDescent="0.2">
      <c r="J501" s="3"/>
    </row>
    <row r="502" spans="10:10" x14ac:dyDescent="0.2">
      <c r="J502" s="3"/>
    </row>
    <row r="503" spans="10:10" x14ac:dyDescent="0.2">
      <c r="J503" s="3"/>
    </row>
    <row r="504" spans="10:10" x14ac:dyDescent="0.2">
      <c r="J504" s="3"/>
    </row>
    <row r="505" spans="10:10" x14ac:dyDescent="0.2">
      <c r="J505" s="3"/>
    </row>
    <row r="506" spans="10:10" x14ac:dyDescent="0.2">
      <c r="J506" s="3"/>
    </row>
    <row r="507" spans="10:10" x14ac:dyDescent="0.2">
      <c r="J507" s="3"/>
    </row>
    <row r="508" spans="10:10" x14ac:dyDescent="0.2">
      <c r="J508" s="3"/>
    </row>
    <row r="509" spans="10:10" x14ac:dyDescent="0.2">
      <c r="J509" s="3"/>
    </row>
    <row r="510" spans="10:10" x14ac:dyDescent="0.2">
      <c r="J510" s="3"/>
    </row>
    <row r="511" spans="10:10" x14ac:dyDescent="0.2">
      <c r="J511" s="3"/>
    </row>
    <row r="512" spans="10:10" x14ac:dyDescent="0.2">
      <c r="J512" s="3"/>
    </row>
    <row r="513" spans="10:10" x14ac:dyDescent="0.2">
      <c r="J513" s="3"/>
    </row>
    <row r="514" spans="10:10" x14ac:dyDescent="0.2">
      <c r="J514" s="3"/>
    </row>
    <row r="515" spans="10:10" x14ac:dyDescent="0.2">
      <c r="J515" s="3"/>
    </row>
    <row r="516" spans="10:10" x14ac:dyDescent="0.2">
      <c r="J516" s="3"/>
    </row>
    <row r="517" spans="10:10" x14ac:dyDescent="0.2">
      <c r="J517" s="3"/>
    </row>
    <row r="518" spans="10:10" x14ac:dyDescent="0.2">
      <c r="J518" s="3"/>
    </row>
    <row r="519" spans="10:10" x14ac:dyDescent="0.2">
      <c r="J519" s="3"/>
    </row>
    <row r="520" spans="10:10" x14ac:dyDescent="0.2">
      <c r="J520" s="3"/>
    </row>
    <row r="521" spans="10:10" x14ac:dyDescent="0.2">
      <c r="J521" s="3"/>
    </row>
    <row r="522" spans="10:10" x14ac:dyDescent="0.2">
      <c r="J522" s="3"/>
    </row>
    <row r="523" spans="10:10" x14ac:dyDescent="0.2">
      <c r="J523" s="3"/>
    </row>
    <row r="524" spans="10:10" x14ac:dyDescent="0.2">
      <c r="J524" s="3"/>
    </row>
    <row r="525" spans="10:10" x14ac:dyDescent="0.2">
      <c r="J525" s="3"/>
    </row>
    <row r="526" spans="10:10" x14ac:dyDescent="0.2">
      <c r="J526" s="3"/>
    </row>
    <row r="527" spans="10:10" x14ac:dyDescent="0.2">
      <c r="J527" s="3"/>
    </row>
    <row r="528" spans="10:10" x14ac:dyDescent="0.2">
      <c r="J528" s="3"/>
    </row>
    <row r="529" spans="10:10" x14ac:dyDescent="0.2">
      <c r="J529" s="3"/>
    </row>
    <row r="530" spans="10:10" x14ac:dyDescent="0.2">
      <c r="J530" s="3"/>
    </row>
    <row r="531" spans="10:10" x14ac:dyDescent="0.2">
      <c r="J531" s="3"/>
    </row>
    <row r="532" spans="10:10" x14ac:dyDescent="0.2">
      <c r="J532" s="3"/>
    </row>
    <row r="533" spans="10:10" x14ac:dyDescent="0.2">
      <c r="J533" s="3"/>
    </row>
    <row r="534" spans="10:10" x14ac:dyDescent="0.2">
      <c r="J534" s="3"/>
    </row>
    <row r="535" spans="10:10" x14ac:dyDescent="0.2">
      <c r="J535" s="3"/>
    </row>
    <row r="536" spans="10:10" x14ac:dyDescent="0.2">
      <c r="J536" s="3"/>
    </row>
    <row r="537" spans="10:10" x14ac:dyDescent="0.2">
      <c r="J537" s="3"/>
    </row>
    <row r="538" spans="10:10" x14ac:dyDescent="0.2">
      <c r="J538" s="3"/>
    </row>
    <row r="539" spans="10:10" x14ac:dyDescent="0.2">
      <c r="J539" s="3"/>
    </row>
    <row r="540" spans="10:10" x14ac:dyDescent="0.2">
      <c r="J540" s="3"/>
    </row>
    <row r="541" spans="10:10" x14ac:dyDescent="0.2">
      <c r="J541" s="3"/>
    </row>
    <row r="542" spans="10:10" x14ac:dyDescent="0.2">
      <c r="J542" s="3"/>
    </row>
    <row r="543" spans="10:10" x14ac:dyDescent="0.2">
      <c r="J543" s="3"/>
    </row>
    <row r="544" spans="10:10" x14ac:dyDescent="0.2">
      <c r="J544" s="3"/>
    </row>
    <row r="545" spans="10:10" x14ac:dyDescent="0.2">
      <c r="J545" s="3"/>
    </row>
    <row r="546" spans="10:10" x14ac:dyDescent="0.2">
      <c r="J546" s="3"/>
    </row>
    <row r="547" spans="10:10" x14ac:dyDescent="0.2">
      <c r="J547" s="3"/>
    </row>
    <row r="548" spans="10:10" x14ac:dyDescent="0.2">
      <c r="J548" s="3"/>
    </row>
    <row r="549" spans="10:10" x14ac:dyDescent="0.2">
      <c r="J549" s="3"/>
    </row>
    <row r="550" spans="10:10" x14ac:dyDescent="0.2">
      <c r="J550" s="3"/>
    </row>
    <row r="551" spans="10:10" x14ac:dyDescent="0.2">
      <c r="J551" s="3"/>
    </row>
    <row r="552" spans="10:10" x14ac:dyDescent="0.2">
      <c r="J552" s="3"/>
    </row>
    <row r="553" spans="10:10" x14ac:dyDescent="0.2">
      <c r="J553" s="3"/>
    </row>
    <row r="554" spans="10:10" x14ac:dyDescent="0.2">
      <c r="J554" s="3"/>
    </row>
    <row r="555" spans="10:10" x14ac:dyDescent="0.2">
      <c r="J555" s="3"/>
    </row>
    <row r="556" spans="10:10" x14ac:dyDescent="0.2">
      <c r="J556" s="3"/>
    </row>
    <row r="557" spans="10:10" x14ac:dyDescent="0.2">
      <c r="J557" s="3"/>
    </row>
    <row r="558" spans="10:10" x14ac:dyDescent="0.2">
      <c r="J558" s="3"/>
    </row>
    <row r="559" spans="10:10" x14ac:dyDescent="0.2">
      <c r="J559" s="3"/>
    </row>
    <row r="560" spans="10:10" x14ac:dyDescent="0.2">
      <c r="J560" s="3"/>
    </row>
    <row r="561" spans="10:10" x14ac:dyDescent="0.2">
      <c r="J561" s="3"/>
    </row>
    <row r="562" spans="10:10" x14ac:dyDescent="0.2">
      <c r="J562" s="3"/>
    </row>
    <row r="563" spans="10:10" x14ac:dyDescent="0.2">
      <c r="J563" s="3"/>
    </row>
    <row r="564" spans="10:10" x14ac:dyDescent="0.2">
      <c r="J564" s="3"/>
    </row>
    <row r="565" spans="10:10" x14ac:dyDescent="0.2">
      <c r="J565" s="3"/>
    </row>
    <row r="566" spans="10:10" x14ac:dyDescent="0.2">
      <c r="J566" s="3"/>
    </row>
    <row r="567" spans="10:10" x14ac:dyDescent="0.2">
      <c r="J567" s="3"/>
    </row>
    <row r="568" spans="10:10" x14ac:dyDescent="0.2">
      <c r="J568" s="3"/>
    </row>
    <row r="569" spans="10:10" x14ac:dyDescent="0.2">
      <c r="J569" s="3"/>
    </row>
    <row r="570" spans="10:10" x14ac:dyDescent="0.2">
      <c r="J570" s="3"/>
    </row>
    <row r="571" spans="10:10" x14ac:dyDescent="0.2">
      <c r="J571" s="3"/>
    </row>
    <row r="572" spans="10:10" x14ac:dyDescent="0.2">
      <c r="J572" s="3"/>
    </row>
    <row r="573" spans="10:10" x14ac:dyDescent="0.2">
      <c r="J573" s="3"/>
    </row>
    <row r="574" spans="10:10" x14ac:dyDescent="0.2">
      <c r="J574" s="3"/>
    </row>
    <row r="575" spans="10:10" x14ac:dyDescent="0.2">
      <c r="J575" s="3"/>
    </row>
    <row r="576" spans="10:10" x14ac:dyDescent="0.2">
      <c r="J576" s="3"/>
    </row>
    <row r="577" spans="10:10" x14ac:dyDescent="0.2">
      <c r="J577" s="3"/>
    </row>
    <row r="578" spans="10:10" x14ac:dyDescent="0.2">
      <c r="J578" s="3"/>
    </row>
    <row r="579" spans="10:10" x14ac:dyDescent="0.2">
      <c r="J579" s="3"/>
    </row>
    <row r="580" spans="10:10" x14ac:dyDescent="0.2">
      <c r="J580" s="3"/>
    </row>
    <row r="581" spans="10:10" x14ac:dyDescent="0.2">
      <c r="J581" s="3"/>
    </row>
    <row r="582" spans="10:10" x14ac:dyDescent="0.2">
      <c r="J582" s="3"/>
    </row>
    <row r="583" spans="10:10" x14ac:dyDescent="0.2">
      <c r="J583" s="3"/>
    </row>
    <row r="584" spans="10:10" x14ac:dyDescent="0.2">
      <c r="J584" s="3"/>
    </row>
    <row r="585" spans="10:10" x14ac:dyDescent="0.2">
      <c r="J585" s="3"/>
    </row>
    <row r="586" spans="10:10" x14ac:dyDescent="0.2">
      <c r="J586" s="3"/>
    </row>
    <row r="587" spans="10:10" x14ac:dyDescent="0.2">
      <c r="J587" s="3"/>
    </row>
    <row r="588" spans="10:10" x14ac:dyDescent="0.2">
      <c r="J588" s="3"/>
    </row>
    <row r="589" spans="10:10" x14ac:dyDescent="0.2">
      <c r="J589" s="3"/>
    </row>
    <row r="590" spans="10:10" x14ac:dyDescent="0.2">
      <c r="J590" s="3"/>
    </row>
    <row r="591" spans="10:10" x14ac:dyDescent="0.2">
      <c r="J591" s="3"/>
    </row>
    <row r="592" spans="10:10" x14ac:dyDescent="0.2">
      <c r="J592" s="3"/>
    </row>
    <row r="593" spans="10:10" x14ac:dyDescent="0.2">
      <c r="J593" s="3"/>
    </row>
    <row r="594" spans="10:10" x14ac:dyDescent="0.2">
      <c r="J594" s="3"/>
    </row>
    <row r="595" spans="10:10" x14ac:dyDescent="0.2">
      <c r="J595" s="3"/>
    </row>
    <row r="596" spans="10:10" x14ac:dyDescent="0.2">
      <c r="J596" s="3"/>
    </row>
    <row r="597" spans="10:10" x14ac:dyDescent="0.2">
      <c r="J597" s="3"/>
    </row>
    <row r="598" spans="10:10" x14ac:dyDescent="0.2">
      <c r="J598" s="3"/>
    </row>
    <row r="599" spans="10:10" x14ac:dyDescent="0.2">
      <c r="J599" s="3"/>
    </row>
    <row r="600" spans="10:10" x14ac:dyDescent="0.2">
      <c r="J600" s="3"/>
    </row>
    <row r="601" spans="10:10" x14ac:dyDescent="0.2">
      <c r="J601" s="3"/>
    </row>
    <row r="602" spans="10:10" x14ac:dyDescent="0.2">
      <c r="J602" s="3"/>
    </row>
    <row r="603" spans="10:10" x14ac:dyDescent="0.2">
      <c r="J603" s="3"/>
    </row>
    <row r="604" spans="10:10" x14ac:dyDescent="0.2">
      <c r="J604" s="3"/>
    </row>
    <row r="605" spans="10:10" x14ac:dyDescent="0.2">
      <c r="J605" s="3"/>
    </row>
    <row r="606" spans="10:10" x14ac:dyDescent="0.2">
      <c r="J606" s="3"/>
    </row>
    <row r="607" spans="10:10" x14ac:dyDescent="0.2">
      <c r="J607" s="3"/>
    </row>
    <row r="608" spans="10:10" x14ac:dyDescent="0.2">
      <c r="J608" s="3"/>
    </row>
    <row r="609" spans="10:10" x14ac:dyDescent="0.2">
      <c r="J609" s="3"/>
    </row>
    <row r="610" spans="10:10" x14ac:dyDescent="0.2">
      <c r="J610" s="3"/>
    </row>
    <row r="611" spans="10:10" x14ac:dyDescent="0.2">
      <c r="J611" s="3"/>
    </row>
    <row r="612" spans="10:10" x14ac:dyDescent="0.2">
      <c r="J612" s="3"/>
    </row>
    <row r="613" spans="10:10" x14ac:dyDescent="0.2">
      <c r="J613" s="3"/>
    </row>
    <row r="614" spans="10:10" x14ac:dyDescent="0.2">
      <c r="J614" s="3"/>
    </row>
    <row r="615" spans="10:10" x14ac:dyDescent="0.2">
      <c r="J615" s="3"/>
    </row>
    <row r="616" spans="10:10" x14ac:dyDescent="0.2">
      <c r="J616" s="3"/>
    </row>
    <row r="617" spans="10:10" x14ac:dyDescent="0.2">
      <c r="J617" s="3"/>
    </row>
    <row r="618" spans="10:10" x14ac:dyDescent="0.2">
      <c r="J618" s="3"/>
    </row>
    <row r="619" spans="10:10" x14ac:dyDescent="0.2">
      <c r="J619" s="3"/>
    </row>
    <row r="620" spans="10:10" x14ac:dyDescent="0.2">
      <c r="J620" s="3"/>
    </row>
    <row r="621" spans="10:10" x14ac:dyDescent="0.2">
      <c r="J621" s="3"/>
    </row>
    <row r="622" spans="10:10" x14ac:dyDescent="0.2">
      <c r="J622" s="3"/>
    </row>
    <row r="623" spans="10:10" x14ac:dyDescent="0.2">
      <c r="J623" s="3"/>
    </row>
    <row r="624" spans="10:10" x14ac:dyDescent="0.2">
      <c r="J624" s="3"/>
    </row>
    <row r="625" spans="10:10" x14ac:dyDescent="0.2">
      <c r="J625" s="3"/>
    </row>
    <row r="626" spans="10:10" x14ac:dyDescent="0.2">
      <c r="J626" s="3"/>
    </row>
    <row r="627" spans="10:10" x14ac:dyDescent="0.2">
      <c r="J627" s="3"/>
    </row>
    <row r="628" spans="10:10" x14ac:dyDescent="0.2">
      <c r="J628" s="3"/>
    </row>
    <row r="629" spans="10:10" x14ac:dyDescent="0.2">
      <c r="J62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全指医药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Brett Ren</cp:lastModifiedBy>
  <dcterms:created xsi:type="dcterms:W3CDTF">2019-04-29T23:04:04Z</dcterms:created>
  <dcterms:modified xsi:type="dcterms:W3CDTF">2019-04-29T15:47:51Z</dcterms:modified>
</cp:coreProperties>
</file>